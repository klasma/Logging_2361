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45810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45810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45810</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45810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45810</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45810</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45810</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45810</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45810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45810</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45810</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45810</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45810</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45810</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45810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45810</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45810</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45810</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45810</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45810</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45810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45810</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45810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45810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45810</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45810</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45810</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45810</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45810</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45810</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45810</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45810</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45810</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45810</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45810</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45810</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45810</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45810</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45810</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45810</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45810</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45810</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45810</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45810</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45810</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45810</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45810</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45810</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45810</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45810</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45810</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45810</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45810</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45810</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45810</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45810</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45810</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45810</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45810</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45810</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45810</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45810</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45810</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45810</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45810</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45810</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45810</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45810</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45810</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45810</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45810</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45810</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45810</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45810</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45810</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45810</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45810</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45810</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45810</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45810</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45810</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45810</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45810</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45810</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45810</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45810</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45810</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45810</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45810</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45810</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45810</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45810</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45810</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45810</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45810</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45810</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45810</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45810</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45810</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45810</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45810</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45810</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45810</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45810</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45810</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45810</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45810</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45810</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45810</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45810</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45810</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45810</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45810</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45810</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45810</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45810</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45810</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45810</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45810</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45810</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45810</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45810</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45810</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45810</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45810</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45810</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45810</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45810</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45810</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45810</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45810</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45810</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45810</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45810</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45810</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45810</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45810</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45810</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45810</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45810</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45810</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45810</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45810</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33421-2021</t>
        </is>
      </c>
      <c r="B145" s="1" t="n">
        <v>44377</v>
      </c>
      <c r="C145" s="1" t="n">
        <v>45810</v>
      </c>
      <c r="D145" t="inlineStr">
        <is>
          <t>JÄMTLANDS LÄN</t>
        </is>
      </c>
      <c r="E145" t="inlineStr">
        <is>
          <t>HÄRJEDALEN</t>
        </is>
      </c>
      <c r="G145" t="n">
        <v>47.1</v>
      </c>
      <c r="H145" t="n">
        <v>2</v>
      </c>
      <c r="I145" t="n">
        <v>0</v>
      </c>
      <c r="J145" t="n">
        <v>2</v>
      </c>
      <c r="K145" t="n">
        <v>0</v>
      </c>
      <c r="L145" t="n">
        <v>0</v>
      </c>
      <c r="M145" t="n">
        <v>0</v>
      </c>
      <c r="N145" t="n">
        <v>0</v>
      </c>
      <c r="O145" t="n">
        <v>2</v>
      </c>
      <c r="P145" t="n">
        <v>0</v>
      </c>
      <c r="Q145" t="n">
        <v>3</v>
      </c>
      <c r="R145" s="2" t="inlineStr">
        <is>
          <t>Gultoppig fingersvamp
Talltita
Lavskrika</t>
        </is>
      </c>
      <c r="S145">
        <f>HYPERLINK("https://klasma.github.io/Logging_2361/artfynd/A 33421-2021 artfynd.xlsx", "A 33421-2021")</f>
        <v/>
      </c>
      <c r="T145">
        <f>HYPERLINK("https://klasma.github.io/Logging_2361/kartor/A 33421-2021 karta.png", "A 33421-2021")</f>
        <v/>
      </c>
      <c r="V145">
        <f>HYPERLINK("https://klasma.github.io/Logging_2361/klagomål/A 33421-2021 FSC-klagomål.docx", "A 33421-2021")</f>
        <v/>
      </c>
      <c r="W145">
        <f>HYPERLINK("https://klasma.github.io/Logging_2361/klagomålsmail/A 33421-2021 FSC-klagomål mail.docx", "A 33421-2021")</f>
        <v/>
      </c>
      <c r="X145">
        <f>HYPERLINK("https://klasma.github.io/Logging_2361/tillsyn/A 33421-2021 tillsynsbegäran.docx", "A 33421-2021")</f>
        <v/>
      </c>
      <c r="Y145">
        <f>HYPERLINK("https://klasma.github.io/Logging_2361/tillsynsmail/A 33421-2021 tillsynsbegäran mail.docx", "A 33421-2021")</f>
        <v/>
      </c>
      <c r="Z145">
        <f>HYPERLINK("https://klasma.github.io/Logging_2361/fåglar/A 33421-2021 prioriterade fågelarter.docx", "A 33421-2021")</f>
        <v/>
      </c>
    </row>
    <row r="146" ht="15" customHeight="1">
      <c r="A146" t="inlineStr">
        <is>
          <t>A 45717-2021</t>
        </is>
      </c>
      <c r="B146" s="1" t="n">
        <v>44441</v>
      </c>
      <c r="C146" s="1" t="n">
        <v>45810</v>
      </c>
      <c r="D146" t="inlineStr">
        <is>
          <t>JÄMTLANDS LÄN</t>
        </is>
      </c>
      <c r="E146" t="inlineStr">
        <is>
          <t>HÄRJEDALEN</t>
        </is>
      </c>
      <c r="G146" t="n">
        <v>1</v>
      </c>
      <c r="H146" t="n">
        <v>1</v>
      </c>
      <c r="I146" t="n">
        <v>2</v>
      </c>
      <c r="J146" t="n">
        <v>1</v>
      </c>
      <c r="K146" t="n">
        <v>0</v>
      </c>
      <c r="L146" t="n">
        <v>0</v>
      </c>
      <c r="M146" t="n">
        <v>0</v>
      </c>
      <c r="N146" t="n">
        <v>0</v>
      </c>
      <c r="O146" t="n">
        <v>1</v>
      </c>
      <c r="P146" t="n">
        <v>0</v>
      </c>
      <c r="Q146" t="n">
        <v>3</v>
      </c>
      <c r="R146" s="2" t="inlineStr">
        <is>
          <t>Granticka
Spindelblomster
Ögonpyrola</t>
        </is>
      </c>
      <c r="S146">
        <f>HYPERLINK("https://klasma.github.io/Logging_2361/artfynd/A 45717-2021 artfynd.xlsx", "A 45717-2021")</f>
        <v/>
      </c>
      <c r="T146">
        <f>HYPERLINK("https://klasma.github.io/Logging_2361/kartor/A 45717-2021 karta.png", "A 45717-2021")</f>
        <v/>
      </c>
      <c r="V146">
        <f>HYPERLINK("https://klasma.github.io/Logging_2361/klagomål/A 45717-2021 FSC-klagomål.docx", "A 45717-2021")</f>
        <v/>
      </c>
      <c r="W146">
        <f>HYPERLINK("https://klasma.github.io/Logging_2361/klagomålsmail/A 45717-2021 FSC-klagomål mail.docx", "A 45717-2021")</f>
        <v/>
      </c>
      <c r="X146">
        <f>HYPERLINK("https://klasma.github.io/Logging_2361/tillsyn/A 45717-2021 tillsynsbegäran.docx", "A 45717-2021")</f>
        <v/>
      </c>
      <c r="Y146">
        <f>HYPERLINK("https://klasma.github.io/Logging_2361/tillsynsmail/A 45717-2021 tillsynsbegäran mail.docx", "A 45717-2021")</f>
        <v/>
      </c>
    </row>
    <row r="147" ht="15" customHeight="1">
      <c r="A147" t="inlineStr">
        <is>
          <t>A 55244-2021</t>
        </is>
      </c>
      <c r="B147" s="1" t="n">
        <v>44475</v>
      </c>
      <c r="C147" s="1" t="n">
        <v>45810</v>
      </c>
      <c r="D147" t="inlineStr">
        <is>
          <t>JÄMTLANDS LÄN</t>
        </is>
      </c>
      <c r="E147" t="inlineStr">
        <is>
          <t>HÄRJEDALEN</t>
        </is>
      </c>
      <c r="G147" t="n">
        <v>1.6</v>
      </c>
      <c r="H147" t="n">
        <v>1</v>
      </c>
      <c r="I147" t="n">
        <v>0</v>
      </c>
      <c r="J147" t="n">
        <v>3</v>
      </c>
      <c r="K147" t="n">
        <v>0</v>
      </c>
      <c r="L147" t="n">
        <v>0</v>
      </c>
      <c r="M147" t="n">
        <v>0</v>
      </c>
      <c r="N147" t="n">
        <v>0</v>
      </c>
      <c r="O147" t="n">
        <v>3</v>
      </c>
      <c r="P147" t="n">
        <v>0</v>
      </c>
      <c r="Q147" t="n">
        <v>3</v>
      </c>
      <c r="R147" s="2" t="inlineStr">
        <is>
          <t>Tallticka
Varglav
Vedflamlav</t>
        </is>
      </c>
      <c r="S147">
        <f>HYPERLINK("https://klasma.github.io/Logging_2361/artfynd/A 55244-2021 artfynd.xlsx", "A 55244-2021")</f>
        <v/>
      </c>
      <c r="T147">
        <f>HYPERLINK("https://klasma.github.io/Logging_2361/kartor/A 55244-2021 karta.png", "A 55244-2021")</f>
        <v/>
      </c>
      <c r="V147">
        <f>HYPERLINK("https://klasma.github.io/Logging_2361/klagomål/A 55244-2021 FSC-klagomål.docx", "A 55244-2021")</f>
        <v/>
      </c>
      <c r="W147">
        <f>HYPERLINK("https://klasma.github.io/Logging_2361/klagomålsmail/A 55244-2021 FSC-klagomål mail.docx", "A 55244-2021")</f>
        <v/>
      </c>
      <c r="X147">
        <f>HYPERLINK("https://klasma.github.io/Logging_2361/tillsyn/A 55244-2021 tillsynsbegäran.docx", "A 55244-2021")</f>
        <v/>
      </c>
      <c r="Y147">
        <f>HYPERLINK("https://klasma.github.io/Logging_2361/tillsynsmail/A 55244-2021 tillsynsbegäran mail.docx", "A 55244-2021")</f>
        <v/>
      </c>
    </row>
    <row r="148" ht="15" customHeight="1">
      <c r="A148" t="inlineStr">
        <is>
          <t>A 55233-2021</t>
        </is>
      </c>
      <c r="B148" s="1" t="n">
        <v>44475</v>
      </c>
      <c r="C148" s="1" t="n">
        <v>45810</v>
      </c>
      <c r="D148" t="inlineStr">
        <is>
          <t>JÄMTLANDS LÄN</t>
        </is>
      </c>
      <c r="E148" t="inlineStr">
        <is>
          <t>HÄRJEDALEN</t>
        </is>
      </c>
      <c r="G148" t="n">
        <v>15.3</v>
      </c>
      <c r="H148" t="n">
        <v>1</v>
      </c>
      <c r="I148" t="n">
        <v>0</v>
      </c>
      <c r="J148" t="n">
        <v>3</v>
      </c>
      <c r="K148" t="n">
        <v>0</v>
      </c>
      <c r="L148" t="n">
        <v>0</v>
      </c>
      <c r="M148" t="n">
        <v>0</v>
      </c>
      <c r="N148" t="n">
        <v>0</v>
      </c>
      <c r="O148" t="n">
        <v>3</v>
      </c>
      <c r="P148" t="n">
        <v>0</v>
      </c>
      <c r="Q148" t="n">
        <v>3</v>
      </c>
      <c r="R148" s="2" t="inlineStr">
        <is>
          <t>Reliktbock
Varglav
Vedflamlav</t>
        </is>
      </c>
      <c r="S148">
        <f>HYPERLINK("https://klasma.github.io/Logging_2361/artfynd/A 55233-2021 artfynd.xlsx", "A 55233-2021")</f>
        <v/>
      </c>
      <c r="T148">
        <f>HYPERLINK("https://klasma.github.io/Logging_2361/kartor/A 55233-2021 karta.png", "A 55233-2021")</f>
        <v/>
      </c>
      <c r="V148">
        <f>HYPERLINK("https://klasma.github.io/Logging_2361/klagomål/A 55233-2021 FSC-klagomål.docx", "A 55233-2021")</f>
        <v/>
      </c>
      <c r="W148">
        <f>HYPERLINK("https://klasma.github.io/Logging_2361/klagomålsmail/A 55233-2021 FSC-klagomål mail.docx", "A 55233-2021")</f>
        <v/>
      </c>
      <c r="X148">
        <f>HYPERLINK("https://klasma.github.io/Logging_2361/tillsyn/A 55233-2021 tillsynsbegäran.docx", "A 55233-2021")</f>
        <v/>
      </c>
      <c r="Y148">
        <f>HYPERLINK("https://klasma.github.io/Logging_2361/tillsynsmail/A 55233-2021 tillsynsbegäran mail.docx", "A 55233-2021")</f>
        <v/>
      </c>
    </row>
    <row r="149" ht="15" customHeight="1">
      <c r="A149" t="inlineStr">
        <is>
          <t>A 55394-2021</t>
        </is>
      </c>
      <c r="B149" s="1" t="n">
        <v>44475</v>
      </c>
      <c r="C149" s="1" t="n">
        <v>45810</v>
      </c>
      <c r="D149" t="inlineStr">
        <is>
          <t>JÄMTLANDS LÄN</t>
        </is>
      </c>
      <c r="E149" t="inlineStr">
        <is>
          <t>HÄRJEDALEN</t>
        </is>
      </c>
      <c r="G149" t="n">
        <v>2.7</v>
      </c>
      <c r="H149" t="n">
        <v>1</v>
      </c>
      <c r="I149" t="n">
        <v>0</v>
      </c>
      <c r="J149" t="n">
        <v>3</v>
      </c>
      <c r="K149" t="n">
        <v>0</v>
      </c>
      <c r="L149" t="n">
        <v>0</v>
      </c>
      <c r="M149" t="n">
        <v>0</v>
      </c>
      <c r="N149" t="n">
        <v>0</v>
      </c>
      <c r="O149" t="n">
        <v>3</v>
      </c>
      <c r="P149" t="n">
        <v>0</v>
      </c>
      <c r="Q149" t="n">
        <v>3</v>
      </c>
      <c r="R149" s="2" t="inlineStr">
        <is>
          <t>Blanksvart spiklav
Varglav
Vedflamlav</t>
        </is>
      </c>
      <c r="S149">
        <f>HYPERLINK("https://klasma.github.io/Logging_2361/artfynd/A 55394-2021 artfynd.xlsx", "A 55394-2021")</f>
        <v/>
      </c>
      <c r="T149">
        <f>HYPERLINK("https://klasma.github.io/Logging_2361/kartor/A 55394-2021 karta.png", "A 55394-2021")</f>
        <v/>
      </c>
      <c r="V149">
        <f>HYPERLINK("https://klasma.github.io/Logging_2361/klagomål/A 55394-2021 FSC-klagomål.docx", "A 55394-2021")</f>
        <v/>
      </c>
      <c r="W149">
        <f>HYPERLINK("https://klasma.github.io/Logging_2361/klagomålsmail/A 55394-2021 FSC-klagomål mail.docx", "A 55394-2021")</f>
        <v/>
      </c>
      <c r="X149">
        <f>HYPERLINK("https://klasma.github.io/Logging_2361/tillsyn/A 55394-2021 tillsynsbegäran.docx", "A 55394-2021")</f>
        <v/>
      </c>
      <c r="Y149">
        <f>HYPERLINK("https://klasma.github.io/Logging_2361/tillsynsmail/A 55394-2021 tillsynsbegäran mail.docx", "A 55394-2021")</f>
        <v/>
      </c>
    </row>
    <row r="150" ht="15" customHeight="1">
      <c r="A150" t="inlineStr">
        <is>
          <t>A 33914-2022</t>
        </is>
      </c>
      <c r="B150" s="1" t="n">
        <v>44790</v>
      </c>
      <c r="C150" s="1" t="n">
        <v>45810</v>
      </c>
      <c r="D150" t="inlineStr">
        <is>
          <t>JÄMTLANDS LÄN</t>
        </is>
      </c>
      <c r="E150" t="inlineStr">
        <is>
          <t>HÄRJEDALEN</t>
        </is>
      </c>
      <c r="F150" t="inlineStr">
        <is>
          <t>Bergvik skog väst AB</t>
        </is>
      </c>
      <c r="G150" t="n">
        <v>38.1</v>
      </c>
      <c r="H150" t="n">
        <v>3</v>
      </c>
      <c r="I150" t="n">
        <v>0</v>
      </c>
      <c r="J150" t="n">
        <v>2</v>
      </c>
      <c r="K150" t="n">
        <v>0</v>
      </c>
      <c r="L150" t="n">
        <v>0</v>
      </c>
      <c r="M150" t="n">
        <v>0</v>
      </c>
      <c r="N150" t="n">
        <v>0</v>
      </c>
      <c r="O150" t="n">
        <v>2</v>
      </c>
      <c r="P150" t="n">
        <v>0</v>
      </c>
      <c r="Q150" t="n">
        <v>3</v>
      </c>
      <c r="R150" s="2" t="inlineStr">
        <is>
          <t>Spillkråka
Tretåig hackspett
Lavskrika</t>
        </is>
      </c>
      <c r="S150">
        <f>HYPERLINK("https://klasma.github.io/Logging_2361/artfynd/A 33914-2022 artfynd.xlsx", "A 33914-2022")</f>
        <v/>
      </c>
      <c r="T150">
        <f>HYPERLINK("https://klasma.github.io/Logging_2361/kartor/A 33914-2022 karta.png", "A 33914-2022")</f>
        <v/>
      </c>
      <c r="V150">
        <f>HYPERLINK("https://klasma.github.io/Logging_2361/klagomål/A 33914-2022 FSC-klagomål.docx", "A 33914-2022")</f>
        <v/>
      </c>
      <c r="W150">
        <f>HYPERLINK("https://klasma.github.io/Logging_2361/klagomålsmail/A 33914-2022 FSC-klagomål mail.docx", "A 33914-2022")</f>
        <v/>
      </c>
      <c r="X150">
        <f>HYPERLINK("https://klasma.github.io/Logging_2361/tillsyn/A 33914-2022 tillsynsbegäran.docx", "A 33914-2022")</f>
        <v/>
      </c>
      <c r="Y150">
        <f>HYPERLINK("https://klasma.github.io/Logging_2361/tillsynsmail/A 33914-2022 tillsynsbegäran mail.docx", "A 33914-2022")</f>
        <v/>
      </c>
      <c r="Z150">
        <f>HYPERLINK("https://klasma.github.io/Logging_2361/fåglar/A 33914-2022 prioriterade fågelarter.docx", "A 33914-2022")</f>
        <v/>
      </c>
    </row>
    <row r="151" ht="15" customHeight="1">
      <c r="A151" t="inlineStr">
        <is>
          <t>A 34035-2022</t>
        </is>
      </c>
      <c r="B151" s="1" t="n">
        <v>44791</v>
      </c>
      <c r="C151" s="1" t="n">
        <v>45810</v>
      </c>
      <c r="D151" t="inlineStr">
        <is>
          <t>JÄMTLANDS LÄN</t>
        </is>
      </c>
      <c r="E151" t="inlineStr">
        <is>
          <t>HÄRJEDALEN</t>
        </is>
      </c>
      <c r="F151" t="inlineStr">
        <is>
          <t>Naturvårdsverket</t>
        </is>
      </c>
      <c r="G151" t="n">
        <v>27.4</v>
      </c>
      <c r="H151" t="n">
        <v>0</v>
      </c>
      <c r="I151" t="n">
        <v>0</v>
      </c>
      <c r="J151" t="n">
        <v>3</v>
      </c>
      <c r="K151" t="n">
        <v>0</v>
      </c>
      <c r="L151" t="n">
        <v>0</v>
      </c>
      <c r="M151" t="n">
        <v>0</v>
      </c>
      <c r="N151" t="n">
        <v>0</v>
      </c>
      <c r="O151" t="n">
        <v>3</v>
      </c>
      <c r="P151" t="n">
        <v>0</v>
      </c>
      <c r="Q151" t="n">
        <v>3</v>
      </c>
      <c r="R151" s="2" t="inlineStr">
        <is>
          <t>Gammelgransskål
Garnlav
Gränsticka</t>
        </is>
      </c>
      <c r="S151">
        <f>HYPERLINK("https://klasma.github.io/Logging_2361/artfynd/A 34035-2022 artfynd.xlsx", "A 34035-2022")</f>
        <v/>
      </c>
      <c r="T151">
        <f>HYPERLINK("https://klasma.github.io/Logging_2361/kartor/A 34035-2022 karta.png", "A 34035-2022")</f>
        <v/>
      </c>
      <c r="V151">
        <f>HYPERLINK("https://klasma.github.io/Logging_2361/klagomål/A 34035-2022 FSC-klagomål.docx", "A 34035-2022")</f>
        <v/>
      </c>
      <c r="W151">
        <f>HYPERLINK("https://klasma.github.io/Logging_2361/klagomålsmail/A 34035-2022 FSC-klagomål mail.docx", "A 34035-2022")</f>
        <v/>
      </c>
      <c r="X151">
        <f>HYPERLINK("https://klasma.github.io/Logging_2361/tillsyn/A 34035-2022 tillsynsbegäran.docx", "A 34035-2022")</f>
        <v/>
      </c>
      <c r="Y151">
        <f>HYPERLINK("https://klasma.github.io/Logging_2361/tillsynsmail/A 34035-2022 tillsynsbegäran mail.docx", "A 34035-2022")</f>
        <v/>
      </c>
    </row>
    <row r="152" ht="15" customHeight="1">
      <c r="A152" t="inlineStr">
        <is>
          <t>A 14060-2023</t>
        </is>
      </c>
      <c r="B152" s="1" t="n">
        <v>45007</v>
      </c>
      <c r="C152" s="1" t="n">
        <v>45810</v>
      </c>
      <c r="D152" t="inlineStr">
        <is>
          <t>JÄMTLANDS LÄN</t>
        </is>
      </c>
      <c r="E152" t="inlineStr">
        <is>
          <t>HÄRJEDALEN</t>
        </is>
      </c>
      <c r="F152" t="inlineStr">
        <is>
          <t>Bergvik skog väst AB</t>
        </is>
      </c>
      <c r="G152" t="n">
        <v>6.7</v>
      </c>
      <c r="H152" t="n">
        <v>0</v>
      </c>
      <c r="I152" t="n">
        <v>0</v>
      </c>
      <c r="J152" t="n">
        <v>0</v>
      </c>
      <c r="K152" t="n">
        <v>2</v>
      </c>
      <c r="L152" t="n">
        <v>1</v>
      </c>
      <c r="M152" t="n">
        <v>0</v>
      </c>
      <c r="N152" t="n">
        <v>0</v>
      </c>
      <c r="O152" t="n">
        <v>3</v>
      </c>
      <c r="P152" t="n">
        <v>3</v>
      </c>
      <c r="Q152" t="n">
        <v>3</v>
      </c>
      <c r="R152" s="2" t="inlineStr">
        <is>
          <t>Urskogsporing
Fläckporing
Gräddporing</t>
        </is>
      </c>
      <c r="S152">
        <f>HYPERLINK("https://klasma.github.io/Logging_2361/artfynd/A 14060-2023 artfynd.xlsx", "A 14060-2023")</f>
        <v/>
      </c>
      <c r="T152">
        <f>HYPERLINK("https://klasma.github.io/Logging_2361/kartor/A 14060-2023 karta.png", "A 14060-2023")</f>
        <v/>
      </c>
      <c r="V152">
        <f>HYPERLINK("https://klasma.github.io/Logging_2361/klagomål/A 14060-2023 FSC-klagomål.docx", "A 14060-2023")</f>
        <v/>
      </c>
      <c r="W152">
        <f>HYPERLINK("https://klasma.github.io/Logging_2361/klagomålsmail/A 14060-2023 FSC-klagomål mail.docx", "A 14060-2023")</f>
        <v/>
      </c>
      <c r="X152">
        <f>HYPERLINK("https://klasma.github.io/Logging_2361/tillsyn/A 14060-2023 tillsynsbegäran.docx", "A 14060-2023")</f>
        <v/>
      </c>
      <c r="Y152">
        <f>HYPERLINK("https://klasma.github.io/Logging_2361/tillsynsmail/A 14060-2023 tillsynsbegäran mail.docx", "A 14060-2023")</f>
        <v/>
      </c>
    </row>
    <row r="153" ht="15" customHeight="1">
      <c r="A153" t="inlineStr">
        <is>
          <t>A 19659-2023</t>
        </is>
      </c>
      <c r="B153" s="1" t="n">
        <v>45050</v>
      </c>
      <c r="C153" s="1" t="n">
        <v>45810</v>
      </c>
      <c r="D153" t="inlineStr">
        <is>
          <t>JÄMTLANDS LÄN</t>
        </is>
      </c>
      <c r="E153" t="inlineStr">
        <is>
          <t>HÄRJEDALEN</t>
        </is>
      </c>
      <c r="F153" t="inlineStr">
        <is>
          <t>Bergvik skog väst AB</t>
        </is>
      </c>
      <c r="G153" t="n">
        <v>2.8</v>
      </c>
      <c r="H153" t="n">
        <v>0</v>
      </c>
      <c r="I153" t="n">
        <v>0</v>
      </c>
      <c r="J153" t="n">
        <v>3</v>
      </c>
      <c r="K153" t="n">
        <v>0</v>
      </c>
      <c r="L153" t="n">
        <v>0</v>
      </c>
      <c r="M153" t="n">
        <v>0</v>
      </c>
      <c r="N153" t="n">
        <v>0</v>
      </c>
      <c r="O153" t="n">
        <v>3</v>
      </c>
      <c r="P153" t="n">
        <v>0</v>
      </c>
      <c r="Q153" t="n">
        <v>3</v>
      </c>
      <c r="R153" s="2" t="inlineStr">
        <is>
          <t>Gäckporing
Nordtagging
Vedskivlav</t>
        </is>
      </c>
      <c r="S153">
        <f>HYPERLINK("https://klasma.github.io/Logging_2361/artfynd/A 19659-2023 artfynd.xlsx", "A 19659-2023")</f>
        <v/>
      </c>
      <c r="T153">
        <f>HYPERLINK("https://klasma.github.io/Logging_2361/kartor/A 19659-2023 karta.png", "A 19659-2023")</f>
        <v/>
      </c>
      <c r="V153">
        <f>HYPERLINK("https://klasma.github.io/Logging_2361/klagomål/A 19659-2023 FSC-klagomål.docx", "A 19659-2023")</f>
        <v/>
      </c>
      <c r="W153">
        <f>HYPERLINK("https://klasma.github.io/Logging_2361/klagomålsmail/A 19659-2023 FSC-klagomål mail.docx", "A 19659-2023")</f>
        <v/>
      </c>
      <c r="X153">
        <f>HYPERLINK("https://klasma.github.io/Logging_2361/tillsyn/A 19659-2023 tillsynsbegäran.docx", "A 19659-2023")</f>
        <v/>
      </c>
      <c r="Y153">
        <f>HYPERLINK("https://klasma.github.io/Logging_2361/tillsynsmail/A 19659-2023 tillsynsbegäran mail.docx", "A 19659-2023")</f>
        <v/>
      </c>
    </row>
    <row r="154" ht="15" customHeight="1">
      <c r="A154" t="inlineStr">
        <is>
          <t>A 57572-2023</t>
        </is>
      </c>
      <c r="B154" s="1" t="n">
        <v>45246</v>
      </c>
      <c r="C154" s="1" t="n">
        <v>45810</v>
      </c>
      <c r="D154" t="inlineStr">
        <is>
          <t>JÄMTLANDS LÄN</t>
        </is>
      </c>
      <c r="E154" t="inlineStr">
        <is>
          <t>HÄRJEDALEN</t>
        </is>
      </c>
      <c r="G154" t="n">
        <v>40.5</v>
      </c>
      <c r="H154" t="n">
        <v>0</v>
      </c>
      <c r="I154" t="n">
        <v>0</v>
      </c>
      <c r="J154" t="n">
        <v>2</v>
      </c>
      <c r="K154" t="n">
        <v>1</v>
      </c>
      <c r="L154" t="n">
        <v>0</v>
      </c>
      <c r="M154" t="n">
        <v>0</v>
      </c>
      <c r="N154" t="n">
        <v>0</v>
      </c>
      <c r="O154" t="n">
        <v>3</v>
      </c>
      <c r="P154" t="n">
        <v>1</v>
      </c>
      <c r="Q154" t="n">
        <v>3</v>
      </c>
      <c r="R154" s="2" t="inlineStr">
        <is>
          <t>Gräddporing
Nordtagging
Skrovellav</t>
        </is>
      </c>
      <c r="S154">
        <f>HYPERLINK("https://klasma.github.io/Logging_2361/artfynd/A 57572-2023 artfynd.xlsx", "A 57572-2023")</f>
        <v/>
      </c>
      <c r="T154">
        <f>HYPERLINK("https://klasma.github.io/Logging_2361/kartor/A 57572-2023 karta.png", "A 57572-2023")</f>
        <v/>
      </c>
      <c r="V154">
        <f>HYPERLINK("https://klasma.github.io/Logging_2361/klagomål/A 57572-2023 FSC-klagomål.docx", "A 57572-2023")</f>
        <v/>
      </c>
      <c r="W154">
        <f>HYPERLINK("https://klasma.github.io/Logging_2361/klagomålsmail/A 57572-2023 FSC-klagomål mail.docx", "A 57572-2023")</f>
        <v/>
      </c>
      <c r="X154">
        <f>HYPERLINK("https://klasma.github.io/Logging_2361/tillsyn/A 57572-2023 tillsynsbegäran.docx", "A 57572-2023")</f>
        <v/>
      </c>
      <c r="Y154">
        <f>HYPERLINK("https://klasma.github.io/Logging_2361/tillsynsmail/A 57572-2023 tillsynsbegäran mail.docx", "A 57572-2023")</f>
        <v/>
      </c>
    </row>
    <row r="155" ht="15" customHeight="1">
      <c r="A155" t="inlineStr">
        <is>
          <t>A 22781-2024</t>
        </is>
      </c>
      <c r="B155" s="1" t="n">
        <v>45448</v>
      </c>
      <c r="C155" s="1" t="n">
        <v>45810</v>
      </c>
      <c r="D155" t="inlineStr">
        <is>
          <t>JÄMTLANDS LÄN</t>
        </is>
      </c>
      <c r="E155" t="inlineStr">
        <is>
          <t>HÄRJEDALEN</t>
        </is>
      </c>
      <c r="F155" t="inlineStr">
        <is>
          <t>Holmen skog AB</t>
        </is>
      </c>
      <c r="G155" t="n">
        <v>5.8</v>
      </c>
      <c r="H155" t="n">
        <v>2</v>
      </c>
      <c r="I155" t="n">
        <v>0</v>
      </c>
      <c r="J155" t="n">
        <v>1</v>
      </c>
      <c r="K155" t="n">
        <v>1</v>
      </c>
      <c r="L155" t="n">
        <v>0</v>
      </c>
      <c r="M155" t="n">
        <v>0</v>
      </c>
      <c r="N155" t="n">
        <v>0</v>
      </c>
      <c r="O155" t="n">
        <v>2</v>
      </c>
      <c r="P155" t="n">
        <v>1</v>
      </c>
      <c r="Q155" t="n">
        <v>3</v>
      </c>
      <c r="R155" s="2" t="inlineStr">
        <is>
          <t>Knärot
Knottrig blåslav
Huggorm</t>
        </is>
      </c>
      <c r="S155">
        <f>HYPERLINK("https://klasma.github.io/Logging_2361/artfynd/A 22781-2024 artfynd.xlsx", "A 22781-2024")</f>
        <v/>
      </c>
      <c r="T155">
        <f>HYPERLINK("https://klasma.github.io/Logging_2361/kartor/A 22781-2024 karta.png", "A 22781-2024")</f>
        <v/>
      </c>
      <c r="U155">
        <f>HYPERLINK("https://klasma.github.io/Logging_2361/knärot/A 22781-2024 karta knärot.png", "A 22781-2024")</f>
        <v/>
      </c>
      <c r="V155">
        <f>HYPERLINK("https://klasma.github.io/Logging_2361/klagomål/A 22781-2024 FSC-klagomål.docx", "A 22781-2024")</f>
        <v/>
      </c>
      <c r="W155">
        <f>HYPERLINK("https://klasma.github.io/Logging_2361/klagomålsmail/A 22781-2024 FSC-klagomål mail.docx", "A 22781-2024")</f>
        <v/>
      </c>
      <c r="X155">
        <f>HYPERLINK("https://klasma.github.io/Logging_2361/tillsyn/A 22781-2024 tillsynsbegäran.docx", "A 22781-2024")</f>
        <v/>
      </c>
      <c r="Y155">
        <f>HYPERLINK("https://klasma.github.io/Logging_2361/tillsynsmail/A 22781-2024 tillsynsbegäran mail.docx", "A 22781-2024")</f>
        <v/>
      </c>
    </row>
    <row r="156" ht="15" customHeight="1">
      <c r="A156" t="inlineStr">
        <is>
          <t>A 26225-2024</t>
        </is>
      </c>
      <c r="B156" s="1" t="n">
        <v>45468</v>
      </c>
      <c r="C156" s="1" t="n">
        <v>45810</v>
      </c>
      <c r="D156" t="inlineStr">
        <is>
          <t>JÄMTLANDS LÄN</t>
        </is>
      </c>
      <c r="E156" t="inlineStr">
        <is>
          <t>HÄRJEDALEN</t>
        </is>
      </c>
      <c r="G156" t="n">
        <v>21.2</v>
      </c>
      <c r="H156" t="n">
        <v>1</v>
      </c>
      <c r="I156" t="n">
        <v>3</v>
      </c>
      <c r="J156" t="n">
        <v>0</v>
      </c>
      <c r="K156" t="n">
        <v>0</v>
      </c>
      <c r="L156" t="n">
        <v>0</v>
      </c>
      <c r="M156" t="n">
        <v>0</v>
      </c>
      <c r="N156" t="n">
        <v>0</v>
      </c>
      <c r="O156" t="n">
        <v>0</v>
      </c>
      <c r="P156" t="n">
        <v>0</v>
      </c>
      <c r="Q156" t="n">
        <v>3</v>
      </c>
      <c r="R156" s="2" t="inlineStr">
        <is>
          <t>Gräsull
Tibast
Tvåblad</t>
        </is>
      </c>
      <c r="S156">
        <f>HYPERLINK("https://klasma.github.io/Logging_2361/artfynd/A 26225-2024 artfynd.xlsx", "A 26225-2024")</f>
        <v/>
      </c>
      <c r="T156">
        <f>HYPERLINK("https://klasma.github.io/Logging_2361/kartor/A 26225-2024 karta.png", "A 26225-2024")</f>
        <v/>
      </c>
      <c r="V156">
        <f>HYPERLINK("https://klasma.github.io/Logging_2361/klagomål/A 26225-2024 FSC-klagomål.docx", "A 26225-2024")</f>
        <v/>
      </c>
      <c r="W156">
        <f>HYPERLINK("https://klasma.github.io/Logging_2361/klagomålsmail/A 26225-2024 FSC-klagomål mail.docx", "A 26225-2024")</f>
        <v/>
      </c>
      <c r="X156">
        <f>HYPERLINK("https://klasma.github.io/Logging_2361/tillsyn/A 26225-2024 tillsynsbegäran.docx", "A 26225-2024")</f>
        <v/>
      </c>
      <c r="Y156">
        <f>HYPERLINK("https://klasma.github.io/Logging_2361/tillsynsmail/A 26225-2024 tillsynsbegäran mail.docx", "A 26225-2024")</f>
        <v/>
      </c>
    </row>
    <row r="157" ht="15" customHeight="1">
      <c r="A157" t="inlineStr">
        <is>
          <t>A 54545-2024</t>
        </is>
      </c>
      <c r="B157" s="1" t="n">
        <v>45617</v>
      </c>
      <c r="C157" s="1" t="n">
        <v>45810</v>
      </c>
      <c r="D157" t="inlineStr">
        <is>
          <t>JÄMTLANDS LÄN</t>
        </is>
      </c>
      <c r="E157" t="inlineStr">
        <is>
          <t>HÄRJEDALEN</t>
        </is>
      </c>
      <c r="F157" t="inlineStr">
        <is>
          <t>Holmen skog AB</t>
        </is>
      </c>
      <c r="G157" t="n">
        <v>6.5</v>
      </c>
      <c r="H157" t="n">
        <v>1</v>
      </c>
      <c r="I157" t="n">
        <v>0</v>
      </c>
      <c r="J157" t="n">
        <v>3</v>
      </c>
      <c r="K157" t="n">
        <v>0</v>
      </c>
      <c r="L157" t="n">
        <v>0</v>
      </c>
      <c r="M157" t="n">
        <v>0</v>
      </c>
      <c r="N157" t="n">
        <v>0</v>
      </c>
      <c r="O157" t="n">
        <v>3</v>
      </c>
      <c r="P157" t="n">
        <v>0</v>
      </c>
      <c r="Q157" t="n">
        <v>3</v>
      </c>
      <c r="R157" s="2" t="inlineStr">
        <is>
          <t>Garnlav
Kolflarnlav
Talltita</t>
        </is>
      </c>
      <c r="S157">
        <f>HYPERLINK("https://klasma.github.io/Logging_2361/artfynd/A 54545-2024 artfynd.xlsx", "A 54545-2024")</f>
        <v/>
      </c>
      <c r="T157">
        <f>HYPERLINK("https://klasma.github.io/Logging_2361/kartor/A 54545-2024 karta.png", "A 54545-2024")</f>
        <v/>
      </c>
      <c r="V157">
        <f>HYPERLINK("https://klasma.github.io/Logging_2361/klagomål/A 54545-2024 FSC-klagomål.docx", "A 54545-2024")</f>
        <v/>
      </c>
      <c r="W157">
        <f>HYPERLINK("https://klasma.github.io/Logging_2361/klagomålsmail/A 54545-2024 FSC-klagomål mail.docx", "A 54545-2024")</f>
        <v/>
      </c>
      <c r="X157">
        <f>HYPERLINK("https://klasma.github.io/Logging_2361/tillsyn/A 54545-2024 tillsynsbegäran.docx", "A 54545-2024")</f>
        <v/>
      </c>
      <c r="Y157">
        <f>HYPERLINK("https://klasma.github.io/Logging_2361/tillsynsmail/A 54545-2024 tillsynsbegäran mail.docx", "A 54545-2024")</f>
        <v/>
      </c>
      <c r="Z157">
        <f>HYPERLINK("https://klasma.github.io/Logging_2361/fåglar/A 54545-2024 prioriterade fågelarter.docx", "A 54545-2024")</f>
        <v/>
      </c>
    </row>
    <row r="158" ht="15" customHeight="1">
      <c r="A158" t="inlineStr">
        <is>
          <t>A 23337-2025</t>
        </is>
      </c>
      <c r="B158" s="1" t="n">
        <v>45791</v>
      </c>
      <c r="C158" s="1" t="n">
        <v>45810</v>
      </c>
      <c r="D158" t="inlineStr">
        <is>
          <t>JÄMTLANDS LÄN</t>
        </is>
      </c>
      <c r="E158" t="inlineStr">
        <is>
          <t>HÄRJEDALEN</t>
        </is>
      </c>
      <c r="G158" t="n">
        <v>5.9</v>
      </c>
      <c r="H158" t="n">
        <v>0</v>
      </c>
      <c r="I158" t="n">
        <v>0</v>
      </c>
      <c r="J158" t="n">
        <v>3</v>
      </c>
      <c r="K158" t="n">
        <v>0</v>
      </c>
      <c r="L158" t="n">
        <v>0</v>
      </c>
      <c r="M158" t="n">
        <v>0</v>
      </c>
      <c r="N158" t="n">
        <v>0</v>
      </c>
      <c r="O158" t="n">
        <v>3</v>
      </c>
      <c r="P158" t="n">
        <v>0</v>
      </c>
      <c r="Q158" t="n">
        <v>3</v>
      </c>
      <c r="R158" s="2" t="inlineStr">
        <is>
          <t>Dvärgbägarlav
Knottrig blåslav
Vedskivlav</t>
        </is>
      </c>
      <c r="S158">
        <f>HYPERLINK("https://klasma.github.io/Logging_232361/artfynd/A 23337-2025 artfynd.xlsx", "A 23337-2025")</f>
        <v/>
      </c>
      <c r="T158">
        <f>HYPERLINK("https://klasma.github.io/Logging_232361/kartor/A 23337-2025 karta.png", "A 23337-2025")</f>
        <v/>
      </c>
      <c r="V158">
        <f>HYPERLINK("https://klasma.github.io/Logging_232361/klagomål/A 23337-2025 FSC-klagomål.docx", "A 23337-2025")</f>
        <v/>
      </c>
      <c r="W158">
        <f>HYPERLINK("https://klasma.github.io/Logging_232361/klagomålsmail/A 23337-2025 FSC-klagomål mail.docx", "A 23337-2025")</f>
        <v/>
      </c>
      <c r="X158">
        <f>HYPERLINK("https://klasma.github.io/Logging_232361/tillsyn/A 23337-2025 tillsynsbegäran.docx", "A 23337-2025")</f>
        <v/>
      </c>
      <c r="Y158">
        <f>HYPERLINK("https://klasma.github.io/Logging_232361/tillsynsmail/A 23337-2025 tillsynsbegäran mail.docx", "A 23337-2025")</f>
        <v/>
      </c>
    </row>
    <row r="159" ht="15" customHeight="1">
      <c r="A159" t="inlineStr">
        <is>
          <t>A 25107-2025</t>
        </is>
      </c>
      <c r="B159" s="1" t="n">
        <v>45800</v>
      </c>
      <c r="C159" s="1" t="n">
        <v>45810</v>
      </c>
      <c r="D159" t="inlineStr">
        <is>
          <t>JÄMTLANDS LÄN</t>
        </is>
      </c>
      <c r="E159" t="inlineStr">
        <is>
          <t>HÄRJEDALEN</t>
        </is>
      </c>
      <c r="F159" t="inlineStr">
        <is>
          <t>Holmen skog AB</t>
        </is>
      </c>
      <c r="G159" t="n">
        <v>2</v>
      </c>
      <c r="H159" t="n">
        <v>0</v>
      </c>
      <c r="I159" t="n">
        <v>0</v>
      </c>
      <c r="J159" t="n">
        <v>3</v>
      </c>
      <c r="K159" t="n">
        <v>0</v>
      </c>
      <c r="L159" t="n">
        <v>0</v>
      </c>
      <c r="M159" t="n">
        <v>0</v>
      </c>
      <c r="N159" t="n">
        <v>0</v>
      </c>
      <c r="O159" t="n">
        <v>3</v>
      </c>
      <c r="P159" t="n">
        <v>0</v>
      </c>
      <c r="Q159" t="n">
        <v>3</v>
      </c>
      <c r="R159" s="2" t="inlineStr">
        <is>
          <t>Blanksvart spiklav
Vedflamlav
Vedskivlav</t>
        </is>
      </c>
      <c r="S159">
        <f>HYPERLINK("https://klasma.github.io/Logging_232361/artfynd/A 25107-2025 artfynd.xlsx", "A 25107-2025")</f>
        <v/>
      </c>
      <c r="T159">
        <f>HYPERLINK("https://klasma.github.io/Logging_232361/kartor/A 25107-2025 karta.png", "A 25107-2025")</f>
        <v/>
      </c>
      <c r="V159">
        <f>HYPERLINK("https://klasma.github.io/Logging_232361/klagomål/A 25107-2025 FSC-klagomål.docx", "A 25107-2025")</f>
        <v/>
      </c>
      <c r="W159">
        <f>HYPERLINK("https://klasma.github.io/Logging_232361/klagomålsmail/A 25107-2025 FSC-klagomål mail.docx", "A 25107-2025")</f>
        <v/>
      </c>
      <c r="X159">
        <f>HYPERLINK("https://klasma.github.io/Logging_232361/tillsyn/A 25107-2025 tillsynsbegäran.docx", "A 25107-2025")</f>
        <v/>
      </c>
      <c r="Y159">
        <f>HYPERLINK("https://klasma.github.io/Logging_232361/tillsynsmail/A 25107-2025 tillsynsbegäran mail.docx", "A 25107-2025")</f>
        <v/>
      </c>
    </row>
    <row r="160" ht="15" customHeight="1">
      <c r="A160" t="inlineStr">
        <is>
          <t>A 28321-2019</t>
        </is>
      </c>
      <c r="B160" s="1" t="n">
        <v>43623</v>
      </c>
      <c r="C160" s="1" t="n">
        <v>45810</v>
      </c>
      <c r="D160" t="inlineStr">
        <is>
          <t>JÄMTLANDS LÄN</t>
        </is>
      </c>
      <c r="E160" t="inlineStr">
        <is>
          <t>HÄRJEDALEN</t>
        </is>
      </c>
      <c r="F160" t="inlineStr">
        <is>
          <t>Sveaskog</t>
        </is>
      </c>
      <c r="G160" t="n">
        <v>3.3</v>
      </c>
      <c r="H160" t="n">
        <v>0</v>
      </c>
      <c r="I160" t="n">
        <v>0</v>
      </c>
      <c r="J160" t="n">
        <v>2</v>
      </c>
      <c r="K160" t="n">
        <v>0</v>
      </c>
      <c r="L160" t="n">
        <v>0</v>
      </c>
      <c r="M160" t="n">
        <v>0</v>
      </c>
      <c r="N160" t="n">
        <v>0</v>
      </c>
      <c r="O160" t="n">
        <v>2</v>
      </c>
      <c r="P160" t="n">
        <v>0</v>
      </c>
      <c r="Q160" t="n">
        <v>2</v>
      </c>
      <c r="R160" s="2" t="inlineStr">
        <is>
          <t>Garnlav
Kolflarnlav</t>
        </is>
      </c>
      <c r="S160">
        <f>HYPERLINK("https://klasma.github.io/Logging_2361/artfynd/A 28321-2019 artfynd.xlsx", "A 28321-2019")</f>
        <v/>
      </c>
      <c r="T160">
        <f>HYPERLINK("https://klasma.github.io/Logging_2361/kartor/A 28321-2019 karta.png", "A 28321-2019")</f>
        <v/>
      </c>
      <c r="V160">
        <f>HYPERLINK("https://klasma.github.io/Logging_2361/klagomål/A 28321-2019 FSC-klagomål.docx", "A 28321-2019")</f>
        <v/>
      </c>
      <c r="W160">
        <f>HYPERLINK("https://klasma.github.io/Logging_2361/klagomålsmail/A 28321-2019 FSC-klagomål mail.docx", "A 28321-2019")</f>
        <v/>
      </c>
      <c r="X160">
        <f>HYPERLINK("https://klasma.github.io/Logging_2361/tillsyn/A 28321-2019 tillsynsbegäran.docx", "A 28321-2019")</f>
        <v/>
      </c>
      <c r="Y160">
        <f>HYPERLINK("https://klasma.github.io/Logging_2361/tillsynsmail/A 28321-2019 tillsynsbegäran mail.docx", "A 28321-2019")</f>
        <v/>
      </c>
    </row>
    <row r="161" ht="15" customHeight="1">
      <c r="A161" t="inlineStr">
        <is>
          <t>A 29265-2019</t>
        </is>
      </c>
      <c r="B161" s="1" t="n">
        <v>43629</v>
      </c>
      <c r="C161" s="1" t="n">
        <v>45810</v>
      </c>
      <c r="D161" t="inlineStr">
        <is>
          <t>JÄMTLANDS LÄN</t>
        </is>
      </c>
      <c r="E161" t="inlineStr">
        <is>
          <t>HÄRJEDALEN</t>
        </is>
      </c>
      <c r="F161" t="inlineStr">
        <is>
          <t>Holmen skog AB</t>
        </is>
      </c>
      <c r="G161" t="n">
        <v>2.2</v>
      </c>
      <c r="H161" t="n">
        <v>0</v>
      </c>
      <c r="I161" t="n">
        <v>0</v>
      </c>
      <c r="J161" t="n">
        <v>1</v>
      </c>
      <c r="K161" t="n">
        <v>1</v>
      </c>
      <c r="L161" t="n">
        <v>0</v>
      </c>
      <c r="M161" t="n">
        <v>0</v>
      </c>
      <c r="N161" t="n">
        <v>0</v>
      </c>
      <c r="O161" t="n">
        <v>2</v>
      </c>
      <c r="P161" t="n">
        <v>1</v>
      </c>
      <c r="Q161" t="n">
        <v>2</v>
      </c>
      <c r="R161" s="2" t="inlineStr">
        <is>
          <t>Goliatmusseron
Blå taggsvamp</t>
        </is>
      </c>
      <c r="S161">
        <f>HYPERLINK("https://klasma.github.io/Logging_2361/artfynd/A 29265-2019 artfynd.xlsx", "A 29265-2019")</f>
        <v/>
      </c>
      <c r="T161">
        <f>HYPERLINK("https://klasma.github.io/Logging_2361/kartor/A 29265-2019 karta.png", "A 29265-2019")</f>
        <v/>
      </c>
      <c r="V161">
        <f>HYPERLINK("https://klasma.github.io/Logging_2361/klagomål/A 29265-2019 FSC-klagomål.docx", "A 29265-2019")</f>
        <v/>
      </c>
      <c r="W161">
        <f>HYPERLINK("https://klasma.github.io/Logging_2361/klagomålsmail/A 29265-2019 FSC-klagomål mail.docx", "A 29265-2019")</f>
        <v/>
      </c>
      <c r="X161">
        <f>HYPERLINK("https://klasma.github.io/Logging_2361/tillsyn/A 29265-2019 tillsynsbegäran.docx", "A 29265-2019")</f>
        <v/>
      </c>
      <c r="Y161">
        <f>HYPERLINK("https://klasma.github.io/Logging_2361/tillsynsmail/A 29265-2019 tillsynsbegäran mail.docx", "A 29265-2019")</f>
        <v/>
      </c>
    </row>
    <row r="162" ht="15" customHeight="1">
      <c r="A162" t="inlineStr">
        <is>
          <t>A 32481-2019</t>
        </is>
      </c>
      <c r="B162" s="1" t="n">
        <v>43644</v>
      </c>
      <c r="C162" s="1" t="n">
        <v>45810</v>
      </c>
      <c r="D162" t="inlineStr">
        <is>
          <t>JÄMTLANDS LÄN</t>
        </is>
      </c>
      <c r="E162" t="inlineStr">
        <is>
          <t>HÄRJEDALEN</t>
        </is>
      </c>
      <c r="F162" t="inlineStr">
        <is>
          <t>SCA</t>
        </is>
      </c>
      <c r="G162" t="n">
        <v>2.3</v>
      </c>
      <c r="H162" t="n">
        <v>0</v>
      </c>
      <c r="I162" t="n">
        <v>0</v>
      </c>
      <c r="J162" t="n">
        <v>2</v>
      </c>
      <c r="K162" t="n">
        <v>0</v>
      </c>
      <c r="L162" t="n">
        <v>0</v>
      </c>
      <c r="M162" t="n">
        <v>0</v>
      </c>
      <c r="N162" t="n">
        <v>0</v>
      </c>
      <c r="O162" t="n">
        <v>2</v>
      </c>
      <c r="P162" t="n">
        <v>0</v>
      </c>
      <c r="Q162" t="n">
        <v>2</v>
      </c>
      <c r="R162" s="2" t="inlineStr">
        <is>
          <t>Blågrå svartspik
Mörk kolflarnlav</t>
        </is>
      </c>
      <c r="S162">
        <f>HYPERLINK("https://klasma.github.io/Logging_2361/artfynd/A 32481-2019 artfynd.xlsx", "A 32481-2019")</f>
        <v/>
      </c>
      <c r="T162">
        <f>HYPERLINK("https://klasma.github.io/Logging_2361/kartor/A 32481-2019 karta.png", "A 32481-2019")</f>
        <v/>
      </c>
      <c r="V162">
        <f>HYPERLINK("https://klasma.github.io/Logging_2361/klagomål/A 32481-2019 FSC-klagomål.docx", "A 32481-2019")</f>
        <v/>
      </c>
      <c r="W162">
        <f>HYPERLINK("https://klasma.github.io/Logging_2361/klagomålsmail/A 32481-2019 FSC-klagomål mail.docx", "A 32481-2019")</f>
        <v/>
      </c>
      <c r="X162">
        <f>HYPERLINK("https://klasma.github.io/Logging_2361/tillsyn/A 32481-2019 tillsynsbegäran.docx", "A 32481-2019")</f>
        <v/>
      </c>
      <c r="Y162">
        <f>HYPERLINK("https://klasma.github.io/Logging_2361/tillsynsmail/A 32481-2019 tillsynsbegäran mail.docx", "A 32481-2019")</f>
        <v/>
      </c>
    </row>
    <row r="163" ht="15" customHeight="1">
      <c r="A163" t="inlineStr">
        <is>
          <t>A 34268-2019</t>
        </is>
      </c>
      <c r="B163" s="1" t="n">
        <v>43655</v>
      </c>
      <c r="C163" s="1" t="n">
        <v>45810</v>
      </c>
      <c r="D163" t="inlineStr">
        <is>
          <t>JÄMTLANDS LÄN</t>
        </is>
      </c>
      <c r="E163" t="inlineStr">
        <is>
          <t>HÄRJEDALEN</t>
        </is>
      </c>
      <c r="F163" t="inlineStr">
        <is>
          <t>Bergvik skog väst AB</t>
        </is>
      </c>
      <c r="G163" t="n">
        <v>43.7</v>
      </c>
      <c r="H163" t="n">
        <v>1</v>
      </c>
      <c r="I163" t="n">
        <v>0</v>
      </c>
      <c r="J163" t="n">
        <v>2</v>
      </c>
      <c r="K163" t="n">
        <v>0</v>
      </c>
      <c r="L163" t="n">
        <v>0</v>
      </c>
      <c r="M163" t="n">
        <v>0</v>
      </c>
      <c r="N163" t="n">
        <v>0</v>
      </c>
      <c r="O163" t="n">
        <v>2</v>
      </c>
      <c r="P163" t="n">
        <v>0</v>
      </c>
      <c r="Q163" t="n">
        <v>2</v>
      </c>
      <c r="R163" s="2" t="inlineStr">
        <is>
          <t>Lunglav
Varglav</t>
        </is>
      </c>
      <c r="S163">
        <f>HYPERLINK("https://klasma.github.io/Logging_2361/artfynd/A 34268-2019 artfynd.xlsx", "A 34268-2019")</f>
        <v/>
      </c>
      <c r="T163">
        <f>HYPERLINK("https://klasma.github.io/Logging_2361/kartor/A 34268-2019 karta.png", "A 34268-2019")</f>
        <v/>
      </c>
      <c r="V163">
        <f>HYPERLINK("https://klasma.github.io/Logging_2361/klagomål/A 34268-2019 FSC-klagomål.docx", "A 34268-2019")</f>
        <v/>
      </c>
      <c r="W163">
        <f>HYPERLINK("https://klasma.github.io/Logging_2361/klagomålsmail/A 34268-2019 FSC-klagomål mail.docx", "A 34268-2019")</f>
        <v/>
      </c>
      <c r="X163">
        <f>HYPERLINK("https://klasma.github.io/Logging_2361/tillsyn/A 34268-2019 tillsynsbegäran.docx", "A 34268-2019")</f>
        <v/>
      </c>
      <c r="Y163">
        <f>HYPERLINK("https://klasma.github.io/Logging_2361/tillsynsmail/A 34268-2019 tillsynsbegäran mail.docx", "A 34268-2019")</f>
        <v/>
      </c>
    </row>
    <row r="164" ht="15" customHeight="1">
      <c r="A164" t="inlineStr">
        <is>
          <t>A 4356-2020</t>
        </is>
      </c>
      <c r="B164" s="1" t="n">
        <v>43857</v>
      </c>
      <c r="C164" s="1" t="n">
        <v>45810</v>
      </c>
      <c r="D164" t="inlineStr">
        <is>
          <t>JÄMTLANDS LÄN</t>
        </is>
      </c>
      <c r="E164" t="inlineStr">
        <is>
          <t>HÄRJEDALEN</t>
        </is>
      </c>
      <c r="F164" t="inlineStr">
        <is>
          <t>Bergvik skog väst AB</t>
        </is>
      </c>
      <c r="G164" t="n">
        <v>51.2</v>
      </c>
      <c r="H164" t="n">
        <v>1</v>
      </c>
      <c r="I164" t="n">
        <v>0</v>
      </c>
      <c r="J164" t="n">
        <v>2</v>
      </c>
      <c r="K164" t="n">
        <v>0</v>
      </c>
      <c r="L164" t="n">
        <v>0</v>
      </c>
      <c r="M164" t="n">
        <v>0</v>
      </c>
      <c r="N164" t="n">
        <v>0</v>
      </c>
      <c r="O164" t="n">
        <v>2</v>
      </c>
      <c r="P164" t="n">
        <v>0</v>
      </c>
      <c r="Q164" t="n">
        <v>2</v>
      </c>
      <c r="R164" s="2" t="inlineStr">
        <is>
          <t>Harticka
Tretåig hackspett</t>
        </is>
      </c>
      <c r="S164">
        <f>HYPERLINK("https://klasma.github.io/Logging_2361/artfynd/A 4356-2020 artfynd.xlsx", "A 4356-2020")</f>
        <v/>
      </c>
      <c r="T164">
        <f>HYPERLINK("https://klasma.github.io/Logging_2361/kartor/A 4356-2020 karta.png", "A 4356-2020")</f>
        <v/>
      </c>
      <c r="V164">
        <f>HYPERLINK("https://klasma.github.io/Logging_2361/klagomål/A 4356-2020 FSC-klagomål.docx", "A 4356-2020")</f>
        <v/>
      </c>
      <c r="W164">
        <f>HYPERLINK("https://klasma.github.io/Logging_2361/klagomålsmail/A 4356-2020 FSC-klagomål mail.docx", "A 4356-2020")</f>
        <v/>
      </c>
      <c r="X164">
        <f>HYPERLINK("https://klasma.github.io/Logging_2361/tillsyn/A 4356-2020 tillsynsbegäran.docx", "A 4356-2020")</f>
        <v/>
      </c>
      <c r="Y164">
        <f>HYPERLINK("https://klasma.github.io/Logging_2361/tillsynsmail/A 4356-2020 tillsynsbegäran mail.docx", "A 4356-2020")</f>
        <v/>
      </c>
      <c r="Z164">
        <f>HYPERLINK("https://klasma.github.io/Logging_2361/fåglar/A 4356-2020 prioriterade fågelarter.docx", "A 4356-2020")</f>
        <v/>
      </c>
    </row>
    <row r="165" ht="15" customHeight="1">
      <c r="A165" t="inlineStr">
        <is>
          <t>A 9510-2020</t>
        </is>
      </c>
      <c r="B165" s="1" t="n">
        <v>43880</v>
      </c>
      <c r="C165" s="1" t="n">
        <v>45810</v>
      </c>
      <c r="D165" t="inlineStr">
        <is>
          <t>JÄMTLANDS LÄN</t>
        </is>
      </c>
      <c r="E165" t="inlineStr">
        <is>
          <t>HÄRJEDALEN</t>
        </is>
      </c>
      <c r="F165" t="inlineStr">
        <is>
          <t>Bergvik skog väst AB</t>
        </is>
      </c>
      <c r="G165" t="n">
        <v>18.7</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HYPERLINK("https://klasma.github.io/Logging_2361/artfynd/A 9510-2020 artfynd.xlsx", "A 9510-2020")</f>
        <v/>
      </c>
      <c r="T165">
        <f>HYPERLINK("https://klasma.github.io/Logging_2361/kartor/A 9510-2020 karta.png", "A 9510-2020")</f>
        <v/>
      </c>
      <c r="V165">
        <f>HYPERLINK("https://klasma.github.io/Logging_2361/klagomål/A 9510-2020 FSC-klagomål.docx", "A 9510-2020")</f>
        <v/>
      </c>
      <c r="W165">
        <f>HYPERLINK("https://klasma.github.io/Logging_2361/klagomålsmail/A 9510-2020 FSC-klagomål mail.docx", "A 9510-2020")</f>
        <v/>
      </c>
      <c r="X165">
        <f>HYPERLINK("https://klasma.github.io/Logging_2361/tillsyn/A 9510-2020 tillsynsbegäran.docx", "A 9510-2020")</f>
        <v/>
      </c>
      <c r="Y165">
        <f>HYPERLINK("https://klasma.github.io/Logging_2361/tillsynsmail/A 9510-2020 tillsynsbegäran mail.docx", "A 9510-2020")</f>
        <v/>
      </c>
      <c r="Z165">
        <f>HYPERLINK("https://klasma.github.io/Logging_2361/fåglar/A 9510-2020 prioriterade fågelarter.docx", "A 9510-2020")</f>
        <v/>
      </c>
    </row>
    <row r="166" ht="15" customHeight="1">
      <c r="A166" t="inlineStr">
        <is>
          <t>A 12954-2020</t>
        </is>
      </c>
      <c r="B166" s="1" t="n">
        <v>43900</v>
      </c>
      <c r="C166" s="1" t="n">
        <v>45810</v>
      </c>
      <c r="D166" t="inlineStr">
        <is>
          <t>JÄMTLANDS LÄN</t>
        </is>
      </c>
      <c r="E166" t="inlineStr">
        <is>
          <t>HÄRJEDALEN</t>
        </is>
      </c>
      <c r="F166" t="inlineStr">
        <is>
          <t>Bergvik skog väst AB</t>
        </is>
      </c>
      <c r="G166" t="n">
        <v>12.1</v>
      </c>
      <c r="H166" t="n">
        <v>0</v>
      </c>
      <c r="I166" t="n">
        <v>2</v>
      </c>
      <c r="J166" t="n">
        <v>0</v>
      </c>
      <c r="K166" t="n">
        <v>0</v>
      </c>
      <c r="L166" t="n">
        <v>0</v>
      </c>
      <c r="M166" t="n">
        <v>0</v>
      </c>
      <c r="N166" t="n">
        <v>0</v>
      </c>
      <c r="O166" t="n">
        <v>0</v>
      </c>
      <c r="P166" t="n">
        <v>0</v>
      </c>
      <c r="Q166" t="n">
        <v>2</v>
      </c>
      <c r="R166" s="2" t="inlineStr">
        <is>
          <t>Blodticka
Vedticka</t>
        </is>
      </c>
      <c r="S166">
        <f>HYPERLINK("https://klasma.github.io/Logging_2361/artfynd/A 12954-2020 artfynd.xlsx", "A 12954-2020")</f>
        <v/>
      </c>
      <c r="T166">
        <f>HYPERLINK("https://klasma.github.io/Logging_2361/kartor/A 12954-2020 karta.png", "A 12954-2020")</f>
        <v/>
      </c>
      <c r="V166">
        <f>HYPERLINK("https://klasma.github.io/Logging_2361/klagomål/A 12954-2020 FSC-klagomål.docx", "A 12954-2020")</f>
        <v/>
      </c>
      <c r="W166">
        <f>HYPERLINK("https://klasma.github.io/Logging_2361/klagomålsmail/A 12954-2020 FSC-klagomål mail.docx", "A 12954-2020")</f>
        <v/>
      </c>
      <c r="X166">
        <f>HYPERLINK("https://klasma.github.io/Logging_2361/tillsyn/A 12954-2020 tillsynsbegäran.docx", "A 12954-2020")</f>
        <v/>
      </c>
      <c r="Y166">
        <f>HYPERLINK("https://klasma.github.io/Logging_2361/tillsynsmail/A 12954-2020 tillsynsbegäran mail.docx", "A 12954-2020")</f>
        <v/>
      </c>
    </row>
    <row r="167" ht="15" customHeight="1">
      <c r="A167" t="inlineStr">
        <is>
          <t>A 34191-2020</t>
        </is>
      </c>
      <c r="B167" s="1" t="n">
        <v>44029</v>
      </c>
      <c r="C167" s="1" t="n">
        <v>45810</v>
      </c>
      <c r="D167" t="inlineStr">
        <is>
          <t>JÄMTLANDS LÄN</t>
        </is>
      </c>
      <c r="E167" t="inlineStr">
        <is>
          <t>HÄRJEDALEN</t>
        </is>
      </c>
      <c r="F167" t="inlineStr">
        <is>
          <t>Holmen skog AB</t>
        </is>
      </c>
      <c r="G167" t="n">
        <v>2.2</v>
      </c>
      <c r="H167" t="n">
        <v>0</v>
      </c>
      <c r="I167" t="n">
        <v>0</v>
      </c>
      <c r="J167" t="n">
        <v>2</v>
      </c>
      <c r="K167" t="n">
        <v>0</v>
      </c>
      <c r="L167" t="n">
        <v>0</v>
      </c>
      <c r="M167" t="n">
        <v>0</v>
      </c>
      <c r="N167" t="n">
        <v>0</v>
      </c>
      <c r="O167" t="n">
        <v>2</v>
      </c>
      <c r="P167" t="n">
        <v>0</v>
      </c>
      <c r="Q167" t="n">
        <v>2</v>
      </c>
      <c r="R167" s="2" t="inlineStr">
        <is>
          <t>Dvärgbägarlav
Lunglav</t>
        </is>
      </c>
      <c r="S167">
        <f>HYPERLINK("https://klasma.github.io/Logging_2361/artfynd/A 34191-2020 artfynd.xlsx", "A 34191-2020")</f>
        <v/>
      </c>
      <c r="T167">
        <f>HYPERLINK("https://klasma.github.io/Logging_2361/kartor/A 34191-2020 karta.png", "A 34191-2020")</f>
        <v/>
      </c>
      <c r="V167">
        <f>HYPERLINK("https://klasma.github.io/Logging_2361/klagomål/A 34191-2020 FSC-klagomål.docx", "A 34191-2020")</f>
        <v/>
      </c>
      <c r="W167">
        <f>HYPERLINK("https://klasma.github.io/Logging_2361/klagomålsmail/A 34191-2020 FSC-klagomål mail.docx", "A 34191-2020")</f>
        <v/>
      </c>
      <c r="X167">
        <f>HYPERLINK("https://klasma.github.io/Logging_2361/tillsyn/A 34191-2020 tillsynsbegäran.docx", "A 34191-2020")</f>
        <v/>
      </c>
      <c r="Y167">
        <f>HYPERLINK("https://klasma.github.io/Logging_2361/tillsynsmail/A 34191-2020 tillsynsbegäran mail.docx", "A 34191-2020")</f>
        <v/>
      </c>
    </row>
    <row r="168" ht="15" customHeight="1">
      <c r="A168" t="inlineStr">
        <is>
          <t>A 35160-2020</t>
        </is>
      </c>
      <c r="B168" s="1" t="n">
        <v>44040</v>
      </c>
      <c r="C168" s="1" t="n">
        <v>45810</v>
      </c>
      <c r="D168" t="inlineStr">
        <is>
          <t>JÄMTLANDS LÄN</t>
        </is>
      </c>
      <c r="E168" t="inlineStr">
        <is>
          <t>HÄRJEDALEN</t>
        </is>
      </c>
      <c r="F168" t="inlineStr">
        <is>
          <t>Bergvik skog väst AB</t>
        </is>
      </c>
      <c r="G168" t="n">
        <v>2.2</v>
      </c>
      <c r="H168" t="n">
        <v>0</v>
      </c>
      <c r="I168" t="n">
        <v>1</v>
      </c>
      <c r="J168" t="n">
        <v>1</v>
      </c>
      <c r="K168" t="n">
        <v>0</v>
      </c>
      <c r="L168" t="n">
        <v>0</v>
      </c>
      <c r="M168" t="n">
        <v>0</v>
      </c>
      <c r="N168" t="n">
        <v>0</v>
      </c>
      <c r="O168" t="n">
        <v>1</v>
      </c>
      <c r="P168" t="n">
        <v>0</v>
      </c>
      <c r="Q168" t="n">
        <v>2</v>
      </c>
      <c r="R168" s="2" t="inlineStr">
        <is>
          <t>Dvärgbägarlav
Dropptaggsvamp</t>
        </is>
      </c>
      <c r="S168">
        <f>HYPERLINK("https://klasma.github.io/Logging_2361/artfynd/A 35160-2020 artfynd.xlsx", "A 35160-2020")</f>
        <v/>
      </c>
      <c r="T168">
        <f>HYPERLINK("https://klasma.github.io/Logging_2361/kartor/A 35160-2020 karta.png", "A 35160-2020")</f>
        <v/>
      </c>
      <c r="V168">
        <f>HYPERLINK("https://klasma.github.io/Logging_2361/klagomål/A 35160-2020 FSC-klagomål.docx", "A 35160-2020")</f>
        <v/>
      </c>
      <c r="W168">
        <f>HYPERLINK("https://klasma.github.io/Logging_2361/klagomålsmail/A 35160-2020 FSC-klagomål mail.docx", "A 35160-2020")</f>
        <v/>
      </c>
      <c r="X168">
        <f>HYPERLINK("https://klasma.github.io/Logging_2361/tillsyn/A 35160-2020 tillsynsbegäran.docx", "A 35160-2020")</f>
        <v/>
      </c>
      <c r="Y168">
        <f>HYPERLINK("https://klasma.github.io/Logging_2361/tillsynsmail/A 35160-2020 tillsynsbegäran mail.docx", "A 35160-2020")</f>
        <v/>
      </c>
    </row>
    <row r="169" ht="15" customHeight="1">
      <c r="A169" t="inlineStr">
        <is>
          <t>A 68856-2020</t>
        </is>
      </c>
      <c r="B169" s="1" t="n">
        <v>44186</v>
      </c>
      <c r="C169" s="1" t="n">
        <v>45810</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68856-2020 artfynd.xlsx", "A 68856-2020")</f>
        <v/>
      </c>
      <c r="T169">
        <f>HYPERLINK("https://klasma.github.io/Logging_2361/kartor/A 68856-2020 karta.png", "A 68856-2020")</f>
        <v/>
      </c>
      <c r="V169">
        <f>HYPERLINK("https://klasma.github.io/Logging_2361/klagomål/A 68856-2020 FSC-klagomål.docx", "A 68856-2020")</f>
        <v/>
      </c>
      <c r="W169">
        <f>HYPERLINK("https://klasma.github.io/Logging_2361/klagomålsmail/A 68856-2020 FSC-klagomål mail.docx", "A 68856-2020")</f>
        <v/>
      </c>
      <c r="X169">
        <f>HYPERLINK("https://klasma.github.io/Logging_2361/tillsyn/A 68856-2020 tillsynsbegäran.docx", "A 68856-2020")</f>
        <v/>
      </c>
      <c r="Y169">
        <f>HYPERLINK("https://klasma.github.io/Logging_2361/tillsynsmail/A 68856-2020 tillsynsbegäran mail.docx", "A 68856-2020")</f>
        <v/>
      </c>
    </row>
    <row r="170" ht="15" customHeight="1">
      <c r="A170" t="inlineStr">
        <is>
          <t>A 3699-2021</t>
        </is>
      </c>
      <c r="B170" s="1" t="n">
        <v>44221</v>
      </c>
      <c r="C170" s="1" t="n">
        <v>45810</v>
      </c>
      <c r="D170" t="inlineStr">
        <is>
          <t>JÄMTLANDS LÄN</t>
        </is>
      </c>
      <c r="E170" t="inlineStr">
        <is>
          <t>HÄRJEDALEN</t>
        </is>
      </c>
      <c r="G170" t="n">
        <v>10.1</v>
      </c>
      <c r="H170" t="n">
        <v>0</v>
      </c>
      <c r="I170" t="n">
        <v>0</v>
      </c>
      <c r="J170" t="n">
        <v>0</v>
      </c>
      <c r="K170" t="n">
        <v>2</v>
      </c>
      <c r="L170" t="n">
        <v>0</v>
      </c>
      <c r="M170" t="n">
        <v>0</v>
      </c>
      <c r="N170" t="n">
        <v>0</v>
      </c>
      <c r="O170" t="n">
        <v>2</v>
      </c>
      <c r="P170" t="n">
        <v>2</v>
      </c>
      <c r="Q170" t="n">
        <v>2</v>
      </c>
      <c r="R170" s="2" t="inlineStr">
        <is>
          <t>Fläckporing
Gräddporing</t>
        </is>
      </c>
      <c r="S170">
        <f>HYPERLINK("https://klasma.github.io/Logging_2361/artfynd/A 3699-2021 artfynd.xlsx", "A 3699-2021")</f>
        <v/>
      </c>
      <c r="T170">
        <f>HYPERLINK("https://klasma.github.io/Logging_2361/kartor/A 3699-2021 karta.png", "A 3699-2021")</f>
        <v/>
      </c>
      <c r="V170">
        <f>HYPERLINK("https://klasma.github.io/Logging_2361/klagomål/A 3699-2021 FSC-klagomål.docx", "A 3699-2021")</f>
        <v/>
      </c>
      <c r="W170">
        <f>HYPERLINK("https://klasma.github.io/Logging_2361/klagomålsmail/A 3699-2021 FSC-klagomål mail.docx", "A 3699-2021")</f>
        <v/>
      </c>
      <c r="X170">
        <f>HYPERLINK("https://klasma.github.io/Logging_2361/tillsyn/A 3699-2021 tillsynsbegäran.docx", "A 3699-2021")</f>
        <v/>
      </c>
      <c r="Y170">
        <f>HYPERLINK("https://klasma.github.io/Logging_2361/tillsynsmail/A 3699-2021 tillsynsbegäran mail.docx", "A 3699-2021")</f>
        <v/>
      </c>
    </row>
    <row r="171" ht="15" customHeight="1">
      <c r="A171" t="inlineStr">
        <is>
          <t>A 15679-2021</t>
        </is>
      </c>
      <c r="B171" s="1" t="n">
        <v>44286</v>
      </c>
      <c r="C171" s="1" t="n">
        <v>45810</v>
      </c>
      <c r="D171" t="inlineStr">
        <is>
          <t>JÄMTLANDS LÄN</t>
        </is>
      </c>
      <c r="E171" t="inlineStr">
        <is>
          <t>HÄRJEDALEN</t>
        </is>
      </c>
      <c r="G171" t="n">
        <v>20.9</v>
      </c>
      <c r="H171" t="n">
        <v>0</v>
      </c>
      <c r="I171" t="n">
        <v>0</v>
      </c>
      <c r="J171" t="n">
        <v>2</v>
      </c>
      <c r="K171" t="n">
        <v>0</v>
      </c>
      <c r="L171" t="n">
        <v>0</v>
      </c>
      <c r="M171" t="n">
        <v>0</v>
      </c>
      <c r="N171" t="n">
        <v>0</v>
      </c>
      <c r="O171" t="n">
        <v>2</v>
      </c>
      <c r="P171" t="n">
        <v>0</v>
      </c>
      <c r="Q171" t="n">
        <v>2</v>
      </c>
      <c r="R171" s="2" t="inlineStr">
        <is>
          <t>Gränsticka
Hornvaxskinn</t>
        </is>
      </c>
      <c r="S171">
        <f>HYPERLINK("https://klasma.github.io/Logging_2361/artfynd/A 15679-2021 artfynd.xlsx", "A 15679-2021")</f>
        <v/>
      </c>
      <c r="T171">
        <f>HYPERLINK("https://klasma.github.io/Logging_2361/kartor/A 15679-2021 karta.png", "A 15679-2021")</f>
        <v/>
      </c>
      <c r="V171">
        <f>HYPERLINK("https://klasma.github.io/Logging_2361/klagomål/A 15679-2021 FSC-klagomål.docx", "A 15679-2021")</f>
        <v/>
      </c>
      <c r="W171">
        <f>HYPERLINK("https://klasma.github.io/Logging_2361/klagomålsmail/A 15679-2021 FSC-klagomål mail.docx", "A 15679-2021")</f>
        <v/>
      </c>
      <c r="X171">
        <f>HYPERLINK("https://klasma.github.io/Logging_2361/tillsyn/A 15679-2021 tillsynsbegäran.docx", "A 15679-2021")</f>
        <v/>
      </c>
      <c r="Y171">
        <f>HYPERLINK("https://klasma.github.io/Logging_2361/tillsynsmail/A 15679-2021 tillsynsbegäran mail.docx", "A 15679-2021")</f>
        <v/>
      </c>
    </row>
    <row r="172" ht="15" customHeight="1">
      <c r="A172" t="inlineStr">
        <is>
          <t>A 48065-2021</t>
        </is>
      </c>
      <c r="B172" s="1" t="n">
        <v>44449</v>
      </c>
      <c r="C172" s="1" t="n">
        <v>45810</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45810</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45810</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45810</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45810</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45810</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45810</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45810</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45810</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45810</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45810</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45810</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45810</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45810</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45810</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45810</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45810</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45810</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45810</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45810</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45810</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45810</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45810</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45810</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45810</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45810</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45810</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45810</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45810</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45810</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22513-2025</t>
        </is>
      </c>
      <c r="B202" s="1" t="n">
        <v>45786</v>
      </c>
      <c r="C202" s="1" t="n">
        <v>45810</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22513-2025 artfynd.xlsx", "A 22513-2025")</f>
        <v/>
      </c>
      <c r="T202">
        <f>HYPERLINK("https://klasma.github.io/Logging_232361/kartor/A 22513-2025 karta.png", "A 22513-2025")</f>
        <v/>
      </c>
      <c r="V202">
        <f>HYPERLINK("https://klasma.github.io/Logging_232361/klagomål/A 22513-2025 FSC-klagomål.docx", "A 22513-2025")</f>
        <v/>
      </c>
      <c r="W202">
        <f>HYPERLINK("https://klasma.github.io/Logging_232361/klagomålsmail/A 22513-2025 FSC-klagomål mail.docx", "A 22513-2025")</f>
        <v/>
      </c>
      <c r="X202">
        <f>HYPERLINK("https://klasma.github.io/Logging_232361/tillsyn/A 22513-2025 tillsynsbegäran.docx", "A 22513-2025")</f>
        <v/>
      </c>
      <c r="Y202">
        <f>HYPERLINK("https://klasma.github.io/Logging_232361/tillsynsmail/A 22513-2025 tillsynsbegäran mail.docx", "A 22513-2025")</f>
        <v/>
      </c>
    </row>
    <row r="203" ht="15" customHeight="1">
      <c r="A203" t="inlineStr">
        <is>
          <t>A 22501-2025</t>
        </is>
      </c>
      <c r="B203" s="1" t="n">
        <v>45786</v>
      </c>
      <c r="C203" s="1" t="n">
        <v>45810</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22501-2025 artfynd.xlsx", "A 22501-2025")</f>
        <v/>
      </c>
      <c r="T203">
        <f>HYPERLINK("https://klasma.github.io/Logging_232361/kartor/A 22501-2025 karta.png", "A 22501-2025")</f>
        <v/>
      </c>
      <c r="V203">
        <f>HYPERLINK("https://klasma.github.io/Logging_232361/klagomål/A 22501-2025 FSC-klagomål.docx", "A 22501-2025")</f>
        <v/>
      </c>
      <c r="W203">
        <f>HYPERLINK("https://klasma.github.io/Logging_232361/klagomålsmail/A 22501-2025 FSC-klagomål mail.docx", "A 22501-2025")</f>
        <v/>
      </c>
      <c r="X203">
        <f>HYPERLINK("https://klasma.github.io/Logging_232361/tillsyn/A 22501-2025 tillsynsbegäran.docx", "A 22501-2025")</f>
        <v/>
      </c>
      <c r="Y203">
        <f>HYPERLINK("https://klasma.github.io/Logging_232361/tillsynsmail/A 22501-2025 tillsynsbegäran mail.docx", "A 22501-2025")</f>
        <v/>
      </c>
    </row>
    <row r="204" ht="15" customHeight="1">
      <c r="A204" t="inlineStr">
        <is>
          <t>A 22494-2025</t>
        </is>
      </c>
      <c r="B204" s="1" t="n">
        <v>45786</v>
      </c>
      <c r="C204" s="1" t="n">
        <v>45810</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22494-2025 artfynd.xlsx", "A 22494-2025")</f>
        <v/>
      </c>
      <c r="T204">
        <f>HYPERLINK("https://klasma.github.io/Logging_232361/kartor/A 22494-2025 karta.png", "A 22494-2025")</f>
        <v/>
      </c>
      <c r="V204">
        <f>HYPERLINK("https://klasma.github.io/Logging_232361/klagomål/A 22494-2025 FSC-klagomål.docx", "A 22494-2025")</f>
        <v/>
      </c>
      <c r="W204">
        <f>HYPERLINK("https://klasma.github.io/Logging_232361/klagomålsmail/A 22494-2025 FSC-klagomål mail.docx", "A 22494-2025")</f>
        <v/>
      </c>
      <c r="X204">
        <f>HYPERLINK("https://klasma.github.io/Logging_232361/tillsyn/A 22494-2025 tillsynsbegäran.docx", "A 22494-2025")</f>
        <v/>
      </c>
      <c r="Y204">
        <f>HYPERLINK("https://klasma.github.io/Logging_232361/tillsynsmail/A 22494-2025 tillsynsbegäran mail.docx", "A 22494-2025")</f>
        <v/>
      </c>
    </row>
    <row r="205" ht="15" customHeight="1">
      <c r="A205" t="inlineStr">
        <is>
          <t>A 22511-2025</t>
        </is>
      </c>
      <c r="B205" s="1" t="n">
        <v>45786</v>
      </c>
      <c r="C205" s="1" t="n">
        <v>45810</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22511-2025 artfynd.xlsx", "A 22511-2025")</f>
        <v/>
      </c>
      <c r="T205">
        <f>HYPERLINK("https://klasma.github.io/Logging_232361/kartor/A 22511-2025 karta.png", "A 22511-2025")</f>
        <v/>
      </c>
      <c r="V205">
        <f>HYPERLINK("https://klasma.github.io/Logging_232361/klagomål/A 22511-2025 FSC-klagomål.docx", "A 22511-2025")</f>
        <v/>
      </c>
      <c r="W205">
        <f>HYPERLINK("https://klasma.github.io/Logging_232361/klagomålsmail/A 22511-2025 FSC-klagomål mail.docx", "A 22511-2025")</f>
        <v/>
      </c>
      <c r="X205">
        <f>HYPERLINK("https://klasma.github.io/Logging_232361/tillsyn/A 22511-2025 tillsynsbegäran.docx", "A 22511-2025")</f>
        <v/>
      </c>
      <c r="Y205">
        <f>HYPERLINK("https://klasma.github.io/Logging_232361/tillsynsmail/A 22511-2025 tillsynsbegäran mail.docx", "A 22511-2025")</f>
        <v/>
      </c>
    </row>
    <row r="206" ht="15" customHeight="1">
      <c r="A206" t="inlineStr">
        <is>
          <t>A 22508-2025</t>
        </is>
      </c>
      <c r="B206" s="1" t="n">
        <v>45786</v>
      </c>
      <c r="C206" s="1" t="n">
        <v>45810</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22508-2025 artfynd.xlsx", "A 22508-2025")</f>
        <v/>
      </c>
      <c r="T206">
        <f>HYPERLINK("https://klasma.github.io/Logging_232361/kartor/A 22508-2025 karta.png", "A 22508-2025")</f>
        <v/>
      </c>
      <c r="V206">
        <f>HYPERLINK("https://klasma.github.io/Logging_232361/klagomål/A 22508-2025 FSC-klagomål.docx", "A 22508-2025")</f>
        <v/>
      </c>
      <c r="W206">
        <f>HYPERLINK("https://klasma.github.io/Logging_232361/klagomålsmail/A 22508-2025 FSC-klagomål mail.docx", "A 22508-2025")</f>
        <v/>
      </c>
      <c r="X206">
        <f>HYPERLINK("https://klasma.github.io/Logging_232361/tillsyn/A 22508-2025 tillsynsbegäran.docx", "A 22508-2025")</f>
        <v/>
      </c>
      <c r="Y206">
        <f>HYPERLINK("https://klasma.github.io/Logging_232361/tillsynsmail/A 22508-2025 tillsynsbegäran mail.docx", "A 22508-2025")</f>
        <v/>
      </c>
    </row>
    <row r="207" ht="15" customHeight="1">
      <c r="A207" t="inlineStr">
        <is>
          <t>A 22512-2025</t>
        </is>
      </c>
      <c r="B207" s="1" t="n">
        <v>45786</v>
      </c>
      <c r="C207" s="1" t="n">
        <v>45810</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22512-2025 artfynd.xlsx", "A 22512-2025")</f>
        <v/>
      </c>
      <c r="T207">
        <f>HYPERLINK("https://klasma.github.io/Logging_232361/kartor/A 22512-2025 karta.png", "A 22512-2025")</f>
        <v/>
      </c>
      <c r="V207">
        <f>HYPERLINK("https://klasma.github.io/Logging_232361/klagomål/A 22512-2025 FSC-klagomål.docx", "A 22512-2025")</f>
        <v/>
      </c>
      <c r="W207">
        <f>HYPERLINK("https://klasma.github.io/Logging_232361/klagomålsmail/A 22512-2025 FSC-klagomål mail.docx", "A 22512-2025")</f>
        <v/>
      </c>
      <c r="X207">
        <f>HYPERLINK("https://klasma.github.io/Logging_232361/tillsyn/A 22512-2025 tillsynsbegäran.docx", "A 22512-2025")</f>
        <v/>
      </c>
      <c r="Y207">
        <f>HYPERLINK("https://klasma.github.io/Logging_232361/tillsynsmail/A 22512-2025 tillsynsbegäran mail.docx", "A 22512-2025")</f>
        <v/>
      </c>
    </row>
    <row r="208" ht="15" customHeight="1">
      <c r="A208" t="inlineStr">
        <is>
          <t>A 45781-2019</t>
        </is>
      </c>
      <c r="B208" s="1" t="n">
        <v>43717</v>
      </c>
      <c r="C208" s="1" t="n">
        <v>45810</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45810</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45810</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45810</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45810</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45810</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45810</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45810</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45810</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45810</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45810</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45810</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45810</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45810</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45810</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45810</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45810</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45810</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45810</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45810</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45810</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45810</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45810</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45810</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45810</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45810</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45810</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45810</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45810</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45810</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45810</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45810</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45810</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45810</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45810</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45810</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45810</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45810</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45810</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45810</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45810</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45810</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45810</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45810</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45810</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45810</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45810</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45810</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45810</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45810</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45810</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45810</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45810</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45810</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45810</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45810</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45810</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45810</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45810</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45810</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45810</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45810</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45810</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45810</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45810</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45810</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45810</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45810</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45810</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45810</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45810</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45810</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45810</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45810</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45810</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45810</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45810</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45810</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45810</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45810</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45810</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45810</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45810</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45810</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45810</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45810</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45810</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45810</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45810</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45810</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45810</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45810</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45810</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45810</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45810</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45810</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45810</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45810</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45810</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45810</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45810</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45810</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45810</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45810</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45810</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45810</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45810</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45810</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45810</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45810</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45810</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45810</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45810</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45810</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45810</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45810</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45810</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45810</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45810</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45810</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45810</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45810</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45810</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45810</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45810</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45810</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45810</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45810</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45810</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45810</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45810</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45810</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45810</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45810</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45810</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45810</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45810</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45810</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45810</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45810</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45810</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45810</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45810</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45810</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45810</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45810</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45810</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45810</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45810</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45810</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45810</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45810</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45810</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45810</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45810</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45810</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45810</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45810</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45810</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45810</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45810</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45810</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45810</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45810</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45810</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45810</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45810</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45810</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45810</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45810</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45810</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45810</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45810</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45810</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45810</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45810</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45810</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45810</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45810</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45810</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45810</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45810</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45810</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45810</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45810</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45810</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45810</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45810</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45810</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45810</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45810</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45810</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45810</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45810</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45810</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45810</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45810</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45810</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45810</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45810</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45810</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45810</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45810</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45810</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45810</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45810</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45810</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45810</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45810</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45810</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45810</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45810</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45810</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45810</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45810</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45810</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45810</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45810</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45810</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45810</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45810</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45810</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45810</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45810</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45810</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45810</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45810</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45810</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45810</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45810</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45810</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45810</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45810</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45810</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45810</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45810</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45810</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45810</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45810</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45810</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45810</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45810</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45810</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45810</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45810</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45810</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45810</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45810</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45810</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45810</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45810</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45810</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45810</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45810</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45810</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45810</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45810</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45810</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45810</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45810</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45810</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45810</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45810</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45810</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45810</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45810</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45810</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45810</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45810</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45810</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45810</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45810</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45810</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45810</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45810</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45810</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45810</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45810</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45810</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45810</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45810</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45810</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45810</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45810</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45810</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45810</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45810</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45810</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45810</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45810</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45810</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45810</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45810</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45810</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45810</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45810</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45810</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45810</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45810</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45810</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45810</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45810</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45810</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45810</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45810</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45810</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45810</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45810</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45810</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45810</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45810</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45810</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45810</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45810</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45810</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45810</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45810</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45810</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45810</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45810</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45810</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45810</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45810</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45810</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45810</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45810</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45810</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45810</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45810</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45810</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45810</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45810</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45810</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45810</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45810</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45810</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45810</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45810</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45810</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45810</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45810</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45810</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45810</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45810</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45810</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45810</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45810</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45810</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45810</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45810</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45810</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45810</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45810</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45810</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45810</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45810</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45810</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45810</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45810</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45810</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45810</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45810</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45810</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45810</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45810</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45810</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45810</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45810</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45810</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45810</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45810</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45810</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45810</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45810</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45810</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45810</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45810</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45810</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45810</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45810</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45810</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45810</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45810</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45810</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45810</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45810</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45810</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45810</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45810</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45810</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45810</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45810</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45810</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45810</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45810</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45810</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45810</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45810</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45810</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45810</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45810</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45810</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45810</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45810</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45810</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45810</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45810</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45810</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45810</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45810</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45810</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45810</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45810</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45810</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45810</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45810</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45810</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45810</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45810</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45810</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45810</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45810</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45810</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45810</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45810</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45810</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45810</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45810</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45810</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45810</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45810</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45810</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45810</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45810</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45810</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45810</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45810</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45810</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45810</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45810</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45810</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45810</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45810</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45810</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45810</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45810</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45810</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45810</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45810</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45810</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45810</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45810</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45810</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45810</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45810</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45810</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45810</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45810</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45810</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45810</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45810</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45810</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45810</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45810</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45810</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45810</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45810</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45810</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45810</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45810</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45810</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45810</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45810</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45810</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45810</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45810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45810</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45810</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45810</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45810</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45810</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45810</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45810</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45810</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45810</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45810</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45810</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45810</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45810</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45810</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45810</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45810</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45810</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45810</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45810</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45810</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45810</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45810</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45810</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45810</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45810</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45810</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45810</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45810</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45810</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45810</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45810</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45810</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45810</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45810</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45810</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45810</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45810</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45810</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45810</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45810</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45810</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45810</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45810</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45810</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45810</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45810</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45810</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45810</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45810</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45810</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45810</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45810</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45810</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45810</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45810</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45810</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45810</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45810</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45810</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45810</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45810</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45810</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45810</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45810</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45810</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45810</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45810</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45810</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45810</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45810</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45810</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45810</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45810</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45810</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45810</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45810</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45810</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45810</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45810</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45810</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45810</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45810</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45810</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45810</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45810</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45810</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45810</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45810</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45810</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45810</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45810</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45810</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45810</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45810</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45810</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45810</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45810</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45810</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45810</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45810</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45810</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45810</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45810</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45810</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45810</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45810</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45810</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45810</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45810</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45810</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45810</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45810</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45810</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45810</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45810</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45810</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45810</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45810</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45810</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45810</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45810</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45810</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45810</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45810</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45810</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45810</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45810</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45810</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45810</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45810</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45810</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45810</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45810</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45810</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45810</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45810</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45810</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45810</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45810</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45810</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45810</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45810</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45810</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45810</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45810</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45810</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45810</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45810</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45810</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45810</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45810</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45810</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45810</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45810</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45810</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45810</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45810</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45810</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45810</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45810</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45810</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45810</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45810</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45810</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45810</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45810</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45810</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45810</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45810</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45810</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45810</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45810</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45810</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45810</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45810</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45810</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45810</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45810</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45810</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45810</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45810</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45810</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45810</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45810</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45810</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45810</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45810</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45810</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45810</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45810</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45810</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45810</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45810</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45810</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45810</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45810</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45810</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45810</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45810</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45810</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45810</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45810</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45810</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45810</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45810</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45810</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45810</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45810</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45810</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45810</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45810</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45810</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45810</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45810</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45810</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45810</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45810</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45810</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45810</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45810</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45810</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45810</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45810</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45810</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45810</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45810</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45810</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45810</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45810</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45810</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45810</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45810</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45810</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45810</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45810</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45810</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45810</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45810</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45810</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45810</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45810</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45810</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45810</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45810</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45810</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45810</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45810</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45810</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45810</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45810</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45810</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45810</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45810</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45810</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45810</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45810</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45810</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45810</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45810</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45810</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45810</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45810</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45810</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45810</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45810</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45810</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45810</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45810</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45810</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45810</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45810</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45810</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45810</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45810</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45810</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45810</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45810</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45810</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45810</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45810</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45810</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45810</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45810</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45810</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45810</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45810</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45810</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45810</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45810</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45810</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45810</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45810</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45810</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45810</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45810</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45810</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45810</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45810</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45810</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45810</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45810</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45810</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45810</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45810</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45810</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45810</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45810</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45810</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45810</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45810</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45810</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45810</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45810</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45810</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45810</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45810</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45810</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45810</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45810</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45810</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45810</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45810</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45810</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45810</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45810</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45810</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45810</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45810</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45810</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45810</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45810</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45810</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45810</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45810</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45810</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45810</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45810</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45810</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45810</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45810</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45810</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45810</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45810</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45810</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45810</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45810</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45810</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45810</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45810</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45810</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45810</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45810</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45810</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45810</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45810</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45810</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45810</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45810</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45810</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45810</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45810</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45810</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45810</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45810</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45810</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45810</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45810</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45810</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45810</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45810</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45810</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45810</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45810</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45810</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45810</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45810</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45810</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45810</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45810</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45810</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45810</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45810</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45810</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45810</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45810</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45810</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45810</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45810</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45810</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45810</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45810</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45810</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45810</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45810</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45810</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45810</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45810</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45810</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45810</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45810</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45810</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45810</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45810</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45810</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45810</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45810</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45810</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45810</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45810</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45810</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45810</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45810</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45810</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45810</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45810</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45810</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45810</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45810</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45810</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45810</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45810</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45810</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45810</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45810</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45810</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45810</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45810</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45810</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45810</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45810</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45810</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45810</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45810</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45810</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45810</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45810</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45810</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45810</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45810</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45810</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45810</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45810</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45810</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45810</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45810</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45810</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45810</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45810</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45810</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45810</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45810</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45810</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45810</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45810</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45810</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45810</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45810</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45810</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45810</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45810</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45810</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45810</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45810</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45810</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45810</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45810</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45810</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45810</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45810</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45810</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45810</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45810</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45810</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45810</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45810</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45810</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45810</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45810</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45810</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45810</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45810</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45810</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45810</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45810</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45810</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45810</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45810</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45810</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45810</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45810</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45810</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45810</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45810</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45810</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45810</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45810</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45810</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45810</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45810</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45810</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45810</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45810</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45810</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45810</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45810</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45810</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45810</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45810</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45810</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45810</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45810</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45810</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45810</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45810</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45810</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45810</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45810</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45810</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45810</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45810</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45810</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45810</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45810</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45810</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45810</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45810</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45810</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45810</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45810</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45810</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45810</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45810</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45810</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45810</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45810</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45810</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45810</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45810</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45810</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45810</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45810</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45810</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45810</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45810</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45810</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45810</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45810</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45810</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45810</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45810</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45810</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45810</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45810</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45810</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45810</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45810</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45810</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45810</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45810</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45810</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45810</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45810</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45810</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45810</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45810</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45810</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45810</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45810</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45810</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45810</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45810</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45810</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45810</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45810</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45810</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45810</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45810</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45810</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45810</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45810</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45810</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45810</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45810</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45810</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45810</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45810</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45810</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45810</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45810</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45810</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45810</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45810</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45810</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45810</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45810</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45810</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45810</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45810</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45810</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45810</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45810</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45810</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45810</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45810</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45810</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45810</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45810</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45810</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45810</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45810</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45810</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45810</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45810</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45810</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45810</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45810</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45810</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45810</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45810</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45810</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45810</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45810</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45810</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45810</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45810</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45810</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45810</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45810</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45810</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45810</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45810</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45810</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45810</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45810</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45810</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45810</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45810</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45810</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45810</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45810</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45810</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45810</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45810</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45810</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45810</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45810</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45810</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45810</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45810</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45810</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45810</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45810</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45810</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45810</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45810</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45810</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45810</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45810</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45810</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45810</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45810</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45810</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45810</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45810</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45810</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45810</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45810</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45810</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45810</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45810</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45810</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45810</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45810</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45810</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45810</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45810</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45810</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45810</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45810</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45810</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45810</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45810</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45810</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45810</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45810</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45810</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45810</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45810</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45810</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45810</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45810</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45810</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45810</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45810</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45810</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45810</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45810</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45810</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45810</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45810</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45810</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45810</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45810</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45810</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45810</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45810</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45810</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45810</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45810</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45810</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45810</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45810</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45810</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45810</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45810</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45810</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45810</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45810</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45810</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45810</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45810</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45810</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45810</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45810</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45810</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45810</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45810</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45810</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45810</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45810</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45810</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45810</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45810</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45810</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45810</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45810</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45810</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45810</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45810</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45810</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45810</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45810</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45810</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45810</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45810</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45810</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45810</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45810</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45810</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45810</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45810</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45810</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45810</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45810</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45810</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45810</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45810</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45810</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45810</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45810</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45810</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45810</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45810</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45810</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45810</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45810</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45810</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45810</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45810</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45810</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45810</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45810</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45810</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45810</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45810</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45810</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45810</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45810</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45810</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45810</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45810</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45810</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45810</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45810</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45810</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45810</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45810</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45810</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45810</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45810</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45810</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45810</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45810</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45810</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45810</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45810</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45810</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45810</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45810</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45810</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45810</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45810</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45810</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45810</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45810</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45810</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45810</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45810</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45810</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45810</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45810</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45810</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45810</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45810</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45810</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45810</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45810</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45810</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45810</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45810</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45810</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45810</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45810</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45810</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45810</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45810</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45810</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45810</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45810</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45810</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45810</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45810</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45810</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45810</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45810</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45810</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45810</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45810</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45810</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45810</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45810</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45810</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45810</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45810</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45810</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45810</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45810</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45810</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45810</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45810</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45810</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45810</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45810</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45810</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45810</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45810</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45810</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45810</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45810</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45810</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45810</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45810</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45810</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45810</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45810</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45810</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45810</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45810</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45810</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45810</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45810</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45810</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45810</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45810</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45810</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45810</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45810</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45810</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45810</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45810</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45810</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45810</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45810</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45810</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45810</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45810</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45810</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45810</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45810</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45810</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45810</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45810</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45810</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45810</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45810</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45810</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45810</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45810</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45810</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45810</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45810</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45810</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45810</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45810</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45810</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45810</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45810</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45810</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45810</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45810</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45810</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45810</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45810</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45810</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45810</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45810</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45810</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45810</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45810</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45810</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45810</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45810</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45810</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45810</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45810</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45810</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45810</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45810</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45810</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45810</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45810</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45810</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45810</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45810</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45810</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45810</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45810</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45810</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45810</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45810</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45810</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45810</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45810</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45810</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45810</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45810</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45810</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45810</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45810</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45810</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45810</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45810</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45810</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45810</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45810</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45810</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45810</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45810</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45810</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45810</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45810</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45810</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45810</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45810</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45810</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45810</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45810</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45810</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45810</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45810</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45810</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45810</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45810</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45810</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45810</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45810</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45810</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45810</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45810</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45810</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45810</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45810</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45810</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45810</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45810</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45810</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45810</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45810</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45810</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45810</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45810</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45810</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45810</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45810</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45810</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45810</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45810</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45810</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45810</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45810</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45810</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45810</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45810</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45810</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45810</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45810</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45810</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45810</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45810</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45810</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45810</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45810</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45810</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45810</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45810</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45810</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45810</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45810</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45810</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45810</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45810</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45810</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45810</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45810</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45810</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45810</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45810</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45810</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45810</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45810</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45810</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45810</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45810</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45810</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45810</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45810</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45810</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45810</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45810</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45810</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45810</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45810</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45810</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45810</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45810</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45810</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45810</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45810</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45810</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45810</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45810</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45810</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45810</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45810</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45810</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45810</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45810</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45810</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45810</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45810</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45810</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45810</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45810</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45810</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45810</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45810</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45810</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45810</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45810</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45810</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45810</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45810</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45810</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45810</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45810</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45810</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45810</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45810</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45810</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45810</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45810</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45810</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45810</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45810</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45810</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45810</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45810</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45810</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45810</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45810</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45810</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45810</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45810</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45810</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45810</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45810</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45810</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45810</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45810</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45810</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45810</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45810</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45810</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45810</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45810</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45810</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45810</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45810</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45810</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45810</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45810</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45810</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45810</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45810</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45810</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45810</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45810</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45810</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45810</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45810</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45810</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45810</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45810</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45810</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45810</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45810</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45810</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45810</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45810</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45810</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45810</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45810</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45810</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45810</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45810</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45810</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45810</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45810</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45810</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45810</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45810</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45810</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45810</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45810</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45810</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45810</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45810</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45810</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45810</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45810</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45810</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45810</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45810</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45810</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45810</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45810</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45810</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45810</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45810</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45810</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45810</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45810</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45810</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45810</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45810</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45810</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45810</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45810</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45810</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45810</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45810</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45810</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45810</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45810</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45810</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45810</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45810</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45810</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45810</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45810</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45810</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45810</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45810</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45810</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45810</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45810</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45810</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45810</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45810</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45810</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45810</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45810</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45810</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45810</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45810</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45810</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45810</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45810</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45810</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45810</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45810</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45810</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45810</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45810</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45810</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45810</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45810</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45810</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45810</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45810</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45810</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45810</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45810</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45810</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45810</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45810</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45810</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45810</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45810</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45810</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45810</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45810</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45810</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45810</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45810</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45810</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45810</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45810</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45810</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45810</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45810</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45810</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45810</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45810</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45810</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45810</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45810</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45810</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45810</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45810</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45810</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45810</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45810</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45810</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45810</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45810</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45810</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45810</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45810</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45810</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45810</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45810</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45810</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45810</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45810</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45810</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45810</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45810</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45810</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45810</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21169-2025</t>
        </is>
      </c>
      <c r="B1944" s="1" t="n">
        <v>45779</v>
      </c>
      <c r="C1944" s="1" t="n">
        <v>45810</v>
      </c>
      <c r="D1944" t="inlineStr">
        <is>
          <t>JÄMTLANDS LÄN</t>
        </is>
      </c>
      <c r="E1944" t="inlineStr">
        <is>
          <t>HÄRJEDALEN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21201-2025</t>
        </is>
      </c>
      <c r="B1945" s="1" t="n">
        <v>45779</v>
      </c>
      <c r="C1945" s="1" t="n">
        <v>45810</v>
      </c>
      <c r="D1945" t="inlineStr">
        <is>
          <t>JÄMTLANDS LÄN</t>
        </is>
      </c>
      <c r="E1945" t="inlineStr">
        <is>
          <t>HÄRJEDALEN</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21223-2025</t>
        </is>
      </c>
      <c r="B1946" s="1" t="n">
        <v>45779</v>
      </c>
      <c r="C1946" s="1" t="n">
        <v>45810</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21225-2025</t>
        </is>
      </c>
      <c r="B1947" s="1" t="n">
        <v>45779</v>
      </c>
      <c r="C1947" s="1" t="n">
        <v>45810</v>
      </c>
      <c r="D1947" t="inlineStr">
        <is>
          <t>JÄMTLANDS LÄN</t>
        </is>
      </c>
      <c r="E1947" t="inlineStr">
        <is>
          <t>HÄRJEDALEN</t>
        </is>
      </c>
      <c r="F1947" t="inlineStr">
        <is>
          <t>Holmen skog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21208-2025</t>
        </is>
      </c>
      <c r="B1948" s="1" t="n">
        <v>45779</v>
      </c>
      <c r="C1948" s="1" t="n">
        <v>45810</v>
      </c>
      <c r="D1948" t="inlineStr">
        <is>
          <t>JÄMTLANDS LÄN</t>
        </is>
      </c>
      <c r="E1948" t="inlineStr">
        <is>
          <t>HÄRJEDALEN</t>
        </is>
      </c>
      <c r="F1948" t="inlineStr">
        <is>
          <t>Holmen skog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21221-2025</t>
        </is>
      </c>
      <c r="B1949" s="1" t="n">
        <v>45779</v>
      </c>
      <c r="C1949" s="1" t="n">
        <v>45810</v>
      </c>
      <c r="D1949" t="inlineStr">
        <is>
          <t>JÄMTLANDS LÄN</t>
        </is>
      </c>
      <c r="E1949" t="inlineStr">
        <is>
          <t>HÄRJEDALEN</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45810</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45810</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45810</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45810</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45810</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45810</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22222-2025</t>
        </is>
      </c>
      <c r="B1956" s="1" t="n">
        <v>45785</v>
      </c>
      <c r="C1956" s="1" t="n">
        <v>45810</v>
      </c>
      <c r="D1956" t="inlineStr">
        <is>
          <t>JÄMTLANDS LÄN</t>
        </is>
      </c>
      <c r="E1956" t="inlineStr">
        <is>
          <t>HÄRJEDALEN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22045-2025</t>
        </is>
      </c>
      <c r="B1957" s="1" t="n">
        <v>45785</v>
      </c>
      <c r="C1957" s="1" t="n">
        <v>45810</v>
      </c>
      <c r="D1957" t="inlineStr">
        <is>
          <t>JÄMTLANDS LÄN</t>
        </is>
      </c>
      <c r="E1957" t="inlineStr">
        <is>
          <t>HÄRJEDALEN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22040-2025</t>
        </is>
      </c>
      <c r="B1958" s="1" t="n">
        <v>45785</v>
      </c>
      <c r="C1958" s="1" t="n">
        <v>45810</v>
      </c>
      <c r="D1958" t="inlineStr">
        <is>
          <t>JÄMTLANDS LÄN</t>
        </is>
      </c>
      <c r="E1958" t="inlineStr">
        <is>
          <t>HÄRJEDALEN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45810</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45810</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45810</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22505-2025</t>
        </is>
      </c>
      <c r="B1962" s="1" t="n">
        <v>45786</v>
      </c>
      <c r="C1962" s="1" t="n">
        <v>45810</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45810</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22915-2025</t>
        </is>
      </c>
      <c r="B1964" s="1" t="n">
        <v>45790</v>
      </c>
      <c r="C1964" s="1" t="n">
        <v>45810</v>
      </c>
      <c r="D1964" t="inlineStr">
        <is>
          <t>JÄMTLANDS LÄN</t>
        </is>
      </c>
      <c r="E1964" t="inlineStr">
        <is>
          <t>HÄRJEDALEN</t>
        </is>
      </c>
      <c r="F1964" t="inlineStr">
        <is>
          <t>Sveaskog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45810</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45810</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23596-2025</t>
        </is>
      </c>
      <c r="B1967" s="1" t="n">
        <v>45792</v>
      </c>
      <c r="C1967" s="1" t="n">
        <v>45810</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23600-2025</t>
        </is>
      </c>
      <c r="B1968" s="1" t="n">
        <v>45792</v>
      </c>
      <c r="C1968" s="1" t="n">
        <v>45810</v>
      </c>
      <c r="D1968" t="inlineStr">
        <is>
          <t>JÄMTLANDS LÄN</t>
        </is>
      </c>
      <c r="E1968" t="inlineStr">
        <is>
          <t>HÄRJEDALEN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23518-2025</t>
        </is>
      </c>
      <c r="B1969" s="1" t="n">
        <v>45792</v>
      </c>
      <c r="C1969" s="1" t="n">
        <v>45810</v>
      </c>
      <c r="D1969" t="inlineStr">
        <is>
          <t>JÄMTLANDS LÄN</t>
        </is>
      </c>
      <c r="E1969" t="inlineStr">
        <is>
          <t>HÄRJEDALEN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45810</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45810</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45810</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45810</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24828-2025</t>
        </is>
      </c>
      <c r="B1974" s="1" t="n">
        <v>45799</v>
      </c>
      <c r="C1974" s="1" t="n">
        <v>45810</v>
      </c>
      <c r="D1974" t="inlineStr">
        <is>
          <t>JÄMTLANDS LÄN</t>
        </is>
      </c>
      <c r="E1974" t="inlineStr">
        <is>
          <t>HÄRJEDALEN</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24791-2025</t>
        </is>
      </c>
      <c r="B1975" s="1" t="n">
        <v>45799</v>
      </c>
      <c r="C1975" s="1" t="n">
        <v>45810</v>
      </c>
      <c r="D1975" t="inlineStr">
        <is>
          <t>JÄMTLANDS LÄN</t>
        </is>
      </c>
      <c r="E1975" t="inlineStr">
        <is>
          <t>HÄRJEDALEN</t>
        </is>
      </c>
      <c r="F1975" t="inlineStr">
        <is>
          <t>Holmen skog AB</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24796-2025</t>
        </is>
      </c>
      <c r="B1976" s="1" t="n">
        <v>45799</v>
      </c>
      <c r="C1976" s="1" t="n">
        <v>45810</v>
      </c>
      <c r="D1976" t="inlineStr">
        <is>
          <t>JÄMTLANDS LÄN</t>
        </is>
      </c>
      <c r="E1976" t="inlineStr">
        <is>
          <t>HÄRJEDALEN</t>
        </is>
      </c>
      <c r="F1976" t="inlineStr">
        <is>
          <t>Holmen skog AB</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24842-2025</t>
        </is>
      </c>
      <c r="B1977" s="1" t="n">
        <v>45799</v>
      </c>
      <c r="C1977" s="1" t="n">
        <v>45810</v>
      </c>
      <c r="D1977" t="inlineStr">
        <is>
          <t>JÄMTLANDS LÄN</t>
        </is>
      </c>
      <c r="E1977" t="inlineStr">
        <is>
          <t>HÄRJEDALEN</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24853-2025</t>
        </is>
      </c>
      <c r="B1978" s="1" t="n">
        <v>45799</v>
      </c>
      <c r="C1978" s="1" t="n">
        <v>45810</v>
      </c>
      <c r="D1978" t="inlineStr">
        <is>
          <t>JÄMTLANDS LÄN</t>
        </is>
      </c>
      <c r="E1978" t="inlineStr">
        <is>
          <t>HÄRJEDALEN</t>
        </is>
      </c>
      <c r="F1978" t="inlineStr">
        <is>
          <t>Holmen skog AB</t>
        </is>
      </c>
      <c r="G1978" t="n">
        <v>57.7</v>
      </c>
      <c r="H1978" t="n">
        <v>0</v>
      </c>
      <c r="I1978" t="n">
        <v>0</v>
      </c>
      <c r="J1978" t="n">
        <v>0</v>
      </c>
      <c r="K1978" t="n">
        <v>0</v>
      </c>
      <c r="L1978" t="n">
        <v>0</v>
      </c>
      <c r="M1978" t="n">
        <v>0</v>
      </c>
      <c r="N1978" t="n">
        <v>0</v>
      </c>
      <c r="O1978" t="n">
        <v>0</v>
      </c>
      <c r="P1978" t="n">
        <v>0</v>
      </c>
      <c r="Q1978" t="n">
        <v>0</v>
      </c>
      <c r="R1978" s="2" t="inlineStr"/>
    </row>
    <row r="1979" ht="15" customHeight="1">
      <c r="A1979" t="inlineStr">
        <is>
          <t>A 24844-2025</t>
        </is>
      </c>
      <c r="B1979" s="1" t="n">
        <v>45799</v>
      </c>
      <c r="C1979" s="1" t="n">
        <v>45810</v>
      </c>
      <c r="D1979" t="inlineStr">
        <is>
          <t>JÄMTLANDS LÄN</t>
        </is>
      </c>
      <c r="E1979" t="inlineStr">
        <is>
          <t>HÄRJEDALEN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45810</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45810</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25253-2025</t>
        </is>
      </c>
      <c r="B1982" s="1" t="n">
        <v>45800</v>
      </c>
      <c r="C1982" s="1" t="n">
        <v>45810</v>
      </c>
      <c r="D1982" t="inlineStr">
        <is>
          <t>JÄMTLANDS LÄN</t>
        </is>
      </c>
      <c r="E1982" t="inlineStr">
        <is>
          <t>HÄRJEDALEN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25198-2025</t>
        </is>
      </c>
      <c r="B1983" s="1" t="n">
        <v>45800</v>
      </c>
      <c r="C1983" s="1" t="n">
        <v>45810</v>
      </c>
      <c r="D1983" t="inlineStr">
        <is>
          <t>JÄMTLANDS LÄN</t>
        </is>
      </c>
      <c r="E1983" t="inlineStr">
        <is>
          <t>HÄRJEDALEN</t>
        </is>
      </c>
      <c r="F1983" t="inlineStr">
        <is>
          <t>Holmen skog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25286-2025</t>
        </is>
      </c>
      <c r="B1984" s="1" t="n">
        <v>45800</v>
      </c>
      <c r="C1984" s="1" t="n">
        <v>45810</v>
      </c>
      <c r="D1984" t="inlineStr">
        <is>
          <t>JÄMTLANDS LÄN</t>
        </is>
      </c>
      <c r="E1984" t="inlineStr">
        <is>
          <t>HÄRJEDALEN</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25223-2025</t>
        </is>
      </c>
      <c r="B1985" s="1" t="n">
        <v>45800</v>
      </c>
      <c r="C1985" s="1" t="n">
        <v>45810</v>
      </c>
      <c r="D1985" t="inlineStr">
        <is>
          <t>JÄMTLANDS LÄN</t>
        </is>
      </c>
      <c r="E1985" t="inlineStr">
        <is>
          <t>HÄRJEDALEN</t>
        </is>
      </c>
      <c r="F1985" t="inlineStr">
        <is>
          <t>Holmen skog AB</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25112-2025</t>
        </is>
      </c>
      <c r="B1986" s="1" t="n">
        <v>45800</v>
      </c>
      <c r="C1986" s="1" t="n">
        <v>45810</v>
      </c>
      <c r="D1986" t="inlineStr">
        <is>
          <t>JÄMTLANDS LÄN</t>
        </is>
      </c>
      <c r="E1986" t="inlineStr">
        <is>
          <t>HÄRJEDALEN</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25098-2025</t>
        </is>
      </c>
      <c r="B1987" s="1" t="n">
        <v>45800</v>
      </c>
      <c r="C1987" s="1" t="n">
        <v>45810</v>
      </c>
      <c r="D1987" t="inlineStr">
        <is>
          <t>JÄMTLANDS LÄN</t>
        </is>
      </c>
      <c r="E1987" t="inlineStr">
        <is>
          <t>HÄRJEDALEN</t>
        </is>
      </c>
      <c r="F1987" t="inlineStr">
        <is>
          <t>Holmen skog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25288-2025</t>
        </is>
      </c>
      <c r="B1988" s="1" t="n">
        <v>45800</v>
      </c>
      <c r="C1988" s="1" t="n">
        <v>45810</v>
      </c>
      <c r="D1988" t="inlineStr">
        <is>
          <t>JÄMTLANDS LÄN</t>
        </is>
      </c>
      <c r="E1988" t="inlineStr">
        <is>
          <t>HÄRJEDALEN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25334-2025</t>
        </is>
      </c>
      <c r="B1989" s="1" t="n">
        <v>45800</v>
      </c>
      <c r="C1989" s="1" t="n">
        <v>45810</v>
      </c>
      <c r="D1989" t="inlineStr">
        <is>
          <t>JÄMTLANDS LÄN</t>
        </is>
      </c>
      <c r="E1989" t="inlineStr">
        <is>
          <t>HÄRJEDALEN</t>
        </is>
      </c>
      <c r="F1989" t="inlineStr">
        <is>
          <t>Holmen skog AB</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25298-2025</t>
        </is>
      </c>
      <c r="B1990" s="1" t="n">
        <v>45800</v>
      </c>
      <c r="C1990" s="1" t="n">
        <v>45810</v>
      </c>
      <c r="D1990" t="inlineStr">
        <is>
          <t>JÄMTLANDS LÄN</t>
        </is>
      </c>
      <c r="E1990" t="inlineStr">
        <is>
          <t>HÄRJEDALEN</t>
        </is>
      </c>
      <c r="F1990" t="inlineStr">
        <is>
          <t>Holmen skog AB</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25315-2025</t>
        </is>
      </c>
      <c r="B1991" s="1" t="n">
        <v>45800</v>
      </c>
      <c r="C1991" s="1" t="n">
        <v>45810</v>
      </c>
      <c r="D1991" t="inlineStr">
        <is>
          <t>JÄMTLANDS LÄN</t>
        </is>
      </c>
      <c r="E1991" t="inlineStr">
        <is>
          <t>HÄRJEDALEN</t>
        </is>
      </c>
      <c r="F1991" t="inlineStr">
        <is>
          <t>Holmen skog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25171-2025</t>
        </is>
      </c>
      <c r="B1992" s="1" t="n">
        <v>45800</v>
      </c>
      <c r="C1992" s="1" t="n">
        <v>45810</v>
      </c>
      <c r="D1992" t="inlineStr">
        <is>
          <t>JÄMTLANDS LÄN</t>
        </is>
      </c>
      <c r="E1992" t="inlineStr">
        <is>
          <t>HÄRJEDALEN</t>
        </is>
      </c>
      <c r="G1992" t="n">
        <v>12.3</v>
      </c>
      <c r="H1992" t="n">
        <v>0</v>
      </c>
      <c r="I1992" t="n">
        <v>0</v>
      </c>
      <c r="J1992" t="n">
        <v>0</v>
      </c>
      <c r="K1992" t="n">
        <v>0</v>
      </c>
      <c r="L1992" t="n">
        <v>0</v>
      </c>
      <c r="M1992" t="n">
        <v>0</v>
      </c>
      <c r="N1992" t="n">
        <v>0</v>
      </c>
      <c r="O1992" t="n">
        <v>0</v>
      </c>
      <c r="P1992" t="n">
        <v>0</v>
      </c>
      <c r="Q1992" t="n">
        <v>0</v>
      </c>
      <c r="R1992" s="2" t="inlineStr"/>
    </row>
    <row r="1993" ht="15" customHeight="1">
      <c r="A1993" t="inlineStr">
        <is>
          <t>A 25123-2025</t>
        </is>
      </c>
      <c r="B1993" s="1" t="n">
        <v>45800</v>
      </c>
      <c r="C1993" s="1" t="n">
        <v>45810</v>
      </c>
      <c r="D1993" t="inlineStr">
        <is>
          <t>JÄMTLANDS LÄN</t>
        </is>
      </c>
      <c r="E1993" t="inlineStr">
        <is>
          <t>HÄRJEDALEN</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25127-2025</t>
        </is>
      </c>
      <c r="B1994" s="1" t="n">
        <v>45800</v>
      </c>
      <c r="C1994" s="1" t="n">
        <v>45810</v>
      </c>
      <c r="D1994" t="inlineStr">
        <is>
          <t>JÄMTLANDS LÄN</t>
        </is>
      </c>
      <c r="E1994" t="inlineStr">
        <is>
          <t>HÄRJEDALEN</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25158-2025</t>
        </is>
      </c>
      <c r="B1995" s="1" t="n">
        <v>45800</v>
      </c>
      <c r="C1995" s="1" t="n">
        <v>45810</v>
      </c>
      <c r="D1995" t="inlineStr">
        <is>
          <t>JÄMTLANDS LÄN</t>
        </is>
      </c>
      <c r="E1995" t="inlineStr">
        <is>
          <t>HÄRJEDALEN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25178-2025</t>
        </is>
      </c>
      <c r="B1996" s="1" t="n">
        <v>45800</v>
      </c>
      <c r="C1996" s="1" t="n">
        <v>45810</v>
      </c>
      <c r="D1996" t="inlineStr">
        <is>
          <t>JÄMTLANDS LÄN</t>
        </is>
      </c>
      <c r="E1996" t="inlineStr">
        <is>
          <t>HÄRJEDALEN</t>
        </is>
      </c>
      <c r="F1996" t="inlineStr">
        <is>
          <t>Holmen skog AB</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25109-2025</t>
        </is>
      </c>
      <c r="B1997" s="1" t="n">
        <v>45800</v>
      </c>
      <c r="C1997" s="1" t="n">
        <v>45810</v>
      </c>
      <c r="D1997" t="inlineStr">
        <is>
          <t>JÄMTLANDS LÄN</t>
        </is>
      </c>
      <c r="E1997" t="inlineStr">
        <is>
          <t>HÄRJEDALEN</t>
        </is>
      </c>
      <c r="F1997" t="inlineStr">
        <is>
          <t>Holmen skog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25204-2025</t>
        </is>
      </c>
      <c r="B1998" s="1" t="n">
        <v>45800</v>
      </c>
      <c r="C1998" s="1" t="n">
        <v>45810</v>
      </c>
      <c r="D1998" t="inlineStr">
        <is>
          <t>JÄMTLANDS LÄN</t>
        </is>
      </c>
      <c r="E1998" t="inlineStr">
        <is>
          <t>HÄRJEDALEN</t>
        </is>
      </c>
      <c r="F1998" t="inlineStr">
        <is>
          <t>Holmen skog AB</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45810</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25343-2025</t>
        </is>
      </c>
      <c r="B2000" s="1" t="n">
        <v>45800</v>
      </c>
      <c r="C2000" s="1" t="n">
        <v>45810</v>
      </c>
      <c r="D2000" t="inlineStr">
        <is>
          <t>JÄMTLANDS LÄN</t>
        </is>
      </c>
      <c r="E2000" t="inlineStr">
        <is>
          <t>HÄRJEDALEN</t>
        </is>
      </c>
      <c r="F2000" t="inlineStr">
        <is>
          <t>Holmen skog AB</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25094-2025</t>
        </is>
      </c>
      <c r="B2001" s="1" t="n">
        <v>45800</v>
      </c>
      <c r="C2001" s="1" t="n">
        <v>45810</v>
      </c>
      <c r="D2001" t="inlineStr">
        <is>
          <t>JÄMTLANDS LÄN</t>
        </is>
      </c>
      <c r="E2001" t="inlineStr">
        <is>
          <t>HÄRJEDALEN</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25409-2025</t>
        </is>
      </c>
      <c r="B2002" s="1" t="n">
        <v>45800</v>
      </c>
      <c r="C2002" s="1" t="n">
        <v>45810</v>
      </c>
      <c r="D2002" t="inlineStr">
        <is>
          <t>JÄMTLANDS LÄN</t>
        </is>
      </c>
      <c r="E2002" t="inlineStr">
        <is>
          <t>HÄRJEDALEN</t>
        </is>
      </c>
      <c r="F2002" t="inlineStr">
        <is>
          <t>Holmen skog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25325-2025</t>
        </is>
      </c>
      <c r="B2003" s="1" t="n">
        <v>45800</v>
      </c>
      <c r="C2003" s="1" t="n">
        <v>45810</v>
      </c>
      <c r="D2003" t="inlineStr">
        <is>
          <t>JÄMTLANDS LÄN</t>
        </is>
      </c>
      <c r="E2003" t="inlineStr">
        <is>
          <t>HÄRJEDALEN</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25383-2025</t>
        </is>
      </c>
      <c r="B2004" s="1" t="n">
        <v>45800</v>
      </c>
      <c r="C2004" s="1" t="n">
        <v>45810</v>
      </c>
      <c r="D2004" t="inlineStr">
        <is>
          <t>JÄMTLANDS LÄN</t>
        </is>
      </c>
      <c r="E2004" t="inlineStr">
        <is>
          <t>HÄRJEDALEN</t>
        </is>
      </c>
      <c r="F2004" t="inlineStr">
        <is>
          <t>Holmen skog AB</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25392-2025</t>
        </is>
      </c>
      <c r="B2005" s="1" t="n">
        <v>45800</v>
      </c>
      <c r="C2005" s="1" t="n">
        <v>45810</v>
      </c>
      <c r="D2005" t="inlineStr">
        <is>
          <t>JÄMTLANDS LÄN</t>
        </is>
      </c>
      <c r="E2005" t="inlineStr">
        <is>
          <t>HÄRJEDALEN</t>
        </is>
      </c>
      <c r="F2005" t="inlineStr">
        <is>
          <t>Holmen skog AB</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25399-2025</t>
        </is>
      </c>
      <c r="B2006" s="1" t="n">
        <v>45800</v>
      </c>
      <c r="C2006" s="1" t="n">
        <v>45810</v>
      </c>
      <c r="D2006" t="inlineStr">
        <is>
          <t>JÄMTLANDS LÄN</t>
        </is>
      </c>
      <c r="E2006" t="inlineStr">
        <is>
          <t>HÄRJEDALEN</t>
        </is>
      </c>
      <c r="F2006" t="inlineStr">
        <is>
          <t>Holmen skog AB</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25380-2025</t>
        </is>
      </c>
      <c r="B2007" s="1" t="n">
        <v>45800</v>
      </c>
      <c r="C2007" s="1" t="n">
        <v>45810</v>
      </c>
      <c r="D2007" t="inlineStr">
        <is>
          <t>JÄMTLANDS LÄN</t>
        </is>
      </c>
      <c r="E2007" t="inlineStr">
        <is>
          <t>HÄRJEDALEN</t>
        </is>
      </c>
      <c r="F2007" t="inlineStr">
        <is>
          <t>Sveaskog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25147-2025</t>
        </is>
      </c>
      <c r="B2008" s="1" t="n">
        <v>45800</v>
      </c>
      <c r="C2008" s="1" t="n">
        <v>45810</v>
      </c>
      <c r="D2008" t="inlineStr">
        <is>
          <t>JÄMTLANDS LÄN</t>
        </is>
      </c>
      <c r="E2008" t="inlineStr">
        <is>
          <t>HÄRJEDALEN</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45810</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45810</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25933-2025</t>
        </is>
      </c>
      <c r="B2011" s="1" t="n">
        <v>45804</v>
      </c>
      <c r="C2011" s="1" t="n">
        <v>45810</v>
      </c>
      <c r="D2011" t="inlineStr">
        <is>
          <t>JÄMTLANDS LÄN</t>
        </is>
      </c>
      <c r="E2011" t="inlineStr">
        <is>
          <t>HÄRJEDALEN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25931-2025</t>
        </is>
      </c>
      <c r="B2012" s="1" t="n">
        <v>45804</v>
      </c>
      <c r="C2012" s="1" t="n">
        <v>45810</v>
      </c>
      <c r="D2012" t="inlineStr">
        <is>
          <t>JÄMTLANDS LÄN</t>
        </is>
      </c>
      <c r="E2012" t="inlineStr">
        <is>
          <t>HÄRJEDALEN</t>
        </is>
      </c>
      <c r="F2012" t="inlineStr">
        <is>
          <t>Bergvik skog väst AB</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26209-2025</t>
        </is>
      </c>
      <c r="B2013" s="1" t="n">
        <v>45805</v>
      </c>
      <c r="C2013" s="1" t="n">
        <v>45810</v>
      </c>
      <c r="D2013" t="inlineStr">
        <is>
          <t>JÄMTLANDS LÄN</t>
        </is>
      </c>
      <c r="E2013" t="inlineStr">
        <is>
          <t>HÄRJEDALEN</t>
        </is>
      </c>
      <c r="F2013" t="inlineStr">
        <is>
          <t>Bergvik skog väst AB</t>
        </is>
      </c>
      <c r="G2013" t="n">
        <v>27.3</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45810</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26346-2025</t>
        </is>
      </c>
      <c r="B2015" s="1" t="n">
        <v>45805</v>
      </c>
      <c r="C2015" s="1" t="n">
        <v>45810</v>
      </c>
      <c r="D2015" t="inlineStr">
        <is>
          <t>JÄMTLANDS LÄN</t>
        </is>
      </c>
      <c r="E2015" t="inlineStr">
        <is>
          <t>HÄRJEDALEN</t>
        </is>
      </c>
      <c r="F2015" t="inlineStr">
        <is>
          <t>Sveaskog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26325-2025</t>
        </is>
      </c>
      <c r="B2016" s="1" t="n">
        <v>45805</v>
      </c>
      <c r="C2016" s="1" t="n">
        <v>45810</v>
      </c>
      <c r="D2016" t="inlineStr">
        <is>
          <t>JÄMTLANDS LÄN</t>
        </is>
      </c>
      <c r="E2016" t="inlineStr">
        <is>
          <t>HÄRJEDALEN</t>
        </is>
      </c>
      <c r="F2016" t="inlineStr">
        <is>
          <t>Övriga Aktiebolag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26528-2025</t>
        </is>
      </c>
      <c r="B2017" s="1" t="n">
        <v>45807</v>
      </c>
      <c r="C2017" s="1" t="n">
        <v>45810</v>
      </c>
      <c r="D2017" t="inlineStr">
        <is>
          <t>JÄMTLANDS LÄN</t>
        </is>
      </c>
      <c r="E2017" t="inlineStr">
        <is>
          <t>HÄRJEDALEN</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26540-2025</t>
        </is>
      </c>
      <c r="B2018" s="1" t="n">
        <v>45807</v>
      </c>
      <c r="C2018" s="1" t="n">
        <v>45810</v>
      </c>
      <c r="D2018" t="inlineStr">
        <is>
          <t>JÄMTLANDS LÄN</t>
        </is>
      </c>
      <c r="E2018" t="inlineStr">
        <is>
          <t>HÄRJEDALEN</t>
        </is>
      </c>
      <c r="F2018" t="inlineStr">
        <is>
          <t>Holmen skog AB</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26548-2025</t>
        </is>
      </c>
      <c r="B2019" s="1" t="n">
        <v>45807</v>
      </c>
      <c r="C2019" s="1" t="n">
        <v>45810</v>
      </c>
      <c r="D2019" t="inlineStr">
        <is>
          <t>JÄMTLANDS LÄN</t>
        </is>
      </c>
      <c r="E2019" t="inlineStr">
        <is>
          <t>HÄRJEDALEN</t>
        </is>
      </c>
      <c r="F2019" t="inlineStr">
        <is>
          <t>Holmen skog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26496-2025</t>
        </is>
      </c>
      <c r="B2020" s="1" t="n">
        <v>45807</v>
      </c>
      <c r="C2020" s="1" t="n">
        <v>45810</v>
      </c>
      <c r="D2020" t="inlineStr">
        <is>
          <t>JÄMTLANDS LÄN</t>
        </is>
      </c>
      <c r="E2020" t="inlineStr">
        <is>
          <t>HÄRJEDALEN</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26464-2025</t>
        </is>
      </c>
      <c r="B2021" s="1" t="n">
        <v>45807</v>
      </c>
      <c r="C2021" s="1" t="n">
        <v>45810</v>
      </c>
      <c r="D2021" t="inlineStr">
        <is>
          <t>JÄMTLANDS LÄN</t>
        </is>
      </c>
      <c r="E2021" t="inlineStr">
        <is>
          <t>HÄRJEDALEN</t>
        </is>
      </c>
      <c r="F2021" t="inlineStr">
        <is>
          <t>Holmen skog AB</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26466-2025</t>
        </is>
      </c>
      <c r="B2022" s="1" t="n">
        <v>45807</v>
      </c>
      <c r="C2022" s="1" t="n">
        <v>45810</v>
      </c>
      <c r="D2022" t="inlineStr">
        <is>
          <t>JÄMTLANDS LÄN</t>
        </is>
      </c>
      <c r="E2022" t="inlineStr">
        <is>
          <t>HÄRJEDALEN</t>
        </is>
      </c>
      <c r="F2022" t="inlineStr">
        <is>
          <t>Holmen skog AB</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26523-2025</t>
        </is>
      </c>
      <c r="B2023" s="1" t="n">
        <v>45807</v>
      </c>
      <c r="C2023" s="1" t="n">
        <v>45810</v>
      </c>
      <c r="D2023" t="inlineStr">
        <is>
          <t>JÄMTLANDS LÄN</t>
        </is>
      </c>
      <c r="E2023" t="inlineStr">
        <is>
          <t>HÄRJEDALEN</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26551-2025</t>
        </is>
      </c>
      <c r="B2024" s="1" t="n">
        <v>45807</v>
      </c>
      <c r="C2024" s="1" t="n">
        <v>45810</v>
      </c>
      <c r="D2024" t="inlineStr">
        <is>
          <t>JÄMTLANDS LÄN</t>
        </is>
      </c>
      <c r="E2024" t="inlineStr">
        <is>
          <t>HÄRJEDALEN</t>
        </is>
      </c>
      <c r="F2024" t="inlineStr">
        <is>
          <t>Holmen skog AB</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26417-2025</t>
        </is>
      </c>
      <c r="B2025" s="1" t="n">
        <v>45807</v>
      </c>
      <c r="C2025" s="1" t="n">
        <v>45810</v>
      </c>
      <c r="D2025" t="inlineStr">
        <is>
          <t>JÄMTLANDS LÄN</t>
        </is>
      </c>
      <c r="E2025" t="inlineStr">
        <is>
          <t>HÄRJEDALEN</t>
        </is>
      </c>
      <c r="F2025" t="inlineStr">
        <is>
          <t>Holmen skog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26493-2025</t>
        </is>
      </c>
      <c r="B2026" s="1" t="n">
        <v>45807</v>
      </c>
      <c r="C2026" s="1" t="n">
        <v>45810</v>
      </c>
      <c r="D2026" t="inlineStr">
        <is>
          <t>JÄMTLANDS LÄN</t>
        </is>
      </c>
      <c r="E2026" t="inlineStr">
        <is>
          <t>HÄRJEDALEN</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26443-2025</t>
        </is>
      </c>
      <c r="B2027" s="1" t="n">
        <v>45807</v>
      </c>
      <c r="C2027" s="1" t="n">
        <v>45810</v>
      </c>
      <c r="D2027" t="inlineStr">
        <is>
          <t>JÄMTLANDS LÄN</t>
        </is>
      </c>
      <c r="E2027" t="inlineStr">
        <is>
          <t>HÄRJEDALEN</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26561-2025</t>
        </is>
      </c>
      <c r="B2028" s="1" t="n">
        <v>45807</v>
      </c>
      <c r="C2028" s="1" t="n">
        <v>45810</v>
      </c>
      <c r="D2028" t="inlineStr">
        <is>
          <t>JÄMTLANDS LÄN</t>
        </is>
      </c>
      <c r="E2028" t="inlineStr">
        <is>
          <t>HÄRJEDALEN</t>
        </is>
      </c>
      <c r="F2028" t="inlineStr">
        <is>
          <t>Holmen skog AB</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26518-2025</t>
        </is>
      </c>
      <c r="B2029" s="1" t="n">
        <v>45807</v>
      </c>
      <c r="C2029" s="1" t="n">
        <v>45810</v>
      </c>
      <c r="D2029" t="inlineStr">
        <is>
          <t>JÄMTLANDS LÄN</t>
        </is>
      </c>
      <c r="E2029" t="inlineStr">
        <is>
          <t>HÄRJEDALEN</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26543-2025</t>
        </is>
      </c>
      <c r="B2030" s="1" t="n">
        <v>45807</v>
      </c>
      <c r="C2030" s="1" t="n">
        <v>45810</v>
      </c>
      <c r="D2030" t="inlineStr">
        <is>
          <t>JÄMTLANDS LÄN</t>
        </is>
      </c>
      <c r="E2030" t="inlineStr">
        <is>
          <t>HÄRJEDALEN</t>
        </is>
      </c>
      <c r="F2030" t="inlineStr">
        <is>
          <t>Holmen skog AB</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26558-2025</t>
        </is>
      </c>
      <c r="B2031" s="1" t="n">
        <v>45807</v>
      </c>
      <c r="C2031" s="1" t="n">
        <v>45810</v>
      </c>
      <c r="D2031" t="inlineStr">
        <is>
          <t>JÄMTLANDS LÄN</t>
        </is>
      </c>
      <c r="E2031" t="inlineStr">
        <is>
          <t>HÄRJEDALEN</t>
        </is>
      </c>
      <c r="F2031" t="inlineStr">
        <is>
          <t>Holmen skog AB</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26411-2025</t>
        </is>
      </c>
      <c r="B2032" s="1" t="n">
        <v>45807</v>
      </c>
      <c r="C2032" s="1" t="n">
        <v>45810</v>
      </c>
      <c r="D2032" t="inlineStr">
        <is>
          <t>JÄMTLANDS LÄN</t>
        </is>
      </c>
      <c r="E2032" t="inlineStr">
        <is>
          <t>HÄRJEDALEN</t>
        </is>
      </c>
      <c r="F2032" t="inlineStr">
        <is>
          <t>Holmen skog AB</t>
        </is>
      </c>
      <c r="G2032" t="n">
        <v>12.4</v>
      </c>
      <c r="H2032" t="n">
        <v>0</v>
      </c>
      <c r="I2032" t="n">
        <v>0</v>
      </c>
      <c r="J2032" t="n">
        <v>0</v>
      </c>
      <c r="K2032" t="n">
        <v>0</v>
      </c>
      <c r="L2032" t="n">
        <v>0</v>
      </c>
      <c r="M2032" t="n">
        <v>0</v>
      </c>
      <c r="N2032" t="n">
        <v>0</v>
      </c>
      <c r="O2032" t="n">
        <v>0</v>
      </c>
      <c r="P2032" t="n">
        <v>0</v>
      </c>
      <c r="Q2032" t="n">
        <v>0</v>
      </c>
      <c r="R2032" s="2" t="inlineStr"/>
    </row>
    <row r="2033" ht="15" customHeight="1">
      <c r="A2033" t="inlineStr">
        <is>
          <t>A 26486-2025</t>
        </is>
      </c>
      <c r="B2033" s="1" t="n">
        <v>45807</v>
      </c>
      <c r="C2033" s="1" t="n">
        <v>45810</v>
      </c>
      <c r="D2033" t="inlineStr">
        <is>
          <t>JÄMTLANDS LÄN</t>
        </is>
      </c>
      <c r="E2033" t="inlineStr">
        <is>
          <t>HÄRJEDALEN</t>
        </is>
      </c>
      <c r="F2033" t="inlineStr">
        <is>
          <t>Holmen skog AB</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26468-2025</t>
        </is>
      </c>
      <c r="B2034" s="1" t="n">
        <v>45807</v>
      </c>
      <c r="C2034" s="1" t="n">
        <v>45810</v>
      </c>
      <c r="D2034" t="inlineStr">
        <is>
          <t>JÄMTLANDS LÄN</t>
        </is>
      </c>
      <c r="E2034" t="inlineStr">
        <is>
          <t>HÄRJEDALEN</t>
        </is>
      </c>
      <c r="F2034" t="inlineStr">
        <is>
          <t>Holmen skog AB</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26448-2025</t>
        </is>
      </c>
      <c r="B2035" s="1" t="n">
        <v>45807</v>
      </c>
      <c r="C2035" s="1" t="n">
        <v>45810</v>
      </c>
      <c r="D2035" t="inlineStr">
        <is>
          <t>JÄMTLANDS LÄN</t>
        </is>
      </c>
      <c r="E2035" t="inlineStr">
        <is>
          <t>HÄRJEDALEN</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26495-2025</t>
        </is>
      </c>
      <c r="B2036" s="1" t="n">
        <v>45807</v>
      </c>
      <c r="C2036" s="1" t="n">
        <v>45810</v>
      </c>
      <c r="D2036" t="inlineStr">
        <is>
          <t>JÄMTLANDS LÄN</t>
        </is>
      </c>
      <c r="E2036" t="inlineStr">
        <is>
          <t>HÄRJEDALEN</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26462-2025</t>
        </is>
      </c>
      <c r="B2037" s="1" t="n">
        <v>45807</v>
      </c>
      <c r="C2037" s="1" t="n">
        <v>45810</v>
      </c>
      <c r="D2037" t="inlineStr">
        <is>
          <t>JÄMTLANDS LÄN</t>
        </is>
      </c>
      <c r="E2037" t="inlineStr">
        <is>
          <t>HÄRJEDALEN</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26404-2025</t>
        </is>
      </c>
      <c r="B2038" s="1" t="n">
        <v>45807</v>
      </c>
      <c r="C2038" s="1" t="n">
        <v>45810</v>
      </c>
      <c r="D2038" t="inlineStr">
        <is>
          <t>JÄMTLANDS LÄN</t>
        </is>
      </c>
      <c r="E2038" t="inlineStr">
        <is>
          <t>HÄRJEDALEN</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c r="A2039" t="inlineStr">
        <is>
          <t>A 26451-2025</t>
        </is>
      </c>
      <c r="B2039" s="1" t="n">
        <v>45807</v>
      </c>
      <c r="C2039" s="1" t="n">
        <v>45810</v>
      </c>
      <c r="D2039" t="inlineStr">
        <is>
          <t>JÄMTLANDS LÄN</t>
        </is>
      </c>
      <c r="E2039" t="inlineStr">
        <is>
          <t>HÄRJEDALEN</t>
        </is>
      </c>
      <c r="F2039" t="inlineStr">
        <is>
          <t>Holmen skog AB</t>
        </is>
      </c>
      <c r="G2039" t="n">
        <v>9.800000000000001</v>
      </c>
      <c r="H2039" t="n">
        <v>0</v>
      </c>
      <c r="I2039" t="n">
        <v>0</v>
      </c>
      <c r="J2039" t="n">
        <v>0</v>
      </c>
      <c r="K2039" t="n">
        <v>0</v>
      </c>
      <c r="L2039" t="n">
        <v>0</v>
      </c>
      <c r="M2039" t="n">
        <v>0</v>
      </c>
      <c r="N2039" t="n">
        <v>0</v>
      </c>
      <c r="O2039" t="n">
        <v>0</v>
      </c>
      <c r="P2039" t="n">
        <v>0</v>
      </c>
      <c r="Q2039" t="n">
        <v>0</v>
      </c>
      <c r="R2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2025-06-02T18:02:48Z</dcterms:created>
  <dcterms:modified xmlns:dcterms="http://purl.org/dc/terms/" xmlns:xsi="http://www.w3.org/2001/XMLSchema-instance" xsi:type="dcterms:W3CDTF">2025-06-02T18:02:50Z</dcterms:modified>
</cp:coreProperties>
</file>