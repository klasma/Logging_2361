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45794</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45794</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45794</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45794</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45794</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45794</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45794</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45794</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45794</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45794</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45794</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45794</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45794</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45794</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45794</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45794</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45794</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45794</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45794</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45794</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45794</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45794</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45794</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45794</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45794</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45794</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45794</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45794</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45794</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45794</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45794</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45794</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45794</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45794</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45794</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45794</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45794</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45794</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45794</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45794</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45794</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45794</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45794</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45794</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45794</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45794</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45794</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45794</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45794</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45794</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45794</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45794</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45794</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45794</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45794</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45794</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45794</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45794</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45794</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45794</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45794</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45794</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45794</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45794</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45794</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45794</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45794</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45794</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45794</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45794</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45794</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45794</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45794</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45794</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45794</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45794</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45794</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45794</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45794</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45794</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45794</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45794</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45794</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45794</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45794</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45794</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45794</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45794</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45794</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45794</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45794</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45794</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45794</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45794</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45794</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45794</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45794</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45794</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45794</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45794</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45794</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45794</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45794</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45794</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45794</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45794</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45794</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45794</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45794</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45794</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45794</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45794</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45794</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45794</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45794</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45794</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45794</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45794</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45794</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45794</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45794</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45794</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45794</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45794</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45794</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45794</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45794</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45794</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45794</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45794</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45794</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45794</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45794</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45794</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45794</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45794</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45794</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45794</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45794</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45794</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45794</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45794</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45794</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45794</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45794</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45794</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45794</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45794</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45794</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45794</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45794</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45794</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45794</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45794</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45794</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45794</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45794</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45794</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45794</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45794</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45794</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45794</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45794</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45794</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45794</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45794</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45794</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45794</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45794</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45794</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45794</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45794</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45794</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45794</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45794</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45794</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45794</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45794</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45794</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45794</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45794</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45794</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45794</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45794</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45794</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45794</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45794</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45794</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45794</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45794</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45794</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45794</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45794</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22513-2025</t>
        </is>
      </c>
      <c r="B199" s="1" t="n">
        <v>45786</v>
      </c>
      <c r="C199" s="1" t="n">
        <v>45794</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22513-2025 artfynd.xlsx", "A 22513-2025")</f>
        <v/>
      </c>
      <c r="T199">
        <f>HYPERLINK("https://klasma.github.io/Logging_232361/kartor/A 22513-2025 karta.png", "A 22513-2025")</f>
        <v/>
      </c>
      <c r="V199">
        <f>HYPERLINK("https://klasma.github.io/Logging_232361/klagomål/A 22513-2025 FSC-klagomål.docx", "A 22513-2025")</f>
        <v/>
      </c>
      <c r="W199">
        <f>HYPERLINK("https://klasma.github.io/Logging_232361/klagomålsmail/A 22513-2025 FSC-klagomål mail.docx", "A 22513-2025")</f>
        <v/>
      </c>
      <c r="X199">
        <f>HYPERLINK("https://klasma.github.io/Logging_232361/tillsyn/A 22513-2025 tillsynsbegäran.docx", "A 22513-2025")</f>
        <v/>
      </c>
      <c r="Y199">
        <f>HYPERLINK("https://klasma.github.io/Logging_232361/tillsynsmail/A 22513-2025 tillsynsbegäran mail.docx", "A 22513-2025")</f>
        <v/>
      </c>
    </row>
    <row r="200" ht="15" customHeight="1">
      <c r="A200" t="inlineStr">
        <is>
          <t>A 22501-2025</t>
        </is>
      </c>
      <c r="B200" s="1" t="n">
        <v>45786</v>
      </c>
      <c r="C200" s="1" t="n">
        <v>45794</v>
      </c>
      <c r="D200" t="inlineStr">
        <is>
          <t>JÄMTLANDS LÄN</t>
        </is>
      </c>
      <c r="E200" t="inlineStr">
        <is>
          <t>HÄRJEDALEN</t>
        </is>
      </c>
      <c r="F200" t="inlineStr">
        <is>
          <t>Sveaskog</t>
        </is>
      </c>
      <c r="G200" t="n">
        <v>10.7</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HYPERLINK("https://klasma.github.io/Logging_232361/artfynd/A 22501-2025 artfynd.xlsx", "A 22501-2025")</f>
        <v/>
      </c>
      <c r="T200">
        <f>HYPERLINK("https://klasma.github.io/Logging_232361/kartor/A 22501-2025 karta.png", "A 22501-2025")</f>
        <v/>
      </c>
      <c r="V200">
        <f>HYPERLINK("https://klasma.github.io/Logging_232361/klagomål/A 22501-2025 FSC-klagomål.docx", "A 22501-2025")</f>
        <v/>
      </c>
      <c r="W200">
        <f>HYPERLINK("https://klasma.github.io/Logging_232361/klagomålsmail/A 22501-2025 FSC-klagomål mail.docx", "A 22501-2025")</f>
        <v/>
      </c>
      <c r="X200">
        <f>HYPERLINK("https://klasma.github.io/Logging_232361/tillsyn/A 22501-2025 tillsynsbegäran.docx", "A 22501-2025")</f>
        <v/>
      </c>
      <c r="Y200">
        <f>HYPERLINK("https://klasma.github.io/Logging_232361/tillsynsmail/A 22501-2025 tillsynsbegäran mail.docx", "A 22501-2025")</f>
        <v/>
      </c>
    </row>
    <row r="201" ht="15" customHeight="1">
      <c r="A201" t="inlineStr">
        <is>
          <t>A 22508-2025</t>
        </is>
      </c>
      <c r="B201" s="1" t="n">
        <v>45786</v>
      </c>
      <c r="C201" s="1" t="n">
        <v>45794</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22508-2025 artfynd.xlsx", "A 22508-2025")</f>
        <v/>
      </c>
      <c r="T201">
        <f>HYPERLINK("https://klasma.github.io/Logging_232361/kartor/A 22508-2025 karta.png", "A 22508-2025")</f>
        <v/>
      </c>
      <c r="V201">
        <f>HYPERLINK("https://klasma.github.io/Logging_232361/klagomål/A 22508-2025 FSC-klagomål.docx", "A 22508-2025")</f>
        <v/>
      </c>
      <c r="W201">
        <f>HYPERLINK("https://klasma.github.io/Logging_232361/klagomålsmail/A 22508-2025 FSC-klagomål mail.docx", "A 22508-2025")</f>
        <v/>
      </c>
      <c r="X201">
        <f>HYPERLINK("https://klasma.github.io/Logging_232361/tillsyn/A 22508-2025 tillsynsbegäran.docx", "A 22508-2025")</f>
        <v/>
      </c>
      <c r="Y201">
        <f>HYPERLINK("https://klasma.github.io/Logging_232361/tillsynsmail/A 22508-2025 tillsynsbegäran mail.docx", "A 22508-2025")</f>
        <v/>
      </c>
    </row>
    <row r="202" ht="15" customHeight="1">
      <c r="A202" t="inlineStr">
        <is>
          <t>A 22494-2025</t>
        </is>
      </c>
      <c r="B202" s="1" t="n">
        <v>45786</v>
      </c>
      <c r="C202" s="1" t="n">
        <v>45794</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22494-2025 artfynd.xlsx", "A 22494-2025")</f>
        <v/>
      </c>
      <c r="T202">
        <f>HYPERLINK("https://klasma.github.io/Logging_232361/kartor/A 22494-2025 karta.png", "A 22494-2025")</f>
        <v/>
      </c>
      <c r="V202">
        <f>HYPERLINK("https://klasma.github.io/Logging_232361/klagomål/A 22494-2025 FSC-klagomål.docx", "A 22494-2025")</f>
        <v/>
      </c>
      <c r="W202">
        <f>HYPERLINK("https://klasma.github.io/Logging_232361/klagomålsmail/A 22494-2025 FSC-klagomål mail.docx", "A 22494-2025")</f>
        <v/>
      </c>
      <c r="X202">
        <f>HYPERLINK("https://klasma.github.io/Logging_232361/tillsyn/A 22494-2025 tillsynsbegäran.docx", "A 22494-2025")</f>
        <v/>
      </c>
      <c r="Y202">
        <f>HYPERLINK("https://klasma.github.io/Logging_232361/tillsynsmail/A 22494-2025 tillsynsbegäran mail.docx", "A 22494-2025")</f>
        <v/>
      </c>
    </row>
    <row r="203" ht="15" customHeight="1">
      <c r="A203" t="inlineStr">
        <is>
          <t>A 22512-2025</t>
        </is>
      </c>
      <c r="B203" s="1" t="n">
        <v>45786</v>
      </c>
      <c r="C203" s="1" t="n">
        <v>45794</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22512-2025 artfynd.xlsx", "A 22512-2025")</f>
        <v/>
      </c>
      <c r="T203">
        <f>HYPERLINK("https://klasma.github.io/Logging_232361/kartor/A 22512-2025 karta.png", "A 22512-2025")</f>
        <v/>
      </c>
      <c r="V203">
        <f>HYPERLINK("https://klasma.github.io/Logging_232361/klagomål/A 22512-2025 FSC-klagomål.docx", "A 22512-2025")</f>
        <v/>
      </c>
      <c r="W203">
        <f>HYPERLINK("https://klasma.github.io/Logging_232361/klagomålsmail/A 22512-2025 FSC-klagomål mail.docx", "A 22512-2025")</f>
        <v/>
      </c>
      <c r="X203">
        <f>HYPERLINK("https://klasma.github.io/Logging_232361/tillsyn/A 22512-2025 tillsynsbegäran.docx", "A 22512-2025")</f>
        <v/>
      </c>
      <c r="Y203">
        <f>HYPERLINK("https://klasma.github.io/Logging_232361/tillsynsmail/A 22512-2025 tillsynsbegäran mail.docx", "A 22512-2025")</f>
        <v/>
      </c>
    </row>
    <row r="204" ht="15" customHeight="1">
      <c r="A204" t="inlineStr">
        <is>
          <t>A 22511-2025</t>
        </is>
      </c>
      <c r="B204" s="1" t="n">
        <v>45786</v>
      </c>
      <c r="C204" s="1" t="n">
        <v>45794</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22511-2025 artfynd.xlsx", "A 22511-2025")</f>
        <v/>
      </c>
      <c r="T204">
        <f>HYPERLINK("https://klasma.github.io/Logging_232361/kartor/A 22511-2025 karta.png", "A 22511-2025")</f>
        <v/>
      </c>
      <c r="V204">
        <f>HYPERLINK("https://klasma.github.io/Logging_232361/klagomål/A 22511-2025 FSC-klagomål.docx", "A 22511-2025")</f>
        <v/>
      </c>
      <c r="W204">
        <f>HYPERLINK("https://klasma.github.io/Logging_232361/klagomålsmail/A 22511-2025 FSC-klagomål mail.docx", "A 22511-2025")</f>
        <v/>
      </c>
      <c r="X204">
        <f>HYPERLINK("https://klasma.github.io/Logging_232361/tillsyn/A 22511-2025 tillsynsbegäran.docx", "A 22511-2025")</f>
        <v/>
      </c>
      <c r="Y204">
        <f>HYPERLINK("https://klasma.github.io/Logging_232361/tillsynsmail/A 22511-2025 tillsynsbegäran mail.docx", "A 22511-2025")</f>
        <v/>
      </c>
    </row>
    <row r="205" ht="15" customHeight="1">
      <c r="A205" t="inlineStr">
        <is>
          <t>A 45781-2019</t>
        </is>
      </c>
      <c r="B205" s="1" t="n">
        <v>43717</v>
      </c>
      <c r="C205" s="1" t="n">
        <v>45794</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45794</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45794</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45794</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45794</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45794</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45794</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45794</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45794</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45794</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45794</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45794</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45794</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45794</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45794</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45794</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45794</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45794</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45794</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45794</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45794</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45794</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45794</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45794</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45794</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45794</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45794</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45794</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45794</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45794</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45794</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45794</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45794</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45794</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45794</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45794</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45794</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45794</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45794</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45794</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45794</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45794</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45794</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45794</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45794</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45794</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45794</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45794</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45794</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45794</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45794</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45794</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45794</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45794</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45794</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45794</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45794</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45794</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45794</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45794</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45794</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45794</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45794</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45794</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45794</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45794</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45794</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45794</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45794</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45794</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45794</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45794</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45794</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45794</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45794</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45794</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45794</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45794</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45794</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45794</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45794</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45794</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45794</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45794</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45794</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45794</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45794</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45794</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45794</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45794</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45794</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45794</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45794</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45794</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45794</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45794</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45794</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45794</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45794</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45794</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45794</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45794</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45794</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45794</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45794</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45794</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45794</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45794</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45794</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45794</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45794</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45794</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45794</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45794</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45794</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45794</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45794</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45794</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45794</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45794</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45794</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45794</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45794</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45794</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45794</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45794</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45794</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45794</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45794</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45794</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45794</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45794</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45794</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45794</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45794</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45794</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45794</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45794</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45794</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45794</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45794</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45794</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45794</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45794</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45794</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45794</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45794</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45794</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45794</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45794</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45794</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45794</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45794</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45794</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45794</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45794</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45794</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45794</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45794</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45794</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45794</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45794</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45794</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45794</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45794</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45794</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45794</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45794</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45794</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45794</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45794</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45794</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45794</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45794</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45794</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45794</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45794</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45794</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45794</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45794</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45794</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45794</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45794</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45794</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45794</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45794</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45794</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45794</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45794</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45794</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45794</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45794</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45794</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45794</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45794</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45794</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45794</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45794</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45794</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45794</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45794</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45794</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45794</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45794</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45794</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45794</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45794</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45794</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45794</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45794</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45794</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45794</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45794</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45794</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45794</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45794</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45794</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45794</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45794</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45794</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45794</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45794</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45794</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45794</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45794</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45794</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45794</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45794</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45794</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45794</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45794</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45794</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45794</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45794</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45794</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45794</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45794</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45794</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45794</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45794</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45794</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45794</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45794</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45794</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45794</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45794</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45794</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45794</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45794</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45794</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45794</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45794</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45794</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45794</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45794</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45794</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45794</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45794</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45794</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45794</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45794</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45794</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45794</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45794</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45794</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45794</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45794</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45794</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45794</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45794</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45794</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45794</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45794</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45794</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45794</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45794</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45794</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45794</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45794</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45794</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45794</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45794</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45794</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45794</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45794</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45794</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45794</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45794</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45794</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45794</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45794</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45794</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45794</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45794</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45794</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45794</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45794</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45794</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45794</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45794</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45794</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45794</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45794</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45794</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45794</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45794</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45794</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45794</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45794</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45794</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45794</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45794</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45794</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45794</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45794</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45794</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45794</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45794</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45794</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45794</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45794</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45794</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45794</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45794</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45794</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45794</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45794</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45794</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45794</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45794</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45794</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45794</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45794</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45794</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45794</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45794</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45794</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45794</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45794</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45794</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45794</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45794</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45794</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45794</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45794</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45794</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45794</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45794</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45794</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45794</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45794</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45794</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45794</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45794</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45794</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45794</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45794</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45794</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45794</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45794</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45794</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45794</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45794</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45794</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45794</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45794</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45794</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45794</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45794</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45794</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45794</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45794</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45794</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45794</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45794</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45794</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45794</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45794</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45794</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45794</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45794</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45794</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45794</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45794</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45794</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45794</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45794</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45794</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45794</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45794</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45794</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45794</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45794</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45794</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45794</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45794</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45794</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45794</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45794</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45794</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45794</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45794</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45794</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45794</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45794</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45794</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45794</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45794</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45794</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45794</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45794</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45794</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45794</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45794</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45794</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45794</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45794</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45794</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45794</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45794</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45794</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45794</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45794</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45794</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45794</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45794</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45794</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45794</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45794</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45794</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45794</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45794</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45794</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45794</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45794</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45794</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45794</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45794</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45794</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45794</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45794</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45794</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45794</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45794</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45794</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45794</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45794</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45794</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45794</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45794</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45794</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45794</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45794</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45794</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45794</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45794</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45794</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45794</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45794</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45794</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45794</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45794</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45794</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45794</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45794</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45794</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45794</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45794</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45794</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45794</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45794</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45794</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45794</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45794</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45794</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45794</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45794</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45794</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45794</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45794</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45794</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45794</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45794</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45794</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45794</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45794</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45794</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45794</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45794</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45794</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45794</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45794</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45794</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45794</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45794</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45794</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45794</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45794</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45794</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45794</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45794</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45794</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45794</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45794</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45794</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45794</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45794</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45794</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45794</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45794</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45794</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45794</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45794</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45794</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45794</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45794</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45794</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45794</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45794</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45794</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45794</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45794</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45794</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45794</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45794</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45794</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45794</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45794</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45794</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45794</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45794</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45794</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45794</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45794</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45794</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45794</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45794</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45794</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45794</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45794</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45794</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45794</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45794</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45794</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45794</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45794</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45794</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45794</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45794</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45794</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45794</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45794</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45794</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45794</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45794</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45794</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45794</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45794</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45794</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45794</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45794</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45794</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45794</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45794</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45794</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45794</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45794</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45794</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45794</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45794</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45794</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45794</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45794</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45794</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45794</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45794</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45794</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45794</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45794</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45794</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45794</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45794</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45794</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45794</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45794</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45794</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45794</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45794</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45794</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45794</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45794</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45794</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45794</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45794</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45794</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45794</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45794</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45794</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45794</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45794</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45794</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45794</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45794</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45794</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45794</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45794</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45794</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45794</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45794</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45794</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45794</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45794</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45794</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45794</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45794</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45794</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45794</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45794</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45794</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45794</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45794</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45794</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45794</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45794</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45794</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45794</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45794</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45794</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45794</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45794</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45794</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45794</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45794</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45794</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45794</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45794</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45794</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45794</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45794</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45794</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45794</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45794</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45794</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45794</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45794</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45794</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45794</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45794</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45794</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45794</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45794</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45794</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45794</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45794</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45794</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45794</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45794</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45794</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45794</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45794</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45794</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45794</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45794</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45794</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45794</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45794</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45794</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45794</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45794</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45794</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45794</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45794</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45794</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45794</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45794</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45794</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45794</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45794</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45794</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45794</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45794</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45794</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45794</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45794</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45794</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45794</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45794</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45794</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45794</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45794</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45794</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45794</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45794</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45794</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45794</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45794</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45794</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45794</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45794</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45794</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45794</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45794</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45794</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45794</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45794</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45794</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45794</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45794</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45794</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45794</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45794</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45794</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45794</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45794</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45794</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45794</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45794</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45794</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45794</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45794</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45794</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45794</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45794</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45794</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45794</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45794</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45794</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45794</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45794</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45794</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45794</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45794</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45794</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45794</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45794</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45794</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45794</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45794</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45794</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45794</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45794</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45794</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45794</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45794</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45794</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45794</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45794</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45794</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45794</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45794</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45794</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45794</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45794</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45794</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45794</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45794</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45794</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45794</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45794</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45794</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45794</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45794</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45794</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45794</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45794</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45794</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45794</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45794</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45794</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45794</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45794</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45794</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45794</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45794</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45794</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45794</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45794</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45794</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45794</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45794</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45794</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45794</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45794</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45794</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45794</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45794</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45794</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45794</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45794</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45794</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45794</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45794</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45794</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45794</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45794</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45794</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45794</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45794</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45794</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45794</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45794</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45794</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45794</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45794</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45794</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45794</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45794</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45794</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45794</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45794</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45794</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45794</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45794</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45794</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45794</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45794</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45794</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45794</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45794</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45794</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45794</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45794</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45794</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45794</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45794</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45794</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45794</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45794</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45794</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45794</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45794</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45794</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45794</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45794</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45794</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45794</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45794</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45794</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45794</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45794</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45794</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45794</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45794</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45794</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45794</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45794</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45794</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45794</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45794</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45794</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45794</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45794</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45794</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45794</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45794</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45794</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45794</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45794</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45794</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45794</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45794</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45794</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45794</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45794</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45794</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45794</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45794</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45794</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45794</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45794</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45794</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45794</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45794</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45794</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45794</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45794</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45794</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45794</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45794</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45794</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45794</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45794</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45794</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45794</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45794</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45794</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45794</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45794</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45794</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45794</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45794</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45794</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45794</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45794</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45794</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45794</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45794</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45794</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45794</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45794</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45794</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45794</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45794</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45794</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45794</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45794</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45794</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45794</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45794</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45794</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45794</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45794</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45794</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45794</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45794</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45794</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45794</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45794</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45794</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45794</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45794</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45794</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45794</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45794</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45794</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45794</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45794</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45794</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45794</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45794</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45794</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45794</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45794</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45794</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45794</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45794</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45794</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45794</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45794</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45794</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45794</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45794</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45794</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45794</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45794</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45794</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45794</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45794</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45794</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45794</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45794</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45794</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45794</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45794</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45794</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45794</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45794</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45794</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45794</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45794</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45794</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45794</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45794</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45794</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45794</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45794</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45794</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45794</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45794</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45794</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45794</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45794</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45794</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45794</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45794</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45794</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45794</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45794</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45794</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45794</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45794</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45794</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45794</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45794</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45794</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45794</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45794</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45794</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45794</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45794</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45794</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45794</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45794</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45794</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45794</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45794</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45794</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45794</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45794</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45794</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45794</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45794</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45794</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45794</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45794</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45794</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45794</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45794</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45794</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45794</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45794</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45794</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45794</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45794</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45794</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45794</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45794</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45794</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45794</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45794</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45794</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45794</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45794</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45794</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45794</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45794</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45794</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45794</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45794</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45794</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45794</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45794</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45794</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45794</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45794</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45794</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45794</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45794</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45794</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45794</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45794</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45794</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45794</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45794</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45794</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45794</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45794</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45794</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45794</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45794</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45794</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45794</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45794</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45794</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45794</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45794</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45794</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45794</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45794</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45794</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45794</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45794</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45794</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45794</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45794</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45794</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45794</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45794</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45794</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45794</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45794</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45794</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45794</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45794</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45794</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45794</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45794</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45794</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45794</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45794</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45794</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45794</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45794</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45794</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45794</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45794</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45794</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45794</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45794</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45794</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45794</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45794</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45794</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45794</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45794</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45794</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45794</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45794</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45794</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45794</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45794</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45794</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45794</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45794</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45794</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45794</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45794</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45794</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45794</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45794</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45794</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45794</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45794</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45794</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45794</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45794</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45794</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45794</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45794</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45794</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45794</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45794</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45794</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45794</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45794</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45794</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45794</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45794</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45794</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45794</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45794</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45794</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45794</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45794</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45794</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45794</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45794</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45794</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45794</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45794</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45794</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45794</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45794</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45794</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45794</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45794</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45794</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45794</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45794</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45794</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45794</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45794</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45794</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45794</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45794</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45794</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45794</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45794</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45794</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45794</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45794</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45794</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45794</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45794</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45794</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45794</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45794</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45794</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45794</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45794</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45794</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45794</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45794</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45794</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45794</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45794</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45794</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45794</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45794</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45794</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45794</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45794</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45794</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45794</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45794</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45794</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45794</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45794</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45794</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45794</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45794</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45794</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45794</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45794</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45794</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45794</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45794</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45794</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45794</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45794</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45794</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45794</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45794</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45794</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45794</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45794</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45794</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45794</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45794</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45794</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45794</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45794</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45794</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45794</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45794</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45794</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45794</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45794</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45794</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45794</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45794</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45794</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45794</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45794</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45794</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45794</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45794</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45794</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45794</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45794</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45794</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45794</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45794</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45794</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45794</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45794</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45794</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45794</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45794</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45794</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45794</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45794</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45794</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45794</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45794</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45794</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45794</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45794</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45794</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45794</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45794</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45794</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45794</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45794</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45794</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45794</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45794</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45794</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45794</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45794</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45794</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45794</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45794</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45794</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45794</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45794</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45794</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45794</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45794</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45794</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45794</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45794</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45794</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45794</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45794</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45794</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45794</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45794</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45794</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45794</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45794</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45794</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45794</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45794</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45794</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45794</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45794</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45794</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45794</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45794</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45794</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45794</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45794</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45794</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45794</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45794</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45794</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45794</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45794</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45794</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45794</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45794</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45794</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45794</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45794</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45794</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45794</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45794</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45794</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45794</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45794</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45794</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45794</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45794</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45794</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45794</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45794</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45794</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45794</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45794</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45794</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45794</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45794</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45794</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45794</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45794</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45794</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45794</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45794</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45794</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45794</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45794</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45794</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45794</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45794</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45794</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45794</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45794</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45794</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45794</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45794</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45794</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45794</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45794</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45794</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45794</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45794</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45794</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45794</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45794</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45794</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45794</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45794</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45794</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45794</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45794</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45794</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45794</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45794</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45794</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45794</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45794</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45794</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45794</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45794</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45794</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45794</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45794</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45794</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45794</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45794</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45794</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45794</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45794</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45794</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45794</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45794</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45794</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45794</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45794</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45794</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45794</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45794</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45794</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45794</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45794</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45794</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45794</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45794</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45794</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45794</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45794</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45794</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45794</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45794</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45794</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45794</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45794</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45794</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45794</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45794</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45794</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45794</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45794</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45794</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45794</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45794</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45794</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45794</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45794</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45794</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45794</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45794</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45794</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45794</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45794</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45794</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45794</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45794</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45794</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45794</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45794</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45794</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45794</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45794</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45794</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45794</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45794</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45794</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45794</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45794</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45794</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45794</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45794</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45794</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45794</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45794</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45794</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45794</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45794</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45794</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45794</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45794</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45794</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45794</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45794</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45794</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45794</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45794</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45794</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45794</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45794</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45794</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45794</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45794</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45794</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45794</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45794</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45794</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45794</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45794</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45794</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45794</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45794</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45794</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45794</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45794</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45794</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45794</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45794</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45794</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45794</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45794</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45794</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45794</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45794</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45794</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45794</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45794</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45794</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45794</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45794</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45794</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45794</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45794</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45794</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45794</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45794</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45794</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45794</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45794</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45794</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45794</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45794</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45794</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45794</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45794</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45794</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45794</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45794</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45794</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45794</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45794</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45794</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45794</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45794</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45794</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45794</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45794</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45794</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45794</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45794</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45794</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45794</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45794</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45794</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45794</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45794</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45794</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45794</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45794</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45794</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45794</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45794</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45794</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45794</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45794</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45794</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45794</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45794</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45794</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45794</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45794</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45794</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45794</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45794</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45794</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45794</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45794</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45794</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45794</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45794</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45794</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45794</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45794</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45794</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45794</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45794</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45794</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45794</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45794</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45794</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45794</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45794</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45794</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45794</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45794</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45794</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45794</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45794</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45794</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45794</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45794</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45794</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45794</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45794</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45794</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45794</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45794</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45794</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45794</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45794</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45794</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45794</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45794</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45794</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45794</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45794</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45794</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45794</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45794</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45794</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45794</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45794</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45794</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45794</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45794</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45794</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45794</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45794</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45794</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45794</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45794</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45794</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45794</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45794</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45794</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45794</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45794</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45794</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45794</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45794</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45794</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45794</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45794</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45794</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45794</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45794</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45794</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45794</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45794</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45794</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45794</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45794</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45794</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45794</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45794</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45794</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45794</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45794</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45794</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45794</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45794</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45794</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45794</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45794</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45794</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45794</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45794</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45794</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45794</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45794</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45794</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45794</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45794</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45794</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45794</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45794</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45794</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45794</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45794</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45794</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45794</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45794</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45794</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45794</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45794</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45794</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45794</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45794</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45794</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45794</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45794</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45794</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45794</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45794</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45794</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45794</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45794</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45794</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45794</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45794</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45794</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45794</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45794</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45794</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45794</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45794</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45794</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45794</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45794</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45794</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45794</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45794</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45794</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45794</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45794</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45794</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45794</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45794</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45794</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45794</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45794</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45794</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45794</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45794</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45794</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45794</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45794</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45794</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45794</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45794</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45794</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45794</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45794</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45794</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45794</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45794</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45794</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45794</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45794</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45794</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45794</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45794</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45794</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45794</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45794</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45794</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45794</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45794</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45794</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45794</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45794</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45794</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45794</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45794</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18953-2025</t>
        </is>
      </c>
      <c r="B1921" s="1" t="n">
        <v>45764</v>
      </c>
      <c r="C1921" s="1" t="n">
        <v>45794</v>
      </c>
      <c r="D1921" t="inlineStr">
        <is>
          <t>JÄMTLANDS LÄN</t>
        </is>
      </c>
      <c r="E1921" t="inlineStr">
        <is>
          <t>HÄRJEDALEN</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19102-2025</t>
        </is>
      </c>
      <c r="B1922" s="1" t="n">
        <v>45768</v>
      </c>
      <c r="C1922" s="1" t="n">
        <v>45794</v>
      </c>
      <c r="D1922" t="inlineStr">
        <is>
          <t>JÄMTLANDS LÄN</t>
        </is>
      </c>
      <c r="E1922" t="inlineStr">
        <is>
          <t>HÄRJEDALEN</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19103-2025</t>
        </is>
      </c>
      <c r="B1923" s="1" t="n">
        <v>45768</v>
      </c>
      <c r="C1923" s="1" t="n">
        <v>45794</v>
      </c>
      <c r="D1923" t="inlineStr">
        <is>
          <t>JÄMTLANDS LÄN</t>
        </is>
      </c>
      <c r="E1923" t="inlineStr">
        <is>
          <t>HÄRJEDALEN</t>
        </is>
      </c>
      <c r="F1923" t="inlineStr">
        <is>
          <t>Sveaskog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45794</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45794</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45794</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19100-2025</t>
        </is>
      </c>
      <c r="B1927" s="1" t="n">
        <v>45768</v>
      </c>
      <c r="C1927" s="1" t="n">
        <v>45794</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19101-2025</t>
        </is>
      </c>
      <c r="B1928" s="1" t="n">
        <v>45768</v>
      </c>
      <c r="C1928" s="1" t="n">
        <v>45794</v>
      </c>
      <c r="D1928" t="inlineStr">
        <is>
          <t>JÄMTLANDS LÄN</t>
        </is>
      </c>
      <c r="E1928" t="inlineStr">
        <is>
          <t>HÄRJEDALEN</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45794</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45794</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20033-2025</t>
        </is>
      </c>
      <c r="B1931" s="1" t="n">
        <v>45772</v>
      </c>
      <c r="C1931" s="1" t="n">
        <v>45794</v>
      </c>
      <c r="D1931" t="inlineStr">
        <is>
          <t>JÄMTLANDS LÄN</t>
        </is>
      </c>
      <c r="E1931" t="inlineStr">
        <is>
          <t>HÄRJEDALEN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20104-2025</t>
        </is>
      </c>
      <c r="B1932" s="1" t="n">
        <v>45772</v>
      </c>
      <c r="C1932" s="1" t="n">
        <v>45794</v>
      </c>
      <c r="D1932" t="inlineStr">
        <is>
          <t>JÄMTLANDS LÄN</t>
        </is>
      </c>
      <c r="E1932" t="inlineStr">
        <is>
          <t>HÄRJEDALEN</t>
        </is>
      </c>
      <c r="F1932" t="inlineStr">
        <is>
          <t>SCA</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20106-2025</t>
        </is>
      </c>
      <c r="B1933" s="1" t="n">
        <v>45772</v>
      </c>
      <c r="C1933" s="1" t="n">
        <v>45794</v>
      </c>
      <c r="D1933" t="inlineStr">
        <is>
          <t>JÄMTLANDS LÄN</t>
        </is>
      </c>
      <c r="E1933" t="inlineStr">
        <is>
          <t>HÄRJEDALEN</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45794</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20103-2025</t>
        </is>
      </c>
      <c r="B1935" s="1" t="n">
        <v>45772</v>
      </c>
      <c r="C1935" s="1" t="n">
        <v>45794</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45794</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45794</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20817-2025</t>
        </is>
      </c>
      <c r="B1938" s="1" t="n">
        <v>45776</v>
      </c>
      <c r="C1938" s="1" t="n">
        <v>45794</v>
      </c>
      <c r="D1938" t="inlineStr">
        <is>
          <t>JÄMTLANDS LÄN</t>
        </is>
      </c>
      <c r="E1938" t="inlineStr">
        <is>
          <t>HÄRJEDALEN</t>
        </is>
      </c>
      <c r="G1938" t="n">
        <v>26.4</v>
      </c>
      <c r="H1938" t="n">
        <v>0</v>
      </c>
      <c r="I1938" t="n">
        <v>0</v>
      </c>
      <c r="J1938" t="n">
        <v>0</v>
      </c>
      <c r="K1938" t="n">
        <v>0</v>
      </c>
      <c r="L1938" t="n">
        <v>0</v>
      </c>
      <c r="M1938" t="n">
        <v>0</v>
      </c>
      <c r="N1938" t="n">
        <v>0</v>
      </c>
      <c r="O1938" t="n">
        <v>0</v>
      </c>
      <c r="P1938" t="n">
        <v>0</v>
      </c>
      <c r="Q1938" t="n">
        <v>0</v>
      </c>
      <c r="R1938" s="2" t="inlineStr"/>
    </row>
    <row r="1939" ht="15" customHeight="1">
      <c r="A1939" t="inlineStr">
        <is>
          <t>A 20672-2025</t>
        </is>
      </c>
      <c r="B1939" s="1" t="n">
        <v>45776</v>
      </c>
      <c r="C1939" s="1" t="n">
        <v>45794</v>
      </c>
      <c r="D1939" t="inlineStr">
        <is>
          <t>JÄMTLANDS LÄN</t>
        </is>
      </c>
      <c r="E1939" t="inlineStr">
        <is>
          <t>HÄRJEDALEN</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45794</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21169-2025</t>
        </is>
      </c>
      <c r="B1941" s="1" t="n">
        <v>45779</v>
      </c>
      <c r="C1941" s="1" t="n">
        <v>45794</v>
      </c>
      <c r="D1941" t="inlineStr">
        <is>
          <t>JÄMTLANDS LÄN</t>
        </is>
      </c>
      <c r="E1941" t="inlineStr">
        <is>
          <t>HÄRJEDALEN</t>
        </is>
      </c>
      <c r="F1941" t="inlineStr">
        <is>
          <t>Holmen skog AB</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45794</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45794</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45794</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21208-2025</t>
        </is>
      </c>
      <c r="B1945" s="1" t="n">
        <v>45779</v>
      </c>
      <c r="C1945" s="1" t="n">
        <v>45794</v>
      </c>
      <c r="D1945" t="inlineStr">
        <is>
          <t>JÄMTLANDS LÄN</t>
        </is>
      </c>
      <c r="E1945" t="inlineStr">
        <is>
          <t>HÄRJEDALEN</t>
        </is>
      </c>
      <c r="F1945" t="inlineStr">
        <is>
          <t>Holmen skog AB</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45794</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45794</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45794</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45794</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45794</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45794</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45794</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45794</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45794</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45794</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22502-2025</t>
        </is>
      </c>
      <c r="B1956" s="1" t="n">
        <v>45786</v>
      </c>
      <c r="C1956" s="1" t="n">
        <v>45794</v>
      </c>
      <c r="D1956" t="inlineStr">
        <is>
          <t>JÄMTLANDS LÄN</t>
        </is>
      </c>
      <c r="E1956" t="inlineStr">
        <is>
          <t>HÄRJEDALEN</t>
        </is>
      </c>
      <c r="F1956" t="inlineStr">
        <is>
          <t>Sveaskog</t>
        </is>
      </c>
      <c r="G1956" t="n">
        <v>20.1</v>
      </c>
      <c r="H1956" t="n">
        <v>0</v>
      </c>
      <c r="I1956" t="n">
        <v>0</v>
      </c>
      <c r="J1956" t="n">
        <v>0</v>
      </c>
      <c r="K1956" t="n">
        <v>0</v>
      </c>
      <c r="L1956" t="n">
        <v>0</v>
      </c>
      <c r="M1956" t="n">
        <v>0</v>
      </c>
      <c r="N1956" t="n">
        <v>0</v>
      </c>
      <c r="O1956" t="n">
        <v>0</v>
      </c>
      <c r="P1956" t="n">
        <v>0</v>
      </c>
      <c r="Q1956" t="n">
        <v>0</v>
      </c>
      <c r="R1956" s="2" t="inlineStr"/>
    </row>
    <row r="1957" ht="15" customHeight="1">
      <c r="A1957" t="inlineStr">
        <is>
          <t>A 22509-2025</t>
        </is>
      </c>
      <c r="B1957" s="1" t="n">
        <v>45786</v>
      </c>
      <c r="C1957" s="1" t="n">
        <v>45794</v>
      </c>
      <c r="D1957" t="inlineStr">
        <is>
          <t>JÄMTLANDS LÄN</t>
        </is>
      </c>
      <c r="E1957" t="inlineStr">
        <is>
          <t>HÄRJEDALEN</t>
        </is>
      </c>
      <c r="F1957" t="inlineStr">
        <is>
          <t>Sveaskog</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22504-2025</t>
        </is>
      </c>
      <c r="B1958" s="1" t="n">
        <v>45786</v>
      </c>
      <c r="C1958" s="1" t="n">
        <v>45794</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45794</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22915-2025</t>
        </is>
      </c>
      <c r="B1960" s="1" t="n">
        <v>45790</v>
      </c>
      <c r="C1960" s="1" t="n">
        <v>45794</v>
      </c>
      <c r="D1960" t="inlineStr">
        <is>
          <t>JÄMTLANDS LÄN</t>
        </is>
      </c>
      <c r="E1960" t="inlineStr">
        <is>
          <t>HÄRJEDALEN</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23068-2025</t>
        </is>
      </c>
      <c r="B1961" s="1" t="n">
        <v>45790</v>
      </c>
      <c r="C1961" s="1" t="n">
        <v>45794</v>
      </c>
      <c r="D1961" t="inlineStr">
        <is>
          <t>JÄMTLANDS LÄN</t>
        </is>
      </c>
      <c r="E1961" t="inlineStr">
        <is>
          <t>HÄRJEDALEN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23600-2025</t>
        </is>
      </c>
      <c r="B1962" s="1" t="n">
        <v>45792</v>
      </c>
      <c r="C1962" s="1" t="n">
        <v>45794</v>
      </c>
      <c r="D1962" t="inlineStr">
        <is>
          <t>JÄMTLANDS LÄN</t>
        </is>
      </c>
      <c r="E1962" t="inlineStr">
        <is>
          <t>HÄRJEDALEN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23518-2025</t>
        </is>
      </c>
      <c r="B1963" s="1" t="n">
        <v>45792</v>
      </c>
      <c r="C1963" s="1" t="n">
        <v>45794</v>
      </c>
      <c r="D1963" t="inlineStr">
        <is>
          <t>JÄMTLANDS LÄN</t>
        </is>
      </c>
      <c r="E1963" t="inlineStr">
        <is>
          <t>HÄRJEDALEN</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23596-2025</t>
        </is>
      </c>
      <c r="B1964" s="1" t="n">
        <v>45792</v>
      </c>
      <c r="C1964" s="1" t="n">
        <v>45794</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c r="A1965" t="inlineStr">
        <is>
          <t>A 23731-2025</t>
        </is>
      </c>
      <c r="B1965" s="1" t="n">
        <v>45793</v>
      </c>
      <c r="C1965" s="1" t="n">
        <v>45794</v>
      </c>
      <c r="D1965" t="inlineStr">
        <is>
          <t>JÄMTLANDS LÄN</t>
        </is>
      </c>
      <c r="E1965" t="inlineStr">
        <is>
          <t>HÄRJEDALEN</t>
        </is>
      </c>
      <c r="F1965" t="inlineStr">
        <is>
          <t>Sveaskog</t>
        </is>
      </c>
      <c r="G1965" t="n">
        <v>11.7</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2025-05-17T17:23:34Z</dcterms:created>
  <dcterms:modified xmlns:dcterms="http://purl.org/dc/terms/" xmlns:xsi="http://www.w3.org/2001/XMLSchema-instance" xsi:type="dcterms:W3CDTF">2025-05-17T17:23:36Z</dcterms:modified>
</cp:coreProperties>
</file>