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46076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46076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46076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46076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46076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46076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46076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46076</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46076</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46076</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46076</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46076</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46076</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46076</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46076</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46076</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46076</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46076</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46076</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46076</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46076</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46076</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46076</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46076</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46076</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46076</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46076</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46076</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46076</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46076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46076</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46076</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28288-2024</t>
        </is>
      </c>
      <c r="B55" s="1" t="n">
        <v>45477.46537037037</v>
      </c>
      <c r="C55" s="1" t="n">
        <v>46076</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5780-2025</t>
        </is>
      </c>
      <c r="B56" s="1" t="n">
        <v>45694</v>
      </c>
      <c r="C56" s="1" t="n">
        <v>46076</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16890-2024</t>
        </is>
      </c>
      <c r="B57" s="1" t="n">
        <v>45411</v>
      </c>
      <c r="C57" s="1" t="n">
        <v>46076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46076</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46076</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46076</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46076</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46076</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46076</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46076</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46076</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46076</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46076</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46076</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46076</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46076</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46076</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44450-2024</t>
        </is>
      </c>
      <c r="B74" s="1" t="n">
        <v>45574</v>
      </c>
      <c r="C74" s="1" t="n">
        <v>46076</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46076</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46076</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46076</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46076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46076</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46076</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46076</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46076</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31853-2025</t>
        </is>
      </c>
      <c r="B83" s="1" t="n">
        <v>45834</v>
      </c>
      <c r="C83" s="1" t="n">
        <v>46076</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55383-2022</t>
        </is>
      </c>
      <c r="B84" s="1" t="n">
        <v>44882</v>
      </c>
      <c r="C84" s="1" t="n">
        <v>46076</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46076</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46076</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46076</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46076</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46076</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46076</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46076</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46076</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46076</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46076</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46076</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46076</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24955-2023</t>
        </is>
      </c>
      <c r="B97" s="1" t="n">
        <v>45085</v>
      </c>
      <c r="C97" s="1" t="n">
        <v>46076</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41549-2025</t>
        </is>
      </c>
      <c r="B98" s="1" t="n">
        <v>45901.58591435185</v>
      </c>
      <c r="C98" s="1" t="n">
        <v>46076</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46076</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43906-2025</t>
        </is>
      </c>
      <c r="B100" s="1" t="n">
        <v>45913.82180555556</v>
      </c>
      <c r="C100" s="1" t="n">
        <v>46076</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41068-2024</t>
        </is>
      </c>
      <c r="B101" s="1" t="n">
        <v>45559.38894675926</v>
      </c>
      <c r="C101" s="1" t="n">
        <v>46076</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46076</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46076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46076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46076</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55641-2021</t>
        </is>
      </c>
      <c r="B106" s="1" t="n">
        <v>44476</v>
      </c>
      <c r="C106" s="1" t="n">
        <v>46076</v>
      </c>
      <c r="D106" t="inlineStr">
        <is>
          <t>JÄMTLANDS LÄN</t>
        </is>
      </c>
      <c r="E106" t="inlineStr">
        <is>
          <t>HÄRJEDALEN</t>
        </is>
      </c>
      <c r="G106" t="n">
        <v>7.6</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55641-2021 artfynd.xlsx", "A 55641-2021")</f>
        <v/>
      </c>
      <c r="T106">
        <f>HYPERLINK("https://klasma.github.io/Logging_2361/kartor/A 55641-2021 karta.png", "A 55641-2021")</f>
        <v/>
      </c>
      <c r="V106">
        <f>HYPERLINK("https://klasma.github.io/Logging_2361/klagomål/A 55641-2021 FSC-klagomål.docx", "A 55641-2021")</f>
        <v/>
      </c>
      <c r="W106">
        <f>HYPERLINK("https://klasma.github.io/Logging_2361/klagomålsmail/A 55641-2021 FSC-klagomål mail.docx", "A 55641-2021")</f>
        <v/>
      </c>
      <c r="X106">
        <f>HYPERLINK("https://klasma.github.io/Logging_2361/tillsyn/A 55641-2021 tillsynsbegäran.docx", "A 55641-2021")</f>
        <v/>
      </c>
      <c r="Y106">
        <f>HYPERLINK("https://klasma.github.io/Logging_2361/tillsynsmail/A 55641-2021 tillsynsbegäran mail.docx", "A 55641-2021")</f>
        <v/>
      </c>
      <c r="Z106">
        <f>HYPERLINK("https://klasma.github.io/Logging_2361/fåglar/A 55641-2021 prioriterade fågelarter.docx", "A 55641-2021")</f>
        <v/>
      </c>
    </row>
    <row r="107" ht="15" customHeight="1">
      <c r="A107" t="inlineStr">
        <is>
          <t>A 52017-2025</t>
        </is>
      </c>
      <c r="B107" s="1" t="n">
        <v>45952.59800925926</v>
      </c>
      <c r="C107" s="1" t="n">
        <v>46076</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46076</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7179-2026</t>
        </is>
      </c>
      <c r="B109" s="1" t="n">
        <v>46058.48107638889</v>
      </c>
      <c r="C109" s="1" t="n">
        <v>46076</v>
      </c>
      <c r="D109" t="inlineStr">
        <is>
          <t>JÄMTLANDS LÄN</t>
        </is>
      </c>
      <c r="E109" t="inlineStr">
        <is>
          <t>HÄRJEDALEN</t>
        </is>
      </c>
      <c r="G109" t="n">
        <v>11.5</v>
      </c>
      <c r="H109" t="n">
        <v>0</v>
      </c>
      <c r="I109" t="n">
        <v>0</v>
      </c>
      <c r="J109" t="n">
        <v>4</v>
      </c>
      <c r="K109" t="n">
        <v>0</v>
      </c>
      <c r="L109" t="n">
        <v>0</v>
      </c>
      <c r="M109" t="n">
        <v>0</v>
      </c>
      <c r="N109" t="n">
        <v>0</v>
      </c>
      <c r="O109" t="n">
        <v>4</v>
      </c>
      <c r="P109" t="n">
        <v>0</v>
      </c>
      <c r="Q109" t="n">
        <v>4</v>
      </c>
      <c r="R109" s="2" t="inlineStr">
        <is>
          <t>Blågrå svartspik
Kolflarnlav
Vedflamlav
Vitgrynig nållav</t>
        </is>
      </c>
      <c r="S109">
        <f>HYPERLINK("https://klasma.github.io/Logging_2361/artfynd/A 7179-2026 artfynd.xlsx", "A 7179-2026")</f>
        <v/>
      </c>
      <c r="T109">
        <f>HYPERLINK("https://klasma.github.io/Logging_2361/kartor/A 7179-2026 karta.png", "A 7179-2026")</f>
        <v/>
      </c>
      <c r="V109">
        <f>HYPERLINK("https://klasma.github.io/Logging_2361/klagomål/A 7179-2026 FSC-klagomål.docx", "A 7179-2026")</f>
        <v/>
      </c>
      <c r="W109">
        <f>HYPERLINK("https://klasma.github.io/Logging_2361/klagomålsmail/A 7179-2026 FSC-klagomål mail.docx", "A 7179-2026")</f>
        <v/>
      </c>
      <c r="X109">
        <f>HYPERLINK("https://klasma.github.io/Logging_2361/tillsyn/A 7179-2026 tillsynsbegäran.docx", "A 7179-2026")</f>
        <v/>
      </c>
      <c r="Y109">
        <f>HYPERLINK("https://klasma.github.io/Logging_2361/tillsynsmail/A 7179-2026 tillsynsbegäran mail.docx", "A 7179-2026")</f>
        <v/>
      </c>
    </row>
    <row r="110" ht="15" customHeight="1">
      <c r="A110" t="inlineStr">
        <is>
          <t>A 4757-2023</t>
        </is>
      </c>
      <c r="B110" s="1" t="n">
        <v>44957</v>
      </c>
      <c r="C110" s="1" t="n">
        <v>46076</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46076</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46076</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46076</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46076</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46076</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46076</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46076</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46076</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29098-2025</t>
        </is>
      </c>
      <c r="B119" s="1" t="n">
        <v>45821.56523148148</v>
      </c>
      <c r="C119" s="1" t="n">
        <v>46076</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33393-2025</t>
        </is>
      </c>
      <c r="B120" s="1" t="n">
        <v>45841.41003472222</v>
      </c>
      <c r="C120" s="1" t="n">
        <v>46076</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33393-2025 artfynd.xlsx", "A 33393-2025")</f>
        <v/>
      </c>
      <c r="T120">
        <f>HYPERLINK("https://klasma.github.io/Logging_2361/kartor/A 33393-2025 karta.png", "A 33393-2025")</f>
        <v/>
      </c>
      <c r="V120">
        <f>HYPERLINK("https://klasma.github.io/Logging_2361/klagomål/A 33393-2025 FSC-klagomål.docx", "A 33393-2025")</f>
        <v/>
      </c>
      <c r="W120">
        <f>HYPERLINK("https://klasma.github.io/Logging_2361/klagomålsmail/A 33393-2025 FSC-klagomål mail.docx", "A 33393-2025")</f>
        <v/>
      </c>
      <c r="X120">
        <f>HYPERLINK("https://klasma.github.io/Logging_2361/tillsyn/A 33393-2025 tillsynsbegäran.docx", "A 33393-2025")</f>
        <v/>
      </c>
      <c r="Y120">
        <f>HYPERLINK("https://klasma.github.io/Logging_2361/tillsynsmail/A 33393-2025 tillsynsbegäran mail.docx", "A 33393-2025")</f>
        <v/>
      </c>
    </row>
    <row r="121" ht="15" customHeight="1">
      <c r="A121" t="inlineStr">
        <is>
          <t>A 34814-2025</t>
        </is>
      </c>
      <c r="B121" s="1" t="n">
        <v>45849.35011574074</v>
      </c>
      <c r="C121" s="1" t="n">
        <v>46076</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46076</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46076</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46076</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46076</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46076</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46076</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46076</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46076</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46076</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46076</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46076</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49329-2024</t>
        </is>
      </c>
      <c r="B133" s="1" t="n">
        <v>45595.58056712963</v>
      </c>
      <c r="C133" s="1" t="n">
        <v>46076</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40789-2025</t>
        </is>
      </c>
      <c r="B134" s="1" t="n">
        <v>45897.44645833333</v>
      </c>
      <c r="C134" s="1" t="n">
        <v>46076</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46076</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29710-2024</t>
        </is>
      </c>
      <c r="B136" s="1" t="n">
        <v>45485</v>
      </c>
      <c r="C136" s="1" t="n">
        <v>46076</v>
      </c>
      <c r="D136" t="inlineStr">
        <is>
          <t>JÄMTLANDS LÄN</t>
        </is>
      </c>
      <c r="E136" t="inlineStr">
        <is>
          <t>HÄRJEDALEN</t>
        </is>
      </c>
      <c r="F136" t="inlineStr">
        <is>
          <t>Holmen skog AB</t>
        </is>
      </c>
      <c r="G136" t="n">
        <v>4</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29710-2024 artfynd.xlsx", "A 29710-2024")</f>
        <v/>
      </c>
      <c r="T136">
        <f>HYPERLINK("https://klasma.github.io/Logging_2361/kartor/A 29710-2024 karta.png", "A 29710-2024")</f>
        <v/>
      </c>
      <c r="V136">
        <f>HYPERLINK("https://klasma.github.io/Logging_2361/klagomål/A 29710-2024 FSC-klagomål.docx", "A 29710-2024")</f>
        <v/>
      </c>
      <c r="W136">
        <f>HYPERLINK("https://klasma.github.io/Logging_2361/klagomålsmail/A 29710-2024 FSC-klagomål mail.docx", "A 29710-2024")</f>
        <v/>
      </c>
      <c r="X136">
        <f>HYPERLINK("https://klasma.github.io/Logging_2361/tillsyn/A 29710-2024 tillsynsbegäran.docx", "A 29710-2024")</f>
        <v/>
      </c>
      <c r="Y136">
        <f>HYPERLINK("https://klasma.github.io/Logging_2361/tillsynsmail/A 29710-2024 tillsynsbegäran mail.docx", "A 29710-2024")</f>
        <v/>
      </c>
    </row>
    <row r="137" ht="15" customHeight="1">
      <c r="A137" t="inlineStr">
        <is>
          <t>A 29717-2024</t>
        </is>
      </c>
      <c r="B137" s="1" t="n">
        <v>45485</v>
      </c>
      <c r="C137" s="1" t="n">
        <v>46076</v>
      </c>
      <c r="D137" t="inlineStr">
        <is>
          <t>JÄMTLANDS LÄN</t>
        </is>
      </c>
      <c r="E137" t="inlineStr">
        <is>
          <t>HÄRJEDALEN</t>
        </is>
      </c>
      <c r="F137" t="inlineStr">
        <is>
          <t>Holmen skog AB</t>
        </is>
      </c>
      <c r="G137" t="n">
        <v>25.7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29717-2024 artfynd.xlsx", "A 29717-2024")</f>
        <v/>
      </c>
      <c r="T137">
        <f>HYPERLINK("https://klasma.github.io/Logging_2361/kartor/A 29717-2024 karta.png", "A 29717-2024")</f>
        <v/>
      </c>
      <c r="V137">
        <f>HYPERLINK("https://klasma.github.io/Logging_2361/klagomål/A 29717-2024 FSC-klagomål.docx", "A 29717-2024")</f>
        <v/>
      </c>
      <c r="W137">
        <f>HYPERLINK("https://klasma.github.io/Logging_2361/klagomålsmail/A 29717-2024 FSC-klagomål mail.docx", "A 29717-2024")</f>
        <v/>
      </c>
      <c r="X137">
        <f>HYPERLINK("https://klasma.github.io/Logging_2361/tillsyn/A 29717-2024 tillsynsbegäran.docx", "A 29717-2024")</f>
        <v/>
      </c>
      <c r="Y137">
        <f>HYPERLINK("https://klasma.github.io/Logging_2361/tillsynsmail/A 29717-2024 tillsynsbegäran mail.docx", "A 29717-2024")</f>
        <v/>
      </c>
    </row>
    <row r="138" ht="15" customHeight="1">
      <c r="A138" t="inlineStr">
        <is>
          <t>A 5781-2025</t>
        </is>
      </c>
      <c r="B138" s="1" t="n">
        <v>45694</v>
      </c>
      <c r="C138" s="1" t="n">
        <v>46076</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48303-2025</t>
        </is>
      </c>
      <c r="B139" s="1" t="n">
        <v>45933.61240740741</v>
      </c>
      <c r="C139" s="1" t="n">
        <v>46076</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37572-2025</t>
        </is>
      </c>
      <c r="B140" s="1" t="n">
        <v>45880.37559027778</v>
      </c>
      <c r="C140" s="1" t="n">
        <v>46076</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46076</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46076</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56616-2025</t>
        </is>
      </c>
      <c r="B143" s="1" t="n">
        <v>45975.59357638889</v>
      </c>
      <c r="C143" s="1" t="n">
        <v>46076</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55228-2021</t>
        </is>
      </c>
      <c r="B144" s="1" t="n">
        <v>44475</v>
      </c>
      <c r="C144" s="1" t="n">
        <v>46076</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50438-2022</t>
        </is>
      </c>
      <c r="B145" s="1" t="n">
        <v>44866.46503472222</v>
      </c>
      <c r="C145" s="1" t="n">
        <v>46076</v>
      </c>
      <c r="D145" t="inlineStr">
        <is>
          <t>JÄMTLANDS LÄN</t>
        </is>
      </c>
      <c r="E145" t="inlineStr">
        <is>
          <t>HÄRJEDALEN</t>
        </is>
      </c>
      <c r="F145" t="inlineStr">
        <is>
          <t>Bergvik skog väst AB</t>
        </is>
      </c>
      <c r="G145" t="n">
        <v>4.6</v>
      </c>
      <c r="H145" t="n">
        <v>1</v>
      </c>
      <c r="I145" t="n">
        <v>0</v>
      </c>
      <c r="J145" t="n">
        <v>1</v>
      </c>
      <c r="K145" t="n">
        <v>1</v>
      </c>
      <c r="L145" t="n">
        <v>0</v>
      </c>
      <c r="M145" t="n">
        <v>0</v>
      </c>
      <c r="N145" t="n">
        <v>0</v>
      </c>
      <c r="O145" t="n">
        <v>2</v>
      </c>
      <c r="P145" t="n">
        <v>1</v>
      </c>
      <c r="Q145" t="n">
        <v>2</v>
      </c>
      <c r="R145" s="2" t="inlineStr">
        <is>
          <t>Knärot
Skrovellav</t>
        </is>
      </c>
      <c r="S145">
        <f>HYPERLINK("https://klasma.github.io/Logging_2361/artfynd/A 50438-2022 artfynd.xlsx", "A 50438-2022")</f>
        <v/>
      </c>
      <c r="T145">
        <f>HYPERLINK("https://klasma.github.io/Logging_2361/kartor/A 50438-2022 karta.png", "A 50438-2022")</f>
        <v/>
      </c>
      <c r="U145">
        <f>HYPERLINK("https://klasma.github.io/Logging_2361/knärot/A 50438-2022 karta knärot.png", "A 50438-2022")</f>
        <v/>
      </c>
      <c r="V145">
        <f>HYPERLINK("https://klasma.github.io/Logging_2361/klagomål/A 50438-2022 FSC-klagomål.docx", "A 50438-2022")</f>
        <v/>
      </c>
      <c r="W145">
        <f>HYPERLINK("https://klasma.github.io/Logging_2361/klagomålsmail/A 50438-2022 FSC-klagomål mail.docx", "A 50438-2022")</f>
        <v/>
      </c>
      <c r="X145">
        <f>HYPERLINK("https://klasma.github.io/Logging_2361/tillsyn/A 50438-2022 tillsynsbegäran.docx", "A 50438-2022")</f>
        <v/>
      </c>
      <c r="Y145">
        <f>HYPERLINK("https://klasma.github.io/Logging_2361/tillsynsmail/A 50438-2022 tillsynsbegäran mail.docx", "A 50438-2022")</f>
        <v/>
      </c>
    </row>
    <row r="146" ht="15" customHeight="1">
      <c r="A146" t="inlineStr">
        <is>
          <t>A 59119-2025</t>
        </is>
      </c>
      <c r="B146" s="1" t="n">
        <v>45988.49024305555</v>
      </c>
      <c r="C146" s="1" t="n">
        <v>46076</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20132-2025</t>
        </is>
      </c>
      <c r="B147" s="1" t="n">
        <v>45772.51070601852</v>
      </c>
      <c r="C147" s="1" t="n">
        <v>46076</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46076</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48065-2021</t>
        </is>
      </c>
      <c r="B149" s="1" t="n">
        <v>44449</v>
      </c>
      <c r="C149" s="1" t="n">
        <v>46076</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60750-2024</t>
        </is>
      </c>
      <c r="B150" s="1" t="n">
        <v>45644.56555555556</v>
      </c>
      <c r="C150" s="1" t="n">
        <v>46076</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46076</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64110-2025</t>
        </is>
      </c>
      <c r="B152" s="1" t="n">
        <v>46013</v>
      </c>
      <c r="C152" s="1" t="n">
        <v>46076</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31414-2025</t>
        </is>
      </c>
      <c r="B153" s="1" t="n">
        <v>45833</v>
      </c>
      <c r="C153" s="1" t="n">
        <v>46076</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313-2026</t>
        </is>
      </c>
      <c r="B154" s="1" t="n">
        <v>46027.55914351852</v>
      </c>
      <c r="C154" s="1" t="n">
        <v>46076</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17368-2023</t>
        </is>
      </c>
      <c r="B155" s="1" t="n">
        <v>45035</v>
      </c>
      <c r="C155" s="1" t="n">
        <v>46076</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46076</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46076</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46076</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46076</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46076</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46076</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46076</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46076</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46076</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46076</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26346-2025</t>
        </is>
      </c>
      <c r="B166" s="1" t="n">
        <v>45805.73822916667</v>
      </c>
      <c r="C166" s="1" t="n">
        <v>46076</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55221-2021</t>
        </is>
      </c>
      <c r="B167" s="1" t="n">
        <v>44475</v>
      </c>
      <c r="C167" s="1" t="n">
        <v>46076</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46076</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46076</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46076</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46076</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46076</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46076</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46076</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9233-2025</t>
        </is>
      </c>
      <c r="B175" s="1" t="n">
        <v>45714.55248842593</v>
      </c>
      <c r="C175" s="1" t="n">
        <v>46076</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7318-2024</t>
        </is>
      </c>
      <c r="B176" s="1" t="n">
        <v>45345</v>
      </c>
      <c r="C176" s="1" t="n">
        <v>46076</v>
      </c>
      <c r="D176" t="inlineStr">
        <is>
          <t>JÄMTLANDS LÄN</t>
        </is>
      </c>
      <c r="E176" t="inlineStr">
        <is>
          <t>HÄRJEDALEN</t>
        </is>
      </c>
      <c r="F176" t="inlineStr">
        <is>
          <t>Holmen skog AB</t>
        </is>
      </c>
      <c r="G176" t="n">
        <v>3.6</v>
      </c>
      <c r="H176" t="n">
        <v>0</v>
      </c>
      <c r="I176" t="n">
        <v>0</v>
      </c>
      <c r="J176" t="n">
        <v>1</v>
      </c>
      <c r="K176" t="n">
        <v>0</v>
      </c>
      <c r="L176" t="n">
        <v>0</v>
      </c>
      <c r="M176" t="n">
        <v>0</v>
      </c>
      <c r="N176" t="n">
        <v>0</v>
      </c>
      <c r="O176" t="n">
        <v>1</v>
      </c>
      <c r="P176" t="n">
        <v>0</v>
      </c>
      <c r="Q176" t="n">
        <v>1</v>
      </c>
      <c r="R176" s="2" t="inlineStr">
        <is>
          <t>Lunglav</t>
        </is>
      </c>
      <c r="S176">
        <f>HYPERLINK("https://klasma.github.io/Logging_2361/artfynd/A 7318-2024 artfynd.xlsx", "A 7318-2024")</f>
        <v/>
      </c>
      <c r="T176">
        <f>HYPERLINK("https://klasma.github.io/Logging_2361/kartor/A 7318-2024 karta.png", "A 7318-2024")</f>
        <v/>
      </c>
      <c r="V176">
        <f>HYPERLINK("https://klasma.github.io/Logging_2361/klagomål/A 7318-2024 FSC-klagomål.docx", "A 7318-2024")</f>
        <v/>
      </c>
      <c r="W176">
        <f>HYPERLINK("https://klasma.github.io/Logging_2361/klagomålsmail/A 7318-2024 FSC-klagomål mail.docx", "A 7318-2024")</f>
        <v/>
      </c>
      <c r="X176">
        <f>HYPERLINK("https://klasma.github.io/Logging_2361/tillsyn/A 7318-2024 tillsynsbegäran.docx", "A 7318-2024")</f>
        <v/>
      </c>
      <c r="Y176">
        <f>HYPERLINK("https://klasma.github.io/Logging_2361/tillsynsmail/A 7318-2024 tillsynsbegäran mail.docx", "A 7318-2024")</f>
        <v/>
      </c>
    </row>
    <row r="177" ht="15" customHeight="1">
      <c r="A177" t="inlineStr">
        <is>
          <t>A 23331-2025</t>
        </is>
      </c>
      <c r="B177" s="1" t="n">
        <v>45791</v>
      </c>
      <c r="C177" s="1" t="n">
        <v>46076</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39362-2025</t>
        </is>
      </c>
      <c r="B178" s="1" t="n">
        <v>45889.56214120371</v>
      </c>
      <c r="C178" s="1" t="n">
        <v>46076</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32310-2025</t>
        </is>
      </c>
      <c r="B179" s="1" t="n">
        <v>45835.7499537037</v>
      </c>
      <c r="C179" s="1" t="n">
        <v>46076</v>
      </c>
      <c r="D179" t="inlineStr">
        <is>
          <t>JÄMTLANDS LÄN</t>
        </is>
      </c>
      <c r="E179" t="inlineStr">
        <is>
          <t>HÄRJEDALEN</t>
        </is>
      </c>
      <c r="F179" t="inlineStr">
        <is>
          <t>Sveaskog</t>
        </is>
      </c>
      <c r="G179" t="n">
        <v>1.6</v>
      </c>
      <c r="H179" t="n">
        <v>0</v>
      </c>
      <c r="I179" t="n">
        <v>0</v>
      </c>
      <c r="J179" t="n">
        <v>1</v>
      </c>
      <c r="K179" t="n">
        <v>0</v>
      </c>
      <c r="L179" t="n">
        <v>0</v>
      </c>
      <c r="M179" t="n">
        <v>0</v>
      </c>
      <c r="N179" t="n">
        <v>0</v>
      </c>
      <c r="O179" t="n">
        <v>1</v>
      </c>
      <c r="P179" t="n">
        <v>0</v>
      </c>
      <c r="Q179" t="n">
        <v>1</v>
      </c>
      <c r="R179" s="2" t="inlineStr">
        <is>
          <t>Kolflarnlav</t>
        </is>
      </c>
      <c r="S179">
        <f>HYPERLINK("https://klasma.github.io/Logging_2361/artfynd/A 32310-2025 artfynd.xlsx", "A 32310-2025")</f>
        <v/>
      </c>
      <c r="T179">
        <f>HYPERLINK("https://klasma.github.io/Logging_2361/kartor/A 32310-2025 karta.png", "A 32310-2025")</f>
        <v/>
      </c>
      <c r="V179">
        <f>HYPERLINK("https://klasma.github.io/Logging_2361/klagomål/A 32310-2025 FSC-klagomål.docx", "A 32310-2025")</f>
        <v/>
      </c>
      <c r="W179">
        <f>HYPERLINK("https://klasma.github.io/Logging_2361/klagomålsmail/A 32310-2025 FSC-klagomål mail.docx", "A 32310-2025")</f>
        <v/>
      </c>
      <c r="X179">
        <f>HYPERLINK("https://klasma.github.io/Logging_2361/tillsyn/A 32310-2025 tillsynsbegäran.docx", "A 32310-2025")</f>
        <v/>
      </c>
      <c r="Y179">
        <f>HYPERLINK("https://klasma.github.io/Logging_2361/tillsynsmail/A 32310-2025 tillsynsbegäran mail.docx", "A 32310-2025")</f>
        <v/>
      </c>
    </row>
    <row r="180" ht="15" customHeight="1">
      <c r="A180" t="inlineStr">
        <is>
          <t>A 32678-2025</t>
        </is>
      </c>
      <c r="B180" s="1" t="n">
        <v>45838.773125</v>
      </c>
      <c r="C180" s="1" t="n">
        <v>46076</v>
      </c>
      <c r="D180" t="inlineStr">
        <is>
          <t>JÄMTLANDS LÄN</t>
        </is>
      </c>
      <c r="E180" t="inlineStr">
        <is>
          <t>HÄRJEDALEN</t>
        </is>
      </c>
      <c r="F180" t="inlineStr">
        <is>
          <t>Sveaskog</t>
        </is>
      </c>
      <c r="G180" t="n">
        <v>12.8</v>
      </c>
      <c r="H180" t="n">
        <v>0</v>
      </c>
      <c r="I180" t="n">
        <v>0</v>
      </c>
      <c r="J180" t="n">
        <v>1</v>
      </c>
      <c r="K180" t="n">
        <v>0</v>
      </c>
      <c r="L180" t="n">
        <v>0</v>
      </c>
      <c r="M180" t="n">
        <v>0</v>
      </c>
      <c r="N180" t="n">
        <v>0</v>
      </c>
      <c r="O180" t="n">
        <v>1</v>
      </c>
      <c r="P180" t="n">
        <v>0</v>
      </c>
      <c r="Q180" t="n">
        <v>1</v>
      </c>
      <c r="R180" s="2" t="inlineStr">
        <is>
          <t>Kolflarnlav</t>
        </is>
      </c>
      <c r="S180">
        <f>HYPERLINK("https://klasma.github.io/Logging_2361/artfynd/A 32678-2025 artfynd.xlsx", "A 32678-2025")</f>
        <v/>
      </c>
      <c r="T180">
        <f>HYPERLINK("https://klasma.github.io/Logging_2361/kartor/A 32678-2025 karta.png", "A 32678-2025")</f>
        <v/>
      </c>
      <c r="V180">
        <f>HYPERLINK("https://klasma.github.io/Logging_2361/klagomål/A 32678-2025 FSC-klagomål.docx", "A 32678-2025")</f>
        <v/>
      </c>
      <c r="W180">
        <f>HYPERLINK("https://klasma.github.io/Logging_2361/klagomålsmail/A 32678-2025 FSC-klagomål mail.docx", "A 32678-2025")</f>
        <v/>
      </c>
      <c r="X180">
        <f>HYPERLINK("https://klasma.github.io/Logging_2361/tillsyn/A 32678-2025 tillsynsbegäran.docx", "A 32678-2025")</f>
        <v/>
      </c>
      <c r="Y180">
        <f>HYPERLINK("https://klasma.github.io/Logging_2361/tillsynsmail/A 32678-2025 tillsynsbegäran mail.docx", "A 32678-2025")</f>
        <v/>
      </c>
    </row>
    <row r="181" ht="15" customHeight="1">
      <c r="A181" t="inlineStr">
        <is>
          <t>A 43322-2025</t>
        </is>
      </c>
      <c r="B181" s="1" t="n">
        <v>45910.66347222222</v>
      </c>
      <c r="C181" s="1" t="n">
        <v>46076</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55582-2024</t>
        </is>
      </c>
      <c r="B182" s="1" t="n">
        <v>45622</v>
      </c>
      <c r="C182" s="1" t="n">
        <v>46076</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46076</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52307-2025</t>
        </is>
      </c>
      <c r="B184" s="1" t="n">
        <v>45953.63997685185</v>
      </c>
      <c r="C184" s="1" t="n">
        <v>46076</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36941-2024</t>
        </is>
      </c>
      <c r="B185" s="1" t="n">
        <v>45538.57630787037</v>
      </c>
      <c r="C185" s="1" t="n">
        <v>46076</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56521-2025</t>
        </is>
      </c>
      <c r="B186" s="1" t="n">
        <v>45975.46076388889</v>
      </c>
      <c r="C186" s="1" t="n">
        <v>46076</v>
      </c>
      <c r="D186" t="inlineStr">
        <is>
          <t>JÄMTLANDS LÄN</t>
        </is>
      </c>
      <c r="E186" t="inlineStr">
        <is>
          <t>HÄRJEDALEN</t>
        </is>
      </c>
      <c r="F186" t="inlineStr">
        <is>
          <t>Bergvik skog väst AB</t>
        </is>
      </c>
      <c r="G186" t="n">
        <v>4.5</v>
      </c>
      <c r="H186" t="n">
        <v>0</v>
      </c>
      <c r="I186" t="n">
        <v>0</v>
      </c>
      <c r="J186" t="n">
        <v>1</v>
      </c>
      <c r="K186" t="n">
        <v>0</v>
      </c>
      <c r="L186" t="n">
        <v>0</v>
      </c>
      <c r="M186" t="n">
        <v>0</v>
      </c>
      <c r="N186" t="n">
        <v>0</v>
      </c>
      <c r="O186" t="n">
        <v>1</v>
      </c>
      <c r="P186" t="n">
        <v>0</v>
      </c>
      <c r="Q186" t="n">
        <v>1</v>
      </c>
      <c r="R186" s="2" t="inlineStr">
        <is>
          <t>Vedskivlav</t>
        </is>
      </c>
      <c r="S186">
        <f>HYPERLINK("https://klasma.github.io/Logging_2361/artfynd/A 56521-2025 artfynd.xlsx", "A 56521-2025")</f>
        <v/>
      </c>
      <c r="T186">
        <f>HYPERLINK("https://klasma.github.io/Logging_2361/kartor/A 56521-2025 karta.png", "A 56521-2025")</f>
        <v/>
      </c>
      <c r="V186">
        <f>HYPERLINK("https://klasma.github.io/Logging_2361/klagomål/A 56521-2025 FSC-klagomål.docx", "A 56521-2025")</f>
        <v/>
      </c>
      <c r="W186">
        <f>HYPERLINK("https://klasma.github.io/Logging_2361/klagomålsmail/A 56521-2025 FSC-klagomål mail.docx", "A 56521-2025")</f>
        <v/>
      </c>
      <c r="X186">
        <f>HYPERLINK("https://klasma.github.io/Logging_2361/tillsyn/A 56521-2025 tillsynsbegäran.docx", "A 56521-2025")</f>
        <v/>
      </c>
      <c r="Y186">
        <f>HYPERLINK("https://klasma.github.io/Logging_2361/tillsynsmail/A 56521-2025 tillsynsbegäran mail.docx", "A 56521-2025")</f>
        <v/>
      </c>
    </row>
    <row r="187" ht="15" customHeight="1">
      <c r="A187" t="inlineStr">
        <is>
          <t>A 51234-2024</t>
        </is>
      </c>
      <c r="B187" s="1" t="n">
        <v>45603</v>
      </c>
      <c r="C187" s="1" t="n">
        <v>46076</v>
      </c>
      <c r="D187" t="inlineStr">
        <is>
          <t>JÄMTLANDS LÄN</t>
        </is>
      </c>
      <c r="E187" t="inlineStr">
        <is>
          <t>HÄRJEDALEN</t>
        </is>
      </c>
      <c r="F187" t="inlineStr">
        <is>
          <t>Holmen skog AB</t>
        </is>
      </c>
      <c r="G187" t="n">
        <v>2.6</v>
      </c>
      <c r="H187" t="n">
        <v>0</v>
      </c>
      <c r="I187" t="n">
        <v>0</v>
      </c>
      <c r="J187" t="n">
        <v>1</v>
      </c>
      <c r="K187" t="n">
        <v>0</v>
      </c>
      <c r="L187" t="n">
        <v>0</v>
      </c>
      <c r="M187" t="n">
        <v>0</v>
      </c>
      <c r="N187" t="n">
        <v>0</v>
      </c>
      <c r="O187" t="n">
        <v>1</v>
      </c>
      <c r="P187" t="n">
        <v>0</v>
      </c>
      <c r="Q187" t="n">
        <v>1</v>
      </c>
      <c r="R187" s="2" t="inlineStr">
        <is>
          <t>Blågrå svartspik</t>
        </is>
      </c>
      <c r="S187">
        <f>HYPERLINK("https://klasma.github.io/Logging_2361/artfynd/A 51234-2024 artfynd.xlsx", "A 51234-2024")</f>
        <v/>
      </c>
      <c r="T187">
        <f>HYPERLINK("https://klasma.github.io/Logging_2361/kartor/A 51234-2024 karta.png", "A 51234-2024")</f>
        <v/>
      </c>
      <c r="V187">
        <f>HYPERLINK("https://klasma.github.io/Logging_2361/klagomål/A 51234-2024 FSC-klagomål.docx", "A 51234-2024")</f>
        <v/>
      </c>
      <c r="W187">
        <f>HYPERLINK("https://klasma.github.io/Logging_2361/klagomålsmail/A 51234-2024 FSC-klagomål mail.docx", "A 51234-2024")</f>
        <v/>
      </c>
      <c r="X187">
        <f>HYPERLINK("https://klasma.github.io/Logging_2361/tillsyn/A 51234-2024 tillsynsbegäran.docx", "A 51234-2024")</f>
        <v/>
      </c>
      <c r="Y187">
        <f>HYPERLINK("https://klasma.github.io/Logging_2361/tillsynsmail/A 51234-2024 tillsynsbegäran mail.docx", "A 51234-2024")</f>
        <v/>
      </c>
    </row>
    <row r="188" ht="15" customHeight="1">
      <c r="A188" t="inlineStr">
        <is>
          <t>A 55223-2021</t>
        </is>
      </c>
      <c r="B188" s="1" t="n">
        <v>44475</v>
      </c>
      <c r="C188" s="1" t="n">
        <v>46076</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54520-2024</t>
        </is>
      </c>
      <c r="B189" s="1" t="n">
        <v>45617</v>
      </c>
      <c r="C189" s="1" t="n">
        <v>46076</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31061-2022</t>
        </is>
      </c>
      <c r="B190" s="1" t="n">
        <v>44769.48783564815</v>
      </c>
      <c r="C190" s="1" t="n">
        <v>46076</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59367-2024</t>
        </is>
      </c>
      <c r="B191" s="1" t="n">
        <v>45638.33607638889</v>
      </c>
      <c r="C191" s="1" t="n">
        <v>46076</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3593-2024</t>
        </is>
      </c>
      <c r="B192" s="1" t="n">
        <v>45320</v>
      </c>
      <c r="C192" s="1" t="n">
        <v>46076</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24251-2024</t>
        </is>
      </c>
      <c r="B193" s="1" t="n">
        <v>45457.38677083333</v>
      </c>
      <c r="C193" s="1" t="n">
        <v>46076</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46076</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6307-2026</t>
        </is>
      </c>
      <c r="B195" s="1" t="n">
        <v>46055.57189814815</v>
      </c>
      <c r="C195" s="1" t="n">
        <v>46076</v>
      </c>
      <c r="D195" t="inlineStr">
        <is>
          <t>JÄMTLANDS LÄN</t>
        </is>
      </c>
      <c r="E195" t="inlineStr">
        <is>
          <t>HÄRJEDALEN</t>
        </is>
      </c>
      <c r="G195" t="n">
        <v>17.3</v>
      </c>
      <c r="H195" t="n">
        <v>1</v>
      </c>
      <c r="I195" t="n">
        <v>0</v>
      </c>
      <c r="J195" t="n">
        <v>0</v>
      </c>
      <c r="K195" t="n">
        <v>0</v>
      </c>
      <c r="L195" t="n">
        <v>0</v>
      </c>
      <c r="M195" t="n">
        <v>0</v>
      </c>
      <c r="N195" t="n">
        <v>0</v>
      </c>
      <c r="O195" t="n">
        <v>0</v>
      </c>
      <c r="P195" t="n">
        <v>0</v>
      </c>
      <c r="Q195" t="n">
        <v>1</v>
      </c>
      <c r="R195" s="2" t="inlineStr">
        <is>
          <t>Revlummer</t>
        </is>
      </c>
      <c r="S195">
        <f>HYPERLINK("https://klasma.github.io/Logging_2361/artfynd/A 6307-2026 artfynd.xlsx", "A 6307-2026")</f>
        <v/>
      </c>
      <c r="T195">
        <f>HYPERLINK("https://klasma.github.io/Logging_2361/kartor/A 6307-2026 karta.png", "A 6307-2026")</f>
        <v/>
      </c>
      <c r="V195">
        <f>HYPERLINK("https://klasma.github.io/Logging_2361/klagomål/A 6307-2026 FSC-klagomål.docx", "A 6307-2026")</f>
        <v/>
      </c>
      <c r="W195">
        <f>HYPERLINK("https://klasma.github.io/Logging_2361/klagomålsmail/A 6307-2026 FSC-klagomål mail.docx", "A 6307-2026")</f>
        <v/>
      </c>
      <c r="X195">
        <f>HYPERLINK("https://klasma.github.io/Logging_2361/tillsyn/A 6307-2026 tillsynsbegäran.docx", "A 6307-2026")</f>
        <v/>
      </c>
      <c r="Y195">
        <f>HYPERLINK("https://klasma.github.io/Logging_2361/tillsynsmail/A 6307-2026 tillsynsbegäran mail.docx", "A 6307-2026")</f>
        <v/>
      </c>
    </row>
    <row r="196" ht="15" customHeight="1">
      <c r="A196" t="inlineStr">
        <is>
          <t>A 6614-2026</t>
        </is>
      </c>
      <c r="B196" s="1" t="n">
        <v>46056.49030092593</v>
      </c>
      <c r="C196" s="1" t="n">
        <v>46076</v>
      </c>
      <c r="D196" t="inlineStr">
        <is>
          <t>JÄMTLANDS LÄN</t>
        </is>
      </c>
      <c r="E196" t="inlineStr">
        <is>
          <t>HÄRJEDALEN</t>
        </is>
      </c>
      <c r="F196" t="inlineStr">
        <is>
          <t>SCA</t>
        </is>
      </c>
      <c r="G196" t="n">
        <v>57.8</v>
      </c>
      <c r="H196" t="n">
        <v>0</v>
      </c>
      <c r="I196" t="n">
        <v>0</v>
      </c>
      <c r="J196" t="n">
        <v>1</v>
      </c>
      <c r="K196" t="n">
        <v>0</v>
      </c>
      <c r="L196" t="n">
        <v>0</v>
      </c>
      <c r="M196" t="n">
        <v>0</v>
      </c>
      <c r="N196" t="n">
        <v>0</v>
      </c>
      <c r="O196" t="n">
        <v>1</v>
      </c>
      <c r="P196" t="n">
        <v>0</v>
      </c>
      <c r="Q196" t="n">
        <v>1</v>
      </c>
      <c r="R196" s="2" t="inlineStr">
        <is>
          <t>Vedflamlav</t>
        </is>
      </c>
      <c r="S196">
        <f>HYPERLINK("https://klasma.github.io/Logging_2361/artfynd/A 6614-2026 artfynd.xlsx", "A 6614-2026")</f>
        <v/>
      </c>
      <c r="T196">
        <f>HYPERLINK("https://klasma.github.io/Logging_2361/kartor/A 6614-2026 karta.png", "A 6614-2026")</f>
        <v/>
      </c>
      <c r="U196">
        <f>HYPERLINK("https://klasma.github.io/Logging_2361/knärot/A 6614-2026 karta knärot.png", "A 6614-2026")</f>
        <v/>
      </c>
      <c r="V196">
        <f>HYPERLINK("https://klasma.github.io/Logging_2361/klagomål/A 6614-2026 FSC-klagomål.docx", "A 6614-2026")</f>
        <v/>
      </c>
      <c r="W196">
        <f>HYPERLINK("https://klasma.github.io/Logging_2361/klagomålsmail/A 6614-2026 FSC-klagomål mail.docx", "A 6614-2026")</f>
        <v/>
      </c>
      <c r="X196">
        <f>HYPERLINK("https://klasma.github.io/Logging_2361/tillsyn/A 6614-2026 tillsynsbegäran.docx", "A 6614-2026")</f>
        <v/>
      </c>
      <c r="Y196">
        <f>HYPERLINK("https://klasma.github.io/Logging_2361/tillsynsmail/A 6614-2026 tillsynsbegäran mail.docx", "A 6614-2026")</f>
        <v/>
      </c>
    </row>
    <row r="197" ht="15" customHeight="1">
      <c r="A197" t="inlineStr">
        <is>
          <t>A 36533-2025</t>
        </is>
      </c>
      <c r="B197" s="1" t="n">
        <v>45869</v>
      </c>
      <c r="C197" s="1" t="n">
        <v>46076</v>
      </c>
      <c r="D197" t="inlineStr">
        <is>
          <t>JÄMTLANDS LÄN</t>
        </is>
      </c>
      <c r="E197" t="inlineStr">
        <is>
          <t>HÄRJEDALEN</t>
        </is>
      </c>
      <c r="G197" t="n">
        <v>3.7</v>
      </c>
      <c r="H197" t="n">
        <v>0</v>
      </c>
      <c r="I197" t="n">
        <v>0</v>
      </c>
      <c r="J197" t="n">
        <v>1</v>
      </c>
      <c r="K197" t="n">
        <v>0</v>
      </c>
      <c r="L197" t="n">
        <v>0</v>
      </c>
      <c r="M197" t="n">
        <v>0</v>
      </c>
      <c r="N197" t="n">
        <v>0</v>
      </c>
      <c r="O197" t="n">
        <v>1</v>
      </c>
      <c r="P197" t="n">
        <v>0</v>
      </c>
      <c r="Q197" t="n">
        <v>1</v>
      </c>
      <c r="R197" s="2" t="inlineStr">
        <is>
          <t>Lunglav</t>
        </is>
      </c>
      <c r="S197">
        <f>HYPERLINK("https://klasma.github.io/Logging_2361/artfynd/A 36533-2025 artfynd.xlsx", "A 36533-2025")</f>
        <v/>
      </c>
      <c r="T197">
        <f>HYPERLINK("https://klasma.github.io/Logging_2361/kartor/A 36533-2025 karta.png", "A 36533-2025")</f>
        <v/>
      </c>
      <c r="V197">
        <f>HYPERLINK("https://klasma.github.io/Logging_2361/klagomål/A 36533-2025 FSC-klagomål.docx", "A 36533-2025")</f>
        <v/>
      </c>
      <c r="W197">
        <f>HYPERLINK("https://klasma.github.io/Logging_2361/klagomålsmail/A 36533-2025 FSC-klagomål mail.docx", "A 36533-2025")</f>
        <v/>
      </c>
      <c r="X197">
        <f>HYPERLINK("https://klasma.github.io/Logging_2361/tillsyn/A 36533-2025 tillsynsbegäran.docx", "A 36533-2025")</f>
        <v/>
      </c>
      <c r="Y197">
        <f>HYPERLINK("https://klasma.github.io/Logging_2361/tillsynsmail/A 36533-2025 tillsynsbegäran mail.docx", "A 36533-2025")</f>
        <v/>
      </c>
    </row>
    <row r="198" ht="15" customHeight="1">
      <c r="A198" t="inlineStr">
        <is>
          <t>A 17902-2025</t>
        </is>
      </c>
      <c r="B198" s="1" t="n">
        <v>45758.70164351852</v>
      </c>
      <c r="C198" s="1" t="n">
        <v>46076</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46076</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46076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25368-2025</t>
        </is>
      </c>
      <c r="B201" s="1" t="n">
        <v>45800.63043981481</v>
      </c>
      <c r="C201" s="1" t="n">
        <v>46076</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46076</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46076</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46076</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46076</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21334-2021</t>
        </is>
      </c>
      <c r="B206" s="1" t="n">
        <v>44320</v>
      </c>
      <c r="C206" s="1" t="n">
        <v>46076</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21298-2021</t>
        </is>
      </c>
      <c r="B207" s="1" t="n">
        <v>44320</v>
      </c>
      <c r="C207" s="1" t="n">
        <v>46076</v>
      </c>
      <c r="D207" t="inlineStr">
        <is>
          <t>JÄMTLANDS LÄN</t>
        </is>
      </c>
      <c r="E207" t="inlineStr">
        <is>
          <t>HÄRJEDALEN</t>
        </is>
      </c>
      <c r="F207" t="inlineStr">
        <is>
          <t>Holmen skog AB</t>
        </is>
      </c>
      <c r="G207" t="n">
        <v>1.3</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46076</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46076</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46076</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46076</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46076</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46076</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46076</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46076</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46076</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46076</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46076</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46076</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46076</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46076</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46076</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46076</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46076</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46076</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46076</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46076</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46076</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21837-2021</t>
        </is>
      </c>
      <c r="B229" s="1" t="n">
        <v>44316</v>
      </c>
      <c r="C229" s="1" t="n">
        <v>46076</v>
      </c>
      <c r="D229" t="inlineStr">
        <is>
          <t>JÄMTLANDS LÄN</t>
        </is>
      </c>
      <c r="E229" t="inlineStr">
        <is>
          <t>HÄRJEDALEN</t>
        </is>
      </c>
      <c r="G229" t="n">
        <v>20</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46076</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46076</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46076</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46076</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46076</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46076</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46076</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46076</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46076</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46076</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46076</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46076</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46076</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46076</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46076</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46076</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46076</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46076</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46076</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46076</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46076</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46076</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46076</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46076</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46076</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46076</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46076</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46076</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15585-2021</t>
        </is>
      </c>
      <c r="B258" s="1" t="n">
        <v>44285</v>
      </c>
      <c r="C258" s="1" t="n">
        <v>46076</v>
      </c>
      <c r="D258" t="inlineStr">
        <is>
          <t>JÄMTLANDS LÄN</t>
        </is>
      </c>
      <c r="E258" t="inlineStr">
        <is>
          <t>HÄRJEDALEN</t>
        </is>
      </c>
      <c r="G258" t="n">
        <v>21.2</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46076</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46076</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46076</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46076</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46076</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46076</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46076</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46076</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46076</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46076</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46076</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46076</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46076</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46076</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46076</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46076</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46076</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46076</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46076</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46076</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46076</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46076</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46076</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46076</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46076</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46076</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46076</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46076</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46076</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46076</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46076</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46076</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46076</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46076</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46076</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46076</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46076</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46076</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46076</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46076</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46076</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46076</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46076</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46076</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46076</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46076</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46076</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46076</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46076</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46076</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46076</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46076</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46076</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46076</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46076</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46076</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46076</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46076</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46076</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46076</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46076</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46076</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46076</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46076</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46076</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46076</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46076</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58930-2023</t>
        </is>
      </c>
      <c r="B326" s="1" t="n">
        <v>45252</v>
      </c>
      <c r="C326" s="1" t="n">
        <v>46076</v>
      </c>
      <c r="D326" t="inlineStr">
        <is>
          <t>JÄMTLANDS LÄN</t>
        </is>
      </c>
      <c r="E326" t="inlineStr">
        <is>
          <t>HÄRJEDALEN</t>
        </is>
      </c>
      <c r="G326" t="n">
        <v>4.8</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46076</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46076</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46076</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46076</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46076</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46076</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46076</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46076</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46076</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46076</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46076</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46076</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46076</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46076</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46076</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10483-2025</t>
        </is>
      </c>
      <c r="B342" s="1" t="n">
        <v>45721.33868055556</v>
      </c>
      <c r="C342" s="1" t="n">
        <v>46076</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46076</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46076</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19105-2025</t>
        </is>
      </c>
      <c r="B345" s="1" t="n">
        <v>45768.30814814815</v>
      </c>
      <c r="C345" s="1" t="n">
        <v>46076</v>
      </c>
      <c r="D345" t="inlineStr">
        <is>
          <t>JÄMTLANDS LÄN</t>
        </is>
      </c>
      <c r="E345" t="inlineStr">
        <is>
          <t>HÄRJEDALEN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58507-2024</t>
        </is>
      </c>
      <c r="B346" s="1" t="n">
        <v>45635.42027777778</v>
      </c>
      <c r="C346" s="1" t="n">
        <v>46076</v>
      </c>
      <c r="D346" t="inlineStr">
        <is>
          <t>JÄMTLANDS LÄN</t>
        </is>
      </c>
      <c r="E346" t="inlineStr">
        <is>
          <t>HÄRJEDALEN</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59293-2024</t>
        </is>
      </c>
      <c r="B347" s="1" t="n">
        <v>45637</v>
      </c>
      <c r="C347" s="1" t="n">
        <v>46076</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46076</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46076</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60887-2022</t>
        </is>
      </c>
      <c r="B350" s="1" t="n">
        <v>44914</v>
      </c>
      <c r="C350" s="1" t="n">
        <v>46076</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8420-2023</t>
        </is>
      </c>
      <c r="B351" s="1" t="n">
        <v>44977.44643518519</v>
      </c>
      <c r="C351" s="1" t="n">
        <v>46076</v>
      </c>
      <c r="D351" t="inlineStr">
        <is>
          <t>JÄMTLANDS LÄN</t>
        </is>
      </c>
      <c r="E351" t="inlineStr">
        <is>
          <t>HÄRJEDALEN</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51769-2024</t>
        </is>
      </c>
      <c r="B352" s="1" t="n">
        <v>45607.44832175926</v>
      </c>
      <c r="C352" s="1" t="n">
        <v>46076</v>
      </c>
      <c r="D352" t="inlineStr">
        <is>
          <t>JÄMTLANDS LÄN</t>
        </is>
      </c>
      <c r="E352" t="inlineStr">
        <is>
          <t>HÄRJEDALEN</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46058-2024</t>
        </is>
      </c>
      <c r="B353" s="1" t="n">
        <v>45580.92037037037</v>
      </c>
      <c r="C353" s="1" t="n">
        <v>46076</v>
      </c>
      <c r="D353" t="inlineStr">
        <is>
          <t>JÄMTLANDS LÄN</t>
        </is>
      </c>
      <c r="E353" t="inlineStr">
        <is>
          <t>HÄRJEDALEN</t>
        </is>
      </c>
      <c r="G353" t="n">
        <v>7.5</v>
      </c>
      <c r="H353" t="n">
        <v>0</v>
      </c>
      <c r="I353" t="n">
        <v>0</v>
      </c>
      <c r="J353" t="n">
        <v>0</v>
      </c>
      <c r="K353" t="n">
        <v>0</v>
      </c>
      <c r="L353" t="n">
        <v>0</v>
      </c>
      <c r="M353" t="n">
        <v>0</v>
      </c>
      <c r="N353" t="n">
        <v>0</v>
      </c>
      <c r="O353" t="n">
        <v>0</v>
      </c>
      <c r="P353" t="n">
        <v>0</v>
      </c>
      <c r="Q353" t="n">
        <v>0</v>
      </c>
      <c r="R353" s="2" t="inlineStr"/>
    </row>
    <row r="354" ht="15" customHeight="1">
      <c r="A354" t="inlineStr">
        <is>
          <t>A 12279-2025</t>
        </is>
      </c>
      <c r="B354" s="1" t="n">
        <v>45729.65261574074</v>
      </c>
      <c r="C354" s="1" t="n">
        <v>46076</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21699-2021</t>
        </is>
      </c>
      <c r="B355" s="1" t="n">
        <v>44316</v>
      </c>
      <c r="C355" s="1" t="n">
        <v>46076</v>
      </c>
      <c r="D355" t="inlineStr">
        <is>
          <t>JÄMTLANDS LÄN</t>
        </is>
      </c>
      <c r="E355" t="inlineStr">
        <is>
          <t>HÄRJEDALEN</t>
        </is>
      </c>
      <c r="G355" t="n">
        <v>6.8</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46076</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46076</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46076</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46076</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54364-2024</t>
        </is>
      </c>
      <c r="B360" s="1" t="n">
        <v>45617</v>
      </c>
      <c r="C360" s="1" t="n">
        <v>46076</v>
      </c>
      <c r="D360" t="inlineStr">
        <is>
          <t>JÄMTLANDS LÄN</t>
        </is>
      </c>
      <c r="E360" t="inlineStr">
        <is>
          <t>HÄRJEDALEN</t>
        </is>
      </c>
      <c r="F360" t="inlineStr">
        <is>
          <t>Holmen skog AB</t>
        </is>
      </c>
      <c r="G360" t="n">
        <v>41.1</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46076</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46076</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46076</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46076</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46076</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46076</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61042-2024</t>
        </is>
      </c>
      <c r="B367" s="1" t="n">
        <v>45645.47609953704</v>
      </c>
      <c r="C367" s="1" t="n">
        <v>46076</v>
      </c>
      <c r="D367" t="inlineStr">
        <is>
          <t>JÄMTLANDS LÄN</t>
        </is>
      </c>
      <c r="E367" t="inlineStr">
        <is>
          <t>HÄRJEDALEN</t>
        </is>
      </c>
      <c r="F367" t="inlineStr">
        <is>
          <t>Bergvik skog väst AB</t>
        </is>
      </c>
      <c r="G367" t="n">
        <v>3.1</v>
      </c>
      <c r="H367" t="n">
        <v>0</v>
      </c>
      <c r="I367" t="n">
        <v>0</v>
      </c>
      <c r="J367" t="n">
        <v>0</v>
      </c>
      <c r="K367" t="n">
        <v>0</v>
      </c>
      <c r="L367" t="n">
        <v>0</v>
      </c>
      <c r="M367" t="n">
        <v>0</v>
      </c>
      <c r="N367" t="n">
        <v>0</v>
      </c>
      <c r="O367" t="n">
        <v>0</v>
      </c>
      <c r="P367" t="n">
        <v>0</v>
      </c>
      <c r="Q367" t="n">
        <v>0</v>
      </c>
      <c r="R367" s="2" t="inlineStr"/>
    </row>
    <row r="368" ht="15" customHeight="1">
      <c r="A368" t="inlineStr">
        <is>
          <t>A 4752-2025</t>
        </is>
      </c>
      <c r="B368" s="1" t="n">
        <v>45688.46570601852</v>
      </c>
      <c r="C368" s="1" t="n">
        <v>46076</v>
      </c>
      <c r="D368" t="inlineStr">
        <is>
          <t>JÄMTLANDS LÄN</t>
        </is>
      </c>
      <c r="E368" t="inlineStr">
        <is>
          <t>HÄRJEDALEN</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51601-2024</t>
        </is>
      </c>
      <c r="B369" s="1" t="n">
        <v>45604.66936342593</v>
      </c>
      <c r="C369" s="1" t="n">
        <v>46076</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46076</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46076</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46076</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46076</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8091-2025</t>
        </is>
      </c>
      <c r="B374" s="1" t="n">
        <v>45707</v>
      </c>
      <c r="C374" s="1" t="n">
        <v>46076</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8095-2025</t>
        </is>
      </c>
      <c r="B375" s="1" t="n">
        <v>45707</v>
      </c>
      <c r="C375" s="1" t="n">
        <v>46076</v>
      </c>
      <c r="D375" t="inlineStr">
        <is>
          <t>JÄMTLANDS LÄN</t>
        </is>
      </c>
      <c r="E375" t="inlineStr">
        <is>
          <t>HÄRJEDALEN</t>
        </is>
      </c>
      <c r="G375" t="n">
        <v>2.4</v>
      </c>
      <c r="H375" t="n">
        <v>0</v>
      </c>
      <c r="I375" t="n">
        <v>0</v>
      </c>
      <c r="J375" t="n">
        <v>0</v>
      </c>
      <c r="K375" t="n">
        <v>0</v>
      </c>
      <c r="L375" t="n">
        <v>0</v>
      </c>
      <c r="M375" t="n">
        <v>0</v>
      </c>
      <c r="N375" t="n">
        <v>0</v>
      </c>
      <c r="O375" t="n">
        <v>0</v>
      </c>
      <c r="P375" t="n">
        <v>0</v>
      </c>
      <c r="Q375" t="n">
        <v>0</v>
      </c>
      <c r="R375" s="2" t="inlineStr"/>
    </row>
    <row r="376" ht="15" customHeight="1">
      <c r="A376" t="inlineStr">
        <is>
          <t>A 31811-2023</t>
        </is>
      </c>
      <c r="B376" s="1" t="n">
        <v>45118.47491898148</v>
      </c>
      <c r="C376" s="1" t="n">
        <v>46076</v>
      </c>
      <c r="D376" t="inlineStr">
        <is>
          <t>JÄMTLANDS LÄN</t>
        </is>
      </c>
      <c r="E376" t="inlineStr">
        <is>
          <t>HÄRJEDALEN</t>
        </is>
      </c>
      <c r="F376" t="inlineStr">
        <is>
          <t>Bergvik skog väst AB</t>
        </is>
      </c>
      <c r="G376" t="n">
        <v>12.5</v>
      </c>
      <c r="H376" t="n">
        <v>0</v>
      </c>
      <c r="I376" t="n">
        <v>0</v>
      </c>
      <c r="J376" t="n">
        <v>0</v>
      </c>
      <c r="K376" t="n">
        <v>0</v>
      </c>
      <c r="L376" t="n">
        <v>0</v>
      </c>
      <c r="M376" t="n">
        <v>0</v>
      </c>
      <c r="N376" t="n">
        <v>0</v>
      </c>
      <c r="O376" t="n">
        <v>0</v>
      </c>
      <c r="P376" t="n">
        <v>0</v>
      </c>
      <c r="Q376" t="n">
        <v>0</v>
      </c>
      <c r="R376" s="2" t="inlineStr"/>
    </row>
    <row r="377" ht="15" customHeight="1">
      <c r="A377" t="inlineStr">
        <is>
          <t>A 12462-2023</t>
        </is>
      </c>
      <c r="B377" s="1" t="n">
        <v>44999.60127314815</v>
      </c>
      <c r="C377" s="1" t="n">
        <v>46076</v>
      </c>
      <c r="D377" t="inlineStr">
        <is>
          <t>JÄMTLANDS LÄN</t>
        </is>
      </c>
      <c r="E377" t="inlineStr">
        <is>
          <t>HÄRJEDALEN</t>
        </is>
      </c>
      <c r="G377" t="n">
        <v>7.8</v>
      </c>
      <c r="H377" t="n">
        <v>0</v>
      </c>
      <c r="I377" t="n">
        <v>0</v>
      </c>
      <c r="J377" t="n">
        <v>0</v>
      </c>
      <c r="K377" t="n">
        <v>0</v>
      </c>
      <c r="L377" t="n">
        <v>0</v>
      </c>
      <c r="M377" t="n">
        <v>0</v>
      </c>
      <c r="N377" t="n">
        <v>0</v>
      </c>
      <c r="O377" t="n">
        <v>0</v>
      </c>
      <c r="P377" t="n">
        <v>0</v>
      </c>
      <c r="Q377" t="n">
        <v>0</v>
      </c>
      <c r="R377" s="2" t="inlineStr"/>
    </row>
    <row r="378" ht="15" customHeight="1">
      <c r="A378" t="inlineStr">
        <is>
          <t>A 848-2025</t>
        </is>
      </c>
      <c r="B378" s="1" t="n">
        <v>45665.59925925926</v>
      </c>
      <c r="C378" s="1" t="n">
        <v>46076</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46076</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15003-2025</t>
        </is>
      </c>
      <c r="B380" s="1" t="n">
        <v>45743.61899305556</v>
      </c>
      <c r="C380" s="1" t="n">
        <v>46076</v>
      </c>
      <c r="D380" t="inlineStr">
        <is>
          <t>JÄMTLANDS LÄN</t>
        </is>
      </c>
      <c r="E380" t="inlineStr">
        <is>
          <t>HÄRJEDALEN</t>
        </is>
      </c>
      <c r="G380" t="n">
        <v>0.3</v>
      </c>
      <c r="H380" t="n">
        <v>0</v>
      </c>
      <c r="I380" t="n">
        <v>0</v>
      </c>
      <c r="J380" t="n">
        <v>0</v>
      </c>
      <c r="K380" t="n">
        <v>0</v>
      </c>
      <c r="L380" t="n">
        <v>0</v>
      </c>
      <c r="M380" t="n">
        <v>0</v>
      </c>
      <c r="N380" t="n">
        <v>0</v>
      </c>
      <c r="O380" t="n">
        <v>0</v>
      </c>
      <c r="P380" t="n">
        <v>0</v>
      </c>
      <c r="Q380" t="n">
        <v>0</v>
      </c>
      <c r="R380" s="2" t="inlineStr"/>
    </row>
    <row r="381" ht="15" customHeight="1">
      <c r="A381" t="inlineStr">
        <is>
          <t>A 15004-2025</t>
        </is>
      </c>
      <c r="B381" s="1" t="n">
        <v>45743.62116898148</v>
      </c>
      <c r="C381" s="1" t="n">
        <v>46076</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35813-2023</t>
        </is>
      </c>
      <c r="B382" s="1" t="n">
        <v>45147</v>
      </c>
      <c r="C382" s="1" t="n">
        <v>46076</v>
      </c>
      <c r="D382" t="inlineStr">
        <is>
          <t>JÄMTLANDS LÄN</t>
        </is>
      </c>
      <c r="E382" t="inlineStr">
        <is>
          <t>HÄRJEDALEN</t>
        </is>
      </c>
      <c r="G382" t="n">
        <v>15.1</v>
      </c>
      <c r="H382" t="n">
        <v>0</v>
      </c>
      <c r="I382" t="n">
        <v>0</v>
      </c>
      <c r="J382" t="n">
        <v>0</v>
      </c>
      <c r="K382" t="n">
        <v>0</v>
      </c>
      <c r="L382" t="n">
        <v>0</v>
      </c>
      <c r="M382" t="n">
        <v>0</v>
      </c>
      <c r="N382" t="n">
        <v>0</v>
      </c>
      <c r="O382" t="n">
        <v>0</v>
      </c>
      <c r="P382" t="n">
        <v>0</v>
      </c>
      <c r="Q382" t="n">
        <v>0</v>
      </c>
      <c r="R382" s="2" t="inlineStr"/>
    </row>
    <row r="383" ht="15" customHeight="1">
      <c r="A383" t="inlineStr">
        <is>
          <t>A 2718-2025</t>
        </is>
      </c>
      <c r="B383" s="1" t="n">
        <v>45677.43028935185</v>
      </c>
      <c r="C383" s="1" t="n">
        <v>46076</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7430-2024</t>
        </is>
      </c>
      <c r="B384" s="1" t="n">
        <v>45345.65929398148</v>
      </c>
      <c r="C384" s="1" t="n">
        <v>46076</v>
      </c>
      <c r="D384" t="inlineStr">
        <is>
          <t>JÄMTLANDS LÄN</t>
        </is>
      </c>
      <c r="E384" t="inlineStr">
        <is>
          <t>HÄRJEDALEN</t>
        </is>
      </c>
      <c r="F384" t="inlineStr">
        <is>
          <t>Holmen skog AB</t>
        </is>
      </c>
      <c r="G384" t="n">
        <v>12.1</v>
      </c>
      <c r="H384" t="n">
        <v>0</v>
      </c>
      <c r="I384" t="n">
        <v>0</v>
      </c>
      <c r="J384" t="n">
        <v>0</v>
      </c>
      <c r="K384" t="n">
        <v>0</v>
      </c>
      <c r="L384" t="n">
        <v>0</v>
      </c>
      <c r="M384" t="n">
        <v>0</v>
      </c>
      <c r="N384" t="n">
        <v>0</v>
      </c>
      <c r="O384" t="n">
        <v>0</v>
      </c>
      <c r="P384" t="n">
        <v>0</v>
      </c>
      <c r="Q384" t="n">
        <v>0</v>
      </c>
      <c r="R384" s="2" t="inlineStr"/>
    </row>
    <row r="385" ht="15" customHeight="1">
      <c r="A385" t="inlineStr">
        <is>
          <t>A 12781-2025</t>
        </is>
      </c>
      <c r="B385" s="1" t="n">
        <v>45733.59667824074</v>
      </c>
      <c r="C385" s="1" t="n">
        <v>46076</v>
      </c>
      <c r="D385" t="inlineStr">
        <is>
          <t>JÄMTLANDS LÄN</t>
        </is>
      </c>
      <c r="E385" t="inlineStr">
        <is>
          <t>HÄRJEDALEN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48867-2023</t>
        </is>
      </c>
      <c r="B386" s="1" t="n">
        <v>45209.45420138889</v>
      </c>
      <c r="C386" s="1" t="n">
        <v>46076</v>
      </c>
      <c r="D386" t="inlineStr">
        <is>
          <t>JÄMTLANDS LÄN</t>
        </is>
      </c>
      <c r="E386" t="inlineStr">
        <is>
          <t>HÄRJEDALEN</t>
        </is>
      </c>
      <c r="G386" t="n">
        <v>9.1</v>
      </c>
      <c r="H386" t="n">
        <v>0</v>
      </c>
      <c r="I386" t="n">
        <v>0</v>
      </c>
      <c r="J386" t="n">
        <v>0</v>
      </c>
      <c r="K386" t="n">
        <v>0</v>
      </c>
      <c r="L386" t="n">
        <v>0</v>
      </c>
      <c r="M386" t="n">
        <v>0</v>
      </c>
      <c r="N386" t="n">
        <v>0</v>
      </c>
      <c r="O386" t="n">
        <v>0</v>
      </c>
      <c r="P386" t="n">
        <v>0</v>
      </c>
      <c r="Q386" t="n">
        <v>0</v>
      </c>
      <c r="R386" s="2" t="inlineStr"/>
    </row>
    <row r="387" ht="15" customHeight="1">
      <c r="A387" t="inlineStr">
        <is>
          <t>A 2336-2025</t>
        </is>
      </c>
      <c r="B387" s="1" t="n">
        <v>45673.65925925926</v>
      </c>
      <c r="C387" s="1" t="n">
        <v>46076</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41094-2023</t>
        </is>
      </c>
      <c r="B388" s="1" t="n">
        <v>45173</v>
      </c>
      <c r="C388" s="1" t="n">
        <v>46076</v>
      </c>
      <c r="D388" t="inlineStr">
        <is>
          <t>JÄMTLANDS LÄN</t>
        </is>
      </c>
      <c r="E388" t="inlineStr">
        <is>
          <t>HÄRJEDALEN</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19677-2024</t>
        </is>
      </c>
      <c r="B389" s="1" t="n">
        <v>45432</v>
      </c>
      <c r="C389" s="1" t="n">
        <v>46076</v>
      </c>
      <c r="D389" t="inlineStr">
        <is>
          <t>JÄMTLANDS LÄN</t>
        </is>
      </c>
      <c r="E389" t="inlineStr">
        <is>
          <t>HÄRJEDALEN</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61465-2023</t>
        </is>
      </c>
      <c r="B390" s="1" t="n">
        <v>45264.92637731481</v>
      </c>
      <c r="C390" s="1" t="n">
        <v>46076</v>
      </c>
      <c r="D390" t="inlineStr">
        <is>
          <t>JÄMTLANDS LÄN</t>
        </is>
      </c>
      <c r="E390" t="inlineStr">
        <is>
          <t>HÄRJEDALEN</t>
        </is>
      </c>
      <c r="G390" t="n">
        <v>5.9</v>
      </c>
      <c r="H390" t="n">
        <v>0</v>
      </c>
      <c r="I390" t="n">
        <v>0</v>
      </c>
      <c r="J390" t="n">
        <v>0</v>
      </c>
      <c r="K390" t="n">
        <v>0</v>
      </c>
      <c r="L390" t="n">
        <v>0</v>
      </c>
      <c r="M390" t="n">
        <v>0</v>
      </c>
      <c r="N390" t="n">
        <v>0</v>
      </c>
      <c r="O390" t="n">
        <v>0</v>
      </c>
      <c r="P390" t="n">
        <v>0</v>
      </c>
      <c r="Q390" t="n">
        <v>0</v>
      </c>
      <c r="R390" s="2" t="inlineStr"/>
    </row>
    <row r="391" ht="15" customHeight="1">
      <c r="A391" t="inlineStr">
        <is>
          <t>A 38507-2024</t>
        </is>
      </c>
      <c r="B391" s="1" t="n">
        <v>45546.54530092593</v>
      </c>
      <c r="C391" s="1" t="n">
        <v>46076</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50331-2023</t>
        </is>
      </c>
      <c r="B392" s="1" t="n">
        <v>45216</v>
      </c>
      <c r="C392" s="1" t="n">
        <v>46076</v>
      </c>
      <c r="D392" t="inlineStr">
        <is>
          <t>JÄMTLANDS LÄN</t>
        </is>
      </c>
      <c r="E392" t="inlineStr">
        <is>
          <t>HÄRJEDALEN</t>
        </is>
      </c>
      <c r="G392" t="n">
        <v>2.3</v>
      </c>
      <c r="H392" t="n">
        <v>0</v>
      </c>
      <c r="I392" t="n">
        <v>0</v>
      </c>
      <c r="J392" t="n">
        <v>0</v>
      </c>
      <c r="K392" t="n">
        <v>0</v>
      </c>
      <c r="L392" t="n">
        <v>0</v>
      </c>
      <c r="M392" t="n">
        <v>0</v>
      </c>
      <c r="N392" t="n">
        <v>0</v>
      </c>
      <c r="O392" t="n">
        <v>0</v>
      </c>
      <c r="P392" t="n">
        <v>0</v>
      </c>
      <c r="Q392" t="n">
        <v>0</v>
      </c>
      <c r="R392" s="2" t="inlineStr"/>
    </row>
    <row r="393" ht="15" customHeight="1">
      <c r="A393" t="inlineStr">
        <is>
          <t>A 29624-2024</t>
        </is>
      </c>
      <c r="B393" s="1" t="n">
        <v>45484.65768518519</v>
      </c>
      <c r="C393" s="1" t="n">
        <v>46076</v>
      </c>
      <c r="D393" t="inlineStr">
        <is>
          <t>JÄMTLANDS LÄN</t>
        </is>
      </c>
      <c r="E393" t="inlineStr">
        <is>
          <t>HÄRJEDALEN</t>
        </is>
      </c>
      <c r="F393" t="inlineStr">
        <is>
          <t>Holmen skog AB</t>
        </is>
      </c>
      <c r="G393" t="n">
        <v>7.7</v>
      </c>
      <c r="H393" t="n">
        <v>0</v>
      </c>
      <c r="I393" t="n">
        <v>0</v>
      </c>
      <c r="J393" t="n">
        <v>0</v>
      </c>
      <c r="K393" t="n">
        <v>0</v>
      </c>
      <c r="L393" t="n">
        <v>0</v>
      </c>
      <c r="M393" t="n">
        <v>0</v>
      </c>
      <c r="N393" t="n">
        <v>0</v>
      </c>
      <c r="O393" t="n">
        <v>0</v>
      </c>
      <c r="P393" t="n">
        <v>0</v>
      </c>
      <c r="Q393" t="n">
        <v>0</v>
      </c>
      <c r="R393" s="2" t="inlineStr"/>
    </row>
    <row r="394" ht="15" customHeight="1">
      <c r="A394" t="inlineStr">
        <is>
          <t>A 55029-2021</t>
        </is>
      </c>
      <c r="B394" s="1" t="n">
        <v>44474.59423611111</v>
      </c>
      <c r="C394" s="1" t="n">
        <v>46076</v>
      </c>
      <c r="D394" t="inlineStr">
        <is>
          <t>JÄMTLANDS LÄN</t>
        </is>
      </c>
      <c r="E394" t="inlineStr">
        <is>
          <t>HÄRJEDALEN</t>
        </is>
      </c>
      <c r="G394" t="n">
        <v>6.2</v>
      </c>
      <c r="H394" t="n">
        <v>0</v>
      </c>
      <c r="I394" t="n">
        <v>0</v>
      </c>
      <c r="J394" t="n">
        <v>0</v>
      </c>
      <c r="K394" t="n">
        <v>0</v>
      </c>
      <c r="L394" t="n">
        <v>0</v>
      </c>
      <c r="M394" t="n">
        <v>0</v>
      </c>
      <c r="N394" t="n">
        <v>0</v>
      </c>
      <c r="O394" t="n">
        <v>0</v>
      </c>
      <c r="P394" t="n">
        <v>0</v>
      </c>
      <c r="Q394" t="n">
        <v>0</v>
      </c>
      <c r="R394" s="2" t="inlineStr"/>
    </row>
    <row r="395" ht="15" customHeight="1">
      <c r="A395" t="inlineStr">
        <is>
          <t>A 35635-2024</t>
        </is>
      </c>
      <c r="B395" s="1" t="n">
        <v>45531.78386574074</v>
      </c>
      <c r="C395" s="1" t="n">
        <v>46076</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12468-2022</t>
        </is>
      </c>
      <c r="B396" s="1" t="n">
        <v>44638.44958333333</v>
      </c>
      <c r="C396" s="1" t="n">
        <v>46076</v>
      </c>
      <c r="D396" t="inlineStr">
        <is>
          <t>JÄMTLANDS LÄN</t>
        </is>
      </c>
      <c r="E396" t="inlineStr">
        <is>
          <t>HÄRJEDALEN</t>
        </is>
      </c>
      <c r="G396" t="n">
        <v>2.5</v>
      </c>
      <c r="H396" t="n">
        <v>0</v>
      </c>
      <c r="I396" t="n">
        <v>0</v>
      </c>
      <c r="J396" t="n">
        <v>0</v>
      </c>
      <c r="K396" t="n">
        <v>0</v>
      </c>
      <c r="L396" t="n">
        <v>0</v>
      </c>
      <c r="M396" t="n">
        <v>0</v>
      </c>
      <c r="N396" t="n">
        <v>0</v>
      </c>
      <c r="O396" t="n">
        <v>0</v>
      </c>
      <c r="P396" t="n">
        <v>0</v>
      </c>
      <c r="Q396" t="n">
        <v>0</v>
      </c>
      <c r="R396" s="2" t="inlineStr"/>
    </row>
    <row r="397" ht="15" customHeight="1">
      <c r="A397" t="inlineStr">
        <is>
          <t>A 16185-2024</t>
        </is>
      </c>
      <c r="B397" s="1" t="n">
        <v>45406</v>
      </c>
      <c r="C397" s="1" t="n">
        <v>46076</v>
      </c>
      <c r="D397" t="inlineStr">
        <is>
          <t>JÄMTLANDS LÄN</t>
        </is>
      </c>
      <c r="E397" t="inlineStr">
        <is>
          <t>HÄRJEDALEN</t>
        </is>
      </c>
      <c r="F397" t="inlineStr">
        <is>
          <t>Holmen skog AB</t>
        </is>
      </c>
      <c r="G397" t="n">
        <v>21.6</v>
      </c>
      <c r="H397" t="n">
        <v>0</v>
      </c>
      <c r="I397" t="n">
        <v>0</v>
      </c>
      <c r="J397" t="n">
        <v>0</v>
      </c>
      <c r="K397" t="n">
        <v>0</v>
      </c>
      <c r="L397" t="n">
        <v>0</v>
      </c>
      <c r="M397" t="n">
        <v>0</v>
      </c>
      <c r="N397" t="n">
        <v>0</v>
      </c>
      <c r="O397" t="n">
        <v>0</v>
      </c>
      <c r="P397" t="n">
        <v>0</v>
      </c>
      <c r="Q397" t="n">
        <v>0</v>
      </c>
      <c r="R397" s="2" t="inlineStr"/>
    </row>
    <row r="398" ht="15" customHeight="1">
      <c r="A398" t="inlineStr">
        <is>
          <t>A 78-2023</t>
        </is>
      </c>
      <c r="B398" s="1" t="n">
        <v>44928</v>
      </c>
      <c r="C398" s="1" t="n">
        <v>46076</v>
      </c>
      <c r="D398" t="inlineStr">
        <is>
          <t>JÄMTLANDS LÄN</t>
        </is>
      </c>
      <c r="E398" t="inlineStr">
        <is>
          <t>HÄRJEDALEN</t>
        </is>
      </c>
      <c r="F398" t="inlineStr">
        <is>
          <t>Holmen skog AB</t>
        </is>
      </c>
      <c r="G398" t="n">
        <v>3.1</v>
      </c>
      <c r="H398" t="n">
        <v>0</v>
      </c>
      <c r="I398" t="n">
        <v>0</v>
      </c>
      <c r="J398" t="n">
        <v>0</v>
      </c>
      <c r="K398" t="n">
        <v>0</v>
      </c>
      <c r="L398" t="n">
        <v>0</v>
      </c>
      <c r="M398" t="n">
        <v>0</v>
      </c>
      <c r="N398" t="n">
        <v>0</v>
      </c>
      <c r="O398" t="n">
        <v>0</v>
      </c>
      <c r="P398" t="n">
        <v>0</v>
      </c>
      <c r="Q398" t="n">
        <v>0</v>
      </c>
      <c r="R398" s="2" t="inlineStr"/>
    </row>
    <row r="399" ht="15" customHeight="1">
      <c r="A399" t="inlineStr">
        <is>
          <t>A 105-2023</t>
        </is>
      </c>
      <c r="B399" s="1" t="n">
        <v>44928.48072916667</v>
      </c>
      <c r="C399" s="1" t="n">
        <v>46076</v>
      </c>
      <c r="D399" t="inlineStr">
        <is>
          <t>JÄMTLANDS LÄN</t>
        </is>
      </c>
      <c r="E399" t="inlineStr">
        <is>
          <t>HÄRJEDALEN</t>
        </is>
      </c>
      <c r="F399" t="inlineStr">
        <is>
          <t>Holmen skog AB</t>
        </is>
      </c>
      <c r="G399" t="n">
        <v>17.5</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46076</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60050-2024</t>
        </is>
      </c>
      <c r="B401" s="1" t="n">
        <v>45642</v>
      </c>
      <c r="C401" s="1" t="n">
        <v>46076</v>
      </c>
      <c r="D401" t="inlineStr">
        <is>
          <t>JÄMTLANDS LÄN</t>
        </is>
      </c>
      <c r="E401" t="inlineStr">
        <is>
          <t>HÄRJEDALEN</t>
        </is>
      </c>
      <c r="G401" t="n">
        <v>3.6</v>
      </c>
      <c r="H401" t="n">
        <v>0</v>
      </c>
      <c r="I401" t="n">
        <v>0</v>
      </c>
      <c r="J401" t="n">
        <v>0</v>
      </c>
      <c r="K401" t="n">
        <v>0</v>
      </c>
      <c r="L401" t="n">
        <v>0</v>
      </c>
      <c r="M401" t="n">
        <v>0</v>
      </c>
      <c r="N401" t="n">
        <v>0</v>
      </c>
      <c r="O401" t="n">
        <v>0</v>
      </c>
      <c r="P401" t="n">
        <v>0</v>
      </c>
      <c r="Q401" t="n">
        <v>0</v>
      </c>
      <c r="R401" s="2" t="inlineStr"/>
    </row>
    <row r="402" ht="15" customHeight="1">
      <c r="A402" t="inlineStr">
        <is>
          <t>A 58352-2024</t>
        </is>
      </c>
      <c r="B402" s="1" t="n">
        <v>45632.65197916667</v>
      </c>
      <c r="C402" s="1" t="n">
        <v>46076</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14752-2024</t>
        </is>
      </c>
      <c r="B403" s="1" t="n">
        <v>45397.64855324074</v>
      </c>
      <c r="C403" s="1" t="n">
        <v>46076</v>
      </c>
      <c r="D403" t="inlineStr">
        <is>
          <t>JÄMTLANDS LÄN</t>
        </is>
      </c>
      <c r="E403" t="inlineStr">
        <is>
          <t>HÄRJEDALEN</t>
        </is>
      </c>
      <c r="G403" t="n">
        <v>5</v>
      </c>
      <c r="H403" t="n">
        <v>0</v>
      </c>
      <c r="I403" t="n">
        <v>0</v>
      </c>
      <c r="J403" t="n">
        <v>0</v>
      </c>
      <c r="K403" t="n">
        <v>0</v>
      </c>
      <c r="L403" t="n">
        <v>0</v>
      </c>
      <c r="M403" t="n">
        <v>0</v>
      </c>
      <c r="N403" t="n">
        <v>0</v>
      </c>
      <c r="O403" t="n">
        <v>0</v>
      </c>
      <c r="P403" t="n">
        <v>0</v>
      </c>
      <c r="Q403" t="n">
        <v>0</v>
      </c>
      <c r="R403" s="2" t="inlineStr"/>
    </row>
    <row r="404" ht="15" customHeight="1">
      <c r="A404" t="inlineStr">
        <is>
          <t>A 27512-2024</t>
        </is>
      </c>
      <c r="B404" s="1" t="n">
        <v>45474.54432870371</v>
      </c>
      <c r="C404" s="1" t="n">
        <v>46076</v>
      </c>
      <c r="D404" t="inlineStr">
        <is>
          <t>JÄMTLANDS LÄN</t>
        </is>
      </c>
      <c r="E404" t="inlineStr">
        <is>
          <t>HÄRJEDALEN</t>
        </is>
      </c>
      <c r="G404" t="n">
        <v>19.3</v>
      </c>
      <c r="H404" t="n">
        <v>0</v>
      </c>
      <c r="I404" t="n">
        <v>0</v>
      </c>
      <c r="J404" t="n">
        <v>0</v>
      </c>
      <c r="K404" t="n">
        <v>0</v>
      </c>
      <c r="L404" t="n">
        <v>0</v>
      </c>
      <c r="M404" t="n">
        <v>0</v>
      </c>
      <c r="N404" t="n">
        <v>0</v>
      </c>
      <c r="O404" t="n">
        <v>0</v>
      </c>
      <c r="P404" t="n">
        <v>0</v>
      </c>
      <c r="Q404" t="n">
        <v>0</v>
      </c>
      <c r="R404" s="2" t="inlineStr"/>
    </row>
    <row r="405" ht="15" customHeight="1">
      <c r="A405" t="inlineStr">
        <is>
          <t>A 60709-2024</t>
        </is>
      </c>
      <c r="B405" s="1" t="n">
        <v>45644.50141203704</v>
      </c>
      <c r="C405" s="1" t="n">
        <v>46076</v>
      </c>
      <c r="D405" t="inlineStr">
        <is>
          <t>JÄMTLANDS LÄN</t>
        </is>
      </c>
      <c r="E405" t="inlineStr">
        <is>
          <t>HÄRJEDALEN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37747-2023</t>
        </is>
      </c>
      <c r="B406" s="1" t="n">
        <v>45159</v>
      </c>
      <c r="C406" s="1" t="n">
        <v>46076</v>
      </c>
      <c r="D406" t="inlineStr">
        <is>
          <t>JÄMTLANDS LÄN</t>
        </is>
      </c>
      <c r="E406" t="inlineStr">
        <is>
          <t>HÄRJEDALEN</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37762-2023</t>
        </is>
      </c>
      <c r="B407" s="1" t="n">
        <v>45159</v>
      </c>
      <c r="C407" s="1" t="n">
        <v>46076</v>
      </c>
      <c r="D407" t="inlineStr">
        <is>
          <t>JÄMTLANDS LÄN</t>
        </is>
      </c>
      <c r="E407" t="inlineStr">
        <is>
          <t>HÄRJEDALEN</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1364-2024</t>
        </is>
      </c>
      <c r="B408" s="1" t="n">
        <v>45303.5187037037</v>
      </c>
      <c r="C408" s="1" t="n">
        <v>46076</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47765-2024</t>
        </is>
      </c>
      <c r="B409" s="1" t="n">
        <v>45588.56039351852</v>
      </c>
      <c r="C409" s="1" t="n">
        <v>46076</v>
      </c>
      <c r="D409" t="inlineStr">
        <is>
          <t>JÄMTLANDS LÄN</t>
        </is>
      </c>
      <c r="E409" t="inlineStr">
        <is>
          <t>HÄRJEDALEN</t>
        </is>
      </c>
      <c r="G409" t="n">
        <v>53.6</v>
      </c>
      <c r="H409" t="n">
        <v>0</v>
      </c>
      <c r="I409" t="n">
        <v>0</v>
      </c>
      <c r="J409" t="n">
        <v>0</v>
      </c>
      <c r="K409" t="n">
        <v>0</v>
      </c>
      <c r="L409" t="n">
        <v>0</v>
      </c>
      <c r="M409" t="n">
        <v>0</v>
      </c>
      <c r="N409" t="n">
        <v>0</v>
      </c>
      <c r="O409" t="n">
        <v>0</v>
      </c>
      <c r="P409" t="n">
        <v>0</v>
      </c>
      <c r="Q409" t="n">
        <v>0</v>
      </c>
      <c r="R409" s="2" t="inlineStr"/>
    </row>
    <row r="410" ht="15" customHeight="1">
      <c r="A410" t="inlineStr">
        <is>
          <t>A 62513-2022</t>
        </is>
      </c>
      <c r="B410" s="1" t="n">
        <v>44924.61315972222</v>
      </c>
      <c r="C410" s="1" t="n">
        <v>46076</v>
      </c>
      <c r="D410" t="inlineStr">
        <is>
          <t>JÄMTLANDS LÄN</t>
        </is>
      </c>
      <c r="E410" t="inlineStr">
        <is>
          <t>HÄRJEDALEN</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10004-2025</t>
        </is>
      </c>
      <c r="B411" s="1" t="n">
        <v>45719.45277777778</v>
      </c>
      <c r="C411" s="1" t="n">
        <v>46076</v>
      </c>
      <c r="D411" t="inlineStr">
        <is>
          <t>JÄMTLANDS LÄN</t>
        </is>
      </c>
      <c r="E411" t="inlineStr">
        <is>
          <t>HÄRJEDALEN</t>
        </is>
      </c>
      <c r="G411" t="n">
        <v>3.4</v>
      </c>
      <c r="H411" t="n">
        <v>0</v>
      </c>
      <c r="I411" t="n">
        <v>0</v>
      </c>
      <c r="J411" t="n">
        <v>0</v>
      </c>
      <c r="K411" t="n">
        <v>0</v>
      </c>
      <c r="L411" t="n">
        <v>0</v>
      </c>
      <c r="M411" t="n">
        <v>0</v>
      </c>
      <c r="N411" t="n">
        <v>0</v>
      </c>
      <c r="O411" t="n">
        <v>0</v>
      </c>
      <c r="P411" t="n">
        <v>0</v>
      </c>
      <c r="Q411" t="n">
        <v>0</v>
      </c>
      <c r="R411" s="2" t="inlineStr"/>
    </row>
    <row r="412" ht="15" customHeight="1">
      <c r="A412" t="inlineStr">
        <is>
          <t>A 33096-2024</t>
        </is>
      </c>
      <c r="B412" s="1" t="n">
        <v>45517.69590277778</v>
      </c>
      <c r="C412" s="1" t="n">
        <v>46076</v>
      </c>
      <c r="D412" t="inlineStr">
        <is>
          <t>JÄMTLANDS LÄN</t>
        </is>
      </c>
      <c r="E412" t="inlineStr">
        <is>
          <t>HÄRJEDALEN</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21666-2023</t>
        </is>
      </c>
      <c r="B413" s="1" t="n">
        <v>45063.92605324074</v>
      </c>
      <c r="C413" s="1" t="n">
        <v>46076</v>
      </c>
      <c r="D413" t="inlineStr">
        <is>
          <t>JÄMTLANDS LÄN</t>
        </is>
      </c>
      <c r="E413" t="inlineStr">
        <is>
          <t>HÄRJEDALEN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41711-2022</t>
        </is>
      </c>
      <c r="B414" s="1" t="n">
        <v>44827</v>
      </c>
      <c r="C414" s="1" t="n">
        <v>46076</v>
      </c>
      <c r="D414" t="inlineStr">
        <is>
          <t>JÄMTLANDS LÄN</t>
        </is>
      </c>
      <c r="E414" t="inlineStr">
        <is>
          <t>HÄRJEDALEN</t>
        </is>
      </c>
      <c r="G414" t="n">
        <v>18.3</v>
      </c>
      <c r="H414" t="n">
        <v>0</v>
      </c>
      <c r="I414" t="n">
        <v>0</v>
      </c>
      <c r="J414" t="n">
        <v>0</v>
      </c>
      <c r="K414" t="n">
        <v>0</v>
      </c>
      <c r="L414" t="n">
        <v>0</v>
      </c>
      <c r="M414" t="n">
        <v>0</v>
      </c>
      <c r="N414" t="n">
        <v>0</v>
      </c>
      <c r="O414" t="n">
        <v>0</v>
      </c>
      <c r="P414" t="n">
        <v>0</v>
      </c>
      <c r="Q414" t="n">
        <v>0</v>
      </c>
      <c r="R414" s="2" t="inlineStr"/>
    </row>
    <row r="415" ht="15" customHeight="1">
      <c r="A415" t="inlineStr">
        <is>
          <t>A 19962-2021</t>
        </is>
      </c>
      <c r="B415" s="1" t="n">
        <v>44312</v>
      </c>
      <c r="C415" s="1" t="n">
        <v>46076</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30743-2024</t>
        </is>
      </c>
      <c r="B416" s="1" t="n">
        <v>45496.67178240741</v>
      </c>
      <c r="C416" s="1" t="n">
        <v>46076</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59962-2024</t>
        </is>
      </c>
      <c r="B417" s="1" t="n">
        <v>45642.35256944445</v>
      </c>
      <c r="C417" s="1" t="n">
        <v>46076</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11997-2025</t>
        </is>
      </c>
      <c r="B418" s="1" t="n">
        <v>45728.61006944445</v>
      </c>
      <c r="C418" s="1" t="n">
        <v>46076</v>
      </c>
      <c r="D418" t="inlineStr">
        <is>
          <t>JÄMTLANDS LÄN</t>
        </is>
      </c>
      <c r="E418" t="inlineStr">
        <is>
          <t>HÄRJEDALEN</t>
        </is>
      </c>
      <c r="G418" t="n">
        <v>3.2</v>
      </c>
      <c r="H418" t="n">
        <v>0</v>
      </c>
      <c r="I418" t="n">
        <v>0</v>
      </c>
      <c r="J418" t="n">
        <v>0</v>
      </c>
      <c r="K418" t="n">
        <v>0</v>
      </c>
      <c r="L418" t="n">
        <v>0</v>
      </c>
      <c r="M418" t="n">
        <v>0</v>
      </c>
      <c r="N418" t="n">
        <v>0</v>
      </c>
      <c r="O418" t="n">
        <v>0</v>
      </c>
      <c r="P418" t="n">
        <v>0</v>
      </c>
      <c r="Q418" t="n">
        <v>0</v>
      </c>
      <c r="R418" s="2" t="inlineStr"/>
    </row>
    <row r="419" ht="15" customHeight="1">
      <c r="A419" t="inlineStr">
        <is>
          <t>A 4217-2025</t>
        </is>
      </c>
      <c r="B419" s="1" t="n">
        <v>45685.50063657408</v>
      </c>
      <c r="C419" s="1" t="n">
        <v>46076</v>
      </c>
      <c r="D419" t="inlineStr">
        <is>
          <t>JÄMTLANDS LÄN</t>
        </is>
      </c>
      <c r="E419" t="inlineStr">
        <is>
          <t>HÄRJEDALEN</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44438-2025</t>
        </is>
      </c>
      <c r="B420" s="1" t="n">
        <v>45916</v>
      </c>
      <c r="C420" s="1" t="n">
        <v>46076</v>
      </c>
      <c r="D420" t="inlineStr">
        <is>
          <t>JÄMTLANDS LÄN</t>
        </is>
      </c>
      <c r="E420" t="inlineStr">
        <is>
          <t>HÄRJEDALEN</t>
        </is>
      </c>
      <c r="F420" t="inlineStr">
        <is>
          <t>Bergvik skog väst AB</t>
        </is>
      </c>
      <c r="G420" t="n">
        <v>7.8</v>
      </c>
      <c r="H420" t="n">
        <v>0</v>
      </c>
      <c r="I420" t="n">
        <v>0</v>
      </c>
      <c r="J420" t="n">
        <v>0</v>
      </c>
      <c r="K420" t="n">
        <v>0</v>
      </c>
      <c r="L420" t="n">
        <v>0</v>
      </c>
      <c r="M420" t="n">
        <v>0</v>
      </c>
      <c r="N420" t="n">
        <v>0</v>
      </c>
      <c r="O420" t="n">
        <v>0</v>
      </c>
      <c r="P420" t="n">
        <v>0</v>
      </c>
      <c r="Q420" t="n">
        <v>0</v>
      </c>
      <c r="R420" s="2" t="inlineStr"/>
    </row>
    <row r="421" ht="15" customHeight="1">
      <c r="A421" t="inlineStr">
        <is>
          <t>A 1398-2024</t>
        </is>
      </c>
      <c r="B421" s="1" t="n">
        <v>45303</v>
      </c>
      <c r="C421" s="1" t="n">
        <v>46076</v>
      </c>
      <c r="D421" t="inlineStr">
        <is>
          <t>JÄMTLANDS LÄN</t>
        </is>
      </c>
      <c r="E421" t="inlineStr">
        <is>
          <t>HÄRJEDALEN</t>
        </is>
      </c>
      <c r="G421" t="n">
        <v>6</v>
      </c>
      <c r="H421" t="n">
        <v>0</v>
      </c>
      <c r="I421" t="n">
        <v>0</v>
      </c>
      <c r="J421" t="n">
        <v>0</v>
      </c>
      <c r="K421" t="n">
        <v>0</v>
      </c>
      <c r="L421" t="n">
        <v>0</v>
      </c>
      <c r="M421" t="n">
        <v>0</v>
      </c>
      <c r="N421" t="n">
        <v>0</v>
      </c>
      <c r="O421" t="n">
        <v>0</v>
      </c>
      <c r="P421" t="n">
        <v>0</v>
      </c>
      <c r="Q421" t="n">
        <v>0</v>
      </c>
      <c r="R421" s="2" t="inlineStr"/>
    </row>
    <row r="422" ht="15" customHeight="1">
      <c r="A422" t="inlineStr">
        <is>
          <t>A 35599-2024</t>
        </is>
      </c>
      <c r="B422" s="1" t="n">
        <v>45531.66196759259</v>
      </c>
      <c r="C422" s="1" t="n">
        <v>46076</v>
      </c>
      <c r="D422" t="inlineStr">
        <is>
          <t>JÄMTLANDS LÄN</t>
        </is>
      </c>
      <c r="E422" t="inlineStr">
        <is>
          <t>HÄRJEDALEN</t>
        </is>
      </c>
      <c r="F422" t="inlineStr">
        <is>
          <t>Bergvik skog väst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19402-2024</t>
        </is>
      </c>
      <c r="B423" s="1" t="n">
        <v>45429.39</v>
      </c>
      <c r="C423" s="1" t="n">
        <v>46076</v>
      </c>
      <c r="D423" t="inlineStr">
        <is>
          <t>JÄMTLANDS LÄN</t>
        </is>
      </c>
      <c r="E423" t="inlineStr">
        <is>
          <t>HÄRJEDALEN</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29102-2025</t>
        </is>
      </c>
      <c r="B424" s="1" t="n">
        <v>45821.57201388889</v>
      </c>
      <c r="C424" s="1" t="n">
        <v>46076</v>
      </c>
      <c r="D424" t="inlineStr">
        <is>
          <t>JÄMTLANDS LÄN</t>
        </is>
      </c>
      <c r="E424" t="inlineStr">
        <is>
          <t>HÄRJEDALEN</t>
        </is>
      </c>
      <c r="F424" t="inlineStr">
        <is>
          <t>Sveaskog</t>
        </is>
      </c>
      <c r="G424" t="n">
        <v>5.5</v>
      </c>
      <c r="H424" t="n">
        <v>0</v>
      </c>
      <c r="I424" t="n">
        <v>0</v>
      </c>
      <c r="J424" t="n">
        <v>0</v>
      </c>
      <c r="K424" t="n">
        <v>0</v>
      </c>
      <c r="L424" t="n">
        <v>0</v>
      </c>
      <c r="M424" t="n">
        <v>0</v>
      </c>
      <c r="N424" t="n">
        <v>0</v>
      </c>
      <c r="O424" t="n">
        <v>0</v>
      </c>
      <c r="P424" t="n">
        <v>0</v>
      </c>
      <c r="Q424" t="n">
        <v>0</v>
      </c>
      <c r="R424" s="2" t="inlineStr"/>
    </row>
    <row r="425" ht="15" customHeight="1">
      <c r="A425" t="inlineStr">
        <is>
          <t>A 50775-2021</t>
        </is>
      </c>
      <c r="B425" s="1" t="n">
        <v>44460.44315972222</v>
      </c>
      <c r="C425" s="1" t="n">
        <v>46076</v>
      </c>
      <c r="D425" t="inlineStr">
        <is>
          <t>JÄMTLANDS LÄN</t>
        </is>
      </c>
      <c r="E425" t="inlineStr">
        <is>
          <t>HÄRJEDALEN</t>
        </is>
      </c>
      <c r="F425" t="inlineStr">
        <is>
          <t>Bergvik skog väst AB</t>
        </is>
      </c>
      <c r="G425" t="n">
        <v>4.9</v>
      </c>
      <c r="H425" t="n">
        <v>0</v>
      </c>
      <c r="I425" t="n">
        <v>0</v>
      </c>
      <c r="J425" t="n">
        <v>0</v>
      </c>
      <c r="K425" t="n">
        <v>0</v>
      </c>
      <c r="L425" t="n">
        <v>0</v>
      </c>
      <c r="M425" t="n">
        <v>0</v>
      </c>
      <c r="N425" t="n">
        <v>0</v>
      </c>
      <c r="O425" t="n">
        <v>0</v>
      </c>
      <c r="P425" t="n">
        <v>0</v>
      </c>
      <c r="Q425" t="n">
        <v>0</v>
      </c>
      <c r="R425" s="2" t="inlineStr"/>
    </row>
    <row r="426" ht="15" customHeight="1">
      <c r="A426" t="inlineStr">
        <is>
          <t>A 28408-2024</t>
        </is>
      </c>
      <c r="B426" s="1" t="n">
        <v>45477.62255787037</v>
      </c>
      <c r="C426" s="1" t="n">
        <v>46076</v>
      </c>
      <c r="D426" t="inlineStr">
        <is>
          <t>JÄMTLANDS LÄN</t>
        </is>
      </c>
      <c r="E426" t="inlineStr">
        <is>
          <t>HÄRJEDALEN</t>
        </is>
      </c>
      <c r="F426" t="inlineStr">
        <is>
          <t>Holmen skog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29536-2024</t>
        </is>
      </c>
      <c r="B427" s="1" t="n">
        <v>45484.48854166667</v>
      </c>
      <c r="C427" s="1" t="n">
        <v>46076</v>
      </c>
      <c r="D427" t="inlineStr">
        <is>
          <t>JÄMTLANDS LÄN</t>
        </is>
      </c>
      <c r="E427" t="inlineStr">
        <is>
          <t>HÄRJEDALEN</t>
        </is>
      </c>
      <c r="F427" t="inlineStr">
        <is>
          <t>Holmen skog AB</t>
        </is>
      </c>
      <c r="G427" t="n">
        <v>25.2</v>
      </c>
      <c r="H427" t="n">
        <v>0</v>
      </c>
      <c r="I427" t="n">
        <v>0</v>
      </c>
      <c r="J427" t="n">
        <v>0</v>
      </c>
      <c r="K427" t="n">
        <v>0</v>
      </c>
      <c r="L427" t="n">
        <v>0</v>
      </c>
      <c r="M427" t="n">
        <v>0</v>
      </c>
      <c r="N427" t="n">
        <v>0</v>
      </c>
      <c r="O427" t="n">
        <v>0</v>
      </c>
      <c r="P427" t="n">
        <v>0</v>
      </c>
      <c r="Q427" t="n">
        <v>0</v>
      </c>
      <c r="R427" s="2" t="inlineStr"/>
    </row>
    <row r="428" ht="15" customHeight="1">
      <c r="A428" t="inlineStr">
        <is>
          <t>A 16283-2024</t>
        </is>
      </c>
      <c r="B428" s="1" t="n">
        <v>45407.36894675926</v>
      </c>
      <c r="C428" s="1" t="n">
        <v>46076</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2935-2025</t>
        </is>
      </c>
      <c r="B429" s="1" t="n">
        <v>45678.37956018518</v>
      </c>
      <c r="C429" s="1" t="n">
        <v>46076</v>
      </c>
      <c r="D429" t="inlineStr">
        <is>
          <t>JÄMTLANDS LÄN</t>
        </is>
      </c>
      <c r="E429" t="inlineStr">
        <is>
          <t>HÄRJEDALEN</t>
        </is>
      </c>
      <c r="G429" t="n">
        <v>1.7</v>
      </c>
      <c r="H429" t="n">
        <v>0</v>
      </c>
      <c r="I429" t="n">
        <v>0</v>
      </c>
      <c r="J429" t="n">
        <v>0</v>
      </c>
      <c r="K429" t="n">
        <v>0</v>
      </c>
      <c r="L429" t="n">
        <v>0</v>
      </c>
      <c r="M429" t="n">
        <v>0</v>
      </c>
      <c r="N429" t="n">
        <v>0</v>
      </c>
      <c r="O429" t="n">
        <v>0</v>
      </c>
      <c r="P429" t="n">
        <v>0</v>
      </c>
      <c r="Q429" t="n">
        <v>0</v>
      </c>
      <c r="R429" s="2" t="inlineStr"/>
    </row>
    <row r="430" ht="15" customHeight="1">
      <c r="A430" t="inlineStr">
        <is>
          <t>A 57836-2024</t>
        </is>
      </c>
      <c r="B430" s="1" t="n">
        <v>45631.39950231482</v>
      </c>
      <c r="C430" s="1" t="n">
        <v>46076</v>
      </c>
      <c r="D430" t="inlineStr">
        <is>
          <t>JÄMTLANDS LÄN</t>
        </is>
      </c>
      <c r="E430" t="inlineStr">
        <is>
          <t>HÄRJEDALEN</t>
        </is>
      </c>
      <c r="F430" t="inlineStr">
        <is>
          <t>Bergvik skog väst AB</t>
        </is>
      </c>
      <c r="G430" t="n">
        <v>7.5</v>
      </c>
      <c r="H430" t="n">
        <v>0</v>
      </c>
      <c r="I430" t="n">
        <v>0</v>
      </c>
      <c r="J430" t="n">
        <v>0</v>
      </c>
      <c r="K430" t="n">
        <v>0</v>
      </c>
      <c r="L430" t="n">
        <v>0</v>
      </c>
      <c r="M430" t="n">
        <v>0</v>
      </c>
      <c r="N430" t="n">
        <v>0</v>
      </c>
      <c r="O430" t="n">
        <v>0</v>
      </c>
      <c r="P430" t="n">
        <v>0</v>
      </c>
      <c r="Q430" t="n">
        <v>0</v>
      </c>
      <c r="R430" s="2" t="inlineStr"/>
    </row>
    <row r="431" ht="15" customHeight="1">
      <c r="A431" t="inlineStr">
        <is>
          <t>A 54762-2022</t>
        </is>
      </c>
      <c r="B431" s="1" t="n">
        <v>44883</v>
      </c>
      <c r="C431" s="1" t="n">
        <v>46076</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63546-2023</t>
        </is>
      </c>
      <c r="B432" s="1" t="n">
        <v>45275</v>
      </c>
      <c r="C432" s="1" t="n">
        <v>46076</v>
      </c>
      <c r="D432" t="inlineStr">
        <is>
          <t>JÄMTLANDS LÄN</t>
        </is>
      </c>
      <c r="E432" t="inlineStr">
        <is>
          <t>HÄRJEDALEN</t>
        </is>
      </c>
      <c r="G432" t="n">
        <v>4.5</v>
      </c>
      <c r="H432" t="n">
        <v>0</v>
      </c>
      <c r="I432" t="n">
        <v>0</v>
      </c>
      <c r="J432" t="n">
        <v>0</v>
      </c>
      <c r="K432" t="n">
        <v>0</v>
      </c>
      <c r="L432" t="n">
        <v>0</v>
      </c>
      <c r="M432" t="n">
        <v>0</v>
      </c>
      <c r="N432" t="n">
        <v>0</v>
      </c>
      <c r="O432" t="n">
        <v>0</v>
      </c>
      <c r="P432" t="n">
        <v>0</v>
      </c>
      <c r="Q432" t="n">
        <v>0</v>
      </c>
      <c r="R432" s="2" t="inlineStr"/>
    </row>
    <row r="433" ht="15" customHeight="1">
      <c r="A433" t="inlineStr">
        <is>
          <t>A 29187-2025</t>
        </is>
      </c>
      <c r="B433" s="1" t="n">
        <v>45821.77903935185</v>
      </c>
      <c r="C433" s="1" t="n">
        <v>46076</v>
      </c>
      <c r="D433" t="inlineStr">
        <is>
          <t>JÄMTLANDS LÄN</t>
        </is>
      </c>
      <c r="E433" t="inlineStr">
        <is>
          <t>HÄRJEDALEN</t>
        </is>
      </c>
      <c r="G433" t="n">
        <v>7.5</v>
      </c>
      <c r="H433" t="n">
        <v>0</v>
      </c>
      <c r="I433" t="n">
        <v>0</v>
      </c>
      <c r="J433" t="n">
        <v>0</v>
      </c>
      <c r="K433" t="n">
        <v>0</v>
      </c>
      <c r="L433" t="n">
        <v>0</v>
      </c>
      <c r="M433" t="n">
        <v>0</v>
      </c>
      <c r="N433" t="n">
        <v>0</v>
      </c>
      <c r="O433" t="n">
        <v>0</v>
      </c>
      <c r="P433" t="n">
        <v>0</v>
      </c>
      <c r="Q433" t="n">
        <v>0</v>
      </c>
      <c r="R433" s="2" t="inlineStr"/>
    </row>
    <row r="434" ht="15" customHeight="1">
      <c r="A434" t="inlineStr">
        <is>
          <t>A 10340-2023</t>
        </is>
      </c>
      <c r="B434" s="1" t="n">
        <v>44987.34981481481</v>
      </c>
      <c r="C434" s="1" t="n">
        <v>46076</v>
      </c>
      <c r="D434" t="inlineStr">
        <is>
          <t>JÄMTLANDS LÄN</t>
        </is>
      </c>
      <c r="E434" t="inlineStr">
        <is>
          <t>HÄRJEDALEN</t>
        </is>
      </c>
      <c r="F434" t="inlineStr">
        <is>
          <t>Holmen skog AB</t>
        </is>
      </c>
      <c r="G434" t="n">
        <v>5.7</v>
      </c>
      <c r="H434" t="n">
        <v>0</v>
      </c>
      <c r="I434" t="n">
        <v>0</v>
      </c>
      <c r="J434" t="n">
        <v>0</v>
      </c>
      <c r="K434" t="n">
        <v>0</v>
      </c>
      <c r="L434" t="n">
        <v>0</v>
      </c>
      <c r="M434" t="n">
        <v>0</v>
      </c>
      <c r="N434" t="n">
        <v>0</v>
      </c>
      <c r="O434" t="n">
        <v>0</v>
      </c>
      <c r="P434" t="n">
        <v>0</v>
      </c>
      <c r="Q434" t="n">
        <v>0</v>
      </c>
      <c r="R434" s="2" t="inlineStr"/>
    </row>
    <row r="435" ht="15" customHeight="1">
      <c r="A435" t="inlineStr">
        <is>
          <t>A 37054-2024</t>
        </is>
      </c>
      <c r="B435" s="1" t="n">
        <v>45539.43545138889</v>
      </c>
      <c r="C435" s="1" t="n">
        <v>46076</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39290-2025</t>
        </is>
      </c>
      <c r="B436" s="1" t="n">
        <v>45889.40916666666</v>
      </c>
      <c r="C436" s="1" t="n">
        <v>46076</v>
      </c>
      <c r="D436" t="inlineStr">
        <is>
          <t>JÄMTLANDS LÄN</t>
        </is>
      </c>
      <c r="E436" t="inlineStr">
        <is>
          <t>HÄRJEDALEN</t>
        </is>
      </c>
      <c r="G436" t="n">
        <v>10.9</v>
      </c>
      <c r="H436" t="n">
        <v>0</v>
      </c>
      <c r="I436" t="n">
        <v>0</v>
      </c>
      <c r="J436" t="n">
        <v>0</v>
      </c>
      <c r="K436" t="n">
        <v>0</v>
      </c>
      <c r="L436" t="n">
        <v>0</v>
      </c>
      <c r="M436" t="n">
        <v>0</v>
      </c>
      <c r="N436" t="n">
        <v>0</v>
      </c>
      <c r="O436" t="n">
        <v>0</v>
      </c>
      <c r="P436" t="n">
        <v>0</v>
      </c>
      <c r="Q436" t="n">
        <v>0</v>
      </c>
      <c r="R436" s="2" t="inlineStr"/>
    </row>
    <row r="437" ht="15" customHeight="1">
      <c r="A437" t="inlineStr">
        <is>
          <t>A 39291-2025</t>
        </is>
      </c>
      <c r="B437" s="1" t="n">
        <v>45889.41715277778</v>
      </c>
      <c r="C437" s="1" t="n">
        <v>46076</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20935-2023</t>
        </is>
      </c>
      <c r="B438" s="1" t="n">
        <v>45061.36835648148</v>
      </c>
      <c r="C438" s="1" t="n">
        <v>46076</v>
      </c>
      <c r="D438" t="inlineStr">
        <is>
          <t>JÄMTLANDS LÄN</t>
        </is>
      </c>
      <c r="E438" t="inlineStr">
        <is>
          <t>HÄRJEDALEN</t>
        </is>
      </c>
      <c r="G438" t="n">
        <v>7.3</v>
      </c>
      <c r="H438" t="n">
        <v>0</v>
      </c>
      <c r="I438" t="n">
        <v>0</v>
      </c>
      <c r="J438" t="n">
        <v>0</v>
      </c>
      <c r="K438" t="n">
        <v>0</v>
      </c>
      <c r="L438" t="n">
        <v>0</v>
      </c>
      <c r="M438" t="n">
        <v>0</v>
      </c>
      <c r="N438" t="n">
        <v>0</v>
      </c>
      <c r="O438" t="n">
        <v>0</v>
      </c>
      <c r="P438" t="n">
        <v>0</v>
      </c>
      <c r="Q438" t="n">
        <v>0</v>
      </c>
      <c r="R438" s="2" t="inlineStr"/>
    </row>
    <row r="439" ht="15" customHeight="1">
      <c r="A439" t="inlineStr">
        <is>
          <t>A 24834-2022</t>
        </is>
      </c>
      <c r="B439" s="1" t="n">
        <v>44728</v>
      </c>
      <c r="C439" s="1" t="n">
        <v>46076</v>
      </c>
      <c r="D439" t="inlineStr">
        <is>
          <t>JÄMTLANDS LÄN</t>
        </is>
      </c>
      <c r="E439" t="inlineStr">
        <is>
          <t>HÄRJEDALEN</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39140-2025</t>
        </is>
      </c>
      <c r="B440" s="1" t="n">
        <v>45888.59509259259</v>
      </c>
      <c r="C440" s="1" t="n">
        <v>46076</v>
      </c>
      <c r="D440" t="inlineStr">
        <is>
          <t>JÄMTLANDS LÄN</t>
        </is>
      </c>
      <c r="E440" t="inlineStr">
        <is>
          <t>HÄRJEDALEN</t>
        </is>
      </c>
      <c r="G440" t="n">
        <v>14.8</v>
      </c>
      <c r="H440" t="n">
        <v>0</v>
      </c>
      <c r="I440" t="n">
        <v>0</v>
      </c>
      <c r="J440" t="n">
        <v>0</v>
      </c>
      <c r="K440" t="n">
        <v>0</v>
      </c>
      <c r="L440" t="n">
        <v>0</v>
      </c>
      <c r="M440" t="n">
        <v>0</v>
      </c>
      <c r="N440" t="n">
        <v>0</v>
      </c>
      <c r="O440" t="n">
        <v>0</v>
      </c>
      <c r="P440" t="n">
        <v>0</v>
      </c>
      <c r="Q440" t="n">
        <v>0</v>
      </c>
      <c r="R440" s="2" t="inlineStr"/>
    </row>
    <row r="441" ht="15" customHeight="1">
      <c r="A441" t="inlineStr">
        <is>
          <t>A 7311-2024</t>
        </is>
      </c>
      <c r="B441" s="1" t="n">
        <v>45345.34219907408</v>
      </c>
      <c r="C441" s="1" t="n">
        <v>46076</v>
      </c>
      <c r="D441" t="inlineStr">
        <is>
          <t>JÄMTLANDS LÄN</t>
        </is>
      </c>
      <c r="E441" t="inlineStr">
        <is>
          <t>HÄRJEDALEN</t>
        </is>
      </c>
      <c r="F441" t="inlineStr">
        <is>
          <t>Holmen skog AB</t>
        </is>
      </c>
      <c r="G441" t="n">
        <v>3.7</v>
      </c>
      <c r="H441" t="n">
        <v>0</v>
      </c>
      <c r="I441" t="n">
        <v>0</v>
      </c>
      <c r="J441" t="n">
        <v>0</v>
      </c>
      <c r="K441" t="n">
        <v>0</v>
      </c>
      <c r="L441" t="n">
        <v>0</v>
      </c>
      <c r="M441" t="n">
        <v>0</v>
      </c>
      <c r="N441" t="n">
        <v>0</v>
      </c>
      <c r="O441" t="n">
        <v>0</v>
      </c>
      <c r="P441" t="n">
        <v>0</v>
      </c>
      <c r="Q441" t="n">
        <v>0</v>
      </c>
      <c r="R441" s="2" t="inlineStr"/>
    </row>
    <row r="442" ht="15" customHeight="1">
      <c r="A442" t="inlineStr">
        <is>
          <t>A 7362-2024</t>
        </is>
      </c>
      <c r="B442" s="1" t="n">
        <v>45345.47642361111</v>
      </c>
      <c r="C442" s="1" t="n">
        <v>46076</v>
      </c>
      <c r="D442" t="inlineStr">
        <is>
          <t>JÄMTLANDS LÄN</t>
        </is>
      </c>
      <c r="E442" t="inlineStr">
        <is>
          <t>HÄRJEDALEN</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56182-2024</t>
        </is>
      </c>
      <c r="B443" s="1" t="n">
        <v>45624.57098379629</v>
      </c>
      <c r="C443" s="1" t="n">
        <v>46076</v>
      </c>
      <c r="D443" t="inlineStr">
        <is>
          <t>JÄMTLANDS LÄN</t>
        </is>
      </c>
      <c r="E443" t="inlineStr">
        <is>
          <t>HÄRJEDALEN</t>
        </is>
      </c>
      <c r="G443" t="n">
        <v>9</v>
      </c>
      <c r="H443" t="n">
        <v>0</v>
      </c>
      <c r="I443" t="n">
        <v>0</v>
      </c>
      <c r="J443" t="n">
        <v>0</v>
      </c>
      <c r="K443" t="n">
        <v>0</v>
      </c>
      <c r="L443" t="n">
        <v>0</v>
      </c>
      <c r="M443" t="n">
        <v>0</v>
      </c>
      <c r="N443" t="n">
        <v>0</v>
      </c>
      <c r="O443" t="n">
        <v>0</v>
      </c>
      <c r="P443" t="n">
        <v>0</v>
      </c>
      <c r="Q443" t="n">
        <v>0</v>
      </c>
      <c r="R443" s="2" t="inlineStr"/>
    </row>
    <row r="444" ht="15" customHeight="1">
      <c r="A444" t="inlineStr">
        <is>
          <t>A 39211-2025</t>
        </is>
      </c>
      <c r="B444" s="1" t="n">
        <v>45888.78539351852</v>
      </c>
      <c r="C444" s="1" t="n">
        <v>46076</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39212-2025</t>
        </is>
      </c>
      <c r="B445" s="1" t="n">
        <v>45888.78833333333</v>
      </c>
      <c r="C445" s="1" t="n">
        <v>46076</v>
      </c>
      <c r="D445" t="inlineStr">
        <is>
          <t>JÄMTLANDS LÄN</t>
        </is>
      </c>
      <c r="E445" t="inlineStr">
        <is>
          <t>HÄRJEDALEN</t>
        </is>
      </c>
      <c r="G445" t="n">
        <v>0.6</v>
      </c>
      <c r="H445" t="n">
        <v>0</v>
      </c>
      <c r="I445" t="n">
        <v>0</v>
      </c>
      <c r="J445" t="n">
        <v>0</v>
      </c>
      <c r="K445" t="n">
        <v>0</v>
      </c>
      <c r="L445" t="n">
        <v>0</v>
      </c>
      <c r="M445" t="n">
        <v>0</v>
      </c>
      <c r="N445" t="n">
        <v>0</v>
      </c>
      <c r="O445" t="n">
        <v>0</v>
      </c>
      <c r="P445" t="n">
        <v>0</v>
      </c>
      <c r="Q445" t="n">
        <v>0</v>
      </c>
      <c r="R445" s="2" t="inlineStr"/>
    </row>
    <row r="446" ht="15" customHeight="1">
      <c r="A446" t="inlineStr">
        <is>
          <t>A 39213-2025</t>
        </is>
      </c>
      <c r="B446" s="1" t="n">
        <v>45888.78960648148</v>
      </c>
      <c r="C446" s="1" t="n">
        <v>46076</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30251-2025</t>
        </is>
      </c>
      <c r="B447" s="1" t="n">
        <v>45827.41753472222</v>
      </c>
      <c r="C447" s="1" t="n">
        <v>46076</v>
      </c>
      <c r="D447" t="inlineStr">
        <is>
          <t>JÄMTLANDS LÄN</t>
        </is>
      </c>
      <c r="E447" t="inlineStr">
        <is>
          <t>HÄRJEDALEN</t>
        </is>
      </c>
      <c r="F447" t="inlineStr">
        <is>
          <t>Bergvik skog väst AB</t>
        </is>
      </c>
      <c r="G447" t="n">
        <v>32.1</v>
      </c>
      <c r="H447" t="n">
        <v>0</v>
      </c>
      <c r="I447" t="n">
        <v>0</v>
      </c>
      <c r="J447" t="n">
        <v>0</v>
      </c>
      <c r="K447" t="n">
        <v>0</v>
      </c>
      <c r="L447" t="n">
        <v>0</v>
      </c>
      <c r="M447" t="n">
        <v>0</v>
      </c>
      <c r="N447" t="n">
        <v>0</v>
      </c>
      <c r="O447" t="n">
        <v>0</v>
      </c>
      <c r="P447" t="n">
        <v>0</v>
      </c>
      <c r="Q447" t="n">
        <v>0</v>
      </c>
      <c r="R447" s="2" t="inlineStr"/>
    </row>
    <row r="448" ht="15" customHeight="1">
      <c r="A448" t="inlineStr">
        <is>
          <t>A 29927-2025</t>
        </is>
      </c>
      <c r="B448" s="1" t="n">
        <v>45826.43267361111</v>
      </c>
      <c r="C448" s="1" t="n">
        <v>46076</v>
      </c>
      <c r="D448" t="inlineStr">
        <is>
          <t>JÄMTLANDS LÄN</t>
        </is>
      </c>
      <c r="E448" t="inlineStr">
        <is>
          <t>HÄRJEDALEN</t>
        </is>
      </c>
      <c r="F448" t="inlineStr">
        <is>
          <t>Bergvik skog väst AB</t>
        </is>
      </c>
      <c r="G448" t="n">
        <v>12.8</v>
      </c>
      <c r="H448" t="n">
        <v>0</v>
      </c>
      <c r="I448" t="n">
        <v>0</v>
      </c>
      <c r="J448" t="n">
        <v>0</v>
      </c>
      <c r="K448" t="n">
        <v>0</v>
      </c>
      <c r="L448" t="n">
        <v>0</v>
      </c>
      <c r="M448" t="n">
        <v>0</v>
      </c>
      <c r="N448" t="n">
        <v>0</v>
      </c>
      <c r="O448" t="n">
        <v>0</v>
      </c>
      <c r="P448" t="n">
        <v>0</v>
      </c>
      <c r="Q448" t="n">
        <v>0</v>
      </c>
      <c r="R448" s="2" t="inlineStr"/>
    </row>
    <row r="449" ht="15" customHeight="1">
      <c r="A449" t="inlineStr">
        <is>
          <t>A 30363-2025</t>
        </is>
      </c>
      <c r="B449" s="1" t="n">
        <v>45827</v>
      </c>
      <c r="C449" s="1" t="n">
        <v>46076</v>
      </c>
      <c r="D449" t="inlineStr">
        <is>
          <t>JÄMTLANDS LÄN</t>
        </is>
      </c>
      <c r="E449" t="inlineStr">
        <is>
          <t>HÄRJEDALEN</t>
        </is>
      </c>
      <c r="G449" t="n">
        <v>0.6</v>
      </c>
      <c r="H449" t="n">
        <v>0</v>
      </c>
      <c r="I449" t="n">
        <v>0</v>
      </c>
      <c r="J449" t="n">
        <v>0</v>
      </c>
      <c r="K449" t="n">
        <v>0</v>
      </c>
      <c r="L449" t="n">
        <v>0</v>
      </c>
      <c r="M449" t="n">
        <v>0</v>
      </c>
      <c r="N449" t="n">
        <v>0</v>
      </c>
      <c r="O449" t="n">
        <v>0</v>
      </c>
      <c r="P449" t="n">
        <v>0</v>
      </c>
      <c r="Q449" t="n">
        <v>0</v>
      </c>
      <c r="R449" s="2" t="inlineStr"/>
    </row>
    <row r="450" ht="15" customHeight="1">
      <c r="A450" t="inlineStr">
        <is>
          <t>A 18659-2023</t>
        </is>
      </c>
      <c r="B450" s="1" t="n">
        <v>45041</v>
      </c>
      <c r="C450" s="1" t="n">
        <v>46076</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54682-2024</t>
        </is>
      </c>
      <c r="B451" s="1" t="n">
        <v>45618</v>
      </c>
      <c r="C451" s="1" t="n">
        <v>46076</v>
      </c>
      <c r="D451" t="inlineStr">
        <is>
          <t>JÄMTLANDS LÄN</t>
        </is>
      </c>
      <c r="E451" t="inlineStr">
        <is>
          <t>HÄRJEDALEN</t>
        </is>
      </c>
      <c r="G451" t="n">
        <v>14.2</v>
      </c>
      <c r="H451" t="n">
        <v>0</v>
      </c>
      <c r="I451" t="n">
        <v>0</v>
      </c>
      <c r="J451" t="n">
        <v>0</v>
      </c>
      <c r="K451" t="n">
        <v>0</v>
      </c>
      <c r="L451" t="n">
        <v>0</v>
      </c>
      <c r="M451" t="n">
        <v>0</v>
      </c>
      <c r="N451" t="n">
        <v>0</v>
      </c>
      <c r="O451" t="n">
        <v>0</v>
      </c>
      <c r="P451" t="n">
        <v>0</v>
      </c>
      <c r="Q451" t="n">
        <v>0</v>
      </c>
      <c r="R451" s="2" t="inlineStr"/>
    </row>
    <row r="452" ht="15" customHeight="1">
      <c r="A452" t="inlineStr">
        <is>
          <t>A 35726-2024</t>
        </is>
      </c>
      <c r="B452" s="1" t="n">
        <v>45532</v>
      </c>
      <c r="C452" s="1" t="n">
        <v>46076</v>
      </c>
      <c r="D452" t="inlineStr">
        <is>
          <t>JÄMTLANDS LÄN</t>
        </is>
      </c>
      <c r="E452" t="inlineStr">
        <is>
          <t>HÄRJEDALEN</t>
        </is>
      </c>
      <c r="G452" t="n">
        <v>14.3</v>
      </c>
      <c r="H452" t="n">
        <v>0</v>
      </c>
      <c r="I452" t="n">
        <v>0</v>
      </c>
      <c r="J452" t="n">
        <v>0</v>
      </c>
      <c r="K452" t="n">
        <v>0</v>
      </c>
      <c r="L452" t="n">
        <v>0</v>
      </c>
      <c r="M452" t="n">
        <v>0</v>
      </c>
      <c r="N452" t="n">
        <v>0</v>
      </c>
      <c r="O452" t="n">
        <v>0</v>
      </c>
      <c r="P452" t="n">
        <v>0</v>
      </c>
      <c r="Q452" t="n">
        <v>0</v>
      </c>
      <c r="R452" s="2" t="inlineStr"/>
    </row>
    <row r="453" ht="15" customHeight="1">
      <c r="A453" t="inlineStr">
        <is>
          <t>A 10348-2023</t>
        </is>
      </c>
      <c r="B453" s="1" t="n">
        <v>44987.35637731481</v>
      </c>
      <c r="C453" s="1" t="n">
        <v>46076</v>
      </c>
      <c r="D453" t="inlineStr">
        <is>
          <t>JÄMTLANDS LÄN</t>
        </is>
      </c>
      <c r="E453" t="inlineStr">
        <is>
          <t>HÄRJEDALEN</t>
        </is>
      </c>
      <c r="F453" t="inlineStr">
        <is>
          <t>Holmen skog AB</t>
        </is>
      </c>
      <c r="G453" t="n">
        <v>17.8</v>
      </c>
      <c r="H453" t="n">
        <v>0</v>
      </c>
      <c r="I453" t="n">
        <v>0</v>
      </c>
      <c r="J453" t="n">
        <v>0</v>
      </c>
      <c r="K453" t="n">
        <v>0</v>
      </c>
      <c r="L453" t="n">
        <v>0</v>
      </c>
      <c r="M453" t="n">
        <v>0</v>
      </c>
      <c r="N453" t="n">
        <v>0</v>
      </c>
      <c r="O453" t="n">
        <v>0</v>
      </c>
      <c r="P453" t="n">
        <v>0</v>
      </c>
      <c r="Q453" t="n">
        <v>0</v>
      </c>
      <c r="R453" s="2" t="inlineStr"/>
    </row>
    <row r="454" ht="15" customHeight="1">
      <c r="A454" t="inlineStr">
        <is>
          <t>A 10353-2023</t>
        </is>
      </c>
      <c r="B454" s="1" t="n">
        <v>44987</v>
      </c>
      <c r="C454" s="1" t="n">
        <v>46076</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62134-2024</t>
        </is>
      </c>
      <c r="B455" s="1" t="n">
        <v>45646</v>
      </c>
      <c r="C455" s="1" t="n">
        <v>46076</v>
      </c>
      <c r="D455" t="inlineStr">
        <is>
          <t>JÄMTLANDS LÄN</t>
        </is>
      </c>
      <c r="E455" t="inlineStr">
        <is>
          <t>HÄRJEDALEN</t>
        </is>
      </c>
      <c r="G455" t="n">
        <v>13.1</v>
      </c>
      <c r="H455" t="n">
        <v>0</v>
      </c>
      <c r="I455" t="n">
        <v>0</v>
      </c>
      <c r="J455" t="n">
        <v>0</v>
      </c>
      <c r="K455" t="n">
        <v>0</v>
      </c>
      <c r="L455" t="n">
        <v>0</v>
      </c>
      <c r="M455" t="n">
        <v>0</v>
      </c>
      <c r="N455" t="n">
        <v>0</v>
      </c>
      <c r="O455" t="n">
        <v>0</v>
      </c>
      <c r="P455" t="n">
        <v>0</v>
      </c>
      <c r="Q455" t="n">
        <v>0</v>
      </c>
      <c r="R455" s="2" t="inlineStr"/>
    </row>
    <row r="456" ht="15" customHeight="1">
      <c r="A456" t="inlineStr">
        <is>
          <t>A 40249-2025</t>
        </is>
      </c>
      <c r="B456" s="1" t="n">
        <v>45895.29387731481</v>
      </c>
      <c r="C456" s="1" t="n">
        <v>46076</v>
      </c>
      <c r="D456" t="inlineStr">
        <is>
          <t>JÄMTLANDS LÄN</t>
        </is>
      </c>
      <c r="E456" t="inlineStr">
        <is>
          <t>HÄRJEDALEN</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28444-2024</t>
        </is>
      </c>
      <c r="B457" s="1" t="n">
        <v>45477.66773148148</v>
      </c>
      <c r="C457" s="1" t="n">
        <v>46076</v>
      </c>
      <c r="D457" t="inlineStr">
        <is>
          <t>JÄMTLANDS LÄN</t>
        </is>
      </c>
      <c r="E457" t="inlineStr">
        <is>
          <t>HÄRJEDALEN</t>
        </is>
      </c>
      <c r="F457" t="inlineStr">
        <is>
          <t>Holmen skog AB</t>
        </is>
      </c>
      <c r="G457" t="n">
        <v>8</v>
      </c>
      <c r="H457" t="n">
        <v>0</v>
      </c>
      <c r="I457" t="n">
        <v>0</v>
      </c>
      <c r="J457" t="n">
        <v>0</v>
      </c>
      <c r="K457" t="n">
        <v>0</v>
      </c>
      <c r="L457" t="n">
        <v>0</v>
      </c>
      <c r="M457" t="n">
        <v>0</v>
      </c>
      <c r="N457" t="n">
        <v>0</v>
      </c>
      <c r="O457" t="n">
        <v>0</v>
      </c>
      <c r="P457" t="n">
        <v>0</v>
      </c>
      <c r="Q457" t="n">
        <v>0</v>
      </c>
      <c r="R457" s="2" t="inlineStr"/>
    </row>
    <row r="458" ht="15" customHeight="1">
      <c r="A458" t="inlineStr">
        <is>
          <t>A 11545-2022</t>
        </is>
      </c>
      <c r="B458" s="1" t="n">
        <v>44631.42353009259</v>
      </c>
      <c r="C458" s="1" t="n">
        <v>46076</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28627-2024</t>
        </is>
      </c>
      <c r="B459" s="1" t="n">
        <v>45478.44497685185</v>
      </c>
      <c r="C459" s="1" t="n">
        <v>46076</v>
      </c>
      <c r="D459" t="inlineStr">
        <is>
          <t>JÄMTLANDS LÄN</t>
        </is>
      </c>
      <c r="E459" t="inlineStr">
        <is>
          <t>HÄRJEDALEN</t>
        </is>
      </c>
      <c r="F459" t="inlineStr">
        <is>
          <t>Bergvik skog väst AB</t>
        </is>
      </c>
      <c r="G459" t="n">
        <v>0.2</v>
      </c>
      <c r="H459" t="n">
        <v>0</v>
      </c>
      <c r="I459" t="n">
        <v>0</v>
      </c>
      <c r="J459" t="n">
        <v>0</v>
      </c>
      <c r="K459" t="n">
        <v>0</v>
      </c>
      <c r="L459" t="n">
        <v>0</v>
      </c>
      <c r="M459" t="n">
        <v>0</v>
      </c>
      <c r="N459" t="n">
        <v>0</v>
      </c>
      <c r="O459" t="n">
        <v>0</v>
      </c>
      <c r="P459" t="n">
        <v>0</v>
      </c>
      <c r="Q459" t="n">
        <v>0</v>
      </c>
      <c r="R459" s="2" t="inlineStr"/>
    </row>
    <row r="460" ht="15" customHeight="1">
      <c r="A460" t="inlineStr">
        <is>
          <t>A 23446-2025</t>
        </is>
      </c>
      <c r="B460" s="1" t="n">
        <v>45791</v>
      </c>
      <c r="C460" s="1" t="n">
        <v>46076</v>
      </c>
      <c r="D460" t="inlineStr">
        <is>
          <t>JÄMTLANDS LÄN</t>
        </is>
      </c>
      <c r="E460" t="inlineStr">
        <is>
          <t>HÄRJEDALEN</t>
        </is>
      </c>
      <c r="G460" t="n">
        <v>20.5</v>
      </c>
      <c r="H460" t="n">
        <v>0</v>
      </c>
      <c r="I460" t="n">
        <v>0</v>
      </c>
      <c r="J460" t="n">
        <v>0</v>
      </c>
      <c r="K460" t="n">
        <v>0</v>
      </c>
      <c r="L460" t="n">
        <v>0</v>
      </c>
      <c r="M460" t="n">
        <v>0</v>
      </c>
      <c r="N460" t="n">
        <v>0</v>
      </c>
      <c r="O460" t="n">
        <v>0</v>
      </c>
      <c r="P460" t="n">
        <v>0</v>
      </c>
      <c r="Q460" t="n">
        <v>0</v>
      </c>
      <c r="R460" s="2" t="inlineStr"/>
    </row>
    <row r="461" ht="15" customHeight="1">
      <c r="A461" t="inlineStr">
        <is>
          <t>A 30255-2025</t>
        </is>
      </c>
      <c r="B461" s="1" t="n">
        <v>45827.42467592593</v>
      </c>
      <c r="C461" s="1" t="n">
        <v>46076</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28930-2024</t>
        </is>
      </c>
      <c r="B462" s="1" t="n">
        <v>45481.3330787037</v>
      </c>
      <c r="C462" s="1" t="n">
        <v>46076</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39963-2025</t>
        </is>
      </c>
      <c r="B463" s="1" t="n">
        <v>45892.53184027778</v>
      </c>
      <c r="C463" s="1" t="n">
        <v>46076</v>
      </c>
      <c r="D463" t="inlineStr">
        <is>
          <t>JÄMTLANDS LÄN</t>
        </is>
      </c>
      <c r="E463" t="inlineStr">
        <is>
          <t>HÄRJEDALEN</t>
        </is>
      </c>
      <c r="G463" t="n">
        <v>33.9</v>
      </c>
      <c r="H463" t="n">
        <v>0</v>
      </c>
      <c r="I463" t="n">
        <v>0</v>
      </c>
      <c r="J463" t="n">
        <v>0</v>
      </c>
      <c r="K463" t="n">
        <v>0</v>
      </c>
      <c r="L463" t="n">
        <v>0</v>
      </c>
      <c r="M463" t="n">
        <v>0</v>
      </c>
      <c r="N463" t="n">
        <v>0</v>
      </c>
      <c r="O463" t="n">
        <v>0</v>
      </c>
      <c r="P463" t="n">
        <v>0</v>
      </c>
      <c r="Q463" t="n">
        <v>0</v>
      </c>
      <c r="R463" s="2" t="inlineStr"/>
    </row>
    <row r="464" ht="15" customHeight="1">
      <c r="A464" t="inlineStr">
        <is>
          <t>A 50544-2024</t>
        </is>
      </c>
      <c r="B464" s="1" t="n">
        <v>45601.58355324074</v>
      </c>
      <c r="C464" s="1" t="n">
        <v>46076</v>
      </c>
      <c r="D464" t="inlineStr">
        <is>
          <t>JÄMTLANDS LÄN</t>
        </is>
      </c>
      <c r="E464" t="inlineStr">
        <is>
          <t>HÄRJEDALEN</t>
        </is>
      </c>
      <c r="G464" t="n">
        <v>1.2</v>
      </c>
      <c r="H464" t="n">
        <v>0</v>
      </c>
      <c r="I464" t="n">
        <v>0</v>
      </c>
      <c r="J464" t="n">
        <v>0</v>
      </c>
      <c r="K464" t="n">
        <v>0</v>
      </c>
      <c r="L464" t="n">
        <v>0</v>
      </c>
      <c r="M464" t="n">
        <v>0</v>
      </c>
      <c r="N464" t="n">
        <v>0</v>
      </c>
      <c r="O464" t="n">
        <v>0</v>
      </c>
      <c r="P464" t="n">
        <v>0</v>
      </c>
      <c r="Q464" t="n">
        <v>0</v>
      </c>
      <c r="R464" s="2" t="inlineStr"/>
    </row>
    <row r="465" ht="15" customHeight="1">
      <c r="A465" t="inlineStr">
        <is>
          <t>A 40194-2025</t>
        </is>
      </c>
      <c r="B465" s="1" t="n">
        <v>45894.65869212963</v>
      </c>
      <c r="C465" s="1" t="n">
        <v>46076</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40185-2025</t>
        </is>
      </c>
      <c r="B466" s="1" t="n">
        <v>45894.64358796296</v>
      </c>
      <c r="C466" s="1" t="n">
        <v>46076</v>
      </c>
      <c r="D466" t="inlineStr">
        <is>
          <t>JÄMTLANDS LÄN</t>
        </is>
      </c>
      <c r="E466" t="inlineStr">
        <is>
          <t>HÄRJEDALEN</t>
        </is>
      </c>
      <c r="F466" t="inlineStr">
        <is>
          <t>Bergvik skog väst AB</t>
        </is>
      </c>
      <c r="G466" t="n">
        <v>30.7</v>
      </c>
      <c r="H466" t="n">
        <v>0</v>
      </c>
      <c r="I466" t="n">
        <v>0</v>
      </c>
      <c r="J466" t="n">
        <v>0</v>
      </c>
      <c r="K466" t="n">
        <v>0</v>
      </c>
      <c r="L466" t="n">
        <v>0</v>
      </c>
      <c r="M466" t="n">
        <v>0</v>
      </c>
      <c r="N466" t="n">
        <v>0</v>
      </c>
      <c r="O466" t="n">
        <v>0</v>
      </c>
      <c r="P466" t="n">
        <v>0</v>
      </c>
      <c r="Q466" t="n">
        <v>0</v>
      </c>
      <c r="R466" s="2" t="inlineStr"/>
    </row>
    <row r="467" ht="15" customHeight="1">
      <c r="A467" t="inlineStr">
        <is>
          <t>A 52794-2024</t>
        </is>
      </c>
      <c r="B467" s="1" t="n">
        <v>45610.55846064815</v>
      </c>
      <c r="C467" s="1" t="n">
        <v>46076</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31096-2025</t>
        </is>
      </c>
      <c r="B468" s="1" t="n">
        <v>45831</v>
      </c>
      <c r="C468" s="1" t="n">
        <v>46076</v>
      </c>
      <c r="D468" t="inlineStr">
        <is>
          <t>JÄMTLANDS LÄN</t>
        </is>
      </c>
      <c r="E468" t="inlineStr">
        <is>
          <t>HÄRJEDALEN</t>
        </is>
      </c>
      <c r="F468" t="inlineStr">
        <is>
          <t>Bergvik skog väst AB</t>
        </is>
      </c>
      <c r="G468" t="n">
        <v>11.4</v>
      </c>
      <c r="H468" t="n">
        <v>0</v>
      </c>
      <c r="I468" t="n">
        <v>0</v>
      </c>
      <c r="J468" t="n">
        <v>0</v>
      </c>
      <c r="K468" t="n">
        <v>0</v>
      </c>
      <c r="L468" t="n">
        <v>0</v>
      </c>
      <c r="M468" t="n">
        <v>0</v>
      </c>
      <c r="N468" t="n">
        <v>0</v>
      </c>
      <c r="O468" t="n">
        <v>0</v>
      </c>
      <c r="P468" t="n">
        <v>0</v>
      </c>
      <c r="Q468" t="n">
        <v>0</v>
      </c>
      <c r="R468" s="2" t="inlineStr"/>
    </row>
    <row r="469" ht="15" customHeight="1">
      <c r="A469" t="inlineStr">
        <is>
          <t>A 30744-2024</t>
        </is>
      </c>
      <c r="B469" s="1" t="n">
        <v>45496.67342592592</v>
      </c>
      <c r="C469" s="1" t="n">
        <v>46076</v>
      </c>
      <c r="D469" t="inlineStr">
        <is>
          <t>JÄMTLANDS LÄN</t>
        </is>
      </c>
      <c r="E469" t="inlineStr">
        <is>
          <t>HÄRJEDALEN</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40572-2025</t>
        </is>
      </c>
      <c r="B470" s="1" t="n">
        <v>45896.49821759259</v>
      </c>
      <c r="C470" s="1" t="n">
        <v>46076</v>
      </c>
      <c r="D470" t="inlineStr">
        <is>
          <t>JÄMTLANDS LÄN</t>
        </is>
      </c>
      <c r="E470" t="inlineStr">
        <is>
          <t>HÄRJEDALEN</t>
        </is>
      </c>
      <c r="G470" t="n">
        <v>0.4</v>
      </c>
      <c r="H470" t="n">
        <v>0</v>
      </c>
      <c r="I470" t="n">
        <v>0</v>
      </c>
      <c r="J470" t="n">
        <v>0</v>
      </c>
      <c r="K470" t="n">
        <v>0</v>
      </c>
      <c r="L470" t="n">
        <v>0</v>
      </c>
      <c r="M470" t="n">
        <v>0</v>
      </c>
      <c r="N470" t="n">
        <v>0</v>
      </c>
      <c r="O470" t="n">
        <v>0</v>
      </c>
      <c r="P470" t="n">
        <v>0</v>
      </c>
      <c r="Q470" t="n">
        <v>0</v>
      </c>
      <c r="R470" s="2" t="inlineStr"/>
    </row>
    <row r="471" ht="15" customHeight="1">
      <c r="A471" t="inlineStr">
        <is>
          <t>A 40573-2025</t>
        </is>
      </c>
      <c r="B471" s="1" t="n">
        <v>45896.49959490741</v>
      </c>
      <c r="C471" s="1" t="n">
        <v>46076</v>
      </c>
      <c r="D471" t="inlineStr">
        <is>
          <t>JÄMTLANDS LÄN</t>
        </is>
      </c>
      <c r="E471" t="inlineStr">
        <is>
          <t>HÄRJEDALEN</t>
        </is>
      </c>
      <c r="G471" t="n">
        <v>1.6</v>
      </c>
      <c r="H471" t="n">
        <v>0</v>
      </c>
      <c r="I471" t="n">
        <v>0</v>
      </c>
      <c r="J471" t="n">
        <v>0</v>
      </c>
      <c r="K471" t="n">
        <v>0</v>
      </c>
      <c r="L471" t="n">
        <v>0</v>
      </c>
      <c r="M471" t="n">
        <v>0</v>
      </c>
      <c r="N471" t="n">
        <v>0</v>
      </c>
      <c r="O471" t="n">
        <v>0</v>
      </c>
      <c r="P471" t="n">
        <v>0</v>
      </c>
      <c r="Q471" t="n">
        <v>0</v>
      </c>
      <c r="R471" s="2" t="inlineStr"/>
    </row>
    <row r="472" ht="15" customHeight="1">
      <c r="A472" t="inlineStr">
        <is>
          <t>A 31255-2025</t>
        </is>
      </c>
      <c r="B472" s="1" t="n">
        <v>45832</v>
      </c>
      <c r="C472" s="1" t="n">
        <v>46076</v>
      </c>
      <c r="D472" t="inlineStr">
        <is>
          <t>JÄMTLANDS LÄN</t>
        </is>
      </c>
      <c r="E472" t="inlineStr">
        <is>
          <t>HÄRJEDALEN</t>
        </is>
      </c>
      <c r="F472" t="inlineStr">
        <is>
          <t>Bergvik skog väst AB</t>
        </is>
      </c>
      <c r="G472" t="n">
        <v>12.9</v>
      </c>
      <c r="H472" t="n">
        <v>0</v>
      </c>
      <c r="I472" t="n">
        <v>0</v>
      </c>
      <c r="J472" t="n">
        <v>0</v>
      </c>
      <c r="K472" t="n">
        <v>0</v>
      </c>
      <c r="L472" t="n">
        <v>0</v>
      </c>
      <c r="M472" t="n">
        <v>0</v>
      </c>
      <c r="N472" t="n">
        <v>0</v>
      </c>
      <c r="O472" t="n">
        <v>0</v>
      </c>
      <c r="P472" t="n">
        <v>0</v>
      </c>
      <c r="Q472" t="n">
        <v>0</v>
      </c>
      <c r="R472" s="2" t="inlineStr"/>
    </row>
    <row r="473" ht="15" customHeight="1">
      <c r="A473" t="inlineStr">
        <is>
          <t>A 31570-2025</t>
        </is>
      </c>
      <c r="B473" s="1" t="n">
        <v>45833</v>
      </c>
      <c r="C473" s="1" t="n">
        <v>46076</v>
      </c>
      <c r="D473" t="inlineStr">
        <is>
          <t>JÄMTLANDS LÄN</t>
        </is>
      </c>
      <c r="E473" t="inlineStr">
        <is>
          <t>HÄRJEDALEN</t>
        </is>
      </c>
      <c r="F473" t="inlineStr">
        <is>
          <t>Bergvik skog väst AB</t>
        </is>
      </c>
      <c r="G473" t="n">
        <v>5.4</v>
      </c>
      <c r="H473" t="n">
        <v>0</v>
      </c>
      <c r="I473" t="n">
        <v>0</v>
      </c>
      <c r="J473" t="n">
        <v>0</v>
      </c>
      <c r="K473" t="n">
        <v>0</v>
      </c>
      <c r="L473" t="n">
        <v>0</v>
      </c>
      <c r="M473" t="n">
        <v>0</v>
      </c>
      <c r="N473" t="n">
        <v>0</v>
      </c>
      <c r="O473" t="n">
        <v>0</v>
      </c>
      <c r="P473" t="n">
        <v>0</v>
      </c>
      <c r="Q473" t="n">
        <v>0</v>
      </c>
      <c r="R473" s="2" t="inlineStr"/>
    </row>
    <row r="474" ht="15" customHeight="1">
      <c r="A474" t="inlineStr">
        <is>
          <t>A 41054-2025</t>
        </is>
      </c>
      <c r="B474" s="1" t="n">
        <v>45898.40481481481</v>
      </c>
      <c r="C474" s="1" t="n">
        <v>46076</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31526-2025</t>
        </is>
      </c>
      <c r="B475" s="1" t="n">
        <v>45833</v>
      </c>
      <c r="C475" s="1" t="n">
        <v>46076</v>
      </c>
      <c r="D475" t="inlineStr">
        <is>
          <t>JÄMTLANDS LÄN</t>
        </is>
      </c>
      <c r="E475" t="inlineStr">
        <is>
          <t>HÄRJEDALEN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31252-2025</t>
        </is>
      </c>
      <c r="B476" s="1" t="n">
        <v>45832</v>
      </c>
      <c r="C476" s="1" t="n">
        <v>46076</v>
      </c>
      <c r="D476" t="inlineStr">
        <is>
          <t>JÄMTLANDS LÄN</t>
        </is>
      </c>
      <c r="E476" t="inlineStr">
        <is>
          <t>HÄRJEDALEN</t>
        </is>
      </c>
      <c r="F476" t="inlineStr">
        <is>
          <t>Bergvik skog väst AB</t>
        </is>
      </c>
      <c r="G476" t="n">
        <v>8</v>
      </c>
      <c r="H476" t="n">
        <v>0</v>
      </c>
      <c r="I476" t="n">
        <v>0</v>
      </c>
      <c r="J476" t="n">
        <v>0</v>
      </c>
      <c r="K476" t="n">
        <v>0</v>
      </c>
      <c r="L476" t="n">
        <v>0</v>
      </c>
      <c r="M476" t="n">
        <v>0</v>
      </c>
      <c r="N476" t="n">
        <v>0</v>
      </c>
      <c r="O476" t="n">
        <v>0</v>
      </c>
      <c r="P476" t="n">
        <v>0</v>
      </c>
      <c r="Q476" t="n">
        <v>0</v>
      </c>
      <c r="R476" s="2" t="inlineStr"/>
    </row>
    <row r="477" ht="15" customHeight="1">
      <c r="A477" t="inlineStr">
        <is>
          <t>A 31294-2025</t>
        </is>
      </c>
      <c r="B477" s="1" t="n">
        <v>45833.36467592593</v>
      </c>
      <c r="C477" s="1" t="n">
        <v>46076</v>
      </c>
      <c r="D477" t="inlineStr">
        <is>
          <t>JÄMTLANDS LÄN</t>
        </is>
      </c>
      <c r="E477" t="inlineStr">
        <is>
          <t>HÄRJEDALEN</t>
        </is>
      </c>
      <c r="F477" t="inlineStr">
        <is>
          <t>Bergvik skog väst AB</t>
        </is>
      </c>
      <c r="G477" t="n">
        <v>22.1</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46076</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18896-2025</t>
        </is>
      </c>
      <c r="B479" s="1" t="n">
        <v>45764.44861111111</v>
      </c>
      <c r="C479" s="1" t="n">
        <v>46076</v>
      </c>
      <c r="D479" t="inlineStr">
        <is>
          <t>JÄMTLANDS LÄN</t>
        </is>
      </c>
      <c r="E479" t="inlineStr">
        <is>
          <t>HÄRJEDALEN</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31148-2025</t>
        </is>
      </c>
      <c r="B480" s="1" t="n">
        <v>45832.64047453704</v>
      </c>
      <c r="C480" s="1" t="n">
        <v>46076</v>
      </c>
      <c r="D480" t="inlineStr">
        <is>
          <t>JÄMTLANDS LÄN</t>
        </is>
      </c>
      <c r="E480" t="inlineStr">
        <is>
          <t>HÄRJEDALEN</t>
        </is>
      </c>
      <c r="G480" t="n">
        <v>3.9</v>
      </c>
      <c r="H480" t="n">
        <v>0</v>
      </c>
      <c r="I480" t="n">
        <v>0</v>
      </c>
      <c r="J480" t="n">
        <v>0</v>
      </c>
      <c r="K480" t="n">
        <v>0</v>
      </c>
      <c r="L480" t="n">
        <v>0</v>
      </c>
      <c r="M480" t="n">
        <v>0</v>
      </c>
      <c r="N480" t="n">
        <v>0</v>
      </c>
      <c r="O480" t="n">
        <v>0</v>
      </c>
      <c r="P480" t="n">
        <v>0</v>
      </c>
      <c r="Q480" t="n">
        <v>0</v>
      </c>
      <c r="R480" s="2" t="inlineStr"/>
    </row>
    <row r="481" ht="15" customHeight="1">
      <c r="A481" t="inlineStr">
        <is>
          <t>A 30922-2025</t>
        </is>
      </c>
      <c r="B481" s="1" t="n">
        <v>45832.3859837963</v>
      </c>
      <c r="C481" s="1" t="n">
        <v>46076</v>
      </c>
      <c r="D481" t="inlineStr">
        <is>
          <t>JÄMTLANDS LÄN</t>
        </is>
      </c>
      <c r="E481" t="inlineStr">
        <is>
          <t>HÄRJEDALEN</t>
        </is>
      </c>
      <c r="F481" t="inlineStr">
        <is>
          <t>SCA</t>
        </is>
      </c>
      <c r="G481" t="n">
        <v>17.7</v>
      </c>
      <c r="H481" t="n">
        <v>0</v>
      </c>
      <c r="I481" t="n">
        <v>0</v>
      </c>
      <c r="J481" t="n">
        <v>0</v>
      </c>
      <c r="K481" t="n">
        <v>0</v>
      </c>
      <c r="L481" t="n">
        <v>0</v>
      </c>
      <c r="M481" t="n">
        <v>0</v>
      </c>
      <c r="N481" t="n">
        <v>0</v>
      </c>
      <c r="O481" t="n">
        <v>0</v>
      </c>
      <c r="P481" t="n">
        <v>0</v>
      </c>
      <c r="Q481" t="n">
        <v>0</v>
      </c>
      <c r="R481" s="2" t="inlineStr"/>
    </row>
    <row r="482" ht="15" customHeight="1">
      <c r="A482" t="inlineStr">
        <is>
          <t>A 31498-2025</t>
        </is>
      </c>
      <c r="B482" s="1" t="n">
        <v>45833</v>
      </c>
      <c r="C482" s="1" t="n">
        <v>46076</v>
      </c>
      <c r="D482" t="inlineStr">
        <is>
          <t>JÄMTLANDS LÄN</t>
        </is>
      </c>
      <c r="E482" t="inlineStr">
        <is>
          <t>HÄRJEDALEN</t>
        </is>
      </c>
      <c r="F482" t="inlineStr">
        <is>
          <t>Bergvik skog väst AB</t>
        </is>
      </c>
      <c r="G482" t="n">
        <v>9.6</v>
      </c>
      <c r="H482" t="n">
        <v>0</v>
      </c>
      <c r="I482" t="n">
        <v>0</v>
      </c>
      <c r="J482" t="n">
        <v>0</v>
      </c>
      <c r="K482" t="n">
        <v>0</v>
      </c>
      <c r="L482" t="n">
        <v>0</v>
      </c>
      <c r="M482" t="n">
        <v>0</v>
      </c>
      <c r="N482" t="n">
        <v>0</v>
      </c>
      <c r="O482" t="n">
        <v>0</v>
      </c>
      <c r="P482" t="n">
        <v>0</v>
      </c>
      <c r="Q482" t="n">
        <v>0</v>
      </c>
      <c r="R482" s="2" t="inlineStr"/>
    </row>
    <row r="483" ht="15" customHeight="1">
      <c r="A483" t="inlineStr">
        <is>
          <t>A 31522-2025</t>
        </is>
      </c>
      <c r="B483" s="1" t="n">
        <v>45833.6081712963</v>
      </c>
      <c r="C483" s="1" t="n">
        <v>46076</v>
      </c>
      <c r="D483" t="inlineStr">
        <is>
          <t>JÄMTLANDS LÄN</t>
        </is>
      </c>
      <c r="E483" t="inlineStr">
        <is>
          <t>HÄRJEDALEN</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47450-2022</t>
        </is>
      </c>
      <c r="B484" s="1" t="n">
        <v>44853</v>
      </c>
      <c r="C484" s="1" t="n">
        <v>46076</v>
      </c>
      <c r="D484" t="inlineStr">
        <is>
          <t>JÄMTLANDS LÄN</t>
        </is>
      </c>
      <c r="E484" t="inlineStr">
        <is>
          <t>HÄRJEDALEN</t>
        </is>
      </c>
      <c r="G484" t="n">
        <v>1.5</v>
      </c>
      <c r="H484" t="n">
        <v>0</v>
      </c>
      <c r="I484" t="n">
        <v>0</v>
      </c>
      <c r="J484" t="n">
        <v>0</v>
      </c>
      <c r="K484" t="n">
        <v>0</v>
      </c>
      <c r="L484" t="n">
        <v>0</v>
      </c>
      <c r="M484" t="n">
        <v>0</v>
      </c>
      <c r="N484" t="n">
        <v>0</v>
      </c>
      <c r="O484" t="n">
        <v>0</v>
      </c>
      <c r="P484" t="n">
        <v>0</v>
      </c>
      <c r="Q484" t="n">
        <v>0</v>
      </c>
      <c r="R484" s="2" t="inlineStr"/>
    </row>
    <row r="485" ht="15" customHeight="1">
      <c r="A485" t="inlineStr">
        <is>
          <t>A 73051-2021</t>
        </is>
      </c>
      <c r="B485" s="1" t="n">
        <v>44550.39550925926</v>
      </c>
      <c r="C485" s="1" t="n">
        <v>46076</v>
      </c>
      <c r="D485" t="inlineStr">
        <is>
          <t>JÄMTLANDS LÄN</t>
        </is>
      </c>
      <c r="E485" t="inlineStr">
        <is>
          <t>HÄRJEDALEN</t>
        </is>
      </c>
      <c r="G485" t="n">
        <v>3.7</v>
      </c>
      <c r="H485" t="n">
        <v>0</v>
      </c>
      <c r="I485" t="n">
        <v>0</v>
      </c>
      <c r="J485" t="n">
        <v>0</v>
      </c>
      <c r="K485" t="n">
        <v>0</v>
      </c>
      <c r="L485" t="n">
        <v>0</v>
      </c>
      <c r="M485" t="n">
        <v>0</v>
      </c>
      <c r="N485" t="n">
        <v>0</v>
      </c>
      <c r="O485" t="n">
        <v>0</v>
      </c>
      <c r="P485" t="n">
        <v>0</v>
      </c>
      <c r="Q485" t="n">
        <v>0</v>
      </c>
      <c r="R485" s="2" t="inlineStr"/>
    </row>
    <row r="486" ht="15" customHeight="1">
      <c r="A486" t="inlineStr">
        <is>
          <t>A 31253-2025</t>
        </is>
      </c>
      <c r="B486" s="1" t="n">
        <v>45832</v>
      </c>
      <c r="C486" s="1" t="n">
        <v>46076</v>
      </c>
      <c r="D486" t="inlineStr">
        <is>
          <t>JÄMTLANDS LÄN</t>
        </is>
      </c>
      <c r="E486" t="inlineStr">
        <is>
          <t>HÄRJEDALEN</t>
        </is>
      </c>
      <c r="F486" t="inlineStr">
        <is>
          <t>Bergvik skog väst AB</t>
        </is>
      </c>
      <c r="G486" t="n">
        <v>24.9</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46076</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46076</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61751-2023</t>
        </is>
      </c>
      <c r="B489" s="1" t="n">
        <v>45265</v>
      </c>
      <c r="C489" s="1" t="n">
        <v>46076</v>
      </c>
      <c r="D489" t="inlineStr">
        <is>
          <t>JÄMTLANDS LÄN</t>
        </is>
      </c>
      <c r="E489" t="inlineStr">
        <is>
          <t>HÄRJEDALEN</t>
        </is>
      </c>
      <c r="G489" t="n">
        <v>11.3</v>
      </c>
      <c r="H489" t="n">
        <v>0</v>
      </c>
      <c r="I489" t="n">
        <v>0</v>
      </c>
      <c r="J489" t="n">
        <v>0</v>
      </c>
      <c r="K489" t="n">
        <v>0</v>
      </c>
      <c r="L489" t="n">
        <v>0</v>
      </c>
      <c r="M489" t="n">
        <v>0</v>
      </c>
      <c r="N489" t="n">
        <v>0</v>
      </c>
      <c r="O489" t="n">
        <v>0</v>
      </c>
      <c r="P489" t="n">
        <v>0</v>
      </c>
      <c r="Q489" t="n">
        <v>0</v>
      </c>
      <c r="R489" s="2" t="inlineStr"/>
    </row>
    <row r="490" ht="15" customHeight="1">
      <c r="A490" t="inlineStr">
        <is>
          <t>A 31921-2025</t>
        </is>
      </c>
      <c r="B490" s="1" t="n">
        <v>45834.80229166667</v>
      </c>
      <c r="C490" s="1" t="n">
        <v>46076</v>
      </c>
      <c r="D490" t="inlineStr">
        <is>
          <t>JÄMTLANDS LÄN</t>
        </is>
      </c>
      <c r="E490" t="inlineStr">
        <is>
          <t>HÄRJEDALEN</t>
        </is>
      </c>
      <c r="G490" t="n">
        <v>2.9</v>
      </c>
      <c r="H490" t="n">
        <v>0</v>
      </c>
      <c r="I490" t="n">
        <v>0</v>
      </c>
      <c r="J490" t="n">
        <v>0</v>
      </c>
      <c r="K490" t="n">
        <v>0</v>
      </c>
      <c r="L490" t="n">
        <v>0</v>
      </c>
      <c r="M490" t="n">
        <v>0</v>
      </c>
      <c r="N490" t="n">
        <v>0</v>
      </c>
      <c r="O490" t="n">
        <v>0</v>
      </c>
      <c r="P490" t="n">
        <v>0</v>
      </c>
      <c r="Q490" t="n">
        <v>0</v>
      </c>
      <c r="R490" s="2" t="inlineStr"/>
    </row>
    <row r="491" ht="15" customHeight="1">
      <c r="A491" t="inlineStr">
        <is>
          <t>A 32180-2025</t>
        </is>
      </c>
      <c r="B491" s="1" t="n">
        <v>45835.55998842593</v>
      </c>
      <c r="C491" s="1" t="n">
        <v>46076</v>
      </c>
      <c r="D491" t="inlineStr">
        <is>
          <t>JÄMTLANDS LÄN</t>
        </is>
      </c>
      <c r="E491" t="inlineStr">
        <is>
          <t>HÄRJEDALEN</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62699-2022</t>
        </is>
      </c>
      <c r="B492" s="1" t="n">
        <v>44925.59333333333</v>
      </c>
      <c r="C492" s="1" t="n">
        <v>46076</v>
      </c>
      <c r="D492" t="inlineStr">
        <is>
          <t>JÄMTLANDS LÄN</t>
        </is>
      </c>
      <c r="E492" t="inlineStr">
        <is>
          <t>HÄRJEDALEN</t>
        </is>
      </c>
      <c r="F492" t="inlineStr">
        <is>
          <t>Holmen skog AB</t>
        </is>
      </c>
      <c r="G492" t="n">
        <v>5</v>
      </c>
      <c r="H492" t="n">
        <v>0</v>
      </c>
      <c r="I492" t="n">
        <v>0</v>
      </c>
      <c r="J492" t="n">
        <v>0</v>
      </c>
      <c r="K492" t="n">
        <v>0</v>
      </c>
      <c r="L492" t="n">
        <v>0</v>
      </c>
      <c r="M492" t="n">
        <v>0</v>
      </c>
      <c r="N492" t="n">
        <v>0</v>
      </c>
      <c r="O492" t="n">
        <v>0</v>
      </c>
      <c r="P492" t="n">
        <v>0</v>
      </c>
      <c r="Q492" t="n">
        <v>0</v>
      </c>
      <c r="R492" s="2" t="inlineStr"/>
    </row>
    <row r="493" ht="15" customHeight="1">
      <c r="A493" t="inlineStr">
        <is>
          <t>A 32190-2025</t>
        </is>
      </c>
      <c r="B493" s="1" t="n">
        <v>45835.57069444445</v>
      </c>
      <c r="C493" s="1" t="n">
        <v>46076</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41491-2025</t>
        </is>
      </c>
      <c r="B494" s="1" t="n">
        <v>45901.4881712963</v>
      </c>
      <c r="C494" s="1" t="n">
        <v>46076</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31913-2025</t>
        </is>
      </c>
      <c r="B495" s="1" t="n">
        <v>45834.7087962963</v>
      </c>
      <c r="C495" s="1" t="n">
        <v>46076</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29431-2023</t>
        </is>
      </c>
      <c r="B496" s="1" t="n">
        <v>45106</v>
      </c>
      <c r="C496" s="1" t="n">
        <v>46076</v>
      </c>
      <c r="D496" t="inlineStr">
        <is>
          <t>JÄMTLANDS LÄN</t>
        </is>
      </c>
      <c r="E496" t="inlineStr">
        <is>
          <t>HÄRJEDALEN</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39625-2022</t>
        </is>
      </c>
      <c r="B497" s="1" t="n">
        <v>44818</v>
      </c>
      <c r="C497" s="1" t="n">
        <v>46076</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4694-2023</t>
        </is>
      </c>
      <c r="B498" s="1" t="n">
        <v>44957</v>
      </c>
      <c r="C498" s="1" t="n">
        <v>46076</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42143-2023</t>
        </is>
      </c>
      <c r="B499" s="1" t="n">
        <v>45177.9224537037</v>
      </c>
      <c r="C499" s="1" t="n">
        <v>46076</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35253-2025</t>
        </is>
      </c>
      <c r="B500" s="1" t="n">
        <v>45853</v>
      </c>
      <c r="C500" s="1" t="n">
        <v>46076</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41180-2025</t>
        </is>
      </c>
      <c r="B501" s="1" t="n">
        <v>45898.55296296296</v>
      </c>
      <c r="C501" s="1" t="n">
        <v>46076</v>
      </c>
      <c r="D501" t="inlineStr">
        <is>
          <t>JÄMTLANDS LÄN</t>
        </is>
      </c>
      <c r="E501" t="inlineStr">
        <is>
          <t>HÄRJEDALEN</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31910-2025</t>
        </is>
      </c>
      <c r="B502" s="1" t="n">
        <v>45834.69577546296</v>
      </c>
      <c r="C502" s="1" t="n">
        <v>46076</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46076</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32178-2025</t>
        </is>
      </c>
      <c r="B504" s="1" t="n">
        <v>45835.5583912037</v>
      </c>
      <c r="C504" s="1" t="n">
        <v>46076</v>
      </c>
      <c r="D504" t="inlineStr">
        <is>
          <t>JÄMTLANDS LÄN</t>
        </is>
      </c>
      <c r="E504" t="inlineStr">
        <is>
          <t>HÄRJEDALEN</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30501-2025</t>
        </is>
      </c>
      <c r="B505" s="1" t="n">
        <v>45830</v>
      </c>
      <c r="C505" s="1" t="n">
        <v>46076</v>
      </c>
      <c r="D505" t="inlineStr">
        <is>
          <t>JÄMTLANDS LÄN</t>
        </is>
      </c>
      <c r="E505" t="inlineStr">
        <is>
          <t>HÄRJEDALEN</t>
        </is>
      </c>
      <c r="G505" t="n">
        <v>17</v>
      </c>
      <c r="H505" t="n">
        <v>0</v>
      </c>
      <c r="I505" t="n">
        <v>0</v>
      </c>
      <c r="J505" t="n">
        <v>0</v>
      </c>
      <c r="K505" t="n">
        <v>0</v>
      </c>
      <c r="L505" t="n">
        <v>0</v>
      </c>
      <c r="M505" t="n">
        <v>0</v>
      </c>
      <c r="N505" t="n">
        <v>0</v>
      </c>
      <c r="O505" t="n">
        <v>0</v>
      </c>
      <c r="P505" t="n">
        <v>0</v>
      </c>
      <c r="Q505" t="n">
        <v>0</v>
      </c>
      <c r="R505" s="2" t="inlineStr"/>
    </row>
    <row r="506" ht="15" customHeight="1">
      <c r="A506" t="inlineStr">
        <is>
          <t>A 30498-2025</t>
        </is>
      </c>
      <c r="B506" s="1" t="n">
        <v>45830</v>
      </c>
      <c r="C506" s="1" t="n">
        <v>46076</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30500-2025</t>
        </is>
      </c>
      <c r="B507" s="1" t="n">
        <v>45830</v>
      </c>
      <c r="C507" s="1" t="n">
        <v>46076</v>
      </c>
      <c r="D507" t="inlineStr">
        <is>
          <t>JÄMTLANDS LÄN</t>
        </is>
      </c>
      <c r="E507" t="inlineStr">
        <is>
          <t>HÄRJEDALEN</t>
        </is>
      </c>
      <c r="G507" t="n">
        <v>2</v>
      </c>
      <c r="H507" t="n">
        <v>0</v>
      </c>
      <c r="I507" t="n">
        <v>0</v>
      </c>
      <c r="J507" t="n">
        <v>0</v>
      </c>
      <c r="K507" t="n">
        <v>0</v>
      </c>
      <c r="L507" t="n">
        <v>0</v>
      </c>
      <c r="M507" t="n">
        <v>0</v>
      </c>
      <c r="N507" t="n">
        <v>0</v>
      </c>
      <c r="O507" t="n">
        <v>0</v>
      </c>
      <c r="P507" t="n">
        <v>0</v>
      </c>
      <c r="Q507" t="n">
        <v>0</v>
      </c>
      <c r="R507" s="2" t="inlineStr"/>
    </row>
    <row r="508" ht="15" customHeight="1">
      <c r="A508" t="inlineStr">
        <is>
          <t>A 41769-2025</t>
        </is>
      </c>
      <c r="B508" s="1" t="n">
        <v>45902.55119212963</v>
      </c>
      <c r="C508" s="1" t="n">
        <v>46076</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31884-2025</t>
        </is>
      </c>
      <c r="B509" s="1" t="n">
        <v>45834.6568287037</v>
      </c>
      <c r="C509" s="1" t="n">
        <v>46076</v>
      </c>
      <c r="D509" t="inlineStr">
        <is>
          <t>JÄMTLANDS LÄN</t>
        </is>
      </c>
      <c r="E509" t="inlineStr">
        <is>
          <t>HÄRJEDALEN</t>
        </is>
      </c>
      <c r="G509" t="n">
        <v>7.9</v>
      </c>
      <c r="H509" t="n">
        <v>0</v>
      </c>
      <c r="I509" t="n">
        <v>0</v>
      </c>
      <c r="J509" t="n">
        <v>0</v>
      </c>
      <c r="K509" t="n">
        <v>0</v>
      </c>
      <c r="L509" t="n">
        <v>0</v>
      </c>
      <c r="M509" t="n">
        <v>0</v>
      </c>
      <c r="N509" t="n">
        <v>0</v>
      </c>
      <c r="O509" t="n">
        <v>0</v>
      </c>
      <c r="P509" t="n">
        <v>0</v>
      </c>
      <c r="Q509" t="n">
        <v>0</v>
      </c>
      <c r="R509" s="2" t="inlineStr"/>
    </row>
    <row r="510" ht="15" customHeight="1">
      <c r="A510" t="inlineStr">
        <is>
          <t>A 31772-2025</t>
        </is>
      </c>
      <c r="B510" s="1" t="n">
        <v>45834.51079861111</v>
      </c>
      <c r="C510" s="1" t="n">
        <v>46076</v>
      </c>
      <c r="D510" t="inlineStr">
        <is>
          <t>JÄMTLANDS LÄN</t>
        </is>
      </c>
      <c r="E510" t="inlineStr">
        <is>
          <t>HÄRJEDALEN</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50425-2025</t>
        </is>
      </c>
      <c r="B511" s="1" t="n">
        <v>45944.67199074074</v>
      </c>
      <c r="C511" s="1" t="n">
        <v>46076</v>
      </c>
      <c r="D511" t="inlineStr">
        <is>
          <t>JÄMTLANDS LÄN</t>
        </is>
      </c>
      <c r="E511" t="inlineStr">
        <is>
          <t>HÄRJEDALEN</t>
        </is>
      </c>
      <c r="G511" t="n">
        <v>1.8</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46076</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31915-2025</t>
        </is>
      </c>
      <c r="B513" s="1" t="n">
        <v>45834.71440972222</v>
      </c>
      <c r="C513" s="1" t="n">
        <v>46076</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30499-2025</t>
        </is>
      </c>
      <c r="B514" s="1" t="n">
        <v>45830</v>
      </c>
      <c r="C514" s="1" t="n">
        <v>46076</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46076</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46076</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41788-2025</t>
        </is>
      </c>
      <c r="B517" s="1" t="n">
        <v>45902.59438657408</v>
      </c>
      <c r="C517" s="1" t="n">
        <v>46076</v>
      </c>
      <c r="D517" t="inlineStr">
        <is>
          <t>JÄMTLANDS LÄN</t>
        </is>
      </c>
      <c r="E517" t="inlineStr">
        <is>
          <t>HÄRJEDALEN</t>
        </is>
      </c>
      <c r="F517" t="inlineStr">
        <is>
          <t>SCA</t>
        </is>
      </c>
      <c r="G517" t="n">
        <v>9.9</v>
      </c>
      <c r="H517" t="n">
        <v>0</v>
      </c>
      <c r="I517" t="n">
        <v>0</v>
      </c>
      <c r="J517" t="n">
        <v>0</v>
      </c>
      <c r="K517" t="n">
        <v>0</v>
      </c>
      <c r="L517" t="n">
        <v>0</v>
      </c>
      <c r="M517" t="n">
        <v>0</v>
      </c>
      <c r="N517" t="n">
        <v>0</v>
      </c>
      <c r="O517" t="n">
        <v>0</v>
      </c>
      <c r="P517" t="n">
        <v>0</v>
      </c>
      <c r="Q517" t="n">
        <v>0</v>
      </c>
      <c r="R517" s="2" t="inlineStr"/>
    </row>
    <row r="518" ht="15" customHeight="1">
      <c r="A518" t="inlineStr">
        <is>
          <t>A 32841-2025</t>
        </is>
      </c>
      <c r="B518" s="1" t="n">
        <v>45839.5658912037</v>
      </c>
      <c r="C518" s="1" t="n">
        <v>46076</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41664-2025</t>
        </is>
      </c>
      <c r="B519" s="1" t="n">
        <v>45902.35612268518</v>
      </c>
      <c r="C519" s="1" t="n">
        <v>46076</v>
      </c>
      <c r="D519" t="inlineStr">
        <is>
          <t>JÄMTLANDS LÄN</t>
        </is>
      </c>
      <c r="E519" t="inlineStr">
        <is>
          <t>HÄRJEDALEN</t>
        </is>
      </c>
      <c r="F519" t="inlineStr">
        <is>
          <t>Holmen skog AB</t>
        </is>
      </c>
      <c r="G519" t="n">
        <v>18.7</v>
      </c>
      <c r="H519" t="n">
        <v>0</v>
      </c>
      <c r="I519" t="n">
        <v>0</v>
      </c>
      <c r="J519" t="n">
        <v>0</v>
      </c>
      <c r="K519" t="n">
        <v>0</v>
      </c>
      <c r="L519" t="n">
        <v>0</v>
      </c>
      <c r="M519" t="n">
        <v>0</v>
      </c>
      <c r="N519" t="n">
        <v>0</v>
      </c>
      <c r="O519" t="n">
        <v>0</v>
      </c>
      <c r="P519" t="n">
        <v>0</v>
      </c>
      <c r="Q519" t="n">
        <v>0</v>
      </c>
      <c r="R519" s="2" t="inlineStr"/>
    </row>
    <row r="520" ht="15" customHeight="1">
      <c r="A520" t="inlineStr">
        <is>
          <t>A 19955-2021</t>
        </is>
      </c>
      <c r="B520" s="1" t="n">
        <v>44312</v>
      </c>
      <c r="C520" s="1" t="n">
        <v>46076</v>
      </c>
      <c r="D520" t="inlineStr">
        <is>
          <t>JÄMTLANDS LÄN</t>
        </is>
      </c>
      <c r="E520" t="inlineStr">
        <is>
          <t>HÄRJEDALEN</t>
        </is>
      </c>
      <c r="G520" t="n">
        <v>4.6</v>
      </c>
      <c r="H520" t="n">
        <v>0</v>
      </c>
      <c r="I520" t="n">
        <v>0</v>
      </c>
      <c r="J520" t="n">
        <v>0</v>
      </c>
      <c r="K520" t="n">
        <v>0</v>
      </c>
      <c r="L520" t="n">
        <v>0</v>
      </c>
      <c r="M520" t="n">
        <v>0</v>
      </c>
      <c r="N520" t="n">
        <v>0</v>
      </c>
      <c r="O520" t="n">
        <v>0</v>
      </c>
      <c r="P520" t="n">
        <v>0</v>
      </c>
      <c r="Q520" t="n">
        <v>0</v>
      </c>
      <c r="R520" s="2" t="inlineStr"/>
    </row>
    <row r="521" ht="15" customHeight="1">
      <c r="A521" t="inlineStr">
        <is>
          <t>A 1658-2025</t>
        </is>
      </c>
      <c r="B521" s="1" t="n">
        <v>45670.66085648148</v>
      </c>
      <c r="C521" s="1" t="n">
        <v>46076</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42504-2025</t>
        </is>
      </c>
      <c r="B522" s="1" t="n">
        <v>45904</v>
      </c>
      <c r="C522" s="1" t="n">
        <v>46076</v>
      </c>
      <c r="D522" t="inlineStr">
        <is>
          <t>JÄMTLANDS LÄN</t>
        </is>
      </c>
      <c r="E522" t="inlineStr">
        <is>
          <t>HÄRJEDALEN</t>
        </is>
      </c>
      <c r="F522" t="inlineStr">
        <is>
          <t>Bergvik skog väst AB</t>
        </is>
      </c>
      <c r="G522" t="n">
        <v>6.4</v>
      </c>
      <c r="H522" t="n">
        <v>0</v>
      </c>
      <c r="I522" t="n">
        <v>0</v>
      </c>
      <c r="J522" t="n">
        <v>0</v>
      </c>
      <c r="K522" t="n">
        <v>0</v>
      </c>
      <c r="L522" t="n">
        <v>0</v>
      </c>
      <c r="M522" t="n">
        <v>0</v>
      </c>
      <c r="N522" t="n">
        <v>0</v>
      </c>
      <c r="O522" t="n">
        <v>0</v>
      </c>
      <c r="P522" t="n">
        <v>0</v>
      </c>
      <c r="Q522" t="n">
        <v>0</v>
      </c>
      <c r="R522" s="2" t="inlineStr"/>
    </row>
    <row r="523" ht="15" customHeight="1">
      <c r="A523" t="inlineStr">
        <is>
          <t>A 42605-2025</t>
        </is>
      </c>
      <c r="B523" s="1" t="n">
        <v>45905.67454861111</v>
      </c>
      <c r="C523" s="1" t="n">
        <v>46076</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42163-2025</t>
        </is>
      </c>
      <c r="B524" s="1" t="n">
        <v>45904.41844907407</v>
      </c>
      <c r="C524" s="1" t="n">
        <v>46076</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42189-2025</t>
        </is>
      </c>
      <c r="B525" s="1" t="n">
        <v>45904.47059027778</v>
      </c>
      <c r="C525" s="1" t="n">
        <v>46076</v>
      </c>
      <c r="D525" t="inlineStr">
        <is>
          <t>JÄMTLANDS LÄN</t>
        </is>
      </c>
      <c r="E525" t="inlineStr">
        <is>
          <t>HÄRJEDALEN</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55388-2021</t>
        </is>
      </c>
      <c r="B526" s="1" t="n">
        <v>44475</v>
      </c>
      <c r="C526" s="1" t="n">
        <v>46076</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39158-2023</t>
        </is>
      </c>
      <c r="B527" s="1" t="n">
        <v>45166.34795138889</v>
      </c>
      <c r="C527" s="1" t="n">
        <v>46076</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42271-2025</t>
        </is>
      </c>
      <c r="B528" s="1" t="n">
        <v>45904.60483796296</v>
      </c>
      <c r="C528" s="1" t="n">
        <v>46076</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10015-2023</t>
        </is>
      </c>
      <c r="B529" s="1" t="n">
        <v>44985</v>
      </c>
      <c r="C529" s="1" t="n">
        <v>46076</v>
      </c>
      <c r="D529" t="inlineStr">
        <is>
          <t>JÄMTLANDS LÄN</t>
        </is>
      </c>
      <c r="E529" t="inlineStr">
        <is>
          <t>HÄRJEDALEN</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42745-2025</t>
        </is>
      </c>
      <c r="B530" s="1" t="n">
        <v>45908.43237268519</v>
      </c>
      <c r="C530" s="1" t="n">
        <v>46076</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816-2025</t>
        </is>
      </c>
      <c r="B531" s="1" t="n">
        <v>45665.563125</v>
      </c>
      <c r="C531" s="1" t="n">
        <v>46076</v>
      </c>
      <c r="D531" t="inlineStr">
        <is>
          <t>JÄMTLANDS LÄN</t>
        </is>
      </c>
      <c r="E531" t="inlineStr">
        <is>
          <t>HÄRJEDALEN</t>
        </is>
      </c>
      <c r="F531" t="inlineStr">
        <is>
          <t>Bergvik skog väst AB</t>
        </is>
      </c>
      <c r="G531" t="n">
        <v>10.8</v>
      </c>
      <c r="H531" t="n">
        <v>0</v>
      </c>
      <c r="I531" t="n">
        <v>0</v>
      </c>
      <c r="J531" t="n">
        <v>0</v>
      </c>
      <c r="K531" t="n">
        <v>0</v>
      </c>
      <c r="L531" t="n">
        <v>0</v>
      </c>
      <c r="M531" t="n">
        <v>0</v>
      </c>
      <c r="N531" t="n">
        <v>0</v>
      </c>
      <c r="O531" t="n">
        <v>0</v>
      </c>
      <c r="P531" t="n">
        <v>0</v>
      </c>
      <c r="Q531" t="n">
        <v>0</v>
      </c>
      <c r="R531" s="2" t="inlineStr"/>
    </row>
    <row r="532" ht="15" customHeight="1">
      <c r="A532" t="inlineStr">
        <is>
          <t>A 42773-2025</t>
        </is>
      </c>
      <c r="B532" s="1" t="n">
        <v>45908.48638888889</v>
      </c>
      <c r="C532" s="1" t="n">
        <v>46076</v>
      </c>
      <c r="D532" t="inlineStr">
        <is>
          <t>JÄMTLANDS LÄN</t>
        </is>
      </c>
      <c r="E532" t="inlineStr">
        <is>
          <t>HÄRJEDALEN</t>
        </is>
      </c>
      <c r="F532" t="inlineStr">
        <is>
          <t>Holmen skog AB</t>
        </is>
      </c>
      <c r="G532" t="n">
        <v>13.2</v>
      </c>
      <c r="H532" t="n">
        <v>0</v>
      </c>
      <c r="I532" t="n">
        <v>0</v>
      </c>
      <c r="J532" t="n">
        <v>0</v>
      </c>
      <c r="K532" t="n">
        <v>0</v>
      </c>
      <c r="L532" t="n">
        <v>0</v>
      </c>
      <c r="M532" t="n">
        <v>0</v>
      </c>
      <c r="N532" t="n">
        <v>0</v>
      </c>
      <c r="O532" t="n">
        <v>0</v>
      </c>
      <c r="P532" t="n">
        <v>0</v>
      </c>
      <c r="Q532" t="n">
        <v>0</v>
      </c>
      <c r="R532" s="2" t="inlineStr"/>
      <c r="U532">
        <f>HYPERLINK("https://klasma.github.io/Logging_2361/knärot/A 42773-2025 karta knärot.png", "A 42773-2025")</f>
        <v/>
      </c>
      <c r="V532">
        <f>HYPERLINK("https://klasma.github.io/Logging_2361/klagomål/A 42773-2025 FSC-klagomål.docx", "A 42773-2025")</f>
        <v/>
      </c>
      <c r="W532">
        <f>HYPERLINK("https://klasma.github.io/Logging_2361/klagomålsmail/A 42773-2025 FSC-klagomål mail.docx", "A 42773-2025")</f>
        <v/>
      </c>
      <c r="X532">
        <f>HYPERLINK("https://klasma.github.io/Logging_2361/tillsyn/A 42773-2025 tillsynsbegäran.docx", "A 42773-2025")</f>
        <v/>
      </c>
      <c r="Y532">
        <f>HYPERLINK("https://klasma.github.io/Logging_2361/tillsynsmail/A 42773-2025 tillsynsbegäran mail.docx", "A 42773-2025")</f>
        <v/>
      </c>
    </row>
    <row r="533" ht="15" customHeight="1">
      <c r="A533" t="inlineStr">
        <is>
          <t>A 42816-2025</t>
        </is>
      </c>
      <c r="B533" s="1" t="n">
        <v>45908.56461805556</v>
      </c>
      <c r="C533" s="1" t="n">
        <v>46076</v>
      </c>
      <c r="D533" t="inlineStr">
        <is>
          <t>JÄMTLANDS LÄN</t>
        </is>
      </c>
      <c r="E533" t="inlineStr">
        <is>
          <t>HÄRJEDALEN</t>
        </is>
      </c>
      <c r="G533" t="n">
        <v>2.3</v>
      </c>
      <c r="H533" t="n">
        <v>0</v>
      </c>
      <c r="I533" t="n">
        <v>0</v>
      </c>
      <c r="J533" t="n">
        <v>0</v>
      </c>
      <c r="K533" t="n">
        <v>0</v>
      </c>
      <c r="L533" t="n">
        <v>0</v>
      </c>
      <c r="M533" t="n">
        <v>0</v>
      </c>
      <c r="N533" t="n">
        <v>0</v>
      </c>
      <c r="O533" t="n">
        <v>0</v>
      </c>
      <c r="P533" t="n">
        <v>0</v>
      </c>
      <c r="Q533" t="n">
        <v>0</v>
      </c>
      <c r="R533" s="2" t="inlineStr"/>
    </row>
    <row r="534" ht="15" customHeight="1">
      <c r="A534" t="inlineStr">
        <is>
          <t>A 42815-2025</t>
        </is>
      </c>
      <c r="B534" s="1" t="n">
        <v>45908.56354166667</v>
      </c>
      <c r="C534" s="1" t="n">
        <v>46076</v>
      </c>
      <c r="D534" t="inlineStr">
        <is>
          <t>JÄMTLANDS LÄN</t>
        </is>
      </c>
      <c r="E534" t="inlineStr">
        <is>
          <t>HÄRJEDALEN</t>
        </is>
      </c>
      <c r="G534" t="n">
        <v>2.7</v>
      </c>
      <c r="H534" t="n">
        <v>0</v>
      </c>
      <c r="I534" t="n">
        <v>0</v>
      </c>
      <c r="J534" t="n">
        <v>0</v>
      </c>
      <c r="K534" t="n">
        <v>0</v>
      </c>
      <c r="L534" t="n">
        <v>0</v>
      </c>
      <c r="M534" t="n">
        <v>0</v>
      </c>
      <c r="N534" t="n">
        <v>0</v>
      </c>
      <c r="O534" t="n">
        <v>0</v>
      </c>
      <c r="P534" t="n">
        <v>0</v>
      </c>
      <c r="Q534" t="n">
        <v>0</v>
      </c>
      <c r="R534" s="2" t="inlineStr"/>
    </row>
    <row r="535" ht="15" customHeight="1">
      <c r="A535" t="inlineStr">
        <is>
          <t>A 33235-2025</t>
        </is>
      </c>
      <c r="B535" s="1" t="n">
        <v>45840.64394675926</v>
      </c>
      <c r="C535" s="1" t="n">
        <v>46076</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53002-2024</t>
        </is>
      </c>
      <c r="B536" s="1" t="n">
        <v>45611.38759259259</v>
      </c>
      <c r="C536" s="1" t="n">
        <v>46076</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62104-2024</t>
        </is>
      </c>
      <c r="B537" s="1" t="n">
        <v>45656.51157407407</v>
      </c>
      <c r="C537" s="1" t="n">
        <v>46076</v>
      </c>
      <c r="D537" t="inlineStr">
        <is>
          <t>JÄMTLANDS LÄN</t>
        </is>
      </c>
      <c r="E537" t="inlineStr">
        <is>
          <t>HÄRJEDALEN</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42943-2025</t>
        </is>
      </c>
      <c r="B538" s="1" t="n">
        <v>45909</v>
      </c>
      <c r="C538" s="1" t="n">
        <v>46076</v>
      </c>
      <c r="D538" t="inlineStr">
        <is>
          <t>JÄMTLANDS LÄN</t>
        </is>
      </c>
      <c r="E538" t="inlineStr">
        <is>
          <t>HÄRJEDALEN</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28906-2025</t>
        </is>
      </c>
      <c r="B539" s="1" t="n">
        <v>45820.64821759259</v>
      </c>
      <c r="C539" s="1" t="n">
        <v>46076</v>
      </c>
      <c r="D539" t="inlineStr">
        <is>
          <t>JÄMTLANDS LÄN</t>
        </is>
      </c>
      <c r="E539" t="inlineStr">
        <is>
          <t>HÄRJEDALEN</t>
        </is>
      </c>
      <c r="G539" t="n">
        <v>29.4</v>
      </c>
      <c r="H539" t="n">
        <v>0</v>
      </c>
      <c r="I539" t="n">
        <v>0</v>
      </c>
      <c r="J539" t="n">
        <v>0</v>
      </c>
      <c r="K539" t="n">
        <v>0</v>
      </c>
      <c r="L539" t="n">
        <v>0</v>
      </c>
      <c r="M539" t="n">
        <v>0</v>
      </c>
      <c r="N539" t="n">
        <v>0</v>
      </c>
      <c r="O539" t="n">
        <v>0</v>
      </c>
      <c r="P539" t="n">
        <v>0</v>
      </c>
      <c r="Q539" t="n">
        <v>0</v>
      </c>
      <c r="R539" s="2" t="inlineStr"/>
    </row>
    <row r="540" ht="15" customHeight="1">
      <c r="A540" t="inlineStr">
        <is>
          <t>A 42729-2025</t>
        </is>
      </c>
      <c r="B540" s="1" t="n">
        <v>45908.40557870371</v>
      </c>
      <c r="C540" s="1" t="n">
        <v>46076</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42963-2025</t>
        </is>
      </c>
      <c r="B541" s="1" t="n">
        <v>45909.37046296296</v>
      </c>
      <c r="C541" s="1" t="n">
        <v>46076</v>
      </c>
      <c r="D541" t="inlineStr">
        <is>
          <t>JÄMTLANDS LÄN</t>
        </is>
      </c>
      <c r="E541" t="inlineStr">
        <is>
          <t>HÄRJEDALEN</t>
        </is>
      </c>
      <c r="G541" t="n">
        <v>4.3</v>
      </c>
      <c r="H541" t="n">
        <v>0</v>
      </c>
      <c r="I541" t="n">
        <v>0</v>
      </c>
      <c r="J541" t="n">
        <v>0</v>
      </c>
      <c r="K541" t="n">
        <v>0</v>
      </c>
      <c r="L541" t="n">
        <v>0</v>
      </c>
      <c r="M541" t="n">
        <v>0</v>
      </c>
      <c r="N541" t="n">
        <v>0</v>
      </c>
      <c r="O541" t="n">
        <v>0</v>
      </c>
      <c r="P541" t="n">
        <v>0</v>
      </c>
      <c r="Q541" t="n">
        <v>0</v>
      </c>
      <c r="R541" s="2" t="inlineStr"/>
    </row>
    <row r="542" ht="15" customHeight="1">
      <c r="A542" t="inlineStr">
        <is>
          <t>A 3425-2025</t>
        </is>
      </c>
      <c r="B542" s="1" t="n">
        <v>45680.42497685185</v>
      </c>
      <c r="C542" s="1" t="n">
        <v>46076</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42805-2025</t>
        </is>
      </c>
      <c r="B543" s="1" t="n">
        <v>45908.54806712963</v>
      </c>
      <c r="C543" s="1" t="n">
        <v>46076</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33690-2025</t>
        </is>
      </c>
      <c r="B544" s="1" t="n">
        <v>45841.69273148148</v>
      </c>
      <c r="C544" s="1" t="n">
        <v>46076</v>
      </c>
      <c r="D544" t="inlineStr">
        <is>
          <t>JÄMTLANDS LÄN</t>
        </is>
      </c>
      <c r="E544" t="inlineStr">
        <is>
          <t>HÄRJEDALEN</t>
        </is>
      </c>
      <c r="G544" t="n">
        <v>1.5</v>
      </c>
      <c r="H544" t="n">
        <v>0</v>
      </c>
      <c r="I544" t="n">
        <v>0</v>
      </c>
      <c r="J544" t="n">
        <v>0</v>
      </c>
      <c r="K544" t="n">
        <v>0</v>
      </c>
      <c r="L544" t="n">
        <v>0</v>
      </c>
      <c r="M544" t="n">
        <v>0</v>
      </c>
      <c r="N544" t="n">
        <v>0</v>
      </c>
      <c r="O544" t="n">
        <v>0</v>
      </c>
      <c r="P544" t="n">
        <v>0</v>
      </c>
      <c r="Q544" t="n">
        <v>0</v>
      </c>
      <c r="R544" s="2" t="inlineStr"/>
    </row>
    <row r="545" ht="15" customHeight="1">
      <c r="A545" t="inlineStr">
        <is>
          <t>A 43597-2025</t>
        </is>
      </c>
      <c r="B545" s="1" t="n">
        <v>45911.66243055555</v>
      </c>
      <c r="C545" s="1" t="n">
        <v>46076</v>
      </c>
      <c r="D545" t="inlineStr">
        <is>
          <t>JÄMTLANDS LÄN</t>
        </is>
      </c>
      <c r="E545" t="inlineStr">
        <is>
          <t>HÄRJEDALEN</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23731-2022</t>
        </is>
      </c>
      <c r="B546" s="1" t="n">
        <v>44722</v>
      </c>
      <c r="C546" s="1" t="n">
        <v>46076</v>
      </c>
      <c r="D546" t="inlineStr">
        <is>
          <t>JÄMTLANDS LÄN</t>
        </is>
      </c>
      <c r="E546" t="inlineStr">
        <is>
          <t>HÄRJEDALEN</t>
        </is>
      </c>
      <c r="G546" t="n">
        <v>15.6</v>
      </c>
      <c r="H546" t="n">
        <v>0</v>
      </c>
      <c r="I546" t="n">
        <v>0</v>
      </c>
      <c r="J546" t="n">
        <v>0</v>
      </c>
      <c r="K546" t="n">
        <v>0</v>
      </c>
      <c r="L546" t="n">
        <v>0</v>
      </c>
      <c r="M546" t="n">
        <v>0</v>
      </c>
      <c r="N546" t="n">
        <v>0</v>
      </c>
      <c r="O546" t="n">
        <v>0</v>
      </c>
      <c r="P546" t="n">
        <v>0</v>
      </c>
      <c r="Q546" t="n">
        <v>0</v>
      </c>
      <c r="R546" s="2" t="inlineStr"/>
    </row>
    <row r="547" ht="15" customHeight="1">
      <c r="A547" t="inlineStr">
        <is>
          <t>A 33406-2025</t>
        </is>
      </c>
      <c r="B547" s="1" t="n">
        <v>45841.4312037037</v>
      </c>
      <c r="C547" s="1" t="n">
        <v>46076</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33447-2025</t>
        </is>
      </c>
      <c r="B548" s="1" t="n">
        <v>45841.46512731481</v>
      </c>
      <c r="C548" s="1" t="n">
        <v>46076</v>
      </c>
      <c r="D548" t="inlineStr">
        <is>
          <t>JÄMTLANDS LÄN</t>
        </is>
      </c>
      <c r="E548" t="inlineStr">
        <is>
          <t>HÄRJEDALEN</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60897-2022</t>
        </is>
      </c>
      <c r="B549" s="1" t="n">
        <v>44914</v>
      </c>
      <c r="C549" s="1" t="n">
        <v>46076</v>
      </c>
      <c r="D549" t="inlineStr">
        <is>
          <t>JÄMTLANDS LÄN</t>
        </is>
      </c>
      <c r="E549" t="inlineStr">
        <is>
          <t>HÄRJEDALEN</t>
        </is>
      </c>
      <c r="F549" t="inlineStr">
        <is>
          <t>Holmen skog AB</t>
        </is>
      </c>
      <c r="G549" t="n">
        <v>0.3</v>
      </c>
      <c r="H549" t="n">
        <v>0</v>
      </c>
      <c r="I549" t="n">
        <v>0</v>
      </c>
      <c r="J549" t="n">
        <v>0</v>
      </c>
      <c r="K549" t="n">
        <v>0</v>
      </c>
      <c r="L549" t="n">
        <v>0</v>
      </c>
      <c r="M549" t="n">
        <v>0</v>
      </c>
      <c r="N549" t="n">
        <v>0</v>
      </c>
      <c r="O549" t="n">
        <v>0</v>
      </c>
      <c r="P549" t="n">
        <v>0</v>
      </c>
      <c r="Q549" t="n">
        <v>0</v>
      </c>
      <c r="R549" s="2" t="inlineStr"/>
      <c r="U549">
        <f>HYPERLINK("https://klasma.github.io/Logging_2361/knärot/A 60897-2022 karta knärot.png", "A 60897-2022")</f>
        <v/>
      </c>
      <c r="V549">
        <f>HYPERLINK("https://klasma.github.io/Logging_2361/klagomål/A 60897-2022 FSC-klagomål.docx", "A 60897-2022")</f>
        <v/>
      </c>
      <c r="W549">
        <f>HYPERLINK("https://klasma.github.io/Logging_2361/klagomålsmail/A 60897-2022 FSC-klagomål mail.docx", "A 60897-2022")</f>
        <v/>
      </c>
      <c r="X549">
        <f>HYPERLINK("https://klasma.github.io/Logging_2361/tillsyn/A 60897-2022 tillsynsbegäran.docx", "A 60897-2022")</f>
        <v/>
      </c>
      <c r="Y549">
        <f>HYPERLINK("https://klasma.github.io/Logging_2361/tillsynsmail/A 60897-2022 tillsynsbegäran mail.docx", "A 60897-2022")</f>
        <v/>
      </c>
    </row>
    <row r="550" ht="15" customHeight="1">
      <c r="A550" t="inlineStr">
        <is>
          <t>A 43517-2025</t>
        </is>
      </c>
      <c r="B550" s="1" t="n">
        <v>45911.5727662037</v>
      </c>
      <c r="C550" s="1" t="n">
        <v>46076</v>
      </c>
      <c r="D550" t="inlineStr">
        <is>
          <t>JÄMTLANDS LÄN</t>
        </is>
      </c>
      <c r="E550" t="inlineStr">
        <is>
          <t>HÄRJEDALEN</t>
        </is>
      </c>
      <c r="F550" t="inlineStr">
        <is>
          <t>Bergvik skog väst AB</t>
        </is>
      </c>
      <c r="G550" t="n">
        <v>6.8</v>
      </c>
      <c r="H550" t="n">
        <v>0</v>
      </c>
      <c r="I550" t="n">
        <v>0</v>
      </c>
      <c r="J550" t="n">
        <v>0</v>
      </c>
      <c r="K550" t="n">
        <v>0</v>
      </c>
      <c r="L550" t="n">
        <v>0</v>
      </c>
      <c r="M550" t="n">
        <v>0</v>
      </c>
      <c r="N550" t="n">
        <v>0</v>
      </c>
      <c r="O550" t="n">
        <v>0</v>
      </c>
      <c r="P550" t="n">
        <v>0</v>
      </c>
      <c r="Q550" t="n">
        <v>0</v>
      </c>
      <c r="R550" s="2" t="inlineStr"/>
    </row>
    <row r="551" ht="15" customHeight="1">
      <c r="A551" t="inlineStr">
        <is>
          <t>A 33438-2025</t>
        </is>
      </c>
      <c r="B551" s="1" t="n">
        <v>45841.45137731481</v>
      </c>
      <c r="C551" s="1" t="n">
        <v>46076</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34254-2025</t>
        </is>
      </c>
      <c r="B552" s="1" t="n">
        <v>45845.6920949074</v>
      </c>
      <c r="C552" s="1" t="n">
        <v>46076</v>
      </c>
      <c r="D552" t="inlineStr">
        <is>
          <t>JÄMTLANDS LÄN</t>
        </is>
      </c>
      <c r="E552" t="inlineStr">
        <is>
          <t>HÄRJEDALEN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43136-2025</t>
        </is>
      </c>
      <c r="B553" s="1" t="n">
        <v>45909.85402777778</v>
      </c>
      <c r="C553" s="1" t="n">
        <v>46076</v>
      </c>
      <c r="D553" t="inlineStr">
        <is>
          <t>JÄMTLANDS LÄN</t>
        </is>
      </c>
      <c r="E553" t="inlineStr">
        <is>
          <t>HÄRJEDALEN</t>
        </is>
      </c>
      <c r="F553" t="inlineStr">
        <is>
          <t>Övriga statliga verk och myndigheter</t>
        </is>
      </c>
      <c r="G553" t="n">
        <v>34.2</v>
      </c>
      <c r="H553" t="n">
        <v>0</v>
      </c>
      <c r="I553" t="n">
        <v>0</v>
      </c>
      <c r="J553" t="n">
        <v>0</v>
      </c>
      <c r="K553" t="n">
        <v>0</v>
      </c>
      <c r="L553" t="n">
        <v>0</v>
      </c>
      <c r="M553" t="n">
        <v>0</v>
      </c>
      <c r="N553" t="n">
        <v>0</v>
      </c>
      <c r="O553" t="n">
        <v>0</v>
      </c>
      <c r="P553" t="n">
        <v>0</v>
      </c>
      <c r="Q553" t="n">
        <v>0</v>
      </c>
      <c r="R553" s="2" t="inlineStr"/>
    </row>
    <row r="554" ht="15" customHeight="1">
      <c r="A554" t="inlineStr">
        <is>
          <t>A 48708-2023</t>
        </is>
      </c>
      <c r="B554" s="1" t="n">
        <v>45208</v>
      </c>
      <c r="C554" s="1" t="n">
        <v>46076</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34144-2025</t>
        </is>
      </c>
      <c r="B555" s="1" t="n">
        <v>45845.55270833334</v>
      </c>
      <c r="C555" s="1" t="n">
        <v>46076</v>
      </c>
      <c r="D555" t="inlineStr">
        <is>
          <t>JÄMTLANDS LÄN</t>
        </is>
      </c>
      <c r="E555" t="inlineStr">
        <is>
          <t>HÄRJEDALEN</t>
        </is>
      </c>
      <c r="G555" t="n">
        <v>8.5</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46076</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60749-2023</t>
        </is>
      </c>
      <c r="B557" s="1" t="n">
        <v>45260.59042824074</v>
      </c>
      <c r="C557" s="1" t="n">
        <v>46076</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43323-2025</t>
        </is>
      </c>
      <c r="B558" s="1" t="n">
        <v>45910.66498842592</v>
      </c>
      <c r="C558" s="1" t="n">
        <v>46076</v>
      </c>
      <c r="D558" t="inlineStr">
        <is>
          <t>JÄMTLANDS LÄN</t>
        </is>
      </c>
      <c r="E558" t="inlineStr">
        <is>
          <t>HÄRJEDALEN</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43470-2025</t>
        </is>
      </c>
      <c r="B559" s="1" t="n">
        <v>45911.48010416667</v>
      </c>
      <c r="C559" s="1" t="n">
        <v>46076</v>
      </c>
      <c r="D559" t="inlineStr">
        <is>
          <t>JÄMTLANDS LÄN</t>
        </is>
      </c>
      <c r="E559" t="inlineStr">
        <is>
          <t>HÄRJEDALEN</t>
        </is>
      </c>
      <c r="G559" t="n">
        <v>10.9</v>
      </c>
      <c r="H559" t="n">
        <v>0</v>
      </c>
      <c r="I559" t="n">
        <v>0</v>
      </c>
      <c r="J559" t="n">
        <v>0</v>
      </c>
      <c r="K559" t="n">
        <v>0</v>
      </c>
      <c r="L559" t="n">
        <v>0</v>
      </c>
      <c r="M559" t="n">
        <v>0</v>
      </c>
      <c r="N559" t="n">
        <v>0</v>
      </c>
      <c r="O559" t="n">
        <v>0</v>
      </c>
      <c r="P559" t="n">
        <v>0</v>
      </c>
      <c r="Q559" t="n">
        <v>0</v>
      </c>
      <c r="R559" s="2" t="inlineStr"/>
    </row>
    <row r="560" ht="15" customHeight="1">
      <c r="A560" t="inlineStr">
        <is>
          <t>A 33845-2025</t>
        </is>
      </c>
      <c r="B560" s="1" t="n">
        <v>45842.48990740741</v>
      </c>
      <c r="C560" s="1" t="n">
        <v>46076</v>
      </c>
      <c r="D560" t="inlineStr">
        <is>
          <t>JÄMTLANDS LÄN</t>
        </is>
      </c>
      <c r="E560" t="inlineStr">
        <is>
          <t>HÄRJEDALEN</t>
        </is>
      </c>
      <c r="G560" t="n">
        <v>0.9</v>
      </c>
      <c r="H560" t="n">
        <v>0</v>
      </c>
      <c r="I560" t="n">
        <v>0</v>
      </c>
      <c r="J560" t="n">
        <v>0</v>
      </c>
      <c r="K560" t="n">
        <v>0</v>
      </c>
      <c r="L560" t="n">
        <v>0</v>
      </c>
      <c r="M560" t="n">
        <v>0</v>
      </c>
      <c r="N560" t="n">
        <v>0</v>
      </c>
      <c r="O560" t="n">
        <v>0</v>
      </c>
      <c r="P560" t="n">
        <v>0</v>
      </c>
      <c r="Q560" t="n">
        <v>0</v>
      </c>
      <c r="R560" s="2" t="inlineStr"/>
    </row>
    <row r="561" ht="15" customHeight="1">
      <c r="A561" t="inlineStr">
        <is>
          <t>A 34142-2025</t>
        </is>
      </c>
      <c r="B561" s="1" t="n">
        <v>45845.55259259259</v>
      </c>
      <c r="C561" s="1" t="n">
        <v>46076</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34143-2025</t>
        </is>
      </c>
      <c r="B562" s="1" t="n">
        <v>45845.55266203704</v>
      </c>
      <c r="C562" s="1" t="n">
        <v>46076</v>
      </c>
      <c r="D562" t="inlineStr">
        <is>
          <t>JÄMTLANDS LÄN</t>
        </is>
      </c>
      <c r="E562" t="inlineStr">
        <is>
          <t>HÄRJEDALEN</t>
        </is>
      </c>
      <c r="G562" t="n">
        <v>5.9</v>
      </c>
      <c r="H562" t="n">
        <v>0</v>
      </c>
      <c r="I562" t="n">
        <v>0</v>
      </c>
      <c r="J562" t="n">
        <v>0</v>
      </c>
      <c r="K562" t="n">
        <v>0</v>
      </c>
      <c r="L562" t="n">
        <v>0</v>
      </c>
      <c r="M562" t="n">
        <v>0</v>
      </c>
      <c r="N562" t="n">
        <v>0</v>
      </c>
      <c r="O562" t="n">
        <v>0</v>
      </c>
      <c r="P562" t="n">
        <v>0</v>
      </c>
      <c r="Q562" t="n">
        <v>0</v>
      </c>
      <c r="R562" s="2" t="inlineStr"/>
    </row>
    <row r="563" ht="15" customHeight="1">
      <c r="A563" t="inlineStr">
        <is>
          <t>A 14368-2025</t>
        </is>
      </c>
      <c r="B563" s="1" t="n">
        <v>45741.39084490741</v>
      </c>
      <c r="C563" s="1" t="n">
        <v>46076</v>
      </c>
      <c r="D563" t="inlineStr">
        <is>
          <t>JÄMTLANDS LÄN</t>
        </is>
      </c>
      <c r="E563" t="inlineStr">
        <is>
          <t>HÄRJEDALEN</t>
        </is>
      </c>
      <c r="G563" t="n">
        <v>6.5</v>
      </c>
      <c r="H563" t="n">
        <v>0</v>
      </c>
      <c r="I563" t="n">
        <v>0</v>
      </c>
      <c r="J563" t="n">
        <v>0</v>
      </c>
      <c r="K563" t="n">
        <v>0</v>
      </c>
      <c r="L563" t="n">
        <v>0</v>
      </c>
      <c r="M563" t="n">
        <v>0</v>
      </c>
      <c r="N563" t="n">
        <v>0</v>
      </c>
      <c r="O563" t="n">
        <v>0</v>
      </c>
      <c r="P563" t="n">
        <v>0</v>
      </c>
      <c r="Q563" t="n">
        <v>0</v>
      </c>
      <c r="R563" s="2" t="inlineStr"/>
    </row>
    <row r="564" ht="15" customHeight="1">
      <c r="A564" t="inlineStr">
        <is>
          <t>A 55669-2024</t>
        </is>
      </c>
      <c r="B564" s="1" t="n">
        <v>45622.64627314815</v>
      </c>
      <c r="C564" s="1" t="n">
        <v>46076</v>
      </c>
      <c r="D564" t="inlineStr">
        <is>
          <t>JÄMTLANDS LÄN</t>
        </is>
      </c>
      <c r="E564" t="inlineStr">
        <is>
          <t>HÄRJEDALEN</t>
        </is>
      </c>
      <c r="G564" t="n">
        <v>1.7</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46076</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34570-2025</t>
        </is>
      </c>
      <c r="B566" s="1" t="n">
        <v>45847.58865740741</v>
      </c>
      <c r="C566" s="1" t="n">
        <v>46076</v>
      </c>
      <c r="D566" t="inlineStr">
        <is>
          <t>JÄMTLANDS LÄN</t>
        </is>
      </c>
      <c r="E566" t="inlineStr">
        <is>
          <t>HÄRJEDALEN</t>
        </is>
      </c>
      <c r="F566" t="inlineStr">
        <is>
          <t>Bergvik skog väst AB</t>
        </is>
      </c>
      <c r="G566" t="n">
        <v>19.1</v>
      </c>
      <c r="H566" t="n">
        <v>0</v>
      </c>
      <c r="I566" t="n">
        <v>0</v>
      </c>
      <c r="J566" t="n">
        <v>0</v>
      </c>
      <c r="K566" t="n">
        <v>0</v>
      </c>
      <c r="L566" t="n">
        <v>0</v>
      </c>
      <c r="M566" t="n">
        <v>0</v>
      </c>
      <c r="N566" t="n">
        <v>0</v>
      </c>
      <c r="O566" t="n">
        <v>0</v>
      </c>
      <c r="P566" t="n">
        <v>0</v>
      </c>
      <c r="Q566" t="n">
        <v>0</v>
      </c>
      <c r="R566" s="2" t="inlineStr"/>
    </row>
    <row r="567" ht="15" customHeight="1">
      <c r="A567" t="inlineStr">
        <is>
          <t>A 11255-2024</t>
        </is>
      </c>
      <c r="B567" s="1" t="n">
        <v>45371.66217592593</v>
      </c>
      <c r="C567" s="1" t="n">
        <v>46076</v>
      </c>
      <c r="D567" t="inlineStr">
        <is>
          <t>JÄMTLANDS LÄN</t>
        </is>
      </c>
      <c r="E567" t="inlineStr">
        <is>
          <t>HÄRJEDALEN</t>
        </is>
      </c>
      <c r="F567" t="inlineStr">
        <is>
          <t>Holmen skog AB</t>
        </is>
      </c>
      <c r="G567" t="n">
        <v>6.8</v>
      </c>
      <c r="H567" t="n">
        <v>0</v>
      </c>
      <c r="I567" t="n">
        <v>0</v>
      </c>
      <c r="J567" t="n">
        <v>0</v>
      </c>
      <c r="K567" t="n">
        <v>0</v>
      </c>
      <c r="L567" t="n">
        <v>0</v>
      </c>
      <c r="M567" t="n">
        <v>0</v>
      </c>
      <c r="N567" t="n">
        <v>0</v>
      </c>
      <c r="O567" t="n">
        <v>0</v>
      </c>
      <c r="P567" t="n">
        <v>0</v>
      </c>
      <c r="Q567" t="n">
        <v>0</v>
      </c>
      <c r="R567" s="2" t="inlineStr"/>
    </row>
    <row r="568" ht="15" customHeight="1">
      <c r="A568" t="inlineStr">
        <is>
          <t>A 34691-2025</t>
        </is>
      </c>
      <c r="B568" s="1" t="n">
        <v>45848.45113425926</v>
      </c>
      <c r="C568" s="1" t="n">
        <v>46076</v>
      </c>
      <c r="D568" t="inlineStr">
        <is>
          <t>JÄMTLANDS LÄN</t>
        </is>
      </c>
      <c r="E568" t="inlineStr">
        <is>
          <t>HÄRJEDALEN</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34767-2025</t>
        </is>
      </c>
      <c r="B569" s="1" t="n">
        <v>45848.65003472222</v>
      </c>
      <c r="C569" s="1" t="n">
        <v>46076</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34807-2025</t>
        </is>
      </c>
      <c r="B570" s="1" t="n">
        <v>45849</v>
      </c>
      <c r="C570" s="1" t="n">
        <v>46076</v>
      </c>
      <c r="D570" t="inlineStr">
        <is>
          <t>JÄMTLANDS LÄN</t>
        </is>
      </c>
      <c r="E570" t="inlineStr">
        <is>
          <t>HÄRJEDALEN</t>
        </is>
      </c>
      <c r="G570" t="n">
        <v>6.6</v>
      </c>
      <c r="H570" t="n">
        <v>0</v>
      </c>
      <c r="I570" t="n">
        <v>0</v>
      </c>
      <c r="J570" t="n">
        <v>0</v>
      </c>
      <c r="K570" t="n">
        <v>0</v>
      </c>
      <c r="L570" t="n">
        <v>0</v>
      </c>
      <c r="M570" t="n">
        <v>0</v>
      </c>
      <c r="N570" t="n">
        <v>0</v>
      </c>
      <c r="O570" t="n">
        <v>0</v>
      </c>
      <c r="P570" t="n">
        <v>0</v>
      </c>
      <c r="Q570" t="n">
        <v>0</v>
      </c>
      <c r="R570" s="2" t="inlineStr"/>
    </row>
    <row r="571" ht="15" customHeight="1">
      <c r="A571" t="inlineStr">
        <is>
          <t>A 34702-2025</t>
        </is>
      </c>
      <c r="B571" s="1" t="n">
        <v>45848</v>
      </c>
      <c r="C571" s="1" t="n">
        <v>46076</v>
      </c>
      <c r="D571" t="inlineStr">
        <is>
          <t>JÄMTLANDS LÄN</t>
        </is>
      </c>
      <c r="E571" t="inlineStr">
        <is>
          <t>HÄRJEDALEN</t>
        </is>
      </c>
      <c r="F571" t="inlineStr">
        <is>
          <t>Bergvik skog väst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34726-2025</t>
        </is>
      </c>
      <c r="B572" s="1" t="n">
        <v>45848.57644675926</v>
      </c>
      <c r="C572" s="1" t="n">
        <v>46076</v>
      </c>
      <c r="D572" t="inlineStr">
        <is>
          <t>JÄMTLANDS LÄN</t>
        </is>
      </c>
      <c r="E572" t="inlineStr">
        <is>
          <t>HÄRJEDALEN</t>
        </is>
      </c>
      <c r="F572" t="inlineStr">
        <is>
          <t>Kyrkan</t>
        </is>
      </c>
      <c r="G572" t="n">
        <v>1.5</v>
      </c>
      <c r="H572" t="n">
        <v>0</v>
      </c>
      <c r="I572" t="n">
        <v>0</v>
      </c>
      <c r="J572" t="n">
        <v>0</v>
      </c>
      <c r="K572" t="n">
        <v>0</v>
      </c>
      <c r="L572" t="n">
        <v>0</v>
      </c>
      <c r="M572" t="n">
        <v>0</v>
      </c>
      <c r="N572" t="n">
        <v>0</v>
      </c>
      <c r="O572" t="n">
        <v>0</v>
      </c>
      <c r="P572" t="n">
        <v>0</v>
      </c>
      <c r="Q572" t="n">
        <v>0</v>
      </c>
      <c r="R572" s="2" t="inlineStr"/>
    </row>
    <row r="573" ht="15" customHeight="1">
      <c r="A573" t="inlineStr">
        <is>
          <t>A 29935-2024</t>
        </is>
      </c>
      <c r="B573" s="1" t="n">
        <v>45488</v>
      </c>
      <c r="C573" s="1" t="n">
        <v>46076</v>
      </c>
      <c r="D573" t="inlineStr">
        <is>
          <t>JÄMTLANDS LÄN</t>
        </is>
      </c>
      <c r="E573" t="inlineStr">
        <is>
          <t>HÄRJEDALEN</t>
        </is>
      </c>
      <c r="G573" t="n">
        <v>6.8</v>
      </c>
      <c r="H573" t="n">
        <v>0</v>
      </c>
      <c r="I573" t="n">
        <v>0</v>
      </c>
      <c r="J573" t="n">
        <v>0</v>
      </c>
      <c r="K573" t="n">
        <v>0</v>
      </c>
      <c r="L573" t="n">
        <v>0</v>
      </c>
      <c r="M573" t="n">
        <v>0</v>
      </c>
      <c r="N573" t="n">
        <v>0</v>
      </c>
      <c r="O573" t="n">
        <v>0</v>
      </c>
      <c r="P573" t="n">
        <v>0</v>
      </c>
      <c r="Q573" t="n">
        <v>0</v>
      </c>
      <c r="R573" s="2" t="inlineStr"/>
    </row>
    <row r="574" ht="15" customHeight="1">
      <c r="A574" t="inlineStr">
        <is>
          <t>A 34775-2025</t>
        </is>
      </c>
      <c r="B574" s="1" t="n">
        <v>45848.6568287037</v>
      </c>
      <c r="C574" s="1" t="n">
        <v>46076</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34790-2025</t>
        </is>
      </c>
      <c r="B575" s="1" t="n">
        <v>45848.68640046296</v>
      </c>
      <c r="C575" s="1" t="n">
        <v>46076</v>
      </c>
      <c r="D575" t="inlineStr">
        <is>
          <t>JÄMTLANDS LÄN</t>
        </is>
      </c>
      <c r="E575" t="inlineStr">
        <is>
          <t>HÄRJEDALEN</t>
        </is>
      </c>
      <c r="F575" t="inlineStr">
        <is>
          <t>Bergvik skog väst AB</t>
        </is>
      </c>
      <c r="G575" t="n">
        <v>32.2</v>
      </c>
      <c r="H575" t="n">
        <v>0</v>
      </c>
      <c r="I575" t="n">
        <v>0</v>
      </c>
      <c r="J575" t="n">
        <v>0</v>
      </c>
      <c r="K575" t="n">
        <v>0</v>
      </c>
      <c r="L575" t="n">
        <v>0</v>
      </c>
      <c r="M575" t="n">
        <v>0</v>
      </c>
      <c r="N575" t="n">
        <v>0</v>
      </c>
      <c r="O575" t="n">
        <v>0</v>
      </c>
      <c r="P575" t="n">
        <v>0</v>
      </c>
      <c r="Q575" t="n">
        <v>0</v>
      </c>
      <c r="R575" s="2" t="inlineStr"/>
    </row>
    <row r="576" ht="15" customHeight="1">
      <c r="A576" t="inlineStr">
        <is>
          <t>A 34757-2025</t>
        </is>
      </c>
      <c r="B576" s="1" t="n">
        <v>45848.62873842593</v>
      </c>
      <c r="C576" s="1" t="n">
        <v>46076</v>
      </c>
      <c r="D576" t="inlineStr">
        <is>
          <t>JÄMTLANDS LÄN</t>
        </is>
      </c>
      <c r="E576" t="inlineStr">
        <is>
          <t>HÄRJEDALEN</t>
        </is>
      </c>
      <c r="G576" t="n">
        <v>19.6</v>
      </c>
      <c r="H576" t="n">
        <v>0</v>
      </c>
      <c r="I576" t="n">
        <v>0</v>
      </c>
      <c r="J576" t="n">
        <v>0</v>
      </c>
      <c r="K576" t="n">
        <v>0</v>
      </c>
      <c r="L576" t="n">
        <v>0</v>
      </c>
      <c r="M576" t="n">
        <v>0</v>
      </c>
      <c r="N576" t="n">
        <v>0</v>
      </c>
      <c r="O576" t="n">
        <v>0</v>
      </c>
      <c r="P576" t="n">
        <v>0</v>
      </c>
      <c r="Q576" t="n">
        <v>0</v>
      </c>
      <c r="R576" s="2" t="inlineStr"/>
    </row>
    <row r="577" ht="15" customHeight="1">
      <c r="A577" t="inlineStr">
        <is>
          <t>A 34761-2025</t>
        </is>
      </c>
      <c r="B577" s="1" t="n">
        <v>45848.639375</v>
      </c>
      <c r="C577" s="1" t="n">
        <v>46076</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34653-2025</t>
        </is>
      </c>
      <c r="B578" s="1" t="n">
        <v>45848.35400462963</v>
      </c>
      <c r="C578" s="1" t="n">
        <v>46076</v>
      </c>
      <c r="D578" t="inlineStr">
        <is>
          <t>JÄMTLANDS LÄN</t>
        </is>
      </c>
      <c r="E578" t="inlineStr">
        <is>
          <t>HÄRJEDALEN</t>
        </is>
      </c>
      <c r="G578" t="n">
        <v>26.8</v>
      </c>
      <c r="H578" t="n">
        <v>0</v>
      </c>
      <c r="I578" t="n">
        <v>0</v>
      </c>
      <c r="J578" t="n">
        <v>0</v>
      </c>
      <c r="K578" t="n">
        <v>0</v>
      </c>
      <c r="L578" t="n">
        <v>0</v>
      </c>
      <c r="M578" t="n">
        <v>0</v>
      </c>
      <c r="N578" t="n">
        <v>0</v>
      </c>
      <c r="O578" t="n">
        <v>0</v>
      </c>
      <c r="P578" t="n">
        <v>0</v>
      </c>
      <c r="Q578" t="n">
        <v>0</v>
      </c>
      <c r="R578" s="2" t="inlineStr"/>
    </row>
    <row r="579" ht="15" customHeight="1">
      <c r="A579" t="inlineStr">
        <is>
          <t>A 55562-2023</t>
        </is>
      </c>
      <c r="B579" s="1" t="n">
        <v>45238.64153935185</v>
      </c>
      <c r="C579" s="1" t="n">
        <v>46076</v>
      </c>
      <c r="D579" t="inlineStr">
        <is>
          <t>JÄMTLANDS LÄN</t>
        </is>
      </c>
      <c r="E579" t="inlineStr">
        <is>
          <t>HÄRJEDALEN</t>
        </is>
      </c>
      <c r="G579" t="n">
        <v>1.4</v>
      </c>
      <c r="H579" t="n">
        <v>0</v>
      </c>
      <c r="I579" t="n">
        <v>0</v>
      </c>
      <c r="J579" t="n">
        <v>0</v>
      </c>
      <c r="K579" t="n">
        <v>0</v>
      </c>
      <c r="L579" t="n">
        <v>0</v>
      </c>
      <c r="M579" t="n">
        <v>0</v>
      </c>
      <c r="N579" t="n">
        <v>0</v>
      </c>
      <c r="O579" t="n">
        <v>0</v>
      </c>
      <c r="P579" t="n">
        <v>0</v>
      </c>
      <c r="Q579" t="n">
        <v>0</v>
      </c>
      <c r="R579" s="2" t="inlineStr"/>
    </row>
    <row r="580" ht="15" customHeight="1">
      <c r="A580" t="inlineStr">
        <is>
          <t>A 35182-2025</t>
        </is>
      </c>
      <c r="B580" s="1" t="n">
        <v>45853.28325231482</v>
      </c>
      <c r="C580" s="1" t="n">
        <v>46076</v>
      </c>
      <c r="D580" t="inlineStr">
        <is>
          <t>JÄMTLANDS LÄN</t>
        </is>
      </c>
      <c r="E580" t="inlineStr">
        <is>
          <t>HÄRJEDALEN</t>
        </is>
      </c>
      <c r="G580" t="n">
        <v>32.6</v>
      </c>
      <c r="H580" t="n">
        <v>0</v>
      </c>
      <c r="I580" t="n">
        <v>0</v>
      </c>
      <c r="J580" t="n">
        <v>0</v>
      </c>
      <c r="K580" t="n">
        <v>0</v>
      </c>
      <c r="L580" t="n">
        <v>0</v>
      </c>
      <c r="M580" t="n">
        <v>0</v>
      </c>
      <c r="N580" t="n">
        <v>0</v>
      </c>
      <c r="O580" t="n">
        <v>0</v>
      </c>
      <c r="P580" t="n">
        <v>0</v>
      </c>
      <c r="Q580" t="n">
        <v>0</v>
      </c>
      <c r="R580" s="2" t="inlineStr"/>
    </row>
    <row r="581" ht="15" customHeight="1">
      <c r="A581" t="inlineStr">
        <is>
          <t>A 36568-2023</t>
        </is>
      </c>
      <c r="B581" s="1" t="n">
        <v>45153.42725694444</v>
      </c>
      <c r="C581" s="1" t="n">
        <v>46076</v>
      </c>
      <c r="D581" t="inlineStr">
        <is>
          <t>JÄMTLANDS LÄN</t>
        </is>
      </c>
      <c r="E581" t="inlineStr">
        <is>
          <t>HÄRJEDALEN</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35154-2025</t>
        </is>
      </c>
      <c r="B582" s="1" t="n">
        <v>45852</v>
      </c>
      <c r="C582" s="1" t="n">
        <v>46076</v>
      </c>
      <c r="D582" t="inlineStr">
        <is>
          <t>JÄMTLANDS LÄN</t>
        </is>
      </c>
      <c r="E582" t="inlineStr">
        <is>
          <t>HÄRJEDALEN</t>
        </is>
      </c>
      <c r="G582" t="n">
        <v>14.1</v>
      </c>
      <c r="H582" t="n">
        <v>0</v>
      </c>
      <c r="I582" t="n">
        <v>0</v>
      </c>
      <c r="J582" t="n">
        <v>0</v>
      </c>
      <c r="K582" t="n">
        <v>0</v>
      </c>
      <c r="L582" t="n">
        <v>0</v>
      </c>
      <c r="M582" t="n">
        <v>0</v>
      </c>
      <c r="N582" t="n">
        <v>0</v>
      </c>
      <c r="O582" t="n">
        <v>0</v>
      </c>
      <c r="P582" t="n">
        <v>0</v>
      </c>
      <c r="Q582" t="n">
        <v>0</v>
      </c>
      <c r="R582" s="2" t="inlineStr"/>
    </row>
    <row r="583" ht="15" customHeight="1">
      <c r="A583" t="inlineStr">
        <is>
          <t>A 45179-2025</t>
        </is>
      </c>
      <c r="B583" s="1" t="n">
        <v>45919.52993055555</v>
      </c>
      <c r="C583" s="1" t="n">
        <v>46076</v>
      </c>
      <c r="D583" t="inlineStr">
        <is>
          <t>JÄMTLANDS LÄN</t>
        </is>
      </c>
      <c r="E583" t="inlineStr">
        <is>
          <t>HÄRJEDALEN</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35241-2025</t>
        </is>
      </c>
      <c r="B584" s="1" t="n">
        <v>45853.61865740741</v>
      </c>
      <c r="C584" s="1" t="n">
        <v>46076</v>
      </c>
      <c r="D584" t="inlineStr">
        <is>
          <t>JÄMTLANDS LÄN</t>
        </is>
      </c>
      <c r="E584" t="inlineStr">
        <is>
          <t>HÄRJEDALEN</t>
        </is>
      </c>
      <c r="G584" t="n">
        <v>8.6</v>
      </c>
      <c r="H584" t="n">
        <v>0</v>
      </c>
      <c r="I584" t="n">
        <v>0</v>
      </c>
      <c r="J584" t="n">
        <v>0</v>
      </c>
      <c r="K584" t="n">
        <v>0</v>
      </c>
      <c r="L584" t="n">
        <v>0</v>
      </c>
      <c r="M584" t="n">
        <v>0</v>
      </c>
      <c r="N584" t="n">
        <v>0</v>
      </c>
      <c r="O584" t="n">
        <v>0</v>
      </c>
      <c r="P584" t="n">
        <v>0</v>
      </c>
      <c r="Q584" t="n">
        <v>0</v>
      </c>
      <c r="R584" s="2" t="inlineStr"/>
    </row>
    <row r="585" ht="15" customHeight="1">
      <c r="A585" t="inlineStr">
        <is>
          <t>A 35243-2025</t>
        </is>
      </c>
      <c r="B585" s="1" t="n">
        <v>45853.62415509259</v>
      </c>
      <c r="C585" s="1" t="n">
        <v>46076</v>
      </c>
      <c r="D585" t="inlineStr">
        <is>
          <t>JÄMTLANDS LÄN</t>
        </is>
      </c>
      <c r="E585" t="inlineStr">
        <is>
          <t>HÄRJEDALEN</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46076</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35309-2025</t>
        </is>
      </c>
      <c r="B587" s="1" t="n">
        <v>45854.44850694444</v>
      </c>
      <c r="C587" s="1" t="n">
        <v>46076</v>
      </c>
      <c r="D587" t="inlineStr">
        <is>
          <t>JÄMTLANDS LÄN</t>
        </is>
      </c>
      <c r="E587" t="inlineStr">
        <is>
          <t>HÄRJEDALEN</t>
        </is>
      </c>
      <c r="F587" t="inlineStr">
        <is>
          <t>SCA</t>
        </is>
      </c>
      <c r="G587" t="n">
        <v>10.2</v>
      </c>
      <c r="H587" t="n">
        <v>0</v>
      </c>
      <c r="I587" t="n">
        <v>0</v>
      </c>
      <c r="J587" t="n">
        <v>0</v>
      </c>
      <c r="K587" t="n">
        <v>0</v>
      </c>
      <c r="L587" t="n">
        <v>0</v>
      </c>
      <c r="M587" t="n">
        <v>0</v>
      </c>
      <c r="N587" t="n">
        <v>0</v>
      </c>
      <c r="O587" t="n">
        <v>0</v>
      </c>
      <c r="P587" t="n">
        <v>0</v>
      </c>
      <c r="Q587" t="n">
        <v>0</v>
      </c>
      <c r="R587" s="2" t="inlineStr"/>
    </row>
    <row r="588" ht="15" customHeight="1">
      <c r="A588" t="inlineStr">
        <is>
          <t>A 35310-2025</t>
        </is>
      </c>
      <c r="B588" s="1" t="n">
        <v>45854.44864583333</v>
      </c>
      <c r="C588" s="1" t="n">
        <v>46076</v>
      </c>
      <c r="D588" t="inlineStr">
        <is>
          <t>JÄMTLANDS LÄN</t>
        </is>
      </c>
      <c r="E588" t="inlineStr">
        <is>
          <t>HÄRJEDALEN</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37719-2023</t>
        </is>
      </c>
      <c r="B589" s="1" t="n">
        <v>45159.60288194445</v>
      </c>
      <c r="C589" s="1" t="n">
        <v>46076</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18546-2025</t>
        </is>
      </c>
      <c r="B590" s="1" t="n">
        <v>45763.4266087963</v>
      </c>
      <c r="C590" s="1" t="n">
        <v>46076</v>
      </c>
      <c r="D590" t="inlineStr">
        <is>
          <t>JÄMTLANDS LÄN</t>
        </is>
      </c>
      <c r="E590" t="inlineStr">
        <is>
          <t>HÄRJEDALEN</t>
        </is>
      </c>
      <c r="G590" t="n">
        <v>1.7</v>
      </c>
      <c r="H590" t="n">
        <v>0</v>
      </c>
      <c r="I590" t="n">
        <v>0</v>
      </c>
      <c r="J590" t="n">
        <v>0</v>
      </c>
      <c r="K590" t="n">
        <v>0</v>
      </c>
      <c r="L590" t="n">
        <v>0</v>
      </c>
      <c r="M590" t="n">
        <v>0</v>
      </c>
      <c r="N590" t="n">
        <v>0</v>
      </c>
      <c r="O590" t="n">
        <v>0</v>
      </c>
      <c r="P590" t="n">
        <v>0</v>
      </c>
      <c r="Q590" t="n">
        <v>0</v>
      </c>
      <c r="R590" s="2" t="inlineStr"/>
    </row>
    <row r="591" ht="15" customHeight="1">
      <c r="A591" t="inlineStr">
        <is>
          <t>A 35297-2025</t>
        </is>
      </c>
      <c r="B591" s="1" t="n">
        <v>45854.40662037037</v>
      </c>
      <c r="C591" s="1" t="n">
        <v>46076</v>
      </c>
      <c r="D591" t="inlineStr">
        <is>
          <t>JÄMTLANDS LÄN</t>
        </is>
      </c>
      <c r="E591" t="inlineStr">
        <is>
          <t>HÄRJEDALEN</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45455-2025</t>
        </is>
      </c>
      <c r="B592" s="1" t="n">
        <v>45922.49034722222</v>
      </c>
      <c r="C592" s="1" t="n">
        <v>46076</v>
      </c>
      <c r="D592" t="inlineStr">
        <is>
          <t>JÄMTLANDS LÄN</t>
        </is>
      </c>
      <c r="E592" t="inlineStr">
        <is>
          <t>HÄRJEDALEN</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29772-2023</t>
        </is>
      </c>
      <c r="B593" s="1" t="n">
        <v>45107</v>
      </c>
      <c r="C593" s="1" t="n">
        <v>46076</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45562-2025</t>
        </is>
      </c>
      <c r="B594" s="1" t="n">
        <v>45922.64740740741</v>
      </c>
      <c r="C594" s="1" t="n">
        <v>46076</v>
      </c>
      <c r="D594" t="inlineStr">
        <is>
          <t>JÄMTLANDS LÄN</t>
        </is>
      </c>
      <c r="E594" t="inlineStr">
        <is>
          <t>HÄRJEDALEN</t>
        </is>
      </c>
      <c r="G594" t="n">
        <v>11.6</v>
      </c>
      <c r="H594" t="n">
        <v>0</v>
      </c>
      <c r="I594" t="n">
        <v>0</v>
      </c>
      <c r="J594" t="n">
        <v>0</v>
      </c>
      <c r="K594" t="n">
        <v>0</v>
      </c>
      <c r="L594" t="n">
        <v>0</v>
      </c>
      <c r="M594" t="n">
        <v>0</v>
      </c>
      <c r="N594" t="n">
        <v>0</v>
      </c>
      <c r="O594" t="n">
        <v>0</v>
      </c>
      <c r="P594" t="n">
        <v>0</v>
      </c>
      <c r="Q594" t="n">
        <v>0</v>
      </c>
      <c r="R594" s="2" t="inlineStr"/>
    </row>
    <row r="595" ht="15" customHeight="1">
      <c r="A595" t="inlineStr">
        <is>
          <t>A 35810-2025</t>
        </is>
      </c>
      <c r="B595" s="1" t="n">
        <v>45861</v>
      </c>
      <c r="C595" s="1" t="n">
        <v>46076</v>
      </c>
      <c r="D595" t="inlineStr">
        <is>
          <t>JÄMTLANDS LÄN</t>
        </is>
      </c>
      <c r="E595" t="inlineStr">
        <is>
          <t>HÄRJEDALEN</t>
        </is>
      </c>
      <c r="F595" t="inlineStr">
        <is>
          <t>Bergvik skog väst AB</t>
        </is>
      </c>
      <c r="G595" t="n">
        <v>41.3</v>
      </c>
      <c r="H595" t="n">
        <v>0</v>
      </c>
      <c r="I595" t="n">
        <v>0</v>
      </c>
      <c r="J595" t="n">
        <v>0</v>
      </c>
      <c r="K595" t="n">
        <v>0</v>
      </c>
      <c r="L595" t="n">
        <v>0</v>
      </c>
      <c r="M595" t="n">
        <v>0</v>
      </c>
      <c r="N595" t="n">
        <v>0</v>
      </c>
      <c r="O595" t="n">
        <v>0</v>
      </c>
      <c r="P595" t="n">
        <v>0</v>
      </c>
      <c r="Q595" t="n">
        <v>0</v>
      </c>
      <c r="R595" s="2" t="inlineStr"/>
    </row>
    <row r="596" ht="15" customHeight="1">
      <c r="A596" t="inlineStr">
        <is>
          <t>A 35634-2025</t>
        </is>
      </c>
      <c r="B596" s="1" t="n">
        <v>45859</v>
      </c>
      <c r="C596" s="1" t="n">
        <v>46076</v>
      </c>
      <c r="D596" t="inlineStr">
        <is>
          <t>JÄMTLANDS LÄN</t>
        </is>
      </c>
      <c r="E596" t="inlineStr">
        <is>
          <t>HÄRJEDALEN</t>
        </is>
      </c>
      <c r="G596" t="n">
        <v>9.1</v>
      </c>
      <c r="H596" t="n">
        <v>0</v>
      </c>
      <c r="I596" t="n">
        <v>0</v>
      </c>
      <c r="J596" t="n">
        <v>0</v>
      </c>
      <c r="K596" t="n">
        <v>0</v>
      </c>
      <c r="L596" t="n">
        <v>0</v>
      </c>
      <c r="M596" t="n">
        <v>0</v>
      </c>
      <c r="N596" t="n">
        <v>0</v>
      </c>
      <c r="O596" t="n">
        <v>0</v>
      </c>
      <c r="P596" t="n">
        <v>0</v>
      </c>
      <c r="Q596" t="n">
        <v>0</v>
      </c>
      <c r="R596" s="2" t="inlineStr"/>
    </row>
    <row r="597" ht="15" customHeight="1">
      <c r="A597" t="inlineStr">
        <is>
          <t>A 46499-2024</t>
        </is>
      </c>
      <c r="B597" s="1" t="n">
        <v>45582.59753472222</v>
      </c>
      <c r="C597" s="1" t="n">
        <v>46076</v>
      </c>
      <c r="D597" t="inlineStr">
        <is>
          <t>JÄMTLANDS LÄN</t>
        </is>
      </c>
      <c r="E597" t="inlineStr">
        <is>
          <t>HÄRJEDALEN</t>
        </is>
      </c>
      <c r="F597" t="inlineStr">
        <is>
          <t>Bergvik skog väst AB</t>
        </is>
      </c>
      <c r="G597" t="n">
        <v>1.8</v>
      </c>
      <c r="H597" t="n">
        <v>0</v>
      </c>
      <c r="I597" t="n">
        <v>0</v>
      </c>
      <c r="J597" t="n">
        <v>0</v>
      </c>
      <c r="K597" t="n">
        <v>0</v>
      </c>
      <c r="L597" t="n">
        <v>0</v>
      </c>
      <c r="M597" t="n">
        <v>0</v>
      </c>
      <c r="N597" t="n">
        <v>0</v>
      </c>
      <c r="O597" t="n">
        <v>0</v>
      </c>
      <c r="P597" t="n">
        <v>0</v>
      </c>
      <c r="Q597" t="n">
        <v>0</v>
      </c>
      <c r="R597" s="2" t="inlineStr"/>
    </row>
    <row r="598" ht="15" customHeight="1">
      <c r="A598" t="inlineStr">
        <is>
          <t>A 45457-2025</t>
        </is>
      </c>
      <c r="B598" s="1" t="n">
        <v>45922.49168981481</v>
      </c>
      <c r="C598" s="1" t="n">
        <v>46076</v>
      </c>
      <c r="D598" t="inlineStr">
        <is>
          <t>JÄMTLANDS LÄN</t>
        </is>
      </c>
      <c r="E598" t="inlineStr">
        <is>
          <t>HÄRJEDALEN</t>
        </is>
      </c>
      <c r="F598" t="inlineStr">
        <is>
          <t>Bergvik skog väst AB</t>
        </is>
      </c>
      <c r="G598" t="n">
        <v>45.8</v>
      </c>
      <c r="H598" t="n">
        <v>0</v>
      </c>
      <c r="I598" t="n">
        <v>0</v>
      </c>
      <c r="J598" t="n">
        <v>0</v>
      </c>
      <c r="K598" t="n">
        <v>0</v>
      </c>
      <c r="L598" t="n">
        <v>0</v>
      </c>
      <c r="M598" t="n">
        <v>0</v>
      </c>
      <c r="N598" t="n">
        <v>0</v>
      </c>
      <c r="O598" t="n">
        <v>0</v>
      </c>
      <c r="P598" t="n">
        <v>0</v>
      </c>
      <c r="Q598" t="n">
        <v>0</v>
      </c>
      <c r="R598" s="2" t="inlineStr"/>
    </row>
    <row r="599" ht="15" customHeight="1">
      <c r="A599" t="inlineStr">
        <is>
          <t>A 12450-2025</t>
        </is>
      </c>
      <c r="B599" s="1" t="n">
        <v>45730</v>
      </c>
      <c r="C599" s="1" t="n">
        <v>46076</v>
      </c>
      <c r="D599" t="inlineStr">
        <is>
          <t>JÄMTLANDS LÄN</t>
        </is>
      </c>
      <c r="E599" t="inlineStr">
        <is>
          <t>HÄRJEDALEN</t>
        </is>
      </c>
      <c r="G599" t="n">
        <v>7.6</v>
      </c>
      <c r="H599" t="n">
        <v>0</v>
      </c>
      <c r="I599" t="n">
        <v>0</v>
      </c>
      <c r="J599" t="n">
        <v>0</v>
      </c>
      <c r="K599" t="n">
        <v>0</v>
      </c>
      <c r="L599" t="n">
        <v>0</v>
      </c>
      <c r="M599" t="n">
        <v>0</v>
      </c>
      <c r="N599" t="n">
        <v>0</v>
      </c>
      <c r="O599" t="n">
        <v>0</v>
      </c>
      <c r="P599" t="n">
        <v>0</v>
      </c>
      <c r="Q599" t="n">
        <v>0</v>
      </c>
      <c r="R599" s="2" t="inlineStr"/>
    </row>
    <row r="600" ht="15" customHeight="1">
      <c r="A600" t="inlineStr">
        <is>
          <t>A 17037-2025</t>
        </is>
      </c>
      <c r="B600" s="1" t="n">
        <v>45755</v>
      </c>
      <c r="C600" s="1" t="n">
        <v>46076</v>
      </c>
      <c r="D600" t="inlineStr">
        <is>
          <t>JÄMTLANDS LÄN</t>
        </is>
      </c>
      <c r="E600" t="inlineStr">
        <is>
          <t>HÄRJEDALEN</t>
        </is>
      </c>
      <c r="G600" t="n">
        <v>2.4</v>
      </c>
      <c r="H600" t="n">
        <v>0</v>
      </c>
      <c r="I600" t="n">
        <v>0</v>
      </c>
      <c r="J600" t="n">
        <v>0</v>
      </c>
      <c r="K600" t="n">
        <v>0</v>
      </c>
      <c r="L600" t="n">
        <v>0</v>
      </c>
      <c r="M600" t="n">
        <v>0</v>
      </c>
      <c r="N600" t="n">
        <v>0</v>
      </c>
      <c r="O600" t="n">
        <v>0</v>
      </c>
      <c r="P600" t="n">
        <v>0</v>
      </c>
      <c r="Q600" t="n">
        <v>0</v>
      </c>
      <c r="R600" s="2" t="inlineStr"/>
    </row>
    <row r="601" ht="15" customHeight="1">
      <c r="A601" t="inlineStr">
        <is>
          <t>A 12449-2025</t>
        </is>
      </c>
      <c r="B601" s="1" t="n">
        <v>45730</v>
      </c>
      <c r="C601" s="1" t="n">
        <v>46076</v>
      </c>
      <c r="D601" t="inlineStr">
        <is>
          <t>JÄMTLANDS LÄN</t>
        </is>
      </c>
      <c r="E601" t="inlineStr">
        <is>
          <t>HÄRJEDALEN</t>
        </is>
      </c>
      <c r="G601" t="n">
        <v>10.7</v>
      </c>
      <c r="H601" t="n">
        <v>0</v>
      </c>
      <c r="I601" t="n">
        <v>0</v>
      </c>
      <c r="J601" t="n">
        <v>0</v>
      </c>
      <c r="K601" t="n">
        <v>0</v>
      </c>
      <c r="L601" t="n">
        <v>0</v>
      </c>
      <c r="M601" t="n">
        <v>0</v>
      </c>
      <c r="N601" t="n">
        <v>0</v>
      </c>
      <c r="O601" t="n">
        <v>0</v>
      </c>
      <c r="P601" t="n">
        <v>0</v>
      </c>
      <c r="Q601" t="n">
        <v>0</v>
      </c>
      <c r="R601" s="2" t="inlineStr"/>
    </row>
    <row r="602" ht="15" customHeight="1">
      <c r="A602" t="inlineStr">
        <is>
          <t>A 12017-2025</t>
        </is>
      </c>
      <c r="B602" s="1" t="n">
        <v>45728</v>
      </c>
      <c r="C602" s="1" t="n">
        <v>46076</v>
      </c>
      <c r="D602" t="inlineStr">
        <is>
          <t>JÄMTLANDS LÄN</t>
        </is>
      </c>
      <c r="E602" t="inlineStr">
        <is>
          <t>HÄRJEDALEN</t>
        </is>
      </c>
      <c r="G602" t="n">
        <v>35.4</v>
      </c>
      <c r="H602" t="n">
        <v>0</v>
      </c>
      <c r="I602" t="n">
        <v>0</v>
      </c>
      <c r="J602" t="n">
        <v>0</v>
      </c>
      <c r="K602" t="n">
        <v>0</v>
      </c>
      <c r="L602" t="n">
        <v>0</v>
      </c>
      <c r="M602" t="n">
        <v>0</v>
      </c>
      <c r="N602" t="n">
        <v>0</v>
      </c>
      <c r="O602" t="n">
        <v>0</v>
      </c>
      <c r="P602" t="n">
        <v>0</v>
      </c>
      <c r="Q602" t="n">
        <v>0</v>
      </c>
      <c r="R602" s="2" t="inlineStr"/>
    </row>
    <row r="603" ht="15" customHeight="1">
      <c r="A603" t="inlineStr">
        <is>
          <t>A 13297-2025</t>
        </is>
      </c>
      <c r="B603" s="1" t="n">
        <v>45735.57390046296</v>
      </c>
      <c r="C603" s="1" t="n">
        <v>46076</v>
      </c>
      <c r="D603" t="inlineStr">
        <is>
          <t>JÄMTLANDS LÄN</t>
        </is>
      </c>
      <c r="E603" t="inlineStr">
        <is>
          <t>HÄRJEDALEN</t>
        </is>
      </c>
      <c r="G603" t="n">
        <v>24.7</v>
      </c>
      <c r="H603" t="n">
        <v>0</v>
      </c>
      <c r="I603" t="n">
        <v>0</v>
      </c>
      <c r="J603" t="n">
        <v>0</v>
      </c>
      <c r="K603" t="n">
        <v>0</v>
      </c>
      <c r="L603" t="n">
        <v>0</v>
      </c>
      <c r="M603" t="n">
        <v>0</v>
      </c>
      <c r="N603" t="n">
        <v>0</v>
      </c>
      <c r="O603" t="n">
        <v>0</v>
      </c>
      <c r="P603" t="n">
        <v>0</v>
      </c>
      <c r="Q603" t="n">
        <v>0</v>
      </c>
      <c r="R603" s="2" t="inlineStr"/>
    </row>
    <row r="604" ht="15" customHeight="1">
      <c r="A604" t="inlineStr">
        <is>
          <t>A 36241-2025</t>
        </is>
      </c>
      <c r="B604" s="1" t="n">
        <v>45867.55305555555</v>
      </c>
      <c r="C604" s="1" t="n">
        <v>46076</v>
      </c>
      <c r="D604" t="inlineStr">
        <is>
          <t>JÄMTLANDS LÄN</t>
        </is>
      </c>
      <c r="E604" t="inlineStr">
        <is>
          <t>HÄRJEDALEN</t>
        </is>
      </c>
      <c r="G604" t="n">
        <v>1.1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46076</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46076</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46429-2025</t>
        </is>
      </c>
      <c r="B607" s="1" t="n">
        <v>45925.6144212963</v>
      </c>
      <c r="C607" s="1" t="n">
        <v>46076</v>
      </c>
      <c r="D607" t="inlineStr">
        <is>
          <t>JÄMTLANDS LÄN</t>
        </is>
      </c>
      <c r="E607" t="inlineStr">
        <is>
          <t>HÄRJEDALEN</t>
        </is>
      </c>
      <c r="F607" t="inlineStr">
        <is>
          <t>Bergvik skog öst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36066-2025</t>
        </is>
      </c>
      <c r="B608" s="1" t="n">
        <v>45866.40701388889</v>
      </c>
      <c r="C608" s="1" t="n">
        <v>46076</v>
      </c>
      <c r="D608" t="inlineStr">
        <is>
          <t>JÄMTLANDS LÄN</t>
        </is>
      </c>
      <c r="E608" t="inlineStr">
        <is>
          <t>HÄRJEDALEN</t>
        </is>
      </c>
      <c r="G608" t="n">
        <v>21.8</v>
      </c>
      <c r="H608" t="n">
        <v>0</v>
      </c>
      <c r="I608" t="n">
        <v>0</v>
      </c>
      <c r="J608" t="n">
        <v>0</v>
      </c>
      <c r="K608" t="n">
        <v>0</v>
      </c>
      <c r="L608" t="n">
        <v>0</v>
      </c>
      <c r="M608" t="n">
        <v>0</v>
      </c>
      <c r="N608" t="n">
        <v>0</v>
      </c>
      <c r="O608" t="n">
        <v>0</v>
      </c>
      <c r="P608" t="n">
        <v>0</v>
      </c>
      <c r="Q608" t="n">
        <v>0</v>
      </c>
      <c r="R608" s="2" t="inlineStr"/>
    </row>
    <row r="609" ht="15" customHeight="1">
      <c r="A609" t="inlineStr">
        <is>
          <t>A 36133-2025</t>
        </is>
      </c>
      <c r="B609" s="1" t="n">
        <v>45866.62908564815</v>
      </c>
      <c r="C609" s="1" t="n">
        <v>46076</v>
      </c>
      <c r="D609" t="inlineStr">
        <is>
          <t>JÄMTLANDS LÄN</t>
        </is>
      </c>
      <c r="E609" t="inlineStr">
        <is>
          <t>HÄRJEDALEN</t>
        </is>
      </c>
      <c r="G609" t="n">
        <v>1.5</v>
      </c>
      <c r="H609" t="n">
        <v>0</v>
      </c>
      <c r="I609" t="n">
        <v>0</v>
      </c>
      <c r="J609" t="n">
        <v>0</v>
      </c>
      <c r="K609" t="n">
        <v>0</v>
      </c>
      <c r="L609" t="n">
        <v>0</v>
      </c>
      <c r="M609" t="n">
        <v>0</v>
      </c>
      <c r="N609" t="n">
        <v>0</v>
      </c>
      <c r="O609" t="n">
        <v>0</v>
      </c>
      <c r="P609" t="n">
        <v>0</v>
      </c>
      <c r="Q609" t="n">
        <v>0</v>
      </c>
      <c r="R609" s="2" t="inlineStr"/>
    </row>
    <row r="610" ht="15" customHeight="1">
      <c r="A610" t="inlineStr">
        <is>
          <t>A 6756-2024</t>
        </is>
      </c>
      <c r="B610" s="1" t="n">
        <v>45342</v>
      </c>
      <c r="C610" s="1" t="n">
        <v>46076</v>
      </c>
      <c r="D610" t="inlineStr">
        <is>
          <t>JÄMTLANDS LÄN</t>
        </is>
      </c>
      <c r="E610" t="inlineStr">
        <is>
          <t>HÄRJEDALEN</t>
        </is>
      </c>
      <c r="G610" t="n">
        <v>5.7</v>
      </c>
      <c r="H610" t="n">
        <v>0</v>
      </c>
      <c r="I610" t="n">
        <v>0</v>
      </c>
      <c r="J610" t="n">
        <v>0</v>
      </c>
      <c r="K610" t="n">
        <v>0</v>
      </c>
      <c r="L610" t="n">
        <v>0</v>
      </c>
      <c r="M610" t="n">
        <v>0</v>
      </c>
      <c r="N610" t="n">
        <v>0</v>
      </c>
      <c r="O610" t="n">
        <v>0</v>
      </c>
      <c r="P610" t="n">
        <v>0</v>
      </c>
      <c r="Q610" t="n">
        <v>0</v>
      </c>
      <c r="R610" s="2" t="inlineStr"/>
    </row>
    <row r="611" ht="15" customHeight="1">
      <c r="A611" t="inlineStr">
        <is>
          <t>A 47021-2025</t>
        </is>
      </c>
      <c r="B611" s="1" t="n">
        <v>45929.57756944445</v>
      </c>
      <c r="C611" s="1" t="n">
        <v>46076</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36399-2025</t>
        </is>
      </c>
      <c r="B612" s="1" t="n">
        <v>45868.639375</v>
      </c>
      <c r="C612" s="1" t="n">
        <v>46076</v>
      </c>
      <c r="D612" t="inlineStr">
        <is>
          <t>JÄMTLANDS LÄN</t>
        </is>
      </c>
      <c r="E612" t="inlineStr">
        <is>
          <t>HÄRJEDALEN</t>
        </is>
      </c>
      <c r="G612" t="n">
        <v>4.8</v>
      </c>
      <c r="H612" t="n">
        <v>0</v>
      </c>
      <c r="I612" t="n">
        <v>0</v>
      </c>
      <c r="J612" t="n">
        <v>0</v>
      </c>
      <c r="K612" t="n">
        <v>0</v>
      </c>
      <c r="L612" t="n">
        <v>0</v>
      </c>
      <c r="M612" t="n">
        <v>0</v>
      </c>
      <c r="N612" t="n">
        <v>0</v>
      </c>
      <c r="O612" t="n">
        <v>0</v>
      </c>
      <c r="P612" t="n">
        <v>0</v>
      </c>
      <c r="Q612" t="n">
        <v>0</v>
      </c>
      <c r="R612" s="2" t="inlineStr"/>
    </row>
    <row r="613" ht="15" customHeight="1">
      <c r="A613" t="inlineStr">
        <is>
          <t>A 39820-2022</t>
        </is>
      </c>
      <c r="B613" s="1" t="n">
        <v>44819.56722222222</v>
      </c>
      <c r="C613" s="1" t="n">
        <v>46076</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36777-2025</t>
        </is>
      </c>
      <c r="B614" s="1" t="n">
        <v>45873.59511574074</v>
      </c>
      <c r="C614" s="1" t="n">
        <v>46076</v>
      </c>
      <c r="D614" t="inlineStr">
        <is>
          <t>JÄMTLANDS LÄN</t>
        </is>
      </c>
      <c r="E614" t="inlineStr">
        <is>
          <t>HÄRJEDALEN</t>
        </is>
      </c>
      <c r="F614" t="inlineStr">
        <is>
          <t>Bergvik skog väst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59462-2024</t>
        </is>
      </c>
      <c r="B615" s="1" t="n">
        <v>45638</v>
      </c>
      <c r="C615" s="1" t="n">
        <v>46076</v>
      </c>
      <c r="D615" t="inlineStr">
        <is>
          <t>JÄMTLANDS LÄN</t>
        </is>
      </c>
      <c r="E615" t="inlineStr">
        <is>
          <t>HÄRJEDALEN</t>
        </is>
      </c>
      <c r="F615" t="inlineStr">
        <is>
          <t>Holmen skog AB</t>
        </is>
      </c>
      <c r="G615" t="n">
        <v>9.6</v>
      </c>
      <c r="H615" t="n">
        <v>0</v>
      </c>
      <c r="I615" t="n">
        <v>0</v>
      </c>
      <c r="J615" t="n">
        <v>0</v>
      </c>
      <c r="K615" t="n">
        <v>0</v>
      </c>
      <c r="L615" t="n">
        <v>0</v>
      </c>
      <c r="M615" t="n">
        <v>0</v>
      </c>
      <c r="N615" t="n">
        <v>0</v>
      </c>
      <c r="O615" t="n">
        <v>0</v>
      </c>
      <c r="P615" t="n">
        <v>0</v>
      </c>
      <c r="Q615" t="n">
        <v>0</v>
      </c>
      <c r="R615" s="2" t="inlineStr"/>
    </row>
    <row r="616" ht="15" customHeight="1">
      <c r="A616" t="inlineStr">
        <is>
          <t>A 46681-2025</t>
        </is>
      </c>
      <c r="B616" s="1" t="n">
        <v>45926.54697916667</v>
      </c>
      <c r="C616" s="1" t="n">
        <v>46076</v>
      </c>
      <c r="D616" t="inlineStr">
        <is>
          <t>JÄMTLANDS LÄN</t>
        </is>
      </c>
      <c r="E616" t="inlineStr">
        <is>
          <t>HÄRJEDALEN</t>
        </is>
      </c>
      <c r="G616" t="n">
        <v>6.4</v>
      </c>
      <c r="H616" t="n">
        <v>0</v>
      </c>
      <c r="I616" t="n">
        <v>0</v>
      </c>
      <c r="J616" t="n">
        <v>0</v>
      </c>
      <c r="K616" t="n">
        <v>0</v>
      </c>
      <c r="L616" t="n">
        <v>0</v>
      </c>
      <c r="M616" t="n">
        <v>0</v>
      </c>
      <c r="N616" t="n">
        <v>0</v>
      </c>
      <c r="O616" t="n">
        <v>0</v>
      </c>
      <c r="P616" t="n">
        <v>0</v>
      </c>
      <c r="Q616" t="n">
        <v>0</v>
      </c>
      <c r="R616" s="2" t="inlineStr"/>
    </row>
    <row r="617" ht="15" customHeight="1">
      <c r="A617" t="inlineStr">
        <is>
          <t>A 46716-2025</t>
        </is>
      </c>
      <c r="B617" s="1" t="n">
        <v>45926.57876157408</v>
      </c>
      <c r="C617" s="1" t="n">
        <v>46076</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25893-2024</t>
        </is>
      </c>
      <c r="B618" s="1" t="n">
        <v>45467</v>
      </c>
      <c r="C618" s="1" t="n">
        <v>46076</v>
      </c>
      <c r="D618" t="inlineStr">
        <is>
          <t>JÄMTLANDS LÄN</t>
        </is>
      </c>
      <c r="E618" t="inlineStr">
        <is>
          <t>HÄRJEDALEN</t>
        </is>
      </c>
      <c r="G618" t="n">
        <v>12.8</v>
      </c>
      <c r="H618" t="n">
        <v>0</v>
      </c>
      <c r="I618" t="n">
        <v>0</v>
      </c>
      <c r="J618" t="n">
        <v>0</v>
      </c>
      <c r="K618" t="n">
        <v>0</v>
      </c>
      <c r="L618" t="n">
        <v>0</v>
      </c>
      <c r="M618" t="n">
        <v>0</v>
      </c>
      <c r="N618" t="n">
        <v>0</v>
      </c>
      <c r="O618" t="n">
        <v>0</v>
      </c>
      <c r="P618" t="n">
        <v>0</v>
      </c>
      <c r="Q618" t="n">
        <v>0</v>
      </c>
      <c r="R618" s="2" t="inlineStr"/>
    </row>
    <row r="619" ht="15" customHeight="1">
      <c r="A619" t="inlineStr">
        <is>
          <t>A 60006-2024</t>
        </is>
      </c>
      <c r="B619" s="1" t="n">
        <v>45642.41907407407</v>
      </c>
      <c r="C619" s="1" t="n">
        <v>46076</v>
      </c>
      <c r="D619" t="inlineStr">
        <is>
          <t>JÄMTLANDS LÄN</t>
        </is>
      </c>
      <c r="E619" t="inlineStr">
        <is>
          <t>HÄRJEDALEN</t>
        </is>
      </c>
      <c r="G619" t="n">
        <v>7.3</v>
      </c>
      <c r="H619" t="n">
        <v>0</v>
      </c>
      <c r="I619" t="n">
        <v>0</v>
      </c>
      <c r="J619" t="n">
        <v>0</v>
      </c>
      <c r="K619" t="n">
        <v>0</v>
      </c>
      <c r="L619" t="n">
        <v>0</v>
      </c>
      <c r="M619" t="n">
        <v>0</v>
      </c>
      <c r="N619" t="n">
        <v>0</v>
      </c>
      <c r="O619" t="n">
        <v>0</v>
      </c>
      <c r="P619" t="n">
        <v>0</v>
      </c>
      <c r="Q619" t="n">
        <v>0</v>
      </c>
      <c r="R619" s="2" t="inlineStr"/>
    </row>
    <row r="620" ht="15" customHeight="1">
      <c r="A620" t="inlineStr">
        <is>
          <t>A 46946-2025</t>
        </is>
      </c>
      <c r="B620" s="1" t="n">
        <v>45929.4609837963</v>
      </c>
      <c r="C620" s="1" t="n">
        <v>46076</v>
      </c>
      <c r="D620" t="inlineStr">
        <is>
          <t>JÄMTLANDS LÄN</t>
        </is>
      </c>
      <c r="E620" t="inlineStr">
        <is>
          <t>HÄRJEDALEN</t>
        </is>
      </c>
      <c r="F620" t="inlineStr">
        <is>
          <t>Bergvik skog öst AB</t>
        </is>
      </c>
      <c r="G620" t="n">
        <v>10.5</v>
      </c>
      <c r="H620" t="n">
        <v>0</v>
      </c>
      <c r="I620" t="n">
        <v>0</v>
      </c>
      <c r="J620" t="n">
        <v>0</v>
      </c>
      <c r="K620" t="n">
        <v>0</v>
      </c>
      <c r="L620" t="n">
        <v>0</v>
      </c>
      <c r="M620" t="n">
        <v>0</v>
      </c>
      <c r="N620" t="n">
        <v>0</v>
      </c>
      <c r="O620" t="n">
        <v>0</v>
      </c>
      <c r="P620" t="n">
        <v>0</v>
      </c>
      <c r="Q620" t="n">
        <v>0</v>
      </c>
      <c r="R620" s="2" t="inlineStr"/>
    </row>
    <row r="621" ht="15" customHeight="1">
      <c r="A621" t="inlineStr">
        <is>
          <t>A 58866-2023</t>
        </is>
      </c>
      <c r="B621" s="1" t="n">
        <v>45252.45481481482</v>
      </c>
      <c r="C621" s="1" t="n">
        <v>46076</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58890-2023</t>
        </is>
      </c>
      <c r="B622" s="1" t="n">
        <v>45252.48409722222</v>
      </c>
      <c r="C622" s="1" t="n">
        <v>46076</v>
      </c>
      <c r="D622" t="inlineStr">
        <is>
          <t>JÄMTLANDS LÄN</t>
        </is>
      </c>
      <c r="E622" t="inlineStr">
        <is>
          <t>HÄRJEDALEN</t>
        </is>
      </c>
      <c r="G622" t="n">
        <v>15.2</v>
      </c>
      <c r="H622" t="n">
        <v>0</v>
      </c>
      <c r="I622" t="n">
        <v>0</v>
      </c>
      <c r="J622" t="n">
        <v>0</v>
      </c>
      <c r="K622" t="n">
        <v>0</v>
      </c>
      <c r="L622" t="n">
        <v>0</v>
      </c>
      <c r="M622" t="n">
        <v>0</v>
      </c>
      <c r="N622" t="n">
        <v>0</v>
      </c>
      <c r="O622" t="n">
        <v>0</v>
      </c>
      <c r="P622" t="n">
        <v>0</v>
      </c>
      <c r="Q622" t="n">
        <v>0</v>
      </c>
      <c r="R622" s="2" t="inlineStr"/>
    </row>
    <row r="623" ht="15" customHeight="1">
      <c r="A623" t="inlineStr">
        <is>
          <t>A 47503-2025</t>
        </is>
      </c>
      <c r="B623" s="1" t="n">
        <v>45930.85418981482</v>
      </c>
      <c r="C623" s="1" t="n">
        <v>46076</v>
      </c>
      <c r="D623" t="inlineStr">
        <is>
          <t>JÄMTLANDS LÄN</t>
        </is>
      </c>
      <c r="E623" t="inlineStr">
        <is>
          <t>HÄRJEDALEN</t>
        </is>
      </c>
      <c r="G623" t="n">
        <v>1</v>
      </c>
      <c r="H623" t="n">
        <v>0</v>
      </c>
      <c r="I623" t="n">
        <v>0</v>
      </c>
      <c r="J623" t="n">
        <v>0</v>
      </c>
      <c r="K623" t="n">
        <v>0</v>
      </c>
      <c r="L623" t="n">
        <v>0</v>
      </c>
      <c r="M623" t="n">
        <v>0</v>
      </c>
      <c r="N623" t="n">
        <v>0</v>
      </c>
      <c r="O623" t="n">
        <v>0</v>
      </c>
      <c r="P623" t="n">
        <v>0</v>
      </c>
      <c r="Q623" t="n">
        <v>0</v>
      </c>
      <c r="R623" s="2" t="inlineStr"/>
    </row>
    <row r="624" ht="15" customHeight="1">
      <c r="A624" t="inlineStr">
        <is>
          <t>A 47236-2025</t>
        </is>
      </c>
      <c r="B624" s="1" t="n">
        <v>45930</v>
      </c>
      <c r="C624" s="1" t="n">
        <v>46076</v>
      </c>
      <c r="D624" t="inlineStr">
        <is>
          <t>JÄMTLANDS LÄN</t>
        </is>
      </c>
      <c r="E624" t="inlineStr">
        <is>
          <t>HÄRJEDALEN</t>
        </is>
      </c>
      <c r="G624" t="n">
        <v>5.3</v>
      </c>
      <c r="H624" t="n">
        <v>0</v>
      </c>
      <c r="I624" t="n">
        <v>0</v>
      </c>
      <c r="J624" t="n">
        <v>0</v>
      </c>
      <c r="K624" t="n">
        <v>0</v>
      </c>
      <c r="L624" t="n">
        <v>0</v>
      </c>
      <c r="M624" t="n">
        <v>0</v>
      </c>
      <c r="N624" t="n">
        <v>0</v>
      </c>
      <c r="O624" t="n">
        <v>0</v>
      </c>
      <c r="P624" t="n">
        <v>0</v>
      </c>
      <c r="Q624" t="n">
        <v>0</v>
      </c>
      <c r="R624" s="2" t="inlineStr"/>
    </row>
    <row r="625" ht="15" customHeight="1">
      <c r="A625" t="inlineStr">
        <is>
          <t>A 47232-2025</t>
        </is>
      </c>
      <c r="B625" s="1" t="n">
        <v>45930</v>
      </c>
      <c r="C625" s="1" t="n">
        <v>46076</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47727-2025</t>
        </is>
      </c>
      <c r="B626" s="1" t="n">
        <v>45931.63174768518</v>
      </c>
      <c r="C626" s="1" t="n">
        <v>46076</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44632-2025</t>
        </is>
      </c>
      <c r="B627" s="1" t="n">
        <v>45917</v>
      </c>
      <c r="C627" s="1" t="n">
        <v>46076</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47314-2025</t>
        </is>
      </c>
      <c r="B628" s="1" t="n">
        <v>45930.54700231482</v>
      </c>
      <c r="C628" s="1" t="n">
        <v>46076</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47701-2025</t>
        </is>
      </c>
      <c r="B629" s="1" t="n">
        <v>45931.60657407407</v>
      </c>
      <c r="C629" s="1" t="n">
        <v>46076</v>
      </c>
      <c r="D629" t="inlineStr">
        <is>
          <t>JÄMTLANDS LÄN</t>
        </is>
      </c>
      <c r="E629" t="inlineStr">
        <is>
          <t>HÄRJEDALEN</t>
        </is>
      </c>
      <c r="G629" t="n">
        <v>17.2</v>
      </c>
      <c r="H629" t="n">
        <v>0</v>
      </c>
      <c r="I629" t="n">
        <v>0</v>
      </c>
      <c r="J629" t="n">
        <v>0</v>
      </c>
      <c r="K629" t="n">
        <v>0</v>
      </c>
      <c r="L629" t="n">
        <v>0</v>
      </c>
      <c r="M629" t="n">
        <v>0</v>
      </c>
      <c r="N629" t="n">
        <v>0</v>
      </c>
      <c r="O629" t="n">
        <v>0</v>
      </c>
      <c r="P629" t="n">
        <v>0</v>
      </c>
      <c r="Q629" t="n">
        <v>0</v>
      </c>
      <c r="R629" s="2" t="inlineStr"/>
    </row>
    <row r="630" ht="15" customHeight="1">
      <c r="A630" t="inlineStr">
        <is>
          <t>A 47699-2025</t>
        </is>
      </c>
      <c r="B630" s="1" t="n">
        <v>45931.60063657408</v>
      </c>
      <c r="C630" s="1" t="n">
        <v>46076</v>
      </c>
      <c r="D630" t="inlineStr">
        <is>
          <t>JÄMTLANDS LÄN</t>
        </is>
      </c>
      <c r="E630" t="inlineStr">
        <is>
          <t>HÄRJEDALEN</t>
        </is>
      </c>
      <c r="G630" t="n">
        <v>11.5</v>
      </c>
      <c r="H630" t="n">
        <v>0</v>
      </c>
      <c r="I630" t="n">
        <v>0</v>
      </c>
      <c r="J630" t="n">
        <v>0</v>
      </c>
      <c r="K630" t="n">
        <v>0</v>
      </c>
      <c r="L630" t="n">
        <v>0</v>
      </c>
      <c r="M630" t="n">
        <v>0</v>
      </c>
      <c r="N630" t="n">
        <v>0</v>
      </c>
      <c r="O630" t="n">
        <v>0</v>
      </c>
      <c r="P630" t="n">
        <v>0</v>
      </c>
      <c r="Q630" t="n">
        <v>0</v>
      </c>
      <c r="R630" s="2" t="inlineStr"/>
    </row>
    <row r="631" ht="15" customHeight="1">
      <c r="A631" t="inlineStr">
        <is>
          <t>A 36978-2025</t>
        </is>
      </c>
      <c r="B631" s="1" t="n">
        <v>45874.64513888889</v>
      </c>
      <c r="C631" s="1" t="n">
        <v>46076</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47501-2025</t>
        </is>
      </c>
      <c r="B632" s="1" t="n">
        <v>45930.85032407408</v>
      </c>
      <c r="C632" s="1" t="n">
        <v>46076</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37106-2025</t>
        </is>
      </c>
      <c r="B633" s="1" t="n">
        <v>45875.47854166666</v>
      </c>
      <c r="C633" s="1" t="n">
        <v>46076</v>
      </c>
      <c r="D633" t="inlineStr">
        <is>
          <t>JÄMTLANDS LÄN</t>
        </is>
      </c>
      <c r="E633" t="inlineStr">
        <is>
          <t>HÄRJEDALEN</t>
        </is>
      </c>
      <c r="F633" t="inlineStr">
        <is>
          <t>Holmen skog AB</t>
        </is>
      </c>
      <c r="G633" t="n">
        <v>4.3</v>
      </c>
      <c r="H633" t="n">
        <v>0</v>
      </c>
      <c r="I633" t="n">
        <v>0</v>
      </c>
      <c r="J633" t="n">
        <v>0</v>
      </c>
      <c r="K633" t="n">
        <v>0</v>
      </c>
      <c r="L633" t="n">
        <v>0</v>
      </c>
      <c r="M633" t="n">
        <v>0</v>
      </c>
      <c r="N633" t="n">
        <v>0</v>
      </c>
      <c r="O633" t="n">
        <v>0</v>
      </c>
      <c r="P633" t="n">
        <v>0</v>
      </c>
      <c r="Q633" t="n">
        <v>0</v>
      </c>
      <c r="R633" s="2" t="inlineStr"/>
    </row>
    <row r="634" ht="15" customHeight="1">
      <c r="A634" t="inlineStr">
        <is>
          <t>A 37122-2025</t>
        </is>
      </c>
      <c r="B634" s="1" t="n">
        <v>45875.5196875</v>
      </c>
      <c r="C634" s="1" t="n">
        <v>46076</v>
      </c>
      <c r="D634" t="inlineStr">
        <is>
          <t>JÄMTLANDS LÄN</t>
        </is>
      </c>
      <c r="E634" t="inlineStr">
        <is>
          <t>HÄRJEDALEN</t>
        </is>
      </c>
      <c r="G634" t="n">
        <v>6.9</v>
      </c>
      <c r="H634" t="n">
        <v>0</v>
      </c>
      <c r="I634" t="n">
        <v>0</v>
      </c>
      <c r="J634" t="n">
        <v>0</v>
      </c>
      <c r="K634" t="n">
        <v>0</v>
      </c>
      <c r="L634" t="n">
        <v>0</v>
      </c>
      <c r="M634" t="n">
        <v>0</v>
      </c>
      <c r="N634" t="n">
        <v>0</v>
      </c>
      <c r="O634" t="n">
        <v>0</v>
      </c>
      <c r="P634" t="n">
        <v>0</v>
      </c>
      <c r="Q634" t="n">
        <v>0</v>
      </c>
      <c r="R634" s="2" t="inlineStr"/>
    </row>
    <row r="635" ht="15" customHeight="1">
      <c r="A635" t="inlineStr">
        <is>
          <t>A 36976-2025</t>
        </is>
      </c>
      <c r="B635" s="1" t="n">
        <v>45874.64199074074</v>
      </c>
      <c r="C635" s="1" t="n">
        <v>46076</v>
      </c>
      <c r="D635" t="inlineStr">
        <is>
          <t>JÄMTLANDS LÄN</t>
        </is>
      </c>
      <c r="E635" t="inlineStr">
        <is>
          <t>HÄRJEDALEN</t>
        </is>
      </c>
      <c r="G635" t="n">
        <v>1.3</v>
      </c>
      <c r="H635" t="n">
        <v>0</v>
      </c>
      <c r="I635" t="n">
        <v>0</v>
      </c>
      <c r="J635" t="n">
        <v>0</v>
      </c>
      <c r="K635" t="n">
        <v>0</v>
      </c>
      <c r="L635" t="n">
        <v>0</v>
      </c>
      <c r="M635" t="n">
        <v>0</v>
      </c>
      <c r="N635" t="n">
        <v>0</v>
      </c>
      <c r="O635" t="n">
        <v>0</v>
      </c>
      <c r="P635" t="n">
        <v>0</v>
      </c>
      <c r="Q635" t="n">
        <v>0</v>
      </c>
      <c r="R635" s="2" t="inlineStr"/>
    </row>
    <row r="636" ht="15" customHeight="1">
      <c r="A636" t="inlineStr">
        <is>
          <t>A 48284-2025</t>
        </is>
      </c>
      <c r="B636" s="1" t="n">
        <v>45933</v>
      </c>
      <c r="C636" s="1" t="n">
        <v>46076</v>
      </c>
      <c r="D636" t="inlineStr">
        <is>
          <t>JÄMTLANDS LÄN</t>
        </is>
      </c>
      <c r="E636" t="inlineStr">
        <is>
          <t>HÄRJEDALEN</t>
        </is>
      </c>
      <c r="G636" t="n">
        <v>6.3</v>
      </c>
      <c r="H636" t="n">
        <v>0</v>
      </c>
      <c r="I636" t="n">
        <v>0</v>
      </c>
      <c r="J636" t="n">
        <v>0</v>
      </c>
      <c r="K636" t="n">
        <v>0</v>
      </c>
      <c r="L636" t="n">
        <v>0</v>
      </c>
      <c r="M636" t="n">
        <v>0</v>
      </c>
      <c r="N636" t="n">
        <v>0</v>
      </c>
      <c r="O636" t="n">
        <v>0</v>
      </c>
      <c r="P636" t="n">
        <v>0</v>
      </c>
      <c r="Q636" t="n">
        <v>0</v>
      </c>
      <c r="R636" s="2" t="inlineStr"/>
    </row>
    <row r="637" ht="15" customHeight="1">
      <c r="A637" t="inlineStr">
        <is>
          <t>A 52798-2024</t>
        </is>
      </c>
      <c r="B637" s="1" t="n">
        <v>45610.56706018518</v>
      </c>
      <c r="C637" s="1" t="n">
        <v>46076</v>
      </c>
      <c r="D637" t="inlineStr">
        <is>
          <t>JÄMTLANDS LÄN</t>
        </is>
      </c>
      <c r="E637" t="inlineStr">
        <is>
          <t>HÄRJEDALEN</t>
        </is>
      </c>
      <c r="F637" t="inlineStr">
        <is>
          <t>Holmen skog AB</t>
        </is>
      </c>
      <c r="G637" t="n">
        <v>2.8</v>
      </c>
      <c r="H637" t="n">
        <v>0</v>
      </c>
      <c r="I637" t="n">
        <v>0</v>
      </c>
      <c r="J637" t="n">
        <v>0</v>
      </c>
      <c r="K637" t="n">
        <v>0</v>
      </c>
      <c r="L637" t="n">
        <v>0</v>
      </c>
      <c r="M637" t="n">
        <v>0</v>
      </c>
      <c r="N637" t="n">
        <v>0</v>
      </c>
      <c r="O637" t="n">
        <v>0</v>
      </c>
      <c r="P637" t="n">
        <v>0</v>
      </c>
      <c r="Q637" t="n">
        <v>0</v>
      </c>
      <c r="R637" s="2" t="inlineStr"/>
    </row>
    <row r="638" ht="15" customHeight="1">
      <c r="A638" t="inlineStr">
        <is>
          <t>A 24964-2023</t>
        </is>
      </c>
      <c r="B638" s="1" t="n">
        <v>45085</v>
      </c>
      <c r="C638" s="1" t="n">
        <v>46076</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37244-2025</t>
        </is>
      </c>
      <c r="B639" s="1" t="n">
        <v>45876.39362268519</v>
      </c>
      <c r="C639" s="1" t="n">
        <v>46076</v>
      </c>
      <c r="D639" t="inlineStr">
        <is>
          <t>JÄMTLANDS LÄN</t>
        </is>
      </c>
      <c r="E639" t="inlineStr">
        <is>
          <t>HÄRJEDALEN</t>
        </is>
      </c>
      <c r="F639" t="inlineStr">
        <is>
          <t>Bergvik skog väst AB</t>
        </is>
      </c>
      <c r="G639" t="n">
        <v>14.4</v>
      </c>
      <c r="H639" t="n">
        <v>0</v>
      </c>
      <c r="I639" t="n">
        <v>0</v>
      </c>
      <c r="J639" t="n">
        <v>0</v>
      </c>
      <c r="K639" t="n">
        <v>0</v>
      </c>
      <c r="L639" t="n">
        <v>0</v>
      </c>
      <c r="M639" t="n">
        <v>0</v>
      </c>
      <c r="N639" t="n">
        <v>0</v>
      </c>
      <c r="O639" t="n">
        <v>0</v>
      </c>
      <c r="P639" t="n">
        <v>0</v>
      </c>
      <c r="Q639" t="n">
        <v>0</v>
      </c>
      <c r="R639" s="2" t="inlineStr"/>
    </row>
    <row r="640" ht="15" customHeight="1">
      <c r="A640" t="inlineStr">
        <is>
          <t>A 29602-2024</t>
        </is>
      </c>
      <c r="B640" s="1" t="n">
        <v>45484</v>
      </c>
      <c r="C640" s="1" t="n">
        <v>46076</v>
      </c>
      <c r="D640" t="inlineStr">
        <is>
          <t>JÄMTLANDS LÄN</t>
        </is>
      </c>
      <c r="E640" t="inlineStr">
        <is>
          <t>HÄRJEDALEN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37281-2025</t>
        </is>
      </c>
      <c r="B641" s="1" t="n">
        <v>45876.49113425926</v>
      </c>
      <c r="C641" s="1" t="n">
        <v>46076</v>
      </c>
      <c r="D641" t="inlineStr">
        <is>
          <t>JÄMTLANDS LÄN</t>
        </is>
      </c>
      <c r="E641" t="inlineStr">
        <is>
          <t>HÄRJEDALEN</t>
        </is>
      </c>
      <c r="G641" t="n">
        <v>2.6</v>
      </c>
      <c r="H641" t="n">
        <v>0</v>
      </c>
      <c r="I641" t="n">
        <v>0</v>
      </c>
      <c r="J641" t="n">
        <v>0</v>
      </c>
      <c r="K641" t="n">
        <v>0</v>
      </c>
      <c r="L641" t="n">
        <v>0</v>
      </c>
      <c r="M641" t="n">
        <v>0</v>
      </c>
      <c r="N641" t="n">
        <v>0</v>
      </c>
      <c r="O641" t="n">
        <v>0</v>
      </c>
      <c r="P641" t="n">
        <v>0</v>
      </c>
      <c r="Q641" t="n">
        <v>0</v>
      </c>
      <c r="R641" s="2" t="inlineStr"/>
    </row>
    <row r="642" ht="15" customHeight="1">
      <c r="A642" t="inlineStr">
        <is>
          <t>A 48243-2025</t>
        </is>
      </c>
      <c r="B642" s="1" t="n">
        <v>45933.53942129629</v>
      </c>
      <c r="C642" s="1" t="n">
        <v>46076</v>
      </c>
      <c r="D642" t="inlineStr">
        <is>
          <t>JÄMTLANDS LÄN</t>
        </is>
      </c>
      <c r="E642" t="inlineStr">
        <is>
          <t>HÄRJEDALEN</t>
        </is>
      </c>
      <c r="G642" t="n">
        <v>10.6</v>
      </c>
      <c r="H642" t="n">
        <v>0</v>
      </c>
      <c r="I642" t="n">
        <v>0</v>
      </c>
      <c r="J642" t="n">
        <v>0</v>
      </c>
      <c r="K642" t="n">
        <v>0</v>
      </c>
      <c r="L642" t="n">
        <v>0</v>
      </c>
      <c r="M642" t="n">
        <v>0</v>
      </c>
      <c r="N642" t="n">
        <v>0</v>
      </c>
      <c r="O642" t="n">
        <v>0</v>
      </c>
      <c r="P642" t="n">
        <v>0</v>
      </c>
      <c r="Q642" t="n">
        <v>0</v>
      </c>
      <c r="R642" s="2" t="inlineStr"/>
    </row>
    <row r="643" ht="15" customHeight="1">
      <c r="A643" t="inlineStr">
        <is>
          <t>A 10024-2025</t>
        </is>
      </c>
      <c r="B643" s="1" t="n">
        <v>45719.48778935185</v>
      </c>
      <c r="C643" s="1" t="n">
        <v>46076</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46693-2025</t>
        </is>
      </c>
      <c r="B644" s="1" t="n">
        <v>45926</v>
      </c>
      <c r="C644" s="1" t="n">
        <v>46076</v>
      </c>
      <c r="D644" t="inlineStr">
        <is>
          <t>JÄMTLANDS LÄN</t>
        </is>
      </c>
      <c r="E644" t="inlineStr">
        <is>
          <t>HÄRJEDALEN</t>
        </is>
      </c>
      <c r="G644" t="n">
        <v>4.9</v>
      </c>
      <c r="H644" t="n">
        <v>0</v>
      </c>
      <c r="I644" t="n">
        <v>0</v>
      </c>
      <c r="J644" t="n">
        <v>0</v>
      </c>
      <c r="K644" t="n">
        <v>0</v>
      </c>
      <c r="L644" t="n">
        <v>0</v>
      </c>
      <c r="M644" t="n">
        <v>0</v>
      </c>
      <c r="N644" t="n">
        <v>0</v>
      </c>
      <c r="O644" t="n">
        <v>0</v>
      </c>
      <c r="P644" t="n">
        <v>0</v>
      </c>
      <c r="Q644" t="n">
        <v>0</v>
      </c>
      <c r="R644" s="2" t="inlineStr"/>
    </row>
    <row r="645" ht="15" customHeight="1">
      <c r="A645" t="inlineStr">
        <is>
          <t>A 47244-2023</t>
        </is>
      </c>
      <c r="B645" s="1" t="n">
        <v>45202</v>
      </c>
      <c r="C645" s="1" t="n">
        <v>46076</v>
      </c>
      <c r="D645" t="inlineStr">
        <is>
          <t>JÄMTLANDS LÄN</t>
        </is>
      </c>
      <c r="E645" t="inlineStr">
        <is>
          <t>HÄRJEDALEN</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61140-2024</t>
        </is>
      </c>
      <c r="B646" s="1" t="n">
        <v>45644</v>
      </c>
      <c r="C646" s="1" t="n">
        <v>46076</v>
      </c>
      <c r="D646" t="inlineStr">
        <is>
          <t>JÄMTLANDS LÄN</t>
        </is>
      </c>
      <c r="E646" t="inlineStr">
        <is>
          <t>HÄRJEDALEN</t>
        </is>
      </c>
      <c r="G646" t="n">
        <v>29.7</v>
      </c>
      <c r="H646" t="n">
        <v>0</v>
      </c>
      <c r="I646" t="n">
        <v>0</v>
      </c>
      <c r="J646" t="n">
        <v>0</v>
      </c>
      <c r="K646" t="n">
        <v>0</v>
      </c>
      <c r="L646" t="n">
        <v>0</v>
      </c>
      <c r="M646" t="n">
        <v>0</v>
      </c>
      <c r="N646" t="n">
        <v>0</v>
      </c>
      <c r="O646" t="n">
        <v>0</v>
      </c>
      <c r="P646" t="n">
        <v>0</v>
      </c>
      <c r="Q646" t="n">
        <v>0</v>
      </c>
      <c r="R646" s="2" t="inlineStr"/>
    </row>
    <row r="647" ht="15" customHeight="1">
      <c r="A647" t="inlineStr">
        <is>
          <t>A 37839-2025</t>
        </is>
      </c>
      <c r="B647" s="1" t="n">
        <v>45881.43114583333</v>
      </c>
      <c r="C647" s="1" t="n">
        <v>46076</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53010-2024</t>
        </is>
      </c>
      <c r="B648" s="1" t="n">
        <v>45611.4021875</v>
      </c>
      <c r="C648" s="1" t="n">
        <v>46076</v>
      </c>
      <c r="D648" t="inlineStr">
        <is>
          <t>JÄMTLANDS LÄN</t>
        </is>
      </c>
      <c r="E648" t="inlineStr">
        <is>
          <t>HÄRJEDALEN</t>
        </is>
      </c>
      <c r="G648" t="n">
        <v>4</v>
      </c>
      <c r="H648" t="n">
        <v>0</v>
      </c>
      <c r="I648" t="n">
        <v>0</v>
      </c>
      <c r="J648" t="n">
        <v>0</v>
      </c>
      <c r="K648" t="n">
        <v>0</v>
      </c>
      <c r="L648" t="n">
        <v>0</v>
      </c>
      <c r="M648" t="n">
        <v>0</v>
      </c>
      <c r="N648" t="n">
        <v>0</v>
      </c>
      <c r="O648" t="n">
        <v>0</v>
      </c>
      <c r="P648" t="n">
        <v>0</v>
      </c>
      <c r="Q648" t="n">
        <v>0</v>
      </c>
      <c r="R648" s="2" t="inlineStr"/>
    </row>
    <row r="649" ht="15" customHeight="1">
      <c r="A649" t="inlineStr">
        <is>
          <t>A 37963-2025</t>
        </is>
      </c>
      <c r="B649" s="1" t="n">
        <v>45881.6609375</v>
      </c>
      <c r="C649" s="1" t="n">
        <v>46076</v>
      </c>
      <c r="D649" t="inlineStr">
        <is>
          <t>JÄMTLANDS LÄN</t>
        </is>
      </c>
      <c r="E649" t="inlineStr">
        <is>
          <t>HÄRJEDALEN</t>
        </is>
      </c>
      <c r="G649" t="n">
        <v>15.6</v>
      </c>
      <c r="H649" t="n">
        <v>0</v>
      </c>
      <c r="I649" t="n">
        <v>0</v>
      </c>
      <c r="J649" t="n">
        <v>0</v>
      </c>
      <c r="K649" t="n">
        <v>0</v>
      </c>
      <c r="L649" t="n">
        <v>0</v>
      </c>
      <c r="M649" t="n">
        <v>0</v>
      </c>
      <c r="N649" t="n">
        <v>0</v>
      </c>
      <c r="O649" t="n">
        <v>0</v>
      </c>
      <c r="P649" t="n">
        <v>0</v>
      </c>
      <c r="Q649" t="n">
        <v>0</v>
      </c>
      <c r="R649" s="2" t="inlineStr"/>
    </row>
    <row r="650" ht="15" customHeight="1">
      <c r="A650" t="inlineStr">
        <is>
          <t>A 31778-2023</t>
        </is>
      </c>
      <c r="B650" s="1" t="n">
        <v>45118.3959375</v>
      </c>
      <c r="C650" s="1" t="n">
        <v>46076</v>
      </c>
      <c r="D650" t="inlineStr">
        <is>
          <t>JÄMTLANDS LÄN</t>
        </is>
      </c>
      <c r="E650" t="inlineStr">
        <is>
          <t>HÄRJEDALEN</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37957-2025</t>
        </is>
      </c>
      <c r="B651" s="1" t="n">
        <v>45881.64365740741</v>
      </c>
      <c r="C651" s="1" t="n">
        <v>46076</v>
      </c>
      <c r="D651" t="inlineStr">
        <is>
          <t>JÄMTLANDS LÄN</t>
        </is>
      </c>
      <c r="E651" t="inlineStr">
        <is>
          <t>HÄRJEDALEN</t>
        </is>
      </c>
      <c r="G651" t="n">
        <v>4.2</v>
      </c>
      <c r="H651" t="n">
        <v>0</v>
      </c>
      <c r="I651" t="n">
        <v>0</v>
      </c>
      <c r="J651" t="n">
        <v>0</v>
      </c>
      <c r="K651" t="n">
        <v>0</v>
      </c>
      <c r="L651" t="n">
        <v>0</v>
      </c>
      <c r="M651" t="n">
        <v>0</v>
      </c>
      <c r="N651" t="n">
        <v>0</v>
      </c>
      <c r="O651" t="n">
        <v>0</v>
      </c>
      <c r="P651" t="n">
        <v>0</v>
      </c>
      <c r="Q651" t="n">
        <v>0</v>
      </c>
      <c r="R651" s="2" t="inlineStr"/>
    </row>
    <row r="652" ht="15" customHeight="1">
      <c r="A652" t="inlineStr">
        <is>
          <t>A 37865-2025</t>
        </is>
      </c>
      <c r="B652" s="1" t="n">
        <v>45881.46869212963</v>
      </c>
      <c r="C652" s="1" t="n">
        <v>46076</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9780-2024</t>
        </is>
      </c>
      <c r="B653" s="1" t="n">
        <v>45362.65903935185</v>
      </c>
      <c r="C653" s="1" t="n">
        <v>46076</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859-2022</t>
        </is>
      </c>
      <c r="B654" s="1" t="n">
        <v>44571</v>
      </c>
      <c r="C654" s="1" t="n">
        <v>46076</v>
      </c>
      <c r="D654" t="inlineStr">
        <is>
          <t>JÄMTLANDS LÄN</t>
        </is>
      </c>
      <c r="E654" t="inlineStr">
        <is>
          <t>HÄRJEDALEN</t>
        </is>
      </c>
      <c r="G654" t="n">
        <v>16.9</v>
      </c>
      <c r="H654" t="n">
        <v>0</v>
      </c>
      <c r="I654" t="n">
        <v>0</v>
      </c>
      <c r="J654" t="n">
        <v>0</v>
      </c>
      <c r="K654" t="n">
        <v>0</v>
      </c>
      <c r="L654" t="n">
        <v>0</v>
      </c>
      <c r="M654" t="n">
        <v>0</v>
      </c>
      <c r="N654" t="n">
        <v>0</v>
      </c>
      <c r="O654" t="n">
        <v>0</v>
      </c>
      <c r="P654" t="n">
        <v>0</v>
      </c>
      <c r="Q654" t="n">
        <v>0</v>
      </c>
      <c r="R654" s="2" t="inlineStr"/>
    </row>
    <row r="655" ht="15" customHeight="1">
      <c r="A655" t="inlineStr">
        <is>
          <t>A 37571-2025</t>
        </is>
      </c>
      <c r="B655" s="1" t="n">
        <v>45880.37472222222</v>
      </c>
      <c r="C655" s="1" t="n">
        <v>46076</v>
      </c>
      <c r="D655" t="inlineStr">
        <is>
          <t>JÄMTLANDS LÄN</t>
        </is>
      </c>
      <c r="E655" t="inlineStr">
        <is>
          <t>HÄRJEDALEN</t>
        </is>
      </c>
      <c r="G655" t="n">
        <v>2.7</v>
      </c>
      <c r="H655" t="n">
        <v>0</v>
      </c>
      <c r="I655" t="n">
        <v>0</v>
      </c>
      <c r="J655" t="n">
        <v>0</v>
      </c>
      <c r="K655" t="n">
        <v>0</v>
      </c>
      <c r="L655" t="n">
        <v>0</v>
      </c>
      <c r="M655" t="n">
        <v>0</v>
      </c>
      <c r="N655" t="n">
        <v>0</v>
      </c>
      <c r="O655" t="n">
        <v>0</v>
      </c>
      <c r="P655" t="n">
        <v>0</v>
      </c>
      <c r="Q655" t="n">
        <v>0</v>
      </c>
      <c r="R655" s="2" t="inlineStr"/>
    </row>
    <row r="656" ht="15" customHeight="1">
      <c r="A656" t="inlineStr">
        <is>
          <t>A 46128-2025</t>
        </is>
      </c>
      <c r="B656" s="1" t="n">
        <v>45924.59215277778</v>
      </c>
      <c r="C656" s="1" t="n">
        <v>46076</v>
      </c>
      <c r="D656" t="inlineStr">
        <is>
          <t>JÄMTLANDS LÄN</t>
        </is>
      </c>
      <c r="E656" t="inlineStr">
        <is>
          <t>HÄRJEDALEN</t>
        </is>
      </c>
      <c r="G656" t="n">
        <v>3.2</v>
      </c>
      <c r="H656" t="n">
        <v>0</v>
      </c>
      <c r="I656" t="n">
        <v>0</v>
      </c>
      <c r="J656" t="n">
        <v>0</v>
      </c>
      <c r="K656" t="n">
        <v>0</v>
      </c>
      <c r="L656" t="n">
        <v>0</v>
      </c>
      <c r="M656" t="n">
        <v>0</v>
      </c>
      <c r="N656" t="n">
        <v>0</v>
      </c>
      <c r="O656" t="n">
        <v>0</v>
      </c>
      <c r="P656" t="n">
        <v>0</v>
      </c>
      <c r="Q656" t="n">
        <v>0</v>
      </c>
      <c r="R656" s="2" t="inlineStr"/>
    </row>
    <row r="657" ht="15" customHeight="1">
      <c r="A657" t="inlineStr">
        <is>
          <t>A 38169-2025</t>
        </is>
      </c>
      <c r="B657" s="1" t="n">
        <v>45882.63179398148</v>
      </c>
      <c r="C657" s="1" t="n">
        <v>46076</v>
      </c>
      <c r="D657" t="inlineStr">
        <is>
          <t>JÄMTLANDS LÄN</t>
        </is>
      </c>
      <c r="E657" t="inlineStr">
        <is>
          <t>HÄRJEDALEN</t>
        </is>
      </c>
      <c r="F657" t="inlineStr">
        <is>
          <t>Bergvik skog väst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49163-2025</t>
        </is>
      </c>
      <c r="B658" s="1" t="n">
        <v>45938.35490740741</v>
      </c>
      <c r="C658" s="1" t="n">
        <v>46076</v>
      </c>
      <c r="D658" t="inlineStr">
        <is>
          <t>JÄMTLANDS LÄN</t>
        </is>
      </c>
      <c r="E658" t="inlineStr">
        <is>
          <t>HÄRJEDALEN</t>
        </is>
      </c>
      <c r="G658" t="n">
        <v>5.2</v>
      </c>
      <c r="H658" t="n">
        <v>0</v>
      </c>
      <c r="I658" t="n">
        <v>0</v>
      </c>
      <c r="J658" t="n">
        <v>0</v>
      </c>
      <c r="K658" t="n">
        <v>0</v>
      </c>
      <c r="L658" t="n">
        <v>0</v>
      </c>
      <c r="M658" t="n">
        <v>0</v>
      </c>
      <c r="N658" t="n">
        <v>0</v>
      </c>
      <c r="O658" t="n">
        <v>0</v>
      </c>
      <c r="P658" t="n">
        <v>0</v>
      </c>
      <c r="Q658" t="n">
        <v>0</v>
      </c>
      <c r="R658" s="2" t="inlineStr"/>
    </row>
    <row r="659" ht="15" customHeight="1">
      <c r="A659" t="inlineStr">
        <is>
          <t>A 49168-2025</t>
        </is>
      </c>
      <c r="B659" s="1" t="n">
        <v>45938.36853009259</v>
      </c>
      <c r="C659" s="1" t="n">
        <v>46076</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38349-2025</t>
        </is>
      </c>
      <c r="B660" s="1" t="n">
        <v>45883.51854166666</v>
      </c>
      <c r="C660" s="1" t="n">
        <v>46076</v>
      </c>
      <c r="D660" t="inlineStr">
        <is>
          <t>JÄMTLANDS LÄN</t>
        </is>
      </c>
      <c r="E660" t="inlineStr">
        <is>
          <t>HÄRJEDALEN</t>
        </is>
      </c>
      <c r="G660" t="n">
        <v>6.8</v>
      </c>
      <c r="H660" t="n">
        <v>0</v>
      </c>
      <c r="I660" t="n">
        <v>0</v>
      </c>
      <c r="J660" t="n">
        <v>0</v>
      </c>
      <c r="K660" t="n">
        <v>0</v>
      </c>
      <c r="L660" t="n">
        <v>0</v>
      </c>
      <c r="M660" t="n">
        <v>0</v>
      </c>
      <c r="N660" t="n">
        <v>0</v>
      </c>
      <c r="O660" t="n">
        <v>0</v>
      </c>
      <c r="P660" t="n">
        <v>0</v>
      </c>
      <c r="Q660" t="n">
        <v>0</v>
      </c>
      <c r="R660" s="2" t="inlineStr"/>
    </row>
    <row r="661" ht="15" customHeight="1">
      <c r="A661" t="inlineStr">
        <is>
          <t>A 49389-2025</t>
        </is>
      </c>
      <c r="B661" s="1" t="n">
        <v>45938.64905092592</v>
      </c>
      <c r="C661" s="1" t="n">
        <v>46076</v>
      </c>
      <c r="D661" t="inlineStr">
        <is>
          <t>JÄMTLANDS LÄN</t>
        </is>
      </c>
      <c r="E661" t="inlineStr">
        <is>
          <t>HÄRJEDALEN</t>
        </is>
      </c>
      <c r="G661" t="n">
        <v>14.9</v>
      </c>
      <c r="H661" t="n">
        <v>0</v>
      </c>
      <c r="I661" t="n">
        <v>0</v>
      </c>
      <c r="J661" t="n">
        <v>0</v>
      </c>
      <c r="K661" t="n">
        <v>0</v>
      </c>
      <c r="L661" t="n">
        <v>0</v>
      </c>
      <c r="M661" t="n">
        <v>0</v>
      </c>
      <c r="N661" t="n">
        <v>0</v>
      </c>
      <c r="O661" t="n">
        <v>0</v>
      </c>
      <c r="P661" t="n">
        <v>0</v>
      </c>
      <c r="Q661" t="n">
        <v>0</v>
      </c>
      <c r="R661" s="2" t="inlineStr"/>
    </row>
    <row r="662" ht="15" customHeight="1">
      <c r="A662" t="inlineStr">
        <is>
          <t>A 49426-2025</t>
        </is>
      </c>
      <c r="B662" s="1" t="n">
        <v>45938.74932870371</v>
      </c>
      <c r="C662" s="1" t="n">
        <v>46076</v>
      </c>
      <c r="D662" t="inlineStr">
        <is>
          <t>JÄMTLANDS LÄN</t>
        </is>
      </c>
      <c r="E662" t="inlineStr">
        <is>
          <t>HÄRJEDALEN</t>
        </is>
      </c>
      <c r="G662" t="n">
        <v>8.4</v>
      </c>
      <c r="H662" t="n">
        <v>0</v>
      </c>
      <c r="I662" t="n">
        <v>0</v>
      </c>
      <c r="J662" t="n">
        <v>0</v>
      </c>
      <c r="K662" t="n">
        <v>0</v>
      </c>
      <c r="L662" t="n">
        <v>0</v>
      </c>
      <c r="M662" t="n">
        <v>0</v>
      </c>
      <c r="N662" t="n">
        <v>0</v>
      </c>
      <c r="O662" t="n">
        <v>0</v>
      </c>
      <c r="P662" t="n">
        <v>0</v>
      </c>
      <c r="Q662" t="n">
        <v>0</v>
      </c>
      <c r="R662" s="2" t="inlineStr"/>
    </row>
    <row r="663" ht="15" customHeight="1">
      <c r="A663" t="inlineStr">
        <is>
          <t>A 49515-2025</t>
        </is>
      </c>
      <c r="B663" s="1" t="n">
        <v>45939.38605324074</v>
      </c>
      <c r="C663" s="1" t="n">
        <v>46076</v>
      </c>
      <c r="D663" t="inlineStr">
        <is>
          <t>JÄMTLANDS LÄN</t>
        </is>
      </c>
      <c r="E663" t="inlineStr">
        <is>
          <t>HÄRJEDALEN</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49569-2025</t>
        </is>
      </c>
      <c r="B664" s="1" t="n">
        <v>45939.47834490741</v>
      </c>
      <c r="C664" s="1" t="n">
        <v>46076</v>
      </c>
      <c r="D664" t="inlineStr">
        <is>
          <t>JÄMTLANDS LÄN</t>
        </is>
      </c>
      <c r="E664" t="inlineStr">
        <is>
          <t>HÄRJEDALEN</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38402-2025</t>
        </is>
      </c>
      <c r="B665" s="1" t="n">
        <v>45883.58944444444</v>
      </c>
      <c r="C665" s="1" t="n">
        <v>46076</v>
      </c>
      <c r="D665" t="inlineStr">
        <is>
          <t>JÄMTLANDS LÄN</t>
        </is>
      </c>
      <c r="E665" t="inlineStr">
        <is>
          <t>HÄRJEDALEN</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37808-2025</t>
        </is>
      </c>
      <c r="B666" s="1" t="n">
        <v>45881.36469907407</v>
      </c>
      <c r="C666" s="1" t="n">
        <v>46076</v>
      </c>
      <c r="D666" t="inlineStr">
        <is>
          <t>JÄMTLANDS LÄN</t>
        </is>
      </c>
      <c r="E666" t="inlineStr">
        <is>
          <t>HÄRJEDALEN</t>
        </is>
      </c>
      <c r="G666" t="n">
        <v>2.6</v>
      </c>
      <c r="H666" t="n">
        <v>0</v>
      </c>
      <c r="I666" t="n">
        <v>0</v>
      </c>
      <c r="J666" t="n">
        <v>0</v>
      </c>
      <c r="K666" t="n">
        <v>0</v>
      </c>
      <c r="L666" t="n">
        <v>0</v>
      </c>
      <c r="M666" t="n">
        <v>0</v>
      </c>
      <c r="N666" t="n">
        <v>0</v>
      </c>
      <c r="O666" t="n">
        <v>0</v>
      </c>
      <c r="P666" t="n">
        <v>0</v>
      </c>
      <c r="Q666" t="n">
        <v>0</v>
      </c>
      <c r="R666" s="2" t="inlineStr"/>
    </row>
    <row r="667" ht="15" customHeight="1">
      <c r="A667" t="inlineStr">
        <is>
          <t>A 49427-2025</t>
        </is>
      </c>
      <c r="B667" s="1" t="n">
        <v>45938.76107638889</v>
      </c>
      <c r="C667" s="1" t="n">
        <v>46076</v>
      </c>
      <c r="D667" t="inlineStr">
        <is>
          <t>JÄMTLANDS LÄN</t>
        </is>
      </c>
      <c r="E667" t="inlineStr">
        <is>
          <t>HÄRJEDALEN</t>
        </is>
      </c>
      <c r="G667" t="n">
        <v>4.5</v>
      </c>
      <c r="H667" t="n">
        <v>0</v>
      </c>
      <c r="I667" t="n">
        <v>0</v>
      </c>
      <c r="J667" t="n">
        <v>0</v>
      </c>
      <c r="K667" t="n">
        <v>0</v>
      </c>
      <c r="L667" t="n">
        <v>0</v>
      </c>
      <c r="M667" t="n">
        <v>0</v>
      </c>
      <c r="N667" t="n">
        <v>0</v>
      </c>
      <c r="O667" t="n">
        <v>0</v>
      </c>
      <c r="P667" t="n">
        <v>0</v>
      </c>
      <c r="Q667" t="n">
        <v>0</v>
      </c>
      <c r="R667" s="2" t="inlineStr"/>
    </row>
    <row r="668" ht="15" customHeight="1">
      <c r="A668" t="inlineStr">
        <is>
          <t>A 38276-2025</t>
        </is>
      </c>
      <c r="B668" s="1" t="n">
        <v>45883.4108912037</v>
      </c>
      <c r="C668" s="1" t="n">
        <v>46076</v>
      </c>
      <c r="D668" t="inlineStr">
        <is>
          <t>JÄMTLANDS LÄN</t>
        </is>
      </c>
      <c r="E668" t="inlineStr">
        <is>
          <t>HÄRJEDALEN</t>
        </is>
      </c>
      <c r="G668" t="n">
        <v>1.1</v>
      </c>
      <c r="H668" t="n">
        <v>0</v>
      </c>
      <c r="I668" t="n">
        <v>0</v>
      </c>
      <c r="J668" t="n">
        <v>0</v>
      </c>
      <c r="K668" t="n">
        <v>0</v>
      </c>
      <c r="L668" t="n">
        <v>0</v>
      </c>
      <c r="M668" t="n">
        <v>0</v>
      </c>
      <c r="N668" t="n">
        <v>0</v>
      </c>
      <c r="O668" t="n">
        <v>0</v>
      </c>
      <c r="P668" t="n">
        <v>0</v>
      </c>
      <c r="Q668" t="n">
        <v>0</v>
      </c>
      <c r="R668" s="2" t="inlineStr"/>
    </row>
    <row r="669" ht="15" customHeight="1">
      <c r="A669" t="inlineStr">
        <is>
          <t>A 43316-2024</t>
        </is>
      </c>
      <c r="B669" s="1" t="n">
        <v>45568</v>
      </c>
      <c r="C669" s="1" t="n">
        <v>46076</v>
      </c>
      <c r="D669" t="inlineStr">
        <is>
          <t>JÄMTLANDS LÄN</t>
        </is>
      </c>
      <c r="E669" t="inlineStr">
        <is>
          <t>HÄRJEDALEN</t>
        </is>
      </c>
      <c r="F669" t="inlineStr">
        <is>
          <t>Bergvik skog väst AB</t>
        </is>
      </c>
      <c r="G669" t="n">
        <v>79.90000000000001</v>
      </c>
      <c r="H669" t="n">
        <v>0</v>
      </c>
      <c r="I669" t="n">
        <v>0</v>
      </c>
      <c r="J669" t="n">
        <v>0</v>
      </c>
      <c r="K669" t="n">
        <v>0</v>
      </c>
      <c r="L669" t="n">
        <v>0</v>
      </c>
      <c r="M669" t="n">
        <v>0</v>
      </c>
      <c r="N669" t="n">
        <v>0</v>
      </c>
      <c r="O669" t="n">
        <v>0</v>
      </c>
      <c r="P669" t="n">
        <v>0</v>
      </c>
      <c r="Q669" t="n">
        <v>0</v>
      </c>
      <c r="R669" s="2" t="inlineStr"/>
    </row>
    <row r="670" ht="15" customHeight="1">
      <c r="A670" t="inlineStr">
        <is>
          <t>A 38183-2025</t>
        </is>
      </c>
      <c r="B670" s="1" t="n">
        <v>45882.64755787037</v>
      </c>
      <c r="C670" s="1" t="n">
        <v>46076</v>
      </c>
      <c r="D670" t="inlineStr">
        <is>
          <t>JÄMTLANDS LÄN</t>
        </is>
      </c>
      <c r="E670" t="inlineStr">
        <is>
          <t>HÄRJEDALEN</t>
        </is>
      </c>
      <c r="F670" t="inlineStr">
        <is>
          <t>Bergvik skog väst AB</t>
        </is>
      </c>
      <c r="G670" t="n">
        <v>30.9</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46076</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49537-2025</t>
        </is>
      </c>
      <c r="B672" s="1" t="n">
        <v>45939.42302083333</v>
      </c>
      <c r="C672" s="1" t="n">
        <v>46076</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48771-2025</t>
        </is>
      </c>
      <c r="B673" s="1" t="n">
        <v>45936.92728009259</v>
      </c>
      <c r="C673" s="1" t="n">
        <v>46076</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38618-2025</t>
        </is>
      </c>
      <c r="B674" s="1" t="n">
        <v>45884.55263888889</v>
      </c>
      <c r="C674" s="1" t="n">
        <v>46076</v>
      </c>
      <c r="D674" t="inlineStr">
        <is>
          <t>JÄMTLANDS LÄN</t>
        </is>
      </c>
      <c r="E674" t="inlineStr">
        <is>
          <t>HÄRJEDALEN</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49716-2025</t>
        </is>
      </c>
      <c r="B675" s="1" t="n">
        <v>45939.73686342593</v>
      </c>
      <c r="C675" s="1" t="n">
        <v>46076</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49715-2025</t>
        </is>
      </c>
      <c r="B676" s="1" t="n">
        <v>45939.7344212963</v>
      </c>
      <c r="C676" s="1" t="n">
        <v>46076</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49717-2025</t>
        </is>
      </c>
      <c r="B677" s="1" t="n">
        <v>45939.74859953704</v>
      </c>
      <c r="C677" s="1" t="n">
        <v>46076</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49325-2025</t>
        </is>
      </c>
      <c r="B678" s="1" t="n">
        <v>45938.57407407407</v>
      </c>
      <c r="C678" s="1" t="n">
        <v>46076</v>
      </c>
      <c r="D678" t="inlineStr">
        <is>
          <t>JÄMTLANDS LÄN</t>
        </is>
      </c>
      <c r="E678" t="inlineStr">
        <is>
          <t>HÄRJEDALEN</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21596-2021</t>
        </is>
      </c>
      <c r="B679" s="1" t="n">
        <v>44314</v>
      </c>
      <c r="C679" s="1" t="n">
        <v>46076</v>
      </c>
      <c r="D679" t="inlineStr">
        <is>
          <t>JÄMTLANDS LÄN</t>
        </is>
      </c>
      <c r="E679" t="inlineStr">
        <is>
          <t>HÄRJEDALEN</t>
        </is>
      </c>
      <c r="G679" t="n">
        <v>18.2</v>
      </c>
      <c r="H679" t="n">
        <v>0</v>
      </c>
      <c r="I679" t="n">
        <v>0</v>
      </c>
      <c r="J679" t="n">
        <v>0</v>
      </c>
      <c r="K679" t="n">
        <v>0</v>
      </c>
      <c r="L679" t="n">
        <v>0</v>
      </c>
      <c r="M679" t="n">
        <v>0</v>
      </c>
      <c r="N679" t="n">
        <v>0</v>
      </c>
      <c r="O679" t="n">
        <v>0</v>
      </c>
      <c r="P679" t="n">
        <v>0</v>
      </c>
      <c r="Q679" t="n">
        <v>0</v>
      </c>
      <c r="R679" s="2" t="inlineStr"/>
    </row>
    <row r="680" ht="15" customHeight="1">
      <c r="A680" t="inlineStr">
        <is>
          <t>A 43309-2024</t>
        </is>
      </c>
      <c r="B680" s="1" t="n">
        <v>45568</v>
      </c>
      <c r="C680" s="1" t="n">
        <v>46076</v>
      </c>
      <c r="D680" t="inlineStr">
        <is>
          <t>JÄMTLANDS LÄN</t>
        </is>
      </c>
      <c r="E680" t="inlineStr">
        <is>
          <t>HÄRJEDALEN</t>
        </is>
      </c>
      <c r="F680" t="inlineStr">
        <is>
          <t>Bergvik skog väst AB</t>
        </is>
      </c>
      <c r="G680" t="n">
        <v>79.8</v>
      </c>
      <c r="H680" t="n">
        <v>0</v>
      </c>
      <c r="I680" t="n">
        <v>0</v>
      </c>
      <c r="J680" t="n">
        <v>0</v>
      </c>
      <c r="K680" t="n">
        <v>0</v>
      </c>
      <c r="L680" t="n">
        <v>0</v>
      </c>
      <c r="M680" t="n">
        <v>0</v>
      </c>
      <c r="N680" t="n">
        <v>0</v>
      </c>
      <c r="O680" t="n">
        <v>0</v>
      </c>
      <c r="P680" t="n">
        <v>0</v>
      </c>
      <c r="Q680" t="n">
        <v>0</v>
      </c>
      <c r="R680" s="2" t="inlineStr"/>
    </row>
    <row r="681" ht="15" customHeight="1">
      <c r="A681" t="inlineStr">
        <is>
          <t>A 49979-2025</t>
        </is>
      </c>
      <c r="B681" s="1" t="n">
        <v>45942.62457175926</v>
      </c>
      <c r="C681" s="1" t="n">
        <v>46076</v>
      </c>
      <c r="D681" t="inlineStr">
        <is>
          <t>JÄMTLANDS LÄN</t>
        </is>
      </c>
      <c r="E681" t="inlineStr">
        <is>
          <t>HÄRJEDALEN</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3965-2025</t>
        </is>
      </c>
      <c r="B682" s="1" t="n">
        <v>45684.51006944444</v>
      </c>
      <c r="C682" s="1" t="n">
        <v>46076</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50051-2025</t>
        </is>
      </c>
      <c r="B683" s="1" t="n">
        <v>45943.420625</v>
      </c>
      <c r="C683" s="1" t="n">
        <v>46076</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41955-2023</t>
        </is>
      </c>
      <c r="B684" s="1" t="n">
        <v>45174</v>
      </c>
      <c r="C684" s="1" t="n">
        <v>46076</v>
      </c>
      <c r="D684" t="inlineStr">
        <is>
          <t>JÄMTLANDS LÄN</t>
        </is>
      </c>
      <c r="E684" t="inlineStr">
        <is>
          <t>HÄRJEDALEN</t>
        </is>
      </c>
      <c r="G684" t="n">
        <v>60.5</v>
      </c>
      <c r="H684" t="n">
        <v>0</v>
      </c>
      <c r="I684" t="n">
        <v>0</v>
      </c>
      <c r="J684" t="n">
        <v>0</v>
      </c>
      <c r="K684" t="n">
        <v>0</v>
      </c>
      <c r="L684" t="n">
        <v>0</v>
      </c>
      <c r="M684" t="n">
        <v>0</v>
      </c>
      <c r="N684" t="n">
        <v>0</v>
      </c>
      <c r="O684" t="n">
        <v>0</v>
      </c>
      <c r="P684" t="n">
        <v>0</v>
      </c>
      <c r="Q684" t="n">
        <v>0</v>
      </c>
      <c r="R684" s="2" t="inlineStr"/>
    </row>
    <row r="685" ht="15" customHeight="1">
      <c r="A685" t="inlineStr">
        <is>
          <t>A 37288-2025</t>
        </is>
      </c>
      <c r="B685" s="1" t="n">
        <v>45876</v>
      </c>
      <c r="C685" s="1" t="n">
        <v>46076</v>
      </c>
      <c r="D685" t="inlineStr">
        <is>
          <t>JÄMTLANDS LÄN</t>
        </is>
      </c>
      <c r="E685" t="inlineStr">
        <is>
          <t>HÄRJEDALEN</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50464-2025</t>
        </is>
      </c>
      <c r="B686" s="1" t="n">
        <v>45945.34971064814</v>
      </c>
      <c r="C686" s="1" t="n">
        <v>46076</v>
      </c>
      <c r="D686" t="inlineStr">
        <is>
          <t>JÄMTLANDS LÄN</t>
        </is>
      </c>
      <c r="E686" t="inlineStr">
        <is>
          <t>HÄRJEDALEN</t>
        </is>
      </c>
      <c r="G686" t="n">
        <v>3.8</v>
      </c>
      <c r="H686" t="n">
        <v>0</v>
      </c>
      <c r="I686" t="n">
        <v>0</v>
      </c>
      <c r="J686" t="n">
        <v>0</v>
      </c>
      <c r="K686" t="n">
        <v>0</v>
      </c>
      <c r="L686" t="n">
        <v>0</v>
      </c>
      <c r="M686" t="n">
        <v>0</v>
      </c>
      <c r="N686" t="n">
        <v>0</v>
      </c>
      <c r="O686" t="n">
        <v>0</v>
      </c>
      <c r="P686" t="n">
        <v>0</v>
      </c>
      <c r="Q686" t="n">
        <v>0</v>
      </c>
      <c r="R686" s="2" t="inlineStr"/>
    </row>
    <row r="687" ht="15" customHeight="1">
      <c r="A687" t="inlineStr">
        <is>
          <t>A 50588-2025</t>
        </is>
      </c>
      <c r="B687" s="1" t="n">
        <v>45945.59920138889</v>
      </c>
      <c r="C687" s="1" t="n">
        <v>46076</v>
      </c>
      <c r="D687" t="inlineStr">
        <is>
          <t>JÄMTLANDS LÄN</t>
        </is>
      </c>
      <c r="E687" t="inlineStr">
        <is>
          <t>HÄRJEDALEN</t>
        </is>
      </c>
      <c r="F687" t="inlineStr">
        <is>
          <t>Bergvik skog väst AB</t>
        </is>
      </c>
      <c r="G687" t="n">
        <v>17.9</v>
      </c>
      <c r="H687" t="n">
        <v>0</v>
      </c>
      <c r="I687" t="n">
        <v>0</v>
      </c>
      <c r="J687" t="n">
        <v>0</v>
      </c>
      <c r="K687" t="n">
        <v>0</v>
      </c>
      <c r="L687" t="n">
        <v>0</v>
      </c>
      <c r="M687" t="n">
        <v>0</v>
      </c>
      <c r="N687" t="n">
        <v>0</v>
      </c>
      <c r="O687" t="n">
        <v>0</v>
      </c>
      <c r="P687" t="n">
        <v>0</v>
      </c>
      <c r="Q687" t="n">
        <v>0</v>
      </c>
      <c r="R687" s="2" t="inlineStr"/>
    </row>
    <row r="688" ht="15" customHeight="1">
      <c r="A688" t="inlineStr">
        <is>
          <t>A 50631-2025</t>
        </is>
      </c>
      <c r="B688" s="1" t="n">
        <v>45945.64795138889</v>
      </c>
      <c r="C688" s="1" t="n">
        <v>46076</v>
      </c>
      <c r="D688" t="inlineStr">
        <is>
          <t>JÄMTLANDS LÄN</t>
        </is>
      </c>
      <c r="E688" t="inlineStr">
        <is>
          <t>HÄRJEDALEN</t>
        </is>
      </c>
      <c r="G688" t="n">
        <v>7.1</v>
      </c>
      <c r="H688" t="n">
        <v>0</v>
      </c>
      <c r="I688" t="n">
        <v>0</v>
      </c>
      <c r="J688" t="n">
        <v>0</v>
      </c>
      <c r="K688" t="n">
        <v>0</v>
      </c>
      <c r="L688" t="n">
        <v>0</v>
      </c>
      <c r="M688" t="n">
        <v>0</v>
      </c>
      <c r="N688" t="n">
        <v>0</v>
      </c>
      <c r="O688" t="n">
        <v>0</v>
      </c>
      <c r="P688" t="n">
        <v>0</v>
      </c>
      <c r="Q688" t="n">
        <v>0</v>
      </c>
      <c r="R688" s="2" t="inlineStr"/>
    </row>
    <row r="689" ht="15" customHeight="1">
      <c r="A689" t="inlineStr">
        <is>
          <t>A 11555-2025</t>
        </is>
      </c>
      <c r="B689" s="1" t="n">
        <v>45727.35621527778</v>
      </c>
      <c r="C689" s="1" t="n">
        <v>46076</v>
      </c>
      <c r="D689" t="inlineStr">
        <is>
          <t>JÄMTLANDS LÄN</t>
        </is>
      </c>
      <c r="E689" t="inlineStr">
        <is>
          <t>HÄRJEDALEN</t>
        </is>
      </c>
      <c r="F689" t="inlineStr">
        <is>
          <t>Bergvik skog väst AB</t>
        </is>
      </c>
      <c r="G689" t="n">
        <v>14.2</v>
      </c>
      <c r="H689" t="n">
        <v>0</v>
      </c>
      <c r="I689" t="n">
        <v>0</v>
      </c>
      <c r="J689" t="n">
        <v>0</v>
      </c>
      <c r="K689" t="n">
        <v>0</v>
      </c>
      <c r="L689" t="n">
        <v>0</v>
      </c>
      <c r="M689" t="n">
        <v>0</v>
      </c>
      <c r="N689" t="n">
        <v>0</v>
      </c>
      <c r="O689" t="n">
        <v>0</v>
      </c>
      <c r="P689" t="n">
        <v>0</v>
      </c>
      <c r="Q689" t="n">
        <v>0</v>
      </c>
      <c r="R689" s="2" t="inlineStr"/>
    </row>
    <row r="690" ht="15" customHeight="1">
      <c r="A690" t="inlineStr">
        <is>
          <t>A 14631-2023</t>
        </is>
      </c>
      <c r="B690" s="1" t="n">
        <v>45012</v>
      </c>
      <c r="C690" s="1" t="n">
        <v>46076</v>
      </c>
      <c r="D690" t="inlineStr">
        <is>
          <t>JÄMTLANDS LÄN</t>
        </is>
      </c>
      <c r="E690" t="inlineStr">
        <is>
          <t>HÄRJEDALEN</t>
        </is>
      </c>
      <c r="F690" t="inlineStr">
        <is>
          <t>Bergvik skog väst AB</t>
        </is>
      </c>
      <c r="G690" t="n">
        <v>14.2</v>
      </c>
      <c r="H690" t="n">
        <v>0</v>
      </c>
      <c r="I690" t="n">
        <v>0</v>
      </c>
      <c r="J690" t="n">
        <v>0</v>
      </c>
      <c r="K690" t="n">
        <v>0</v>
      </c>
      <c r="L690" t="n">
        <v>0</v>
      </c>
      <c r="M690" t="n">
        <v>0</v>
      </c>
      <c r="N690" t="n">
        <v>0</v>
      </c>
      <c r="O690" t="n">
        <v>0</v>
      </c>
      <c r="P690" t="n">
        <v>0</v>
      </c>
      <c r="Q690" t="n">
        <v>0</v>
      </c>
      <c r="R690" s="2" t="inlineStr"/>
    </row>
    <row r="691" ht="15" customHeight="1">
      <c r="A691" t="inlineStr">
        <is>
          <t>A 50423-2025</t>
        </is>
      </c>
      <c r="B691" s="1" t="n">
        <v>45944.66243055555</v>
      </c>
      <c r="C691" s="1" t="n">
        <v>46076</v>
      </c>
      <c r="D691" t="inlineStr">
        <is>
          <t>JÄMTLANDS LÄN</t>
        </is>
      </c>
      <c r="E691" t="inlineStr">
        <is>
          <t>HÄRJEDALEN</t>
        </is>
      </c>
      <c r="G691" t="n">
        <v>6.9</v>
      </c>
      <c r="H691" t="n">
        <v>0</v>
      </c>
      <c r="I691" t="n">
        <v>0</v>
      </c>
      <c r="J691" t="n">
        <v>0</v>
      </c>
      <c r="K691" t="n">
        <v>0</v>
      </c>
      <c r="L691" t="n">
        <v>0</v>
      </c>
      <c r="M691" t="n">
        <v>0</v>
      </c>
      <c r="N691" t="n">
        <v>0</v>
      </c>
      <c r="O691" t="n">
        <v>0</v>
      </c>
      <c r="P691" t="n">
        <v>0</v>
      </c>
      <c r="Q691" t="n">
        <v>0</v>
      </c>
      <c r="R691" s="2" t="inlineStr"/>
    </row>
    <row r="692" ht="15" customHeight="1">
      <c r="A692" t="inlineStr">
        <is>
          <t>A 50424-2025</t>
        </is>
      </c>
      <c r="B692" s="1" t="n">
        <v>45944.66541666666</v>
      </c>
      <c r="C692" s="1" t="n">
        <v>46076</v>
      </c>
      <c r="D692" t="inlineStr">
        <is>
          <t>JÄMTLANDS LÄN</t>
        </is>
      </c>
      <c r="E692" t="inlineStr">
        <is>
          <t>HÄRJEDALEN</t>
        </is>
      </c>
      <c r="G692" t="n">
        <v>0.8</v>
      </c>
      <c r="H692" t="n">
        <v>0</v>
      </c>
      <c r="I692" t="n">
        <v>0</v>
      </c>
      <c r="J692" t="n">
        <v>0</v>
      </c>
      <c r="K692" t="n">
        <v>0</v>
      </c>
      <c r="L692" t="n">
        <v>0</v>
      </c>
      <c r="M692" t="n">
        <v>0</v>
      </c>
      <c r="N692" t="n">
        <v>0</v>
      </c>
      <c r="O692" t="n">
        <v>0</v>
      </c>
      <c r="P692" t="n">
        <v>0</v>
      </c>
      <c r="Q692" t="n">
        <v>0</v>
      </c>
      <c r="R692" s="2" t="inlineStr"/>
    </row>
    <row r="693" ht="15" customHeight="1">
      <c r="A693" t="inlineStr">
        <is>
          <t>A 59424-2023</t>
        </is>
      </c>
      <c r="B693" s="1" t="n">
        <v>45254</v>
      </c>
      <c r="C693" s="1" t="n">
        <v>46076</v>
      </c>
      <c r="D693" t="inlineStr">
        <is>
          <t>JÄMTLANDS LÄN</t>
        </is>
      </c>
      <c r="E693" t="inlineStr">
        <is>
          <t>HÄRJEDALEN</t>
        </is>
      </c>
      <c r="G693" t="n">
        <v>3.3</v>
      </c>
      <c r="H693" t="n">
        <v>0</v>
      </c>
      <c r="I693" t="n">
        <v>0</v>
      </c>
      <c r="J693" t="n">
        <v>0</v>
      </c>
      <c r="K693" t="n">
        <v>0</v>
      </c>
      <c r="L693" t="n">
        <v>0</v>
      </c>
      <c r="M693" t="n">
        <v>0</v>
      </c>
      <c r="N693" t="n">
        <v>0</v>
      </c>
      <c r="O693" t="n">
        <v>0</v>
      </c>
      <c r="P693" t="n">
        <v>0</v>
      </c>
      <c r="Q693" t="n">
        <v>0</v>
      </c>
      <c r="R693" s="2" t="inlineStr"/>
    </row>
    <row r="694" ht="15" customHeight="1">
      <c r="A694" t="inlineStr">
        <is>
          <t>A 239-2022</t>
        </is>
      </c>
      <c r="B694" s="1" t="n">
        <v>44565.31975694445</v>
      </c>
      <c r="C694" s="1" t="n">
        <v>46076</v>
      </c>
      <c r="D694" t="inlineStr">
        <is>
          <t>JÄMTLANDS LÄN</t>
        </is>
      </c>
      <c r="E694" t="inlineStr">
        <is>
          <t>HÄRJEDALEN</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241-2022</t>
        </is>
      </c>
      <c r="B695" s="1" t="n">
        <v>44565</v>
      </c>
      <c r="C695" s="1" t="n">
        <v>46076</v>
      </c>
      <c r="D695" t="inlineStr">
        <is>
          <t>JÄMTLANDS LÄN</t>
        </is>
      </c>
      <c r="E695" t="inlineStr">
        <is>
          <t>HÄRJEDALEN</t>
        </is>
      </c>
      <c r="F695" t="inlineStr">
        <is>
          <t>Övriga Aktiebolag</t>
        </is>
      </c>
      <c r="G695" t="n">
        <v>16.5</v>
      </c>
      <c r="H695" t="n">
        <v>0</v>
      </c>
      <c r="I695" t="n">
        <v>0</v>
      </c>
      <c r="J695" t="n">
        <v>0</v>
      </c>
      <c r="K695" t="n">
        <v>0</v>
      </c>
      <c r="L695" t="n">
        <v>0</v>
      </c>
      <c r="M695" t="n">
        <v>0</v>
      </c>
      <c r="N695" t="n">
        <v>0</v>
      </c>
      <c r="O695" t="n">
        <v>0</v>
      </c>
      <c r="P695" t="n">
        <v>0</v>
      </c>
      <c r="Q695" t="n">
        <v>0</v>
      </c>
      <c r="R695" s="2" t="inlineStr"/>
    </row>
    <row r="696" ht="15" customHeight="1">
      <c r="A696" t="inlineStr">
        <is>
          <t>A 50639-2025</t>
        </is>
      </c>
      <c r="B696" s="1" t="n">
        <v>45945.65363425926</v>
      </c>
      <c r="C696" s="1" t="n">
        <v>46076</v>
      </c>
      <c r="D696" t="inlineStr">
        <is>
          <t>JÄMTLANDS LÄN</t>
        </is>
      </c>
      <c r="E696" t="inlineStr">
        <is>
          <t>HÄRJEDALEN</t>
        </is>
      </c>
      <c r="G696" t="n">
        <v>5.3</v>
      </c>
      <c r="H696" t="n">
        <v>0</v>
      </c>
      <c r="I696" t="n">
        <v>0</v>
      </c>
      <c r="J696" t="n">
        <v>0</v>
      </c>
      <c r="K696" t="n">
        <v>0</v>
      </c>
      <c r="L696" t="n">
        <v>0</v>
      </c>
      <c r="M696" t="n">
        <v>0</v>
      </c>
      <c r="N696" t="n">
        <v>0</v>
      </c>
      <c r="O696" t="n">
        <v>0</v>
      </c>
      <c r="P696" t="n">
        <v>0</v>
      </c>
      <c r="Q696" t="n">
        <v>0</v>
      </c>
      <c r="R696" s="2" t="inlineStr"/>
    </row>
    <row r="697" ht="15" customHeight="1">
      <c r="A697" t="inlineStr">
        <is>
          <t>A 9788-2024</t>
        </is>
      </c>
      <c r="B697" s="1" t="n">
        <v>45362.67789351852</v>
      </c>
      <c r="C697" s="1" t="n">
        <v>46076</v>
      </c>
      <c r="D697" t="inlineStr">
        <is>
          <t>JÄMTLANDS LÄN</t>
        </is>
      </c>
      <c r="E697" t="inlineStr">
        <is>
          <t>HÄRJEDALEN</t>
        </is>
      </c>
      <c r="G697" t="n">
        <v>0.2</v>
      </c>
      <c r="H697" t="n">
        <v>0</v>
      </c>
      <c r="I697" t="n">
        <v>0</v>
      </c>
      <c r="J697" t="n">
        <v>0</v>
      </c>
      <c r="K697" t="n">
        <v>0</v>
      </c>
      <c r="L697" t="n">
        <v>0</v>
      </c>
      <c r="M697" t="n">
        <v>0</v>
      </c>
      <c r="N697" t="n">
        <v>0</v>
      </c>
      <c r="O697" t="n">
        <v>0</v>
      </c>
      <c r="P697" t="n">
        <v>0</v>
      </c>
      <c r="Q697" t="n">
        <v>0</v>
      </c>
      <c r="R697" s="2" t="inlineStr"/>
    </row>
    <row r="698" ht="15" customHeight="1">
      <c r="A698" t="inlineStr">
        <is>
          <t>A 7636-2023</t>
        </is>
      </c>
      <c r="B698" s="1" t="n">
        <v>44972.57449074074</v>
      </c>
      <c r="C698" s="1" t="n">
        <v>46076</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1515-2025</t>
        </is>
      </c>
      <c r="B699" s="1" t="n">
        <v>45670.4570949074</v>
      </c>
      <c r="C699" s="1" t="n">
        <v>46076</v>
      </c>
      <c r="D699" t="inlineStr">
        <is>
          <t>JÄMTLANDS LÄN</t>
        </is>
      </c>
      <c r="E699" t="inlineStr">
        <is>
          <t>HÄRJEDALEN</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50803-2025</t>
        </is>
      </c>
      <c r="B700" s="1" t="n">
        <v>45946.49534722222</v>
      </c>
      <c r="C700" s="1" t="n">
        <v>46076</v>
      </c>
      <c r="D700" t="inlineStr">
        <is>
          <t>JÄMTLANDS LÄN</t>
        </is>
      </c>
      <c r="E700" t="inlineStr">
        <is>
          <t>HÄRJEDALEN</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38898-2025</t>
        </is>
      </c>
      <c r="B701" s="1" t="n">
        <v>45887.59913194444</v>
      </c>
      <c r="C701" s="1" t="n">
        <v>46076</v>
      </c>
      <c r="D701" t="inlineStr">
        <is>
          <t>JÄMTLANDS LÄN</t>
        </is>
      </c>
      <c r="E701" t="inlineStr">
        <is>
          <t>HÄRJEDALEN</t>
        </is>
      </c>
      <c r="F701" t="inlineStr">
        <is>
          <t>Bergvik skog väst AB</t>
        </is>
      </c>
      <c r="G701" t="n">
        <v>4</v>
      </c>
      <c r="H701" t="n">
        <v>0</v>
      </c>
      <c r="I701" t="n">
        <v>0</v>
      </c>
      <c r="J701" t="n">
        <v>0</v>
      </c>
      <c r="K701" t="n">
        <v>0</v>
      </c>
      <c r="L701" t="n">
        <v>0</v>
      </c>
      <c r="M701" t="n">
        <v>0</v>
      </c>
      <c r="N701" t="n">
        <v>0</v>
      </c>
      <c r="O701" t="n">
        <v>0</v>
      </c>
      <c r="P701" t="n">
        <v>0</v>
      </c>
      <c r="Q701" t="n">
        <v>0</v>
      </c>
      <c r="R701" s="2" t="inlineStr"/>
    </row>
    <row r="702" ht="15" customHeight="1">
      <c r="A702" t="inlineStr">
        <is>
          <t>A 64909-2023</t>
        </is>
      </c>
      <c r="B702" s="1" t="n">
        <v>45282.64012731481</v>
      </c>
      <c r="C702" s="1" t="n">
        <v>46076</v>
      </c>
      <c r="D702" t="inlineStr">
        <is>
          <t>JÄMTLANDS LÄN</t>
        </is>
      </c>
      <c r="E702" t="inlineStr">
        <is>
          <t>HÄRJEDALEN</t>
        </is>
      </c>
      <c r="F702" t="inlineStr">
        <is>
          <t>Holmen skog AB</t>
        </is>
      </c>
      <c r="G702" t="n">
        <v>6.8</v>
      </c>
      <c r="H702" t="n">
        <v>0</v>
      </c>
      <c r="I702" t="n">
        <v>0</v>
      </c>
      <c r="J702" t="n">
        <v>0</v>
      </c>
      <c r="K702" t="n">
        <v>0</v>
      </c>
      <c r="L702" t="n">
        <v>0</v>
      </c>
      <c r="M702" t="n">
        <v>0</v>
      </c>
      <c r="N702" t="n">
        <v>0</v>
      </c>
      <c r="O702" t="n">
        <v>0</v>
      </c>
      <c r="P702" t="n">
        <v>0</v>
      </c>
      <c r="Q702" t="n">
        <v>0</v>
      </c>
      <c r="R702" s="2" t="inlineStr"/>
    </row>
    <row r="703" ht="15" customHeight="1">
      <c r="A703" t="inlineStr">
        <is>
          <t>A 50764-2025</t>
        </is>
      </c>
      <c r="B703" s="1" t="n">
        <v>45946.43961805556</v>
      </c>
      <c r="C703" s="1" t="n">
        <v>46076</v>
      </c>
      <c r="D703" t="inlineStr">
        <is>
          <t>JÄMTLANDS LÄN</t>
        </is>
      </c>
      <c r="E703" t="inlineStr">
        <is>
          <t>HÄRJEDALEN</t>
        </is>
      </c>
      <c r="G703" t="n">
        <v>1.3</v>
      </c>
      <c r="H703" t="n">
        <v>0</v>
      </c>
      <c r="I703" t="n">
        <v>0</v>
      </c>
      <c r="J703" t="n">
        <v>0</v>
      </c>
      <c r="K703" t="n">
        <v>0</v>
      </c>
      <c r="L703" t="n">
        <v>0</v>
      </c>
      <c r="M703" t="n">
        <v>0</v>
      </c>
      <c r="N703" t="n">
        <v>0</v>
      </c>
      <c r="O703" t="n">
        <v>0</v>
      </c>
      <c r="P703" t="n">
        <v>0</v>
      </c>
      <c r="Q703" t="n">
        <v>0</v>
      </c>
      <c r="R703" s="2" t="inlineStr"/>
    </row>
    <row r="704" ht="15" customHeight="1">
      <c r="A704" t="inlineStr">
        <is>
          <t>A 45195-2025</t>
        </is>
      </c>
      <c r="B704" s="1" t="n">
        <v>45919</v>
      </c>
      <c r="C704" s="1" t="n">
        <v>46076</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45409-2021</t>
        </is>
      </c>
      <c r="B705" s="1" t="n">
        <v>44440</v>
      </c>
      <c r="C705" s="1" t="n">
        <v>46076</v>
      </c>
      <c r="D705" t="inlineStr">
        <is>
          <t>JÄMTLANDS LÄN</t>
        </is>
      </c>
      <c r="E705" t="inlineStr">
        <is>
          <t>HÄRJEDALEN</t>
        </is>
      </c>
      <c r="G705" t="n">
        <v>18.9</v>
      </c>
      <c r="H705" t="n">
        <v>0</v>
      </c>
      <c r="I705" t="n">
        <v>0</v>
      </c>
      <c r="J705" t="n">
        <v>0</v>
      </c>
      <c r="K705" t="n">
        <v>0</v>
      </c>
      <c r="L705" t="n">
        <v>0</v>
      </c>
      <c r="M705" t="n">
        <v>0</v>
      </c>
      <c r="N705" t="n">
        <v>0</v>
      </c>
      <c r="O705" t="n">
        <v>0</v>
      </c>
      <c r="P705" t="n">
        <v>0</v>
      </c>
      <c r="Q705" t="n">
        <v>0</v>
      </c>
      <c r="R705" s="2" t="inlineStr"/>
    </row>
    <row r="706" ht="15" customHeight="1">
      <c r="A706" t="inlineStr">
        <is>
          <t>A 51016-2025</t>
        </is>
      </c>
      <c r="B706" s="1" t="n">
        <v>45947.3843287037</v>
      </c>
      <c r="C706" s="1" t="n">
        <v>46076</v>
      </c>
      <c r="D706" t="inlineStr">
        <is>
          <t>JÄMTLANDS LÄN</t>
        </is>
      </c>
      <c r="E706" t="inlineStr">
        <is>
          <t>HÄRJEDALEN</t>
        </is>
      </c>
      <c r="F706" t="inlineStr">
        <is>
          <t>Bergvik skog väst AB</t>
        </is>
      </c>
      <c r="G706" t="n">
        <v>19.1</v>
      </c>
      <c r="H706" t="n">
        <v>0</v>
      </c>
      <c r="I706" t="n">
        <v>0</v>
      </c>
      <c r="J706" t="n">
        <v>0</v>
      </c>
      <c r="K706" t="n">
        <v>0</v>
      </c>
      <c r="L706" t="n">
        <v>0</v>
      </c>
      <c r="M706" t="n">
        <v>0</v>
      </c>
      <c r="N706" t="n">
        <v>0</v>
      </c>
      <c r="O706" t="n">
        <v>0</v>
      </c>
      <c r="P706" t="n">
        <v>0</v>
      </c>
      <c r="Q706" t="n">
        <v>0</v>
      </c>
      <c r="R706" s="2" t="inlineStr"/>
    </row>
    <row r="707" ht="15" customHeight="1">
      <c r="A707" t="inlineStr">
        <is>
          <t>A 51082-2025</t>
        </is>
      </c>
      <c r="B707" s="1" t="n">
        <v>45947</v>
      </c>
      <c r="C707" s="1" t="n">
        <v>46076</v>
      </c>
      <c r="D707" t="inlineStr">
        <is>
          <t>JÄMTLANDS LÄN</t>
        </is>
      </c>
      <c r="E707" t="inlineStr">
        <is>
          <t>HÄRJEDALEN</t>
        </is>
      </c>
      <c r="F707" t="inlineStr">
        <is>
          <t>Bergvik skog väst AB</t>
        </is>
      </c>
      <c r="G707" t="n">
        <v>26.4</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44628.36402777778</v>
      </c>
      <c r="C708" s="1" t="n">
        <v>46076</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51270-2025</t>
        </is>
      </c>
      <c r="B709" s="1" t="n">
        <v>45949.84528935186</v>
      </c>
      <c r="C709" s="1" t="n">
        <v>46076</v>
      </c>
      <c r="D709" t="inlineStr">
        <is>
          <t>JÄMTLANDS LÄN</t>
        </is>
      </c>
      <c r="E709" t="inlineStr">
        <is>
          <t>HÄRJEDALEN</t>
        </is>
      </c>
      <c r="G709" t="n">
        <v>2.1</v>
      </c>
      <c r="H709" t="n">
        <v>0</v>
      </c>
      <c r="I709" t="n">
        <v>0</v>
      </c>
      <c r="J709" t="n">
        <v>0</v>
      </c>
      <c r="K709" t="n">
        <v>0</v>
      </c>
      <c r="L709" t="n">
        <v>0</v>
      </c>
      <c r="M709" t="n">
        <v>0</v>
      </c>
      <c r="N709" t="n">
        <v>0</v>
      </c>
      <c r="O709" t="n">
        <v>0</v>
      </c>
      <c r="P709" t="n">
        <v>0</v>
      </c>
      <c r="Q709" t="n">
        <v>0</v>
      </c>
      <c r="R709" s="2" t="inlineStr"/>
    </row>
    <row r="710" ht="15" customHeight="1">
      <c r="A710" t="inlineStr">
        <is>
          <t>A 45747-2023</t>
        </is>
      </c>
      <c r="B710" s="1" t="n">
        <v>45195.3878125</v>
      </c>
      <c r="C710" s="1" t="n">
        <v>46076</v>
      </c>
      <c r="D710" t="inlineStr">
        <is>
          <t>JÄMTLANDS LÄN</t>
        </is>
      </c>
      <c r="E710" t="inlineStr">
        <is>
          <t>HÄRJEDALEN</t>
        </is>
      </c>
      <c r="G710" t="n">
        <v>1.7</v>
      </c>
      <c r="H710" t="n">
        <v>0</v>
      </c>
      <c r="I710" t="n">
        <v>0</v>
      </c>
      <c r="J710" t="n">
        <v>0</v>
      </c>
      <c r="K710" t="n">
        <v>0</v>
      </c>
      <c r="L710" t="n">
        <v>0</v>
      </c>
      <c r="M710" t="n">
        <v>0</v>
      </c>
      <c r="N710" t="n">
        <v>0</v>
      </c>
      <c r="O710" t="n">
        <v>0</v>
      </c>
      <c r="P710" t="n">
        <v>0</v>
      </c>
      <c r="Q710" t="n">
        <v>0</v>
      </c>
      <c r="R710" s="2" t="inlineStr"/>
    </row>
    <row r="711" ht="15" customHeight="1">
      <c r="A711" t="inlineStr">
        <is>
          <t>A 11818-2023</t>
        </is>
      </c>
      <c r="B711" s="1" t="n">
        <v>44994</v>
      </c>
      <c r="C711" s="1" t="n">
        <v>46076</v>
      </c>
      <c r="D711" t="inlineStr">
        <is>
          <t>JÄMTLANDS LÄN</t>
        </is>
      </c>
      <c r="E711" t="inlineStr">
        <is>
          <t>HÄRJEDALEN</t>
        </is>
      </c>
      <c r="G711" t="n">
        <v>8.9</v>
      </c>
      <c r="H711" t="n">
        <v>0</v>
      </c>
      <c r="I711" t="n">
        <v>0</v>
      </c>
      <c r="J711" t="n">
        <v>0</v>
      </c>
      <c r="K711" t="n">
        <v>0</v>
      </c>
      <c r="L711" t="n">
        <v>0</v>
      </c>
      <c r="M711" t="n">
        <v>0</v>
      </c>
      <c r="N711" t="n">
        <v>0</v>
      </c>
      <c r="O711" t="n">
        <v>0</v>
      </c>
      <c r="P711" t="n">
        <v>0</v>
      </c>
      <c r="Q711" t="n">
        <v>0</v>
      </c>
      <c r="R711" s="2" t="inlineStr"/>
    </row>
    <row r="712" ht="15" customHeight="1">
      <c r="A712" t="inlineStr">
        <is>
          <t>A 8136-2024</t>
        </is>
      </c>
      <c r="B712" s="1" t="n">
        <v>45351</v>
      </c>
      <c r="C712" s="1" t="n">
        <v>46076</v>
      </c>
      <c r="D712" t="inlineStr">
        <is>
          <t>JÄMTLANDS LÄN</t>
        </is>
      </c>
      <c r="E712" t="inlineStr">
        <is>
          <t>HÄRJEDALEN</t>
        </is>
      </c>
      <c r="G712" t="n">
        <v>1.2</v>
      </c>
      <c r="H712" t="n">
        <v>0</v>
      </c>
      <c r="I712" t="n">
        <v>0</v>
      </c>
      <c r="J712" t="n">
        <v>0</v>
      </c>
      <c r="K712" t="n">
        <v>0</v>
      </c>
      <c r="L712" t="n">
        <v>0</v>
      </c>
      <c r="M712" t="n">
        <v>0</v>
      </c>
      <c r="N712" t="n">
        <v>0</v>
      </c>
      <c r="O712" t="n">
        <v>0</v>
      </c>
      <c r="P712" t="n">
        <v>0</v>
      </c>
      <c r="Q712" t="n">
        <v>0</v>
      </c>
      <c r="R712" s="2" t="inlineStr"/>
    </row>
    <row r="713" ht="15" customHeight="1">
      <c r="A713" t="inlineStr">
        <is>
          <t>A 39453-2021</t>
        </is>
      </c>
      <c r="B713" s="1" t="n">
        <v>44414.58354166667</v>
      </c>
      <c r="C713" s="1" t="n">
        <v>46076</v>
      </c>
      <c r="D713" t="inlineStr">
        <is>
          <t>JÄMTLANDS LÄN</t>
        </is>
      </c>
      <c r="E713" t="inlineStr">
        <is>
          <t>HÄRJEDALEN</t>
        </is>
      </c>
      <c r="G713" t="n">
        <v>0.9</v>
      </c>
      <c r="H713" t="n">
        <v>0</v>
      </c>
      <c r="I713" t="n">
        <v>0</v>
      </c>
      <c r="J713" t="n">
        <v>0</v>
      </c>
      <c r="K713" t="n">
        <v>0</v>
      </c>
      <c r="L713" t="n">
        <v>0</v>
      </c>
      <c r="M713" t="n">
        <v>0</v>
      </c>
      <c r="N713" t="n">
        <v>0</v>
      </c>
      <c r="O713" t="n">
        <v>0</v>
      </c>
      <c r="P713" t="n">
        <v>0</v>
      </c>
      <c r="Q713" t="n">
        <v>0</v>
      </c>
      <c r="R713" s="2" t="inlineStr"/>
    </row>
    <row r="714" ht="15" customHeight="1">
      <c r="A714" t="inlineStr">
        <is>
          <t>A 51653-2025</t>
        </is>
      </c>
      <c r="B714" s="1" t="n">
        <v>45951.46152777778</v>
      </c>
      <c r="C714" s="1" t="n">
        <v>46076</v>
      </c>
      <c r="D714" t="inlineStr">
        <is>
          <t>JÄMTLANDS LÄN</t>
        </is>
      </c>
      <c r="E714" t="inlineStr">
        <is>
          <t>HÄRJEDALEN</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53432-2023</t>
        </is>
      </c>
      <c r="B715" s="1" t="n">
        <v>45229.92739583334</v>
      </c>
      <c r="C715" s="1" t="n">
        <v>46076</v>
      </c>
      <c r="D715" t="inlineStr">
        <is>
          <t>JÄMTLANDS LÄN</t>
        </is>
      </c>
      <c r="E715" t="inlineStr">
        <is>
          <t>HÄRJEDALEN</t>
        </is>
      </c>
      <c r="G715" t="n">
        <v>0.8</v>
      </c>
      <c r="H715" t="n">
        <v>0</v>
      </c>
      <c r="I715" t="n">
        <v>0</v>
      </c>
      <c r="J715" t="n">
        <v>0</v>
      </c>
      <c r="K715" t="n">
        <v>0</v>
      </c>
      <c r="L715" t="n">
        <v>0</v>
      </c>
      <c r="M715" t="n">
        <v>0</v>
      </c>
      <c r="N715" t="n">
        <v>0</v>
      </c>
      <c r="O715" t="n">
        <v>0</v>
      </c>
      <c r="P715" t="n">
        <v>0</v>
      </c>
      <c r="Q715" t="n">
        <v>0</v>
      </c>
      <c r="R715" s="2" t="inlineStr"/>
    </row>
    <row r="716" ht="15" customHeight="1">
      <c r="A716" t="inlineStr">
        <is>
          <t>A 52015-2025</t>
        </is>
      </c>
      <c r="B716" s="1" t="n">
        <v>45952.59693287037</v>
      </c>
      <c r="C716" s="1" t="n">
        <v>46076</v>
      </c>
      <c r="D716" t="inlineStr">
        <is>
          <t>JÄMTLANDS LÄN</t>
        </is>
      </c>
      <c r="E716" t="inlineStr">
        <is>
          <t>HÄRJEDALEN</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38709-2025</t>
        </is>
      </c>
      <c r="B717" s="1" t="n">
        <v>45885</v>
      </c>
      <c r="C717" s="1" t="n">
        <v>46076</v>
      </c>
      <c r="D717" t="inlineStr">
        <is>
          <t>JÄMTLANDS LÄN</t>
        </is>
      </c>
      <c r="E717" t="inlineStr">
        <is>
          <t>HÄRJEDALEN</t>
        </is>
      </c>
      <c r="G717" t="n">
        <v>70</v>
      </c>
      <c r="H717" t="n">
        <v>0</v>
      </c>
      <c r="I717" t="n">
        <v>0</v>
      </c>
      <c r="J717" t="n">
        <v>0</v>
      </c>
      <c r="K717" t="n">
        <v>0</v>
      </c>
      <c r="L717" t="n">
        <v>0</v>
      </c>
      <c r="M717" t="n">
        <v>0</v>
      </c>
      <c r="N717" t="n">
        <v>0</v>
      </c>
      <c r="O717" t="n">
        <v>0</v>
      </c>
      <c r="P717" t="n">
        <v>0</v>
      </c>
      <c r="Q717" t="n">
        <v>0</v>
      </c>
      <c r="R717" s="2" t="inlineStr"/>
    </row>
    <row r="718" ht="15" customHeight="1">
      <c r="A718" t="inlineStr">
        <is>
          <t>A 56251-2024</t>
        </is>
      </c>
      <c r="B718" s="1" t="n">
        <v>45624.63614583333</v>
      </c>
      <c r="C718" s="1" t="n">
        <v>46076</v>
      </c>
      <c r="D718" t="inlineStr">
        <is>
          <t>JÄMTLANDS LÄN</t>
        </is>
      </c>
      <c r="E718" t="inlineStr">
        <is>
          <t>HÄRJEDALEN</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18620-2023</t>
        </is>
      </c>
      <c r="B719" s="1" t="n">
        <v>45041</v>
      </c>
      <c r="C719" s="1" t="n">
        <v>46076</v>
      </c>
      <c r="D719" t="inlineStr">
        <is>
          <t>JÄMTLANDS LÄN</t>
        </is>
      </c>
      <c r="E719" t="inlineStr">
        <is>
          <t>HÄRJEDALEN</t>
        </is>
      </c>
      <c r="G719" t="n">
        <v>0.5</v>
      </c>
      <c r="H719" t="n">
        <v>0</v>
      </c>
      <c r="I719" t="n">
        <v>0</v>
      </c>
      <c r="J719" t="n">
        <v>0</v>
      </c>
      <c r="K719" t="n">
        <v>0</v>
      </c>
      <c r="L719" t="n">
        <v>0</v>
      </c>
      <c r="M719" t="n">
        <v>0</v>
      </c>
      <c r="N719" t="n">
        <v>0</v>
      </c>
      <c r="O719" t="n">
        <v>0</v>
      </c>
      <c r="P719" t="n">
        <v>0</v>
      </c>
      <c r="Q719" t="n">
        <v>0</v>
      </c>
      <c r="R719" s="2" t="inlineStr"/>
    </row>
    <row r="720" ht="15" customHeight="1">
      <c r="A720" t="inlineStr">
        <is>
          <t>A 52230-2025</t>
        </is>
      </c>
      <c r="B720" s="1" t="n">
        <v>45953</v>
      </c>
      <c r="C720" s="1" t="n">
        <v>46076</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52520-2025</t>
        </is>
      </c>
      <c r="B721" s="1" t="n">
        <v>45954.51769675926</v>
      </c>
      <c r="C721" s="1" t="n">
        <v>46076</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31791-2024</t>
        </is>
      </c>
      <c r="B722" s="1" t="n">
        <v>45509</v>
      </c>
      <c r="C722" s="1" t="n">
        <v>46076</v>
      </c>
      <c r="D722" t="inlineStr">
        <is>
          <t>JÄMTLANDS LÄN</t>
        </is>
      </c>
      <c r="E722" t="inlineStr">
        <is>
          <t>HÄRJEDALEN</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4642-2025</t>
        </is>
      </c>
      <c r="B723" s="1" t="n">
        <v>45687.65449074074</v>
      </c>
      <c r="C723" s="1" t="n">
        <v>46076</v>
      </c>
      <c r="D723" t="inlineStr">
        <is>
          <t>JÄMTLANDS LÄN</t>
        </is>
      </c>
      <c r="E723" t="inlineStr">
        <is>
          <t>HÄRJEDALEN</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21796-2022</t>
        </is>
      </c>
      <c r="B724" s="1" t="n">
        <v>44708</v>
      </c>
      <c r="C724" s="1" t="n">
        <v>46076</v>
      </c>
      <c r="D724" t="inlineStr">
        <is>
          <t>JÄMTLANDS LÄN</t>
        </is>
      </c>
      <c r="E724" t="inlineStr">
        <is>
          <t>HÄRJEDALEN</t>
        </is>
      </c>
      <c r="F724" t="inlineStr">
        <is>
          <t>Holmen skog AB</t>
        </is>
      </c>
      <c r="G724" t="n">
        <v>22.3</v>
      </c>
      <c r="H724" t="n">
        <v>0</v>
      </c>
      <c r="I724" t="n">
        <v>0</v>
      </c>
      <c r="J724" t="n">
        <v>0</v>
      </c>
      <c r="K724" t="n">
        <v>0</v>
      </c>
      <c r="L724" t="n">
        <v>0</v>
      </c>
      <c r="M724" t="n">
        <v>0</v>
      </c>
      <c r="N724" t="n">
        <v>0</v>
      </c>
      <c r="O724" t="n">
        <v>0</v>
      </c>
      <c r="P724" t="n">
        <v>0</v>
      </c>
      <c r="Q724" t="n">
        <v>0</v>
      </c>
      <c r="R724" s="2" t="inlineStr"/>
    </row>
    <row r="725" ht="15" customHeight="1">
      <c r="A725" t="inlineStr">
        <is>
          <t>A 6001-2023</t>
        </is>
      </c>
      <c r="B725" s="1" t="n">
        <v>44964</v>
      </c>
      <c r="C725" s="1" t="n">
        <v>46076</v>
      </c>
      <c r="D725" t="inlineStr">
        <is>
          <t>JÄMTLANDS LÄN</t>
        </is>
      </c>
      <c r="E725" t="inlineStr">
        <is>
          <t>HÄRJEDALEN</t>
        </is>
      </c>
      <c r="G725" t="n">
        <v>1.3</v>
      </c>
      <c r="H725" t="n">
        <v>0</v>
      </c>
      <c r="I725" t="n">
        <v>0</v>
      </c>
      <c r="J725" t="n">
        <v>0</v>
      </c>
      <c r="K725" t="n">
        <v>0</v>
      </c>
      <c r="L725" t="n">
        <v>0</v>
      </c>
      <c r="M725" t="n">
        <v>0</v>
      </c>
      <c r="N725" t="n">
        <v>0</v>
      </c>
      <c r="O725" t="n">
        <v>0</v>
      </c>
      <c r="P725" t="n">
        <v>0</v>
      </c>
      <c r="Q725" t="n">
        <v>0</v>
      </c>
      <c r="R725" s="2" t="inlineStr"/>
    </row>
    <row r="726" ht="15" customHeight="1">
      <c r="A726" t="inlineStr">
        <is>
          <t>A 53268-2025</t>
        </is>
      </c>
      <c r="B726" s="1" t="n">
        <v>45958.69850694444</v>
      </c>
      <c r="C726" s="1" t="n">
        <v>46076</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53175-2025</t>
        </is>
      </c>
      <c r="B727" s="1" t="n">
        <v>45958.52390046296</v>
      </c>
      <c r="C727" s="1" t="n">
        <v>46076</v>
      </c>
      <c r="D727" t="inlineStr">
        <is>
          <t>JÄMTLANDS LÄN</t>
        </is>
      </c>
      <c r="E727" t="inlineStr">
        <is>
          <t>HÄRJEDALEN</t>
        </is>
      </c>
      <c r="G727" t="n">
        <v>16.8</v>
      </c>
      <c r="H727" t="n">
        <v>0</v>
      </c>
      <c r="I727" t="n">
        <v>0</v>
      </c>
      <c r="J727" t="n">
        <v>0</v>
      </c>
      <c r="K727" t="n">
        <v>0</v>
      </c>
      <c r="L727" t="n">
        <v>0</v>
      </c>
      <c r="M727" t="n">
        <v>0</v>
      </c>
      <c r="N727" t="n">
        <v>0</v>
      </c>
      <c r="O727" t="n">
        <v>0</v>
      </c>
      <c r="P727" t="n">
        <v>0</v>
      </c>
      <c r="Q727" t="n">
        <v>0</v>
      </c>
      <c r="R727" s="2" t="inlineStr"/>
    </row>
    <row r="728" ht="15" customHeight="1">
      <c r="A728" t="inlineStr">
        <is>
          <t>A 53256-2025</t>
        </is>
      </c>
      <c r="B728" s="1" t="n">
        <v>45958.6740625</v>
      </c>
      <c r="C728" s="1" t="n">
        <v>46076</v>
      </c>
      <c r="D728" t="inlineStr">
        <is>
          <t>JÄMTLANDS LÄN</t>
        </is>
      </c>
      <c r="E728" t="inlineStr">
        <is>
          <t>HÄRJEDALEN</t>
        </is>
      </c>
      <c r="G728" t="n">
        <v>1.5</v>
      </c>
      <c r="H728" t="n">
        <v>0</v>
      </c>
      <c r="I728" t="n">
        <v>0</v>
      </c>
      <c r="J728" t="n">
        <v>0</v>
      </c>
      <c r="K728" t="n">
        <v>0</v>
      </c>
      <c r="L728" t="n">
        <v>0</v>
      </c>
      <c r="M728" t="n">
        <v>0</v>
      </c>
      <c r="N728" t="n">
        <v>0</v>
      </c>
      <c r="O728" t="n">
        <v>0</v>
      </c>
      <c r="P728" t="n">
        <v>0</v>
      </c>
      <c r="Q728" t="n">
        <v>0</v>
      </c>
      <c r="R728" s="2" t="inlineStr"/>
    </row>
    <row r="729" ht="15" customHeight="1">
      <c r="A729" t="inlineStr">
        <is>
          <t>A 53253-2025</t>
        </is>
      </c>
      <c r="B729" s="1" t="n">
        <v>45958.66732638889</v>
      </c>
      <c r="C729" s="1" t="n">
        <v>46076</v>
      </c>
      <c r="D729" t="inlineStr">
        <is>
          <t>JÄMTLANDS LÄN</t>
        </is>
      </c>
      <c r="E729" t="inlineStr">
        <is>
          <t>HÄRJEDALEN</t>
        </is>
      </c>
      <c r="G729" t="n">
        <v>4.4</v>
      </c>
      <c r="H729" t="n">
        <v>0</v>
      </c>
      <c r="I729" t="n">
        <v>0</v>
      </c>
      <c r="J729" t="n">
        <v>0</v>
      </c>
      <c r="K729" t="n">
        <v>0</v>
      </c>
      <c r="L729" t="n">
        <v>0</v>
      </c>
      <c r="M729" t="n">
        <v>0</v>
      </c>
      <c r="N729" t="n">
        <v>0</v>
      </c>
      <c r="O729" t="n">
        <v>0</v>
      </c>
      <c r="P729" t="n">
        <v>0</v>
      </c>
      <c r="Q729" t="n">
        <v>0</v>
      </c>
      <c r="R729" s="2" t="inlineStr"/>
    </row>
    <row r="730" ht="15" customHeight="1">
      <c r="A730" t="inlineStr">
        <is>
          <t>A 18144-2025</t>
        </is>
      </c>
      <c r="B730" s="1" t="n">
        <v>45761.61501157407</v>
      </c>
      <c r="C730" s="1" t="n">
        <v>46076</v>
      </c>
      <c r="D730" t="inlineStr">
        <is>
          <t>JÄMTLANDS LÄN</t>
        </is>
      </c>
      <c r="E730" t="inlineStr">
        <is>
          <t>HÄRJEDALEN</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53265-2025</t>
        </is>
      </c>
      <c r="B731" s="1" t="n">
        <v>45958.6809375</v>
      </c>
      <c r="C731" s="1" t="n">
        <v>46076</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53267-2025</t>
        </is>
      </c>
      <c r="B732" s="1" t="n">
        <v>45958.69079861111</v>
      </c>
      <c r="C732" s="1" t="n">
        <v>46076</v>
      </c>
      <c r="D732" t="inlineStr">
        <is>
          <t>JÄMTLANDS LÄN</t>
        </is>
      </c>
      <c r="E732" t="inlineStr">
        <is>
          <t>HÄRJEDALEN</t>
        </is>
      </c>
      <c r="G732" t="n">
        <v>3.3</v>
      </c>
      <c r="H732" t="n">
        <v>0</v>
      </c>
      <c r="I732" t="n">
        <v>0</v>
      </c>
      <c r="J732" t="n">
        <v>0</v>
      </c>
      <c r="K732" t="n">
        <v>0</v>
      </c>
      <c r="L732" t="n">
        <v>0</v>
      </c>
      <c r="M732" t="n">
        <v>0</v>
      </c>
      <c r="N732" t="n">
        <v>0</v>
      </c>
      <c r="O732" t="n">
        <v>0</v>
      </c>
      <c r="P732" t="n">
        <v>0</v>
      </c>
      <c r="Q732" t="n">
        <v>0</v>
      </c>
      <c r="R732" s="2" t="inlineStr"/>
    </row>
    <row r="733" ht="15" customHeight="1">
      <c r="A733" t="inlineStr">
        <is>
          <t>A 29594-2024</t>
        </is>
      </c>
      <c r="B733" s="1" t="n">
        <v>45484.58422453704</v>
      </c>
      <c r="C733" s="1" t="n">
        <v>46076</v>
      </c>
      <c r="D733" t="inlineStr">
        <is>
          <t>JÄMTLANDS LÄN</t>
        </is>
      </c>
      <c r="E733" t="inlineStr">
        <is>
          <t>HÄRJEDALEN</t>
        </is>
      </c>
      <c r="F733" t="inlineStr">
        <is>
          <t>Holmen skog AB</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53260-2025</t>
        </is>
      </c>
      <c r="B734" s="1" t="n">
        <v>45958.67776620371</v>
      </c>
      <c r="C734" s="1" t="n">
        <v>46076</v>
      </c>
      <c r="D734" t="inlineStr">
        <is>
          <t>JÄMTLANDS LÄN</t>
        </is>
      </c>
      <c r="E734" t="inlineStr">
        <is>
          <t>HÄRJEDALEN</t>
        </is>
      </c>
      <c r="G734" t="n">
        <v>3.3</v>
      </c>
      <c r="H734" t="n">
        <v>0</v>
      </c>
      <c r="I734" t="n">
        <v>0</v>
      </c>
      <c r="J734" t="n">
        <v>0</v>
      </c>
      <c r="K734" t="n">
        <v>0</v>
      </c>
      <c r="L734" t="n">
        <v>0</v>
      </c>
      <c r="M734" t="n">
        <v>0</v>
      </c>
      <c r="N734" t="n">
        <v>0</v>
      </c>
      <c r="O734" t="n">
        <v>0</v>
      </c>
      <c r="P734" t="n">
        <v>0</v>
      </c>
      <c r="Q734" t="n">
        <v>0</v>
      </c>
      <c r="R734" s="2" t="inlineStr"/>
    </row>
    <row r="735" ht="15" customHeight="1">
      <c r="A735" t="inlineStr">
        <is>
          <t>A 51931-2025</t>
        </is>
      </c>
      <c r="B735" s="1" t="n">
        <v>45952</v>
      </c>
      <c r="C735" s="1" t="n">
        <v>46076</v>
      </c>
      <c r="D735" t="inlineStr">
        <is>
          <t>JÄMTLANDS LÄN</t>
        </is>
      </c>
      <c r="E735" t="inlineStr">
        <is>
          <t>HÄRJEDALEN</t>
        </is>
      </c>
      <c r="G735" t="n">
        <v>1.9</v>
      </c>
      <c r="H735" t="n">
        <v>0</v>
      </c>
      <c r="I735" t="n">
        <v>0</v>
      </c>
      <c r="J735" t="n">
        <v>0</v>
      </c>
      <c r="K735" t="n">
        <v>0</v>
      </c>
      <c r="L735" t="n">
        <v>0</v>
      </c>
      <c r="M735" t="n">
        <v>0</v>
      </c>
      <c r="N735" t="n">
        <v>0</v>
      </c>
      <c r="O735" t="n">
        <v>0</v>
      </c>
      <c r="P735" t="n">
        <v>0</v>
      </c>
      <c r="Q735" t="n">
        <v>0</v>
      </c>
      <c r="R735" s="2" t="inlineStr"/>
    </row>
    <row r="736" ht="15" customHeight="1">
      <c r="A736" t="inlineStr">
        <is>
          <t>A 53613-2025</t>
        </is>
      </c>
      <c r="B736" s="1" t="n">
        <v>45960.47413194444</v>
      </c>
      <c r="C736" s="1" t="n">
        <v>46076</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53992-2025</t>
        </is>
      </c>
      <c r="B737" s="1" t="n">
        <v>45961.58226851852</v>
      </c>
      <c r="C737" s="1" t="n">
        <v>46076</v>
      </c>
      <c r="D737" t="inlineStr">
        <is>
          <t>JÄMTLANDS LÄN</t>
        </is>
      </c>
      <c r="E737" t="inlineStr">
        <is>
          <t>HÄRJEDALEN</t>
        </is>
      </c>
      <c r="G737" t="n">
        <v>1.9</v>
      </c>
      <c r="H737" t="n">
        <v>0</v>
      </c>
      <c r="I737" t="n">
        <v>0</v>
      </c>
      <c r="J737" t="n">
        <v>0</v>
      </c>
      <c r="K737" t="n">
        <v>0</v>
      </c>
      <c r="L737" t="n">
        <v>0</v>
      </c>
      <c r="M737" t="n">
        <v>0</v>
      </c>
      <c r="N737" t="n">
        <v>0</v>
      </c>
      <c r="O737" t="n">
        <v>0</v>
      </c>
      <c r="P737" t="n">
        <v>0</v>
      </c>
      <c r="Q737" t="n">
        <v>0</v>
      </c>
      <c r="R737" s="2" t="inlineStr"/>
    </row>
    <row r="738" ht="15" customHeight="1">
      <c r="A738" t="inlineStr">
        <is>
          <t>A 53631-2025</t>
        </is>
      </c>
      <c r="B738" s="1" t="n">
        <v>45960.49898148148</v>
      </c>
      <c r="C738" s="1" t="n">
        <v>46076</v>
      </c>
      <c r="D738" t="inlineStr">
        <is>
          <t>JÄMTLANDS LÄN</t>
        </is>
      </c>
      <c r="E738" t="inlineStr">
        <is>
          <t>HÄRJEDALEN</t>
        </is>
      </c>
      <c r="F738" t="inlineStr">
        <is>
          <t>Bergvik skog väst AB</t>
        </is>
      </c>
      <c r="G738" t="n">
        <v>10</v>
      </c>
      <c r="H738" t="n">
        <v>0</v>
      </c>
      <c r="I738" t="n">
        <v>0</v>
      </c>
      <c r="J738" t="n">
        <v>0</v>
      </c>
      <c r="K738" t="n">
        <v>0</v>
      </c>
      <c r="L738" t="n">
        <v>0</v>
      </c>
      <c r="M738" t="n">
        <v>0</v>
      </c>
      <c r="N738" t="n">
        <v>0</v>
      </c>
      <c r="O738" t="n">
        <v>0</v>
      </c>
      <c r="P738" t="n">
        <v>0</v>
      </c>
      <c r="Q738" t="n">
        <v>0</v>
      </c>
      <c r="R738" s="2" t="inlineStr"/>
    </row>
    <row r="739" ht="15" customHeight="1">
      <c r="A739" t="inlineStr">
        <is>
          <t>A 56043-2022</t>
        </is>
      </c>
      <c r="B739" s="1" t="n">
        <v>44889.56582175926</v>
      </c>
      <c r="C739" s="1" t="n">
        <v>46076</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56013-2023</t>
        </is>
      </c>
      <c r="B740" s="1" t="n">
        <v>45240</v>
      </c>
      <c r="C740" s="1" t="n">
        <v>46076</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53980-2025</t>
        </is>
      </c>
      <c r="B741" s="1" t="n">
        <v>45961.56611111111</v>
      </c>
      <c r="C741" s="1" t="n">
        <v>46076</v>
      </c>
      <c r="D741" t="inlineStr">
        <is>
          <t>JÄMTLANDS LÄN</t>
        </is>
      </c>
      <c r="E741" t="inlineStr">
        <is>
          <t>HÄRJEDALEN</t>
        </is>
      </c>
      <c r="G741" t="n">
        <v>2.3</v>
      </c>
      <c r="H741" t="n">
        <v>0</v>
      </c>
      <c r="I741" t="n">
        <v>0</v>
      </c>
      <c r="J741" t="n">
        <v>0</v>
      </c>
      <c r="K741" t="n">
        <v>0</v>
      </c>
      <c r="L741" t="n">
        <v>0</v>
      </c>
      <c r="M741" t="n">
        <v>0</v>
      </c>
      <c r="N741" t="n">
        <v>0</v>
      </c>
      <c r="O741" t="n">
        <v>0</v>
      </c>
      <c r="P741" t="n">
        <v>0</v>
      </c>
      <c r="Q741" t="n">
        <v>0</v>
      </c>
      <c r="R741" s="2" t="inlineStr"/>
    </row>
    <row r="742" ht="15" customHeight="1">
      <c r="A742" t="inlineStr">
        <is>
          <t>A 12747-2025</t>
        </is>
      </c>
      <c r="B742" s="1" t="n">
        <v>45733</v>
      </c>
      <c r="C742" s="1" t="n">
        <v>46076</v>
      </c>
      <c r="D742" t="inlineStr">
        <is>
          <t>JÄMTLANDS LÄN</t>
        </is>
      </c>
      <c r="E742" t="inlineStr">
        <is>
          <t>HÄRJEDALEN</t>
        </is>
      </c>
      <c r="G742" t="n">
        <v>12.1</v>
      </c>
      <c r="H742" t="n">
        <v>0</v>
      </c>
      <c r="I742" t="n">
        <v>0</v>
      </c>
      <c r="J742" t="n">
        <v>0</v>
      </c>
      <c r="K742" t="n">
        <v>0</v>
      </c>
      <c r="L742" t="n">
        <v>0</v>
      </c>
      <c r="M742" t="n">
        <v>0</v>
      </c>
      <c r="N742" t="n">
        <v>0</v>
      </c>
      <c r="O742" t="n">
        <v>0</v>
      </c>
      <c r="P742" t="n">
        <v>0</v>
      </c>
      <c r="Q742" t="n">
        <v>0</v>
      </c>
      <c r="R742" s="2" t="inlineStr"/>
    </row>
    <row r="743" ht="15" customHeight="1">
      <c r="A743" t="inlineStr">
        <is>
          <t>A 48669-2023</t>
        </is>
      </c>
      <c r="B743" s="1" t="n">
        <v>45203</v>
      </c>
      <c r="C743" s="1" t="n">
        <v>46076</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53523-2025</t>
        </is>
      </c>
      <c r="B744" s="1" t="n">
        <v>45960.36037037037</v>
      </c>
      <c r="C744" s="1" t="n">
        <v>46076</v>
      </c>
      <c r="D744" t="inlineStr">
        <is>
          <t>JÄMTLANDS LÄN</t>
        </is>
      </c>
      <c r="E744" t="inlineStr">
        <is>
          <t>HÄRJEDALEN</t>
        </is>
      </c>
      <c r="G744" t="n">
        <v>1.2</v>
      </c>
      <c r="H744" t="n">
        <v>0</v>
      </c>
      <c r="I744" t="n">
        <v>0</v>
      </c>
      <c r="J744" t="n">
        <v>0</v>
      </c>
      <c r="K744" t="n">
        <v>0</v>
      </c>
      <c r="L744" t="n">
        <v>0</v>
      </c>
      <c r="M744" t="n">
        <v>0</v>
      </c>
      <c r="N744" t="n">
        <v>0</v>
      </c>
      <c r="O744" t="n">
        <v>0</v>
      </c>
      <c r="P744" t="n">
        <v>0</v>
      </c>
      <c r="Q744" t="n">
        <v>0</v>
      </c>
      <c r="R744" s="2" t="inlineStr"/>
    </row>
    <row r="745" ht="15" customHeight="1">
      <c r="A745" t="inlineStr">
        <is>
          <t>A 41146-2021</t>
        </is>
      </c>
      <c r="B745" s="1" t="n">
        <v>44423</v>
      </c>
      <c r="C745" s="1" t="n">
        <v>46076</v>
      </c>
      <c r="D745" t="inlineStr">
        <is>
          <t>JÄMTLANDS LÄN</t>
        </is>
      </c>
      <c r="E745" t="inlineStr">
        <is>
          <t>HÄRJEDALEN</t>
        </is>
      </c>
      <c r="G745" t="n">
        <v>14.9</v>
      </c>
      <c r="H745" t="n">
        <v>0</v>
      </c>
      <c r="I745" t="n">
        <v>0</v>
      </c>
      <c r="J745" t="n">
        <v>0</v>
      </c>
      <c r="K745" t="n">
        <v>0</v>
      </c>
      <c r="L745" t="n">
        <v>0</v>
      </c>
      <c r="M745" t="n">
        <v>0</v>
      </c>
      <c r="N745" t="n">
        <v>0</v>
      </c>
      <c r="O745" t="n">
        <v>0</v>
      </c>
      <c r="P745" t="n">
        <v>0</v>
      </c>
      <c r="Q745" t="n">
        <v>0</v>
      </c>
      <c r="R745" s="2" t="inlineStr"/>
    </row>
    <row r="746" ht="15" customHeight="1">
      <c r="A746" t="inlineStr">
        <is>
          <t>A 41146-2021</t>
        </is>
      </c>
      <c r="B746" s="1" t="n">
        <v>44423</v>
      </c>
      <c r="C746" s="1" t="n">
        <v>46076</v>
      </c>
      <c r="D746" t="inlineStr">
        <is>
          <t>JÄMTLANDS LÄN</t>
        </is>
      </c>
      <c r="E746" t="inlineStr">
        <is>
          <t>HÄRJEDALEN</t>
        </is>
      </c>
      <c r="G746" t="n">
        <v>14.9</v>
      </c>
      <c r="H746" t="n">
        <v>0</v>
      </c>
      <c r="I746" t="n">
        <v>0</v>
      </c>
      <c r="J746" t="n">
        <v>0</v>
      </c>
      <c r="K746" t="n">
        <v>0</v>
      </c>
      <c r="L746" t="n">
        <v>0</v>
      </c>
      <c r="M746" t="n">
        <v>0</v>
      </c>
      <c r="N746" t="n">
        <v>0</v>
      </c>
      <c r="O746" t="n">
        <v>0</v>
      </c>
      <c r="P746" t="n">
        <v>0</v>
      </c>
      <c r="Q746" t="n">
        <v>0</v>
      </c>
      <c r="R746" s="2" t="inlineStr"/>
    </row>
    <row r="747" ht="15" customHeight="1">
      <c r="A747" t="inlineStr">
        <is>
          <t>A 54661-2022</t>
        </is>
      </c>
      <c r="B747" s="1" t="n">
        <v>44883</v>
      </c>
      <c r="C747" s="1" t="n">
        <v>46076</v>
      </c>
      <c r="D747" t="inlineStr">
        <is>
          <t>JÄMTLANDS LÄN</t>
        </is>
      </c>
      <c r="E747" t="inlineStr">
        <is>
          <t>HÄRJEDALEN</t>
        </is>
      </c>
      <c r="G747" t="n">
        <v>5.9</v>
      </c>
      <c r="H747" t="n">
        <v>0</v>
      </c>
      <c r="I747" t="n">
        <v>0</v>
      </c>
      <c r="J747" t="n">
        <v>0</v>
      </c>
      <c r="K747" t="n">
        <v>0</v>
      </c>
      <c r="L747" t="n">
        <v>0</v>
      </c>
      <c r="M747" t="n">
        <v>0</v>
      </c>
      <c r="N747" t="n">
        <v>0</v>
      </c>
      <c r="O747" t="n">
        <v>0</v>
      </c>
      <c r="P747" t="n">
        <v>0</v>
      </c>
      <c r="Q747" t="n">
        <v>0</v>
      </c>
      <c r="R747" s="2" t="inlineStr"/>
    </row>
    <row r="748" ht="15" customHeight="1">
      <c r="A748" t="inlineStr">
        <is>
          <t>A 20238-2025</t>
        </is>
      </c>
      <c r="B748" s="1" t="n">
        <v>45772.69290509259</v>
      </c>
      <c r="C748" s="1" t="n">
        <v>46076</v>
      </c>
      <c r="D748" t="inlineStr">
        <is>
          <t>JÄMTLANDS LÄN</t>
        </is>
      </c>
      <c r="E748" t="inlineStr">
        <is>
          <t>HÄRJEDALEN</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18541-2025</t>
        </is>
      </c>
      <c r="B749" s="1" t="n">
        <v>45763.41402777778</v>
      </c>
      <c r="C749" s="1" t="n">
        <v>46076</v>
      </c>
      <c r="D749" t="inlineStr">
        <is>
          <t>JÄMTLANDS LÄN</t>
        </is>
      </c>
      <c r="E749" t="inlineStr">
        <is>
          <t>HÄRJEDALEN</t>
        </is>
      </c>
      <c r="G749" t="n">
        <v>0.7</v>
      </c>
      <c r="H749" t="n">
        <v>0</v>
      </c>
      <c r="I749" t="n">
        <v>0</v>
      </c>
      <c r="J749" t="n">
        <v>0</v>
      </c>
      <c r="K749" t="n">
        <v>0</v>
      </c>
      <c r="L749" t="n">
        <v>0</v>
      </c>
      <c r="M749" t="n">
        <v>0</v>
      </c>
      <c r="N749" t="n">
        <v>0</v>
      </c>
      <c r="O749" t="n">
        <v>0</v>
      </c>
      <c r="P749" t="n">
        <v>0</v>
      </c>
      <c r="Q749" t="n">
        <v>0</v>
      </c>
      <c r="R749" s="2" t="inlineStr"/>
    </row>
    <row r="750" ht="15" customHeight="1">
      <c r="A750" t="inlineStr">
        <is>
          <t>A 45731-2024</t>
        </is>
      </c>
      <c r="B750" s="1" t="n">
        <v>45579.59980324074</v>
      </c>
      <c r="C750" s="1" t="n">
        <v>46076</v>
      </c>
      <c r="D750" t="inlineStr">
        <is>
          <t>JÄMTLANDS LÄN</t>
        </is>
      </c>
      <c r="E750" t="inlineStr">
        <is>
          <t>HÄRJEDALEN</t>
        </is>
      </c>
      <c r="G750" t="n">
        <v>3.4</v>
      </c>
      <c r="H750" t="n">
        <v>0</v>
      </c>
      <c r="I750" t="n">
        <v>0</v>
      </c>
      <c r="J750" t="n">
        <v>0</v>
      </c>
      <c r="K750" t="n">
        <v>0</v>
      </c>
      <c r="L750" t="n">
        <v>0</v>
      </c>
      <c r="M750" t="n">
        <v>0</v>
      </c>
      <c r="N750" t="n">
        <v>0</v>
      </c>
      <c r="O750" t="n">
        <v>0</v>
      </c>
      <c r="P750" t="n">
        <v>0</v>
      </c>
      <c r="Q750" t="n">
        <v>0</v>
      </c>
      <c r="R750" s="2" t="inlineStr"/>
    </row>
    <row r="751" ht="15" customHeight="1">
      <c r="A751" t="inlineStr">
        <is>
          <t>A 54476-2025</t>
        </is>
      </c>
      <c r="B751" s="1" t="n">
        <v>45965.57791666667</v>
      </c>
      <c r="C751" s="1" t="n">
        <v>46076</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53386-2024</t>
        </is>
      </c>
      <c r="B752" s="1" t="n">
        <v>45614.47960648148</v>
      </c>
      <c r="C752" s="1" t="n">
        <v>46076</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27261-2023</t>
        </is>
      </c>
      <c r="B753" s="1" t="n">
        <v>45096.62344907408</v>
      </c>
      <c r="C753" s="1" t="n">
        <v>46076</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54354-2025</t>
        </is>
      </c>
      <c r="B754" s="1" t="n">
        <v>45965.37909722222</v>
      </c>
      <c r="C754" s="1" t="n">
        <v>46076</v>
      </c>
      <c r="D754" t="inlineStr">
        <is>
          <t>JÄMTLANDS LÄN</t>
        </is>
      </c>
      <c r="E754" t="inlineStr">
        <is>
          <t>HÄRJEDALEN</t>
        </is>
      </c>
      <c r="F754" t="inlineStr">
        <is>
          <t>Bergvik skog väst AB</t>
        </is>
      </c>
      <c r="G754" t="n">
        <v>10.9</v>
      </c>
      <c r="H754" t="n">
        <v>0</v>
      </c>
      <c r="I754" t="n">
        <v>0</v>
      </c>
      <c r="J754" t="n">
        <v>0</v>
      </c>
      <c r="K754" t="n">
        <v>0</v>
      </c>
      <c r="L754" t="n">
        <v>0</v>
      </c>
      <c r="M754" t="n">
        <v>0</v>
      </c>
      <c r="N754" t="n">
        <v>0</v>
      </c>
      <c r="O754" t="n">
        <v>0</v>
      </c>
      <c r="P754" t="n">
        <v>0</v>
      </c>
      <c r="Q754" t="n">
        <v>0</v>
      </c>
      <c r="R754" s="2" t="inlineStr"/>
    </row>
    <row r="755" ht="15" customHeight="1">
      <c r="A755" t="inlineStr">
        <is>
          <t>A 35076-2025</t>
        </is>
      </c>
      <c r="B755" s="1" t="n">
        <v>45852.48290509259</v>
      </c>
      <c r="C755" s="1" t="n">
        <v>46076</v>
      </c>
      <c r="D755" t="inlineStr">
        <is>
          <t>JÄMTLANDS LÄN</t>
        </is>
      </c>
      <c r="E755" t="inlineStr">
        <is>
          <t>HÄRJEDALEN</t>
        </is>
      </c>
      <c r="G755" t="n">
        <v>2.9</v>
      </c>
      <c r="H755" t="n">
        <v>0</v>
      </c>
      <c r="I755" t="n">
        <v>0</v>
      </c>
      <c r="J755" t="n">
        <v>0</v>
      </c>
      <c r="K755" t="n">
        <v>0</v>
      </c>
      <c r="L755" t="n">
        <v>0</v>
      </c>
      <c r="M755" t="n">
        <v>0</v>
      </c>
      <c r="N755" t="n">
        <v>0</v>
      </c>
      <c r="O755" t="n">
        <v>0</v>
      </c>
      <c r="P755" t="n">
        <v>0</v>
      </c>
      <c r="Q755" t="n">
        <v>0</v>
      </c>
      <c r="R755" s="2" t="inlineStr"/>
    </row>
    <row r="756" ht="15" customHeight="1">
      <c r="A756" t="inlineStr">
        <is>
          <t>A 34181-2025</t>
        </is>
      </c>
      <c r="B756" s="1" t="n">
        <v>45845</v>
      </c>
      <c r="C756" s="1" t="n">
        <v>46076</v>
      </c>
      <c r="D756" t="inlineStr">
        <is>
          <t>JÄMTLANDS LÄN</t>
        </is>
      </c>
      <c r="E756" t="inlineStr">
        <is>
          <t>HÄRJEDALEN</t>
        </is>
      </c>
      <c r="G756" t="n">
        <v>2.8</v>
      </c>
      <c r="H756" t="n">
        <v>0</v>
      </c>
      <c r="I756" t="n">
        <v>0</v>
      </c>
      <c r="J756" t="n">
        <v>0</v>
      </c>
      <c r="K756" t="n">
        <v>0</v>
      </c>
      <c r="L756" t="n">
        <v>0</v>
      </c>
      <c r="M756" t="n">
        <v>0</v>
      </c>
      <c r="N756" t="n">
        <v>0</v>
      </c>
      <c r="O756" t="n">
        <v>0</v>
      </c>
      <c r="P756" t="n">
        <v>0</v>
      </c>
      <c r="Q756" t="n">
        <v>0</v>
      </c>
      <c r="R756" s="2" t="inlineStr"/>
    </row>
    <row r="757" ht="15" customHeight="1">
      <c r="A757" t="inlineStr">
        <is>
          <t>A 54358-2025</t>
        </is>
      </c>
      <c r="B757" s="1" t="n">
        <v>45965.38599537037</v>
      </c>
      <c r="C757" s="1" t="n">
        <v>46076</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54336-2025</t>
        </is>
      </c>
      <c r="B758" s="1" t="n">
        <v>45965.35207175926</v>
      </c>
      <c r="C758" s="1" t="n">
        <v>46076</v>
      </c>
      <c r="D758" t="inlineStr">
        <is>
          <t>JÄMTLANDS LÄN</t>
        </is>
      </c>
      <c r="E758" t="inlineStr">
        <is>
          <t>HÄRJEDALEN</t>
        </is>
      </c>
      <c r="G758" t="n">
        <v>1.2</v>
      </c>
      <c r="H758" t="n">
        <v>0</v>
      </c>
      <c r="I758" t="n">
        <v>0</v>
      </c>
      <c r="J758" t="n">
        <v>0</v>
      </c>
      <c r="K758" t="n">
        <v>0</v>
      </c>
      <c r="L758" t="n">
        <v>0</v>
      </c>
      <c r="M758" t="n">
        <v>0</v>
      </c>
      <c r="N758" t="n">
        <v>0</v>
      </c>
      <c r="O758" t="n">
        <v>0</v>
      </c>
      <c r="P758" t="n">
        <v>0</v>
      </c>
      <c r="Q758" t="n">
        <v>0</v>
      </c>
      <c r="R758" s="2" t="inlineStr"/>
    </row>
    <row r="759" ht="15" customHeight="1">
      <c r="A759" t="inlineStr">
        <is>
          <t>A 51994-2024</t>
        </is>
      </c>
      <c r="B759" s="1" t="n">
        <v>45607</v>
      </c>
      <c r="C759" s="1" t="n">
        <v>46076</v>
      </c>
      <c r="D759" t="inlineStr">
        <is>
          <t>JÄMTLANDS LÄN</t>
        </is>
      </c>
      <c r="E759" t="inlineStr">
        <is>
          <t>HÄRJEDALEN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54764-2025</t>
        </is>
      </c>
      <c r="B760" s="1" t="n">
        <v>45966.60278935185</v>
      </c>
      <c r="C760" s="1" t="n">
        <v>46076</v>
      </c>
      <c r="D760" t="inlineStr">
        <is>
          <t>JÄMTLANDS LÄN</t>
        </is>
      </c>
      <c r="E760" t="inlineStr">
        <is>
          <t>HÄRJEDALEN</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18080-2024</t>
        </is>
      </c>
      <c r="B761" s="1" t="n">
        <v>45420.44414351852</v>
      </c>
      <c r="C761" s="1" t="n">
        <v>46076</v>
      </c>
      <c r="D761" t="inlineStr">
        <is>
          <t>JÄMTLANDS LÄN</t>
        </is>
      </c>
      <c r="E761" t="inlineStr">
        <is>
          <t>HÄRJEDALEN</t>
        </is>
      </c>
      <c r="F761" t="inlineStr">
        <is>
          <t>Holmen skog AB</t>
        </is>
      </c>
      <c r="G761" t="n">
        <v>12.6</v>
      </c>
      <c r="H761" t="n">
        <v>0</v>
      </c>
      <c r="I761" t="n">
        <v>0</v>
      </c>
      <c r="J761" t="n">
        <v>0</v>
      </c>
      <c r="K761" t="n">
        <v>0</v>
      </c>
      <c r="L761" t="n">
        <v>0</v>
      </c>
      <c r="M761" t="n">
        <v>0</v>
      </c>
      <c r="N761" t="n">
        <v>0</v>
      </c>
      <c r="O761" t="n">
        <v>0</v>
      </c>
      <c r="P761" t="n">
        <v>0</v>
      </c>
      <c r="Q761" t="n">
        <v>0</v>
      </c>
      <c r="R761" s="2" t="inlineStr"/>
    </row>
    <row r="762" ht="15" customHeight="1">
      <c r="A762" t="inlineStr">
        <is>
          <t>A 55034-2025</t>
        </is>
      </c>
      <c r="B762" s="1" t="n">
        <v>45967.64570601852</v>
      </c>
      <c r="C762" s="1" t="n">
        <v>46076</v>
      </c>
      <c r="D762" t="inlineStr">
        <is>
          <t>JÄMTLANDS LÄN</t>
        </is>
      </c>
      <c r="E762" t="inlineStr">
        <is>
          <t>HÄRJEDALEN</t>
        </is>
      </c>
      <c r="G762" t="n">
        <v>9.1</v>
      </c>
      <c r="H762" t="n">
        <v>0</v>
      </c>
      <c r="I762" t="n">
        <v>0</v>
      </c>
      <c r="J762" t="n">
        <v>0</v>
      </c>
      <c r="K762" t="n">
        <v>0</v>
      </c>
      <c r="L762" t="n">
        <v>0</v>
      </c>
      <c r="M762" t="n">
        <v>0</v>
      </c>
      <c r="N762" t="n">
        <v>0</v>
      </c>
      <c r="O762" t="n">
        <v>0</v>
      </c>
      <c r="P762" t="n">
        <v>0</v>
      </c>
      <c r="Q762" t="n">
        <v>0</v>
      </c>
      <c r="R762" s="2" t="inlineStr"/>
    </row>
    <row r="763" ht="15" customHeight="1">
      <c r="A763" t="inlineStr">
        <is>
          <t>A 14401-2025</t>
        </is>
      </c>
      <c r="B763" s="1" t="n">
        <v>45741.45597222223</v>
      </c>
      <c r="C763" s="1" t="n">
        <v>46076</v>
      </c>
      <c r="D763" t="inlineStr">
        <is>
          <t>JÄMTLANDS LÄN</t>
        </is>
      </c>
      <c r="E763" t="inlineStr">
        <is>
          <t>HÄRJEDALEN</t>
        </is>
      </c>
      <c r="G763" t="n">
        <v>7.2</v>
      </c>
      <c r="H763" t="n">
        <v>0</v>
      </c>
      <c r="I763" t="n">
        <v>0</v>
      </c>
      <c r="J763" t="n">
        <v>0</v>
      </c>
      <c r="K763" t="n">
        <v>0</v>
      </c>
      <c r="L763" t="n">
        <v>0</v>
      </c>
      <c r="M763" t="n">
        <v>0</v>
      </c>
      <c r="N763" t="n">
        <v>0</v>
      </c>
      <c r="O763" t="n">
        <v>0</v>
      </c>
      <c r="P763" t="n">
        <v>0</v>
      </c>
      <c r="Q763" t="n">
        <v>0</v>
      </c>
      <c r="R763" s="2" t="inlineStr"/>
    </row>
    <row r="764" ht="15" customHeight="1">
      <c r="A764" t="inlineStr">
        <is>
          <t>A 55465-2025</t>
        </is>
      </c>
      <c r="B764" s="1" t="n">
        <v>45971.52674768519</v>
      </c>
      <c r="C764" s="1" t="n">
        <v>46076</v>
      </c>
      <c r="D764" t="inlineStr">
        <is>
          <t>JÄMTLANDS LÄN</t>
        </is>
      </c>
      <c r="E764" t="inlineStr">
        <is>
          <t>HÄRJEDALEN</t>
        </is>
      </c>
      <c r="G764" t="n">
        <v>6.1</v>
      </c>
      <c r="H764" t="n">
        <v>0</v>
      </c>
      <c r="I764" t="n">
        <v>0</v>
      </c>
      <c r="J764" t="n">
        <v>0</v>
      </c>
      <c r="K764" t="n">
        <v>0</v>
      </c>
      <c r="L764" t="n">
        <v>0</v>
      </c>
      <c r="M764" t="n">
        <v>0</v>
      </c>
      <c r="N764" t="n">
        <v>0</v>
      </c>
      <c r="O764" t="n">
        <v>0</v>
      </c>
      <c r="P764" t="n">
        <v>0</v>
      </c>
      <c r="Q764" t="n">
        <v>0</v>
      </c>
      <c r="R764" s="2" t="inlineStr"/>
    </row>
    <row r="765" ht="15" customHeight="1">
      <c r="A765" t="inlineStr">
        <is>
          <t>A 1394-2025</t>
        </is>
      </c>
      <c r="B765" s="1" t="n">
        <v>45667</v>
      </c>
      <c r="C765" s="1" t="n">
        <v>46076</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45716-2023</t>
        </is>
      </c>
      <c r="B766" s="1" t="n">
        <v>45195.35877314815</v>
      </c>
      <c r="C766" s="1" t="n">
        <v>46076</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46076</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31920-2024</t>
        </is>
      </c>
      <c r="B768" s="1" t="n">
        <v>45510</v>
      </c>
      <c r="C768" s="1" t="n">
        <v>46076</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55661-2024</t>
        </is>
      </c>
      <c r="B769" s="1" t="n">
        <v>45622.64012731481</v>
      </c>
      <c r="C769" s="1" t="n">
        <v>46076</v>
      </c>
      <c r="D769" t="inlineStr">
        <is>
          <t>JÄMTLANDS LÄN</t>
        </is>
      </c>
      <c r="E769" t="inlineStr">
        <is>
          <t>HÄRJEDALEN</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17291-2025</t>
        </is>
      </c>
      <c r="B770" s="1" t="n">
        <v>45756</v>
      </c>
      <c r="C770" s="1" t="n">
        <v>46076</v>
      </c>
      <c r="D770" t="inlineStr">
        <is>
          <t>JÄMTLANDS LÄN</t>
        </is>
      </c>
      <c r="E770" t="inlineStr">
        <is>
          <t>HÄRJEDALEN</t>
        </is>
      </c>
      <c r="G770" t="n">
        <v>7.1</v>
      </c>
      <c r="H770" t="n">
        <v>0</v>
      </c>
      <c r="I770" t="n">
        <v>0</v>
      </c>
      <c r="J770" t="n">
        <v>0</v>
      </c>
      <c r="K770" t="n">
        <v>0</v>
      </c>
      <c r="L770" t="n">
        <v>0</v>
      </c>
      <c r="M770" t="n">
        <v>0</v>
      </c>
      <c r="N770" t="n">
        <v>0</v>
      </c>
      <c r="O770" t="n">
        <v>0</v>
      </c>
      <c r="P770" t="n">
        <v>0</v>
      </c>
      <c r="Q770" t="n">
        <v>0</v>
      </c>
      <c r="R770" s="2" t="inlineStr"/>
    </row>
    <row r="771" ht="15" customHeight="1">
      <c r="A771" t="inlineStr">
        <is>
          <t>A 55339-2025</t>
        </is>
      </c>
      <c r="B771" s="1" t="n">
        <v>45971.34488425926</v>
      </c>
      <c r="C771" s="1" t="n">
        <v>46076</v>
      </c>
      <c r="D771" t="inlineStr">
        <is>
          <t>JÄMTLANDS LÄN</t>
        </is>
      </c>
      <c r="E771" t="inlineStr">
        <is>
          <t>HÄRJEDALEN</t>
        </is>
      </c>
      <c r="G771" t="n">
        <v>10</v>
      </c>
      <c r="H771" t="n">
        <v>0</v>
      </c>
      <c r="I771" t="n">
        <v>0</v>
      </c>
      <c r="J771" t="n">
        <v>0</v>
      </c>
      <c r="K771" t="n">
        <v>0</v>
      </c>
      <c r="L771" t="n">
        <v>0</v>
      </c>
      <c r="M771" t="n">
        <v>0</v>
      </c>
      <c r="N771" t="n">
        <v>0</v>
      </c>
      <c r="O771" t="n">
        <v>0</v>
      </c>
      <c r="P771" t="n">
        <v>0</v>
      </c>
      <c r="Q771" t="n">
        <v>0</v>
      </c>
      <c r="R771" s="2" t="inlineStr"/>
    </row>
    <row r="772" ht="15" customHeight="1">
      <c r="A772" t="inlineStr">
        <is>
          <t>A 20865-2024</t>
        </is>
      </c>
      <c r="B772" s="1" t="n">
        <v>45439.43106481482</v>
      </c>
      <c r="C772" s="1" t="n">
        <v>46076</v>
      </c>
      <c r="D772" t="inlineStr">
        <is>
          <t>JÄMTLANDS LÄN</t>
        </is>
      </c>
      <c r="E772" t="inlineStr">
        <is>
          <t>HÄRJEDALEN</t>
        </is>
      </c>
      <c r="F772" t="inlineStr">
        <is>
          <t>Holmen skog AB</t>
        </is>
      </c>
      <c r="G772" t="n">
        <v>7.2</v>
      </c>
      <c r="H772" t="n">
        <v>0</v>
      </c>
      <c r="I772" t="n">
        <v>0</v>
      </c>
      <c r="J772" t="n">
        <v>0</v>
      </c>
      <c r="K772" t="n">
        <v>0</v>
      </c>
      <c r="L772" t="n">
        <v>0</v>
      </c>
      <c r="M772" t="n">
        <v>0</v>
      </c>
      <c r="N772" t="n">
        <v>0</v>
      </c>
      <c r="O772" t="n">
        <v>0</v>
      </c>
      <c r="P772" t="n">
        <v>0</v>
      </c>
      <c r="Q772" t="n">
        <v>0</v>
      </c>
      <c r="R772" s="2" t="inlineStr"/>
    </row>
    <row r="773" ht="15" customHeight="1">
      <c r="A773" t="inlineStr">
        <is>
          <t>A 55680-2025</t>
        </is>
      </c>
      <c r="B773" s="1" t="n">
        <v>45972</v>
      </c>
      <c r="C773" s="1" t="n">
        <v>46076</v>
      </c>
      <c r="D773" t="inlineStr">
        <is>
          <t>JÄMTLANDS LÄN</t>
        </is>
      </c>
      <c r="E773" t="inlineStr">
        <is>
          <t>HÄRJEDALEN</t>
        </is>
      </c>
      <c r="F773" t="inlineStr">
        <is>
          <t>Bergvik skog väst AB</t>
        </is>
      </c>
      <c r="G773" t="n">
        <v>15.1</v>
      </c>
      <c r="H773" t="n">
        <v>0</v>
      </c>
      <c r="I773" t="n">
        <v>0</v>
      </c>
      <c r="J773" t="n">
        <v>0</v>
      </c>
      <c r="K773" t="n">
        <v>0</v>
      </c>
      <c r="L773" t="n">
        <v>0</v>
      </c>
      <c r="M773" t="n">
        <v>0</v>
      </c>
      <c r="N773" t="n">
        <v>0</v>
      </c>
      <c r="O773" t="n">
        <v>0</v>
      </c>
      <c r="P773" t="n">
        <v>0</v>
      </c>
      <c r="Q773" t="n">
        <v>0</v>
      </c>
      <c r="R773" s="2" t="inlineStr"/>
    </row>
    <row r="774" ht="15" customHeight="1">
      <c r="A774" t="inlineStr">
        <is>
          <t>A 55640-2025</t>
        </is>
      </c>
      <c r="B774" s="1" t="n">
        <v>45972.34667824074</v>
      </c>
      <c r="C774" s="1" t="n">
        <v>46076</v>
      </c>
      <c r="D774" t="inlineStr">
        <is>
          <t>JÄMTLANDS LÄN</t>
        </is>
      </c>
      <c r="E774" t="inlineStr">
        <is>
          <t>HÄRJEDALEN</t>
        </is>
      </c>
      <c r="G774" t="n">
        <v>12.9</v>
      </c>
      <c r="H774" t="n">
        <v>0</v>
      </c>
      <c r="I774" t="n">
        <v>0</v>
      </c>
      <c r="J774" t="n">
        <v>0</v>
      </c>
      <c r="K774" t="n">
        <v>0</v>
      </c>
      <c r="L774" t="n">
        <v>0</v>
      </c>
      <c r="M774" t="n">
        <v>0</v>
      </c>
      <c r="N774" t="n">
        <v>0</v>
      </c>
      <c r="O774" t="n">
        <v>0</v>
      </c>
      <c r="P774" t="n">
        <v>0</v>
      </c>
      <c r="Q774" t="n">
        <v>0</v>
      </c>
      <c r="R774" s="2" t="inlineStr"/>
    </row>
    <row r="775" ht="15" customHeight="1">
      <c r="A775" t="inlineStr">
        <is>
          <t>A 55758-2025</t>
        </is>
      </c>
      <c r="B775" s="1" t="n">
        <v>45972.59815972222</v>
      </c>
      <c r="C775" s="1" t="n">
        <v>46076</v>
      </c>
      <c r="D775" t="inlineStr">
        <is>
          <t>JÄMTLANDS LÄN</t>
        </is>
      </c>
      <c r="E775" t="inlineStr">
        <is>
          <t>HÄRJEDALEN</t>
        </is>
      </c>
      <c r="F775" t="inlineStr">
        <is>
          <t>Bergvik skog väst AB</t>
        </is>
      </c>
      <c r="G775" t="n">
        <v>6.4</v>
      </c>
      <c r="H775" t="n">
        <v>0</v>
      </c>
      <c r="I775" t="n">
        <v>0</v>
      </c>
      <c r="J775" t="n">
        <v>0</v>
      </c>
      <c r="K775" t="n">
        <v>0</v>
      </c>
      <c r="L775" t="n">
        <v>0</v>
      </c>
      <c r="M775" t="n">
        <v>0</v>
      </c>
      <c r="N775" t="n">
        <v>0</v>
      </c>
      <c r="O775" t="n">
        <v>0</v>
      </c>
      <c r="P775" t="n">
        <v>0</v>
      </c>
      <c r="Q775" t="n">
        <v>0</v>
      </c>
      <c r="R775" s="2" t="inlineStr"/>
    </row>
    <row r="776" ht="15" customHeight="1">
      <c r="A776" t="inlineStr">
        <is>
          <t>A 55890-2025</t>
        </is>
      </c>
      <c r="B776" s="1" t="n">
        <v>45973.3788425926</v>
      </c>
      <c r="C776" s="1" t="n">
        <v>46076</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55940-2025</t>
        </is>
      </c>
      <c r="B777" s="1" t="n">
        <v>45973.45135416667</v>
      </c>
      <c r="C777" s="1" t="n">
        <v>46076</v>
      </c>
      <c r="D777" t="inlineStr">
        <is>
          <t>JÄMTLANDS LÄN</t>
        </is>
      </c>
      <c r="E777" t="inlineStr">
        <is>
          <t>HÄRJEDALEN</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55715-2025</t>
        </is>
      </c>
      <c r="B778" s="1" t="n">
        <v>45972.49532407407</v>
      </c>
      <c r="C778" s="1" t="n">
        <v>46076</v>
      </c>
      <c r="D778" t="inlineStr">
        <is>
          <t>JÄMTLANDS LÄN</t>
        </is>
      </c>
      <c r="E778" t="inlineStr">
        <is>
          <t>HÄRJEDALEN</t>
        </is>
      </c>
      <c r="G778" t="n">
        <v>10.7</v>
      </c>
      <c r="H778" t="n">
        <v>0</v>
      </c>
      <c r="I778" t="n">
        <v>0</v>
      </c>
      <c r="J778" t="n">
        <v>0</v>
      </c>
      <c r="K778" t="n">
        <v>0</v>
      </c>
      <c r="L778" t="n">
        <v>0</v>
      </c>
      <c r="M778" t="n">
        <v>0</v>
      </c>
      <c r="N778" t="n">
        <v>0</v>
      </c>
      <c r="O778" t="n">
        <v>0</v>
      </c>
      <c r="P778" t="n">
        <v>0</v>
      </c>
      <c r="Q778" t="n">
        <v>0</v>
      </c>
      <c r="R778" s="2" t="inlineStr"/>
    </row>
    <row r="779" ht="15" customHeight="1">
      <c r="A779" t="inlineStr">
        <is>
          <t>A 55965-2025</t>
        </is>
      </c>
      <c r="B779" s="1" t="n">
        <v>45973.48260416667</v>
      </c>
      <c r="C779" s="1" t="n">
        <v>46076</v>
      </c>
      <c r="D779" t="inlineStr">
        <is>
          <t>JÄMTLANDS LÄN</t>
        </is>
      </c>
      <c r="E779" t="inlineStr">
        <is>
          <t>HÄRJEDALEN</t>
        </is>
      </c>
      <c r="F779" t="inlineStr">
        <is>
          <t>Holmen skog AB</t>
        </is>
      </c>
      <c r="G779" t="n">
        <v>3.9</v>
      </c>
      <c r="H779" t="n">
        <v>0</v>
      </c>
      <c r="I779" t="n">
        <v>0</v>
      </c>
      <c r="J779" t="n">
        <v>0</v>
      </c>
      <c r="K779" t="n">
        <v>0</v>
      </c>
      <c r="L779" t="n">
        <v>0</v>
      </c>
      <c r="M779" t="n">
        <v>0</v>
      </c>
      <c r="N779" t="n">
        <v>0</v>
      </c>
      <c r="O779" t="n">
        <v>0</v>
      </c>
      <c r="P779" t="n">
        <v>0</v>
      </c>
      <c r="Q779" t="n">
        <v>0</v>
      </c>
      <c r="R779" s="2" t="inlineStr"/>
    </row>
    <row r="780" ht="15" customHeight="1">
      <c r="A780" t="inlineStr">
        <is>
          <t>A 4899-2025</t>
        </is>
      </c>
      <c r="B780" s="1" t="n">
        <v>45688.67935185185</v>
      </c>
      <c r="C780" s="1" t="n">
        <v>46076</v>
      </c>
      <c r="D780" t="inlineStr">
        <is>
          <t>JÄMTLANDS LÄN</t>
        </is>
      </c>
      <c r="E780" t="inlineStr">
        <is>
          <t>HÄRJEDALEN</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55852-2025</t>
        </is>
      </c>
      <c r="B781" s="1" t="n">
        <v>45973</v>
      </c>
      <c r="C781" s="1" t="n">
        <v>46076</v>
      </c>
      <c r="D781" t="inlineStr">
        <is>
          <t>JÄMTLANDS LÄN</t>
        </is>
      </c>
      <c r="E781" t="inlineStr">
        <is>
          <t>HÄRJEDALEN</t>
        </is>
      </c>
      <c r="G781" t="n">
        <v>11.7</v>
      </c>
      <c r="H781" t="n">
        <v>0</v>
      </c>
      <c r="I781" t="n">
        <v>0</v>
      </c>
      <c r="J781" t="n">
        <v>0</v>
      </c>
      <c r="K781" t="n">
        <v>0</v>
      </c>
      <c r="L781" t="n">
        <v>0</v>
      </c>
      <c r="M781" t="n">
        <v>0</v>
      </c>
      <c r="N781" t="n">
        <v>0</v>
      </c>
      <c r="O781" t="n">
        <v>0</v>
      </c>
      <c r="P781" t="n">
        <v>0</v>
      </c>
      <c r="Q781" t="n">
        <v>0</v>
      </c>
      <c r="R781" s="2" t="inlineStr"/>
    </row>
    <row r="782" ht="15" customHeight="1">
      <c r="A782" t="inlineStr">
        <is>
          <t>A 16626-2025</t>
        </is>
      </c>
      <c r="B782" s="1" t="n">
        <v>45754.35055555555</v>
      </c>
      <c r="C782" s="1" t="n">
        <v>46076</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55761-2025</t>
        </is>
      </c>
      <c r="B783" s="1" t="n">
        <v>45972.60201388889</v>
      </c>
      <c r="C783" s="1" t="n">
        <v>46076</v>
      </c>
      <c r="D783" t="inlineStr">
        <is>
          <t>JÄMTLANDS LÄN</t>
        </is>
      </c>
      <c r="E783" t="inlineStr">
        <is>
          <t>HÄRJEDALEN</t>
        </is>
      </c>
      <c r="F783" t="inlineStr">
        <is>
          <t>Bergvik skog väst AB</t>
        </is>
      </c>
      <c r="G783" t="n">
        <v>20.8</v>
      </c>
      <c r="H783" t="n">
        <v>0</v>
      </c>
      <c r="I783" t="n">
        <v>0</v>
      </c>
      <c r="J783" t="n">
        <v>0</v>
      </c>
      <c r="K783" t="n">
        <v>0</v>
      </c>
      <c r="L783" t="n">
        <v>0</v>
      </c>
      <c r="M783" t="n">
        <v>0</v>
      </c>
      <c r="N783" t="n">
        <v>0</v>
      </c>
      <c r="O783" t="n">
        <v>0</v>
      </c>
      <c r="P783" t="n">
        <v>0</v>
      </c>
      <c r="Q783" t="n">
        <v>0</v>
      </c>
      <c r="R783" s="2" t="inlineStr"/>
    </row>
    <row r="784" ht="15" customHeight="1">
      <c r="A784" t="inlineStr">
        <is>
          <t>A 55877-2025</t>
        </is>
      </c>
      <c r="B784" s="1" t="n">
        <v>45973.36349537037</v>
      </c>
      <c r="C784" s="1" t="n">
        <v>46076</v>
      </c>
      <c r="D784" t="inlineStr">
        <is>
          <t>JÄMTLANDS LÄN</t>
        </is>
      </c>
      <c r="E784" t="inlineStr">
        <is>
          <t>HÄRJEDALEN</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20104-2025</t>
        </is>
      </c>
      <c r="B785" s="1" t="n">
        <v>45772.46965277778</v>
      </c>
      <c r="C785" s="1" t="n">
        <v>46076</v>
      </c>
      <c r="D785" t="inlineStr">
        <is>
          <t>JÄMTLANDS LÄN</t>
        </is>
      </c>
      <c r="E785" t="inlineStr">
        <is>
          <t>HÄRJEDALEN</t>
        </is>
      </c>
      <c r="F785" t="inlineStr">
        <is>
          <t>SCA</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56451-2025</t>
        </is>
      </c>
      <c r="B786" s="1" t="n">
        <v>45975.3537037037</v>
      </c>
      <c r="C786" s="1" t="n">
        <v>46076</v>
      </c>
      <c r="D786" t="inlineStr">
        <is>
          <t>JÄMTLANDS LÄN</t>
        </is>
      </c>
      <c r="E786" t="inlineStr">
        <is>
          <t>HÄRJEDALEN</t>
        </is>
      </c>
      <c r="F786" t="inlineStr">
        <is>
          <t>Bergvik skog väst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56213-2025</t>
        </is>
      </c>
      <c r="B787" s="1" t="n">
        <v>45974.47983796296</v>
      </c>
      <c r="C787" s="1" t="n">
        <v>46076</v>
      </c>
      <c r="D787" t="inlineStr">
        <is>
          <t>JÄMTLANDS LÄN</t>
        </is>
      </c>
      <c r="E787" t="inlineStr">
        <is>
          <t>HÄRJEDALEN</t>
        </is>
      </c>
      <c r="F787" t="inlineStr">
        <is>
          <t>Bergvik skog väst AB</t>
        </is>
      </c>
      <c r="G787" t="n">
        <v>3.4</v>
      </c>
      <c r="H787" t="n">
        <v>0</v>
      </c>
      <c r="I787" t="n">
        <v>0</v>
      </c>
      <c r="J787" t="n">
        <v>0</v>
      </c>
      <c r="K787" t="n">
        <v>0</v>
      </c>
      <c r="L787" t="n">
        <v>0</v>
      </c>
      <c r="M787" t="n">
        <v>0</v>
      </c>
      <c r="N787" t="n">
        <v>0</v>
      </c>
      <c r="O787" t="n">
        <v>0</v>
      </c>
      <c r="P787" t="n">
        <v>0</v>
      </c>
      <c r="Q787" t="n">
        <v>0</v>
      </c>
      <c r="R787" s="2" t="inlineStr"/>
    </row>
    <row r="788" ht="15" customHeight="1">
      <c r="A788" t="inlineStr">
        <is>
          <t>A 51188-2024</t>
        </is>
      </c>
      <c r="B788" s="1" t="n">
        <v>45603</v>
      </c>
      <c r="C788" s="1" t="n">
        <v>46076</v>
      </c>
      <c r="D788" t="inlineStr">
        <is>
          <t>JÄMTLANDS LÄN</t>
        </is>
      </c>
      <c r="E788" t="inlineStr">
        <is>
          <t>HÄRJEDALEN</t>
        </is>
      </c>
      <c r="F788" t="inlineStr">
        <is>
          <t>Holmen skog AB</t>
        </is>
      </c>
      <c r="G788" t="n">
        <v>6.2</v>
      </c>
      <c r="H788" t="n">
        <v>0</v>
      </c>
      <c r="I788" t="n">
        <v>0</v>
      </c>
      <c r="J788" t="n">
        <v>0</v>
      </c>
      <c r="K788" t="n">
        <v>0</v>
      </c>
      <c r="L788" t="n">
        <v>0</v>
      </c>
      <c r="M788" t="n">
        <v>0</v>
      </c>
      <c r="N788" t="n">
        <v>0</v>
      </c>
      <c r="O788" t="n">
        <v>0</v>
      </c>
      <c r="P788" t="n">
        <v>0</v>
      </c>
      <c r="Q788" t="n">
        <v>0</v>
      </c>
      <c r="R788" s="2" t="inlineStr"/>
    </row>
    <row r="789" ht="15" customHeight="1">
      <c r="A789" t="inlineStr">
        <is>
          <t>A 51223-2024</t>
        </is>
      </c>
      <c r="B789" s="1" t="n">
        <v>45603</v>
      </c>
      <c r="C789" s="1" t="n">
        <v>46076</v>
      </c>
      <c r="D789" t="inlineStr">
        <is>
          <t>JÄMTLANDS LÄN</t>
        </is>
      </c>
      <c r="E789" t="inlineStr">
        <is>
          <t>HÄRJEDALEN</t>
        </is>
      </c>
      <c r="F789" t="inlineStr">
        <is>
          <t>Holmen skog AB</t>
        </is>
      </c>
      <c r="G789" t="n">
        <v>6.1</v>
      </c>
      <c r="H789" t="n">
        <v>0</v>
      </c>
      <c r="I789" t="n">
        <v>0</v>
      </c>
      <c r="J789" t="n">
        <v>0</v>
      </c>
      <c r="K789" t="n">
        <v>0</v>
      </c>
      <c r="L789" t="n">
        <v>0</v>
      </c>
      <c r="M789" t="n">
        <v>0</v>
      </c>
      <c r="N789" t="n">
        <v>0</v>
      </c>
      <c r="O789" t="n">
        <v>0</v>
      </c>
      <c r="P789" t="n">
        <v>0</v>
      </c>
      <c r="Q789" t="n">
        <v>0</v>
      </c>
      <c r="R789" s="2" t="inlineStr"/>
    </row>
    <row r="790" ht="15" customHeight="1">
      <c r="A790" t="inlineStr">
        <is>
          <t>A 56134-2025</t>
        </is>
      </c>
      <c r="B790" s="1" t="n">
        <v>45974</v>
      </c>
      <c r="C790" s="1" t="n">
        <v>46076</v>
      </c>
      <c r="D790" t="inlineStr">
        <is>
          <t>JÄMTLANDS LÄN</t>
        </is>
      </c>
      <c r="E790" t="inlineStr">
        <is>
          <t>HÄRJEDALEN</t>
        </is>
      </c>
      <c r="G790" t="n">
        <v>4.4</v>
      </c>
      <c r="H790" t="n">
        <v>0</v>
      </c>
      <c r="I790" t="n">
        <v>0</v>
      </c>
      <c r="J790" t="n">
        <v>0</v>
      </c>
      <c r="K790" t="n">
        <v>0</v>
      </c>
      <c r="L790" t="n">
        <v>0</v>
      </c>
      <c r="M790" t="n">
        <v>0</v>
      </c>
      <c r="N790" t="n">
        <v>0</v>
      </c>
      <c r="O790" t="n">
        <v>0</v>
      </c>
      <c r="P790" t="n">
        <v>0</v>
      </c>
      <c r="Q790" t="n">
        <v>0</v>
      </c>
      <c r="R790" s="2" t="inlineStr"/>
    </row>
    <row r="791" ht="15" customHeight="1">
      <c r="A791" t="inlineStr">
        <is>
          <t>A 56197-2025</t>
        </is>
      </c>
      <c r="B791" s="1" t="n">
        <v>45974.45393518519</v>
      </c>
      <c r="C791" s="1" t="n">
        <v>46076</v>
      </c>
      <c r="D791" t="inlineStr">
        <is>
          <t>JÄMTLANDS LÄN</t>
        </is>
      </c>
      <c r="E791" t="inlineStr">
        <is>
          <t>HÄRJEDALEN</t>
        </is>
      </c>
      <c r="F791" t="inlineStr">
        <is>
          <t>Bergvik skog väst AB</t>
        </is>
      </c>
      <c r="G791" t="n">
        <v>6.7</v>
      </c>
      <c r="H791" t="n">
        <v>0</v>
      </c>
      <c r="I791" t="n">
        <v>0</v>
      </c>
      <c r="J791" t="n">
        <v>0</v>
      </c>
      <c r="K791" t="n">
        <v>0</v>
      </c>
      <c r="L791" t="n">
        <v>0</v>
      </c>
      <c r="M791" t="n">
        <v>0</v>
      </c>
      <c r="N791" t="n">
        <v>0</v>
      </c>
      <c r="O791" t="n">
        <v>0</v>
      </c>
      <c r="P791" t="n">
        <v>0</v>
      </c>
      <c r="Q791" t="n">
        <v>0</v>
      </c>
      <c r="R791" s="2" t="inlineStr"/>
    </row>
    <row r="792" ht="15" customHeight="1">
      <c r="A792" t="inlineStr">
        <is>
          <t>A 56646-2025</t>
        </is>
      </c>
      <c r="B792" s="1" t="n">
        <v>45975.634375</v>
      </c>
      <c r="C792" s="1" t="n">
        <v>46076</v>
      </c>
      <c r="D792" t="inlineStr">
        <is>
          <t>JÄMTLANDS LÄN</t>
        </is>
      </c>
      <c r="E792" t="inlineStr">
        <is>
          <t>HÄRJEDALEN</t>
        </is>
      </c>
      <c r="F792" t="inlineStr">
        <is>
          <t>Bergvik skog väst AB</t>
        </is>
      </c>
      <c r="G792" t="n">
        <v>0.7</v>
      </c>
      <c r="H792" t="n">
        <v>0</v>
      </c>
      <c r="I792" t="n">
        <v>0</v>
      </c>
      <c r="J792" t="n">
        <v>0</v>
      </c>
      <c r="K792" t="n">
        <v>0</v>
      </c>
      <c r="L792" t="n">
        <v>0</v>
      </c>
      <c r="M792" t="n">
        <v>0</v>
      </c>
      <c r="N792" t="n">
        <v>0</v>
      </c>
      <c r="O792" t="n">
        <v>0</v>
      </c>
      <c r="P792" t="n">
        <v>0</v>
      </c>
      <c r="Q792" t="n">
        <v>0</v>
      </c>
      <c r="R792" s="2" t="inlineStr"/>
    </row>
    <row r="793" ht="15" customHeight="1">
      <c r="A793" t="inlineStr">
        <is>
          <t>A 56176-2025</t>
        </is>
      </c>
      <c r="B793" s="1" t="n">
        <v>45974.39936342592</v>
      </c>
      <c r="C793" s="1" t="n">
        <v>46076</v>
      </c>
      <c r="D793" t="inlineStr">
        <is>
          <t>JÄMTLANDS LÄN</t>
        </is>
      </c>
      <c r="E793" t="inlineStr">
        <is>
          <t>HÄRJEDALEN</t>
        </is>
      </c>
      <c r="F793" t="inlineStr">
        <is>
          <t>Bergvik skog väst AB</t>
        </is>
      </c>
      <c r="G793" t="n">
        <v>15.7</v>
      </c>
      <c r="H793" t="n">
        <v>0</v>
      </c>
      <c r="I793" t="n">
        <v>0</v>
      </c>
      <c r="J793" t="n">
        <v>0</v>
      </c>
      <c r="K793" t="n">
        <v>0</v>
      </c>
      <c r="L793" t="n">
        <v>0</v>
      </c>
      <c r="M793" t="n">
        <v>0</v>
      </c>
      <c r="N793" t="n">
        <v>0</v>
      </c>
      <c r="O793" t="n">
        <v>0</v>
      </c>
      <c r="P793" t="n">
        <v>0</v>
      </c>
      <c r="Q793" t="n">
        <v>0</v>
      </c>
      <c r="R793" s="2" t="inlineStr"/>
    </row>
    <row r="794" ht="15" customHeight="1">
      <c r="A794" t="inlineStr">
        <is>
          <t>A 55219-2021</t>
        </is>
      </c>
      <c r="B794" s="1" t="n">
        <v>44475</v>
      </c>
      <c r="C794" s="1" t="n">
        <v>46076</v>
      </c>
      <c r="D794" t="inlineStr">
        <is>
          <t>JÄMTLANDS LÄN</t>
        </is>
      </c>
      <c r="E794" t="inlineStr">
        <is>
          <t>HÄRJEDALEN</t>
        </is>
      </c>
      <c r="G794" t="n">
        <v>2.5</v>
      </c>
      <c r="H794" t="n">
        <v>0</v>
      </c>
      <c r="I794" t="n">
        <v>0</v>
      </c>
      <c r="J794" t="n">
        <v>0</v>
      </c>
      <c r="K794" t="n">
        <v>0</v>
      </c>
      <c r="L794" t="n">
        <v>0</v>
      </c>
      <c r="M794" t="n">
        <v>0</v>
      </c>
      <c r="N794" t="n">
        <v>0</v>
      </c>
      <c r="O794" t="n">
        <v>0</v>
      </c>
      <c r="P794" t="n">
        <v>0</v>
      </c>
      <c r="Q794" t="n">
        <v>0</v>
      </c>
      <c r="R794" s="2" t="inlineStr"/>
    </row>
    <row r="795" ht="15" customHeight="1">
      <c r="A795" t="inlineStr">
        <is>
          <t>A 56595-2025</t>
        </is>
      </c>
      <c r="B795" s="1" t="n">
        <v>45975.56932870371</v>
      </c>
      <c r="C795" s="1" t="n">
        <v>46076</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24494-2024</t>
        </is>
      </c>
      <c r="B796" s="1" t="n">
        <v>45459</v>
      </c>
      <c r="C796" s="1" t="n">
        <v>46076</v>
      </c>
      <c r="D796" t="inlineStr">
        <is>
          <t>JÄMTLANDS LÄN</t>
        </is>
      </c>
      <c r="E796" t="inlineStr">
        <is>
          <t>HÄRJEDALEN</t>
        </is>
      </c>
      <c r="G796" t="n">
        <v>20.1</v>
      </c>
      <c r="H796" t="n">
        <v>0</v>
      </c>
      <c r="I796" t="n">
        <v>0</v>
      </c>
      <c r="J796" t="n">
        <v>0</v>
      </c>
      <c r="K796" t="n">
        <v>0</v>
      </c>
      <c r="L796" t="n">
        <v>0</v>
      </c>
      <c r="M796" t="n">
        <v>0</v>
      </c>
      <c r="N796" t="n">
        <v>0</v>
      </c>
      <c r="O796" t="n">
        <v>0</v>
      </c>
      <c r="P796" t="n">
        <v>0</v>
      </c>
      <c r="Q796" t="n">
        <v>0</v>
      </c>
      <c r="R796" s="2" t="inlineStr"/>
    </row>
    <row r="797" ht="15" customHeight="1">
      <c r="A797" t="inlineStr">
        <is>
          <t>A 56452-2025</t>
        </is>
      </c>
      <c r="B797" s="1" t="n">
        <v>45975.35422453703</v>
      </c>
      <c r="C797" s="1" t="n">
        <v>46076</v>
      </c>
      <c r="D797" t="inlineStr">
        <is>
          <t>JÄMTLANDS LÄN</t>
        </is>
      </c>
      <c r="E797" t="inlineStr">
        <is>
          <t>HÄRJEDALEN</t>
        </is>
      </c>
      <c r="G797" t="n">
        <v>8.4</v>
      </c>
      <c r="H797" t="n">
        <v>0</v>
      </c>
      <c r="I797" t="n">
        <v>0</v>
      </c>
      <c r="J797" t="n">
        <v>0</v>
      </c>
      <c r="K797" t="n">
        <v>0</v>
      </c>
      <c r="L797" t="n">
        <v>0</v>
      </c>
      <c r="M797" t="n">
        <v>0</v>
      </c>
      <c r="N797" t="n">
        <v>0</v>
      </c>
      <c r="O797" t="n">
        <v>0</v>
      </c>
      <c r="P797" t="n">
        <v>0</v>
      </c>
      <c r="Q797" t="n">
        <v>0</v>
      </c>
      <c r="R797" s="2" t="inlineStr"/>
    </row>
    <row r="798" ht="15" customHeight="1">
      <c r="A798" t="inlineStr">
        <is>
          <t>A 56868-2025</t>
        </is>
      </c>
      <c r="B798" s="1" t="n">
        <v>45978.5205324074</v>
      </c>
      <c r="C798" s="1" t="n">
        <v>46076</v>
      </c>
      <c r="D798" t="inlineStr">
        <is>
          <t>JÄMTLANDS LÄN</t>
        </is>
      </c>
      <c r="E798" t="inlineStr">
        <is>
          <t>HÄRJEDALEN</t>
        </is>
      </c>
      <c r="G798" t="n">
        <v>4.7</v>
      </c>
      <c r="H798" t="n">
        <v>0</v>
      </c>
      <c r="I798" t="n">
        <v>0</v>
      </c>
      <c r="J798" t="n">
        <v>0</v>
      </c>
      <c r="K798" t="n">
        <v>0</v>
      </c>
      <c r="L798" t="n">
        <v>0</v>
      </c>
      <c r="M798" t="n">
        <v>0</v>
      </c>
      <c r="N798" t="n">
        <v>0</v>
      </c>
      <c r="O798" t="n">
        <v>0</v>
      </c>
      <c r="P798" t="n">
        <v>0</v>
      </c>
      <c r="Q798" t="n">
        <v>0</v>
      </c>
      <c r="R798" s="2" t="inlineStr"/>
    </row>
    <row r="799" ht="15" customHeight="1">
      <c r="A799" t="inlineStr">
        <is>
          <t>A 1361-2024</t>
        </is>
      </c>
      <c r="B799" s="1" t="n">
        <v>45303.5047337963</v>
      </c>
      <c r="C799" s="1" t="n">
        <v>46076</v>
      </c>
      <c r="D799" t="inlineStr">
        <is>
          <t>JÄMTLANDS LÄN</t>
        </is>
      </c>
      <c r="E799" t="inlineStr">
        <is>
          <t>HÄRJEDALEN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57070-2025</t>
        </is>
      </c>
      <c r="B800" s="1" t="n">
        <v>45979.38703703704</v>
      </c>
      <c r="C800" s="1" t="n">
        <v>46076</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57109-2025</t>
        </is>
      </c>
      <c r="B801" s="1" t="n">
        <v>45979.45319444445</v>
      </c>
      <c r="C801" s="1" t="n">
        <v>46076</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57015-2025</t>
        </is>
      </c>
      <c r="B802" s="1" t="n">
        <v>45978.83375</v>
      </c>
      <c r="C802" s="1" t="n">
        <v>46076</v>
      </c>
      <c r="D802" t="inlineStr">
        <is>
          <t>JÄMTLANDS LÄN</t>
        </is>
      </c>
      <c r="E802" t="inlineStr">
        <is>
          <t>HÄRJEDALEN</t>
        </is>
      </c>
      <c r="F802" t="inlineStr">
        <is>
          <t>Bergvik skog väst AB</t>
        </is>
      </c>
      <c r="G802" t="n">
        <v>5.6</v>
      </c>
      <c r="H802" t="n">
        <v>0</v>
      </c>
      <c r="I802" t="n">
        <v>0</v>
      </c>
      <c r="J802" t="n">
        <v>0</v>
      </c>
      <c r="K802" t="n">
        <v>0</v>
      </c>
      <c r="L802" t="n">
        <v>0</v>
      </c>
      <c r="M802" t="n">
        <v>0</v>
      </c>
      <c r="N802" t="n">
        <v>0</v>
      </c>
      <c r="O802" t="n">
        <v>0</v>
      </c>
      <c r="P802" t="n">
        <v>0</v>
      </c>
      <c r="Q802" t="n">
        <v>0</v>
      </c>
      <c r="R802" s="2" t="inlineStr"/>
    </row>
    <row r="803" ht="15" customHeight="1">
      <c r="A803" t="inlineStr">
        <is>
          <t>A 14837-2025</t>
        </is>
      </c>
      <c r="B803" s="1" t="n">
        <v>45743.38449074074</v>
      </c>
      <c r="C803" s="1" t="n">
        <v>46076</v>
      </c>
      <c r="D803" t="inlineStr">
        <is>
          <t>JÄMTLANDS LÄN</t>
        </is>
      </c>
      <c r="E803" t="inlineStr">
        <is>
          <t>HÄRJEDALEN</t>
        </is>
      </c>
      <c r="G803" t="n">
        <v>7.5</v>
      </c>
      <c r="H803" t="n">
        <v>0</v>
      </c>
      <c r="I803" t="n">
        <v>0</v>
      </c>
      <c r="J803" t="n">
        <v>0</v>
      </c>
      <c r="K803" t="n">
        <v>0</v>
      </c>
      <c r="L803" t="n">
        <v>0</v>
      </c>
      <c r="M803" t="n">
        <v>0</v>
      </c>
      <c r="N803" t="n">
        <v>0</v>
      </c>
      <c r="O803" t="n">
        <v>0</v>
      </c>
      <c r="P803" t="n">
        <v>0</v>
      </c>
      <c r="Q803" t="n">
        <v>0</v>
      </c>
      <c r="R803" s="2" t="inlineStr"/>
    </row>
    <row r="804" ht="15" customHeight="1">
      <c r="A804" t="inlineStr">
        <is>
          <t>A 57518-2025</t>
        </is>
      </c>
      <c r="B804" s="1" t="n">
        <v>45979</v>
      </c>
      <c r="C804" s="1" t="n">
        <v>46076</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57013-2025</t>
        </is>
      </c>
      <c r="B805" s="1" t="n">
        <v>45978.82456018519</v>
      </c>
      <c r="C805" s="1" t="n">
        <v>46076</v>
      </c>
      <c r="D805" t="inlineStr">
        <is>
          <t>JÄMTLANDS LÄN</t>
        </is>
      </c>
      <c r="E805" t="inlineStr">
        <is>
          <t>HÄRJEDALEN</t>
        </is>
      </c>
      <c r="F805" t="inlineStr">
        <is>
          <t>Bergvik skog väst AB</t>
        </is>
      </c>
      <c r="G805" t="n">
        <v>36.5</v>
      </c>
      <c r="H805" t="n">
        <v>0</v>
      </c>
      <c r="I805" t="n">
        <v>0</v>
      </c>
      <c r="J805" t="n">
        <v>0</v>
      </c>
      <c r="K805" t="n">
        <v>0</v>
      </c>
      <c r="L805" t="n">
        <v>0</v>
      </c>
      <c r="M805" t="n">
        <v>0</v>
      </c>
      <c r="N805" t="n">
        <v>0</v>
      </c>
      <c r="O805" t="n">
        <v>0</v>
      </c>
      <c r="P805" t="n">
        <v>0</v>
      </c>
      <c r="Q805" t="n">
        <v>0</v>
      </c>
      <c r="R805" s="2" t="inlineStr"/>
    </row>
    <row r="806" ht="15" customHeight="1">
      <c r="A806" t="inlineStr">
        <is>
          <t>A 57068-2025</t>
        </is>
      </c>
      <c r="B806" s="1" t="n">
        <v>45979.38599537037</v>
      </c>
      <c r="C806" s="1" t="n">
        <v>46076</v>
      </c>
      <c r="D806" t="inlineStr">
        <is>
          <t>JÄMTLANDS LÄN</t>
        </is>
      </c>
      <c r="E806" t="inlineStr">
        <is>
          <t>HÄRJEDALEN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4225-2025</t>
        </is>
      </c>
      <c r="B807" s="1" t="n">
        <v>45685.5349074074</v>
      </c>
      <c r="C807" s="1" t="n">
        <v>46076</v>
      </c>
      <c r="D807" t="inlineStr">
        <is>
          <t>JÄMTLANDS LÄN</t>
        </is>
      </c>
      <c r="E807" t="inlineStr">
        <is>
          <t>HÄRJEDALEN</t>
        </is>
      </c>
      <c r="F807" t="inlineStr">
        <is>
          <t>Bergvik skog väst AB</t>
        </is>
      </c>
      <c r="G807" t="n">
        <v>13.4</v>
      </c>
      <c r="H807" t="n">
        <v>0</v>
      </c>
      <c r="I807" t="n">
        <v>0</v>
      </c>
      <c r="J807" t="n">
        <v>0</v>
      </c>
      <c r="K807" t="n">
        <v>0</v>
      </c>
      <c r="L807" t="n">
        <v>0</v>
      </c>
      <c r="M807" t="n">
        <v>0</v>
      </c>
      <c r="N807" t="n">
        <v>0</v>
      </c>
      <c r="O807" t="n">
        <v>0</v>
      </c>
      <c r="P807" t="n">
        <v>0</v>
      </c>
      <c r="Q807" t="n">
        <v>0</v>
      </c>
      <c r="R807" s="2" t="inlineStr"/>
    </row>
    <row r="808" ht="15" customHeight="1">
      <c r="A808" t="inlineStr">
        <is>
          <t>A 34627-2022</t>
        </is>
      </c>
      <c r="B808" s="1" t="n">
        <v>44795</v>
      </c>
      <c r="C808" s="1" t="n">
        <v>46076</v>
      </c>
      <c r="D808" t="inlineStr">
        <is>
          <t>JÄMTLANDS LÄN</t>
        </is>
      </c>
      <c r="E808" t="inlineStr">
        <is>
          <t>HÄRJEDALEN</t>
        </is>
      </c>
      <c r="G808" t="n">
        <v>2.4</v>
      </c>
      <c r="H808" t="n">
        <v>0</v>
      </c>
      <c r="I808" t="n">
        <v>0</v>
      </c>
      <c r="J808" t="n">
        <v>0</v>
      </c>
      <c r="K808" t="n">
        <v>0</v>
      </c>
      <c r="L808" t="n">
        <v>0</v>
      </c>
      <c r="M808" t="n">
        <v>0</v>
      </c>
      <c r="N808" t="n">
        <v>0</v>
      </c>
      <c r="O808" t="n">
        <v>0</v>
      </c>
      <c r="P808" t="n">
        <v>0</v>
      </c>
      <c r="Q808" t="n">
        <v>0</v>
      </c>
      <c r="R808" s="2" t="inlineStr"/>
    </row>
    <row r="809" ht="15" customHeight="1">
      <c r="A809" t="inlineStr">
        <is>
          <t>A 44060-2024</t>
        </is>
      </c>
      <c r="B809" s="1" t="n">
        <v>45572.60001157408</v>
      </c>
      <c r="C809" s="1" t="n">
        <v>46076</v>
      </c>
      <c r="D809" t="inlineStr">
        <is>
          <t>JÄMTLANDS LÄN</t>
        </is>
      </c>
      <c r="E809" t="inlineStr">
        <is>
          <t>HÄRJEDALEN</t>
        </is>
      </c>
      <c r="G809" t="n">
        <v>0.5</v>
      </c>
      <c r="H809" t="n">
        <v>0</v>
      </c>
      <c r="I809" t="n">
        <v>0</v>
      </c>
      <c r="J809" t="n">
        <v>0</v>
      </c>
      <c r="K809" t="n">
        <v>0</v>
      </c>
      <c r="L809" t="n">
        <v>0</v>
      </c>
      <c r="M809" t="n">
        <v>0</v>
      </c>
      <c r="N809" t="n">
        <v>0</v>
      </c>
      <c r="O809" t="n">
        <v>0</v>
      </c>
      <c r="P809" t="n">
        <v>0</v>
      </c>
      <c r="Q809" t="n">
        <v>0</v>
      </c>
      <c r="R809" s="2" t="inlineStr"/>
    </row>
    <row r="810" ht="15" customHeight="1">
      <c r="A810" t="inlineStr">
        <is>
          <t>A 57839-2025</t>
        </is>
      </c>
      <c r="B810" s="1" t="n">
        <v>45981.62309027778</v>
      </c>
      <c r="C810" s="1" t="n">
        <v>46076</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57868-2025</t>
        </is>
      </c>
      <c r="B811" s="1" t="n">
        <v>45981.65143518519</v>
      </c>
      <c r="C811" s="1" t="n">
        <v>46076</v>
      </c>
      <c r="D811" t="inlineStr">
        <is>
          <t>JÄMTLANDS LÄN</t>
        </is>
      </c>
      <c r="E811" t="inlineStr">
        <is>
          <t>HÄRJEDALEN</t>
        </is>
      </c>
      <c r="G811" t="n">
        <v>8</v>
      </c>
      <c r="H811" t="n">
        <v>0</v>
      </c>
      <c r="I811" t="n">
        <v>0</v>
      </c>
      <c r="J811" t="n">
        <v>0</v>
      </c>
      <c r="K811" t="n">
        <v>0</v>
      </c>
      <c r="L811" t="n">
        <v>0</v>
      </c>
      <c r="M811" t="n">
        <v>0</v>
      </c>
      <c r="N811" t="n">
        <v>0</v>
      </c>
      <c r="O811" t="n">
        <v>0</v>
      </c>
      <c r="P811" t="n">
        <v>0</v>
      </c>
      <c r="Q811" t="n">
        <v>0</v>
      </c>
      <c r="R811" s="2" t="inlineStr"/>
    </row>
    <row r="812" ht="15" customHeight="1">
      <c r="A812" t="inlineStr">
        <is>
          <t>A 43297-2024</t>
        </is>
      </c>
      <c r="B812" s="1" t="n">
        <v>45568</v>
      </c>
      <c r="C812" s="1" t="n">
        <v>46076</v>
      </c>
      <c r="D812" t="inlineStr">
        <is>
          <t>JÄMTLANDS LÄN</t>
        </is>
      </c>
      <c r="E812" t="inlineStr">
        <is>
          <t>HÄRJEDALEN</t>
        </is>
      </c>
      <c r="F812" t="inlineStr">
        <is>
          <t>SCA</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58098-2025</t>
        </is>
      </c>
      <c r="B813" s="1" t="n">
        <v>45982</v>
      </c>
      <c r="C813" s="1" t="n">
        <v>46076</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46076</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5113-2025</t>
        </is>
      </c>
      <c r="B815" s="1" t="n">
        <v>45691</v>
      </c>
      <c r="C815" s="1" t="n">
        <v>46076</v>
      </c>
      <c r="D815" t="inlineStr">
        <is>
          <t>JÄMTLANDS LÄN</t>
        </is>
      </c>
      <c r="E815" t="inlineStr">
        <is>
          <t>HÄRJEDALEN</t>
        </is>
      </c>
      <c r="F815" t="inlineStr">
        <is>
          <t>Holmen skog AB</t>
        </is>
      </c>
      <c r="G815" t="n">
        <v>25.9</v>
      </c>
      <c r="H815" t="n">
        <v>0</v>
      </c>
      <c r="I815" t="n">
        <v>0</v>
      </c>
      <c r="J815" t="n">
        <v>0</v>
      </c>
      <c r="K815" t="n">
        <v>0</v>
      </c>
      <c r="L815" t="n">
        <v>0</v>
      </c>
      <c r="M815" t="n">
        <v>0</v>
      </c>
      <c r="N815" t="n">
        <v>0</v>
      </c>
      <c r="O815" t="n">
        <v>0</v>
      </c>
      <c r="P815" t="n">
        <v>0</v>
      </c>
      <c r="Q815" t="n">
        <v>0</v>
      </c>
      <c r="R815" s="2" t="inlineStr"/>
    </row>
    <row r="816" ht="15" customHeight="1">
      <c r="A816" t="inlineStr">
        <is>
          <t>A 58024-2025</t>
        </is>
      </c>
      <c r="B816" s="1" t="n">
        <v>45982.48206018518</v>
      </c>
      <c r="C816" s="1" t="n">
        <v>46076</v>
      </c>
      <c r="D816" t="inlineStr">
        <is>
          <t>JÄMTLANDS LÄN</t>
        </is>
      </c>
      <c r="E816" t="inlineStr">
        <is>
          <t>HÄRJEDALEN</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18953-2025</t>
        </is>
      </c>
      <c r="B817" s="1" t="n">
        <v>45764</v>
      </c>
      <c r="C817" s="1" t="n">
        <v>46076</v>
      </c>
      <c r="D817" t="inlineStr">
        <is>
          <t>JÄMTLANDS LÄN</t>
        </is>
      </c>
      <c r="E817" t="inlineStr">
        <is>
          <t>HÄRJEDALEN</t>
        </is>
      </c>
      <c r="G817" t="n">
        <v>14.3</v>
      </c>
      <c r="H817" t="n">
        <v>0</v>
      </c>
      <c r="I817" t="n">
        <v>0</v>
      </c>
      <c r="J817" t="n">
        <v>0</v>
      </c>
      <c r="K817" t="n">
        <v>0</v>
      </c>
      <c r="L817" t="n">
        <v>0</v>
      </c>
      <c r="M817" t="n">
        <v>0</v>
      </c>
      <c r="N817" t="n">
        <v>0</v>
      </c>
      <c r="O817" t="n">
        <v>0</v>
      </c>
      <c r="P817" t="n">
        <v>0</v>
      </c>
      <c r="Q817" t="n">
        <v>0</v>
      </c>
      <c r="R817" s="2" t="inlineStr"/>
    </row>
    <row r="818" ht="15" customHeight="1">
      <c r="A818" t="inlineStr">
        <is>
          <t>A 58081-2025</t>
        </is>
      </c>
      <c r="B818" s="1" t="n">
        <v>45982.56142361111</v>
      </c>
      <c r="C818" s="1" t="n">
        <v>46076</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54331-2021</t>
        </is>
      </c>
      <c r="B819" s="1" t="n">
        <v>44472</v>
      </c>
      <c r="C819" s="1" t="n">
        <v>46076</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58120-2025</t>
        </is>
      </c>
      <c r="B820" s="1" t="n">
        <v>45982.60930555555</v>
      </c>
      <c r="C820" s="1" t="n">
        <v>46076</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58141-2025</t>
        </is>
      </c>
      <c r="B821" s="1" t="n">
        <v>45982.63611111111</v>
      </c>
      <c r="C821" s="1" t="n">
        <v>46076</v>
      </c>
      <c r="D821" t="inlineStr">
        <is>
          <t>JÄMTLANDS LÄN</t>
        </is>
      </c>
      <c r="E821" t="inlineStr">
        <is>
          <t>HÄRJEDALEN</t>
        </is>
      </c>
      <c r="G821" t="n">
        <v>2</v>
      </c>
      <c r="H821" t="n">
        <v>0</v>
      </c>
      <c r="I821" t="n">
        <v>0</v>
      </c>
      <c r="J821" t="n">
        <v>0</v>
      </c>
      <c r="K821" t="n">
        <v>0</v>
      </c>
      <c r="L821" t="n">
        <v>0</v>
      </c>
      <c r="M821" t="n">
        <v>0</v>
      </c>
      <c r="N821" t="n">
        <v>0</v>
      </c>
      <c r="O821" t="n">
        <v>0</v>
      </c>
      <c r="P821" t="n">
        <v>0</v>
      </c>
      <c r="Q821" t="n">
        <v>0</v>
      </c>
      <c r="R821" s="2" t="inlineStr"/>
    </row>
    <row r="822" ht="15" customHeight="1">
      <c r="A822" t="inlineStr">
        <is>
          <t>A 58116-2025</t>
        </is>
      </c>
      <c r="B822" s="1" t="n">
        <v>45982</v>
      </c>
      <c r="C822" s="1" t="n">
        <v>46076</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58110-2025</t>
        </is>
      </c>
      <c r="B823" s="1" t="n">
        <v>45982</v>
      </c>
      <c r="C823" s="1" t="n">
        <v>46076</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58296-2025</t>
        </is>
      </c>
      <c r="B824" s="1" t="n">
        <v>45985.45633101852</v>
      </c>
      <c r="C824" s="1" t="n">
        <v>46076</v>
      </c>
      <c r="D824" t="inlineStr">
        <is>
          <t>JÄMTLANDS LÄN</t>
        </is>
      </c>
      <c r="E824" t="inlineStr">
        <is>
          <t>HÄRJEDALEN</t>
        </is>
      </c>
      <c r="F824" t="inlineStr">
        <is>
          <t>Bergvik skog väst AB</t>
        </is>
      </c>
      <c r="G824" t="n">
        <v>4.6</v>
      </c>
      <c r="H824" t="n">
        <v>0</v>
      </c>
      <c r="I824" t="n">
        <v>0</v>
      </c>
      <c r="J824" t="n">
        <v>0</v>
      </c>
      <c r="K824" t="n">
        <v>0</v>
      </c>
      <c r="L824" t="n">
        <v>0</v>
      </c>
      <c r="M824" t="n">
        <v>0</v>
      </c>
      <c r="N824" t="n">
        <v>0</v>
      </c>
      <c r="O824" t="n">
        <v>0</v>
      </c>
      <c r="P824" t="n">
        <v>0</v>
      </c>
      <c r="Q824" t="n">
        <v>0</v>
      </c>
      <c r="R824" s="2" t="inlineStr"/>
    </row>
    <row r="825" ht="15" customHeight="1">
      <c r="A825" t="inlineStr">
        <is>
          <t>A 14798-2021</t>
        </is>
      </c>
      <c r="B825" s="1" t="n">
        <v>44280</v>
      </c>
      <c r="C825" s="1" t="n">
        <v>46076</v>
      </c>
      <c r="D825" t="inlineStr">
        <is>
          <t>JÄMTLANDS LÄN</t>
        </is>
      </c>
      <c r="E825" t="inlineStr">
        <is>
          <t>HÄRJEDALEN</t>
        </is>
      </c>
      <c r="G825" t="n">
        <v>2.6</v>
      </c>
      <c r="H825" t="n">
        <v>0</v>
      </c>
      <c r="I825" t="n">
        <v>0</v>
      </c>
      <c r="J825" t="n">
        <v>0</v>
      </c>
      <c r="K825" t="n">
        <v>0</v>
      </c>
      <c r="L825" t="n">
        <v>0</v>
      </c>
      <c r="M825" t="n">
        <v>0</v>
      </c>
      <c r="N825" t="n">
        <v>0</v>
      </c>
      <c r="O825" t="n">
        <v>0</v>
      </c>
      <c r="P825" t="n">
        <v>0</v>
      </c>
      <c r="Q825" t="n">
        <v>0</v>
      </c>
      <c r="R825" s="2" t="inlineStr"/>
    </row>
    <row r="826" ht="15" customHeight="1">
      <c r="A826" t="inlineStr">
        <is>
          <t>A 58431-2025</t>
        </is>
      </c>
      <c r="B826" s="1" t="n">
        <v>45985.60621527778</v>
      </c>
      <c r="C826" s="1" t="n">
        <v>46076</v>
      </c>
      <c r="D826" t="inlineStr">
        <is>
          <t>JÄMTLANDS LÄN</t>
        </is>
      </c>
      <c r="E826" t="inlineStr">
        <is>
          <t>HÄRJEDALEN</t>
        </is>
      </c>
      <c r="G826" t="n">
        <v>3.7</v>
      </c>
      <c r="H826" t="n">
        <v>0</v>
      </c>
      <c r="I826" t="n">
        <v>0</v>
      </c>
      <c r="J826" t="n">
        <v>0</v>
      </c>
      <c r="K826" t="n">
        <v>0</v>
      </c>
      <c r="L826" t="n">
        <v>0</v>
      </c>
      <c r="M826" t="n">
        <v>0</v>
      </c>
      <c r="N826" t="n">
        <v>0</v>
      </c>
      <c r="O826" t="n">
        <v>0</v>
      </c>
      <c r="P826" t="n">
        <v>0</v>
      </c>
      <c r="Q826" t="n">
        <v>0</v>
      </c>
      <c r="R826" s="2" t="inlineStr"/>
    </row>
    <row r="827" ht="15" customHeight="1">
      <c r="A827" t="inlineStr">
        <is>
          <t>A 6304-2024</t>
        </is>
      </c>
      <c r="B827" s="1" t="n">
        <v>45338</v>
      </c>
      <c r="C827" s="1" t="n">
        <v>46076</v>
      </c>
      <c r="D827" t="inlineStr">
        <is>
          <t>JÄMTLANDS LÄN</t>
        </is>
      </c>
      <c r="E827" t="inlineStr">
        <is>
          <t>HÄRJEDALEN</t>
        </is>
      </c>
      <c r="F827" t="inlineStr">
        <is>
          <t>Bergvik skog väst AB</t>
        </is>
      </c>
      <c r="G827" t="n">
        <v>23.5</v>
      </c>
      <c r="H827" t="n">
        <v>0</v>
      </c>
      <c r="I827" t="n">
        <v>0</v>
      </c>
      <c r="J827" t="n">
        <v>0</v>
      </c>
      <c r="K827" t="n">
        <v>0</v>
      </c>
      <c r="L827" t="n">
        <v>0</v>
      </c>
      <c r="M827" t="n">
        <v>0</v>
      </c>
      <c r="N827" t="n">
        <v>0</v>
      </c>
      <c r="O827" t="n">
        <v>0</v>
      </c>
      <c r="P827" t="n">
        <v>0</v>
      </c>
      <c r="Q827" t="n">
        <v>0</v>
      </c>
      <c r="R827" s="2" t="inlineStr"/>
    </row>
    <row r="828" ht="15" customHeight="1">
      <c r="A828" t="inlineStr">
        <is>
          <t>A 58645-2025</t>
        </is>
      </c>
      <c r="B828" s="1" t="n">
        <v>45986.49688657407</v>
      </c>
      <c r="C828" s="1" t="n">
        <v>46076</v>
      </c>
      <c r="D828" t="inlineStr">
        <is>
          <t>JÄMTLANDS LÄN</t>
        </is>
      </c>
      <c r="E828" t="inlineStr">
        <is>
          <t>HÄRJEDALEN</t>
        </is>
      </c>
      <c r="F828" t="inlineStr">
        <is>
          <t>Bergvik skog väst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58723-2025</t>
        </is>
      </c>
      <c r="B829" s="1" t="n">
        <v>45986.61724537037</v>
      </c>
      <c r="C829" s="1" t="n">
        <v>46076</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34453-2021</t>
        </is>
      </c>
      <c r="B830" s="1" t="n">
        <v>44381</v>
      </c>
      <c r="C830" s="1" t="n">
        <v>46076</v>
      </c>
      <c r="D830" t="inlineStr">
        <is>
          <t>JÄMTLANDS LÄN</t>
        </is>
      </c>
      <c r="E830" t="inlineStr">
        <is>
          <t>HÄRJEDALEN</t>
        </is>
      </c>
      <c r="G830" t="n">
        <v>12.7</v>
      </c>
      <c r="H830" t="n">
        <v>0</v>
      </c>
      <c r="I830" t="n">
        <v>0</v>
      </c>
      <c r="J830" t="n">
        <v>0</v>
      </c>
      <c r="K830" t="n">
        <v>0</v>
      </c>
      <c r="L830" t="n">
        <v>0</v>
      </c>
      <c r="M830" t="n">
        <v>0</v>
      </c>
      <c r="N830" t="n">
        <v>0</v>
      </c>
      <c r="O830" t="n">
        <v>0</v>
      </c>
      <c r="P830" t="n">
        <v>0</v>
      </c>
      <c r="Q830" t="n">
        <v>0</v>
      </c>
      <c r="R830" s="2" t="inlineStr"/>
    </row>
    <row r="831" ht="15" customHeight="1">
      <c r="A831" t="inlineStr">
        <is>
          <t>A 55318-2024</t>
        </is>
      </c>
      <c r="B831" s="1" t="n">
        <v>45621</v>
      </c>
      <c r="C831" s="1" t="n">
        <v>46076</v>
      </c>
      <c r="D831" t="inlineStr">
        <is>
          <t>JÄMTLANDS LÄN</t>
        </is>
      </c>
      <c r="E831" t="inlineStr">
        <is>
          <t>HÄRJEDALEN</t>
        </is>
      </c>
      <c r="F831" t="inlineStr">
        <is>
          <t>Bergvik skog väst AB</t>
        </is>
      </c>
      <c r="G831" t="n">
        <v>136.1</v>
      </c>
      <c r="H831" t="n">
        <v>0</v>
      </c>
      <c r="I831" t="n">
        <v>0</v>
      </c>
      <c r="J831" t="n">
        <v>0</v>
      </c>
      <c r="K831" t="n">
        <v>0</v>
      </c>
      <c r="L831" t="n">
        <v>0</v>
      </c>
      <c r="M831" t="n">
        <v>0</v>
      </c>
      <c r="N831" t="n">
        <v>0</v>
      </c>
      <c r="O831" t="n">
        <v>0</v>
      </c>
      <c r="P831" t="n">
        <v>0</v>
      </c>
      <c r="Q831" t="n">
        <v>0</v>
      </c>
      <c r="R831" s="2" t="inlineStr"/>
    </row>
    <row r="832" ht="15" customHeight="1">
      <c r="A832" t="inlineStr">
        <is>
          <t>A 58539-2025</t>
        </is>
      </c>
      <c r="B832" s="1" t="n">
        <v>45985.89577546297</v>
      </c>
      <c r="C832" s="1" t="n">
        <v>46076</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51311-2024</t>
        </is>
      </c>
      <c r="B833" s="1" t="n">
        <v>45604.31657407407</v>
      </c>
      <c r="C833" s="1" t="n">
        <v>46076</v>
      </c>
      <c r="D833" t="inlineStr">
        <is>
          <t>JÄMTLANDS LÄN</t>
        </is>
      </c>
      <c r="E833" t="inlineStr">
        <is>
          <t>HÄRJEDALEN</t>
        </is>
      </c>
      <c r="F833" t="inlineStr">
        <is>
          <t>Holmen skog AB</t>
        </is>
      </c>
      <c r="G833" t="n">
        <v>0.5</v>
      </c>
      <c r="H833" t="n">
        <v>0</v>
      </c>
      <c r="I833" t="n">
        <v>0</v>
      </c>
      <c r="J833" t="n">
        <v>0</v>
      </c>
      <c r="K833" t="n">
        <v>0</v>
      </c>
      <c r="L833" t="n">
        <v>0</v>
      </c>
      <c r="M833" t="n">
        <v>0</v>
      </c>
      <c r="N833" t="n">
        <v>0</v>
      </c>
      <c r="O833" t="n">
        <v>0</v>
      </c>
      <c r="P833" t="n">
        <v>0</v>
      </c>
      <c r="Q833" t="n">
        <v>0</v>
      </c>
      <c r="R833" s="2" t="inlineStr"/>
    </row>
    <row r="834" ht="15" customHeight="1">
      <c r="A834" t="inlineStr">
        <is>
          <t>A 58716-2025</t>
        </is>
      </c>
      <c r="B834" s="1" t="n">
        <v>45986.61413194444</v>
      </c>
      <c r="C834" s="1" t="n">
        <v>46076</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58602-2025</t>
        </is>
      </c>
      <c r="B835" s="1" t="n">
        <v>45986.42805555555</v>
      </c>
      <c r="C835" s="1" t="n">
        <v>46076</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58865-2025</t>
        </is>
      </c>
      <c r="B836" s="1" t="n">
        <v>45987.44751157407</v>
      </c>
      <c r="C836" s="1" t="n">
        <v>46076</v>
      </c>
      <c r="D836" t="inlineStr">
        <is>
          <t>JÄMTLANDS LÄN</t>
        </is>
      </c>
      <c r="E836" t="inlineStr">
        <is>
          <t>HÄRJEDALEN</t>
        </is>
      </c>
      <c r="G836" t="n">
        <v>5.3</v>
      </c>
      <c r="H836" t="n">
        <v>0</v>
      </c>
      <c r="I836" t="n">
        <v>0</v>
      </c>
      <c r="J836" t="n">
        <v>0</v>
      </c>
      <c r="K836" t="n">
        <v>0</v>
      </c>
      <c r="L836" t="n">
        <v>0</v>
      </c>
      <c r="M836" t="n">
        <v>0</v>
      </c>
      <c r="N836" t="n">
        <v>0</v>
      </c>
      <c r="O836" t="n">
        <v>0</v>
      </c>
      <c r="P836" t="n">
        <v>0</v>
      </c>
      <c r="Q836" t="n">
        <v>0</v>
      </c>
      <c r="R836" s="2" t="inlineStr"/>
    </row>
    <row r="837" ht="15" customHeight="1">
      <c r="A837" t="inlineStr">
        <is>
          <t>A 17896-2025</t>
        </is>
      </c>
      <c r="B837" s="1" t="n">
        <v>45758.69638888889</v>
      </c>
      <c r="C837" s="1" t="n">
        <v>46076</v>
      </c>
      <c r="D837" t="inlineStr">
        <is>
          <t>JÄMTLANDS LÄN</t>
        </is>
      </c>
      <c r="E837" t="inlineStr">
        <is>
          <t>HÄRJEDALEN</t>
        </is>
      </c>
      <c r="G837" t="n">
        <v>5</v>
      </c>
      <c r="H837" t="n">
        <v>0</v>
      </c>
      <c r="I837" t="n">
        <v>0</v>
      </c>
      <c r="J837" t="n">
        <v>0</v>
      </c>
      <c r="K837" t="n">
        <v>0</v>
      </c>
      <c r="L837" t="n">
        <v>0</v>
      </c>
      <c r="M837" t="n">
        <v>0</v>
      </c>
      <c r="N837" t="n">
        <v>0</v>
      </c>
      <c r="O837" t="n">
        <v>0</v>
      </c>
      <c r="P837" t="n">
        <v>0</v>
      </c>
      <c r="Q837" t="n">
        <v>0</v>
      </c>
      <c r="R837" s="2" t="inlineStr"/>
    </row>
    <row r="838" ht="15" customHeight="1">
      <c r="A838" t="inlineStr">
        <is>
          <t>A 58607-2025</t>
        </is>
      </c>
      <c r="B838" s="1" t="n">
        <v>45986.44212962963</v>
      </c>
      <c r="C838" s="1" t="n">
        <v>46076</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58694-2025</t>
        </is>
      </c>
      <c r="B839" s="1" t="n">
        <v>45986.585</v>
      </c>
      <c r="C839" s="1" t="n">
        <v>46076</v>
      </c>
      <c r="D839" t="inlineStr">
        <is>
          <t>JÄMTLANDS LÄN</t>
        </is>
      </c>
      <c r="E839" t="inlineStr">
        <is>
          <t>HÄRJEDALEN</t>
        </is>
      </c>
      <c r="G839" t="n">
        <v>0.6</v>
      </c>
      <c r="H839" t="n">
        <v>0</v>
      </c>
      <c r="I839" t="n">
        <v>0</v>
      </c>
      <c r="J839" t="n">
        <v>0</v>
      </c>
      <c r="K839" t="n">
        <v>0</v>
      </c>
      <c r="L839" t="n">
        <v>0</v>
      </c>
      <c r="M839" t="n">
        <v>0</v>
      </c>
      <c r="N839" t="n">
        <v>0</v>
      </c>
      <c r="O839" t="n">
        <v>0</v>
      </c>
      <c r="P839" t="n">
        <v>0</v>
      </c>
      <c r="Q839" t="n">
        <v>0</v>
      </c>
      <c r="R839" s="2" t="inlineStr"/>
    </row>
    <row r="840" ht="15" customHeight="1">
      <c r="A840" t="inlineStr">
        <is>
          <t>A 30729-2024</t>
        </is>
      </c>
      <c r="B840" s="1" t="n">
        <v>45496.59202546296</v>
      </c>
      <c r="C840" s="1" t="n">
        <v>46076</v>
      </c>
      <c r="D840" t="inlineStr">
        <is>
          <t>JÄMTLANDS LÄN</t>
        </is>
      </c>
      <c r="E840" t="inlineStr">
        <is>
          <t>HÄRJEDALEN</t>
        </is>
      </c>
      <c r="F840" t="inlineStr">
        <is>
          <t>Bergvik skog väst AB</t>
        </is>
      </c>
      <c r="G840" t="n">
        <v>5.9</v>
      </c>
      <c r="H840" t="n">
        <v>0</v>
      </c>
      <c r="I840" t="n">
        <v>0</v>
      </c>
      <c r="J840" t="n">
        <v>0</v>
      </c>
      <c r="K840" t="n">
        <v>0</v>
      </c>
      <c r="L840" t="n">
        <v>0</v>
      </c>
      <c r="M840" t="n">
        <v>0</v>
      </c>
      <c r="N840" t="n">
        <v>0</v>
      </c>
      <c r="O840" t="n">
        <v>0</v>
      </c>
      <c r="P840" t="n">
        <v>0</v>
      </c>
      <c r="Q840" t="n">
        <v>0</v>
      </c>
      <c r="R840" s="2" t="inlineStr"/>
    </row>
    <row r="841" ht="15" customHeight="1">
      <c r="A841" t="inlineStr">
        <is>
          <t>A 59116-2025</t>
        </is>
      </c>
      <c r="B841" s="1" t="n">
        <v>45988.49009259259</v>
      </c>
      <c r="C841" s="1" t="n">
        <v>46076</v>
      </c>
      <c r="D841" t="inlineStr">
        <is>
          <t>JÄMTLANDS LÄN</t>
        </is>
      </c>
      <c r="E841" t="inlineStr">
        <is>
          <t>HÄRJEDALEN</t>
        </is>
      </c>
      <c r="G841" t="n">
        <v>10.5</v>
      </c>
      <c r="H841" t="n">
        <v>0</v>
      </c>
      <c r="I841" t="n">
        <v>0</v>
      </c>
      <c r="J841" t="n">
        <v>0</v>
      </c>
      <c r="K841" t="n">
        <v>0</v>
      </c>
      <c r="L841" t="n">
        <v>0</v>
      </c>
      <c r="M841" t="n">
        <v>0</v>
      </c>
      <c r="N841" t="n">
        <v>0</v>
      </c>
      <c r="O841" t="n">
        <v>0</v>
      </c>
      <c r="P841" t="n">
        <v>0</v>
      </c>
      <c r="Q841" t="n">
        <v>0</v>
      </c>
      <c r="R841" s="2" t="inlineStr"/>
    </row>
    <row r="842" ht="15" customHeight="1">
      <c r="A842" t="inlineStr">
        <is>
          <t>A 59118-2025</t>
        </is>
      </c>
      <c r="B842" s="1" t="n">
        <v>45988.49023148148</v>
      </c>
      <c r="C842" s="1" t="n">
        <v>46076</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59496-2025</t>
        </is>
      </c>
      <c r="B843" s="1" t="n">
        <v>45989.61563657408</v>
      </c>
      <c r="C843" s="1" t="n">
        <v>46076</v>
      </c>
      <c r="D843" t="inlineStr">
        <is>
          <t>JÄMTLANDS LÄN</t>
        </is>
      </c>
      <c r="E843" t="inlineStr">
        <is>
          <t>HÄRJEDALEN</t>
        </is>
      </c>
      <c r="G843" t="n">
        <v>1.1</v>
      </c>
      <c r="H843" t="n">
        <v>0</v>
      </c>
      <c r="I843" t="n">
        <v>0</v>
      </c>
      <c r="J843" t="n">
        <v>0</v>
      </c>
      <c r="K843" t="n">
        <v>0</v>
      </c>
      <c r="L843" t="n">
        <v>0</v>
      </c>
      <c r="M843" t="n">
        <v>0</v>
      </c>
      <c r="N843" t="n">
        <v>0</v>
      </c>
      <c r="O843" t="n">
        <v>0</v>
      </c>
      <c r="P843" t="n">
        <v>0</v>
      </c>
      <c r="Q843" t="n">
        <v>0</v>
      </c>
      <c r="R843" s="2" t="inlineStr"/>
    </row>
    <row r="844" ht="15" customHeight="1">
      <c r="A844" t="inlineStr">
        <is>
          <t>A 59507-2025</t>
        </is>
      </c>
      <c r="B844" s="1" t="n">
        <v>45989.64166666667</v>
      </c>
      <c r="C844" s="1" t="n">
        <v>46076</v>
      </c>
      <c r="D844" t="inlineStr">
        <is>
          <t>JÄMTLANDS LÄN</t>
        </is>
      </c>
      <c r="E844" t="inlineStr">
        <is>
          <t>HÄRJEDALEN</t>
        </is>
      </c>
      <c r="G844" t="n">
        <v>0.5</v>
      </c>
      <c r="H844" t="n">
        <v>0</v>
      </c>
      <c r="I844" t="n">
        <v>0</v>
      </c>
      <c r="J844" t="n">
        <v>0</v>
      </c>
      <c r="K844" t="n">
        <v>0</v>
      </c>
      <c r="L844" t="n">
        <v>0</v>
      </c>
      <c r="M844" t="n">
        <v>0</v>
      </c>
      <c r="N844" t="n">
        <v>0</v>
      </c>
      <c r="O844" t="n">
        <v>0</v>
      </c>
      <c r="P844" t="n">
        <v>0</v>
      </c>
      <c r="Q844" t="n">
        <v>0</v>
      </c>
      <c r="R844" s="2" t="inlineStr"/>
    </row>
    <row r="845" ht="15" customHeight="1">
      <c r="A845" t="inlineStr">
        <is>
          <t>A 59321-2025</t>
        </is>
      </c>
      <c r="B845" s="1" t="n">
        <v>45988</v>
      </c>
      <c r="C845" s="1" t="n">
        <v>46076</v>
      </c>
      <c r="D845" t="inlineStr">
        <is>
          <t>JÄMTLANDS LÄN</t>
        </is>
      </c>
      <c r="E845" t="inlineStr">
        <is>
          <t>HÄRJEDALEN</t>
        </is>
      </c>
      <c r="G845" t="n">
        <v>3</v>
      </c>
      <c r="H845" t="n">
        <v>0</v>
      </c>
      <c r="I845" t="n">
        <v>0</v>
      </c>
      <c r="J845" t="n">
        <v>0</v>
      </c>
      <c r="K845" t="n">
        <v>0</v>
      </c>
      <c r="L845" t="n">
        <v>0</v>
      </c>
      <c r="M845" t="n">
        <v>0</v>
      </c>
      <c r="N845" t="n">
        <v>0</v>
      </c>
      <c r="O845" t="n">
        <v>0</v>
      </c>
      <c r="P845" t="n">
        <v>0</v>
      </c>
      <c r="Q845" t="n">
        <v>0</v>
      </c>
      <c r="R845" s="2" t="inlineStr"/>
    </row>
    <row r="846" ht="15" customHeight="1">
      <c r="A846" t="inlineStr">
        <is>
          <t>A 29766-2024</t>
        </is>
      </c>
      <c r="B846" s="1" t="n">
        <v>45485</v>
      </c>
      <c r="C846" s="1" t="n">
        <v>46076</v>
      </c>
      <c r="D846" t="inlineStr">
        <is>
          <t>JÄMTLANDS LÄN</t>
        </is>
      </c>
      <c r="E846" t="inlineStr">
        <is>
          <t>HÄRJEDALEN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54502-2024</t>
        </is>
      </c>
      <c r="B847" s="1" t="n">
        <v>45617</v>
      </c>
      <c r="C847" s="1" t="n">
        <v>46076</v>
      </c>
      <c r="D847" t="inlineStr">
        <is>
          <t>JÄMTLANDS LÄN</t>
        </is>
      </c>
      <c r="E847" t="inlineStr">
        <is>
          <t>HÄRJEDALEN</t>
        </is>
      </c>
      <c r="F847" t="inlineStr">
        <is>
          <t>Holmen skog AB</t>
        </is>
      </c>
      <c r="G847" t="n">
        <v>8.4</v>
      </c>
      <c r="H847" t="n">
        <v>0</v>
      </c>
      <c r="I847" t="n">
        <v>0</v>
      </c>
      <c r="J847" t="n">
        <v>0</v>
      </c>
      <c r="K847" t="n">
        <v>0</v>
      </c>
      <c r="L847" t="n">
        <v>0</v>
      </c>
      <c r="M847" t="n">
        <v>0</v>
      </c>
      <c r="N847" t="n">
        <v>0</v>
      </c>
      <c r="O847" t="n">
        <v>0</v>
      </c>
      <c r="P847" t="n">
        <v>0</v>
      </c>
      <c r="Q847" t="n">
        <v>0</v>
      </c>
      <c r="R847" s="2" t="inlineStr"/>
    </row>
    <row r="848" ht="15" customHeight="1">
      <c r="A848" t="inlineStr">
        <is>
          <t>A 59470-2025</t>
        </is>
      </c>
      <c r="B848" s="1" t="n">
        <v>45989.58270833334</v>
      </c>
      <c r="C848" s="1" t="n">
        <v>46076</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59480-2025</t>
        </is>
      </c>
      <c r="B849" s="1" t="n">
        <v>45989.58947916667</v>
      </c>
      <c r="C849" s="1" t="n">
        <v>46076</v>
      </c>
      <c r="D849" t="inlineStr">
        <is>
          <t>JÄMTLANDS LÄN</t>
        </is>
      </c>
      <c r="E849" t="inlineStr">
        <is>
          <t>HÄRJEDALEN</t>
        </is>
      </c>
      <c r="G849" t="n">
        <v>0.7</v>
      </c>
      <c r="H849" t="n">
        <v>0</v>
      </c>
      <c r="I849" t="n">
        <v>0</v>
      </c>
      <c r="J849" t="n">
        <v>0</v>
      </c>
      <c r="K849" t="n">
        <v>0</v>
      </c>
      <c r="L849" t="n">
        <v>0</v>
      </c>
      <c r="M849" t="n">
        <v>0</v>
      </c>
      <c r="N849" t="n">
        <v>0</v>
      </c>
      <c r="O849" t="n">
        <v>0</v>
      </c>
      <c r="P849" t="n">
        <v>0</v>
      </c>
      <c r="Q849" t="n">
        <v>0</v>
      </c>
      <c r="R849" s="2" t="inlineStr"/>
    </row>
    <row r="850" ht="15" customHeight="1">
      <c r="A850" t="inlineStr">
        <is>
          <t>A 59430-2025</t>
        </is>
      </c>
      <c r="B850" s="1" t="n">
        <v>45989.54789351852</v>
      </c>
      <c r="C850" s="1" t="n">
        <v>46076</v>
      </c>
      <c r="D850" t="inlineStr">
        <is>
          <t>JÄMTLANDS LÄN</t>
        </is>
      </c>
      <c r="E850" t="inlineStr">
        <is>
          <t>HÄRJEDALEN</t>
        </is>
      </c>
      <c r="G850" t="n">
        <v>0.4</v>
      </c>
      <c r="H850" t="n">
        <v>0</v>
      </c>
      <c r="I850" t="n">
        <v>0</v>
      </c>
      <c r="J850" t="n">
        <v>0</v>
      </c>
      <c r="K850" t="n">
        <v>0</v>
      </c>
      <c r="L850" t="n">
        <v>0</v>
      </c>
      <c r="M850" t="n">
        <v>0</v>
      </c>
      <c r="N850" t="n">
        <v>0</v>
      </c>
      <c r="O850" t="n">
        <v>0</v>
      </c>
      <c r="P850" t="n">
        <v>0</v>
      </c>
      <c r="Q850" t="n">
        <v>0</v>
      </c>
      <c r="R850" s="2" t="inlineStr"/>
    </row>
    <row r="851" ht="15" customHeight="1">
      <c r="A851" t="inlineStr">
        <is>
          <t>A 59509-2025</t>
        </is>
      </c>
      <c r="B851" s="1" t="n">
        <v>45989.64364583333</v>
      </c>
      <c r="C851" s="1" t="n">
        <v>46076</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57373-2021</t>
        </is>
      </c>
      <c r="B852" s="1" t="n">
        <v>44483</v>
      </c>
      <c r="C852" s="1" t="n">
        <v>46076</v>
      </c>
      <c r="D852" t="inlineStr">
        <is>
          <t>JÄMTLANDS LÄN</t>
        </is>
      </c>
      <c r="E852" t="inlineStr">
        <is>
          <t>HÄRJEDALEN</t>
        </is>
      </c>
      <c r="G852" t="n">
        <v>10.8</v>
      </c>
      <c r="H852" t="n">
        <v>0</v>
      </c>
      <c r="I852" t="n">
        <v>0</v>
      </c>
      <c r="J852" t="n">
        <v>0</v>
      </c>
      <c r="K852" t="n">
        <v>0</v>
      </c>
      <c r="L852" t="n">
        <v>0</v>
      </c>
      <c r="M852" t="n">
        <v>0</v>
      </c>
      <c r="N852" t="n">
        <v>0</v>
      </c>
      <c r="O852" t="n">
        <v>0</v>
      </c>
      <c r="P852" t="n">
        <v>0</v>
      </c>
      <c r="Q852" t="n">
        <v>0</v>
      </c>
      <c r="R852" s="2" t="inlineStr"/>
    </row>
    <row r="853" ht="15" customHeight="1">
      <c r="A853" t="inlineStr">
        <is>
          <t>A 59117-2025</t>
        </is>
      </c>
      <c r="B853" s="1" t="n">
        <v>45988.49011574074</v>
      </c>
      <c r="C853" s="1" t="n">
        <v>46076</v>
      </c>
      <c r="D853" t="inlineStr">
        <is>
          <t>JÄMTLANDS LÄN</t>
        </is>
      </c>
      <c r="E853" t="inlineStr">
        <is>
          <t>HÄRJEDALEN</t>
        </is>
      </c>
      <c r="G853" t="n">
        <v>2</v>
      </c>
      <c r="H853" t="n">
        <v>0</v>
      </c>
      <c r="I853" t="n">
        <v>0</v>
      </c>
      <c r="J853" t="n">
        <v>0</v>
      </c>
      <c r="K853" t="n">
        <v>0</v>
      </c>
      <c r="L853" t="n">
        <v>0</v>
      </c>
      <c r="M853" t="n">
        <v>0</v>
      </c>
      <c r="N853" t="n">
        <v>0</v>
      </c>
      <c r="O853" t="n">
        <v>0</v>
      </c>
      <c r="P853" t="n">
        <v>0</v>
      </c>
      <c r="Q853" t="n">
        <v>0</v>
      </c>
      <c r="R853" s="2" t="inlineStr"/>
    </row>
    <row r="854" ht="15" customHeight="1">
      <c r="A854" t="inlineStr">
        <is>
          <t>A 54527-2024</t>
        </is>
      </c>
      <c r="B854" s="1" t="n">
        <v>45617</v>
      </c>
      <c r="C854" s="1" t="n">
        <v>46076</v>
      </c>
      <c r="D854" t="inlineStr">
        <is>
          <t>JÄMTLANDS LÄN</t>
        </is>
      </c>
      <c r="E854" t="inlineStr">
        <is>
          <t>HÄRJEDALEN</t>
        </is>
      </c>
      <c r="F854" t="inlineStr">
        <is>
          <t>Holmen skog AB</t>
        </is>
      </c>
      <c r="G854" t="n">
        <v>8.5</v>
      </c>
      <c r="H854" t="n">
        <v>0</v>
      </c>
      <c r="I854" t="n">
        <v>0</v>
      </c>
      <c r="J854" t="n">
        <v>0</v>
      </c>
      <c r="K854" t="n">
        <v>0</v>
      </c>
      <c r="L854" t="n">
        <v>0</v>
      </c>
      <c r="M854" t="n">
        <v>0</v>
      </c>
      <c r="N854" t="n">
        <v>0</v>
      </c>
      <c r="O854" t="n">
        <v>0</v>
      </c>
      <c r="P854" t="n">
        <v>0</v>
      </c>
      <c r="Q854" t="n">
        <v>0</v>
      </c>
      <c r="R854" s="2" t="inlineStr"/>
    </row>
    <row r="855" ht="15" customHeight="1">
      <c r="A855" t="inlineStr">
        <is>
          <t>A 30404-2024</t>
        </is>
      </c>
      <c r="B855" s="1" t="n">
        <v>45491.5859375</v>
      </c>
      <c r="C855" s="1" t="n">
        <v>46076</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59360-2025</t>
        </is>
      </c>
      <c r="B856" s="1" t="n">
        <v>45989.42842592593</v>
      </c>
      <c r="C856" s="1" t="n">
        <v>46076</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59364-2025</t>
        </is>
      </c>
      <c r="B857" s="1" t="n">
        <v>45989.4393287037</v>
      </c>
      <c r="C857" s="1" t="n">
        <v>46076</v>
      </c>
      <c r="D857" t="inlineStr">
        <is>
          <t>JÄMTLANDS LÄN</t>
        </is>
      </c>
      <c r="E857" t="inlineStr">
        <is>
          <t>HÄRJEDALEN</t>
        </is>
      </c>
      <c r="G857" t="n">
        <v>2.2</v>
      </c>
      <c r="H857" t="n">
        <v>0</v>
      </c>
      <c r="I857" t="n">
        <v>0</v>
      </c>
      <c r="J857" t="n">
        <v>0</v>
      </c>
      <c r="K857" t="n">
        <v>0</v>
      </c>
      <c r="L857" t="n">
        <v>0</v>
      </c>
      <c r="M857" t="n">
        <v>0</v>
      </c>
      <c r="N857" t="n">
        <v>0</v>
      </c>
      <c r="O857" t="n">
        <v>0</v>
      </c>
      <c r="P857" t="n">
        <v>0</v>
      </c>
      <c r="Q857" t="n">
        <v>0</v>
      </c>
      <c r="R857" s="2" t="inlineStr"/>
    </row>
    <row r="858" ht="15" customHeight="1">
      <c r="A858" t="inlineStr">
        <is>
          <t>A 59981-2025</t>
        </is>
      </c>
      <c r="B858" s="1" t="n">
        <v>45993.53554398148</v>
      </c>
      <c r="C858" s="1" t="n">
        <v>46076</v>
      </c>
      <c r="D858" t="inlineStr">
        <is>
          <t>JÄMTLANDS LÄN</t>
        </is>
      </c>
      <c r="E858" t="inlineStr">
        <is>
          <t>HÄRJEDALEN</t>
        </is>
      </c>
      <c r="G858" t="n">
        <v>4.5</v>
      </c>
      <c r="H858" t="n">
        <v>0</v>
      </c>
      <c r="I858" t="n">
        <v>0</v>
      </c>
      <c r="J858" t="n">
        <v>0</v>
      </c>
      <c r="K858" t="n">
        <v>0</v>
      </c>
      <c r="L858" t="n">
        <v>0</v>
      </c>
      <c r="M858" t="n">
        <v>0</v>
      </c>
      <c r="N858" t="n">
        <v>0</v>
      </c>
      <c r="O858" t="n">
        <v>0</v>
      </c>
      <c r="P858" t="n">
        <v>0</v>
      </c>
      <c r="Q858" t="n">
        <v>0</v>
      </c>
      <c r="R858" s="2" t="inlineStr"/>
    </row>
    <row r="859" ht="15" customHeight="1">
      <c r="A859" t="inlineStr">
        <is>
          <t>A 59608-2025</t>
        </is>
      </c>
      <c r="B859" s="1" t="n">
        <v>45992.3653587963</v>
      </c>
      <c r="C859" s="1" t="n">
        <v>46076</v>
      </c>
      <c r="D859" t="inlineStr">
        <is>
          <t>JÄMTLANDS LÄN</t>
        </is>
      </c>
      <c r="E859" t="inlineStr">
        <is>
          <t>HÄRJEDALEN</t>
        </is>
      </c>
      <c r="G859" t="n">
        <v>12.2</v>
      </c>
      <c r="H859" t="n">
        <v>0</v>
      </c>
      <c r="I859" t="n">
        <v>0</v>
      </c>
      <c r="J859" t="n">
        <v>0</v>
      </c>
      <c r="K859" t="n">
        <v>0</v>
      </c>
      <c r="L859" t="n">
        <v>0</v>
      </c>
      <c r="M859" t="n">
        <v>0</v>
      </c>
      <c r="N859" t="n">
        <v>0</v>
      </c>
      <c r="O859" t="n">
        <v>0</v>
      </c>
      <c r="P859" t="n">
        <v>0</v>
      </c>
      <c r="Q859" t="n">
        <v>0</v>
      </c>
      <c r="R859" s="2" t="inlineStr"/>
    </row>
    <row r="860" ht="15" customHeight="1">
      <c r="A860" t="inlineStr">
        <is>
          <t>A 51322-2024</t>
        </is>
      </c>
      <c r="B860" s="1" t="n">
        <v>45604.33195601852</v>
      </c>
      <c r="C860" s="1" t="n">
        <v>46076</v>
      </c>
      <c r="D860" t="inlineStr">
        <is>
          <t>JÄMTLANDS LÄN</t>
        </is>
      </c>
      <c r="E860" t="inlineStr">
        <is>
          <t>HÄRJEDALEN</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44955-2024</t>
        </is>
      </c>
      <c r="B861" s="1" t="n">
        <v>45575</v>
      </c>
      <c r="C861" s="1" t="n">
        <v>46076</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51191-2024</t>
        </is>
      </c>
      <c r="B862" s="1" t="n">
        <v>45603</v>
      </c>
      <c r="C862" s="1" t="n">
        <v>46076</v>
      </c>
      <c r="D862" t="inlineStr">
        <is>
          <t>JÄMTLANDS LÄN</t>
        </is>
      </c>
      <c r="E862" t="inlineStr">
        <is>
          <t>HÄRJEDALEN</t>
        </is>
      </c>
      <c r="F862" t="inlineStr">
        <is>
          <t>Holmen skog AB</t>
        </is>
      </c>
      <c r="G862" t="n">
        <v>9.1</v>
      </c>
      <c r="H862" t="n">
        <v>0</v>
      </c>
      <c r="I862" t="n">
        <v>0</v>
      </c>
      <c r="J862" t="n">
        <v>0</v>
      </c>
      <c r="K862" t="n">
        <v>0</v>
      </c>
      <c r="L862" t="n">
        <v>0</v>
      </c>
      <c r="M862" t="n">
        <v>0</v>
      </c>
      <c r="N862" t="n">
        <v>0</v>
      </c>
      <c r="O862" t="n">
        <v>0</v>
      </c>
      <c r="P862" t="n">
        <v>0</v>
      </c>
      <c r="Q862" t="n">
        <v>0</v>
      </c>
      <c r="R862" s="2" t="inlineStr"/>
    </row>
    <row r="863" ht="15" customHeight="1">
      <c r="A863" t="inlineStr">
        <is>
          <t>A 9980-2025</t>
        </is>
      </c>
      <c r="B863" s="1" t="n">
        <v>45719.40480324074</v>
      </c>
      <c r="C863" s="1" t="n">
        <v>46076</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38840-2024</t>
        </is>
      </c>
      <c r="B864" s="1" t="n">
        <v>45547.59543981482</v>
      </c>
      <c r="C864" s="1" t="n">
        <v>46076</v>
      </c>
      <c r="D864" t="inlineStr">
        <is>
          <t>JÄMTLANDS LÄN</t>
        </is>
      </c>
      <c r="E864" t="inlineStr">
        <is>
          <t>HÄRJEDALEN</t>
        </is>
      </c>
      <c r="G864" t="n">
        <v>4.1</v>
      </c>
      <c r="H864" t="n">
        <v>0</v>
      </c>
      <c r="I864" t="n">
        <v>0</v>
      </c>
      <c r="J864" t="n">
        <v>0</v>
      </c>
      <c r="K864" t="n">
        <v>0</v>
      </c>
      <c r="L864" t="n">
        <v>0</v>
      </c>
      <c r="M864" t="n">
        <v>0</v>
      </c>
      <c r="N864" t="n">
        <v>0</v>
      </c>
      <c r="O864" t="n">
        <v>0</v>
      </c>
      <c r="P864" t="n">
        <v>0</v>
      </c>
      <c r="Q864" t="n">
        <v>0</v>
      </c>
      <c r="R864" s="2" t="inlineStr"/>
    </row>
    <row r="865" ht="15" customHeight="1">
      <c r="A865" t="inlineStr">
        <is>
          <t>A 60080-2025</t>
        </is>
      </c>
      <c r="B865" s="1" t="n">
        <v>45993.69013888889</v>
      </c>
      <c r="C865" s="1" t="n">
        <v>46076</v>
      </c>
      <c r="D865" t="inlineStr">
        <is>
          <t>JÄMTLANDS LÄN</t>
        </is>
      </c>
      <c r="E865" t="inlineStr">
        <is>
          <t>HÄRJEDALEN</t>
        </is>
      </c>
      <c r="F865" t="inlineStr">
        <is>
          <t>Bergvik skog väst AB</t>
        </is>
      </c>
      <c r="G865" t="n">
        <v>12.1</v>
      </c>
      <c r="H865" t="n">
        <v>0</v>
      </c>
      <c r="I865" t="n">
        <v>0</v>
      </c>
      <c r="J865" t="n">
        <v>0</v>
      </c>
      <c r="K865" t="n">
        <v>0</v>
      </c>
      <c r="L865" t="n">
        <v>0</v>
      </c>
      <c r="M865" t="n">
        <v>0</v>
      </c>
      <c r="N865" t="n">
        <v>0</v>
      </c>
      <c r="O865" t="n">
        <v>0</v>
      </c>
      <c r="P865" t="n">
        <v>0</v>
      </c>
      <c r="Q865" t="n">
        <v>0</v>
      </c>
      <c r="R865" s="2" t="inlineStr"/>
    </row>
    <row r="866" ht="15" customHeight="1">
      <c r="A866" t="inlineStr">
        <is>
          <t>A 2313-2026</t>
        </is>
      </c>
      <c r="B866" s="1" t="n">
        <v>46036.59523148148</v>
      </c>
      <c r="C866" s="1" t="n">
        <v>46076</v>
      </c>
      <c r="D866" t="inlineStr">
        <is>
          <t>JÄMTLANDS LÄN</t>
        </is>
      </c>
      <c r="E866" t="inlineStr">
        <is>
          <t>HÄRJEDALEN</t>
        </is>
      </c>
      <c r="G866" t="n">
        <v>23.6</v>
      </c>
      <c r="H866" t="n">
        <v>0</v>
      </c>
      <c r="I866" t="n">
        <v>0</v>
      </c>
      <c r="J866" t="n">
        <v>0</v>
      </c>
      <c r="K866" t="n">
        <v>0</v>
      </c>
      <c r="L866" t="n">
        <v>0</v>
      </c>
      <c r="M866" t="n">
        <v>0</v>
      </c>
      <c r="N866" t="n">
        <v>0</v>
      </c>
      <c r="O866" t="n">
        <v>0</v>
      </c>
      <c r="P866" t="n">
        <v>0</v>
      </c>
      <c r="Q866" t="n">
        <v>0</v>
      </c>
      <c r="R866" s="2" t="inlineStr"/>
    </row>
    <row r="867" ht="15" customHeight="1">
      <c r="A867" t="inlineStr">
        <is>
          <t>A 1366-2024</t>
        </is>
      </c>
      <c r="B867" s="1" t="n">
        <v>45303.52626157407</v>
      </c>
      <c r="C867" s="1" t="n">
        <v>46076</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31956-2023</t>
        </is>
      </c>
      <c r="B868" s="1" t="n">
        <v>45119.38151620371</v>
      </c>
      <c r="C868" s="1" t="n">
        <v>46076</v>
      </c>
      <c r="D868" t="inlineStr">
        <is>
          <t>JÄMTLANDS LÄN</t>
        </is>
      </c>
      <c r="E868" t="inlineStr">
        <is>
          <t>HÄRJEDALEN</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60413-2025</t>
        </is>
      </c>
      <c r="B869" s="1" t="n">
        <v>45995.44887731481</v>
      </c>
      <c r="C869" s="1" t="n">
        <v>46076</v>
      </c>
      <c r="D869" t="inlineStr">
        <is>
          <t>JÄMTLANDS LÄN</t>
        </is>
      </c>
      <c r="E869" t="inlineStr">
        <is>
          <t>HÄRJEDALEN</t>
        </is>
      </c>
      <c r="G869" t="n">
        <v>3.6</v>
      </c>
      <c r="H869" t="n">
        <v>0</v>
      </c>
      <c r="I869" t="n">
        <v>0</v>
      </c>
      <c r="J869" t="n">
        <v>0</v>
      </c>
      <c r="K869" t="n">
        <v>0</v>
      </c>
      <c r="L869" t="n">
        <v>0</v>
      </c>
      <c r="M869" t="n">
        <v>0</v>
      </c>
      <c r="N869" t="n">
        <v>0</v>
      </c>
      <c r="O869" t="n">
        <v>0</v>
      </c>
      <c r="P869" t="n">
        <v>0</v>
      </c>
      <c r="Q869" t="n">
        <v>0</v>
      </c>
      <c r="R869" s="2" t="inlineStr"/>
    </row>
    <row r="870" ht="15" customHeight="1">
      <c r="A870" t="inlineStr">
        <is>
          <t>A 21054-2023</t>
        </is>
      </c>
      <c r="B870" s="1" t="n">
        <v>45061.61002314815</v>
      </c>
      <c r="C870" s="1" t="n">
        <v>46076</v>
      </c>
      <c r="D870" t="inlineStr">
        <is>
          <t>JÄMTLANDS LÄN</t>
        </is>
      </c>
      <c r="E870" t="inlineStr">
        <is>
          <t>HÄRJEDALEN</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60547-2025</t>
        </is>
      </c>
      <c r="B871" s="1" t="n">
        <v>45995.70358796296</v>
      </c>
      <c r="C871" s="1" t="n">
        <v>46076</v>
      </c>
      <c r="D871" t="inlineStr">
        <is>
          <t>JÄMTLANDS LÄN</t>
        </is>
      </c>
      <c r="E871" t="inlineStr">
        <is>
          <t>HÄRJEDALEN</t>
        </is>
      </c>
      <c r="G871" t="n">
        <v>7.9</v>
      </c>
      <c r="H871" t="n">
        <v>0</v>
      </c>
      <c r="I871" t="n">
        <v>0</v>
      </c>
      <c r="J871" t="n">
        <v>0</v>
      </c>
      <c r="K871" t="n">
        <v>0</v>
      </c>
      <c r="L871" t="n">
        <v>0</v>
      </c>
      <c r="M871" t="n">
        <v>0</v>
      </c>
      <c r="N871" t="n">
        <v>0</v>
      </c>
      <c r="O871" t="n">
        <v>0</v>
      </c>
      <c r="P871" t="n">
        <v>0</v>
      </c>
      <c r="Q871" t="n">
        <v>0</v>
      </c>
      <c r="R871" s="2" t="inlineStr"/>
    </row>
    <row r="872" ht="15" customHeight="1">
      <c r="A872" t="inlineStr">
        <is>
          <t>A 60412-2025</t>
        </is>
      </c>
      <c r="B872" s="1" t="n">
        <v>45995.44881944444</v>
      </c>
      <c r="C872" s="1" t="n">
        <v>46076</v>
      </c>
      <c r="D872" t="inlineStr">
        <is>
          <t>JÄMTLANDS LÄN</t>
        </is>
      </c>
      <c r="E872" t="inlineStr">
        <is>
          <t>HÄRJEDALEN</t>
        </is>
      </c>
      <c r="G872" t="n">
        <v>10</v>
      </c>
      <c r="H872" t="n">
        <v>0</v>
      </c>
      <c r="I872" t="n">
        <v>0</v>
      </c>
      <c r="J872" t="n">
        <v>0</v>
      </c>
      <c r="K872" t="n">
        <v>0</v>
      </c>
      <c r="L872" t="n">
        <v>0</v>
      </c>
      <c r="M872" t="n">
        <v>0</v>
      </c>
      <c r="N872" t="n">
        <v>0</v>
      </c>
      <c r="O872" t="n">
        <v>0</v>
      </c>
      <c r="P872" t="n">
        <v>0</v>
      </c>
      <c r="Q872" t="n">
        <v>0</v>
      </c>
      <c r="R872" s="2" t="inlineStr"/>
    </row>
    <row r="873" ht="15" customHeight="1">
      <c r="A873" t="inlineStr">
        <is>
          <t>A 60611-2023</t>
        </is>
      </c>
      <c r="B873" s="1" t="n">
        <v>45260.35777777778</v>
      </c>
      <c r="C873" s="1" t="n">
        <v>46076</v>
      </c>
      <c r="D873" t="inlineStr">
        <is>
          <t>JÄMTLANDS LÄN</t>
        </is>
      </c>
      <c r="E873" t="inlineStr">
        <is>
          <t>HÄRJEDALEN</t>
        </is>
      </c>
      <c r="G873" t="n">
        <v>7.2</v>
      </c>
      <c r="H873" t="n">
        <v>0</v>
      </c>
      <c r="I873" t="n">
        <v>0</v>
      </c>
      <c r="J873" t="n">
        <v>0</v>
      </c>
      <c r="K873" t="n">
        <v>0</v>
      </c>
      <c r="L873" t="n">
        <v>0</v>
      </c>
      <c r="M873" t="n">
        <v>0</v>
      </c>
      <c r="N873" t="n">
        <v>0</v>
      </c>
      <c r="O873" t="n">
        <v>0</v>
      </c>
      <c r="P873" t="n">
        <v>0</v>
      </c>
      <c r="Q873" t="n">
        <v>0</v>
      </c>
      <c r="R873" s="2" t="inlineStr"/>
    </row>
    <row r="874" ht="15" customHeight="1">
      <c r="A874" t="inlineStr">
        <is>
          <t>A 63741-2025</t>
        </is>
      </c>
      <c r="B874" s="1" t="n">
        <v>46015</v>
      </c>
      <c r="C874" s="1" t="n">
        <v>46076</v>
      </c>
      <c r="D874" t="inlineStr">
        <is>
          <t>JÄMTLANDS LÄN</t>
        </is>
      </c>
      <c r="E874" t="inlineStr">
        <is>
          <t>HÄRJEDALEN</t>
        </is>
      </c>
      <c r="G874" t="n">
        <v>21.3</v>
      </c>
      <c r="H874" t="n">
        <v>0</v>
      </c>
      <c r="I874" t="n">
        <v>0</v>
      </c>
      <c r="J874" t="n">
        <v>0</v>
      </c>
      <c r="K874" t="n">
        <v>0</v>
      </c>
      <c r="L874" t="n">
        <v>0</v>
      </c>
      <c r="M874" t="n">
        <v>0</v>
      </c>
      <c r="N874" t="n">
        <v>0</v>
      </c>
      <c r="O874" t="n">
        <v>0</v>
      </c>
      <c r="P874" t="n">
        <v>0</v>
      </c>
      <c r="Q874" t="n">
        <v>0</v>
      </c>
      <c r="R874" s="2" t="inlineStr"/>
    </row>
    <row r="875" ht="15" customHeight="1">
      <c r="A875" t="inlineStr">
        <is>
          <t>A 29-2023</t>
        </is>
      </c>
      <c r="B875" s="1" t="n">
        <v>44928</v>
      </c>
      <c r="C875" s="1" t="n">
        <v>46076</v>
      </c>
      <c r="D875" t="inlineStr">
        <is>
          <t>JÄMTLANDS LÄN</t>
        </is>
      </c>
      <c r="E875" t="inlineStr">
        <is>
          <t>HÄRJEDALEN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103-2023</t>
        </is>
      </c>
      <c r="B876" s="1" t="n">
        <v>44928</v>
      </c>
      <c r="C876" s="1" t="n">
        <v>46076</v>
      </c>
      <c r="D876" t="inlineStr">
        <is>
          <t>JÄMTLANDS LÄN</t>
        </is>
      </c>
      <c r="E876" t="inlineStr">
        <is>
          <t>HÄRJEDALEN</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60494-2025</t>
        </is>
      </c>
      <c r="B877" s="1" t="n">
        <v>45995.61195601852</v>
      </c>
      <c r="C877" s="1" t="n">
        <v>46076</v>
      </c>
      <c r="D877" t="inlineStr">
        <is>
          <t>JÄMTLANDS LÄN</t>
        </is>
      </c>
      <c r="E877" t="inlineStr">
        <is>
          <t>HÄRJEDALEN</t>
        </is>
      </c>
      <c r="F877" t="inlineStr">
        <is>
          <t>Bergvik skog väst AB</t>
        </is>
      </c>
      <c r="G877" t="n">
        <v>46.5</v>
      </c>
      <c r="H877" t="n">
        <v>0</v>
      </c>
      <c r="I877" t="n">
        <v>0</v>
      </c>
      <c r="J877" t="n">
        <v>0</v>
      </c>
      <c r="K877" t="n">
        <v>0</v>
      </c>
      <c r="L877" t="n">
        <v>0</v>
      </c>
      <c r="M877" t="n">
        <v>0</v>
      </c>
      <c r="N877" t="n">
        <v>0</v>
      </c>
      <c r="O877" t="n">
        <v>0</v>
      </c>
      <c r="P877" t="n">
        <v>0</v>
      </c>
      <c r="Q877" t="n">
        <v>0</v>
      </c>
      <c r="R877" s="2" t="inlineStr"/>
    </row>
    <row r="878" ht="15" customHeight="1">
      <c r="A878" t="inlineStr">
        <is>
          <t>A 41766-2022</t>
        </is>
      </c>
      <c r="B878" s="1" t="n">
        <v>44827</v>
      </c>
      <c r="C878" s="1" t="n">
        <v>46076</v>
      </c>
      <c r="D878" t="inlineStr">
        <is>
          <t>JÄMTLANDS LÄN</t>
        </is>
      </c>
      <c r="E878" t="inlineStr">
        <is>
          <t>HÄRJEDALEN</t>
        </is>
      </c>
      <c r="G878" t="n">
        <v>12.5</v>
      </c>
      <c r="H878" t="n">
        <v>0</v>
      </c>
      <c r="I878" t="n">
        <v>0</v>
      </c>
      <c r="J878" t="n">
        <v>0</v>
      </c>
      <c r="K878" t="n">
        <v>0</v>
      </c>
      <c r="L878" t="n">
        <v>0</v>
      </c>
      <c r="M878" t="n">
        <v>0</v>
      </c>
      <c r="N878" t="n">
        <v>0</v>
      </c>
      <c r="O878" t="n">
        <v>0</v>
      </c>
      <c r="P878" t="n">
        <v>0</v>
      </c>
      <c r="Q878" t="n">
        <v>0</v>
      </c>
      <c r="R878" s="2" t="inlineStr"/>
    </row>
    <row r="879" ht="15" customHeight="1">
      <c r="A879" t="inlineStr">
        <is>
          <t>A 41771-2022</t>
        </is>
      </c>
      <c r="B879" s="1" t="n">
        <v>44827</v>
      </c>
      <c r="C879" s="1" t="n">
        <v>46076</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46076</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58581-2024</t>
        </is>
      </c>
      <c r="B881" s="1" t="n">
        <v>45635.4916087963</v>
      </c>
      <c r="C881" s="1" t="n">
        <v>46076</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45996.33150462963</v>
      </c>
      <c r="C882" s="1" t="n">
        <v>46076</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60588-2025</t>
        </is>
      </c>
      <c r="B883" s="1" t="n">
        <v>45996.33506944445</v>
      </c>
      <c r="C883" s="1" t="n">
        <v>46076</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60615-2025</t>
        </is>
      </c>
      <c r="B884" s="1" t="n">
        <v>45996.36813657408</v>
      </c>
      <c r="C884" s="1" t="n">
        <v>46076</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2781-2026</t>
        </is>
      </c>
      <c r="B885" s="1" t="n">
        <v>46038.3860300926</v>
      </c>
      <c r="C885" s="1" t="n">
        <v>46076</v>
      </c>
      <c r="D885" t="inlineStr">
        <is>
          <t>JÄMTLANDS LÄN</t>
        </is>
      </c>
      <c r="E885" t="inlineStr">
        <is>
          <t>HÄRJEDALEN</t>
        </is>
      </c>
      <c r="G885" t="n">
        <v>1.9</v>
      </c>
      <c r="H885" t="n">
        <v>0</v>
      </c>
      <c r="I885" t="n">
        <v>0</v>
      </c>
      <c r="J885" t="n">
        <v>0</v>
      </c>
      <c r="K885" t="n">
        <v>0</v>
      </c>
      <c r="L885" t="n">
        <v>0</v>
      </c>
      <c r="M885" t="n">
        <v>0</v>
      </c>
      <c r="N885" t="n">
        <v>0</v>
      </c>
      <c r="O885" t="n">
        <v>0</v>
      </c>
      <c r="P885" t="n">
        <v>0</v>
      </c>
      <c r="Q885" t="n">
        <v>0</v>
      </c>
      <c r="R885" s="2" t="inlineStr"/>
    </row>
    <row r="886" ht="15" customHeight="1">
      <c r="A886" t="inlineStr">
        <is>
          <t>A 1963-2026</t>
        </is>
      </c>
      <c r="B886" s="1" t="n">
        <v>46035</v>
      </c>
      <c r="C886" s="1" t="n">
        <v>46076</v>
      </c>
      <c r="D886" t="inlineStr">
        <is>
          <t>JÄMTLANDS LÄN</t>
        </is>
      </c>
      <c r="E886" t="inlineStr">
        <is>
          <t>HÄRJEDALEN</t>
        </is>
      </c>
      <c r="F886" t="inlineStr">
        <is>
          <t>Övriga statliga verk och myndigheter</t>
        </is>
      </c>
      <c r="G886" t="n">
        <v>26.9</v>
      </c>
      <c r="H886" t="n">
        <v>0</v>
      </c>
      <c r="I886" t="n">
        <v>0</v>
      </c>
      <c r="J886" t="n">
        <v>0</v>
      </c>
      <c r="K886" t="n">
        <v>0</v>
      </c>
      <c r="L886" t="n">
        <v>0</v>
      </c>
      <c r="M886" t="n">
        <v>0</v>
      </c>
      <c r="N886" t="n">
        <v>0</v>
      </c>
      <c r="O886" t="n">
        <v>0</v>
      </c>
      <c r="P886" t="n">
        <v>0</v>
      </c>
      <c r="Q886" t="n">
        <v>0</v>
      </c>
      <c r="R886" s="2" t="inlineStr"/>
    </row>
    <row r="887" ht="15" customHeight="1">
      <c r="A887" t="inlineStr">
        <is>
          <t>A 60605-2025</t>
        </is>
      </c>
      <c r="B887" s="1" t="n">
        <v>45996.359375</v>
      </c>
      <c r="C887" s="1" t="n">
        <v>46076</v>
      </c>
      <c r="D887" t="inlineStr">
        <is>
          <t>JÄMTLANDS LÄN</t>
        </is>
      </c>
      <c r="E887" t="inlineStr">
        <is>
          <t>HÄRJEDALEN</t>
        </is>
      </c>
      <c r="G887" t="n">
        <v>1.3</v>
      </c>
      <c r="H887" t="n">
        <v>0</v>
      </c>
      <c r="I887" t="n">
        <v>0</v>
      </c>
      <c r="J887" t="n">
        <v>0</v>
      </c>
      <c r="K887" t="n">
        <v>0</v>
      </c>
      <c r="L887" t="n">
        <v>0</v>
      </c>
      <c r="M887" t="n">
        <v>0</v>
      </c>
      <c r="N887" t="n">
        <v>0</v>
      </c>
      <c r="O887" t="n">
        <v>0</v>
      </c>
      <c r="P887" t="n">
        <v>0</v>
      </c>
      <c r="Q887" t="n">
        <v>0</v>
      </c>
      <c r="R887" s="2" t="inlineStr"/>
    </row>
    <row r="888" ht="15" customHeight="1">
      <c r="A888" t="inlineStr">
        <is>
          <t>A 2770-2026</t>
        </is>
      </c>
      <c r="B888" s="1" t="n">
        <v>46038.36815972222</v>
      </c>
      <c r="C888" s="1" t="n">
        <v>46076</v>
      </c>
      <c r="D888" t="inlineStr">
        <is>
          <t>JÄMTLANDS LÄN</t>
        </is>
      </c>
      <c r="E888" t="inlineStr">
        <is>
          <t>HÄRJEDALEN</t>
        </is>
      </c>
      <c r="G888" t="n">
        <v>12.9</v>
      </c>
      <c r="H888" t="n">
        <v>0</v>
      </c>
      <c r="I888" t="n">
        <v>0</v>
      </c>
      <c r="J888" t="n">
        <v>0</v>
      </c>
      <c r="K888" t="n">
        <v>0</v>
      </c>
      <c r="L888" t="n">
        <v>0</v>
      </c>
      <c r="M888" t="n">
        <v>0</v>
      </c>
      <c r="N888" t="n">
        <v>0</v>
      </c>
      <c r="O888" t="n">
        <v>0</v>
      </c>
      <c r="P888" t="n">
        <v>0</v>
      </c>
      <c r="Q888" t="n">
        <v>0</v>
      </c>
      <c r="R888" s="2" t="inlineStr"/>
    </row>
    <row r="889" ht="15" customHeight="1">
      <c r="A889" t="inlineStr">
        <is>
          <t>A 60602-2025</t>
        </is>
      </c>
      <c r="B889" s="1" t="n">
        <v>45996.3533912037</v>
      </c>
      <c r="C889" s="1" t="n">
        <v>46076</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3245-2026</t>
        </is>
      </c>
      <c r="B890" s="1" t="n">
        <v>46041.5734375</v>
      </c>
      <c r="C890" s="1" t="n">
        <v>46076</v>
      </c>
      <c r="D890" t="inlineStr">
        <is>
          <t>JÄMTLANDS LÄN</t>
        </is>
      </c>
      <c r="E890" t="inlineStr">
        <is>
          <t>HÄRJEDALEN</t>
        </is>
      </c>
      <c r="F890" t="inlineStr">
        <is>
          <t>SCA</t>
        </is>
      </c>
      <c r="G890" t="n">
        <v>34.8</v>
      </c>
      <c r="H890" t="n">
        <v>0</v>
      </c>
      <c r="I890" t="n">
        <v>0</v>
      </c>
      <c r="J890" t="n">
        <v>0</v>
      </c>
      <c r="K890" t="n">
        <v>0</v>
      </c>
      <c r="L890" t="n">
        <v>0</v>
      </c>
      <c r="M890" t="n">
        <v>0</v>
      </c>
      <c r="N890" t="n">
        <v>0</v>
      </c>
      <c r="O890" t="n">
        <v>0</v>
      </c>
      <c r="P890" t="n">
        <v>0</v>
      </c>
      <c r="Q890" t="n">
        <v>0</v>
      </c>
      <c r="R890" s="2" t="inlineStr"/>
    </row>
    <row r="891" ht="15" customHeight="1">
      <c r="A891" t="inlineStr">
        <is>
          <t>A 3246-2026</t>
        </is>
      </c>
      <c r="B891" s="1" t="n">
        <v>46041.57364583333</v>
      </c>
      <c r="C891" s="1" t="n">
        <v>46076</v>
      </c>
      <c r="D891" t="inlineStr">
        <is>
          <t>JÄMTLANDS LÄN</t>
        </is>
      </c>
      <c r="E891" t="inlineStr">
        <is>
          <t>HÄRJEDALEN</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16801-2024</t>
        </is>
      </c>
      <c r="B892" s="1" t="n">
        <v>45411.44549768518</v>
      </c>
      <c r="C892" s="1" t="n">
        <v>46076</v>
      </c>
      <c r="D892" t="inlineStr">
        <is>
          <t>JÄMTLANDS LÄN</t>
        </is>
      </c>
      <c r="E892" t="inlineStr">
        <is>
          <t>HÄRJEDALEN</t>
        </is>
      </c>
      <c r="F892" t="inlineStr">
        <is>
          <t>Bergvik skog väst AB</t>
        </is>
      </c>
      <c r="G892" t="n">
        <v>15.2</v>
      </c>
      <c r="H892" t="n">
        <v>0</v>
      </c>
      <c r="I892" t="n">
        <v>0</v>
      </c>
      <c r="J892" t="n">
        <v>0</v>
      </c>
      <c r="K892" t="n">
        <v>0</v>
      </c>
      <c r="L892" t="n">
        <v>0</v>
      </c>
      <c r="M892" t="n">
        <v>0</v>
      </c>
      <c r="N892" t="n">
        <v>0</v>
      </c>
      <c r="O892" t="n">
        <v>0</v>
      </c>
      <c r="P892" t="n">
        <v>0</v>
      </c>
      <c r="Q892" t="n">
        <v>0</v>
      </c>
      <c r="R892" s="2" t="inlineStr"/>
    </row>
    <row r="893" ht="15" customHeight="1">
      <c r="A893" t="inlineStr">
        <is>
          <t>A 60980-2025</t>
        </is>
      </c>
      <c r="B893" s="1" t="n">
        <v>45999.70190972222</v>
      </c>
      <c r="C893" s="1" t="n">
        <v>46076</v>
      </c>
      <c r="D893" t="inlineStr">
        <is>
          <t>JÄMTLANDS LÄN</t>
        </is>
      </c>
      <c r="E893" t="inlineStr">
        <is>
          <t>HÄRJEDALEN</t>
        </is>
      </c>
      <c r="G893" t="n">
        <v>10.3</v>
      </c>
      <c r="H893" t="n">
        <v>0</v>
      </c>
      <c r="I893" t="n">
        <v>0</v>
      </c>
      <c r="J893" t="n">
        <v>0</v>
      </c>
      <c r="K893" t="n">
        <v>0</v>
      </c>
      <c r="L893" t="n">
        <v>0</v>
      </c>
      <c r="M893" t="n">
        <v>0</v>
      </c>
      <c r="N893" t="n">
        <v>0</v>
      </c>
      <c r="O893" t="n">
        <v>0</v>
      </c>
      <c r="P893" t="n">
        <v>0</v>
      </c>
      <c r="Q893" t="n">
        <v>0</v>
      </c>
      <c r="R893" s="2" t="inlineStr"/>
    </row>
    <row r="894" ht="15" customHeight="1">
      <c r="A894" t="inlineStr">
        <is>
          <t>A 60856-2025</t>
        </is>
      </c>
      <c r="B894" s="1" t="n">
        <v>45999.51965277778</v>
      </c>
      <c r="C894" s="1" t="n">
        <v>46076</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60904-2025</t>
        </is>
      </c>
      <c r="B895" s="1" t="n">
        <v>45999.59417824074</v>
      </c>
      <c r="C895" s="1" t="n">
        <v>46076</v>
      </c>
      <c r="D895" t="inlineStr">
        <is>
          <t>JÄMTLANDS LÄN</t>
        </is>
      </c>
      <c r="E895" t="inlineStr">
        <is>
          <t>HÄRJEDALEN</t>
        </is>
      </c>
      <c r="G895" t="n">
        <v>11.3</v>
      </c>
      <c r="H895" t="n">
        <v>0</v>
      </c>
      <c r="I895" t="n">
        <v>0</v>
      </c>
      <c r="J895" t="n">
        <v>0</v>
      </c>
      <c r="K895" t="n">
        <v>0</v>
      </c>
      <c r="L895" t="n">
        <v>0</v>
      </c>
      <c r="M895" t="n">
        <v>0</v>
      </c>
      <c r="N895" t="n">
        <v>0</v>
      </c>
      <c r="O895" t="n">
        <v>0</v>
      </c>
      <c r="P895" t="n">
        <v>0</v>
      </c>
      <c r="Q895" t="n">
        <v>0</v>
      </c>
      <c r="R895" s="2" t="inlineStr"/>
    </row>
    <row r="896" ht="15" customHeight="1">
      <c r="A896" t="inlineStr">
        <is>
          <t>A 3301-2026</t>
        </is>
      </c>
      <c r="B896" s="1" t="n">
        <v>46041.65736111111</v>
      </c>
      <c r="C896" s="1" t="n">
        <v>46076</v>
      </c>
      <c r="D896" t="inlineStr">
        <is>
          <t>JÄMTLANDS LÄN</t>
        </is>
      </c>
      <c r="E896" t="inlineStr">
        <is>
          <t>HÄRJEDALEN</t>
        </is>
      </c>
      <c r="G896" t="n">
        <v>5.1</v>
      </c>
      <c r="H896" t="n">
        <v>0</v>
      </c>
      <c r="I896" t="n">
        <v>0</v>
      </c>
      <c r="J896" t="n">
        <v>0</v>
      </c>
      <c r="K896" t="n">
        <v>0</v>
      </c>
      <c r="L896" t="n">
        <v>0</v>
      </c>
      <c r="M896" t="n">
        <v>0</v>
      </c>
      <c r="N896" t="n">
        <v>0</v>
      </c>
      <c r="O896" t="n">
        <v>0</v>
      </c>
      <c r="P896" t="n">
        <v>0</v>
      </c>
      <c r="Q896" t="n">
        <v>0</v>
      </c>
      <c r="R896" s="2" t="inlineStr"/>
    </row>
    <row r="897" ht="15" customHeight="1">
      <c r="A897" t="inlineStr">
        <is>
          <t>A 60568-2025</t>
        </is>
      </c>
      <c r="B897" s="1" t="n">
        <v>45995.84627314815</v>
      </c>
      <c r="C897" s="1" t="n">
        <v>46076</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19099-2025</t>
        </is>
      </c>
      <c r="B898" s="1" t="n">
        <v>45768.29469907407</v>
      </c>
      <c r="C898" s="1" t="n">
        <v>46076</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19102-2025</t>
        </is>
      </c>
      <c r="B899" s="1" t="n">
        <v>45768.30260416667</v>
      </c>
      <c r="C899" s="1" t="n">
        <v>46076</v>
      </c>
      <c r="D899" t="inlineStr">
        <is>
          <t>JÄMTLANDS LÄN</t>
        </is>
      </c>
      <c r="E899" t="inlineStr">
        <is>
          <t>HÄRJEDALEN</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19103-2025</t>
        </is>
      </c>
      <c r="B900" s="1" t="n">
        <v>45768.30388888889</v>
      </c>
      <c r="C900" s="1" t="n">
        <v>46076</v>
      </c>
      <c r="D900" t="inlineStr">
        <is>
          <t>JÄMTLANDS LÄN</t>
        </is>
      </c>
      <c r="E900" t="inlineStr">
        <is>
          <t>HÄRJEDALEN</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60674-2025</t>
        </is>
      </c>
      <c r="B901" s="1" t="n">
        <v>45996.55619212963</v>
      </c>
      <c r="C901" s="1" t="n">
        <v>46076</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46076</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15747-2023</t>
        </is>
      </c>
      <c r="B903" s="1" t="n">
        <v>45020</v>
      </c>
      <c r="C903" s="1" t="n">
        <v>46076</v>
      </c>
      <c r="D903" t="inlineStr">
        <is>
          <t>JÄMTLANDS LÄN</t>
        </is>
      </c>
      <c r="E903" t="inlineStr">
        <is>
          <t>HÄRJEDALEN</t>
        </is>
      </c>
      <c r="G903" t="n">
        <v>0.1</v>
      </c>
      <c r="H903" t="n">
        <v>0</v>
      </c>
      <c r="I903" t="n">
        <v>0</v>
      </c>
      <c r="J903" t="n">
        <v>0</v>
      </c>
      <c r="K903" t="n">
        <v>0</v>
      </c>
      <c r="L903" t="n">
        <v>0</v>
      </c>
      <c r="M903" t="n">
        <v>0</v>
      </c>
      <c r="N903" t="n">
        <v>0</v>
      </c>
      <c r="O903" t="n">
        <v>0</v>
      </c>
      <c r="P903" t="n">
        <v>0</v>
      </c>
      <c r="Q903" t="n">
        <v>0</v>
      </c>
      <c r="R903" s="2" t="inlineStr"/>
    </row>
    <row r="904" ht="15" customHeight="1">
      <c r="A904" t="inlineStr">
        <is>
          <t>A 53537-2024</t>
        </is>
      </c>
      <c r="B904" s="1" t="n">
        <v>45614.62445601852</v>
      </c>
      <c r="C904" s="1" t="n">
        <v>46076</v>
      </c>
      <c r="D904" t="inlineStr">
        <is>
          <t>JÄMTLANDS LÄN</t>
        </is>
      </c>
      <c r="E904" t="inlineStr">
        <is>
          <t>HÄRJEDALEN</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16517-2025</t>
        </is>
      </c>
      <c r="B905" s="1" t="n">
        <v>45751.63266203704</v>
      </c>
      <c r="C905" s="1" t="n">
        <v>46076</v>
      </c>
      <c r="D905" t="inlineStr">
        <is>
          <t>JÄMTLANDS LÄN</t>
        </is>
      </c>
      <c r="E905" t="inlineStr">
        <is>
          <t>HÄRJEDALEN</t>
        </is>
      </c>
      <c r="F905" t="inlineStr">
        <is>
          <t>Övriga Aktiebolag</t>
        </is>
      </c>
      <c r="G905" t="n">
        <v>18.6</v>
      </c>
      <c r="H905" t="n">
        <v>0</v>
      </c>
      <c r="I905" t="n">
        <v>0</v>
      </c>
      <c r="J905" t="n">
        <v>0</v>
      </c>
      <c r="K905" t="n">
        <v>0</v>
      </c>
      <c r="L905" t="n">
        <v>0</v>
      </c>
      <c r="M905" t="n">
        <v>0</v>
      </c>
      <c r="N905" t="n">
        <v>0</v>
      </c>
      <c r="O905" t="n">
        <v>0</v>
      </c>
      <c r="P905" t="n">
        <v>0</v>
      </c>
      <c r="Q905" t="n">
        <v>0</v>
      </c>
      <c r="R905" s="2" t="inlineStr"/>
    </row>
    <row r="906" ht="15" customHeight="1">
      <c r="A906" t="inlineStr">
        <is>
          <t>A 61240-2025</t>
        </is>
      </c>
      <c r="B906" s="1" t="n">
        <v>46000.65603009259</v>
      </c>
      <c r="C906" s="1" t="n">
        <v>46076</v>
      </c>
      <c r="D906" t="inlineStr">
        <is>
          <t>JÄMTLANDS LÄN</t>
        </is>
      </c>
      <c r="E906" t="inlineStr">
        <is>
          <t>HÄRJEDALEN</t>
        </is>
      </c>
      <c r="F906" t="inlineStr">
        <is>
          <t>Holmen skog AB</t>
        </is>
      </c>
      <c r="G906" t="n">
        <v>2.1</v>
      </c>
      <c r="H906" t="n">
        <v>0</v>
      </c>
      <c r="I906" t="n">
        <v>0</v>
      </c>
      <c r="J906" t="n">
        <v>0</v>
      </c>
      <c r="K906" t="n">
        <v>0</v>
      </c>
      <c r="L906" t="n">
        <v>0</v>
      </c>
      <c r="M906" t="n">
        <v>0</v>
      </c>
      <c r="N906" t="n">
        <v>0</v>
      </c>
      <c r="O906" t="n">
        <v>0</v>
      </c>
      <c r="P906" t="n">
        <v>0</v>
      </c>
      <c r="Q906" t="n">
        <v>0</v>
      </c>
      <c r="R906" s="2" t="inlineStr"/>
    </row>
    <row r="907" ht="15" customHeight="1">
      <c r="A907" t="inlineStr">
        <is>
          <t>A 3696-2026</t>
        </is>
      </c>
      <c r="B907" s="1" t="n">
        <v>46043.45800925926</v>
      </c>
      <c r="C907" s="1" t="n">
        <v>46076</v>
      </c>
      <c r="D907" t="inlineStr">
        <is>
          <t>JÄMTLANDS LÄN</t>
        </is>
      </c>
      <c r="E907" t="inlineStr">
        <is>
          <t>HÄRJEDALEN</t>
        </is>
      </c>
      <c r="G907" t="n">
        <v>3.4</v>
      </c>
      <c r="H907" t="n">
        <v>0</v>
      </c>
      <c r="I907" t="n">
        <v>0</v>
      </c>
      <c r="J907" t="n">
        <v>0</v>
      </c>
      <c r="K907" t="n">
        <v>0</v>
      </c>
      <c r="L907" t="n">
        <v>0</v>
      </c>
      <c r="M907" t="n">
        <v>0</v>
      </c>
      <c r="N907" t="n">
        <v>0</v>
      </c>
      <c r="O907" t="n">
        <v>0</v>
      </c>
      <c r="P907" t="n">
        <v>0</v>
      </c>
      <c r="Q907" t="n">
        <v>0</v>
      </c>
      <c r="R907" s="2" t="inlineStr"/>
    </row>
    <row r="908" ht="15" customHeight="1">
      <c r="A908" t="inlineStr">
        <is>
          <t>A 3795-2026</t>
        </is>
      </c>
      <c r="B908" s="1" t="n">
        <v>46043.57891203704</v>
      </c>
      <c r="C908" s="1" t="n">
        <v>46076</v>
      </c>
      <c r="D908" t="inlineStr">
        <is>
          <t>JÄMTLANDS LÄN</t>
        </is>
      </c>
      <c r="E908" t="inlineStr">
        <is>
          <t>HÄRJEDALEN</t>
        </is>
      </c>
      <c r="G908" t="n">
        <v>2.8</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44924.59140046296</v>
      </c>
      <c r="C909" s="1" t="n">
        <v>46076</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31958-2023</t>
        </is>
      </c>
      <c r="B910" s="1" t="n">
        <v>45119.38675925926</v>
      </c>
      <c r="C910" s="1" t="n">
        <v>46076</v>
      </c>
      <c r="D910" t="inlineStr">
        <is>
          <t>JÄMTLANDS LÄN</t>
        </is>
      </c>
      <c r="E910" t="inlineStr">
        <is>
          <t>HÄRJEDALEN</t>
        </is>
      </c>
      <c r="F910" t="inlineStr">
        <is>
          <t>Bergvik skog väst AB</t>
        </is>
      </c>
      <c r="G910" t="n">
        <v>2.4</v>
      </c>
      <c r="H910" t="n">
        <v>0</v>
      </c>
      <c r="I910" t="n">
        <v>0</v>
      </c>
      <c r="J910" t="n">
        <v>0</v>
      </c>
      <c r="K910" t="n">
        <v>0</v>
      </c>
      <c r="L910" t="n">
        <v>0</v>
      </c>
      <c r="M910" t="n">
        <v>0</v>
      </c>
      <c r="N910" t="n">
        <v>0</v>
      </c>
      <c r="O910" t="n">
        <v>0</v>
      </c>
      <c r="P910" t="n">
        <v>0</v>
      </c>
      <c r="Q910" t="n">
        <v>0</v>
      </c>
      <c r="R910" s="2" t="inlineStr"/>
    </row>
    <row r="911" ht="15" customHeight="1">
      <c r="A911" t="inlineStr">
        <is>
          <t>A 47351-2022</t>
        </is>
      </c>
      <c r="B911" s="1" t="n">
        <v>44853.41693287037</v>
      </c>
      <c r="C911" s="1" t="n">
        <v>46076</v>
      </c>
      <c r="D911" t="inlineStr">
        <is>
          <t>JÄMTLANDS LÄN</t>
        </is>
      </c>
      <c r="E911" t="inlineStr">
        <is>
          <t>HÄRJEDALEN</t>
        </is>
      </c>
      <c r="G911" t="n">
        <v>1</v>
      </c>
      <c r="H911" t="n">
        <v>0</v>
      </c>
      <c r="I911" t="n">
        <v>0</v>
      </c>
      <c r="J911" t="n">
        <v>0</v>
      </c>
      <c r="K911" t="n">
        <v>0</v>
      </c>
      <c r="L911" t="n">
        <v>0</v>
      </c>
      <c r="M911" t="n">
        <v>0</v>
      </c>
      <c r="N911" t="n">
        <v>0</v>
      </c>
      <c r="O911" t="n">
        <v>0</v>
      </c>
      <c r="P911" t="n">
        <v>0</v>
      </c>
      <c r="Q911" t="n">
        <v>0</v>
      </c>
      <c r="R911" s="2" t="inlineStr"/>
    </row>
    <row r="912" ht="15" customHeight="1">
      <c r="A912" t="inlineStr">
        <is>
          <t>A 7385-2025</t>
        </is>
      </c>
      <c r="B912" s="1" t="n">
        <v>45705.32643518518</v>
      </c>
      <c r="C912" s="1" t="n">
        <v>46076</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61471-2025</t>
        </is>
      </c>
      <c r="B913" s="1" t="n">
        <v>46001.6153587963</v>
      </c>
      <c r="C913" s="1" t="n">
        <v>46076</v>
      </c>
      <c r="D913" t="inlineStr">
        <is>
          <t>JÄMTLANDS LÄN</t>
        </is>
      </c>
      <c r="E913" t="inlineStr">
        <is>
          <t>HÄRJEDALEN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36083-2024</t>
        </is>
      </c>
      <c r="B914" s="1" t="n">
        <v>45533.67138888889</v>
      </c>
      <c r="C914" s="1" t="n">
        <v>46076</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45999-2023</t>
        </is>
      </c>
      <c r="B915" s="1" t="n">
        <v>45196</v>
      </c>
      <c r="C915" s="1" t="n">
        <v>46076</v>
      </c>
      <c r="D915" t="inlineStr">
        <is>
          <t>JÄMTLANDS LÄN</t>
        </is>
      </c>
      <c r="E915" t="inlineStr">
        <is>
          <t>HÄRJEDALEN</t>
        </is>
      </c>
      <c r="F915" t="inlineStr">
        <is>
          <t>Bergvik skog väst AB</t>
        </is>
      </c>
      <c r="G915" t="n">
        <v>11.4</v>
      </c>
      <c r="H915" t="n">
        <v>0</v>
      </c>
      <c r="I915" t="n">
        <v>0</v>
      </c>
      <c r="J915" t="n">
        <v>0</v>
      </c>
      <c r="K915" t="n">
        <v>0</v>
      </c>
      <c r="L915" t="n">
        <v>0</v>
      </c>
      <c r="M915" t="n">
        <v>0</v>
      </c>
      <c r="N915" t="n">
        <v>0</v>
      </c>
      <c r="O915" t="n">
        <v>0</v>
      </c>
      <c r="P915" t="n">
        <v>0</v>
      </c>
      <c r="Q915" t="n">
        <v>0</v>
      </c>
      <c r="R915" s="2" t="inlineStr"/>
    </row>
    <row r="916" ht="15" customHeight="1">
      <c r="A916" t="inlineStr">
        <is>
          <t>A 62388-2025</t>
        </is>
      </c>
      <c r="B916" s="1" t="n">
        <v>46006</v>
      </c>
      <c r="C916" s="1" t="n">
        <v>46076</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64144-2023</t>
        </is>
      </c>
      <c r="B917" s="1" t="n">
        <v>45279.57732638889</v>
      </c>
      <c r="C917" s="1" t="n">
        <v>46076</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61765-2025</t>
        </is>
      </c>
      <c r="B918" s="1" t="n">
        <v>46002.63063657407</v>
      </c>
      <c r="C918" s="1" t="n">
        <v>46076</v>
      </c>
      <c r="D918" t="inlineStr">
        <is>
          <t>JÄMTLANDS LÄN</t>
        </is>
      </c>
      <c r="E918" t="inlineStr">
        <is>
          <t>HÄRJEDALEN</t>
        </is>
      </c>
      <c r="G918" t="n">
        <v>2.3</v>
      </c>
      <c r="H918" t="n">
        <v>0</v>
      </c>
      <c r="I918" t="n">
        <v>0</v>
      </c>
      <c r="J918" t="n">
        <v>0</v>
      </c>
      <c r="K918" t="n">
        <v>0</v>
      </c>
      <c r="L918" t="n">
        <v>0</v>
      </c>
      <c r="M918" t="n">
        <v>0</v>
      </c>
      <c r="N918" t="n">
        <v>0</v>
      </c>
      <c r="O918" t="n">
        <v>0</v>
      </c>
      <c r="P918" t="n">
        <v>0</v>
      </c>
      <c r="Q918" t="n">
        <v>0</v>
      </c>
      <c r="R918" s="2" t="inlineStr"/>
    </row>
    <row r="919" ht="15" customHeight="1">
      <c r="A919" t="inlineStr">
        <is>
          <t>A 37638-2023</t>
        </is>
      </c>
      <c r="B919" s="1" t="n">
        <v>45159.46996527778</v>
      </c>
      <c r="C919" s="1" t="n">
        <v>46076</v>
      </c>
      <c r="D919" t="inlineStr">
        <is>
          <t>JÄMTLANDS LÄN</t>
        </is>
      </c>
      <c r="E919" t="inlineStr">
        <is>
          <t>HÄRJEDALEN</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57637-2024</t>
        </is>
      </c>
      <c r="B920" s="1" t="n">
        <v>45630.5731712963</v>
      </c>
      <c r="C920" s="1" t="n">
        <v>46076</v>
      </c>
      <c r="D920" t="inlineStr">
        <is>
          <t>JÄMTLANDS LÄN</t>
        </is>
      </c>
      <c r="E920" t="inlineStr">
        <is>
          <t>HÄRJEDALEN</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43287-2024</t>
        </is>
      </c>
      <c r="B921" s="1" t="n">
        <v>45568</v>
      </c>
      <c r="C921" s="1" t="n">
        <v>46076</v>
      </c>
      <c r="D921" t="inlineStr">
        <is>
          <t>JÄMTLANDS LÄN</t>
        </is>
      </c>
      <c r="E921" t="inlineStr">
        <is>
          <t>HÄRJEDALEN</t>
        </is>
      </c>
      <c r="F921" t="inlineStr">
        <is>
          <t>SCA</t>
        </is>
      </c>
      <c r="G921" t="n">
        <v>19.7</v>
      </c>
      <c r="H921" t="n">
        <v>0</v>
      </c>
      <c r="I921" t="n">
        <v>0</v>
      </c>
      <c r="J921" t="n">
        <v>0</v>
      </c>
      <c r="K921" t="n">
        <v>0</v>
      </c>
      <c r="L921" t="n">
        <v>0</v>
      </c>
      <c r="M921" t="n">
        <v>0</v>
      </c>
      <c r="N921" t="n">
        <v>0</v>
      </c>
      <c r="O921" t="n">
        <v>0</v>
      </c>
      <c r="P921" t="n">
        <v>0</v>
      </c>
      <c r="Q921" t="n">
        <v>0</v>
      </c>
      <c r="R921" s="2" t="inlineStr"/>
    </row>
    <row r="922" ht="15" customHeight="1">
      <c r="A922" t="inlineStr">
        <is>
          <t>A 21778-2022</t>
        </is>
      </c>
      <c r="B922" s="1" t="n">
        <v>44708.48859953704</v>
      </c>
      <c r="C922" s="1" t="n">
        <v>46076</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32064-2024</t>
        </is>
      </c>
      <c r="B923" s="1" t="n">
        <v>45510</v>
      </c>
      <c r="C923" s="1" t="n">
        <v>46076</v>
      </c>
      <c r="D923" t="inlineStr">
        <is>
          <t>JÄMTLANDS LÄN</t>
        </is>
      </c>
      <c r="E923" t="inlineStr">
        <is>
          <t>HÄRJEDALEN</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4711-2023</t>
        </is>
      </c>
      <c r="B924" s="1" t="n">
        <v>44957</v>
      </c>
      <c r="C924" s="1" t="n">
        <v>46076</v>
      </c>
      <c r="D924" t="inlineStr">
        <is>
          <t>JÄMTLANDS LÄN</t>
        </is>
      </c>
      <c r="E924" t="inlineStr">
        <is>
          <t>HÄRJEDALEN</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62450-2025</t>
        </is>
      </c>
      <c r="B925" s="1" t="n">
        <v>46007.48996527777</v>
      </c>
      <c r="C925" s="1" t="n">
        <v>46076</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26656-2021</t>
        </is>
      </c>
      <c r="B926" s="1" t="n">
        <v>44348</v>
      </c>
      <c r="C926" s="1" t="n">
        <v>46076</v>
      </c>
      <c r="D926" t="inlineStr">
        <is>
          <t>JÄMTLANDS LÄN</t>
        </is>
      </c>
      <c r="E926" t="inlineStr">
        <is>
          <t>HÄRJEDALEN</t>
        </is>
      </c>
      <c r="G926" t="n">
        <v>1.6</v>
      </c>
      <c r="H926" t="n">
        <v>0</v>
      </c>
      <c r="I926" t="n">
        <v>0</v>
      </c>
      <c r="J926" t="n">
        <v>0</v>
      </c>
      <c r="K926" t="n">
        <v>0</v>
      </c>
      <c r="L926" t="n">
        <v>0</v>
      </c>
      <c r="M926" t="n">
        <v>0</v>
      </c>
      <c r="N926" t="n">
        <v>0</v>
      </c>
      <c r="O926" t="n">
        <v>0</v>
      </c>
      <c r="P926" t="n">
        <v>0</v>
      </c>
      <c r="Q926" t="n">
        <v>0</v>
      </c>
      <c r="R926" s="2" t="inlineStr"/>
    </row>
    <row r="927" ht="15" customHeight="1">
      <c r="A927" t="inlineStr">
        <is>
          <t>A 62528-2025</t>
        </is>
      </c>
      <c r="B927" s="1" t="n">
        <v>46007.63605324074</v>
      </c>
      <c r="C927" s="1" t="n">
        <v>46076</v>
      </c>
      <c r="D927" t="inlineStr">
        <is>
          <t>JÄMTLANDS LÄN</t>
        </is>
      </c>
      <c r="E927" t="inlineStr">
        <is>
          <t>HÄRJEDALEN</t>
        </is>
      </c>
      <c r="G927" t="n">
        <v>3.2</v>
      </c>
      <c r="H927" t="n">
        <v>0</v>
      </c>
      <c r="I927" t="n">
        <v>0</v>
      </c>
      <c r="J927" t="n">
        <v>0</v>
      </c>
      <c r="K927" t="n">
        <v>0</v>
      </c>
      <c r="L927" t="n">
        <v>0</v>
      </c>
      <c r="M927" t="n">
        <v>0</v>
      </c>
      <c r="N927" t="n">
        <v>0</v>
      </c>
      <c r="O927" t="n">
        <v>0</v>
      </c>
      <c r="P927" t="n">
        <v>0</v>
      </c>
      <c r="Q927" t="n">
        <v>0</v>
      </c>
      <c r="R927" s="2" t="inlineStr"/>
    </row>
    <row r="928" ht="15" customHeight="1">
      <c r="A928" t="inlineStr">
        <is>
          <t>A 1665-2025</t>
        </is>
      </c>
      <c r="B928" s="1" t="n">
        <v>45670</v>
      </c>
      <c r="C928" s="1" t="n">
        <v>46076</v>
      </c>
      <c r="D928" t="inlineStr">
        <is>
          <t>JÄMTLANDS LÄN</t>
        </is>
      </c>
      <c r="E928" t="inlineStr">
        <is>
          <t>HÄRJEDALEN</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62234-2025</t>
        </is>
      </c>
      <c r="B929" s="1" t="n">
        <v>46006.59444444445</v>
      </c>
      <c r="C929" s="1" t="n">
        <v>46076</v>
      </c>
      <c r="D929" t="inlineStr">
        <is>
          <t>JÄMTLANDS LÄN</t>
        </is>
      </c>
      <c r="E929" t="inlineStr">
        <is>
          <t>HÄRJEDALEN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36537-2025</t>
        </is>
      </c>
      <c r="B930" s="1" t="n">
        <v>45869</v>
      </c>
      <c r="C930" s="1" t="n">
        <v>46076</v>
      </c>
      <c r="D930" t="inlineStr">
        <is>
          <t>JÄMTLANDS LÄN</t>
        </is>
      </c>
      <c r="E930" t="inlineStr">
        <is>
          <t>HÄRJEDALEN</t>
        </is>
      </c>
      <c r="G930" t="n">
        <v>3.8</v>
      </c>
      <c r="H930" t="n">
        <v>0</v>
      </c>
      <c r="I930" t="n">
        <v>0</v>
      </c>
      <c r="J930" t="n">
        <v>0</v>
      </c>
      <c r="K930" t="n">
        <v>0</v>
      </c>
      <c r="L930" t="n">
        <v>0</v>
      </c>
      <c r="M930" t="n">
        <v>0</v>
      </c>
      <c r="N930" t="n">
        <v>0</v>
      </c>
      <c r="O930" t="n">
        <v>0</v>
      </c>
      <c r="P930" t="n">
        <v>0</v>
      </c>
      <c r="Q930" t="n">
        <v>0</v>
      </c>
      <c r="R930" s="2" t="inlineStr"/>
    </row>
    <row r="931" ht="15" customHeight="1">
      <c r="A931" t="inlineStr">
        <is>
          <t>A 62170-2025</t>
        </is>
      </c>
      <c r="B931" s="1" t="n">
        <v>46006.51112268519</v>
      </c>
      <c r="C931" s="1" t="n">
        <v>46076</v>
      </c>
      <c r="D931" t="inlineStr">
        <is>
          <t>JÄMTLANDS LÄN</t>
        </is>
      </c>
      <c r="E931" t="inlineStr">
        <is>
          <t>HÄRJEDALEN</t>
        </is>
      </c>
      <c r="G931" t="n">
        <v>0.3</v>
      </c>
      <c r="H931" t="n">
        <v>0</v>
      </c>
      <c r="I931" t="n">
        <v>0</v>
      </c>
      <c r="J931" t="n">
        <v>0</v>
      </c>
      <c r="K931" t="n">
        <v>0</v>
      </c>
      <c r="L931" t="n">
        <v>0</v>
      </c>
      <c r="M931" t="n">
        <v>0</v>
      </c>
      <c r="N931" t="n">
        <v>0</v>
      </c>
      <c r="O931" t="n">
        <v>0</v>
      </c>
      <c r="P931" t="n">
        <v>0</v>
      </c>
      <c r="Q931" t="n">
        <v>0</v>
      </c>
      <c r="R931" s="2" t="inlineStr"/>
    </row>
    <row r="932" ht="15" customHeight="1">
      <c r="A932" t="inlineStr">
        <is>
          <t>A 4946-2026</t>
        </is>
      </c>
      <c r="B932" s="1" t="n">
        <v>46049.25945601852</v>
      </c>
      <c r="C932" s="1" t="n">
        <v>46076</v>
      </c>
      <c r="D932" t="inlineStr">
        <is>
          <t>JÄMTLANDS LÄN</t>
        </is>
      </c>
      <c r="E932" t="inlineStr">
        <is>
          <t>HÄRJEDALEN</t>
        </is>
      </c>
      <c r="G932" t="n">
        <v>14.8</v>
      </c>
      <c r="H932" t="n">
        <v>0</v>
      </c>
      <c r="I932" t="n">
        <v>0</v>
      </c>
      <c r="J932" t="n">
        <v>0</v>
      </c>
      <c r="K932" t="n">
        <v>0</v>
      </c>
      <c r="L932" t="n">
        <v>0</v>
      </c>
      <c r="M932" t="n">
        <v>0</v>
      </c>
      <c r="N932" t="n">
        <v>0</v>
      </c>
      <c r="O932" t="n">
        <v>0</v>
      </c>
      <c r="P932" t="n">
        <v>0</v>
      </c>
      <c r="Q932" t="n">
        <v>0</v>
      </c>
      <c r="R932" s="2" t="inlineStr"/>
    </row>
    <row r="933" ht="15" customHeight="1">
      <c r="A933" t="inlineStr">
        <is>
          <t>A 62171-2025</t>
        </is>
      </c>
      <c r="B933" s="1" t="n">
        <v>46006.51116898148</v>
      </c>
      <c r="C933" s="1" t="n">
        <v>46076</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62075-2025</t>
        </is>
      </c>
      <c r="B934" s="1" t="n">
        <v>46006.36488425926</v>
      </c>
      <c r="C934" s="1" t="n">
        <v>46076</v>
      </c>
      <c r="D934" t="inlineStr">
        <is>
          <t>JÄMTLANDS LÄN</t>
        </is>
      </c>
      <c r="E934" t="inlineStr">
        <is>
          <t>HÄRJEDALEN</t>
        </is>
      </c>
      <c r="G934" t="n">
        <v>4.8</v>
      </c>
      <c r="H934" t="n">
        <v>0</v>
      </c>
      <c r="I934" t="n">
        <v>0</v>
      </c>
      <c r="J934" t="n">
        <v>0</v>
      </c>
      <c r="K934" t="n">
        <v>0</v>
      </c>
      <c r="L934" t="n">
        <v>0</v>
      </c>
      <c r="M934" t="n">
        <v>0</v>
      </c>
      <c r="N934" t="n">
        <v>0</v>
      </c>
      <c r="O934" t="n">
        <v>0</v>
      </c>
      <c r="P934" t="n">
        <v>0</v>
      </c>
      <c r="Q934" t="n">
        <v>0</v>
      </c>
      <c r="R934" s="2" t="inlineStr"/>
    </row>
    <row r="935" ht="15" customHeight="1">
      <c r="A935" t="inlineStr">
        <is>
          <t>A 5058-2026</t>
        </is>
      </c>
      <c r="B935" s="1" t="n">
        <v>46049.48273148148</v>
      </c>
      <c r="C935" s="1" t="n">
        <v>46076</v>
      </c>
      <c r="D935" t="inlineStr">
        <is>
          <t>JÄMTLANDS LÄN</t>
        </is>
      </c>
      <c r="E935" t="inlineStr">
        <is>
          <t>HÄRJEDALEN</t>
        </is>
      </c>
      <c r="G935" t="n">
        <v>2.2</v>
      </c>
      <c r="H935" t="n">
        <v>0</v>
      </c>
      <c r="I935" t="n">
        <v>0</v>
      </c>
      <c r="J935" t="n">
        <v>0</v>
      </c>
      <c r="K935" t="n">
        <v>0</v>
      </c>
      <c r="L935" t="n">
        <v>0</v>
      </c>
      <c r="M935" t="n">
        <v>0</v>
      </c>
      <c r="N935" t="n">
        <v>0</v>
      </c>
      <c r="O935" t="n">
        <v>0</v>
      </c>
      <c r="P935" t="n">
        <v>0</v>
      </c>
      <c r="Q935" t="n">
        <v>0</v>
      </c>
      <c r="R935" s="2" t="inlineStr"/>
    </row>
    <row r="936" ht="15" customHeight="1">
      <c r="A936" t="inlineStr">
        <is>
          <t>A 41037-2025</t>
        </is>
      </c>
      <c r="B936" s="1" t="n">
        <v>45898</v>
      </c>
      <c r="C936" s="1" t="n">
        <v>46076</v>
      </c>
      <c r="D936" t="inlineStr">
        <is>
          <t>JÄMTLANDS LÄN</t>
        </is>
      </c>
      <c r="E936" t="inlineStr">
        <is>
          <t>HÄRJEDALEN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40596-2022</t>
        </is>
      </c>
      <c r="B937" s="1" t="n">
        <v>44823.84673611111</v>
      </c>
      <c r="C937" s="1" t="n">
        <v>46076</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51964-2024</t>
        </is>
      </c>
      <c r="B938" s="1" t="n">
        <v>45607</v>
      </c>
      <c r="C938" s="1" t="n">
        <v>46076</v>
      </c>
      <c r="D938" t="inlineStr">
        <is>
          <t>JÄMTLANDS LÄN</t>
        </is>
      </c>
      <c r="E938" t="inlineStr">
        <is>
          <t>HÄRJEDALEN</t>
        </is>
      </c>
      <c r="F938" t="inlineStr">
        <is>
          <t>Holmen skog AB</t>
        </is>
      </c>
      <c r="G938" t="n">
        <v>5</v>
      </c>
      <c r="H938" t="n">
        <v>0</v>
      </c>
      <c r="I938" t="n">
        <v>0</v>
      </c>
      <c r="J938" t="n">
        <v>0</v>
      </c>
      <c r="K938" t="n">
        <v>0</v>
      </c>
      <c r="L938" t="n">
        <v>0</v>
      </c>
      <c r="M938" t="n">
        <v>0</v>
      </c>
      <c r="N938" t="n">
        <v>0</v>
      </c>
      <c r="O938" t="n">
        <v>0</v>
      </c>
      <c r="P938" t="n">
        <v>0</v>
      </c>
      <c r="Q938" t="n">
        <v>0</v>
      </c>
      <c r="R938" s="2" t="inlineStr"/>
    </row>
    <row r="939" ht="15" customHeight="1">
      <c r="A939" t="inlineStr">
        <is>
          <t>A 4569-2026</t>
        </is>
      </c>
      <c r="B939" s="1" t="n">
        <v>46047.94138888889</v>
      </c>
      <c r="C939" s="1" t="n">
        <v>46076</v>
      </c>
      <c r="D939" t="inlineStr">
        <is>
          <t>JÄMTLANDS LÄN</t>
        </is>
      </c>
      <c r="E939" t="inlineStr">
        <is>
          <t>HÄRJEDALEN</t>
        </is>
      </c>
      <c r="F939" t="inlineStr">
        <is>
          <t>Bergvik skog väst AB</t>
        </is>
      </c>
      <c r="G939" t="n">
        <v>22.8</v>
      </c>
      <c r="H939" t="n">
        <v>0</v>
      </c>
      <c r="I939" t="n">
        <v>0</v>
      </c>
      <c r="J939" t="n">
        <v>0</v>
      </c>
      <c r="K939" t="n">
        <v>0</v>
      </c>
      <c r="L939" t="n">
        <v>0</v>
      </c>
      <c r="M939" t="n">
        <v>0</v>
      </c>
      <c r="N939" t="n">
        <v>0</v>
      </c>
      <c r="O939" t="n">
        <v>0</v>
      </c>
      <c r="P939" t="n">
        <v>0</v>
      </c>
      <c r="Q939" t="n">
        <v>0</v>
      </c>
      <c r="R939" s="2" t="inlineStr"/>
    </row>
    <row r="940" ht="15" customHeight="1">
      <c r="A940" t="inlineStr">
        <is>
          <t>A 62451-2025</t>
        </is>
      </c>
      <c r="B940" s="1" t="n">
        <v>46007.48997685185</v>
      </c>
      <c r="C940" s="1" t="n">
        <v>46076</v>
      </c>
      <c r="D940" t="inlineStr">
        <is>
          <t>JÄMTLANDS LÄN</t>
        </is>
      </c>
      <c r="E940" t="inlineStr">
        <is>
          <t>HÄRJEDALEN</t>
        </is>
      </c>
      <c r="G940" t="n">
        <v>1.8</v>
      </c>
      <c r="H940" t="n">
        <v>0</v>
      </c>
      <c r="I940" t="n">
        <v>0</v>
      </c>
      <c r="J940" t="n">
        <v>0</v>
      </c>
      <c r="K940" t="n">
        <v>0</v>
      </c>
      <c r="L940" t="n">
        <v>0</v>
      </c>
      <c r="M940" t="n">
        <v>0</v>
      </c>
      <c r="N940" t="n">
        <v>0</v>
      </c>
      <c r="O940" t="n">
        <v>0</v>
      </c>
      <c r="P940" t="n">
        <v>0</v>
      </c>
      <c r="Q940" t="n">
        <v>0</v>
      </c>
      <c r="R940" s="2" t="inlineStr"/>
    </row>
    <row r="941" ht="15" customHeight="1">
      <c r="A941" t="inlineStr">
        <is>
          <t>A 36528-2025</t>
        </is>
      </c>
      <c r="B941" s="1" t="n">
        <v>45869</v>
      </c>
      <c r="C941" s="1" t="n">
        <v>46076</v>
      </c>
      <c r="D941" t="inlineStr">
        <is>
          <t>JÄMTLANDS LÄN</t>
        </is>
      </c>
      <c r="E941" t="inlineStr">
        <is>
          <t>HÄRJEDALEN</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11528-2022</t>
        </is>
      </c>
      <c r="B942" s="1" t="n">
        <v>44631.37701388889</v>
      </c>
      <c r="C942" s="1" t="n">
        <v>46076</v>
      </c>
      <c r="D942" t="inlineStr">
        <is>
          <t>JÄMTLANDS LÄN</t>
        </is>
      </c>
      <c r="E942" t="inlineStr">
        <is>
          <t>HÄRJEDALEN</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62531-2025</t>
        </is>
      </c>
      <c r="B943" s="1" t="n">
        <v>46007.63625</v>
      </c>
      <c r="C943" s="1" t="n">
        <v>46076</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5052-2026</t>
        </is>
      </c>
      <c r="B944" s="1" t="n">
        <v>46049.47261574074</v>
      </c>
      <c r="C944" s="1" t="n">
        <v>46076</v>
      </c>
      <c r="D944" t="inlineStr">
        <is>
          <t>JÄMTLANDS LÄN</t>
        </is>
      </c>
      <c r="E944" t="inlineStr">
        <is>
          <t>HÄRJEDALEN</t>
        </is>
      </c>
      <c r="G944" t="n">
        <v>5.2</v>
      </c>
      <c r="H944" t="n">
        <v>0</v>
      </c>
      <c r="I944" t="n">
        <v>0</v>
      </c>
      <c r="J944" t="n">
        <v>0</v>
      </c>
      <c r="K944" t="n">
        <v>0</v>
      </c>
      <c r="L944" t="n">
        <v>0</v>
      </c>
      <c r="M944" t="n">
        <v>0</v>
      </c>
      <c r="N944" t="n">
        <v>0</v>
      </c>
      <c r="O944" t="n">
        <v>0</v>
      </c>
      <c r="P944" t="n">
        <v>0</v>
      </c>
      <c r="Q944" t="n">
        <v>0</v>
      </c>
      <c r="R944" s="2" t="inlineStr"/>
    </row>
    <row r="945" ht="15" customHeight="1">
      <c r="A945" t="inlineStr">
        <is>
          <t>A 48213-2023</t>
        </is>
      </c>
      <c r="B945" s="1" t="n">
        <v>45205</v>
      </c>
      <c r="C945" s="1" t="n">
        <v>46076</v>
      </c>
      <c r="D945" t="inlineStr">
        <is>
          <t>JÄMTLANDS LÄN</t>
        </is>
      </c>
      <c r="E945" t="inlineStr">
        <is>
          <t>HÄRJEDALEN</t>
        </is>
      </c>
      <c r="G945" t="n">
        <v>12.2</v>
      </c>
      <c r="H945" t="n">
        <v>0</v>
      </c>
      <c r="I945" t="n">
        <v>0</v>
      </c>
      <c r="J945" t="n">
        <v>0</v>
      </c>
      <c r="K945" t="n">
        <v>0</v>
      </c>
      <c r="L945" t="n">
        <v>0</v>
      </c>
      <c r="M945" t="n">
        <v>0</v>
      </c>
      <c r="N945" t="n">
        <v>0</v>
      </c>
      <c r="O945" t="n">
        <v>0</v>
      </c>
      <c r="P945" t="n">
        <v>0</v>
      </c>
      <c r="Q945" t="n">
        <v>0</v>
      </c>
      <c r="R945" s="2" t="inlineStr"/>
    </row>
    <row r="946" ht="15" customHeight="1">
      <c r="A946" t="inlineStr">
        <is>
          <t>A 62708-2022</t>
        </is>
      </c>
      <c r="B946" s="1" t="n">
        <v>44925.60457175926</v>
      </c>
      <c r="C946" s="1" t="n">
        <v>46076</v>
      </c>
      <c r="D946" t="inlineStr">
        <is>
          <t>JÄMTLANDS LÄN</t>
        </is>
      </c>
      <c r="E946" t="inlineStr">
        <is>
          <t>HÄRJEDALEN</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62724-2022</t>
        </is>
      </c>
      <c r="B947" s="1" t="n">
        <v>44925.64309027778</v>
      </c>
      <c r="C947" s="1" t="n">
        <v>46076</v>
      </c>
      <c r="D947" t="inlineStr">
        <is>
          <t>JÄMTLANDS LÄN</t>
        </is>
      </c>
      <c r="E947" t="inlineStr">
        <is>
          <t>HÄRJEDALEN</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35-2023</t>
        </is>
      </c>
      <c r="B948" s="1" t="n">
        <v>44928.36418981481</v>
      </c>
      <c r="C948" s="1" t="n">
        <v>46076</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62924-2025</t>
        </is>
      </c>
      <c r="B949" s="1" t="n">
        <v>46009.38528935185</v>
      </c>
      <c r="C949" s="1" t="n">
        <v>46076</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16535-2024</t>
        </is>
      </c>
      <c r="B950" s="1" t="n">
        <v>45408</v>
      </c>
      <c r="C950" s="1" t="n">
        <v>46076</v>
      </c>
      <c r="D950" t="inlineStr">
        <is>
          <t>JÄMTLANDS LÄN</t>
        </is>
      </c>
      <c r="E950" t="inlineStr">
        <is>
          <t>HÄRJEDALEN</t>
        </is>
      </c>
      <c r="G950" t="n">
        <v>3.7</v>
      </c>
      <c r="H950" t="n">
        <v>0</v>
      </c>
      <c r="I950" t="n">
        <v>0</v>
      </c>
      <c r="J950" t="n">
        <v>0</v>
      </c>
      <c r="K950" t="n">
        <v>0</v>
      </c>
      <c r="L950" t="n">
        <v>0</v>
      </c>
      <c r="M950" t="n">
        <v>0</v>
      </c>
      <c r="N950" t="n">
        <v>0</v>
      </c>
      <c r="O950" t="n">
        <v>0</v>
      </c>
      <c r="P950" t="n">
        <v>0</v>
      </c>
      <c r="Q950" t="n">
        <v>0</v>
      </c>
      <c r="R950" s="2" t="inlineStr"/>
    </row>
    <row r="951" ht="15" customHeight="1">
      <c r="A951" t="inlineStr">
        <is>
          <t>A 62932-2025</t>
        </is>
      </c>
      <c r="B951" s="1" t="n">
        <v>46009.4019675926</v>
      </c>
      <c r="C951" s="1" t="n">
        <v>46076</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21531-2023</t>
        </is>
      </c>
      <c r="B952" s="1" t="n">
        <v>45063</v>
      </c>
      <c r="C952" s="1" t="n">
        <v>46076</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60752-2024</t>
        </is>
      </c>
      <c r="B953" s="1" t="n">
        <v>45644.56674768519</v>
      </c>
      <c r="C953" s="1" t="n">
        <v>46076</v>
      </c>
      <c r="D953" t="inlineStr">
        <is>
          <t>JÄMTLANDS LÄN</t>
        </is>
      </c>
      <c r="E953" t="inlineStr">
        <is>
          <t>HÄRJEDALEN</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4221-2025</t>
        </is>
      </c>
      <c r="B954" s="1" t="n">
        <v>45685.52405092592</v>
      </c>
      <c r="C954" s="1" t="n">
        <v>46076</v>
      </c>
      <c r="D954" t="inlineStr">
        <is>
          <t>JÄMTLANDS LÄN</t>
        </is>
      </c>
      <c r="E954" t="inlineStr">
        <is>
          <t>HÄRJEDALEN</t>
        </is>
      </c>
      <c r="F954" t="inlineStr">
        <is>
          <t>Bergvik skog väst AB</t>
        </is>
      </c>
      <c r="G954" t="n">
        <v>7.7</v>
      </c>
      <c r="H954" t="n">
        <v>0</v>
      </c>
      <c r="I954" t="n">
        <v>0</v>
      </c>
      <c r="J954" t="n">
        <v>0</v>
      </c>
      <c r="K954" t="n">
        <v>0</v>
      </c>
      <c r="L954" t="n">
        <v>0</v>
      </c>
      <c r="M954" t="n">
        <v>0</v>
      </c>
      <c r="N954" t="n">
        <v>0</v>
      </c>
      <c r="O954" t="n">
        <v>0</v>
      </c>
      <c r="P954" t="n">
        <v>0</v>
      </c>
      <c r="Q954" t="n">
        <v>0</v>
      </c>
      <c r="R954" s="2" t="inlineStr"/>
    </row>
    <row r="955" ht="15" customHeight="1">
      <c r="A955" t="inlineStr">
        <is>
          <t>A 44519-2021</t>
        </is>
      </c>
      <c r="B955" s="1" t="n">
        <v>44435</v>
      </c>
      <c r="C955" s="1" t="n">
        <v>46076</v>
      </c>
      <c r="D955" t="inlineStr">
        <is>
          <t>JÄMTLANDS LÄN</t>
        </is>
      </c>
      <c r="E955" t="inlineStr">
        <is>
          <t>HÄRJEDALEN</t>
        </is>
      </c>
      <c r="F955" t="inlineStr">
        <is>
          <t>Kyrkan</t>
        </is>
      </c>
      <c r="G955" t="n">
        <v>6.7</v>
      </c>
      <c r="H955" t="n">
        <v>0</v>
      </c>
      <c r="I955" t="n">
        <v>0</v>
      </c>
      <c r="J955" t="n">
        <v>0</v>
      </c>
      <c r="K955" t="n">
        <v>0</v>
      </c>
      <c r="L955" t="n">
        <v>0</v>
      </c>
      <c r="M955" t="n">
        <v>0</v>
      </c>
      <c r="N955" t="n">
        <v>0</v>
      </c>
      <c r="O955" t="n">
        <v>0</v>
      </c>
      <c r="P955" t="n">
        <v>0</v>
      </c>
      <c r="Q955" t="n">
        <v>0</v>
      </c>
      <c r="R955" s="2" t="inlineStr"/>
    </row>
    <row r="956" ht="15" customHeight="1">
      <c r="A956" t="inlineStr">
        <is>
          <t>A 16842-2025</t>
        </is>
      </c>
      <c r="B956" s="1" t="n">
        <v>45754.67329861111</v>
      </c>
      <c r="C956" s="1" t="n">
        <v>46076</v>
      </c>
      <c r="D956" t="inlineStr">
        <is>
          <t>JÄMTLANDS LÄN</t>
        </is>
      </c>
      <c r="E956" t="inlineStr">
        <is>
          <t>HÄRJEDALEN</t>
        </is>
      </c>
      <c r="G956" t="n">
        <v>18.6</v>
      </c>
      <c r="H956" t="n">
        <v>0</v>
      </c>
      <c r="I956" t="n">
        <v>0</v>
      </c>
      <c r="J956" t="n">
        <v>0</v>
      </c>
      <c r="K956" t="n">
        <v>0</v>
      </c>
      <c r="L956" t="n">
        <v>0</v>
      </c>
      <c r="M956" t="n">
        <v>0</v>
      </c>
      <c r="N956" t="n">
        <v>0</v>
      </c>
      <c r="O956" t="n">
        <v>0</v>
      </c>
      <c r="P956" t="n">
        <v>0</v>
      </c>
      <c r="Q956" t="n">
        <v>0</v>
      </c>
      <c r="R956" s="2" t="inlineStr"/>
    </row>
    <row r="957" ht="15" customHeight="1">
      <c r="A957" t="inlineStr">
        <is>
          <t>A 14632-2025</t>
        </is>
      </c>
      <c r="B957" s="1" t="n">
        <v>45742.42793981481</v>
      </c>
      <c r="C957" s="1" t="n">
        <v>46076</v>
      </c>
      <c r="D957" t="inlineStr">
        <is>
          <t>JÄMTLANDS LÄN</t>
        </is>
      </c>
      <c r="E957" t="inlineStr">
        <is>
          <t>HÄRJEDALEN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20103-2025</t>
        </is>
      </c>
      <c r="B958" s="1" t="n">
        <v>45772.46951388889</v>
      </c>
      <c r="C958" s="1" t="n">
        <v>46076</v>
      </c>
      <c r="D958" t="inlineStr">
        <is>
          <t>JÄMTLANDS LÄN</t>
        </is>
      </c>
      <c r="E958" t="inlineStr">
        <is>
          <t>HÄRJEDALEN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5984-2026</t>
        </is>
      </c>
      <c r="B959" s="1" t="n">
        <v>46052.55895833333</v>
      </c>
      <c r="C959" s="1" t="n">
        <v>46076</v>
      </c>
      <c r="D959" t="inlineStr">
        <is>
          <t>JÄMTLANDS LÄN</t>
        </is>
      </c>
      <c r="E959" t="inlineStr">
        <is>
          <t>HÄRJEDALEN</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1954-2023</t>
        </is>
      </c>
      <c r="B960" s="1" t="n">
        <v>44939.45376157408</v>
      </c>
      <c r="C960" s="1" t="n">
        <v>46076</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6313-2026</t>
        </is>
      </c>
      <c r="B961" s="1" t="n">
        <v>46055.57800925926</v>
      </c>
      <c r="C961" s="1" t="n">
        <v>46076</v>
      </c>
      <c r="D961" t="inlineStr">
        <is>
          <t>JÄMTLANDS LÄN</t>
        </is>
      </c>
      <c r="E961" t="inlineStr">
        <is>
          <t>HÄRJEDALEN</t>
        </is>
      </c>
      <c r="G961" t="n">
        <v>3.5</v>
      </c>
      <c r="H961" t="n">
        <v>0</v>
      </c>
      <c r="I961" t="n">
        <v>0</v>
      </c>
      <c r="J961" t="n">
        <v>0</v>
      </c>
      <c r="K961" t="n">
        <v>0</v>
      </c>
      <c r="L961" t="n">
        <v>0</v>
      </c>
      <c r="M961" t="n">
        <v>0</v>
      </c>
      <c r="N961" t="n">
        <v>0</v>
      </c>
      <c r="O961" t="n">
        <v>0</v>
      </c>
      <c r="P961" t="n">
        <v>0</v>
      </c>
      <c r="Q961" t="n">
        <v>0</v>
      </c>
      <c r="R961" s="2" t="inlineStr"/>
      <c r="U961">
        <f>HYPERLINK("https://klasma.github.io/Logging_2361/knärot/A 6313-2026 karta knärot.png", "A 6313-2026")</f>
        <v/>
      </c>
      <c r="V961">
        <f>HYPERLINK("https://klasma.github.io/Logging_2361/klagomål/A 6313-2026 FSC-klagomål.docx", "A 6313-2026")</f>
        <v/>
      </c>
      <c r="W961">
        <f>HYPERLINK("https://klasma.github.io/Logging_2361/klagomålsmail/A 6313-2026 FSC-klagomål mail.docx", "A 6313-2026")</f>
        <v/>
      </c>
      <c r="X961">
        <f>HYPERLINK("https://klasma.github.io/Logging_2361/tillsyn/A 6313-2026 tillsynsbegäran.docx", "A 6313-2026")</f>
        <v/>
      </c>
      <c r="Y961">
        <f>HYPERLINK("https://klasma.github.io/Logging_2361/tillsynsmail/A 6313-2026 tillsynsbegäran mail.docx", "A 6313-2026")</f>
        <v/>
      </c>
    </row>
    <row r="962" ht="15" customHeight="1">
      <c r="A962" t="inlineStr">
        <is>
          <t>A 31910-2023</t>
        </is>
      </c>
      <c r="B962" s="1" t="n">
        <v>45118.91633101852</v>
      </c>
      <c r="C962" s="1" t="n">
        <v>46076</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36097-2024</t>
        </is>
      </c>
      <c r="B963" s="1" t="n">
        <v>45533.75398148148</v>
      </c>
      <c r="C963" s="1" t="n">
        <v>46076</v>
      </c>
      <c r="D963" t="inlineStr">
        <is>
          <t>JÄMTLANDS LÄN</t>
        </is>
      </c>
      <c r="E963" t="inlineStr">
        <is>
          <t>HÄRJEDALEN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49792-2023</t>
        </is>
      </c>
      <c r="B964" s="1" t="n">
        <v>45212</v>
      </c>
      <c r="C964" s="1" t="n">
        <v>46076</v>
      </c>
      <c r="D964" t="inlineStr">
        <is>
          <t>JÄMTLANDS LÄN</t>
        </is>
      </c>
      <c r="E964" t="inlineStr">
        <is>
          <t>HÄRJEDALEN</t>
        </is>
      </c>
      <c r="G964" t="n">
        <v>5.6</v>
      </c>
      <c r="H964" t="n">
        <v>0</v>
      </c>
      <c r="I964" t="n">
        <v>0</v>
      </c>
      <c r="J964" t="n">
        <v>0</v>
      </c>
      <c r="K964" t="n">
        <v>0</v>
      </c>
      <c r="L964" t="n">
        <v>0</v>
      </c>
      <c r="M964" t="n">
        <v>0</v>
      </c>
      <c r="N964" t="n">
        <v>0</v>
      </c>
      <c r="O964" t="n">
        <v>0</v>
      </c>
      <c r="P964" t="n">
        <v>0</v>
      </c>
      <c r="Q964" t="n">
        <v>0</v>
      </c>
      <c r="R964" s="2" t="inlineStr"/>
    </row>
    <row r="965" ht="15" customHeight="1">
      <c r="A965" t="inlineStr">
        <is>
          <t>A 12428-2025</t>
        </is>
      </c>
      <c r="B965" s="1" t="n">
        <v>45730</v>
      </c>
      <c r="C965" s="1" t="n">
        <v>46076</v>
      </c>
      <c r="D965" t="inlineStr">
        <is>
          <t>JÄMTLANDS LÄN</t>
        </is>
      </c>
      <c r="E965" t="inlineStr">
        <is>
          <t>HÄRJEDALEN</t>
        </is>
      </c>
      <c r="G965" t="n">
        <v>1.7</v>
      </c>
      <c r="H965" t="n">
        <v>0</v>
      </c>
      <c r="I965" t="n">
        <v>0</v>
      </c>
      <c r="J965" t="n">
        <v>0</v>
      </c>
      <c r="K965" t="n">
        <v>0</v>
      </c>
      <c r="L965" t="n">
        <v>0</v>
      </c>
      <c r="M965" t="n">
        <v>0</v>
      </c>
      <c r="N965" t="n">
        <v>0</v>
      </c>
      <c r="O965" t="n">
        <v>0</v>
      </c>
      <c r="P965" t="n">
        <v>0</v>
      </c>
      <c r="Q965" t="n">
        <v>0</v>
      </c>
      <c r="R965" s="2" t="inlineStr"/>
    </row>
    <row r="966" ht="15" customHeight="1">
      <c r="A966" t="inlineStr">
        <is>
          <t>A 6310-2026</t>
        </is>
      </c>
      <c r="B966" s="1" t="n">
        <v>46055.57399305556</v>
      </c>
      <c r="C966" s="1" t="n">
        <v>46076</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19098-2025</t>
        </is>
      </c>
      <c r="B967" s="1" t="n">
        <v>45768.29289351852</v>
      </c>
      <c r="C967" s="1" t="n">
        <v>46076</v>
      </c>
      <c r="D967" t="inlineStr">
        <is>
          <t>JÄMTLANDS LÄN</t>
        </is>
      </c>
      <c r="E967" t="inlineStr">
        <is>
          <t>HÄRJEDALEN</t>
        </is>
      </c>
      <c r="F967" t="inlineStr">
        <is>
          <t>Sveaskog</t>
        </is>
      </c>
      <c r="G967" t="n">
        <v>4</v>
      </c>
      <c r="H967" t="n">
        <v>0</v>
      </c>
      <c r="I967" t="n">
        <v>0</v>
      </c>
      <c r="J967" t="n">
        <v>0</v>
      </c>
      <c r="K967" t="n">
        <v>0</v>
      </c>
      <c r="L967" t="n">
        <v>0</v>
      </c>
      <c r="M967" t="n">
        <v>0</v>
      </c>
      <c r="N967" t="n">
        <v>0</v>
      </c>
      <c r="O967" t="n">
        <v>0</v>
      </c>
      <c r="P967" t="n">
        <v>0</v>
      </c>
      <c r="Q967" t="n">
        <v>0</v>
      </c>
      <c r="R967" s="2" t="inlineStr"/>
    </row>
    <row r="968" ht="15" customHeight="1">
      <c r="A968" t="inlineStr">
        <is>
          <t>A 19101-2025</t>
        </is>
      </c>
      <c r="B968" s="1" t="n">
        <v>45768.30086805556</v>
      </c>
      <c r="C968" s="1" t="n">
        <v>46076</v>
      </c>
      <c r="D968" t="inlineStr">
        <is>
          <t>JÄMTLANDS LÄN</t>
        </is>
      </c>
      <c r="E968" t="inlineStr">
        <is>
          <t>HÄRJEDALEN</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4728-2026</t>
        </is>
      </c>
      <c r="B969" s="1" t="n">
        <v>46048</v>
      </c>
      <c r="C969" s="1" t="n">
        <v>46076</v>
      </c>
      <c r="D969" t="inlineStr">
        <is>
          <t>JÄMTLANDS LÄN</t>
        </is>
      </c>
      <c r="E969" t="inlineStr">
        <is>
          <t>HÄRJEDALEN</t>
        </is>
      </c>
      <c r="G969" t="n">
        <v>9.4</v>
      </c>
      <c r="H969" t="n">
        <v>0</v>
      </c>
      <c r="I969" t="n">
        <v>0</v>
      </c>
      <c r="J969" t="n">
        <v>0</v>
      </c>
      <c r="K969" t="n">
        <v>0</v>
      </c>
      <c r="L969" t="n">
        <v>0</v>
      </c>
      <c r="M969" t="n">
        <v>0</v>
      </c>
      <c r="N969" t="n">
        <v>0</v>
      </c>
      <c r="O969" t="n">
        <v>0</v>
      </c>
      <c r="P969" t="n">
        <v>0</v>
      </c>
      <c r="Q969" t="n">
        <v>0</v>
      </c>
      <c r="R969" s="2" t="inlineStr"/>
    </row>
    <row r="970" ht="15" customHeight="1">
      <c r="A970" t="inlineStr">
        <is>
          <t>A 5013-2023</t>
        </is>
      </c>
      <c r="B970" s="1" t="n">
        <v>44958</v>
      </c>
      <c r="C970" s="1" t="n">
        <v>46076</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63695-2025</t>
        </is>
      </c>
      <c r="B971" s="1" t="n">
        <v>46014.56574074074</v>
      </c>
      <c r="C971" s="1" t="n">
        <v>46076</v>
      </c>
      <c r="D971" t="inlineStr">
        <is>
          <t>JÄMTLANDS LÄN</t>
        </is>
      </c>
      <c r="E971" t="inlineStr">
        <is>
          <t>HÄRJEDALEN</t>
        </is>
      </c>
      <c r="G971" t="n">
        <v>1.8</v>
      </c>
      <c r="H971" t="n">
        <v>0</v>
      </c>
      <c r="I971" t="n">
        <v>0</v>
      </c>
      <c r="J971" t="n">
        <v>0</v>
      </c>
      <c r="K971" t="n">
        <v>0</v>
      </c>
      <c r="L971" t="n">
        <v>0</v>
      </c>
      <c r="M971" t="n">
        <v>0</v>
      </c>
      <c r="N971" t="n">
        <v>0</v>
      </c>
      <c r="O971" t="n">
        <v>0</v>
      </c>
      <c r="P971" t="n">
        <v>0</v>
      </c>
      <c r="Q971" t="n">
        <v>0</v>
      </c>
      <c r="R971" s="2" t="inlineStr"/>
    </row>
    <row r="972" ht="15" customHeight="1">
      <c r="A972" t="inlineStr">
        <is>
          <t>A 43591-2024</t>
        </is>
      </c>
      <c r="B972" s="1" t="n">
        <v>45569</v>
      </c>
      <c r="C972" s="1" t="n">
        <v>46076</v>
      </c>
      <c r="D972" t="inlineStr">
        <is>
          <t>JÄMTLANDS LÄN</t>
        </is>
      </c>
      <c r="E972" t="inlineStr">
        <is>
          <t>HÄRJEDALEN</t>
        </is>
      </c>
      <c r="F972" t="inlineStr">
        <is>
          <t>Bergvik skog väst AB</t>
        </is>
      </c>
      <c r="G972" t="n">
        <v>50.5</v>
      </c>
      <c r="H972" t="n">
        <v>0</v>
      </c>
      <c r="I972" t="n">
        <v>0</v>
      </c>
      <c r="J972" t="n">
        <v>0</v>
      </c>
      <c r="K972" t="n">
        <v>0</v>
      </c>
      <c r="L972" t="n">
        <v>0</v>
      </c>
      <c r="M972" t="n">
        <v>0</v>
      </c>
      <c r="N972" t="n">
        <v>0</v>
      </c>
      <c r="O972" t="n">
        <v>0</v>
      </c>
      <c r="P972" t="n">
        <v>0</v>
      </c>
      <c r="Q972" t="n">
        <v>0</v>
      </c>
      <c r="R972" s="2" t="inlineStr"/>
    </row>
    <row r="973" ht="15" customHeight="1">
      <c r="A973" t="inlineStr">
        <is>
          <t>A 63706-2025</t>
        </is>
      </c>
      <c r="B973" s="1" t="n">
        <v>46014.61186342593</v>
      </c>
      <c r="C973" s="1" t="n">
        <v>46076</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c r="U973">
        <f>HYPERLINK("https://klasma.github.io/Logging_2361/knärot/A 63706-2025 karta knärot.png", "A 63706-2025")</f>
        <v/>
      </c>
      <c r="V973">
        <f>HYPERLINK("https://klasma.github.io/Logging_2361/klagomål/A 63706-2025 FSC-klagomål.docx", "A 63706-2025")</f>
        <v/>
      </c>
      <c r="W973">
        <f>HYPERLINK("https://klasma.github.io/Logging_2361/klagomålsmail/A 63706-2025 FSC-klagomål mail.docx", "A 63706-2025")</f>
        <v/>
      </c>
      <c r="X973">
        <f>HYPERLINK("https://klasma.github.io/Logging_2361/tillsyn/A 63706-2025 tillsynsbegäran.docx", "A 63706-2025")</f>
        <v/>
      </c>
      <c r="Y973">
        <f>HYPERLINK("https://klasma.github.io/Logging_2361/tillsynsmail/A 63706-2025 tillsynsbegäran mail.docx", "A 63706-2025")</f>
        <v/>
      </c>
    </row>
    <row r="974" ht="15" customHeight="1">
      <c r="A974" t="inlineStr">
        <is>
          <t>A 57840-2024</t>
        </is>
      </c>
      <c r="B974" s="1" t="n">
        <v>45631</v>
      </c>
      <c r="C974" s="1" t="n">
        <v>46076</v>
      </c>
      <c r="D974" t="inlineStr">
        <is>
          <t>JÄMTLANDS LÄN</t>
        </is>
      </c>
      <c r="E974" t="inlineStr">
        <is>
          <t>HÄRJEDALEN</t>
        </is>
      </c>
      <c r="F974" t="inlineStr">
        <is>
          <t>Bergvik skog väst AB</t>
        </is>
      </c>
      <c r="G974" t="n">
        <v>98.8</v>
      </c>
      <c r="H974" t="n">
        <v>0</v>
      </c>
      <c r="I974" t="n">
        <v>0</v>
      </c>
      <c r="J974" t="n">
        <v>0</v>
      </c>
      <c r="K974" t="n">
        <v>0</v>
      </c>
      <c r="L974" t="n">
        <v>0</v>
      </c>
      <c r="M974" t="n">
        <v>0</v>
      </c>
      <c r="N974" t="n">
        <v>0</v>
      </c>
      <c r="O974" t="n">
        <v>0</v>
      </c>
      <c r="P974" t="n">
        <v>0</v>
      </c>
      <c r="Q974" t="n">
        <v>0</v>
      </c>
      <c r="R974" s="2" t="inlineStr"/>
    </row>
    <row r="975" ht="15" customHeight="1">
      <c r="A975" t="inlineStr">
        <is>
          <t>A 21530-2023</t>
        </is>
      </c>
      <c r="B975" s="1" t="n">
        <v>45063</v>
      </c>
      <c r="C975" s="1" t="n">
        <v>46076</v>
      </c>
      <c r="D975" t="inlineStr">
        <is>
          <t>JÄMTLANDS LÄN</t>
        </is>
      </c>
      <c r="E975" t="inlineStr">
        <is>
          <t>HÄRJEDALEN</t>
        </is>
      </c>
      <c r="G975" t="n">
        <v>15.3</v>
      </c>
      <c r="H975" t="n">
        <v>0</v>
      </c>
      <c r="I975" t="n">
        <v>0</v>
      </c>
      <c r="J975" t="n">
        <v>0</v>
      </c>
      <c r="K975" t="n">
        <v>0</v>
      </c>
      <c r="L975" t="n">
        <v>0</v>
      </c>
      <c r="M975" t="n">
        <v>0</v>
      </c>
      <c r="N975" t="n">
        <v>0</v>
      </c>
      <c r="O975" t="n">
        <v>0</v>
      </c>
      <c r="P975" t="n">
        <v>0</v>
      </c>
      <c r="Q975" t="n">
        <v>0</v>
      </c>
      <c r="R975" s="2" t="inlineStr"/>
    </row>
    <row r="976" ht="15" customHeight="1">
      <c r="A976" t="inlineStr">
        <is>
          <t>A 37290-2025</t>
        </is>
      </c>
      <c r="B976" s="1" t="n">
        <v>45876</v>
      </c>
      <c r="C976" s="1" t="n">
        <v>46076</v>
      </c>
      <c r="D976" t="inlineStr">
        <is>
          <t>JÄMTLANDS LÄN</t>
        </is>
      </c>
      <c r="E976" t="inlineStr">
        <is>
          <t>HÄRJEDALEN</t>
        </is>
      </c>
      <c r="F976" t="inlineStr">
        <is>
          <t>Bergvik skog väst AB</t>
        </is>
      </c>
      <c r="G976" t="n">
        <v>3.2</v>
      </c>
      <c r="H976" t="n">
        <v>0</v>
      </c>
      <c r="I976" t="n">
        <v>0</v>
      </c>
      <c r="J976" t="n">
        <v>0</v>
      </c>
      <c r="K976" t="n">
        <v>0</v>
      </c>
      <c r="L976" t="n">
        <v>0</v>
      </c>
      <c r="M976" t="n">
        <v>0</v>
      </c>
      <c r="N976" t="n">
        <v>0</v>
      </c>
      <c r="O976" t="n">
        <v>0</v>
      </c>
      <c r="P976" t="n">
        <v>0</v>
      </c>
      <c r="Q976" t="n">
        <v>0</v>
      </c>
      <c r="R976" s="2" t="inlineStr"/>
    </row>
    <row r="977" ht="15" customHeight="1">
      <c r="A977" t="inlineStr">
        <is>
          <t>A 38820-2025</t>
        </is>
      </c>
      <c r="B977" s="1" t="n">
        <v>45887</v>
      </c>
      <c r="C977" s="1" t="n">
        <v>46076</v>
      </c>
      <c r="D977" t="inlineStr">
        <is>
          <t>JÄMTLANDS LÄN</t>
        </is>
      </c>
      <c r="E977" t="inlineStr">
        <is>
          <t>HÄRJEDALEN</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63708-2025</t>
        </is>
      </c>
      <c r="B978" s="1" t="n">
        <v>46014.61556712963</v>
      </c>
      <c r="C978" s="1" t="n">
        <v>46076</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4220-2025</t>
        </is>
      </c>
      <c r="B979" s="1" t="n">
        <v>45685</v>
      </c>
      <c r="C979" s="1" t="n">
        <v>46076</v>
      </c>
      <c r="D979" t="inlineStr">
        <is>
          <t>JÄMTLANDS LÄN</t>
        </is>
      </c>
      <c r="E979" t="inlineStr">
        <is>
          <t>HÄRJEDALEN</t>
        </is>
      </c>
      <c r="F979" t="inlineStr">
        <is>
          <t>Bergvik skog väst AB</t>
        </is>
      </c>
      <c r="G979" t="n">
        <v>19.8</v>
      </c>
      <c r="H979" t="n">
        <v>0</v>
      </c>
      <c r="I979" t="n">
        <v>0</v>
      </c>
      <c r="J979" t="n">
        <v>0</v>
      </c>
      <c r="K979" t="n">
        <v>0</v>
      </c>
      <c r="L979" t="n">
        <v>0</v>
      </c>
      <c r="M979" t="n">
        <v>0</v>
      </c>
      <c r="N979" t="n">
        <v>0</v>
      </c>
      <c r="O979" t="n">
        <v>0</v>
      </c>
      <c r="P979" t="n">
        <v>0</v>
      </c>
      <c r="Q979" t="n">
        <v>0</v>
      </c>
      <c r="R979" s="2" t="inlineStr"/>
    </row>
    <row r="980" ht="15" customHeight="1">
      <c r="A980" t="inlineStr">
        <is>
          <t>A 59427-2024</t>
        </is>
      </c>
      <c r="B980" s="1" t="n">
        <v>45638.416875</v>
      </c>
      <c r="C980" s="1" t="n">
        <v>46076</v>
      </c>
      <c r="D980" t="inlineStr">
        <is>
          <t>JÄMTLANDS LÄN</t>
        </is>
      </c>
      <c r="E980" t="inlineStr">
        <is>
          <t>HÄRJEDALEN</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55969-2022</t>
        </is>
      </c>
      <c r="B981" s="1" t="n">
        <v>44886</v>
      </c>
      <c r="C981" s="1" t="n">
        <v>46076</v>
      </c>
      <c r="D981" t="inlineStr">
        <is>
          <t>JÄMTLANDS LÄN</t>
        </is>
      </c>
      <c r="E981" t="inlineStr">
        <is>
          <t>HÄRJEDALEN</t>
        </is>
      </c>
      <c r="F981" t="inlineStr">
        <is>
          <t>Övriga statliga verk och myndigheter</t>
        </is>
      </c>
      <c r="G981" t="n">
        <v>1.6</v>
      </c>
      <c r="H981" t="n">
        <v>0</v>
      </c>
      <c r="I981" t="n">
        <v>0</v>
      </c>
      <c r="J981" t="n">
        <v>0</v>
      </c>
      <c r="K981" t="n">
        <v>0</v>
      </c>
      <c r="L981" t="n">
        <v>0</v>
      </c>
      <c r="M981" t="n">
        <v>0</v>
      </c>
      <c r="N981" t="n">
        <v>0</v>
      </c>
      <c r="O981" t="n">
        <v>0</v>
      </c>
      <c r="P981" t="n">
        <v>0</v>
      </c>
      <c r="Q981" t="n">
        <v>0</v>
      </c>
      <c r="R981" s="2" t="inlineStr"/>
    </row>
    <row r="982" ht="15" customHeight="1">
      <c r="A982" t="inlineStr">
        <is>
          <t>A 4684-2026</t>
        </is>
      </c>
      <c r="B982" s="1" t="n">
        <v>46048</v>
      </c>
      <c r="C982" s="1" t="n">
        <v>46076</v>
      </c>
      <c r="D982" t="inlineStr">
        <is>
          <t>JÄMTLANDS LÄN</t>
        </is>
      </c>
      <c r="E982" t="inlineStr">
        <is>
          <t>HÄRJEDALEN</t>
        </is>
      </c>
      <c r="G982" t="n">
        <v>15.4</v>
      </c>
      <c r="H982" t="n">
        <v>0</v>
      </c>
      <c r="I982" t="n">
        <v>0</v>
      </c>
      <c r="J982" t="n">
        <v>0</v>
      </c>
      <c r="K982" t="n">
        <v>0</v>
      </c>
      <c r="L982" t="n">
        <v>0</v>
      </c>
      <c r="M982" t="n">
        <v>0</v>
      </c>
      <c r="N982" t="n">
        <v>0</v>
      </c>
      <c r="O982" t="n">
        <v>0</v>
      </c>
      <c r="P982" t="n">
        <v>0</v>
      </c>
      <c r="Q982" t="n">
        <v>0</v>
      </c>
      <c r="R982" s="2" t="inlineStr"/>
    </row>
    <row r="983" ht="15" customHeight="1">
      <c r="A983" t="inlineStr">
        <is>
          <t>A 63648-2025</t>
        </is>
      </c>
      <c r="B983" s="1" t="n">
        <v>46014.43386574074</v>
      </c>
      <c r="C983" s="1" t="n">
        <v>46076</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31816-2024</t>
        </is>
      </c>
      <c r="B984" s="1" t="n">
        <v>45509.5980787037</v>
      </c>
      <c r="C984" s="1" t="n">
        <v>46076</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4730-2026</t>
        </is>
      </c>
      <c r="B985" s="1" t="n">
        <v>46048</v>
      </c>
      <c r="C985" s="1" t="n">
        <v>46076</v>
      </c>
      <c r="D985" t="inlineStr">
        <is>
          <t>JÄMTLANDS LÄN</t>
        </is>
      </c>
      <c r="E985" t="inlineStr">
        <is>
          <t>HÄRJEDALEN</t>
        </is>
      </c>
      <c r="G985" t="n">
        <v>10.4</v>
      </c>
      <c r="H985" t="n">
        <v>0</v>
      </c>
      <c r="I985" t="n">
        <v>0</v>
      </c>
      <c r="J985" t="n">
        <v>0</v>
      </c>
      <c r="K985" t="n">
        <v>0</v>
      </c>
      <c r="L985" t="n">
        <v>0</v>
      </c>
      <c r="M985" t="n">
        <v>0</v>
      </c>
      <c r="N985" t="n">
        <v>0</v>
      </c>
      <c r="O985" t="n">
        <v>0</v>
      </c>
      <c r="P985" t="n">
        <v>0</v>
      </c>
      <c r="Q985" t="n">
        <v>0</v>
      </c>
      <c r="R985" s="2" t="inlineStr"/>
    </row>
    <row r="986" ht="15" customHeight="1">
      <c r="A986" t="inlineStr">
        <is>
          <t>A 6810-2026</t>
        </is>
      </c>
      <c r="B986" s="1" t="n">
        <v>46057.37055555556</v>
      </c>
      <c r="C986" s="1" t="n">
        <v>46076</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50570-2025</t>
        </is>
      </c>
      <c r="B987" s="1" t="n">
        <v>45945.57354166666</v>
      </c>
      <c r="C987" s="1" t="n">
        <v>46076</v>
      </c>
      <c r="D987" t="inlineStr">
        <is>
          <t>JÄMTLANDS LÄN</t>
        </is>
      </c>
      <c r="E987" t="inlineStr">
        <is>
          <t>HÄRJEDALEN</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57668-2024</t>
        </is>
      </c>
      <c r="B988" s="1" t="n">
        <v>45630.62513888889</v>
      </c>
      <c r="C988" s="1" t="n">
        <v>46076</v>
      </c>
      <c r="D988" t="inlineStr">
        <is>
          <t>JÄMTLANDS LÄN</t>
        </is>
      </c>
      <c r="E988" t="inlineStr">
        <is>
          <t>HÄRJEDALEN</t>
        </is>
      </c>
      <c r="G988" t="n">
        <v>15.7</v>
      </c>
      <c r="H988" t="n">
        <v>0</v>
      </c>
      <c r="I988" t="n">
        <v>0</v>
      </c>
      <c r="J988" t="n">
        <v>0</v>
      </c>
      <c r="K988" t="n">
        <v>0</v>
      </c>
      <c r="L988" t="n">
        <v>0</v>
      </c>
      <c r="M988" t="n">
        <v>0</v>
      </c>
      <c r="N988" t="n">
        <v>0</v>
      </c>
      <c r="O988" t="n">
        <v>0</v>
      </c>
      <c r="P988" t="n">
        <v>0</v>
      </c>
      <c r="Q988" t="n">
        <v>0</v>
      </c>
      <c r="R988" s="2" t="inlineStr"/>
    </row>
    <row r="989" ht="15" customHeight="1">
      <c r="A989" t="inlineStr">
        <is>
          <t>A 36539-2025</t>
        </is>
      </c>
      <c r="B989" s="1" t="n">
        <v>45869</v>
      </c>
      <c r="C989" s="1" t="n">
        <v>46076</v>
      </c>
      <c r="D989" t="inlineStr">
        <is>
          <t>JÄMTLANDS LÄN</t>
        </is>
      </c>
      <c r="E989" t="inlineStr">
        <is>
          <t>HÄRJEDALEN</t>
        </is>
      </c>
      <c r="G989" t="n">
        <v>13</v>
      </c>
      <c r="H989" t="n">
        <v>0</v>
      </c>
      <c r="I989" t="n">
        <v>0</v>
      </c>
      <c r="J989" t="n">
        <v>0</v>
      </c>
      <c r="K989" t="n">
        <v>0</v>
      </c>
      <c r="L989" t="n">
        <v>0</v>
      </c>
      <c r="M989" t="n">
        <v>0</v>
      </c>
      <c r="N989" t="n">
        <v>0</v>
      </c>
      <c r="O989" t="n">
        <v>0</v>
      </c>
      <c r="P989" t="n">
        <v>0</v>
      </c>
      <c r="Q989" t="n">
        <v>0</v>
      </c>
      <c r="R989" s="2" t="inlineStr"/>
    </row>
    <row r="990" ht="15" customHeight="1">
      <c r="A990" t="inlineStr">
        <is>
          <t>A 56061-2024</t>
        </is>
      </c>
      <c r="B990" s="1" t="n">
        <v>45624.36858796296</v>
      </c>
      <c r="C990" s="1" t="n">
        <v>46076</v>
      </c>
      <c r="D990" t="inlineStr">
        <is>
          <t>JÄMTLANDS LÄN</t>
        </is>
      </c>
      <c r="E990" t="inlineStr">
        <is>
          <t>HÄRJEDALEN</t>
        </is>
      </c>
      <c r="G990" t="n">
        <v>7.9</v>
      </c>
      <c r="H990" t="n">
        <v>0</v>
      </c>
      <c r="I990" t="n">
        <v>0</v>
      </c>
      <c r="J990" t="n">
        <v>0</v>
      </c>
      <c r="K990" t="n">
        <v>0</v>
      </c>
      <c r="L990" t="n">
        <v>0</v>
      </c>
      <c r="M990" t="n">
        <v>0</v>
      </c>
      <c r="N990" t="n">
        <v>0</v>
      </c>
      <c r="O990" t="n">
        <v>0</v>
      </c>
      <c r="P990" t="n">
        <v>0</v>
      </c>
      <c r="Q990" t="n">
        <v>0</v>
      </c>
      <c r="R990" s="2" t="inlineStr"/>
    </row>
    <row r="991" ht="15" customHeight="1">
      <c r="A991" t="inlineStr">
        <is>
          <t>A 30082-2022</t>
        </is>
      </c>
      <c r="B991" s="1" t="n">
        <v>44757.37524305555</v>
      </c>
      <c r="C991" s="1" t="n">
        <v>46076</v>
      </c>
      <c r="D991" t="inlineStr">
        <is>
          <t>JÄMTLANDS LÄN</t>
        </is>
      </c>
      <c r="E991" t="inlineStr">
        <is>
          <t>HÄRJEDALEN</t>
        </is>
      </c>
      <c r="G991" t="n">
        <v>3</v>
      </c>
      <c r="H991" t="n">
        <v>0</v>
      </c>
      <c r="I991" t="n">
        <v>0</v>
      </c>
      <c r="J991" t="n">
        <v>0</v>
      </c>
      <c r="K991" t="n">
        <v>0</v>
      </c>
      <c r="L991" t="n">
        <v>0</v>
      </c>
      <c r="M991" t="n">
        <v>0</v>
      </c>
      <c r="N991" t="n">
        <v>0</v>
      </c>
      <c r="O991" t="n">
        <v>0</v>
      </c>
      <c r="P991" t="n">
        <v>0</v>
      </c>
      <c r="Q991" t="n">
        <v>0</v>
      </c>
      <c r="R991" s="2" t="inlineStr"/>
    </row>
    <row r="992" ht="15" customHeight="1">
      <c r="A992" t="inlineStr">
        <is>
          <t>A 56547-2024</t>
        </is>
      </c>
      <c r="B992" s="1" t="n">
        <v>45625.56934027778</v>
      </c>
      <c r="C992" s="1" t="n">
        <v>46076</v>
      </c>
      <c r="D992" t="inlineStr">
        <is>
          <t>JÄMTLANDS LÄN</t>
        </is>
      </c>
      <c r="E992" t="inlineStr">
        <is>
          <t>HÄRJEDALEN</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7302-2026</t>
        </is>
      </c>
      <c r="B993" s="1" t="n">
        <v>46058.65045138889</v>
      </c>
      <c r="C993" s="1" t="n">
        <v>46076</v>
      </c>
      <c r="D993" t="inlineStr">
        <is>
          <t>JÄMTLANDS LÄN</t>
        </is>
      </c>
      <c r="E993" t="inlineStr">
        <is>
          <t>HÄRJEDALEN</t>
        </is>
      </c>
      <c r="F993" t="inlineStr">
        <is>
          <t>Bergvik skog väst AB</t>
        </is>
      </c>
      <c r="G993" t="n">
        <v>34.3</v>
      </c>
      <c r="H993" t="n">
        <v>0</v>
      </c>
      <c r="I993" t="n">
        <v>0</v>
      </c>
      <c r="J993" t="n">
        <v>0</v>
      </c>
      <c r="K993" t="n">
        <v>0</v>
      </c>
      <c r="L993" t="n">
        <v>0</v>
      </c>
      <c r="M993" t="n">
        <v>0</v>
      </c>
      <c r="N993" t="n">
        <v>0</v>
      </c>
      <c r="O993" t="n">
        <v>0</v>
      </c>
      <c r="P993" t="n">
        <v>0</v>
      </c>
      <c r="Q993" t="n">
        <v>0</v>
      </c>
      <c r="R993" s="2" t="inlineStr"/>
    </row>
    <row r="994" ht="15" customHeight="1">
      <c r="A994" t="inlineStr">
        <is>
          <t>A 19863-2024</t>
        </is>
      </c>
      <c r="B994" s="1" t="n">
        <v>45433</v>
      </c>
      <c r="C994" s="1" t="n">
        <v>46076</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48822-2024</t>
        </is>
      </c>
      <c r="B995" s="1" t="n">
        <v>45593.6821412037</v>
      </c>
      <c r="C995" s="1" t="n">
        <v>46076</v>
      </c>
      <c r="D995" t="inlineStr">
        <is>
          <t>JÄMTLANDS LÄN</t>
        </is>
      </c>
      <c r="E995" t="inlineStr">
        <is>
          <t>HÄRJEDALEN</t>
        </is>
      </c>
      <c r="G995" t="n">
        <v>0.4</v>
      </c>
      <c r="H995" t="n">
        <v>0</v>
      </c>
      <c r="I995" t="n">
        <v>0</v>
      </c>
      <c r="J995" t="n">
        <v>0</v>
      </c>
      <c r="K995" t="n">
        <v>0</v>
      </c>
      <c r="L995" t="n">
        <v>0</v>
      </c>
      <c r="M995" t="n">
        <v>0</v>
      </c>
      <c r="N995" t="n">
        <v>0</v>
      </c>
      <c r="O995" t="n">
        <v>0</v>
      </c>
      <c r="P995" t="n">
        <v>0</v>
      </c>
      <c r="Q995" t="n">
        <v>0</v>
      </c>
      <c r="R995" s="2" t="inlineStr"/>
    </row>
    <row r="996" ht="15" customHeight="1">
      <c r="A996" t="inlineStr">
        <is>
          <t>A 48823-2024</t>
        </is>
      </c>
      <c r="B996" s="1" t="n">
        <v>45593.68434027778</v>
      </c>
      <c r="C996" s="1" t="n">
        <v>46076</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42333-2024</t>
        </is>
      </c>
      <c r="B997" s="1" t="n">
        <v>45562.65759259259</v>
      </c>
      <c r="C997" s="1" t="n">
        <v>46076</v>
      </c>
      <c r="D997" t="inlineStr">
        <is>
          <t>JÄMTLANDS LÄN</t>
        </is>
      </c>
      <c r="E997" t="inlineStr">
        <is>
          <t>HÄRJEDALEN</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7328-2024</t>
        </is>
      </c>
      <c r="B998" s="1" t="n">
        <v>45345</v>
      </c>
      <c r="C998" s="1" t="n">
        <v>46076</v>
      </c>
      <c r="D998" t="inlineStr">
        <is>
          <t>JÄMTLANDS LÄN</t>
        </is>
      </c>
      <c r="E998" t="inlineStr">
        <is>
          <t>HÄRJEDALEN</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27541-2023</t>
        </is>
      </c>
      <c r="B999" s="1" t="n">
        <v>45097</v>
      </c>
      <c r="C999" s="1" t="n">
        <v>46076</v>
      </c>
      <c r="D999" t="inlineStr">
        <is>
          <t>JÄMTLANDS LÄN</t>
        </is>
      </c>
      <c r="E999" t="inlineStr">
        <is>
          <t>HÄRJEDALEN</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29774-2024</t>
        </is>
      </c>
      <c r="B1000" s="1" t="n">
        <v>45485</v>
      </c>
      <c r="C1000" s="1" t="n">
        <v>46076</v>
      </c>
      <c r="D1000" t="inlineStr">
        <is>
          <t>JÄMTLANDS LÄN</t>
        </is>
      </c>
      <c r="E1000" t="inlineStr">
        <is>
          <t>HÄRJEDALEN</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40578-2023</t>
        </is>
      </c>
      <c r="B1001" s="1" t="n">
        <v>45170.46923611111</v>
      </c>
      <c r="C1001" s="1" t="n">
        <v>46076</v>
      </c>
      <c r="D1001" t="inlineStr">
        <is>
          <t>JÄMTLANDS LÄN</t>
        </is>
      </c>
      <c r="E1001" t="inlineStr">
        <is>
          <t>HÄRJEDALEN</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45363-2024</t>
        </is>
      </c>
      <c r="B1002" s="1" t="n">
        <v>45576.48657407407</v>
      </c>
      <c r="C1002" s="1" t="n">
        <v>46076</v>
      </c>
      <c r="D1002" t="inlineStr">
        <is>
          <t>JÄMTLANDS LÄN</t>
        </is>
      </c>
      <c r="E1002" t="inlineStr">
        <is>
          <t>HÄRJEDALEN</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54079-2024</t>
        </is>
      </c>
      <c r="B1003" s="1" t="n">
        <v>45616.49530092593</v>
      </c>
      <c r="C1003" s="1" t="n">
        <v>46076</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55867-2024</t>
        </is>
      </c>
      <c r="B1004" s="1" t="n">
        <v>45622</v>
      </c>
      <c r="C1004" s="1" t="n">
        <v>46076</v>
      </c>
      <c r="D1004" t="inlineStr">
        <is>
          <t>JÄMTLANDS LÄN</t>
        </is>
      </c>
      <c r="E1004" t="inlineStr">
        <is>
          <t>HÄRJEDALEN</t>
        </is>
      </c>
      <c r="F1004" t="inlineStr">
        <is>
          <t>Bergvik skog väst AB</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46076</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37054-2023</t>
        </is>
      </c>
      <c r="B1006" s="1" t="n">
        <v>45154</v>
      </c>
      <c r="C1006" s="1" t="n">
        <v>46076</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45864-2023</t>
        </is>
      </c>
      <c r="B1007" s="1" t="n">
        <v>45195.61476851852</v>
      </c>
      <c r="C1007" s="1" t="n">
        <v>46076</v>
      </c>
      <c r="D1007" t="inlineStr">
        <is>
          <t>JÄMTLANDS LÄN</t>
        </is>
      </c>
      <c r="E1007" t="inlineStr">
        <is>
          <t>HÄRJEDALEN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9092-2026</t>
        </is>
      </c>
      <c r="B1008" s="1" t="n">
        <v>46069.63060185185</v>
      </c>
      <c r="C1008" s="1" t="n">
        <v>46076</v>
      </c>
      <c r="D1008" t="inlineStr">
        <is>
          <t>JÄMTLANDS LÄN</t>
        </is>
      </c>
      <c r="E1008" t="inlineStr">
        <is>
          <t>HÄRJEDALEN</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36921-2023</t>
        </is>
      </c>
      <c r="B1009" s="1" t="n">
        <v>45154</v>
      </c>
      <c r="C1009" s="1" t="n">
        <v>46076</v>
      </c>
      <c r="D1009" t="inlineStr">
        <is>
          <t>JÄMTLANDS LÄN</t>
        </is>
      </c>
      <c r="E1009" t="inlineStr">
        <is>
          <t>HÄRJEDALEN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9089-2026</t>
        </is>
      </c>
      <c r="B1010" s="1" t="n">
        <v>46069.62508101852</v>
      </c>
      <c r="C1010" s="1" t="n">
        <v>46076</v>
      </c>
      <c r="D1010" t="inlineStr">
        <is>
          <t>JÄMTLANDS LÄN</t>
        </is>
      </c>
      <c r="E1010" t="inlineStr">
        <is>
          <t>HÄRJEDALEN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280-2026</t>
        </is>
      </c>
      <c r="B1011" s="1" t="n">
        <v>46027.47597222222</v>
      </c>
      <c r="C1011" s="1" t="n">
        <v>46076</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1172-2025</t>
        </is>
      </c>
      <c r="B1012" s="1" t="n">
        <v>45667</v>
      </c>
      <c r="C1012" s="1" t="n">
        <v>46076</v>
      </c>
      <c r="D1012" t="inlineStr">
        <is>
          <t>JÄMTLANDS LÄN</t>
        </is>
      </c>
      <c r="E1012" t="inlineStr">
        <is>
          <t>HÄRJEDALEN</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279-2026</t>
        </is>
      </c>
      <c r="B1013" s="1" t="n">
        <v>46027.47453703704</v>
      </c>
      <c r="C1013" s="1" t="n">
        <v>46076</v>
      </c>
      <c r="D1013" t="inlineStr">
        <is>
          <t>JÄMTLANDS LÄN</t>
        </is>
      </c>
      <c r="E1013" t="inlineStr">
        <is>
          <t>HÄRJEDALEN</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4862-2025</t>
        </is>
      </c>
      <c r="B1014" s="1" t="n">
        <v>45688.6749537037</v>
      </c>
      <c r="C1014" s="1" t="n">
        <v>46076</v>
      </c>
      <c r="D1014" t="inlineStr">
        <is>
          <t>JÄMTLANDS LÄN</t>
        </is>
      </c>
      <c r="E1014" t="inlineStr">
        <is>
          <t>HÄRJEDALEN</t>
        </is>
      </c>
      <c r="F1014" t="inlineStr">
        <is>
          <t>SCA</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47738-2022</t>
        </is>
      </c>
      <c r="B1015" s="1" t="n">
        <v>44854</v>
      </c>
      <c r="C1015" s="1" t="n">
        <v>46076</v>
      </c>
      <c r="D1015" t="inlineStr">
        <is>
          <t>JÄMTLANDS LÄN</t>
        </is>
      </c>
      <c r="E1015" t="inlineStr">
        <is>
          <t>HÄRJEDALEN</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282-2026</t>
        </is>
      </c>
      <c r="B1016" s="1" t="n">
        <v>46027.48473379629</v>
      </c>
      <c r="C1016" s="1" t="n">
        <v>46076</v>
      </c>
      <c r="D1016" t="inlineStr">
        <is>
          <t>JÄMTLANDS LÄN</t>
        </is>
      </c>
      <c r="E1016" t="inlineStr">
        <is>
          <t>HÄRJEDALEN</t>
        </is>
      </c>
      <c r="F1016" t="inlineStr">
        <is>
          <t>Holmen skog AB</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31723-2025</t>
        </is>
      </c>
      <c r="B1017" s="1" t="n">
        <v>45834</v>
      </c>
      <c r="C1017" s="1" t="n">
        <v>46076</v>
      </c>
      <c r="D1017" t="inlineStr">
        <is>
          <t>JÄMTLANDS LÄN</t>
        </is>
      </c>
      <c r="E1017" t="inlineStr">
        <is>
          <t>HÄRJEDALEN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238-2026</t>
        </is>
      </c>
      <c r="B1018" s="1" t="n">
        <v>46027.36778935185</v>
      </c>
      <c r="C1018" s="1" t="n">
        <v>46076</v>
      </c>
      <c r="D1018" t="inlineStr">
        <is>
          <t>JÄMTLANDS LÄN</t>
        </is>
      </c>
      <c r="E1018" t="inlineStr">
        <is>
          <t>HÄRJEDALEN</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289-2026</t>
        </is>
      </c>
      <c r="B1019" s="1" t="n">
        <v>46027.49865740741</v>
      </c>
      <c r="C1019" s="1" t="n">
        <v>46076</v>
      </c>
      <c r="D1019" t="inlineStr">
        <is>
          <t>JÄMTLANDS LÄN</t>
        </is>
      </c>
      <c r="E1019" t="inlineStr">
        <is>
          <t>HÄRJEDALEN</t>
        </is>
      </c>
      <c r="F1019" t="inlineStr">
        <is>
          <t>Holmen skog AB</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30742-2024</t>
        </is>
      </c>
      <c r="B1020" s="1" t="n">
        <v>45496.66903935185</v>
      </c>
      <c r="C1020" s="1" t="n">
        <v>46076</v>
      </c>
      <c r="D1020" t="inlineStr">
        <is>
          <t>JÄMTLANDS LÄN</t>
        </is>
      </c>
      <c r="E1020" t="inlineStr">
        <is>
          <t>HÄRJEDALEN</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31747-2024</t>
        </is>
      </c>
      <c r="B1021" s="1" t="n">
        <v>45509</v>
      </c>
      <c r="C1021" s="1" t="n">
        <v>46076</v>
      </c>
      <c r="D1021" t="inlineStr">
        <is>
          <t>JÄMTLANDS LÄN</t>
        </is>
      </c>
      <c r="E1021" t="inlineStr">
        <is>
          <t>HÄRJEDALEN</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31759-2024</t>
        </is>
      </c>
      <c r="B1022" s="1" t="n">
        <v>45509</v>
      </c>
      <c r="C1022" s="1" t="n">
        <v>46076</v>
      </c>
      <c r="D1022" t="inlineStr">
        <is>
          <t>JÄMTLANDS LÄN</t>
        </is>
      </c>
      <c r="E1022" t="inlineStr">
        <is>
          <t>HÄRJEDALEN</t>
        </is>
      </c>
      <c r="F1022" t="inlineStr">
        <is>
          <t>Övriga statliga verk och myndigheter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9094-2026</t>
        </is>
      </c>
      <c r="B1023" s="1" t="n">
        <v>46069.63391203704</v>
      </c>
      <c r="C1023" s="1" t="n">
        <v>46076</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63-2026</t>
        </is>
      </c>
      <c r="B1024" s="1" t="n">
        <v>46024.44586805555</v>
      </c>
      <c r="C1024" s="1" t="n">
        <v>46076</v>
      </c>
      <c r="D1024" t="inlineStr">
        <is>
          <t>JÄMTLANDS LÄN</t>
        </is>
      </c>
      <c r="E1024" t="inlineStr">
        <is>
          <t>HÄRJEDALEN</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322-2026</t>
        </is>
      </c>
      <c r="B1025" s="1" t="n">
        <v>46027.58601851852</v>
      </c>
      <c r="C1025" s="1" t="n">
        <v>46076</v>
      </c>
      <c r="D1025" t="inlineStr">
        <is>
          <t>JÄMTLANDS LÄN</t>
        </is>
      </c>
      <c r="E1025" t="inlineStr">
        <is>
          <t>HÄRJEDALEN</t>
        </is>
      </c>
      <c r="F1025" t="inlineStr">
        <is>
          <t>Holmen skog AB</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325-2026</t>
        </is>
      </c>
      <c r="B1026" s="1" t="n">
        <v>46027.5891087963</v>
      </c>
      <c r="C1026" s="1" t="n">
        <v>46076</v>
      </c>
      <c r="D1026" t="inlineStr">
        <is>
          <t>JÄMTLANDS LÄN</t>
        </is>
      </c>
      <c r="E1026" t="inlineStr">
        <is>
          <t>HÄRJEDALEN</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9485-2026</t>
        </is>
      </c>
      <c r="B1027" s="1" t="n">
        <v>46071.54091435186</v>
      </c>
      <c r="C1027" s="1" t="n">
        <v>46076</v>
      </c>
      <c r="D1027" t="inlineStr">
        <is>
          <t>JÄMTLANDS LÄN</t>
        </is>
      </c>
      <c r="E1027" t="inlineStr">
        <is>
          <t>HÄRJEDALEN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41101-2024</t>
        </is>
      </c>
      <c r="B1028" s="1" t="n">
        <v>45559.43645833333</v>
      </c>
      <c r="C1028" s="1" t="n">
        <v>46076</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9775-2024</t>
        </is>
      </c>
      <c r="B1029" s="1" t="n">
        <v>45362.64613425926</v>
      </c>
      <c r="C1029" s="1" t="n">
        <v>46076</v>
      </c>
      <c r="D1029" t="inlineStr">
        <is>
          <t>JÄMTLANDS LÄN</t>
        </is>
      </c>
      <c r="E1029" t="inlineStr">
        <is>
          <t>HÄRJEDALEN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9778-2024</t>
        </is>
      </c>
      <c r="B1030" s="1" t="n">
        <v>45362.65407407407</v>
      </c>
      <c r="C1030" s="1" t="n">
        <v>46076</v>
      </c>
      <c r="D1030" t="inlineStr">
        <is>
          <t>JÄMTLANDS LÄN</t>
        </is>
      </c>
      <c r="E1030" t="inlineStr">
        <is>
          <t>HÄRJEDALEN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29343-2024</t>
        </is>
      </c>
      <c r="B1031" s="1" t="n">
        <v>45483.47207175926</v>
      </c>
      <c r="C1031" s="1" t="n">
        <v>46076</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64014-2025</t>
        </is>
      </c>
      <c r="B1032" s="1" t="n">
        <v>46021</v>
      </c>
      <c r="C1032" s="1" t="n">
        <v>46076</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46383-2023</t>
        </is>
      </c>
      <c r="B1033" s="1" t="n">
        <v>45197.46966435185</v>
      </c>
      <c r="C1033" s="1" t="n">
        <v>46076</v>
      </c>
      <c r="D1033" t="inlineStr">
        <is>
          <t>JÄMTLANDS LÄN</t>
        </is>
      </c>
      <c r="E1033" t="inlineStr">
        <is>
          <t>HÄRJEDALEN</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51017-2023</t>
        </is>
      </c>
      <c r="B1034" s="1" t="n">
        <v>45218.58609953704</v>
      </c>
      <c r="C1034" s="1" t="n">
        <v>46076</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468-2026</t>
        </is>
      </c>
      <c r="B1035" s="1" t="n">
        <v>46029.38601851852</v>
      </c>
      <c r="C1035" s="1" t="n">
        <v>46076</v>
      </c>
      <c r="D1035" t="inlineStr">
        <is>
          <t>JÄMTLANDS LÄN</t>
        </is>
      </c>
      <c r="E1035" t="inlineStr">
        <is>
          <t>HÄRJEDALEN</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9486-2026</t>
        </is>
      </c>
      <c r="B1036" s="1" t="n">
        <v>46071.54701388889</v>
      </c>
      <c r="C1036" s="1" t="n">
        <v>46076</v>
      </c>
      <c r="D1036" t="inlineStr">
        <is>
          <t>JÄMTLANDS LÄN</t>
        </is>
      </c>
      <c r="E1036" t="inlineStr">
        <is>
          <t>HÄRJEDALEN</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29749-2024</t>
        </is>
      </c>
      <c r="B1037" s="1" t="n">
        <v>45485.42287037037</v>
      </c>
      <c r="C1037" s="1" t="n">
        <v>46076</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29768-2024</t>
        </is>
      </c>
      <c r="B1038" s="1" t="n">
        <v>45485.44258101852</v>
      </c>
      <c r="C1038" s="1" t="n">
        <v>46076</v>
      </c>
      <c r="D1038" t="inlineStr">
        <is>
          <t>JÄMTLANDS LÄN</t>
        </is>
      </c>
      <c r="E1038" t="inlineStr">
        <is>
          <t>HÄRJEDALEN</t>
        </is>
      </c>
      <c r="F1038" t="inlineStr">
        <is>
          <t>Holmen skog AB</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31834-2024</t>
        </is>
      </c>
      <c r="B1039" s="1" t="n">
        <v>45509.6427662037</v>
      </c>
      <c r="C1039" s="1" t="n">
        <v>46076</v>
      </c>
      <c r="D1039" t="inlineStr">
        <is>
          <t>JÄMTLANDS LÄN</t>
        </is>
      </c>
      <c r="E1039" t="inlineStr">
        <is>
          <t>HÄRJEDALEN</t>
        </is>
      </c>
      <c r="F1039" t="inlineStr">
        <is>
          <t>Kommuner</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27812-2023</t>
        </is>
      </c>
      <c r="B1040" s="1" t="n">
        <v>45098.48666666666</v>
      </c>
      <c r="C1040" s="1" t="n">
        <v>46076</v>
      </c>
      <c r="D1040" t="inlineStr">
        <is>
          <t>JÄMTLANDS LÄN</t>
        </is>
      </c>
      <c r="E1040" t="inlineStr">
        <is>
          <t>HÄRJEDALEN</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46076</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1196-2026</t>
        </is>
      </c>
      <c r="B1042" s="1" t="n">
        <v>46031.3709837963</v>
      </c>
      <c r="C1042" s="1" t="n">
        <v>46076</v>
      </c>
      <c r="D1042" t="inlineStr">
        <is>
          <t>JÄMTLANDS LÄN</t>
        </is>
      </c>
      <c r="E1042" t="inlineStr">
        <is>
          <t>HÄRJEDALEN</t>
        </is>
      </c>
      <c r="G1042" t="n">
        <v>16.1</v>
      </c>
      <c r="H1042" t="n">
        <v>0</v>
      </c>
      <c r="I1042" t="n">
        <v>0</v>
      </c>
      <c r="J1042" t="n">
        <v>0</v>
      </c>
      <c r="K1042" t="n">
        <v>0</v>
      </c>
      <c r="L1042" t="n">
        <v>0</v>
      </c>
      <c r="M1042" t="n">
        <v>0</v>
      </c>
      <c r="N1042" t="n">
        <v>0</v>
      </c>
      <c r="O1042" t="n">
        <v>0</v>
      </c>
      <c r="P1042" t="n">
        <v>0</v>
      </c>
      <c r="Q1042" t="n">
        <v>0</v>
      </c>
      <c r="R1042" s="2" t="inlineStr"/>
    </row>
    <row r="1043" ht="15" customHeight="1">
      <c r="A1043" t="inlineStr">
        <is>
          <t>A 48198-2024</t>
        </is>
      </c>
      <c r="B1043" s="1" t="n">
        <v>45590.31899305555</v>
      </c>
      <c r="C1043" s="1" t="n">
        <v>46076</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18389-2021</t>
        </is>
      </c>
      <c r="B1044" s="1" t="n">
        <v>44305</v>
      </c>
      <c r="C1044" s="1" t="n">
        <v>46076</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1403-2026</t>
        </is>
      </c>
      <c r="B1045" s="1" t="n">
        <v>46031.64429398148</v>
      </c>
      <c r="C1045" s="1" t="n">
        <v>46076</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9795-2026</t>
        </is>
      </c>
      <c r="B1046" s="1" t="n">
        <v>46071</v>
      </c>
      <c r="C1046" s="1" t="n">
        <v>46076</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63323-2023</t>
        </is>
      </c>
      <c r="B1047" s="1" t="n">
        <v>45274</v>
      </c>
      <c r="C1047" s="1" t="n">
        <v>46076</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36926-2023</t>
        </is>
      </c>
      <c r="B1048" s="1" t="n">
        <v>45154</v>
      </c>
      <c r="C1048" s="1" t="n">
        <v>46076</v>
      </c>
      <c r="D1048" t="inlineStr">
        <is>
          <t>JÄMTLANDS LÄN</t>
        </is>
      </c>
      <c r="E1048" t="inlineStr">
        <is>
          <t>HÄRJEDALEN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5623-2026</t>
        </is>
      </c>
      <c r="B1049" s="1" t="n">
        <v>46051</v>
      </c>
      <c r="C1049" s="1" t="n">
        <v>46076</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9791-2026</t>
        </is>
      </c>
      <c r="B1050" s="1" t="n">
        <v>46071</v>
      </c>
      <c r="C1050" s="1" t="n">
        <v>46076</v>
      </c>
      <c r="D1050" t="inlineStr">
        <is>
          <t>JÄMTLANDS LÄN</t>
        </is>
      </c>
      <c r="E1050" t="inlineStr">
        <is>
          <t>HÄRJEDALEN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11096-2025</t>
        </is>
      </c>
      <c r="B1051" s="1" t="n">
        <v>45723.58140046296</v>
      </c>
      <c r="C1051" s="1" t="n">
        <v>46076</v>
      </c>
      <c r="D1051" t="inlineStr">
        <is>
          <t>JÄMTLANDS LÄN</t>
        </is>
      </c>
      <c r="E1051" t="inlineStr">
        <is>
          <t>HÄRJEDALEN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23185-2023</t>
        </is>
      </c>
      <c r="B1052" s="1" t="n">
        <v>45075.59148148148</v>
      </c>
      <c r="C1052" s="1" t="n">
        <v>46076</v>
      </c>
      <c r="D1052" t="inlineStr">
        <is>
          <t>JÄMTLANDS LÄN</t>
        </is>
      </c>
      <c r="E1052" t="inlineStr">
        <is>
          <t>HÄRJEDALEN</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4590-2025</t>
        </is>
      </c>
      <c r="B1053" s="1" t="n">
        <v>45687.53689814815</v>
      </c>
      <c r="C1053" s="1" t="n">
        <v>46076</v>
      </c>
      <c r="D1053" t="inlineStr">
        <is>
          <t>JÄMTLANDS LÄN</t>
        </is>
      </c>
      <c r="E1053" t="inlineStr">
        <is>
          <t>HÄRJEDALEN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5098-2025</t>
        </is>
      </c>
      <c r="B1054" s="1" t="n">
        <v>45691</v>
      </c>
      <c r="C1054" s="1" t="n">
        <v>46076</v>
      </c>
      <c r="D1054" t="inlineStr">
        <is>
          <t>JÄMTLANDS LÄN</t>
        </is>
      </c>
      <c r="E1054" t="inlineStr">
        <is>
          <t>HÄRJEDALEN</t>
        </is>
      </c>
      <c r="F1054" t="inlineStr">
        <is>
          <t>Holmen skog AB</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5102-2025</t>
        </is>
      </c>
      <c r="B1055" s="1" t="n">
        <v>45691</v>
      </c>
      <c r="C1055" s="1" t="n">
        <v>46076</v>
      </c>
      <c r="D1055" t="inlineStr">
        <is>
          <t>JÄMTLANDS LÄN</t>
        </is>
      </c>
      <c r="E1055" t="inlineStr">
        <is>
          <t>HÄRJEDALEN</t>
        </is>
      </c>
      <c r="F1055" t="inlineStr">
        <is>
          <t>Holmen skog AB</t>
        </is>
      </c>
      <c r="G1055" t="n">
        <v>19.3</v>
      </c>
      <c r="H1055" t="n">
        <v>0</v>
      </c>
      <c r="I1055" t="n">
        <v>0</v>
      </c>
      <c r="J1055" t="n">
        <v>0</v>
      </c>
      <c r="K1055" t="n">
        <v>0</v>
      </c>
      <c r="L1055" t="n">
        <v>0</v>
      </c>
      <c r="M1055" t="n">
        <v>0</v>
      </c>
      <c r="N1055" t="n">
        <v>0</v>
      </c>
      <c r="O1055" t="n">
        <v>0</v>
      </c>
      <c r="P1055" t="n">
        <v>0</v>
      </c>
      <c r="Q1055" t="n">
        <v>0</v>
      </c>
      <c r="R1055" s="2" t="inlineStr"/>
    </row>
    <row r="1056" ht="15" customHeight="1">
      <c r="A1056" t="inlineStr">
        <is>
          <t>A 31764-2024</t>
        </is>
      </c>
      <c r="B1056" s="1" t="n">
        <v>45509</v>
      </c>
      <c r="C1056" s="1" t="n">
        <v>46076</v>
      </c>
      <c r="D1056" t="inlineStr">
        <is>
          <t>JÄMTLANDS LÄN</t>
        </is>
      </c>
      <c r="E1056" t="inlineStr">
        <is>
          <t>HÄRJEDALEN</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56906-2023</t>
        </is>
      </c>
      <c r="B1057" s="1" t="n">
        <v>45244</v>
      </c>
      <c r="C1057" s="1" t="n">
        <v>46076</v>
      </c>
      <c r="D1057" t="inlineStr">
        <is>
          <t>JÄMTLANDS LÄN</t>
        </is>
      </c>
      <c r="E1057" t="inlineStr">
        <is>
          <t>HÄRJEDALEN</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48818-2024</t>
        </is>
      </c>
      <c r="B1058" s="1" t="n">
        <v>45593.67809027778</v>
      </c>
      <c r="C1058" s="1" t="n">
        <v>46076</v>
      </c>
      <c r="D1058" t="inlineStr">
        <is>
          <t>JÄMTLANDS LÄN</t>
        </is>
      </c>
      <c r="E1058" t="inlineStr">
        <is>
          <t>HÄRJEDALEN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40567-2023</t>
        </is>
      </c>
      <c r="B1059" s="1" t="n">
        <v>45170.46134259259</v>
      </c>
      <c r="C1059" s="1" t="n">
        <v>46076</v>
      </c>
      <c r="D1059" t="inlineStr">
        <is>
          <t>JÄMTLANDS LÄN</t>
        </is>
      </c>
      <c r="E1059" t="inlineStr">
        <is>
          <t>HÄRJEDALEN</t>
        </is>
      </c>
      <c r="F1059" t="inlineStr">
        <is>
          <t>Holmen skog AB</t>
        </is>
      </c>
      <c r="G1059" t="n">
        <v>19.4</v>
      </c>
      <c r="H1059" t="n">
        <v>0</v>
      </c>
      <c r="I1059" t="n">
        <v>0</v>
      </c>
      <c r="J1059" t="n">
        <v>0</v>
      </c>
      <c r="K1059" t="n">
        <v>0</v>
      </c>
      <c r="L1059" t="n">
        <v>0</v>
      </c>
      <c r="M1059" t="n">
        <v>0</v>
      </c>
      <c r="N1059" t="n">
        <v>0</v>
      </c>
      <c r="O1059" t="n">
        <v>0</v>
      </c>
      <c r="P1059" t="n">
        <v>0</v>
      </c>
      <c r="Q1059" t="n">
        <v>0</v>
      </c>
      <c r="R1059" s="2" t="inlineStr"/>
    </row>
    <row r="1060" ht="15" customHeight="1">
      <c r="A1060" t="inlineStr">
        <is>
          <t>A 29791-2024</t>
        </is>
      </c>
      <c r="B1060" s="1" t="n">
        <v>45485</v>
      </c>
      <c r="C1060" s="1" t="n">
        <v>46076</v>
      </c>
      <c r="D1060" t="inlineStr">
        <is>
          <t>JÄMTLANDS LÄN</t>
        </is>
      </c>
      <c r="E1060" t="inlineStr">
        <is>
          <t>HÄRJEDALEN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13328-2025</t>
        </is>
      </c>
      <c r="B1061" s="1" t="n">
        <v>45735.60342592592</v>
      </c>
      <c r="C1061" s="1" t="n">
        <v>46076</v>
      </c>
      <c r="D1061" t="inlineStr">
        <is>
          <t>JÄMTLANDS LÄN</t>
        </is>
      </c>
      <c r="E1061" t="inlineStr">
        <is>
          <t>HÄRJEDALEN</t>
        </is>
      </c>
      <c r="G1061" t="n">
        <v>30.8</v>
      </c>
      <c r="H1061" t="n">
        <v>0</v>
      </c>
      <c r="I1061" t="n">
        <v>0</v>
      </c>
      <c r="J1061" t="n">
        <v>0</v>
      </c>
      <c r="K1061" t="n">
        <v>0</v>
      </c>
      <c r="L1061" t="n">
        <v>0</v>
      </c>
      <c r="M1061" t="n">
        <v>0</v>
      </c>
      <c r="N1061" t="n">
        <v>0</v>
      </c>
      <c r="O1061" t="n">
        <v>0</v>
      </c>
      <c r="P1061" t="n">
        <v>0</v>
      </c>
      <c r="Q1061" t="n">
        <v>0</v>
      </c>
      <c r="R1061" s="2" t="inlineStr"/>
    </row>
    <row r="1062" ht="15" customHeight="1">
      <c r="A1062" t="inlineStr">
        <is>
          <t>A 24608-2024</t>
        </is>
      </c>
      <c r="B1062" s="1" t="n">
        <v>45460.47969907407</v>
      </c>
      <c r="C1062" s="1" t="n">
        <v>46076</v>
      </c>
      <c r="D1062" t="inlineStr">
        <is>
          <t>JÄMTLANDS LÄN</t>
        </is>
      </c>
      <c r="E1062" t="inlineStr">
        <is>
          <t>HÄRJEDALEN</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24613-2024</t>
        </is>
      </c>
      <c r="B1063" s="1" t="n">
        <v>45460.48582175926</v>
      </c>
      <c r="C1063" s="1" t="n">
        <v>46076</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28686-2024</t>
        </is>
      </c>
      <c r="B1064" s="1" t="n">
        <v>45478.48700231482</v>
      </c>
      <c r="C1064" s="1" t="n">
        <v>46076</v>
      </c>
      <c r="D1064" t="inlineStr">
        <is>
          <t>JÄMTLANDS LÄN</t>
        </is>
      </c>
      <c r="E1064" t="inlineStr">
        <is>
          <t>HÄRJEDALEN</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53993-2023</t>
        </is>
      </c>
      <c r="B1065" s="1" t="n">
        <v>45231</v>
      </c>
      <c r="C1065" s="1" t="n">
        <v>46076</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7371-2024</t>
        </is>
      </c>
      <c r="B1066" s="1" t="n">
        <v>45345.4940625</v>
      </c>
      <c r="C1066" s="1" t="n">
        <v>46076</v>
      </c>
      <c r="D1066" t="inlineStr">
        <is>
          <t>JÄMTLANDS LÄN</t>
        </is>
      </c>
      <c r="E1066" t="inlineStr">
        <is>
          <t>HÄRJEDALEN</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7368-2024</t>
        </is>
      </c>
      <c r="B1067" s="1" t="n">
        <v>45345.48181712963</v>
      </c>
      <c r="C1067" s="1" t="n">
        <v>46076</v>
      </c>
      <c r="D1067" t="inlineStr">
        <is>
          <t>JÄMTLANDS LÄN</t>
        </is>
      </c>
      <c r="E1067" t="inlineStr">
        <is>
          <t>HÄRJEDALEN</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21011-2024</t>
        </is>
      </c>
      <c r="B1068" s="1" t="n">
        <v>45439.62893518519</v>
      </c>
      <c r="C1068" s="1" t="n">
        <v>46076</v>
      </c>
      <c r="D1068" t="inlineStr">
        <is>
          <t>JÄMTLANDS LÄN</t>
        </is>
      </c>
      <c r="E1068" t="inlineStr">
        <is>
          <t>HÄRJEDALEN</t>
        </is>
      </c>
      <c r="G1068" t="n">
        <v>92.40000000000001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19915-2023</t>
        </is>
      </c>
      <c r="B1069" s="1" t="n">
        <v>45054</v>
      </c>
      <c r="C1069" s="1" t="n">
        <v>46076</v>
      </c>
      <c r="D1069" t="inlineStr">
        <is>
          <t>JÄMTLANDS LÄN</t>
        </is>
      </c>
      <c r="E1069" t="inlineStr">
        <is>
          <t>HÄRJEDALEN</t>
        </is>
      </c>
      <c r="F1069" t="inlineStr">
        <is>
          <t>Sveaskog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35532-2021</t>
        </is>
      </c>
      <c r="B1070" s="1" t="n">
        <v>44385</v>
      </c>
      <c r="C1070" s="1" t="n">
        <v>46076</v>
      </c>
      <c r="D1070" t="inlineStr">
        <is>
          <t>JÄMTLANDS LÄN</t>
        </is>
      </c>
      <c r="E1070" t="inlineStr">
        <is>
          <t>HÄRJEDALEN</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49689-2022</t>
        </is>
      </c>
      <c r="B1071" s="1" t="n">
        <v>44862</v>
      </c>
      <c r="C1071" s="1" t="n">
        <v>46076</v>
      </c>
      <c r="D1071" t="inlineStr">
        <is>
          <t>JÄMTLANDS LÄN</t>
        </is>
      </c>
      <c r="E1071" t="inlineStr">
        <is>
          <t>HÄRJEDALEN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7384-2025</t>
        </is>
      </c>
      <c r="B1072" s="1" t="n">
        <v>45705.32456018519</v>
      </c>
      <c r="C1072" s="1" t="n">
        <v>46076</v>
      </c>
      <c r="D1072" t="inlineStr">
        <is>
          <t>JÄMTLANDS LÄN</t>
        </is>
      </c>
      <c r="E1072" t="inlineStr">
        <is>
          <t>HÄRJEDALEN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65150-2023</t>
        </is>
      </c>
      <c r="B1073" s="1" t="n">
        <v>45288.58685185185</v>
      </c>
      <c r="C1073" s="1" t="n">
        <v>46076</v>
      </c>
      <c r="D1073" t="inlineStr">
        <is>
          <t>JÄMTLANDS LÄN</t>
        </is>
      </c>
      <c r="E1073" t="inlineStr">
        <is>
          <t>HÄRJEDALEN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22728-2023</t>
        </is>
      </c>
      <c r="B1074" s="1" t="n">
        <v>45071.92488425926</v>
      </c>
      <c r="C1074" s="1" t="n">
        <v>46076</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55931-2022</t>
        </is>
      </c>
      <c r="B1075" s="1" t="n">
        <v>44886</v>
      </c>
      <c r="C1075" s="1" t="n">
        <v>46076</v>
      </c>
      <c r="D1075" t="inlineStr">
        <is>
          <t>JÄMTLANDS LÄN</t>
        </is>
      </c>
      <c r="E1075" t="inlineStr">
        <is>
          <t>HÄRJEDALEN</t>
        </is>
      </c>
      <c r="F1075" t="inlineStr">
        <is>
          <t>Övriga statliga verk och myndigheter</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48051-2023</t>
        </is>
      </c>
      <c r="B1076" s="1" t="n">
        <v>45204</v>
      </c>
      <c r="C1076" s="1" t="n">
        <v>46076</v>
      </c>
      <c r="D1076" t="inlineStr">
        <is>
          <t>JÄMTLANDS LÄN</t>
        </is>
      </c>
      <c r="E1076" t="inlineStr">
        <is>
          <t>HÄRJEDALEN</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18646-2023</t>
        </is>
      </c>
      <c r="B1077" s="1" t="n">
        <v>45041</v>
      </c>
      <c r="C1077" s="1" t="n">
        <v>46076</v>
      </c>
      <c r="D1077" t="inlineStr">
        <is>
          <t>JÄMTLANDS LÄN</t>
        </is>
      </c>
      <c r="E1077" t="inlineStr">
        <is>
          <t>HÄRJEDALEN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57202-2023</t>
        </is>
      </c>
      <c r="B1078" s="1" t="n">
        <v>45245</v>
      </c>
      <c r="C1078" s="1" t="n">
        <v>46076</v>
      </c>
      <c r="D1078" t="inlineStr">
        <is>
          <t>JÄMTLANDS LÄN</t>
        </is>
      </c>
      <c r="E1078" t="inlineStr">
        <is>
          <t>HÄRJEDALEN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4879-2025</t>
        </is>
      </c>
      <c r="B1079" s="1" t="n">
        <v>45688.6769212963</v>
      </c>
      <c r="C1079" s="1" t="n">
        <v>46076</v>
      </c>
      <c r="D1079" t="inlineStr">
        <is>
          <t>JÄMTLANDS LÄN</t>
        </is>
      </c>
      <c r="E1079" t="inlineStr">
        <is>
          <t>HÄRJEDALEN</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46076</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13723-2024</t>
        </is>
      </c>
      <c r="B1081" s="1" t="n">
        <v>45390</v>
      </c>
      <c r="C1081" s="1" t="n">
        <v>46076</v>
      </c>
      <c r="D1081" t="inlineStr">
        <is>
          <t>JÄMTLANDS LÄN</t>
        </is>
      </c>
      <c r="E1081" t="inlineStr">
        <is>
          <t>HÄRJEDALEN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16151-2024</t>
        </is>
      </c>
      <c r="B1082" s="1" t="n">
        <v>45406</v>
      </c>
      <c r="C1082" s="1" t="n">
        <v>46076</v>
      </c>
      <c r="D1082" t="inlineStr">
        <is>
          <t>JÄMTLANDS LÄN</t>
        </is>
      </c>
      <c r="E1082" t="inlineStr">
        <is>
          <t>HÄRJEDALEN</t>
        </is>
      </c>
      <c r="F1082" t="inlineStr">
        <is>
          <t>Holmen skog AB</t>
        </is>
      </c>
      <c r="G1082" t="n">
        <v>21.6</v>
      </c>
      <c r="H1082" t="n">
        <v>0</v>
      </c>
      <c r="I1082" t="n">
        <v>0</v>
      </c>
      <c r="J1082" t="n">
        <v>0</v>
      </c>
      <c r="K1082" t="n">
        <v>0</v>
      </c>
      <c r="L1082" t="n">
        <v>0</v>
      </c>
      <c r="M1082" t="n">
        <v>0</v>
      </c>
      <c r="N1082" t="n">
        <v>0</v>
      </c>
      <c r="O1082" t="n">
        <v>0</v>
      </c>
      <c r="P1082" t="n">
        <v>0</v>
      </c>
      <c r="Q1082" t="n">
        <v>0</v>
      </c>
      <c r="R1082" s="2" t="inlineStr"/>
    </row>
    <row r="1083" ht="15" customHeight="1">
      <c r="A1083" t="inlineStr">
        <is>
          <t>A 20342-2025</t>
        </is>
      </c>
      <c r="B1083" s="1" t="n">
        <v>45775.36589120371</v>
      </c>
      <c r="C1083" s="1" t="n">
        <v>46076</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41058-2023</t>
        </is>
      </c>
      <c r="B1084" s="1" t="n">
        <v>45173</v>
      </c>
      <c r="C1084" s="1" t="n">
        <v>46076</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12484-2023</t>
        </is>
      </c>
      <c r="B1085" s="1" t="n">
        <v>44998</v>
      </c>
      <c r="C1085" s="1" t="n">
        <v>46076</v>
      </c>
      <c r="D1085" t="inlineStr">
        <is>
          <t>JÄMTLANDS LÄN</t>
        </is>
      </c>
      <c r="E1085" t="inlineStr">
        <is>
          <t>HÄRJEDALEN</t>
        </is>
      </c>
      <c r="G1085" t="n">
        <v>43.1</v>
      </c>
      <c r="H1085" t="n">
        <v>0</v>
      </c>
      <c r="I1085" t="n">
        <v>0</v>
      </c>
      <c r="J1085" t="n">
        <v>0</v>
      </c>
      <c r="K1085" t="n">
        <v>0</v>
      </c>
      <c r="L1085" t="n">
        <v>0</v>
      </c>
      <c r="M1085" t="n">
        <v>0</v>
      </c>
      <c r="N1085" t="n">
        <v>0</v>
      </c>
      <c r="O1085" t="n">
        <v>0</v>
      </c>
      <c r="P1085" t="n">
        <v>0</v>
      </c>
      <c r="Q1085" t="n">
        <v>0</v>
      </c>
      <c r="R1085" s="2" t="inlineStr"/>
    </row>
    <row r="1086" ht="15" customHeight="1">
      <c r="A1086" t="inlineStr">
        <is>
          <t>A 45123-2024</t>
        </is>
      </c>
      <c r="B1086" s="1" t="n">
        <v>45575.6125925926</v>
      </c>
      <c r="C1086" s="1" t="n">
        <v>46076</v>
      </c>
      <c r="D1086" t="inlineStr">
        <is>
          <t>JÄMTLANDS LÄN</t>
        </is>
      </c>
      <c r="E1086" t="inlineStr">
        <is>
          <t>HÄRJEDALEN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7622-2025</t>
        </is>
      </c>
      <c r="B1087" s="1" t="n">
        <v>45705.72106481482</v>
      </c>
      <c r="C1087" s="1" t="n">
        <v>46076</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21767-2022</t>
        </is>
      </c>
      <c r="B1088" s="1" t="n">
        <v>44708.45504629629</v>
      </c>
      <c r="C1088" s="1" t="n">
        <v>46076</v>
      </c>
      <c r="D1088" t="inlineStr">
        <is>
          <t>JÄMTLANDS LÄN</t>
        </is>
      </c>
      <c r="E1088" t="inlineStr">
        <is>
          <t>HÄRJEDALEN</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43294-2024</t>
        </is>
      </c>
      <c r="B1089" s="1" t="n">
        <v>45568</v>
      </c>
      <c r="C1089" s="1" t="n">
        <v>46076</v>
      </c>
      <c r="D1089" t="inlineStr">
        <is>
          <t>JÄMTLANDS LÄN</t>
        </is>
      </c>
      <c r="E1089" t="inlineStr">
        <is>
          <t>HÄRJEDALEN</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55736-2023</t>
        </is>
      </c>
      <c r="B1090" s="1" t="n">
        <v>45239.43173611111</v>
      </c>
      <c r="C1090" s="1" t="n">
        <v>46076</v>
      </c>
      <c r="D1090" t="inlineStr">
        <is>
          <t>JÄMTLANDS LÄN</t>
        </is>
      </c>
      <c r="E1090" t="inlineStr">
        <is>
          <t>HÄRJEDALEN</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20033-2025</t>
        </is>
      </c>
      <c r="B1091" s="1" t="n">
        <v>45772.36106481482</v>
      </c>
      <c r="C1091" s="1" t="n">
        <v>46076</v>
      </c>
      <c r="D1091" t="inlineStr">
        <is>
          <t>JÄMTLANDS LÄN</t>
        </is>
      </c>
      <c r="E1091" t="inlineStr">
        <is>
          <t>HÄRJEDALEN</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52565-2023</t>
        </is>
      </c>
      <c r="B1092" s="1" t="n">
        <v>45225.58005787037</v>
      </c>
      <c r="C1092" s="1" t="n">
        <v>46076</v>
      </c>
      <c r="D1092" t="inlineStr">
        <is>
          <t>JÄMTLANDS LÄN</t>
        </is>
      </c>
      <c r="E1092" t="inlineStr">
        <is>
          <t>HÄRJEDALEN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62590-2022</t>
        </is>
      </c>
      <c r="B1093" s="1" t="n">
        <v>44925.33584490741</v>
      </c>
      <c r="C1093" s="1" t="n">
        <v>46076</v>
      </c>
      <c r="D1093" t="inlineStr">
        <is>
          <t>JÄMTLANDS LÄN</t>
        </is>
      </c>
      <c r="E1093" t="inlineStr">
        <is>
          <t>HÄRJEDALEN</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62641-2022</t>
        </is>
      </c>
      <c r="B1094" s="1" t="n">
        <v>44925</v>
      </c>
      <c r="C1094" s="1" t="n">
        <v>46076</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19353-2023</t>
        </is>
      </c>
      <c r="B1095" s="1" t="n">
        <v>45049.59826388889</v>
      </c>
      <c r="C1095" s="1" t="n">
        <v>46076</v>
      </c>
      <c r="D1095" t="inlineStr">
        <is>
          <t>JÄMTLANDS LÄN</t>
        </is>
      </c>
      <c r="E1095" t="inlineStr">
        <is>
          <t>HÄRJEDALEN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58110-2024</t>
        </is>
      </c>
      <c r="B1096" s="1" t="n">
        <v>45632</v>
      </c>
      <c r="C1096" s="1" t="n">
        <v>46076</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58117-2024</t>
        </is>
      </c>
      <c r="B1097" s="1" t="n">
        <v>45632</v>
      </c>
      <c r="C1097" s="1" t="n">
        <v>46076</v>
      </c>
      <c r="D1097" t="inlineStr">
        <is>
          <t>JÄMTLANDS LÄN</t>
        </is>
      </c>
      <c r="E1097" t="inlineStr">
        <is>
          <t>HÄRJEDALEN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55115-2024</t>
        </is>
      </c>
      <c r="B1098" s="1" t="n">
        <v>45621</v>
      </c>
      <c r="C1098" s="1" t="n">
        <v>46076</v>
      </c>
      <c r="D1098" t="inlineStr">
        <is>
          <t>JÄMTLANDS LÄN</t>
        </is>
      </c>
      <c r="E1098" t="inlineStr">
        <is>
          <t>HÄRJEDALEN</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40569-2023</t>
        </is>
      </c>
      <c r="B1099" s="1" t="n">
        <v>45170.4643287037</v>
      </c>
      <c r="C1099" s="1" t="n">
        <v>46076</v>
      </c>
      <c r="D1099" t="inlineStr">
        <is>
          <t>JÄMTLANDS LÄN</t>
        </is>
      </c>
      <c r="E1099" t="inlineStr">
        <is>
          <t>HÄRJEDALEN</t>
        </is>
      </c>
      <c r="F1099" t="inlineStr">
        <is>
          <t>Holmen skog AB</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59125-2024</t>
        </is>
      </c>
      <c r="B1100" s="1" t="n">
        <v>45637.39587962963</v>
      </c>
      <c r="C1100" s="1" t="n">
        <v>46076</v>
      </c>
      <c r="D1100" t="inlineStr">
        <is>
          <t>JÄMTLANDS LÄN</t>
        </is>
      </c>
      <c r="E1100" t="inlineStr">
        <is>
          <t>HÄRJEDALEN</t>
        </is>
      </c>
      <c r="F1100" t="inlineStr">
        <is>
          <t>Bergvik skog väst AB</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41401-2024</t>
        </is>
      </c>
      <c r="B1101" s="1" t="n">
        <v>45560.33311342593</v>
      </c>
      <c r="C1101" s="1" t="n">
        <v>46076</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58105-2024</t>
        </is>
      </c>
      <c r="B1102" s="1" t="n">
        <v>45632</v>
      </c>
      <c r="C1102" s="1" t="n">
        <v>46076</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20206-2022</t>
        </is>
      </c>
      <c r="B1103" s="1" t="n">
        <v>44698</v>
      </c>
      <c r="C1103" s="1" t="n">
        <v>46076</v>
      </c>
      <c r="D1103" t="inlineStr">
        <is>
          <t>JÄMTLANDS LÄN</t>
        </is>
      </c>
      <c r="E1103" t="inlineStr">
        <is>
          <t>HÄRJEDALEN</t>
        </is>
      </c>
      <c r="F1103" t="inlineStr">
        <is>
          <t>Bergvik skog väst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51315-2024</t>
        </is>
      </c>
      <c r="B1104" s="1" t="n">
        <v>45604.32543981481</v>
      </c>
      <c r="C1104" s="1" t="n">
        <v>46076</v>
      </c>
      <c r="D1104" t="inlineStr">
        <is>
          <t>JÄMTLANDS LÄN</t>
        </is>
      </c>
      <c r="E1104" t="inlineStr">
        <is>
          <t>HÄRJEDALEN</t>
        </is>
      </c>
      <c r="F1104" t="inlineStr">
        <is>
          <t>Holmen skog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22499-2024</t>
        </is>
      </c>
      <c r="B1105" s="1" t="n">
        <v>45447.35144675926</v>
      </c>
      <c r="C1105" s="1" t="n">
        <v>46076</v>
      </c>
      <c r="D1105" t="inlineStr">
        <is>
          <t>JÄMTLANDS LÄN</t>
        </is>
      </c>
      <c r="E1105" t="inlineStr">
        <is>
          <t>HÄRJEDALEN</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57755-2021</t>
        </is>
      </c>
      <c r="B1106" s="1" t="n">
        <v>44484.55535879629</v>
      </c>
      <c r="C1106" s="1" t="n">
        <v>46076</v>
      </c>
      <c r="D1106" t="inlineStr">
        <is>
          <t>JÄMTLANDS LÄN</t>
        </is>
      </c>
      <c r="E1106" t="inlineStr">
        <is>
          <t>HÄRJEDALEN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55463-2023</t>
        </is>
      </c>
      <c r="B1107" s="1" t="n">
        <v>45238.46430555556</v>
      </c>
      <c r="C1107" s="1" t="n">
        <v>46076</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31527-2024</t>
        </is>
      </c>
      <c r="B1108" s="1" t="n">
        <v>45505</v>
      </c>
      <c r="C1108" s="1" t="n">
        <v>46076</v>
      </c>
      <c r="D1108" t="inlineStr">
        <is>
          <t>JÄMTLANDS LÄN</t>
        </is>
      </c>
      <c r="E1108" t="inlineStr">
        <is>
          <t>HÄRJEDALEN</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59279-2023</t>
        </is>
      </c>
      <c r="B1109" s="1" t="n">
        <v>45253.55737268519</v>
      </c>
      <c r="C1109" s="1" t="n">
        <v>46076</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60062-2023</t>
        </is>
      </c>
      <c r="B1110" s="1" t="n">
        <v>45257</v>
      </c>
      <c r="C1110" s="1" t="n">
        <v>46076</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17885-2025</t>
        </is>
      </c>
      <c r="B1111" s="1" t="n">
        <v>45758.66108796297</v>
      </c>
      <c r="C1111" s="1" t="n">
        <v>46076</v>
      </c>
      <c r="D1111" t="inlineStr">
        <is>
          <t>JÄMTLANDS LÄN</t>
        </is>
      </c>
      <c r="E1111" t="inlineStr">
        <is>
          <t>HÄRJEDALEN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17895-2025</t>
        </is>
      </c>
      <c r="B1112" s="1" t="n">
        <v>45758.69123842593</v>
      </c>
      <c r="C1112" s="1" t="n">
        <v>46076</v>
      </c>
      <c r="D1112" t="inlineStr">
        <is>
          <t>JÄMTLANDS LÄN</t>
        </is>
      </c>
      <c r="E1112" t="inlineStr">
        <is>
          <t>HÄRJEDALEN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4837-2025</t>
        </is>
      </c>
      <c r="B1113" s="1" t="n">
        <v>45688.67145833333</v>
      </c>
      <c r="C1113" s="1" t="n">
        <v>46076</v>
      </c>
      <c r="D1113" t="inlineStr">
        <is>
          <t>JÄMTLANDS LÄN</t>
        </is>
      </c>
      <c r="E1113" t="inlineStr">
        <is>
          <t>HÄRJEDALEN</t>
        </is>
      </c>
      <c r="F1113" t="inlineStr">
        <is>
          <t>SCA</t>
        </is>
      </c>
      <c r="G1113" t="n">
        <v>21.9</v>
      </c>
      <c r="H1113" t="n">
        <v>0</v>
      </c>
      <c r="I1113" t="n">
        <v>0</v>
      </c>
      <c r="J1113" t="n">
        <v>0</v>
      </c>
      <c r="K1113" t="n">
        <v>0</v>
      </c>
      <c r="L1113" t="n">
        <v>0</v>
      </c>
      <c r="M1113" t="n">
        <v>0</v>
      </c>
      <c r="N1113" t="n">
        <v>0</v>
      </c>
      <c r="O1113" t="n">
        <v>0</v>
      </c>
      <c r="P1113" t="n">
        <v>0</v>
      </c>
      <c r="Q1113" t="n">
        <v>0</v>
      </c>
      <c r="R1113" s="2" t="inlineStr"/>
    </row>
    <row r="1114" ht="15" customHeight="1">
      <c r="A1114" t="inlineStr">
        <is>
          <t>A 16014-2022</t>
        </is>
      </c>
      <c r="B1114" s="1" t="n">
        <v>44665</v>
      </c>
      <c r="C1114" s="1" t="n">
        <v>46076</v>
      </c>
      <c r="D1114" t="inlineStr">
        <is>
          <t>JÄMTLANDS LÄN</t>
        </is>
      </c>
      <c r="E1114" t="inlineStr">
        <is>
          <t>HÄRJEDALEN</t>
        </is>
      </c>
      <c r="G1114" t="n">
        <v>38.7</v>
      </c>
      <c r="H1114" t="n">
        <v>0</v>
      </c>
      <c r="I1114" t="n">
        <v>0</v>
      </c>
      <c r="J1114" t="n">
        <v>0</v>
      </c>
      <c r="K1114" t="n">
        <v>0</v>
      </c>
      <c r="L1114" t="n">
        <v>0</v>
      </c>
      <c r="M1114" t="n">
        <v>0</v>
      </c>
      <c r="N1114" t="n">
        <v>0</v>
      </c>
      <c r="O1114" t="n">
        <v>0</v>
      </c>
      <c r="P1114" t="n">
        <v>0</v>
      </c>
      <c r="Q1114" t="n">
        <v>0</v>
      </c>
      <c r="R1114" s="2" t="inlineStr"/>
    </row>
    <row r="1115" ht="15" customHeight="1">
      <c r="A1115" t="inlineStr">
        <is>
          <t>A 10342-2023</t>
        </is>
      </c>
      <c r="B1115" s="1" t="n">
        <v>44987.35282407407</v>
      </c>
      <c r="C1115" s="1" t="n">
        <v>46076</v>
      </c>
      <c r="D1115" t="inlineStr">
        <is>
          <t>JÄMTLANDS LÄN</t>
        </is>
      </c>
      <c r="E1115" t="inlineStr">
        <is>
          <t>HÄRJEDALEN</t>
        </is>
      </c>
      <c r="F1115" t="inlineStr">
        <is>
          <t>Holmen skog AB</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19100-2025</t>
        </is>
      </c>
      <c r="B1116" s="1" t="n">
        <v>45768.29630787037</v>
      </c>
      <c r="C1116" s="1" t="n">
        <v>46076</v>
      </c>
      <c r="D1116" t="inlineStr">
        <is>
          <t>JÄMTLANDS LÄN</t>
        </is>
      </c>
      <c r="E1116" t="inlineStr">
        <is>
          <t>HÄRJEDALEN</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19106-2025</t>
        </is>
      </c>
      <c r="B1117" s="1" t="n">
        <v>45768.30954861111</v>
      </c>
      <c r="C1117" s="1" t="n">
        <v>46076</v>
      </c>
      <c r="D1117" t="inlineStr">
        <is>
          <t>JÄMTLANDS LÄN</t>
        </is>
      </c>
      <c r="E1117" t="inlineStr">
        <is>
          <t>HÄRJEDALEN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16304-2025</t>
        </is>
      </c>
      <c r="B1118" s="1" t="n">
        <v>45751.34636574074</v>
      </c>
      <c r="C1118" s="1" t="n">
        <v>46076</v>
      </c>
      <c r="D1118" t="inlineStr">
        <is>
          <t>JÄMTLANDS LÄN</t>
        </is>
      </c>
      <c r="E1118" t="inlineStr">
        <is>
          <t>HÄRJEDALEN</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12569-2025</t>
        </is>
      </c>
      <c r="B1119" s="1" t="n">
        <v>45731.69629629629</v>
      </c>
      <c r="C1119" s="1" t="n">
        <v>46076</v>
      </c>
      <c r="D1119" t="inlineStr">
        <is>
          <t>JÄMTLANDS LÄN</t>
        </is>
      </c>
      <c r="E1119" t="inlineStr">
        <is>
          <t>HÄRJEDALEN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18542-2025</t>
        </is>
      </c>
      <c r="B1120" s="1" t="n">
        <v>45763.4178587963</v>
      </c>
      <c r="C1120" s="1" t="n">
        <v>46076</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31783-2024</t>
        </is>
      </c>
      <c r="B1121" s="1" t="n">
        <v>45509</v>
      </c>
      <c r="C1121" s="1" t="n">
        <v>46076</v>
      </c>
      <c r="D1121" t="inlineStr">
        <is>
          <t>JÄMTLANDS LÄN</t>
        </is>
      </c>
      <c r="E1121" t="inlineStr">
        <is>
          <t>HÄRJEDALEN</t>
        </is>
      </c>
      <c r="F1121" t="inlineStr">
        <is>
          <t>Övriga statliga verk och myndigheter</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46076</v>
      </c>
      <c r="D1122" t="inlineStr">
        <is>
          <t>JÄMTLANDS LÄN</t>
        </is>
      </c>
      <c r="E1122" t="inlineStr">
        <is>
          <t>HÄRJEDALEN</t>
        </is>
      </c>
      <c r="G1122" t="n">
        <v>60.5</v>
      </c>
      <c r="H1122" t="n">
        <v>0</v>
      </c>
      <c r="I1122" t="n">
        <v>0</v>
      </c>
      <c r="J1122" t="n">
        <v>0</v>
      </c>
      <c r="K1122" t="n">
        <v>0</v>
      </c>
      <c r="L1122" t="n">
        <v>0</v>
      </c>
      <c r="M1122" t="n">
        <v>0</v>
      </c>
      <c r="N1122" t="n">
        <v>0</v>
      </c>
      <c r="O1122" t="n">
        <v>0</v>
      </c>
      <c r="P1122" t="n">
        <v>0</v>
      </c>
      <c r="Q1122" t="n">
        <v>0</v>
      </c>
      <c r="R1122" s="2" t="inlineStr"/>
    </row>
    <row r="1123" ht="15" customHeight="1">
      <c r="A1123" t="inlineStr">
        <is>
          <t>A 58106-2024</t>
        </is>
      </c>
      <c r="B1123" s="1" t="n">
        <v>45632</v>
      </c>
      <c r="C1123" s="1" t="n">
        <v>46076</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10536-2021</t>
        </is>
      </c>
      <c r="B1124" s="1" t="n">
        <v>44258</v>
      </c>
      <c r="C1124" s="1" t="n">
        <v>46076</v>
      </c>
      <c r="D1124" t="inlineStr">
        <is>
          <t>JÄMTLANDS LÄN</t>
        </is>
      </c>
      <c r="E1124" t="inlineStr">
        <is>
          <t>HÄRJEDALEN</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62639-2022</t>
        </is>
      </c>
      <c r="B1125" s="1" t="n">
        <v>44925</v>
      </c>
      <c r="C1125" s="1" t="n">
        <v>46076</v>
      </c>
      <c r="D1125" t="inlineStr">
        <is>
          <t>JÄMTLANDS LÄN</t>
        </is>
      </c>
      <c r="E1125" t="inlineStr">
        <is>
          <t>HÄRJEDALEN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46076</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12677-2025</t>
        </is>
      </c>
      <c r="B1127" s="1" t="n">
        <v>45733.43663194445</v>
      </c>
      <c r="C1127" s="1" t="n">
        <v>46076</v>
      </c>
      <c r="D1127" t="inlineStr">
        <is>
          <t>JÄMTLANDS LÄN</t>
        </is>
      </c>
      <c r="E1127" t="inlineStr">
        <is>
          <t>HÄRJEDALEN</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62719-2022</t>
        </is>
      </c>
      <c r="B1128" s="1" t="n">
        <v>44925</v>
      </c>
      <c r="C1128" s="1" t="n">
        <v>46076</v>
      </c>
      <c r="D1128" t="inlineStr">
        <is>
          <t>JÄMTLANDS LÄN</t>
        </is>
      </c>
      <c r="E1128" t="inlineStr">
        <is>
          <t>HÄRJEDALEN</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49319-2024</t>
        </is>
      </c>
      <c r="B1129" s="1" t="n">
        <v>45595.5666550926</v>
      </c>
      <c r="C1129" s="1" t="n">
        <v>46076</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20341-2025</t>
        </is>
      </c>
      <c r="B1130" s="1" t="n">
        <v>45775.36587962963</v>
      </c>
      <c r="C1130" s="1" t="n">
        <v>46076</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58446-2024</t>
        </is>
      </c>
      <c r="B1131" s="1" t="n">
        <v>45635.33439814814</v>
      </c>
      <c r="C1131" s="1" t="n">
        <v>46076</v>
      </c>
      <c r="D1131" t="inlineStr">
        <is>
          <t>JÄMTLANDS LÄN</t>
        </is>
      </c>
      <c r="E1131" t="inlineStr">
        <is>
          <t>HÄRJEDALEN</t>
        </is>
      </c>
      <c r="F1131" t="inlineStr">
        <is>
          <t>Bergvik skog väst AB</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69271-2021</t>
        </is>
      </c>
      <c r="B1132" s="1" t="n">
        <v>44531.43927083333</v>
      </c>
      <c r="C1132" s="1" t="n">
        <v>46076</v>
      </c>
      <c r="D1132" t="inlineStr">
        <is>
          <t>JÄMTLANDS LÄN</t>
        </is>
      </c>
      <c r="E1132" t="inlineStr">
        <is>
          <t>HÄRJEDALEN</t>
        </is>
      </c>
      <c r="F1132" t="inlineStr">
        <is>
          <t>Bergvik skog väst AB</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44819-2024</t>
        </is>
      </c>
      <c r="B1133" s="1" t="n">
        <v>45574.66106481481</v>
      </c>
      <c r="C1133" s="1" t="n">
        <v>46076</v>
      </c>
      <c r="D1133" t="inlineStr">
        <is>
          <t>JÄMTLANDS LÄN</t>
        </is>
      </c>
      <c r="E1133" t="inlineStr">
        <is>
          <t>HÄRJEDALEN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44967-2024</t>
        </is>
      </c>
      <c r="B1134" s="1" t="n">
        <v>45575</v>
      </c>
      <c r="C1134" s="1" t="n">
        <v>46076</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32910-2022</t>
        </is>
      </c>
      <c r="B1135" s="1" t="n">
        <v>44784.60677083334</v>
      </c>
      <c r="C1135" s="1" t="n">
        <v>46076</v>
      </c>
      <c r="D1135" t="inlineStr">
        <is>
          <t>JÄMTLANDS LÄN</t>
        </is>
      </c>
      <c r="E1135" t="inlineStr">
        <is>
          <t>HÄRJEDALEN</t>
        </is>
      </c>
      <c r="F1135" t="inlineStr">
        <is>
          <t>Bergvik skog väst AB</t>
        </is>
      </c>
      <c r="G1135" t="n">
        <v>14.4</v>
      </c>
      <c r="H1135" t="n">
        <v>0</v>
      </c>
      <c r="I1135" t="n">
        <v>0</v>
      </c>
      <c r="J1135" t="n">
        <v>0</v>
      </c>
      <c r="K1135" t="n">
        <v>0</v>
      </c>
      <c r="L1135" t="n">
        <v>0</v>
      </c>
      <c r="M1135" t="n">
        <v>0</v>
      </c>
      <c r="N1135" t="n">
        <v>0</v>
      </c>
      <c r="O1135" t="n">
        <v>0</v>
      </c>
      <c r="P1135" t="n">
        <v>0</v>
      </c>
      <c r="Q1135" t="n">
        <v>0</v>
      </c>
      <c r="R1135" s="2" t="inlineStr"/>
    </row>
    <row r="1136" ht="15" customHeight="1">
      <c r="A1136" t="inlineStr">
        <is>
          <t>A 31587-2024</t>
        </is>
      </c>
      <c r="B1136" s="1" t="n">
        <v>45506.36534722222</v>
      </c>
      <c r="C1136" s="1" t="n">
        <v>46076</v>
      </c>
      <c r="D1136" t="inlineStr">
        <is>
          <t>JÄMTLANDS LÄN</t>
        </is>
      </c>
      <c r="E1136" t="inlineStr">
        <is>
          <t>HÄRJEDALEN</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23186-2023</t>
        </is>
      </c>
      <c r="B1137" s="1" t="n">
        <v>45075.59358796296</v>
      </c>
      <c r="C1137" s="1" t="n">
        <v>46076</v>
      </c>
      <c r="D1137" t="inlineStr">
        <is>
          <t>JÄMTLANDS LÄN</t>
        </is>
      </c>
      <c r="E1137" t="inlineStr">
        <is>
          <t>HÄRJEDALEN</t>
        </is>
      </c>
      <c r="F1137" t="inlineStr">
        <is>
          <t>Bergvik skog väst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2106-2025</t>
        </is>
      </c>
      <c r="B1138" s="1" t="n">
        <v>45672.61748842592</v>
      </c>
      <c r="C1138" s="1" t="n">
        <v>46076</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18362-2025</t>
        </is>
      </c>
      <c r="B1139" s="1" t="n">
        <v>45762.55899305556</v>
      </c>
      <c r="C1139" s="1" t="n">
        <v>46076</v>
      </c>
      <c r="D1139" t="inlineStr">
        <is>
          <t>JÄMTLANDS LÄN</t>
        </is>
      </c>
      <c r="E1139" t="inlineStr">
        <is>
          <t>HÄRJEDALEN</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7313-2024</t>
        </is>
      </c>
      <c r="B1140" s="1" t="n">
        <v>45345.35003472222</v>
      </c>
      <c r="C1140" s="1" t="n">
        <v>46076</v>
      </c>
      <c r="D1140" t="inlineStr">
        <is>
          <t>JÄMTLANDS LÄN</t>
        </is>
      </c>
      <c r="E1140" t="inlineStr">
        <is>
          <t>HÄRJEDALEN</t>
        </is>
      </c>
      <c r="F1140" t="inlineStr">
        <is>
          <t>Holmen skog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2728-2025</t>
        </is>
      </c>
      <c r="B1141" s="1" t="n">
        <v>45677.44273148148</v>
      </c>
      <c r="C1141" s="1" t="n">
        <v>46076</v>
      </c>
      <c r="D1141" t="inlineStr">
        <is>
          <t>JÄMTLANDS LÄN</t>
        </is>
      </c>
      <c r="E1141" t="inlineStr">
        <is>
          <t>HÄRJEDALEN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61571-2022</t>
        </is>
      </c>
      <c r="B1142" s="1" t="n">
        <v>44916</v>
      </c>
      <c r="C1142" s="1" t="n">
        <v>46076</v>
      </c>
      <c r="D1142" t="inlineStr">
        <is>
          <t>JÄMTLANDS LÄN</t>
        </is>
      </c>
      <c r="E1142" t="inlineStr">
        <is>
          <t>HÄRJEDALEN</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10002-2025</t>
        </is>
      </c>
      <c r="B1143" s="1" t="n">
        <v>45719.45215277778</v>
      </c>
      <c r="C1143" s="1" t="n">
        <v>46076</v>
      </c>
      <c r="D1143" t="inlineStr">
        <is>
          <t>JÄMTLANDS LÄN</t>
        </is>
      </c>
      <c r="E1143" t="inlineStr">
        <is>
          <t>HÄRJEDALEN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55859-2024</t>
        </is>
      </c>
      <c r="B1144" s="1" t="n">
        <v>45622</v>
      </c>
      <c r="C1144" s="1" t="n">
        <v>46076</v>
      </c>
      <c r="D1144" t="inlineStr">
        <is>
          <t>JÄMTLANDS LÄN</t>
        </is>
      </c>
      <c r="E1144" t="inlineStr">
        <is>
          <t>HÄRJEDALEN</t>
        </is>
      </c>
      <c r="F1144" t="inlineStr">
        <is>
          <t>Bergvik skog väst AB</t>
        </is>
      </c>
      <c r="G1144" t="n">
        <v>28.1</v>
      </c>
      <c r="H1144" t="n">
        <v>0</v>
      </c>
      <c r="I1144" t="n">
        <v>0</v>
      </c>
      <c r="J1144" t="n">
        <v>0</v>
      </c>
      <c r="K1144" t="n">
        <v>0</v>
      </c>
      <c r="L1144" t="n">
        <v>0</v>
      </c>
      <c r="M1144" t="n">
        <v>0</v>
      </c>
      <c r="N1144" t="n">
        <v>0</v>
      </c>
      <c r="O1144" t="n">
        <v>0</v>
      </c>
      <c r="P1144" t="n">
        <v>0</v>
      </c>
      <c r="Q1144" t="n">
        <v>0</v>
      </c>
      <c r="R1144" s="2" t="inlineStr"/>
    </row>
    <row r="1145" ht="15" customHeight="1">
      <c r="A1145" t="inlineStr">
        <is>
          <t>A 36645-2024</t>
        </is>
      </c>
      <c r="B1145" s="1" t="n">
        <v>45537.60471064815</v>
      </c>
      <c r="C1145" s="1" t="n">
        <v>46076</v>
      </c>
      <c r="D1145" t="inlineStr">
        <is>
          <t>JÄMTLANDS LÄN</t>
        </is>
      </c>
      <c r="E1145" t="inlineStr">
        <is>
          <t>HÄRJEDALEN</t>
        </is>
      </c>
      <c r="F1145" t="inlineStr">
        <is>
          <t>Holmen skog AB</t>
        </is>
      </c>
      <c r="G1145" t="n">
        <v>16.8</v>
      </c>
      <c r="H1145" t="n">
        <v>0</v>
      </c>
      <c r="I1145" t="n">
        <v>0</v>
      </c>
      <c r="J1145" t="n">
        <v>0</v>
      </c>
      <c r="K1145" t="n">
        <v>0</v>
      </c>
      <c r="L1145" t="n">
        <v>0</v>
      </c>
      <c r="M1145" t="n">
        <v>0</v>
      </c>
      <c r="N1145" t="n">
        <v>0</v>
      </c>
      <c r="O1145" t="n">
        <v>0</v>
      </c>
      <c r="P1145" t="n">
        <v>0</v>
      </c>
      <c r="Q1145" t="n">
        <v>0</v>
      </c>
      <c r="R1145" s="2" t="inlineStr"/>
    </row>
    <row r="1146" ht="15" customHeight="1">
      <c r="A1146" t="inlineStr">
        <is>
          <t>A 62721-2022</t>
        </is>
      </c>
      <c r="B1146" s="1" t="n">
        <v>44925.64049768518</v>
      </c>
      <c r="C1146" s="1" t="n">
        <v>46076</v>
      </c>
      <c r="D1146" t="inlineStr">
        <is>
          <t>JÄMTLANDS LÄN</t>
        </is>
      </c>
      <c r="E1146" t="inlineStr">
        <is>
          <t>HÄRJEDALEN</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59946-2024</t>
        </is>
      </c>
      <c r="B1147" s="1" t="n">
        <v>45642.33616898148</v>
      </c>
      <c r="C1147" s="1" t="n">
        <v>46076</v>
      </c>
      <c r="D1147" t="inlineStr">
        <is>
          <t>JÄMTLANDS LÄN</t>
        </is>
      </c>
      <c r="E1147" t="inlineStr">
        <is>
          <t>HÄRJEDALEN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11877-2025</t>
        </is>
      </c>
      <c r="B1148" s="1" t="n">
        <v>45728.44329861111</v>
      </c>
      <c r="C1148" s="1" t="n">
        <v>46076</v>
      </c>
      <c r="D1148" t="inlineStr">
        <is>
          <t>JÄMTLANDS LÄN</t>
        </is>
      </c>
      <c r="E1148" t="inlineStr">
        <is>
          <t>HÄRJEDALEN</t>
        </is>
      </c>
      <c r="F1148" t="inlineStr">
        <is>
          <t>Bergvik skog väst AB</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24426-2022</t>
        </is>
      </c>
      <c r="B1149" s="1" t="n">
        <v>44726</v>
      </c>
      <c r="C1149" s="1" t="n">
        <v>46076</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11917-2025</t>
        </is>
      </c>
      <c r="B1150" s="1" t="n">
        <v>45728.49267361111</v>
      </c>
      <c r="C1150" s="1" t="n">
        <v>46076</v>
      </c>
      <c r="D1150" t="inlineStr">
        <is>
          <t>JÄMTLANDS LÄN</t>
        </is>
      </c>
      <c r="E1150" t="inlineStr">
        <is>
          <t>HÄRJEDALEN</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37281-2024</t>
        </is>
      </c>
      <c r="B1151" s="1" t="n">
        <v>45540.4264699074</v>
      </c>
      <c r="C1151" s="1" t="n">
        <v>46076</v>
      </c>
      <c r="D1151" t="inlineStr">
        <is>
          <t>JÄMTLANDS LÄN</t>
        </is>
      </c>
      <c r="E1151" t="inlineStr">
        <is>
          <t>HÄRJEDALEN</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41604-2024</t>
        </is>
      </c>
      <c r="B1152" s="1" t="n">
        <v>45560</v>
      </c>
      <c r="C1152" s="1" t="n">
        <v>46076</v>
      </c>
      <c r="D1152" t="inlineStr">
        <is>
          <t>JÄMTLANDS LÄN</t>
        </is>
      </c>
      <c r="E1152" t="inlineStr">
        <is>
          <t>HÄRJEDALEN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16552-2025</t>
        </is>
      </c>
      <c r="B1153" s="1" t="n">
        <v>45751.69827546296</v>
      </c>
      <c r="C1153" s="1" t="n">
        <v>46076</v>
      </c>
      <c r="D1153" t="inlineStr">
        <is>
          <t>JÄMTLANDS LÄN</t>
        </is>
      </c>
      <c r="E1153" t="inlineStr">
        <is>
          <t>HÄRJEDALEN</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46447-2024</t>
        </is>
      </c>
      <c r="B1154" s="1" t="n">
        <v>45582.49792824074</v>
      </c>
      <c r="C1154" s="1" t="n">
        <v>46076</v>
      </c>
      <c r="D1154" t="inlineStr">
        <is>
          <t>JÄMTLANDS LÄN</t>
        </is>
      </c>
      <c r="E1154" t="inlineStr">
        <is>
          <t>HÄRJEDALEN</t>
        </is>
      </c>
      <c r="F1154" t="inlineStr">
        <is>
          <t>Bergvik skog väst AB</t>
        </is>
      </c>
      <c r="G1154" t="n">
        <v>19.2</v>
      </c>
      <c r="H1154" t="n">
        <v>0</v>
      </c>
      <c r="I1154" t="n">
        <v>0</v>
      </c>
      <c r="J1154" t="n">
        <v>0</v>
      </c>
      <c r="K1154" t="n">
        <v>0</v>
      </c>
      <c r="L1154" t="n">
        <v>0</v>
      </c>
      <c r="M1154" t="n">
        <v>0</v>
      </c>
      <c r="N1154" t="n">
        <v>0</v>
      </c>
      <c r="O1154" t="n">
        <v>0</v>
      </c>
      <c r="P1154" t="n">
        <v>0</v>
      </c>
      <c r="Q1154" t="n">
        <v>0</v>
      </c>
      <c r="R1154" s="2" t="inlineStr"/>
    </row>
    <row r="1155" ht="15" customHeight="1">
      <c r="A1155" t="inlineStr">
        <is>
          <t>A 20672-2025</t>
        </is>
      </c>
      <c r="B1155" s="1" t="n">
        <v>45776.43898148148</v>
      </c>
      <c r="C1155" s="1" t="n">
        <v>46076</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21169-2025</t>
        </is>
      </c>
      <c r="B1156" s="1" t="n">
        <v>45779.41844907407</v>
      </c>
      <c r="C1156" s="1" t="n">
        <v>46076</v>
      </c>
      <c r="D1156" t="inlineStr">
        <is>
          <t>JÄMTLANDS LÄN</t>
        </is>
      </c>
      <c r="E1156" t="inlineStr">
        <is>
          <t>HÄRJEDALEN</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21161-2025</t>
        </is>
      </c>
      <c r="B1157" s="1" t="n">
        <v>45779.38211805555</v>
      </c>
      <c r="C1157" s="1" t="n">
        <v>46076</v>
      </c>
      <c r="D1157" t="inlineStr">
        <is>
          <t>JÄMTLANDS LÄN</t>
        </is>
      </c>
      <c r="E1157" t="inlineStr">
        <is>
          <t>HÄRJEDALEN</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21223-2025</t>
        </is>
      </c>
      <c r="B1158" s="1" t="n">
        <v>45779.50886574074</v>
      </c>
      <c r="C1158" s="1" t="n">
        <v>46076</v>
      </c>
      <c r="D1158" t="inlineStr">
        <is>
          <t>JÄMTLANDS LÄN</t>
        </is>
      </c>
      <c r="E1158" t="inlineStr">
        <is>
          <t>HÄRJEDALEN</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21226-2025</t>
        </is>
      </c>
      <c r="B1159" s="1" t="n">
        <v>45779.51943287037</v>
      </c>
      <c r="C1159" s="1" t="n">
        <v>46076</v>
      </c>
      <c r="D1159" t="inlineStr">
        <is>
          <t>JÄMTLANDS LÄN</t>
        </is>
      </c>
      <c r="E1159" t="inlineStr">
        <is>
          <t>HÄRJEDALEN</t>
        </is>
      </c>
      <c r="F1159" t="inlineStr">
        <is>
          <t>Holmen skog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21227-2025</t>
        </is>
      </c>
      <c r="B1160" s="1" t="n">
        <v>45779.52488425926</v>
      </c>
      <c r="C1160" s="1" t="n">
        <v>46076</v>
      </c>
      <c r="D1160" t="inlineStr">
        <is>
          <t>JÄMTLANDS LÄN</t>
        </is>
      </c>
      <c r="E1160" t="inlineStr">
        <is>
          <t>HÄRJEDALEN</t>
        </is>
      </c>
      <c r="F1160" t="inlineStr">
        <is>
          <t>Holmen skog AB</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21221-2025</t>
        </is>
      </c>
      <c r="B1161" s="1" t="n">
        <v>45779.50052083333</v>
      </c>
      <c r="C1161" s="1" t="n">
        <v>46076</v>
      </c>
      <c r="D1161" t="inlineStr">
        <is>
          <t>JÄMTLANDS LÄN</t>
        </is>
      </c>
      <c r="E1161" t="inlineStr">
        <is>
          <t>HÄRJEDALEN</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13783-2025</t>
        </is>
      </c>
      <c r="B1162" s="1" t="n">
        <v>45737</v>
      </c>
      <c r="C1162" s="1" t="n">
        <v>46076</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21225-2025</t>
        </is>
      </c>
      <c r="B1163" s="1" t="n">
        <v>45779.51357638889</v>
      </c>
      <c r="C1163" s="1" t="n">
        <v>46076</v>
      </c>
      <c r="D1163" t="inlineStr">
        <is>
          <t>JÄMTLANDS LÄN</t>
        </is>
      </c>
      <c r="E1163" t="inlineStr">
        <is>
          <t>HÄRJEDALEN</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29347-2024</t>
        </is>
      </c>
      <c r="B1164" s="1" t="n">
        <v>45483.47572916667</v>
      </c>
      <c r="C1164" s="1" t="n">
        <v>46076</v>
      </c>
      <c r="D1164" t="inlineStr">
        <is>
          <t>JÄMTLANDS LÄN</t>
        </is>
      </c>
      <c r="E1164" t="inlineStr">
        <is>
          <t>HÄRJEDALEN</t>
        </is>
      </c>
      <c r="G1164" t="n">
        <v>35.8</v>
      </c>
      <c r="H1164" t="n">
        <v>0</v>
      </c>
      <c r="I1164" t="n">
        <v>0</v>
      </c>
      <c r="J1164" t="n">
        <v>0</v>
      </c>
      <c r="K1164" t="n">
        <v>0</v>
      </c>
      <c r="L1164" t="n">
        <v>0</v>
      </c>
      <c r="M1164" t="n">
        <v>0</v>
      </c>
      <c r="N1164" t="n">
        <v>0</v>
      </c>
      <c r="O1164" t="n">
        <v>0</v>
      </c>
      <c r="P1164" t="n">
        <v>0</v>
      </c>
      <c r="Q1164" t="n">
        <v>0</v>
      </c>
      <c r="R1164" s="2" t="inlineStr"/>
    </row>
    <row r="1165" ht="15" customHeight="1">
      <c r="A1165" t="inlineStr">
        <is>
          <t>A 21797-2025</t>
        </is>
      </c>
      <c r="B1165" s="1" t="n">
        <v>45783.68547453704</v>
      </c>
      <c r="C1165" s="1" t="n">
        <v>46076</v>
      </c>
      <c r="D1165" t="inlineStr">
        <is>
          <t>JÄMTLANDS LÄN</t>
        </is>
      </c>
      <c r="E1165" t="inlineStr">
        <is>
          <t>HÄRJEDALEN</t>
        </is>
      </c>
      <c r="F1165" t="inlineStr">
        <is>
          <t>Sveaskog</t>
        </is>
      </c>
      <c r="G1165" t="n">
        <v>15.1</v>
      </c>
      <c r="H1165" t="n">
        <v>0</v>
      </c>
      <c r="I1165" t="n">
        <v>0</v>
      </c>
      <c r="J1165" t="n">
        <v>0</v>
      </c>
      <c r="K1165" t="n">
        <v>0</v>
      </c>
      <c r="L1165" t="n">
        <v>0</v>
      </c>
      <c r="M1165" t="n">
        <v>0</v>
      </c>
      <c r="N1165" t="n">
        <v>0</v>
      </c>
      <c r="O1165" t="n">
        <v>0</v>
      </c>
      <c r="P1165" t="n">
        <v>0</v>
      </c>
      <c r="Q1165" t="n">
        <v>0</v>
      </c>
      <c r="R1165" s="2" t="inlineStr"/>
    </row>
    <row r="1166" ht="15" customHeight="1">
      <c r="A1166" t="inlineStr">
        <is>
          <t>A 54684-2024</t>
        </is>
      </c>
      <c r="B1166" s="1" t="n">
        <v>45618.35961805555</v>
      </c>
      <c r="C1166" s="1" t="n">
        <v>46076</v>
      </c>
      <c r="D1166" t="inlineStr">
        <is>
          <t>JÄMTLANDS LÄN</t>
        </is>
      </c>
      <c r="E1166" t="inlineStr">
        <is>
          <t>HÄRJEDALEN</t>
        </is>
      </c>
      <c r="G1166" t="n">
        <v>18.1</v>
      </c>
      <c r="H1166" t="n">
        <v>0</v>
      </c>
      <c r="I1166" t="n">
        <v>0</v>
      </c>
      <c r="J1166" t="n">
        <v>0</v>
      </c>
      <c r="K1166" t="n">
        <v>0</v>
      </c>
      <c r="L1166" t="n">
        <v>0</v>
      </c>
      <c r="M1166" t="n">
        <v>0</v>
      </c>
      <c r="N1166" t="n">
        <v>0</v>
      </c>
      <c r="O1166" t="n">
        <v>0</v>
      </c>
      <c r="P1166" t="n">
        <v>0</v>
      </c>
      <c r="Q1166" t="n">
        <v>0</v>
      </c>
      <c r="R1166" s="2" t="inlineStr"/>
    </row>
    <row r="1167" ht="15" customHeight="1">
      <c r="A1167" t="inlineStr">
        <is>
          <t>A 21355-2025</t>
        </is>
      </c>
      <c r="B1167" s="1" t="n">
        <v>45782.41581018519</v>
      </c>
      <c r="C1167" s="1" t="n">
        <v>46076</v>
      </c>
      <c r="D1167" t="inlineStr">
        <is>
          <t>JÄMTLANDS LÄN</t>
        </is>
      </c>
      <c r="E1167" t="inlineStr">
        <is>
          <t>HÄRJEDALEN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21358-2025</t>
        </is>
      </c>
      <c r="B1168" s="1" t="n">
        <v>45782.42744212963</v>
      </c>
      <c r="C1168" s="1" t="n">
        <v>46076</v>
      </c>
      <c r="D1168" t="inlineStr">
        <is>
          <t>JÄMTLANDS LÄN</t>
        </is>
      </c>
      <c r="E1168" t="inlineStr">
        <is>
          <t>HÄRJEDALEN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24425-2024</t>
        </is>
      </c>
      <c r="B1169" s="1" t="n">
        <v>45457.92854166667</v>
      </c>
      <c r="C1169" s="1" t="n">
        <v>46076</v>
      </c>
      <c r="D1169" t="inlineStr">
        <is>
          <t>JÄMTLANDS LÄN</t>
        </is>
      </c>
      <c r="E1169" t="inlineStr">
        <is>
          <t>HÄRJEDALEN</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13543-2024</t>
        </is>
      </c>
      <c r="B1170" s="1" t="n">
        <v>45387</v>
      </c>
      <c r="C1170" s="1" t="n">
        <v>46076</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22040-2025</t>
        </is>
      </c>
      <c r="B1171" s="1" t="n">
        <v>45785.33164351852</v>
      </c>
      <c r="C1171" s="1" t="n">
        <v>46076</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22045-2025</t>
        </is>
      </c>
      <c r="B1172" s="1" t="n">
        <v>45785.34165509259</v>
      </c>
      <c r="C1172" s="1" t="n">
        <v>46076</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1459-2025</t>
        </is>
      </c>
      <c r="B1173" s="1" t="n">
        <v>45670.34313657408</v>
      </c>
      <c r="C1173" s="1" t="n">
        <v>46076</v>
      </c>
      <c r="D1173" t="inlineStr">
        <is>
          <t>JÄMTLANDS LÄN</t>
        </is>
      </c>
      <c r="E1173" t="inlineStr">
        <is>
          <t>HÄRJEDALEN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58341-2024</t>
        </is>
      </c>
      <c r="B1174" s="1" t="n">
        <v>45632.64078703704</v>
      </c>
      <c r="C1174" s="1" t="n">
        <v>46076</v>
      </c>
      <c r="D1174" t="inlineStr">
        <is>
          <t>JÄMTLANDS LÄN</t>
        </is>
      </c>
      <c r="E1174" t="inlineStr">
        <is>
          <t>HÄRJEDALEN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60054-2024</t>
        </is>
      </c>
      <c r="B1175" s="1" t="n">
        <v>45642</v>
      </c>
      <c r="C1175" s="1" t="n">
        <v>46076</v>
      </c>
      <c r="D1175" t="inlineStr">
        <is>
          <t>JÄMTLANDS LÄN</t>
        </is>
      </c>
      <c r="E1175" t="inlineStr">
        <is>
          <t>HÄRJEDALEN</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23467-2024</t>
        </is>
      </c>
      <c r="B1176" s="1" t="n">
        <v>45453.6619212963</v>
      </c>
      <c r="C1176" s="1" t="n">
        <v>46076</v>
      </c>
      <c r="D1176" t="inlineStr">
        <is>
          <t>JÄMTLANDS LÄN</t>
        </is>
      </c>
      <c r="E1176" t="inlineStr">
        <is>
          <t>HÄRJEDALEN</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43760-2024</t>
        </is>
      </c>
      <c r="B1177" s="1" t="n">
        <v>45569.6909837963</v>
      </c>
      <c r="C1177" s="1" t="n">
        <v>46076</v>
      </c>
      <c r="D1177" t="inlineStr">
        <is>
          <t>JÄMTLANDS LÄN</t>
        </is>
      </c>
      <c r="E1177" t="inlineStr">
        <is>
          <t>HÄRJEDALEN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22505-2025</t>
        </is>
      </c>
      <c r="B1178" s="1" t="n">
        <v>45786.66425925926</v>
      </c>
      <c r="C1178" s="1" t="n">
        <v>46076</v>
      </c>
      <c r="D1178" t="inlineStr">
        <is>
          <t>JÄMTLANDS LÄN</t>
        </is>
      </c>
      <c r="E1178" t="inlineStr">
        <is>
          <t>HÄRJEDALEN</t>
        </is>
      </c>
      <c r="F1178" t="inlineStr">
        <is>
          <t>Sveaskog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22509-2025</t>
        </is>
      </c>
      <c r="B1179" s="1" t="n">
        <v>45786.66853009259</v>
      </c>
      <c r="C1179" s="1" t="n">
        <v>46076</v>
      </c>
      <c r="D1179" t="inlineStr">
        <is>
          <t>JÄMTLANDS LÄN</t>
        </is>
      </c>
      <c r="E1179" t="inlineStr">
        <is>
          <t>HÄRJEDALEN</t>
        </is>
      </c>
      <c r="F1179" t="inlineStr">
        <is>
          <t>Sveaskog</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22504-2025</t>
        </is>
      </c>
      <c r="B1180" s="1" t="n">
        <v>45786.66209490741</v>
      </c>
      <c r="C1180" s="1" t="n">
        <v>46076</v>
      </c>
      <c r="D1180" t="inlineStr">
        <is>
          <t>JÄMTLANDS LÄN</t>
        </is>
      </c>
      <c r="E1180" t="inlineStr">
        <is>
          <t>HÄRJEDALEN</t>
        </is>
      </c>
      <c r="F1180" t="inlineStr">
        <is>
          <t>Sveaskog</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22502-2025</t>
        </is>
      </c>
      <c r="B1181" s="1" t="n">
        <v>45786.66032407407</v>
      </c>
      <c r="C1181" s="1" t="n">
        <v>46076</v>
      </c>
      <c r="D1181" t="inlineStr">
        <is>
          <t>JÄMTLANDS LÄN</t>
        </is>
      </c>
      <c r="E1181" t="inlineStr">
        <is>
          <t>HÄRJEDALEN</t>
        </is>
      </c>
      <c r="F1181" t="inlineStr">
        <is>
          <t>Sveaskog</t>
        </is>
      </c>
      <c r="G1181" t="n">
        <v>20.1</v>
      </c>
      <c r="H1181" t="n">
        <v>0</v>
      </c>
      <c r="I1181" t="n">
        <v>0</v>
      </c>
      <c r="J1181" t="n">
        <v>0</v>
      </c>
      <c r="K1181" t="n">
        <v>0</v>
      </c>
      <c r="L1181" t="n">
        <v>0</v>
      </c>
      <c r="M1181" t="n">
        <v>0</v>
      </c>
      <c r="N1181" t="n">
        <v>0</v>
      </c>
      <c r="O1181" t="n">
        <v>0</v>
      </c>
      <c r="P1181" t="n">
        <v>0</v>
      </c>
      <c r="Q1181" t="n">
        <v>0</v>
      </c>
      <c r="R1181" s="2" t="inlineStr"/>
    </row>
    <row r="1182" ht="15" customHeight="1">
      <c r="A1182" t="inlineStr">
        <is>
          <t>A 41387-2021</t>
        </is>
      </c>
      <c r="B1182" s="1" t="n">
        <v>44424</v>
      </c>
      <c r="C1182" s="1" t="n">
        <v>46076</v>
      </c>
      <c r="D1182" t="inlineStr">
        <is>
          <t>JÄMTLANDS LÄN</t>
        </is>
      </c>
      <c r="E1182" t="inlineStr">
        <is>
          <t>HÄRJEDALEN</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22915-2025</t>
        </is>
      </c>
      <c r="B1183" s="1" t="n">
        <v>45790.43</v>
      </c>
      <c r="C1183" s="1" t="n">
        <v>46076</v>
      </c>
      <c r="D1183" t="inlineStr">
        <is>
          <t>JÄMTLANDS LÄN</t>
        </is>
      </c>
      <c r="E1183" t="inlineStr">
        <is>
          <t>HÄRJEDALEN</t>
        </is>
      </c>
      <c r="F1183" t="inlineStr">
        <is>
          <t>Sveaskog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32964-2024</t>
        </is>
      </c>
      <c r="B1184" s="1" t="n">
        <v>45517.39274305556</v>
      </c>
      <c r="C1184" s="1" t="n">
        <v>46076</v>
      </c>
      <c r="D1184" t="inlineStr">
        <is>
          <t>JÄMTLANDS LÄN</t>
        </is>
      </c>
      <c r="E1184" t="inlineStr">
        <is>
          <t>HÄRJEDALEN</t>
        </is>
      </c>
      <c r="F1184" t="inlineStr">
        <is>
          <t>Kommuner</t>
        </is>
      </c>
      <c r="G1184" t="n">
        <v>30.3</v>
      </c>
      <c r="H1184" t="n">
        <v>0</v>
      </c>
      <c r="I1184" t="n">
        <v>0</v>
      </c>
      <c r="J1184" t="n">
        <v>0</v>
      </c>
      <c r="K1184" t="n">
        <v>0</v>
      </c>
      <c r="L1184" t="n">
        <v>0</v>
      </c>
      <c r="M1184" t="n">
        <v>0</v>
      </c>
      <c r="N1184" t="n">
        <v>0</v>
      </c>
      <c r="O1184" t="n">
        <v>0</v>
      </c>
      <c r="P1184" t="n">
        <v>0</v>
      </c>
      <c r="Q1184" t="n">
        <v>0</v>
      </c>
      <c r="R1184" s="2" t="inlineStr"/>
    </row>
    <row r="1185" ht="15" customHeight="1">
      <c r="A1185" t="inlineStr">
        <is>
          <t>A 23068-2025</t>
        </is>
      </c>
      <c r="B1185" s="1" t="n">
        <v>45790.87653935186</v>
      </c>
      <c r="C1185" s="1" t="n">
        <v>46076</v>
      </c>
      <c r="D1185" t="inlineStr">
        <is>
          <t>JÄMTLANDS LÄN</t>
        </is>
      </c>
      <c r="E1185" t="inlineStr">
        <is>
          <t>HÄRJEDALEN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23596-2025</t>
        </is>
      </c>
      <c r="B1186" s="1" t="n">
        <v>45792.64795138889</v>
      </c>
      <c r="C1186" s="1" t="n">
        <v>46076</v>
      </c>
      <c r="D1186" t="inlineStr">
        <is>
          <t>JÄMTLANDS LÄN</t>
        </is>
      </c>
      <c r="E1186" t="inlineStr">
        <is>
          <t>HÄRJEDALEN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23518-2025</t>
        </is>
      </c>
      <c r="B1187" s="1" t="n">
        <v>45792.50942129629</v>
      </c>
      <c r="C1187" s="1" t="n">
        <v>46076</v>
      </c>
      <c r="D1187" t="inlineStr">
        <is>
          <t>JÄMTLANDS LÄN</t>
        </is>
      </c>
      <c r="E1187" t="inlineStr">
        <is>
          <t>HÄRJEDALEN</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23731-2025</t>
        </is>
      </c>
      <c r="B1188" s="1" t="n">
        <v>45793.41994212963</v>
      </c>
      <c r="C1188" s="1" t="n">
        <v>46076</v>
      </c>
      <c r="D1188" t="inlineStr">
        <is>
          <t>JÄMTLANDS LÄN</t>
        </is>
      </c>
      <c r="E1188" t="inlineStr">
        <is>
          <t>HÄRJEDALEN</t>
        </is>
      </c>
      <c r="F1188" t="inlineStr">
        <is>
          <t>Sveaskog</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23600-2025</t>
        </is>
      </c>
      <c r="B1189" s="1" t="n">
        <v>45792.65047453704</v>
      </c>
      <c r="C1189" s="1" t="n">
        <v>46076</v>
      </c>
      <c r="D1189" t="inlineStr">
        <is>
          <t>JÄMTLANDS LÄN</t>
        </is>
      </c>
      <c r="E1189" t="inlineStr">
        <is>
          <t>HÄRJEDALEN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54678-2024</t>
        </is>
      </c>
      <c r="B1190" s="1" t="n">
        <v>45618.35097222222</v>
      </c>
      <c r="C1190" s="1" t="n">
        <v>46076</v>
      </c>
      <c r="D1190" t="inlineStr">
        <is>
          <t>JÄMTLANDS LÄN</t>
        </is>
      </c>
      <c r="E1190" t="inlineStr">
        <is>
          <t>HÄRJEDALEN</t>
        </is>
      </c>
      <c r="G1190" t="n">
        <v>16.9</v>
      </c>
      <c r="H1190" t="n">
        <v>0</v>
      </c>
      <c r="I1190" t="n">
        <v>0</v>
      </c>
      <c r="J1190" t="n">
        <v>0</v>
      </c>
      <c r="K1190" t="n">
        <v>0</v>
      </c>
      <c r="L1190" t="n">
        <v>0</v>
      </c>
      <c r="M1190" t="n">
        <v>0</v>
      </c>
      <c r="N1190" t="n">
        <v>0</v>
      </c>
      <c r="O1190" t="n">
        <v>0</v>
      </c>
      <c r="P1190" t="n">
        <v>0</v>
      </c>
      <c r="Q1190" t="n">
        <v>0</v>
      </c>
      <c r="R1190" s="2" t="inlineStr"/>
    </row>
    <row r="1191" ht="15" customHeight="1">
      <c r="A1191" t="inlineStr">
        <is>
          <t>A 23986-2025</t>
        </is>
      </c>
      <c r="B1191" s="1" t="n">
        <v>45796.39770833333</v>
      </c>
      <c r="C1191" s="1" t="n">
        <v>46076</v>
      </c>
      <c r="D1191" t="inlineStr">
        <is>
          <t>JÄMTLANDS LÄN</t>
        </is>
      </c>
      <c r="E1191" t="inlineStr">
        <is>
          <t>HÄRJEDALEN</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23351-2025</t>
        </is>
      </c>
      <c r="B1192" s="1" t="n">
        <v>45791</v>
      </c>
      <c r="C1192" s="1" t="n">
        <v>46076</v>
      </c>
      <c r="D1192" t="inlineStr">
        <is>
          <t>JÄMTLANDS LÄN</t>
        </is>
      </c>
      <c r="E1192" t="inlineStr">
        <is>
          <t>HÄRJEDALEN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24226-2025</t>
        </is>
      </c>
      <c r="B1193" s="1" t="n">
        <v>45797.37096064815</v>
      </c>
      <c r="C1193" s="1" t="n">
        <v>46076</v>
      </c>
      <c r="D1193" t="inlineStr">
        <is>
          <t>JÄMTLANDS LÄN</t>
        </is>
      </c>
      <c r="E1193" t="inlineStr">
        <is>
          <t>HÄRJEDALEN</t>
        </is>
      </c>
      <c r="G1193" t="n">
        <v>28.7</v>
      </c>
      <c r="H1193" t="n">
        <v>0</v>
      </c>
      <c r="I1193" t="n">
        <v>0</v>
      </c>
      <c r="J1193" t="n">
        <v>0</v>
      </c>
      <c r="K1193" t="n">
        <v>0</v>
      </c>
      <c r="L1193" t="n">
        <v>0</v>
      </c>
      <c r="M1193" t="n">
        <v>0</v>
      </c>
      <c r="N1193" t="n">
        <v>0</v>
      </c>
      <c r="O1193" t="n">
        <v>0</v>
      </c>
      <c r="P1193" t="n">
        <v>0</v>
      </c>
      <c r="Q1193" t="n">
        <v>0</v>
      </c>
      <c r="R1193" s="2" t="inlineStr"/>
    </row>
    <row r="1194" ht="15" customHeight="1">
      <c r="A1194" t="inlineStr">
        <is>
          <t>A 23474-2024</t>
        </is>
      </c>
      <c r="B1194" s="1" t="n">
        <v>45453.6672800926</v>
      </c>
      <c r="C1194" s="1" t="n">
        <v>46076</v>
      </c>
      <c r="D1194" t="inlineStr">
        <is>
          <t>JÄMTLANDS LÄN</t>
        </is>
      </c>
      <c r="E1194" t="inlineStr">
        <is>
          <t>HÄRJEDALEN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25024-2025</t>
        </is>
      </c>
      <c r="B1195" s="1" t="n">
        <v>45799.64804398148</v>
      </c>
      <c r="C1195" s="1" t="n">
        <v>46076</v>
      </c>
      <c r="D1195" t="inlineStr">
        <is>
          <t>JÄMTLANDS LÄN</t>
        </is>
      </c>
      <c r="E1195" t="inlineStr">
        <is>
          <t>HÄRJEDALEN</t>
        </is>
      </c>
      <c r="F1195" t="inlineStr">
        <is>
          <t>Bergvik skog väst AB</t>
        </is>
      </c>
      <c r="G1195" t="n">
        <v>31.2</v>
      </c>
      <c r="H1195" t="n">
        <v>0</v>
      </c>
      <c r="I1195" t="n">
        <v>0</v>
      </c>
      <c r="J1195" t="n">
        <v>0</v>
      </c>
      <c r="K1195" t="n">
        <v>0</v>
      </c>
      <c r="L1195" t="n">
        <v>0</v>
      </c>
      <c r="M1195" t="n">
        <v>0</v>
      </c>
      <c r="N1195" t="n">
        <v>0</v>
      </c>
      <c r="O1195" t="n">
        <v>0</v>
      </c>
      <c r="P1195" t="n">
        <v>0</v>
      </c>
      <c r="Q1195" t="n">
        <v>0</v>
      </c>
      <c r="R1195" s="2" t="inlineStr"/>
    </row>
    <row r="1196" ht="15" customHeight="1">
      <c r="A1196" t="inlineStr">
        <is>
          <t>A 2510-2025</t>
        </is>
      </c>
      <c r="B1196" s="1" t="n">
        <v>45674.57393518519</v>
      </c>
      <c r="C1196" s="1" t="n">
        <v>46076</v>
      </c>
      <c r="D1196" t="inlineStr">
        <is>
          <t>JÄMTLANDS LÄN</t>
        </is>
      </c>
      <c r="E1196" t="inlineStr">
        <is>
          <t>HÄRJEDALEN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24842-2025</t>
        </is>
      </c>
      <c r="B1197" s="1" t="n">
        <v>45799.4658912037</v>
      </c>
      <c r="C1197" s="1" t="n">
        <v>46076</v>
      </c>
      <c r="D1197" t="inlineStr">
        <is>
          <t>JÄMTLANDS LÄN</t>
        </is>
      </c>
      <c r="E1197" t="inlineStr">
        <is>
          <t>HÄRJEDALEN</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24844-2025</t>
        </is>
      </c>
      <c r="B1198" s="1" t="n">
        <v>45799.46642361111</v>
      </c>
      <c r="C1198" s="1" t="n">
        <v>46076</v>
      </c>
      <c r="D1198" t="inlineStr">
        <is>
          <t>JÄMTLANDS LÄN</t>
        </is>
      </c>
      <c r="E1198" t="inlineStr">
        <is>
          <t>HÄRJEDALEN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24796-2025</t>
        </is>
      </c>
      <c r="B1199" s="1" t="n">
        <v>45799.43550925926</v>
      </c>
      <c r="C1199" s="1" t="n">
        <v>46076</v>
      </c>
      <c r="D1199" t="inlineStr">
        <is>
          <t>JÄMTLANDS LÄN</t>
        </is>
      </c>
      <c r="E1199" t="inlineStr">
        <is>
          <t>HÄRJEDALEN</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24853-2025</t>
        </is>
      </c>
      <c r="B1200" s="1" t="n">
        <v>45799.47225694444</v>
      </c>
      <c r="C1200" s="1" t="n">
        <v>46076</v>
      </c>
      <c r="D1200" t="inlineStr">
        <is>
          <t>JÄMTLANDS LÄN</t>
        </is>
      </c>
      <c r="E1200" t="inlineStr">
        <is>
          <t>HÄRJEDALEN</t>
        </is>
      </c>
      <c r="F1200" t="inlineStr">
        <is>
          <t>Holmen skog AB</t>
        </is>
      </c>
      <c r="G1200" t="n">
        <v>57.7</v>
      </c>
      <c r="H1200" t="n">
        <v>0</v>
      </c>
      <c r="I1200" t="n">
        <v>0</v>
      </c>
      <c r="J1200" t="n">
        <v>0</v>
      </c>
      <c r="K1200" t="n">
        <v>0</v>
      </c>
      <c r="L1200" t="n">
        <v>0</v>
      </c>
      <c r="M1200" t="n">
        <v>0</v>
      </c>
      <c r="N1200" t="n">
        <v>0</v>
      </c>
      <c r="O1200" t="n">
        <v>0</v>
      </c>
      <c r="P1200" t="n">
        <v>0</v>
      </c>
      <c r="Q1200" t="n">
        <v>0</v>
      </c>
      <c r="R1200" s="2" t="inlineStr"/>
    </row>
    <row r="1201" ht="15" customHeight="1">
      <c r="A1201" t="inlineStr">
        <is>
          <t>A 24828-2025</t>
        </is>
      </c>
      <c r="B1201" s="1" t="n">
        <v>45799.45770833334</v>
      </c>
      <c r="C1201" s="1" t="n">
        <v>46076</v>
      </c>
      <c r="D1201" t="inlineStr">
        <is>
          <t>JÄMTLANDS LÄN</t>
        </is>
      </c>
      <c r="E1201" t="inlineStr">
        <is>
          <t>HÄRJEDALEN</t>
        </is>
      </c>
      <c r="F1201" t="inlineStr">
        <is>
          <t>Holmen skog AB</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24963-2025</t>
        </is>
      </c>
      <c r="B1202" s="1" t="n">
        <v>45799.57883101852</v>
      </c>
      <c r="C1202" s="1" t="n">
        <v>46076</v>
      </c>
      <c r="D1202" t="inlineStr">
        <is>
          <t>JÄMTLANDS LÄN</t>
        </is>
      </c>
      <c r="E1202" t="inlineStr">
        <is>
          <t>HÄRJEDALEN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24791-2025</t>
        </is>
      </c>
      <c r="B1203" s="1" t="n">
        <v>45799.43086805556</v>
      </c>
      <c r="C1203" s="1" t="n">
        <v>46076</v>
      </c>
      <c r="D1203" t="inlineStr">
        <is>
          <t>JÄMTLANDS LÄN</t>
        </is>
      </c>
      <c r="E1203" t="inlineStr">
        <is>
          <t>HÄRJEDALEN</t>
        </is>
      </c>
      <c r="F1203" t="inlineStr">
        <is>
          <t>Holmen skog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25383-2025</t>
        </is>
      </c>
      <c r="B1204" s="1" t="n">
        <v>45800.64065972222</v>
      </c>
      <c r="C1204" s="1" t="n">
        <v>46076</v>
      </c>
      <c r="D1204" t="inlineStr">
        <is>
          <t>JÄMTLANDS LÄN</t>
        </is>
      </c>
      <c r="E1204" t="inlineStr">
        <is>
          <t>HÄRJEDALEN</t>
        </is>
      </c>
      <c r="F1204" t="inlineStr">
        <is>
          <t>Holmen skog AB</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25516-2025</t>
        </is>
      </c>
      <c r="B1205" s="1" t="n">
        <v>45803.37480324074</v>
      </c>
      <c r="C1205" s="1" t="n">
        <v>46076</v>
      </c>
      <c r="D1205" t="inlineStr">
        <is>
          <t>JÄMTLANDS LÄN</t>
        </is>
      </c>
      <c r="E1205" t="inlineStr">
        <is>
          <t>HÄRJEDALEN</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55193-2023</t>
        </is>
      </c>
      <c r="B1206" s="1" t="n">
        <v>45237.5815162037</v>
      </c>
      <c r="C1206" s="1" t="n">
        <v>46076</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25380-2025</t>
        </is>
      </c>
      <c r="B1207" s="1" t="n">
        <v>45800.63738425926</v>
      </c>
      <c r="C1207" s="1" t="n">
        <v>46076</v>
      </c>
      <c r="D1207" t="inlineStr">
        <is>
          <t>JÄMTLANDS LÄN</t>
        </is>
      </c>
      <c r="E1207" t="inlineStr">
        <is>
          <t>HÄRJEDALEN</t>
        </is>
      </c>
      <c r="F1207" t="inlineStr">
        <is>
          <t>Sveaskog</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25123-2025</t>
        </is>
      </c>
      <c r="B1208" s="1" t="n">
        <v>45800.37524305555</v>
      </c>
      <c r="C1208" s="1" t="n">
        <v>46076</v>
      </c>
      <c r="D1208" t="inlineStr">
        <is>
          <t>JÄMTLANDS LÄN</t>
        </is>
      </c>
      <c r="E1208" t="inlineStr">
        <is>
          <t>HÄRJEDALEN</t>
        </is>
      </c>
      <c r="F1208" t="inlineStr">
        <is>
          <t>Holmen skog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25325-2025</t>
        </is>
      </c>
      <c r="B1209" s="1" t="n">
        <v>45800.58859953703</v>
      </c>
      <c r="C1209" s="1" t="n">
        <v>46076</v>
      </c>
      <c r="D1209" t="inlineStr">
        <is>
          <t>JÄMTLANDS LÄN</t>
        </is>
      </c>
      <c r="E1209" t="inlineStr">
        <is>
          <t>HÄRJEDALEN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25334-2025</t>
        </is>
      </c>
      <c r="B1210" s="1" t="n">
        <v>45800.59567129629</v>
      </c>
      <c r="C1210" s="1" t="n">
        <v>46076</v>
      </c>
      <c r="D1210" t="inlineStr">
        <is>
          <t>JÄMTLANDS LÄN</t>
        </is>
      </c>
      <c r="E1210" t="inlineStr">
        <is>
          <t>HÄRJEDALEN</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25392-2025</t>
        </is>
      </c>
      <c r="B1211" s="1" t="n">
        <v>45800.64719907408</v>
      </c>
      <c r="C1211" s="1" t="n">
        <v>46076</v>
      </c>
      <c r="D1211" t="inlineStr">
        <is>
          <t>JÄMTLANDS LÄN</t>
        </is>
      </c>
      <c r="E1211" t="inlineStr">
        <is>
          <t>HÄRJEDALEN</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25399-2025</t>
        </is>
      </c>
      <c r="B1212" s="1" t="n">
        <v>45800.65341435185</v>
      </c>
      <c r="C1212" s="1" t="n">
        <v>46076</v>
      </c>
      <c r="D1212" t="inlineStr">
        <is>
          <t>JÄMTLANDS LÄN</t>
        </is>
      </c>
      <c r="E1212" t="inlineStr">
        <is>
          <t>HÄRJEDALEN</t>
        </is>
      </c>
      <c r="F1212" t="inlineStr">
        <is>
          <t>Holmen skog AB</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25158-2025</t>
        </is>
      </c>
      <c r="B1213" s="1" t="n">
        <v>45800.42797453704</v>
      </c>
      <c r="C1213" s="1" t="n">
        <v>46076</v>
      </c>
      <c r="D1213" t="inlineStr">
        <is>
          <t>JÄMTLANDS LÄN</t>
        </is>
      </c>
      <c r="E1213" t="inlineStr">
        <is>
          <t>HÄRJEDALEN</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25171-2025</t>
        </is>
      </c>
      <c r="B1214" s="1" t="n">
        <v>45800.44090277778</v>
      </c>
      <c r="C1214" s="1" t="n">
        <v>46076</v>
      </c>
      <c r="D1214" t="inlineStr">
        <is>
          <t>JÄMTLANDS LÄN</t>
        </is>
      </c>
      <c r="E1214" t="inlineStr">
        <is>
          <t>HÄRJEDALEN</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25409-2025</t>
        </is>
      </c>
      <c r="B1215" s="1" t="n">
        <v>45800.66043981481</v>
      </c>
      <c r="C1215" s="1" t="n">
        <v>46076</v>
      </c>
      <c r="D1215" t="inlineStr">
        <is>
          <t>JÄMTLANDS LÄN</t>
        </is>
      </c>
      <c r="E1215" t="inlineStr">
        <is>
          <t>HÄRJEDALEN</t>
        </is>
      </c>
      <c r="F1215" t="inlineStr">
        <is>
          <t>Holmen skog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25094-2025</t>
        </is>
      </c>
      <c r="B1216" s="1" t="n">
        <v>45800.33436342593</v>
      </c>
      <c r="C1216" s="1" t="n">
        <v>46076</v>
      </c>
      <c r="D1216" t="inlineStr">
        <is>
          <t>JÄMTLANDS LÄN</t>
        </is>
      </c>
      <c r="E1216" t="inlineStr">
        <is>
          <t>HÄRJEDALEN</t>
        </is>
      </c>
      <c r="F1216" t="inlineStr">
        <is>
          <t>Holmen skog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25098-2025</t>
        </is>
      </c>
      <c r="B1217" s="1" t="n">
        <v>45800.3425</v>
      </c>
      <c r="C1217" s="1" t="n">
        <v>46076</v>
      </c>
      <c r="D1217" t="inlineStr">
        <is>
          <t>JÄMTLANDS LÄN</t>
        </is>
      </c>
      <c r="E1217" t="inlineStr">
        <is>
          <t>HÄRJEDALEN</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25178-2025</t>
        </is>
      </c>
      <c r="B1218" s="1" t="n">
        <v>45800.44868055556</v>
      </c>
      <c r="C1218" s="1" t="n">
        <v>46076</v>
      </c>
      <c r="D1218" t="inlineStr">
        <is>
          <t>JÄMTLANDS LÄN</t>
        </is>
      </c>
      <c r="E1218" t="inlineStr">
        <is>
          <t>HÄRJEDALEN</t>
        </is>
      </c>
      <c r="F1218" t="inlineStr">
        <is>
          <t>Holmen skog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25204-2025</t>
        </is>
      </c>
      <c r="B1219" s="1" t="n">
        <v>45800.4687962963</v>
      </c>
      <c r="C1219" s="1" t="n">
        <v>46076</v>
      </c>
      <c r="D1219" t="inlineStr">
        <is>
          <t>JÄMTLANDS LÄN</t>
        </is>
      </c>
      <c r="E1219" t="inlineStr">
        <is>
          <t>HÄRJEDALEN</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25286-2025</t>
        </is>
      </c>
      <c r="B1220" s="1" t="n">
        <v>45800.56222222222</v>
      </c>
      <c r="C1220" s="1" t="n">
        <v>46076</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25198-2025</t>
        </is>
      </c>
      <c r="B1221" s="1" t="n">
        <v>45800.46069444445</v>
      </c>
      <c r="C1221" s="1" t="n">
        <v>46076</v>
      </c>
      <c r="D1221" t="inlineStr">
        <is>
          <t>JÄMTLANDS LÄN</t>
        </is>
      </c>
      <c r="E1221" t="inlineStr">
        <is>
          <t>HÄRJEDALEN</t>
        </is>
      </c>
      <c r="F1221" t="inlineStr">
        <is>
          <t>Holmen skog AB</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25298-2025</t>
        </is>
      </c>
      <c r="B1222" s="1" t="n">
        <v>45800.56995370371</v>
      </c>
      <c r="C1222" s="1" t="n">
        <v>46076</v>
      </c>
      <c r="D1222" t="inlineStr">
        <is>
          <t>JÄMTLANDS LÄN</t>
        </is>
      </c>
      <c r="E1222" t="inlineStr">
        <is>
          <t>HÄRJEDALEN</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25112-2025</t>
        </is>
      </c>
      <c r="B1223" s="1" t="n">
        <v>45800.35670138889</v>
      </c>
      <c r="C1223" s="1" t="n">
        <v>46076</v>
      </c>
      <c r="D1223" t="inlineStr">
        <is>
          <t>JÄMTLANDS LÄN</t>
        </is>
      </c>
      <c r="E1223" t="inlineStr">
        <is>
          <t>HÄRJEDALEN</t>
        </is>
      </c>
      <c r="F1223" t="inlineStr">
        <is>
          <t>Holmen skog AB</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25515-2025</t>
        </is>
      </c>
      <c r="B1224" s="1" t="n">
        <v>45803.37258101852</v>
      </c>
      <c r="C1224" s="1" t="n">
        <v>46076</v>
      </c>
      <c r="D1224" t="inlineStr">
        <is>
          <t>JÄMTLANDS LÄN</t>
        </is>
      </c>
      <c r="E1224" t="inlineStr">
        <is>
          <t>HÄRJEDALEN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25223-2025</t>
        </is>
      </c>
      <c r="B1225" s="1" t="n">
        <v>45800.48060185185</v>
      </c>
      <c r="C1225" s="1" t="n">
        <v>46076</v>
      </c>
      <c r="D1225" t="inlineStr">
        <is>
          <t>JÄMTLANDS LÄN</t>
        </is>
      </c>
      <c r="E1225" t="inlineStr">
        <is>
          <t>HÄRJEDALEN</t>
        </is>
      </c>
      <c r="F1225" t="inlineStr">
        <is>
          <t>Holmen skog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25109-2025</t>
        </is>
      </c>
      <c r="B1226" s="1" t="n">
        <v>45800.3503587963</v>
      </c>
      <c r="C1226" s="1" t="n">
        <v>46076</v>
      </c>
      <c r="D1226" t="inlineStr">
        <is>
          <t>JÄMTLANDS LÄN</t>
        </is>
      </c>
      <c r="E1226" t="inlineStr">
        <is>
          <t>HÄRJEDALEN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25253-2025</t>
        </is>
      </c>
      <c r="B1227" s="1" t="n">
        <v>45800.50431712963</v>
      </c>
      <c r="C1227" s="1" t="n">
        <v>46076</v>
      </c>
      <c r="D1227" t="inlineStr">
        <is>
          <t>JÄMTLANDS LÄN</t>
        </is>
      </c>
      <c r="E1227" t="inlineStr">
        <is>
          <t>HÄRJEDALEN</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25343-2025</t>
        </is>
      </c>
      <c r="B1228" s="1" t="n">
        <v>45800.60508101852</v>
      </c>
      <c r="C1228" s="1" t="n">
        <v>46076</v>
      </c>
      <c r="D1228" t="inlineStr">
        <is>
          <t>JÄMTLANDS LÄN</t>
        </is>
      </c>
      <c r="E1228" t="inlineStr">
        <is>
          <t>HÄRJEDALEN</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25288-2025</t>
        </is>
      </c>
      <c r="B1229" s="1" t="n">
        <v>45800.56313657408</v>
      </c>
      <c r="C1229" s="1" t="n">
        <v>46076</v>
      </c>
      <c r="D1229" t="inlineStr">
        <is>
          <t>JÄMTLANDS LÄN</t>
        </is>
      </c>
      <c r="E1229" t="inlineStr">
        <is>
          <t>HÄRJEDALEN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25315-2025</t>
        </is>
      </c>
      <c r="B1230" s="1" t="n">
        <v>45800.57837962963</v>
      </c>
      <c r="C1230" s="1" t="n">
        <v>46076</v>
      </c>
      <c r="D1230" t="inlineStr">
        <is>
          <t>JÄMTLANDS LÄN</t>
        </is>
      </c>
      <c r="E1230" t="inlineStr">
        <is>
          <t>HÄRJEDALEN</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25127-2025</t>
        </is>
      </c>
      <c r="B1231" s="1" t="n">
        <v>45800.3787037037</v>
      </c>
      <c r="C1231" s="1" t="n">
        <v>46076</v>
      </c>
      <c r="D1231" t="inlineStr">
        <is>
          <t>JÄMTLANDS LÄN</t>
        </is>
      </c>
      <c r="E1231" t="inlineStr">
        <is>
          <t>HÄRJEDALEN</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25147-2025</t>
        </is>
      </c>
      <c r="B1232" s="1" t="n">
        <v>45800.41883101852</v>
      </c>
      <c r="C1232" s="1" t="n">
        <v>46076</v>
      </c>
      <c r="D1232" t="inlineStr">
        <is>
          <t>JÄMTLANDS LÄN</t>
        </is>
      </c>
      <c r="E1232" t="inlineStr">
        <is>
          <t>HÄRJEDALEN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25232-2025</t>
        </is>
      </c>
      <c r="B1233" s="1" t="n">
        <v>45800.48515046296</v>
      </c>
      <c r="C1233" s="1" t="n">
        <v>46076</v>
      </c>
      <c r="D1233" t="inlineStr">
        <is>
          <t>JÄMTLANDS LÄN</t>
        </is>
      </c>
      <c r="E1233" t="inlineStr">
        <is>
          <t>HÄRJEDALEN</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25933-2025</t>
        </is>
      </c>
      <c r="B1234" s="1" t="n">
        <v>45804.589375</v>
      </c>
      <c r="C1234" s="1" t="n">
        <v>46076</v>
      </c>
      <c r="D1234" t="inlineStr">
        <is>
          <t>JÄMTLANDS LÄN</t>
        </is>
      </c>
      <c r="E1234" t="inlineStr">
        <is>
          <t>HÄRJEDALEN</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25931-2025</t>
        </is>
      </c>
      <c r="B1235" s="1" t="n">
        <v>45804.5813425926</v>
      </c>
      <c r="C1235" s="1" t="n">
        <v>46076</v>
      </c>
      <c r="D1235" t="inlineStr">
        <is>
          <t>JÄMTLANDS LÄN</t>
        </is>
      </c>
      <c r="E1235" t="inlineStr">
        <is>
          <t>HÄRJEDALEN</t>
        </is>
      </c>
      <c r="F1235" t="inlineStr">
        <is>
          <t>Bergvik skog väst AB</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26209-2025</t>
        </is>
      </c>
      <c r="B1236" s="1" t="n">
        <v>45805.53280092592</v>
      </c>
      <c r="C1236" s="1" t="n">
        <v>46076</v>
      </c>
      <c r="D1236" t="inlineStr">
        <is>
          <t>JÄMTLANDS LÄN</t>
        </is>
      </c>
      <c r="E1236" t="inlineStr">
        <is>
          <t>HÄRJEDALEN</t>
        </is>
      </c>
      <c r="F1236" t="inlineStr">
        <is>
          <t>Bergvik skog väst AB</t>
        </is>
      </c>
      <c r="G1236" t="n">
        <v>27.3</v>
      </c>
      <c r="H1236" t="n">
        <v>0</v>
      </c>
      <c r="I1236" t="n">
        <v>0</v>
      </c>
      <c r="J1236" t="n">
        <v>0</v>
      </c>
      <c r="K1236" t="n">
        <v>0</v>
      </c>
      <c r="L1236" t="n">
        <v>0</v>
      </c>
      <c r="M1236" t="n">
        <v>0</v>
      </c>
      <c r="N1236" t="n">
        <v>0</v>
      </c>
      <c r="O1236" t="n">
        <v>0</v>
      </c>
      <c r="P1236" t="n">
        <v>0</v>
      </c>
      <c r="Q1236" t="n">
        <v>0</v>
      </c>
      <c r="R1236" s="2" t="inlineStr"/>
    </row>
    <row r="1237" ht="15" customHeight="1">
      <c r="A1237" t="inlineStr">
        <is>
          <t>A 26540-2025</t>
        </is>
      </c>
      <c r="B1237" s="1" t="n">
        <v>45807.58393518518</v>
      </c>
      <c r="C1237" s="1" t="n">
        <v>46076</v>
      </c>
      <c r="D1237" t="inlineStr">
        <is>
          <t>JÄMTLANDS LÄN</t>
        </is>
      </c>
      <c r="E1237" t="inlineStr">
        <is>
          <t>HÄRJEDALEN</t>
        </is>
      </c>
      <c r="F1237" t="inlineStr">
        <is>
          <t>Holmen skog AB</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26486-2025</t>
        </is>
      </c>
      <c r="B1238" s="1" t="n">
        <v>45807.47479166667</v>
      </c>
      <c r="C1238" s="1" t="n">
        <v>46076</v>
      </c>
      <c r="D1238" t="inlineStr">
        <is>
          <t>JÄMTLANDS LÄN</t>
        </is>
      </c>
      <c r="E1238" t="inlineStr">
        <is>
          <t>HÄRJEDALEN</t>
        </is>
      </c>
      <c r="F1238" t="inlineStr">
        <is>
          <t>Holmen skog AB</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26404-2025</t>
        </is>
      </c>
      <c r="B1239" s="1" t="n">
        <v>45807.3409837963</v>
      </c>
      <c r="C1239" s="1" t="n">
        <v>46076</v>
      </c>
      <c r="D1239" t="inlineStr">
        <is>
          <t>JÄMTLANDS LÄN</t>
        </is>
      </c>
      <c r="E1239" t="inlineStr">
        <is>
          <t>HÄRJEDALEN</t>
        </is>
      </c>
      <c r="F1239" t="inlineStr">
        <is>
          <t>Holmen skog AB</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26411-2025</t>
        </is>
      </c>
      <c r="B1240" s="1" t="n">
        <v>45807.35476851852</v>
      </c>
      <c r="C1240" s="1" t="n">
        <v>46076</v>
      </c>
      <c r="D1240" t="inlineStr">
        <is>
          <t>JÄMTLANDS LÄN</t>
        </is>
      </c>
      <c r="E1240" t="inlineStr">
        <is>
          <t>HÄRJEDALEN</t>
        </is>
      </c>
      <c r="F1240" t="inlineStr">
        <is>
          <t>Holmen skog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26443-2025</t>
        </is>
      </c>
      <c r="B1241" s="1" t="n">
        <v>45807.41287037037</v>
      </c>
      <c r="C1241" s="1" t="n">
        <v>46076</v>
      </c>
      <c r="D1241" t="inlineStr">
        <is>
          <t>JÄMTLANDS LÄN</t>
        </is>
      </c>
      <c r="E1241" t="inlineStr">
        <is>
          <t>HÄRJEDALEN</t>
        </is>
      </c>
      <c r="F1241" t="inlineStr">
        <is>
          <t>Holmen skog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26451-2025</t>
        </is>
      </c>
      <c r="B1242" s="1" t="n">
        <v>45807.42212962963</v>
      </c>
      <c r="C1242" s="1" t="n">
        <v>46076</v>
      </c>
      <c r="D1242" t="inlineStr">
        <is>
          <t>JÄMTLANDS LÄN</t>
        </is>
      </c>
      <c r="E1242" t="inlineStr">
        <is>
          <t>HÄRJEDALEN</t>
        </is>
      </c>
      <c r="F1242" t="inlineStr">
        <is>
          <t>Holmen skog AB</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26495-2025</t>
        </is>
      </c>
      <c r="B1243" s="1" t="n">
        <v>45807.49436342593</v>
      </c>
      <c r="C1243" s="1" t="n">
        <v>46076</v>
      </c>
      <c r="D1243" t="inlineStr">
        <is>
          <t>JÄMTLANDS LÄN</t>
        </is>
      </c>
      <c r="E1243" t="inlineStr">
        <is>
          <t>HÄRJEDALEN</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26523-2025</t>
        </is>
      </c>
      <c r="B1244" s="1" t="n">
        <v>45807.56403935186</v>
      </c>
      <c r="C1244" s="1" t="n">
        <v>46076</v>
      </c>
      <c r="D1244" t="inlineStr">
        <is>
          <t>JÄMTLANDS LÄN</t>
        </is>
      </c>
      <c r="E1244" t="inlineStr">
        <is>
          <t>HÄRJEDALEN</t>
        </is>
      </c>
      <c r="F1244" t="inlineStr">
        <is>
          <t>Holmen skog AB</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26561-2025</t>
        </is>
      </c>
      <c r="B1245" s="1" t="n">
        <v>45807.65438657408</v>
      </c>
      <c r="C1245" s="1" t="n">
        <v>46076</v>
      </c>
      <c r="D1245" t="inlineStr">
        <is>
          <t>JÄMTLANDS LÄN</t>
        </is>
      </c>
      <c r="E1245" t="inlineStr">
        <is>
          <t>HÄRJEDALEN</t>
        </is>
      </c>
      <c r="F1245" t="inlineStr">
        <is>
          <t>Holmen skog AB</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26551-2025</t>
        </is>
      </c>
      <c r="B1246" s="1" t="n">
        <v>45807.60333333333</v>
      </c>
      <c r="C1246" s="1" t="n">
        <v>46076</v>
      </c>
      <c r="D1246" t="inlineStr">
        <is>
          <t>JÄMTLANDS LÄN</t>
        </is>
      </c>
      <c r="E1246" t="inlineStr">
        <is>
          <t>HÄRJEDALEN</t>
        </is>
      </c>
      <c r="F1246" t="inlineStr">
        <is>
          <t>Holmen skog AB</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26518-2025</t>
        </is>
      </c>
      <c r="B1247" s="1" t="n">
        <v>45807.55893518519</v>
      </c>
      <c r="C1247" s="1" t="n">
        <v>46076</v>
      </c>
      <c r="D1247" t="inlineStr">
        <is>
          <t>JÄMTLANDS LÄN</t>
        </is>
      </c>
      <c r="E1247" t="inlineStr">
        <is>
          <t>HÄRJEDALEN</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26417-2025</t>
        </is>
      </c>
      <c r="B1248" s="1" t="n">
        <v>45807.36304398148</v>
      </c>
      <c r="C1248" s="1" t="n">
        <v>46076</v>
      </c>
      <c r="D1248" t="inlineStr">
        <is>
          <t>JÄMTLANDS LÄN</t>
        </is>
      </c>
      <c r="E1248" t="inlineStr">
        <is>
          <t>HÄRJEDALEN</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26493-2025</t>
        </is>
      </c>
      <c r="B1249" s="1" t="n">
        <v>45807.49045138889</v>
      </c>
      <c r="C1249" s="1" t="n">
        <v>46076</v>
      </c>
      <c r="D1249" t="inlineStr">
        <is>
          <t>JÄMTLANDS LÄN</t>
        </is>
      </c>
      <c r="E1249" t="inlineStr">
        <is>
          <t>HÄRJEDALEN</t>
        </is>
      </c>
      <c r="F1249" t="inlineStr">
        <is>
          <t>Holmen skog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26528-2025</t>
        </is>
      </c>
      <c r="B1250" s="1" t="n">
        <v>45807.5684375</v>
      </c>
      <c r="C1250" s="1" t="n">
        <v>46076</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26468-2025</t>
        </is>
      </c>
      <c r="B1251" s="1" t="n">
        <v>45807.45288194445</v>
      </c>
      <c r="C1251" s="1" t="n">
        <v>46076</v>
      </c>
      <c r="D1251" t="inlineStr">
        <is>
          <t>JÄMTLANDS LÄN</t>
        </is>
      </c>
      <c r="E1251" t="inlineStr">
        <is>
          <t>HÄRJEDALEN</t>
        </is>
      </c>
      <c r="F1251" t="inlineStr">
        <is>
          <t>Holmen skog AB</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26448-2025</t>
        </is>
      </c>
      <c r="B1252" s="1" t="n">
        <v>45807.41717592593</v>
      </c>
      <c r="C1252" s="1" t="n">
        <v>46076</v>
      </c>
      <c r="D1252" t="inlineStr">
        <is>
          <t>JÄMTLANDS LÄN</t>
        </is>
      </c>
      <c r="E1252" t="inlineStr">
        <is>
          <t>HÄRJEDALEN</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26462-2025</t>
        </is>
      </c>
      <c r="B1253" s="1" t="n">
        <v>45807.43461805556</v>
      </c>
      <c r="C1253" s="1" t="n">
        <v>46076</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26464-2025</t>
        </is>
      </c>
      <c r="B1254" s="1" t="n">
        <v>45807.44070601852</v>
      </c>
      <c r="C1254" s="1" t="n">
        <v>46076</v>
      </c>
      <c r="D1254" t="inlineStr">
        <is>
          <t>JÄMTLANDS LÄN</t>
        </is>
      </c>
      <c r="E1254" t="inlineStr">
        <is>
          <t>HÄRJEDALEN</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26466-2025</t>
        </is>
      </c>
      <c r="B1255" s="1" t="n">
        <v>45807.44608796296</v>
      </c>
      <c r="C1255" s="1" t="n">
        <v>46076</v>
      </c>
      <c r="D1255" t="inlineStr">
        <is>
          <t>JÄMTLANDS LÄN</t>
        </is>
      </c>
      <c r="E1255" t="inlineStr">
        <is>
          <t>HÄRJEDALEN</t>
        </is>
      </c>
      <c r="F1255" t="inlineStr">
        <is>
          <t>Holmen skog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26496-2025</t>
        </is>
      </c>
      <c r="B1256" s="1" t="n">
        <v>45807.49832175926</v>
      </c>
      <c r="C1256" s="1" t="n">
        <v>46076</v>
      </c>
      <c r="D1256" t="inlineStr">
        <is>
          <t>JÄMTLANDS LÄN</t>
        </is>
      </c>
      <c r="E1256" t="inlineStr">
        <is>
          <t>HÄRJEDALEN</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26543-2025</t>
        </is>
      </c>
      <c r="B1257" s="1" t="n">
        <v>45807.58868055556</v>
      </c>
      <c r="C1257" s="1" t="n">
        <v>46076</v>
      </c>
      <c r="D1257" t="inlineStr">
        <is>
          <t>JÄMTLANDS LÄN</t>
        </is>
      </c>
      <c r="E1257" t="inlineStr">
        <is>
          <t>HÄRJEDALEN</t>
        </is>
      </c>
      <c r="F1257" t="inlineStr">
        <is>
          <t>Holmen skog AB</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26548-2025</t>
        </is>
      </c>
      <c r="B1258" s="1" t="n">
        <v>45807.59407407408</v>
      </c>
      <c r="C1258" s="1" t="n">
        <v>46076</v>
      </c>
      <c r="D1258" t="inlineStr">
        <is>
          <t>JÄMTLANDS LÄN</t>
        </is>
      </c>
      <c r="E1258" t="inlineStr">
        <is>
          <t>HÄRJEDALEN</t>
        </is>
      </c>
      <c r="F1258" t="inlineStr">
        <is>
          <t>Holmen skog AB</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26905-2025</t>
        </is>
      </c>
      <c r="B1259" s="1" t="n">
        <v>45811.34540509259</v>
      </c>
      <c r="C1259" s="1" t="n">
        <v>46076</v>
      </c>
      <c r="D1259" t="inlineStr">
        <is>
          <t>JÄMTLANDS LÄN</t>
        </is>
      </c>
      <c r="E1259" t="inlineStr">
        <is>
          <t>HÄRJEDALEN</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30411-2023</t>
        </is>
      </c>
      <c r="B1260" s="1" t="n">
        <v>45111</v>
      </c>
      <c r="C1260" s="1" t="n">
        <v>46076</v>
      </c>
      <c r="D1260" t="inlineStr">
        <is>
          <t>JÄMTLANDS LÄN</t>
        </is>
      </c>
      <c r="E1260" t="inlineStr">
        <is>
          <t>HÄRJEDALEN</t>
        </is>
      </c>
      <c r="F1260" t="inlineStr">
        <is>
          <t>Bergvik skog väst AB</t>
        </is>
      </c>
      <c r="G1260" t="n">
        <v>28.3</v>
      </c>
      <c r="H1260" t="n">
        <v>0</v>
      </c>
      <c r="I1260" t="n">
        <v>0</v>
      </c>
      <c r="J1260" t="n">
        <v>0</v>
      </c>
      <c r="K1260" t="n">
        <v>0</v>
      </c>
      <c r="L1260" t="n">
        <v>0</v>
      </c>
      <c r="M1260" t="n">
        <v>0</v>
      </c>
      <c r="N1260" t="n">
        <v>0</v>
      </c>
      <c r="O1260" t="n">
        <v>0</v>
      </c>
      <c r="P1260" t="n">
        <v>0</v>
      </c>
      <c r="Q1260" t="n">
        <v>0</v>
      </c>
      <c r="R1260" s="2" t="inlineStr"/>
    </row>
    <row r="1261" ht="15" customHeight="1">
      <c r="A1261" t="inlineStr">
        <is>
          <t>A 27565-2025</t>
        </is>
      </c>
      <c r="B1261" s="1" t="n">
        <v>45813.48734953703</v>
      </c>
      <c r="C1261" s="1" t="n">
        <v>46076</v>
      </c>
      <c r="D1261" t="inlineStr">
        <is>
          <t>JÄMTLANDS LÄN</t>
        </is>
      </c>
      <c r="E1261" t="inlineStr">
        <is>
          <t>HÄRJEDALEN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27553-2025</t>
        </is>
      </c>
      <c r="B1262" s="1" t="n">
        <v>45813.47074074074</v>
      </c>
      <c r="C1262" s="1" t="n">
        <v>46076</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64485-2023</t>
        </is>
      </c>
      <c r="B1263" s="1" t="n">
        <v>45280</v>
      </c>
      <c r="C1263" s="1" t="n">
        <v>46076</v>
      </c>
      <c r="D1263" t="inlineStr">
        <is>
          <t>JÄMTLANDS LÄN</t>
        </is>
      </c>
      <c r="E1263" t="inlineStr">
        <is>
          <t>HÄRJEDALEN</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16176-2024</t>
        </is>
      </c>
      <c r="B1264" s="1" t="n">
        <v>45406.64024305555</v>
      </c>
      <c r="C1264" s="1" t="n">
        <v>46076</v>
      </c>
      <c r="D1264" t="inlineStr">
        <is>
          <t>JÄMTLANDS LÄN</t>
        </is>
      </c>
      <c r="E1264" t="inlineStr">
        <is>
          <t>HÄRJEDALEN</t>
        </is>
      </c>
      <c r="F1264" t="inlineStr">
        <is>
          <t>Holmen skog AB</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27679-2025</t>
        </is>
      </c>
      <c r="B1265" s="1" t="n">
        <v>45813.64590277777</v>
      </c>
      <c r="C1265" s="1" t="n">
        <v>46076</v>
      </c>
      <c r="D1265" t="inlineStr">
        <is>
          <t>JÄMTLANDS LÄN</t>
        </is>
      </c>
      <c r="E1265" t="inlineStr">
        <is>
          <t>HÄRJEDALEN</t>
        </is>
      </c>
      <c r="G1265" t="n">
        <v>13.9</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46076</v>
      </c>
      <c r="D1266" t="inlineStr">
        <is>
          <t>JÄMTLANDS LÄN</t>
        </is>
      </c>
      <c r="E1266" t="inlineStr">
        <is>
          <t>HÄRJEDALEN</t>
        </is>
      </c>
      <c r="F1266" t="inlineStr">
        <is>
          <t>Övriga statliga verk och myndigheter</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4128-2025</t>
        </is>
      </c>
      <c r="B1267" s="1" t="n">
        <v>45685</v>
      </c>
      <c r="C1267" s="1" t="n">
        <v>46076</v>
      </c>
      <c r="D1267" t="inlineStr">
        <is>
          <t>JÄMTLANDS LÄN</t>
        </is>
      </c>
      <c r="E1267" t="inlineStr">
        <is>
          <t>HÄRJEDALEN</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31586-2024</t>
        </is>
      </c>
      <c r="B1268" s="1" t="n">
        <v>45506.3637962963</v>
      </c>
      <c r="C1268" s="1" t="n">
        <v>46076</v>
      </c>
      <c r="D1268" t="inlineStr">
        <is>
          <t>JÄMTLANDS LÄN</t>
        </is>
      </c>
      <c r="E1268" t="inlineStr">
        <is>
          <t>HÄRJEDALEN</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27820-2025</t>
        </is>
      </c>
      <c r="B1269" s="1" t="n">
        <v>45817.33819444444</v>
      </c>
      <c r="C1269" s="1" t="n">
        <v>46076</v>
      </c>
      <c r="D1269" t="inlineStr">
        <is>
          <t>JÄMTLANDS LÄN</t>
        </is>
      </c>
      <c r="E1269" t="inlineStr">
        <is>
          <t>HÄRJEDALEN</t>
        </is>
      </c>
      <c r="F1269" t="inlineStr">
        <is>
          <t>Övriga statliga verk och myndigheter</t>
        </is>
      </c>
      <c r="G1269" t="n">
        <v>42.8</v>
      </c>
      <c r="H1269" t="n">
        <v>0</v>
      </c>
      <c r="I1269" t="n">
        <v>0</v>
      </c>
      <c r="J1269" t="n">
        <v>0</v>
      </c>
      <c r="K1269" t="n">
        <v>0</v>
      </c>
      <c r="L1269" t="n">
        <v>0</v>
      </c>
      <c r="M1269" t="n">
        <v>0</v>
      </c>
      <c r="N1269" t="n">
        <v>0</v>
      </c>
      <c r="O1269" t="n">
        <v>0</v>
      </c>
      <c r="P1269" t="n">
        <v>0</v>
      </c>
      <c r="Q1269" t="n">
        <v>0</v>
      </c>
      <c r="R1269" s="2" t="inlineStr"/>
    </row>
    <row r="1270">
      <c r="A1270" t="inlineStr">
        <is>
          <t>A 28026-2025</t>
        </is>
      </c>
      <c r="B1270" s="1" t="n">
        <v>45817.62439814815</v>
      </c>
      <c r="C1270" s="1" t="n">
        <v>46076</v>
      </c>
      <c r="D1270" t="inlineStr">
        <is>
          <t>JÄMTLANDS LÄN</t>
        </is>
      </c>
      <c r="E1270" t="inlineStr">
        <is>
          <t>HÄRJEDALEN</t>
        </is>
      </c>
      <c r="G1270" t="n">
        <v>2.2</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2026-02-23T11:09:31Z</dcterms:created>
  <dcterms:modified xmlns:dcterms="http://purl.org/dc/terms/" xmlns:xsi="http://www.w3.org/2001/XMLSchema-instance" xsi:type="dcterms:W3CDTF">2026-02-23T11:09:32Z</dcterms:modified>
</cp:coreProperties>
</file>