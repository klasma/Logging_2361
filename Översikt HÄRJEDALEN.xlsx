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45719</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45719</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45719</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45719</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45719</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45719</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45719</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45719</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45719</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45719</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45719</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45719</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45719</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45719</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45719</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45719</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45719</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45719</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45719</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45719</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45719</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45719</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45719</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45719</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45719</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45719</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45719</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45719</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45719</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45719</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45719</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45719</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45719</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45719</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45719</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45719</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45719</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45719</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45719</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45719</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45719</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45719</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45719</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45719</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45719</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45719</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45719</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45719</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45719</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45719</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45719</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45719</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45719</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45719</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45719</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45719</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45719</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45719</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45719</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45719</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45719</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45719</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45719</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45719</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45719</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45719</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45719</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45719</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45719</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45719</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45719</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45719</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45719</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45719</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45719</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45719</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45719</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45719</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45719</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45719</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45719</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45719</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45719</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45719</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45719</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45719</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45719</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45719</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45719</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45719</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45719</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45719</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45719</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45719</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45719</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45719</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45719</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45719</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45719</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45719</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45719</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45719</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45719</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45719</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45719</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45719</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45719</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45719</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45719</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45719</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45719</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45719</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45719</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45719</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45719</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45719</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45719</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45719</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45719</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45719</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45719</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45719</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45719</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45719</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9618-2025</t>
        </is>
      </c>
      <c r="B143" s="1" t="n">
        <v>45715</v>
      </c>
      <c r="C143" s="1" t="n">
        <v>45719</v>
      </c>
      <c r="D143" t="inlineStr">
        <is>
          <t>JÄMTLANDS LÄN</t>
        </is>
      </c>
      <c r="E143" t="inlineStr">
        <is>
          <t>HÄRJEDALEN</t>
        </is>
      </c>
      <c r="F143" t="inlineStr">
        <is>
          <t>Bergvik skog väst AB</t>
        </is>
      </c>
      <c r="G143" t="n">
        <v>11.5</v>
      </c>
      <c r="H143" t="n">
        <v>0</v>
      </c>
      <c r="I143" t="n">
        <v>0</v>
      </c>
      <c r="J143" t="n">
        <v>3</v>
      </c>
      <c r="K143" t="n">
        <v>0</v>
      </c>
      <c r="L143" t="n">
        <v>0</v>
      </c>
      <c r="M143" t="n">
        <v>0</v>
      </c>
      <c r="N143" t="n">
        <v>0</v>
      </c>
      <c r="O143" t="n">
        <v>3</v>
      </c>
      <c r="P143" t="n">
        <v>0</v>
      </c>
      <c r="Q143" t="n">
        <v>3</v>
      </c>
      <c r="R143" s="2" t="inlineStr">
        <is>
          <t>Doftskinn
Granticka
Vitgrynig nållav</t>
        </is>
      </c>
      <c r="S143">
        <f>HYPERLINK("https://klasma.github.io/Logging_2361/artfynd/A 9618-2025 artfynd.xlsx", "A 9618-2025")</f>
        <v/>
      </c>
      <c r="T143">
        <f>HYPERLINK("https://klasma.github.io/Logging_2361/kartor/A 9618-2025 karta.png", "A 9618-2025")</f>
        <v/>
      </c>
      <c r="V143">
        <f>HYPERLINK("https://klasma.github.io/Logging_2361/klagomål/A 9618-2025 FSC-klagomål.docx", "A 9618-2025")</f>
        <v/>
      </c>
      <c r="W143">
        <f>HYPERLINK("https://klasma.github.io/Logging_2361/klagomålsmail/A 9618-2025 FSC-klagomål mail.docx", "A 9618-2025")</f>
        <v/>
      </c>
      <c r="X143">
        <f>HYPERLINK("https://klasma.github.io/Logging_2361/tillsyn/A 9618-2025 tillsynsbegäran.docx", "A 9618-2025")</f>
        <v/>
      </c>
      <c r="Y143">
        <f>HYPERLINK("https://klasma.github.io/Logging_2361/tillsynsmail/A 9618-2025 tillsynsbegäran mail.docx", "A 9618-2025")</f>
        <v/>
      </c>
    </row>
    <row r="144" ht="15" customHeight="1">
      <c r="A144" t="inlineStr">
        <is>
          <t>A 28321-2019</t>
        </is>
      </c>
      <c r="B144" s="1" t="n">
        <v>43623</v>
      </c>
      <c r="C144" s="1" t="n">
        <v>45719</v>
      </c>
      <c r="D144" t="inlineStr">
        <is>
          <t>JÄMTLANDS LÄN</t>
        </is>
      </c>
      <c r="E144" t="inlineStr">
        <is>
          <t>HÄRJEDALEN</t>
        </is>
      </c>
      <c r="F144" t="inlineStr">
        <is>
          <t>Sveaskog</t>
        </is>
      </c>
      <c r="G144" t="n">
        <v>3.3</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28321-2019 artfynd.xlsx", "A 28321-2019")</f>
        <v/>
      </c>
      <c r="T144">
        <f>HYPERLINK("https://klasma.github.io/Logging_2361/kartor/A 28321-2019 karta.png", "A 28321-2019")</f>
        <v/>
      </c>
      <c r="V144">
        <f>HYPERLINK("https://klasma.github.io/Logging_2361/klagomål/A 28321-2019 FSC-klagomål.docx", "A 28321-2019")</f>
        <v/>
      </c>
      <c r="W144">
        <f>HYPERLINK("https://klasma.github.io/Logging_2361/klagomålsmail/A 28321-2019 FSC-klagomål mail.docx", "A 28321-2019")</f>
        <v/>
      </c>
      <c r="X144">
        <f>HYPERLINK("https://klasma.github.io/Logging_2361/tillsyn/A 28321-2019 tillsynsbegäran.docx", "A 28321-2019")</f>
        <v/>
      </c>
      <c r="Y144">
        <f>HYPERLINK("https://klasma.github.io/Logging_2361/tillsynsmail/A 28321-2019 tillsynsbegäran mail.docx", "A 28321-2019")</f>
        <v/>
      </c>
    </row>
    <row r="145" ht="15" customHeight="1">
      <c r="A145" t="inlineStr">
        <is>
          <t>A 29265-2019</t>
        </is>
      </c>
      <c r="B145" s="1" t="n">
        <v>43629</v>
      </c>
      <c r="C145" s="1" t="n">
        <v>45719</v>
      </c>
      <c r="D145" t="inlineStr">
        <is>
          <t>JÄMTLANDS LÄN</t>
        </is>
      </c>
      <c r="E145" t="inlineStr">
        <is>
          <t>HÄRJEDALEN</t>
        </is>
      </c>
      <c r="F145" t="inlineStr">
        <is>
          <t>Holmen skog AB</t>
        </is>
      </c>
      <c r="G145" t="n">
        <v>2.2</v>
      </c>
      <c r="H145" t="n">
        <v>0</v>
      </c>
      <c r="I145" t="n">
        <v>0</v>
      </c>
      <c r="J145" t="n">
        <v>1</v>
      </c>
      <c r="K145" t="n">
        <v>1</v>
      </c>
      <c r="L145" t="n">
        <v>0</v>
      </c>
      <c r="M145" t="n">
        <v>0</v>
      </c>
      <c r="N145" t="n">
        <v>0</v>
      </c>
      <c r="O145" t="n">
        <v>2</v>
      </c>
      <c r="P145" t="n">
        <v>1</v>
      </c>
      <c r="Q145" t="n">
        <v>2</v>
      </c>
      <c r="R145" s="2" t="inlineStr">
        <is>
          <t>Goliatmusseron
Blå taggsvamp</t>
        </is>
      </c>
      <c r="S145">
        <f>HYPERLINK("https://klasma.github.io/Logging_2361/artfynd/A 29265-2019 artfynd.xlsx", "A 29265-2019")</f>
        <v/>
      </c>
      <c r="T145">
        <f>HYPERLINK("https://klasma.github.io/Logging_2361/kartor/A 29265-2019 karta.png", "A 29265-2019")</f>
        <v/>
      </c>
      <c r="V145">
        <f>HYPERLINK("https://klasma.github.io/Logging_2361/klagomål/A 29265-2019 FSC-klagomål.docx", "A 29265-2019")</f>
        <v/>
      </c>
      <c r="W145">
        <f>HYPERLINK("https://klasma.github.io/Logging_2361/klagomålsmail/A 29265-2019 FSC-klagomål mail.docx", "A 29265-2019")</f>
        <v/>
      </c>
      <c r="X145">
        <f>HYPERLINK("https://klasma.github.io/Logging_2361/tillsyn/A 29265-2019 tillsynsbegäran.docx", "A 29265-2019")</f>
        <v/>
      </c>
      <c r="Y145">
        <f>HYPERLINK("https://klasma.github.io/Logging_2361/tillsynsmail/A 29265-2019 tillsynsbegäran mail.docx", "A 29265-2019")</f>
        <v/>
      </c>
    </row>
    <row r="146" ht="15" customHeight="1">
      <c r="A146" t="inlineStr">
        <is>
          <t>A 32481-2019</t>
        </is>
      </c>
      <c r="B146" s="1" t="n">
        <v>43644</v>
      </c>
      <c r="C146" s="1" t="n">
        <v>45719</v>
      </c>
      <c r="D146" t="inlineStr">
        <is>
          <t>JÄMTLANDS LÄN</t>
        </is>
      </c>
      <c r="E146" t="inlineStr">
        <is>
          <t>HÄRJEDALEN</t>
        </is>
      </c>
      <c r="F146" t="inlineStr">
        <is>
          <t>SCA</t>
        </is>
      </c>
      <c r="G146" t="n">
        <v>2.3</v>
      </c>
      <c r="H146" t="n">
        <v>0</v>
      </c>
      <c r="I146" t="n">
        <v>0</v>
      </c>
      <c r="J146" t="n">
        <v>2</v>
      </c>
      <c r="K146" t="n">
        <v>0</v>
      </c>
      <c r="L146" t="n">
        <v>0</v>
      </c>
      <c r="M146" t="n">
        <v>0</v>
      </c>
      <c r="N146" t="n">
        <v>0</v>
      </c>
      <c r="O146" t="n">
        <v>2</v>
      </c>
      <c r="P146" t="n">
        <v>0</v>
      </c>
      <c r="Q146" t="n">
        <v>2</v>
      </c>
      <c r="R146" s="2" t="inlineStr">
        <is>
          <t>Blågrå svartspik
Mörk kolflarnlav</t>
        </is>
      </c>
      <c r="S146">
        <f>HYPERLINK("https://klasma.github.io/Logging_2361/artfynd/A 32481-2019 artfynd.xlsx", "A 32481-2019")</f>
        <v/>
      </c>
      <c r="T146">
        <f>HYPERLINK("https://klasma.github.io/Logging_2361/kartor/A 32481-2019 karta.png", "A 32481-2019")</f>
        <v/>
      </c>
      <c r="V146">
        <f>HYPERLINK("https://klasma.github.io/Logging_2361/klagomål/A 32481-2019 FSC-klagomål.docx", "A 32481-2019")</f>
        <v/>
      </c>
      <c r="W146">
        <f>HYPERLINK("https://klasma.github.io/Logging_2361/klagomålsmail/A 32481-2019 FSC-klagomål mail.docx", "A 32481-2019")</f>
        <v/>
      </c>
      <c r="X146">
        <f>HYPERLINK("https://klasma.github.io/Logging_2361/tillsyn/A 32481-2019 tillsynsbegäran.docx", "A 32481-2019")</f>
        <v/>
      </c>
      <c r="Y146">
        <f>HYPERLINK("https://klasma.github.io/Logging_2361/tillsynsmail/A 32481-2019 tillsynsbegäran mail.docx", "A 32481-2019")</f>
        <v/>
      </c>
    </row>
    <row r="147" ht="15" customHeight="1">
      <c r="A147" t="inlineStr">
        <is>
          <t>A 34268-2019</t>
        </is>
      </c>
      <c r="B147" s="1" t="n">
        <v>43655</v>
      </c>
      <c r="C147" s="1" t="n">
        <v>45719</v>
      </c>
      <c r="D147" t="inlineStr">
        <is>
          <t>JÄMTLANDS LÄN</t>
        </is>
      </c>
      <c r="E147" t="inlineStr">
        <is>
          <t>HÄRJEDALEN</t>
        </is>
      </c>
      <c r="F147" t="inlineStr">
        <is>
          <t>Bergvik skog väst AB</t>
        </is>
      </c>
      <c r="G147" t="n">
        <v>43.7</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34268-2019 artfynd.xlsx", "A 34268-2019")</f>
        <v/>
      </c>
      <c r="T147">
        <f>HYPERLINK("https://klasma.github.io/Logging_2361/kartor/A 34268-2019 karta.png", "A 34268-2019")</f>
        <v/>
      </c>
      <c r="V147">
        <f>HYPERLINK("https://klasma.github.io/Logging_2361/klagomål/A 34268-2019 FSC-klagomål.docx", "A 34268-2019")</f>
        <v/>
      </c>
      <c r="W147">
        <f>HYPERLINK("https://klasma.github.io/Logging_2361/klagomålsmail/A 34268-2019 FSC-klagomål mail.docx", "A 34268-2019")</f>
        <v/>
      </c>
      <c r="X147">
        <f>HYPERLINK("https://klasma.github.io/Logging_2361/tillsyn/A 34268-2019 tillsynsbegäran.docx", "A 34268-2019")</f>
        <v/>
      </c>
      <c r="Y147">
        <f>HYPERLINK("https://klasma.github.io/Logging_2361/tillsynsmail/A 34268-2019 tillsynsbegäran mail.docx", "A 34268-2019")</f>
        <v/>
      </c>
    </row>
    <row r="148" ht="15" customHeight="1">
      <c r="A148" t="inlineStr">
        <is>
          <t>A 4356-2020</t>
        </is>
      </c>
      <c r="B148" s="1" t="n">
        <v>43857</v>
      </c>
      <c r="C148" s="1" t="n">
        <v>45719</v>
      </c>
      <c r="D148" t="inlineStr">
        <is>
          <t>JÄMTLANDS LÄN</t>
        </is>
      </c>
      <c r="E148" t="inlineStr">
        <is>
          <t>HÄRJEDALEN</t>
        </is>
      </c>
      <c r="F148" t="inlineStr">
        <is>
          <t>Bergvik skog väst AB</t>
        </is>
      </c>
      <c r="G148" t="n">
        <v>51.2</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HYPERLINK("https://klasma.github.io/Logging_2361/artfynd/A 4356-2020 artfynd.xlsx", "A 4356-2020")</f>
        <v/>
      </c>
      <c r="T148">
        <f>HYPERLINK("https://klasma.github.io/Logging_2361/kartor/A 4356-2020 karta.png", "A 4356-2020")</f>
        <v/>
      </c>
      <c r="V148">
        <f>HYPERLINK("https://klasma.github.io/Logging_2361/klagomål/A 4356-2020 FSC-klagomål.docx", "A 4356-2020")</f>
        <v/>
      </c>
      <c r="W148">
        <f>HYPERLINK("https://klasma.github.io/Logging_2361/klagomålsmail/A 4356-2020 FSC-klagomål mail.docx", "A 4356-2020")</f>
        <v/>
      </c>
      <c r="X148">
        <f>HYPERLINK("https://klasma.github.io/Logging_2361/tillsyn/A 4356-2020 tillsynsbegäran.docx", "A 4356-2020")</f>
        <v/>
      </c>
      <c r="Y148">
        <f>HYPERLINK("https://klasma.github.io/Logging_2361/tillsynsmail/A 4356-2020 tillsynsbegäran mail.docx", "A 4356-2020")</f>
        <v/>
      </c>
      <c r="Z148">
        <f>HYPERLINK("https://klasma.github.io/Logging_2361/fåglar/A 4356-2020 prioriterade fågelarter.docx", "A 4356-2020")</f>
        <v/>
      </c>
    </row>
    <row r="149" ht="15" customHeight="1">
      <c r="A149" t="inlineStr">
        <is>
          <t>A 9510-2020</t>
        </is>
      </c>
      <c r="B149" s="1" t="n">
        <v>43880</v>
      </c>
      <c r="C149" s="1" t="n">
        <v>45719</v>
      </c>
      <c r="D149" t="inlineStr">
        <is>
          <t>JÄMTLANDS LÄN</t>
        </is>
      </c>
      <c r="E149" t="inlineStr">
        <is>
          <t>HÄRJEDALEN</t>
        </is>
      </c>
      <c r="F149" t="inlineStr">
        <is>
          <t>Bergvik skog väst AB</t>
        </is>
      </c>
      <c r="G149" t="n">
        <v>18.7</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HYPERLINK("https://klasma.github.io/Logging_2361/artfynd/A 9510-2020 artfynd.xlsx", "A 9510-2020")</f>
        <v/>
      </c>
      <c r="T149">
        <f>HYPERLINK("https://klasma.github.io/Logging_2361/kartor/A 9510-2020 karta.png", "A 9510-2020")</f>
        <v/>
      </c>
      <c r="V149">
        <f>HYPERLINK("https://klasma.github.io/Logging_2361/klagomål/A 9510-2020 FSC-klagomål.docx", "A 9510-2020")</f>
        <v/>
      </c>
      <c r="W149">
        <f>HYPERLINK("https://klasma.github.io/Logging_2361/klagomålsmail/A 9510-2020 FSC-klagomål mail.docx", "A 9510-2020")</f>
        <v/>
      </c>
      <c r="X149">
        <f>HYPERLINK("https://klasma.github.io/Logging_2361/tillsyn/A 9510-2020 tillsynsbegäran.docx", "A 9510-2020")</f>
        <v/>
      </c>
      <c r="Y149">
        <f>HYPERLINK("https://klasma.github.io/Logging_2361/tillsynsmail/A 9510-2020 tillsynsbegäran mail.docx", "A 9510-2020")</f>
        <v/>
      </c>
      <c r="Z149">
        <f>HYPERLINK("https://klasma.github.io/Logging_2361/fåglar/A 9510-2020 prioriterade fågelarter.docx", "A 9510-2020")</f>
        <v/>
      </c>
    </row>
    <row r="150" ht="15" customHeight="1">
      <c r="A150" t="inlineStr">
        <is>
          <t>A 12954-2020</t>
        </is>
      </c>
      <c r="B150" s="1" t="n">
        <v>43900</v>
      </c>
      <c r="C150" s="1" t="n">
        <v>45719</v>
      </c>
      <c r="D150" t="inlineStr">
        <is>
          <t>JÄMTLANDS LÄN</t>
        </is>
      </c>
      <c r="E150" t="inlineStr">
        <is>
          <t>HÄRJEDALEN</t>
        </is>
      </c>
      <c r="F150" t="inlineStr">
        <is>
          <t>Bergvik skog väst AB</t>
        </is>
      </c>
      <c r="G150" t="n">
        <v>12.1</v>
      </c>
      <c r="H150" t="n">
        <v>0</v>
      </c>
      <c r="I150" t="n">
        <v>2</v>
      </c>
      <c r="J150" t="n">
        <v>0</v>
      </c>
      <c r="K150" t="n">
        <v>0</v>
      </c>
      <c r="L150" t="n">
        <v>0</v>
      </c>
      <c r="M150" t="n">
        <v>0</v>
      </c>
      <c r="N150" t="n">
        <v>0</v>
      </c>
      <c r="O150" t="n">
        <v>0</v>
      </c>
      <c r="P150" t="n">
        <v>0</v>
      </c>
      <c r="Q150" t="n">
        <v>2</v>
      </c>
      <c r="R150" s="2" t="inlineStr">
        <is>
          <t>Blodticka
Vedticka</t>
        </is>
      </c>
      <c r="S150">
        <f>HYPERLINK("https://klasma.github.io/Logging_2361/artfynd/A 12954-2020 artfynd.xlsx", "A 12954-2020")</f>
        <v/>
      </c>
      <c r="T150">
        <f>HYPERLINK("https://klasma.github.io/Logging_2361/kartor/A 12954-2020 karta.png", "A 12954-2020")</f>
        <v/>
      </c>
      <c r="V150">
        <f>HYPERLINK("https://klasma.github.io/Logging_2361/klagomål/A 12954-2020 FSC-klagomål.docx", "A 12954-2020")</f>
        <v/>
      </c>
      <c r="W150">
        <f>HYPERLINK("https://klasma.github.io/Logging_2361/klagomålsmail/A 12954-2020 FSC-klagomål mail.docx", "A 12954-2020")</f>
        <v/>
      </c>
      <c r="X150">
        <f>HYPERLINK("https://klasma.github.io/Logging_2361/tillsyn/A 12954-2020 tillsynsbegäran.docx", "A 12954-2020")</f>
        <v/>
      </c>
      <c r="Y150">
        <f>HYPERLINK("https://klasma.github.io/Logging_2361/tillsynsmail/A 12954-2020 tillsynsbegäran mail.docx", "A 12954-2020")</f>
        <v/>
      </c>
    </row>
    <row r="151" ht="15" customHeight="1">
      <c r="A151" t="inlineStr">
        <is>
          <t>A 34191-2020</t>
        </is>
      </c>
      <c r="B151" s="1" t="n">
        <v>44029</v>
      </c>
      <c r="C151" s="1" t="n">
        <v>45719</v>
      </c>
      <c r="D151" t="inlineStr">
        <is>
          <t>JÄMTLANDS LÄN</t>
        </is>
      </c>
      <c r="E151" t="inlineStr">
        <is>
          <t>HÄRJEDALEN</t>
        </is>
      </c>
      <c r="F151" t="inlineStr">
        <is>
          <t>Holmen skog AB</t>
        </is>
      </c>
      <c r="G151" t="n">
        <v>2.2</v>
      </c>
      <c r="H151" t="n">
        <v>0</v>
      </c>
      <c r="I151" t="n">
        <v>0</v>
      </c>
      <c r="J151" t="n">
        <v>2</v>
      </c>
      <c r="K151" t="n">
        <v>0</v>
      </c>
      <c r="L151" t="n">
        <v>0</v>
      </c>
      <c r="M151" t="n">
        <v>0</v>
      </c>
      <c r="N151" t="n">
        <v>0</v>
      </c>
      <c r="O151" t="n">
        <v>2</v>
      </c>
      <c r="P151" t="n">
        <v>0</v>
      </c>
      <c r="Q151" t="n">
        <v>2</v>
      </c>
      <c r="R151" s="2" t="inlineStr">
        <is>
          <t>Dvärgbägarlav
Lunglav</t>
        </is>
      </c>
      <c r="S151">
        <f>HYPERLINK("https://klasma.github.io/Logging_2361/artfynd/A 34191-2020 artfynd.xlsx", "A 34191-2020")</f>
        <v/>
      </c>
      <c r="T151">
        <f>HYPERLINK("https://klasma.github.io/Logging_2361/kartor/A 34191-2020 karta.png", "A 34191-2020")</f>
        <v/>
      </c>
      <c r="V151">
        <f>HYPERLINK("https://klasma.github.io/Logging_2361/klagomål/A 34191-2020 FSC-klagomål.docx", "A 34191-2020")</f>
        <v/>
      </c>
      <c r="W151">
        <f>HYPERLINK("https://klasma.github.io/Logging_2361/klagomålsmail/A 34191-2020 FSC-klagomål mail.docx", "A 34191-2020")</f>
        <v/>
      </c>
      <c r="X151">
        <f>HYPERLINK("https://klasma.github.io/Logging_2361/tillsyn/A 34191-2020 tillsynsbegäran.docx", "A 34191-2020")</f>
        <v/>
      </c>
      <c r="Y151">
        <f>HYPERLINK("https://klasma.github.io/Logging_2361/tillsynsmail/A 34191-2020 tillsynsbegäran mail.docx", "A 34191-2020")</f>
        <v/>
      </c>
    </row>
    <row r="152" ht="15" customHeight="1">
      <c r="A152" t="inlineStr">
        <is>
          <t>A 68856-2020</t>
        </is>
      </c>
      <c r="B152" s="1" t="n">
        <v>44186</v>
      </c>
      <c r="C152" s="1" t="n">
        <v>45719</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68856-2020 artfynd.xlsx", "A 68856-2020")</f>
        <v/>
      </c>
      <c r="T152">
        <f>HYPERLINK("https://klasma.github.io/Logging_2361/kartor/A 68856-2020 karta.png", "A 68856-2020")</f>
        <v/>
      </c>
      <c r="V152">
        <f>HYPERLINK("https://klasma.github.io/Logging_2361/klagomål/A 68856-2020 FSC-klagomål.docx", "A 68856-2020")</f>
        <v/>
      </c>
      <c r="W152">
        <f>HYPERLINK("https://klasma.github.io/Logging_2361/klagomålsmail/A 68856-2020 FSC-klagomål mail.docx", "A 68856-2020")</f>
        <v/>
      </c>
      <c r="X152">
        <f>HYPERLINK("https://klasma.github.io/Logging_2361/tillsyn/A 68856-2020 tillsynsbegäran.docx", "A 68856-2020")</f>
        <v/>
      </c>
      <c r="Y152">
        <f>HYPERLINK("https://klasma.github.io/Logging_2361/tillsynsmail/A 68856-2020 tillsynsbegäran mail.docx", "A 68856-2020")</f>
        <v/>
      </c>
    </row>
    <row r="153" ht="15" customHeight="1">
      <c r="A153" t="inlineStr">
        <is>
          <t>A 3699-2021</t>
        </is>
      </c>
      <c r="B153" s="1" t="n">
        <v>44221</v>
      </c>
      <c r="C153" s="1" t="n">
        <v>45719</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15679-2021</t>
        </is>
      </c>
      <c r="B154" s="1" t="n">
        <v>44286</v>
      </c>
      <c r="C154" s="1" t="n">
        <v>45719</v>
      </c>
      <c r="D154" t="inlineStr">
        <is>
          <t>JÄMTLANDS LÄN</t>
        </is>
      </c>
      <c r="E154" t="inlineStr">
        <is>
          <t>HÄRJEDALEN</t>
        </is>
      </c>
      <c r="G154" t="n">
        <v>20.9</v>
      </c>
      <c r="H154" t="n">
        <v>0</v>
      </c>
      <c r="I154" t="n">
        <v>0</v>
      </c>
      <c r="J154" t="n">
        <v>2</v>
      </c>
      <c r="K154" t="n">
        <v>0</v>
      </c>
      <c r="L154" t="n">
        <v>0</v>
      </c>
      <c r="M154" t="n">
        <v>0</v>
      </c>
      <c r="N154" t="n">
        <v>0</v>
      </c>
      <c r="O154" t="n">
        <v>2</v>
      </c>
      <c r="P154" t="n">
        <v>0</v>
      </c>
      <c r="Q154" t="n">
        <v>2</v>
      </c>
      <c r="R154" s="2" t="inlineStr">
        <is>
          <t>Gränsticka
Hornvaxskinn</t>
        </is>
      </c>
      <c r="S154">
        <f>HYPERLINK("https://klasma.github.io/Logging_2361/artfynd/A 15679-2021 artfynd.xlsx", "A 15679-2021")</f>
        <v/>
      </c>
      <c r="T154">
        <f>HYPERLINK("https://klasma.github.io/Logging_2361/kartor/A 15679-2021 karta.png", "A 15679-2021")</f>
        <v/>
      </c>
      <c r="V154">
        <f>HYPERLINK("https://klasma.github.io/Logging_2361/klagomål/A 15679-2021 FSC-klagomål.docx", "A 15679-2021")</f>
        <v/>
      </c>
      <c r="W154">
        <f>HYPERLINK("https://klasma.github.io/Logging_2361/klagomålsmail/A 15679-2021 FSC-klagomål mail.docx", "A 15679-2021")</f>
        <v/>
      </c>
      <c r="X154">
        <f>HYPERLINK("https://klasma.github.io/Logging_2361/tillsyn/A 15679-2021 tillsynsbegäran.docx", "A 15679-2021")</f>
        <v/>
      </c>
      <c r="Y154">
        <f>HYPERLINK("https://klasma.github.io/Logging_2361/tillsynsmail/A 15679-2021 tillsynsbegäran mail.docx", "A 15679-2021")</f>
        <v/>
      </c>
    </row>
    <row r="155" ht="15" customHeight="1">
      <c r="A155" t="inlineStr">
        <is>
          <t>A 33421-2021</t>
        </is>
      </c>
      <c r="B155" s="1" t="n">
        <v>44377</v>
      </c>
      <c r="C155" s="1" t="n">
        <v>45719</v>
      </c>
      <c r="D155" t="inlineStr">
        <is>
          <t>JÄMTLANDS LÄN</t>
        </is>
      </c>
      <c r="E155" t="inlineStr">
        <is>
          <t>HÄRJEDALEN</t>
        </is>
      </c>
      <c r="G155" t="n">
        <v>47.1</v>
      </c>
      <c r="H155" t="n">
        <v>1</v>
      </c>
      <c r="I155" t="n">
        <v>0</v>
      </c>
      <c r="J155" t="n">
        <v>2</v>
      </c>
      <c r="K155" t="n">
        <v>0</v>
      </c>
      <c r="L155" t="n">
        <v>0</v>
      </c>
      <c r="M155" t="n">
        <v>0</v>
      </c>
      <c r="N155" t="n">
        <v>0</v>
      </c>
      <c r="O155" t="n">
        <v>2</v>
      </c>
      <c r="P155" t="n">
        <v>0</v>
      </c>
      <c r="Q155" t="n">
        <v>2</v>
      </c>
      <c r="R155" s="2" t="inlineStr">
        <is>
          <t>Gultoppig fingersvamp
Talltita</t>
        </is>
      </c>
      <c r="S155">
        <f>HYPERLINK("https://klasma.github.io/Logging_2361/artfynd/A 33421-2021 artfynd.xlsx", "A 33421-2021")</f>
        <v/>
      </c>
      <c r="T155">
        <f>HYPERLINK("https://klasma.github.io/Logging_2361/kartor/A 33421-2021 karta.png", "A 33421-2021")</f>
        <v/>
      </c>
      <c r="V155">
        <f>HYPERLINK("https://klasma.github.io/Logging_2361/klagomål/A 33421-2021 FSC-klagomål.docx", "A 33421-2021")</f>
        <v/>
      </c>
      <c r="W155">
        <f>HYPERLINK("https://klasma.github.io/Logging_2361/klagomålsmail/A 33421-2021 FSC-klagomål mail.docx", "A 33421-2021")</f>
        <v/>
      </c>
      <c r="X155">
        <f>HYPERLINK("https://klasma.github.io/Logging_2361/tillsyn/A 33421-2021 tillsynsbegäran.docx", "A 33421-2021")</f>
        <v/>
      </c>
      <c r="Y155">
        <f>HYPERLINK("https://klasma.github.io/Logging_2361/tillsynsmail/A 33421-2021 tillsynsbegäran mail.docx", "A 33421-2021")</f>
        <v/>
      </c>
      <c r="Z155">
        <f>HYPERLINK("https://klasma.github.io/Logging_2361/fåglar/A 33421-2021 prioriterade fågelarter.docx", "A 33421-2021")</f>
        <v/>
      </c>
    </row>
    <row r="156" ht="15" customHeight="1">
      <c r="A156" t="inlineStr">
        <is>
          <t>A 48065-2021</t>
        </is>
      </c>
      <c r="B156" s="1" t="n">
        <v>44449</v>
      </c>
      <c r="C156" s="1" t="n">
        <v>45719</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55240-2021</t>
        </is>
      </c>
      <c r="B157" s="1" t="n">
        <v>44475</v>
      </c>
      <c r="C157" s="1" t="n">
        <v>45719</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45719</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55392-2021</t>
        </is>
      </c>
      <c r="B159" s="1" t="n">
        <v>44475</v>
      </c>
      <c r="C159" s="1" t="n">
        <v>45719</v>
      </c>
      <c r="D159" t="inlineStr">
        <is>
          <t>JÄMTLANDS LÄN</t>
        </is>
      </c>
      <c r="E159" t="inlineStr">
        <is>
          <t>HÄRJEDALEN</t>
        </is>
      </c>
      <c r="G159" t="n">
        <v>0.8</v>
      </c>
      <c r="H159" t="n">
        <v>0</v>
      </c>
      <c r="I159" t="n">
        <v>0</v>
      </c>
      <c r="J159" t="n">
        <v>2</v>
      </c>
      <c r="K159" t="n">
        <v>0</v>
      </c>
      <c r="L159" t="n">
        <v>0</v>
      </c>
      <c r="M159" t="n">
        <v>0</v>
      </c>
      <c r="N159" t="n">
        <v>0</v>
      </c>
      <c r="O159" t="n">
        <v>2</v>
      </c>
      <c r="P159" t="n">
        <v>0</v>
      </c>
      <c r="Q159" t="n">
        <v>2</v>
      </c>
      <c r="R159" s="2" t="inlineStr">
        <is>
          <t>Ladlav
Vedflamlav</t>
        </is>
      </c>
      <c r="S159">
        <f>HYPERLINK("https://klasma.github.io/Logging_2361/artfynd/A 55392-2021 artfynd.xlsx", "A 55392-2021")</f>
        <v/>
      </c>
      <c r="T159">
        <f>HYPERLINK("https://klasma.github.io/Logging_2361/kartor/A 55392-2021 karta.png", "A 55392-2021")</f>
        <v/>
      </c>
      <c r="V159">
        <f>HYPERLINK("https://klasma.github.io/Logging_2361/klagomål/A 55392-2021 FSC-klagomål.docx", "A 55392-2021")</f>
        <v/>
      </c>
      <c r="W159">
        <f>HYPERLINK("https://klasma.github.io/Logging_2361/klagomålsmail/A 55392-2021 FSC-klagomål mail.docx", "A 55392-2021")</f>
        <v/>
      </c>
      <c r="X159">
        <f>HYPERLINK("https://klasma.github.io/Logging_2361/tillsyn/A 55392-2021 tillsynsbegäran.docx", "A 55392-2021")</f>
        <v/>
      </c>
      <c r="Y159">
        <f>HYPERLINK("https://klasma.github.io/Logging_2361/tillsynsmail/A 55392-2021 tillsynsbegäran mail.docx", "A 55392-2021")</f>
        <v/>
      </c>
    </row>
    <row r="160" ht="15" customHeight="1">
      <c r="A160" t="inlineStr">
        <is>
          <t>A 17082-2022</t>
        </is>
      </c>
      <c r="B160" s="1" t="n">
        <v>44677</v>
      </c>
      <c r="C160" s="1" t="n">
        <v>45719</v>
      </c>
      <c r="D160" t="inlineStr">
        <is>
          <t>JÄMTLANDS LÄN</t>
        </is>
      </c>
      <c r="E160" t="inlineStr">
        <is>
          <t>HÄRJEDALEN</t>
        </is>
      </c>
      <c r="F160" t="inlineStr">
        <is>
          <t>Holmen skog AB</t>
        </is>
      </c>
      <c r="G160" t="n">
        <v>18.1</v>
      </c>
      <c r="H160" t="n">
        <v>0</v>
      </c>
      <c r="I160" t="n">
        <v>0</v>
      </c>
      <c r="J160" t="n">
        <v>2</v>
      </c>
      <c r="K160" t="n">
        <v>0</v>
      </c>
      <c r="L160" t="n">
        <v>0</v>
      </c>
      <c r="M160" t="n">
        <v>0</v>
      </c>
      <c r="N160" t="n">
        <v>0</v>
      </c>
      <c r="O160" t="n">
        <v>2</v>
      </c>
      <c r="P160" t="n">
        <v>0</v>
      </c>
      <c r="Q160" t="n">
        <v>2</v>
      </c>
      <c r="R160" s="2" t="inlineStr">
        <is>
          <t>Motaggsvamp
Orange taggsvamp</t>
        </is>
      </c>
      <c r="S160">
        <f>HYPERLINK("https://klasma.github.io/Logging_2361/artfynd/A 17082-2022 artfynd.xlsx", "A 17082-2022")</f>
        <v/>
      </c>
      <c r="T160">
        <f>HYPERLINK("https://klasma.github.io/Logging_2361/kartor/A 17082-2022 karta.png", "A 17082-2022")</f>
        <v/>
      </c>
      <c r="V160">
        <f>HYPERLINK("https://klasma.github.io/Logging_2361/klagomål/A 17082-2022 FSC-klagomål.docx", "A 17082-2022")</f>
        <v/>
      </c>
      <c r="W160">
        <f>HYPERLINK("https://klasma.github.io/Logging_2361/klagomålsmail/A 17082-2022 FSC-klagomål mail.docx", "A 17082-2022")</f>
        <v/>
      </c>
      <c r="X160">
        <f>HYPERLINK("https://klasma.github.io/Logging_2361/tillsyn/A 17082-2022 tillsynsbegäran.docx", "A 17082-2022")</f>
        <v/>
      </c>
      <c r="Y160">
        <f>HYPERLINK("https://klasma.github.io/Logging_2361/tillsynsmail/A 17082-2022 tillsynsbegäran mail.docx", "A 17082-2022")</f>
        <v/>
      </c>
    </row>
    <row r="161" ht="15" customHeight="1">
      <c r="A161" t="inlineStr">
        <is>
          <t>A 22464-2022</t>
        </is>
      </c>
      <c r="B161" s="1" t="n">
        <v>44713</v>
      </c>
      <c r="C161" s="1" t="n">
        <v>45719</v>
      </c>
      <c r="D161" t="inlineStr">
        <is>
          <t>JÄMTLANDS LÄN</t>
        </is>
      </c>
      <c r="E161" t="inlineStr">
        <is>
          <t>HÄRJEDALEN</t>
        </is>
      </c>
      <c r="F161" t="inlineStr">
        <is>
          <t>Sveaskog</t>
        </is>
      </c>
      <c r="G161" t="n">
        <v>4.3</v>
      </c>
      <c r="H161" t="n">
        <v>0</v>
      </c>
      <c r="I161" t="n">
        <v>1</v>
      </c>
      <c r="J161" t="n">
        <v>1</v>
      </c>
      <c r="K161" t="n">
        <v>0</v>
      </c>
      <c r="L161" t="n">
        <v>0</v>
      </c>
      <c r="M161" t="n">
        <v>0</v>
      </c>
      <c r="N161" t="n">
        <v>0</v>
      </c>
      <c r="O161" t="n">
        <v>1</v>
      </c>
      <c r="P161" t="n">
        <v>0</v>
      </c>
      <c r="Q161" t="n">
        <v>2</v>
      </c>
      <c r="R161" s="2" t="inlineStr">
        <is>
          <t>Lunglav
Dropptaggsvamp</t>
        </is>
      </c>
      <c r="S161">
        <f>HYPERLINK("https://klasma.github.io/Logging_2361/artfynd/A 22464-2022 artfynd.xlsx", "A 22464-2022")</f>
        <v/>
      </c>
      <c r="T161">
        <f>HYPERLINK("https://klasma.github.io/Logging_2361/kartor/A 22464-2022 karta.png", "A 22464-2022")</f>
        <v/>
      </c>
      <c r="U161">
        <f>HYPERLINK("https://klasma.github.io/Logging_2361/knärot/A 22464-2022 karta knärot.png", "A 22464-2022")</f>
        <v/>
      </c>
      <c r="V161">
        <f>HYPERLINK("https://klasma.github.io/Logging_2361/klagomål/A 22464-2022 FSC-klagomål.docx", "A 22464-2022")</f>
        <v/>
      </c>
      <c r="W161">
        <f>HYPERLINK("https://klasma.github.io/Logging_2361/klagomålsmail/A 22464-2022 FSC-klagomål mail.docx", "A 22464-2022")</f>
        <v/>
      </c>
      <c r="X161">
        <f>HYPERLINK("https://klasma.github.io/Logging_2361/tillsyn/A 22464-2022 tillsynsbegäran.docx", "A 22464-2022")</f>
        <v/>
      </c>
      <c r="Y161">
        <f>HYPERLINK("https://klasma.github.io/Logging_2361/tillsynsmail/A 22464-2022 tillsynsbegäran mail.docx", "A 22464-2022")</f>
        <v/>
      </c>
    </row>
    <row r="162" ht="15" customHeight="1">
      <c r="A162" t="inlineStr">
        <is>
          <t>A 47348-2022</t>
        </is>
      </c>
      <c r="B162" s="1" t="n">
        <v>44853</v>
      </c>
      <c r="C162" s="1" t="n">
        <v>45719</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50438-2022</t>
        </is>
      </c>
      <c r="B163" s="1" t="n">
        <v>44866</v>
      </c>
      <c r="C163" s="1" t="n">
        <v>45719</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52453-2022</t>
        </is>
      </c>
      <c r="B164" s="1" t="n">
        <v>44874</v>
      </c>
      <c r="C164" s="1" t="n">
        <v>45719</v>
      </c>
      <c r="D164" t="inlineStr">
        <is>
          <t>JÄMTLANDS LÄN</t>
        </is>
      </c>
      <c r="E164" t="inlineStr">
        <is>
          <t>HÄRJEDALEN</t>
        </is>
      </c>
      <c r="F164" t="inlineStr">
        <is>
          <t>Bergvik skog väst AB</t>
        </is>
      </c>
      <c r="G164" t="n">
        <v>14.9</v>
      </c>
      <c r="H164" t="n">
        <v>0</v>
      </c>
      <c r="I164" t="n">
        <v>0</v>
      </c>
      <c r="J164" t="n">
        <v>2</v>
      </c>
      <c r="K164" t="n">
        <v>0</v>
      </c>
      <c r="L164" t="n">
        <v>0</v>
      </c>
      <c r="M164" t="n">
        <v>0</v>
      </c>
      <c r="N164" t="n">
        <v>0</v>
      </c>
      <c r="O164" t="n">
        <v>2</v>
      </c>
      <c r="P164" t="n">
        <v>0</v>
      </c>
      <c r="Q164" t="n">
        <v>2</v>
      </c>
      <c r="R164" s="2" t="inlineStr">
        <is>
          <t>Knottrig blåslav
Mörk kolflarnlav</t>
        </is>
      </c>
      <c r="S164">
        <f>HYPERLINK("https://klasma.github.io/Logging_2361/artfynd/A 52453-2022 artfynd.xlsx", "A 52453-2022")</f>
        <v/>
      </c>
      <c r="T164">
        <f>HYPERLINK("https://klasma.github.io/Logging_2361/kartor/A 52453-2022 karta.png", "A 52453-2022")</f>
        <v/>
      </c>
      <c r="V164">
        <f>HYPERLINK("https://klasma.github.io/Logging_2361/klagomål/A 52453-2022 FSC-klagomål.docx", "A 52453-2022")</f>
        <v/>
      </c>
      <c r="W164">
        <f>HYPERLINK("https://klasma.github.io/Logging_2361/klagomålsmail/A 52453-2022 FSC-klagomål mail.docx", "A 52453-2022")</f>
        <v/>
      </c>
      <c r="X164">
        <f>HYPERLINK("https://klasma.github.io/Logging_2361/tillsyn/A 52453-2022 tillsynsbegäran.docx", "A 52453-2022")</f>
        <v/>
      </c>
      <c r="Y164">
        <f>HYPERLINK("https://klasma.github.io/Logging_2361/tillsynsmail/A 52453-2022 tillsynsbegäran mail.docx", "A 52453-2022")</f>
        <v/>
      </c>
    </row>
    <row r="165" ht="15" customHeight="1">
      <c r="A165" t="inlineStr">
        <is>
          <t>A 4372-2023</t>
        </is>
      </c>
      <c r="B165" s="1" t="n">
        <v>44955</v>
      </c>
      <c r="C165" s="1" t="n">
        <v>45719</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10344-2023</t>
        </is>
      </c>
      <c r="B166" s="1" t="n">
        <v>44987</v>
      </c>
      <c r="C166" s="1" t="n">
        <v>45719</v>
      </c>
      <c r="D166" t="inlineStr">
        <is>
          <t>JÄMTLANDS LÄN</t>
        </is>
      </c>
      <c r="E166" t="inlineStr">
        <is>
          <t>HÄRJEDALEN</t>
        </is>
      </c>
      <c r="F166" t="inlineStr">
        <is>
          <t>Holmen skog AB</t>
        </is>
      </c>
      <c r="G166" t="n">
        <v>7.2</v>
      </c>
      <c r="H166" t="n">
        <v>0</v>
      </c>
      <c r="I166" t="n">
        <v>0</v>
      </c>
      <c r="J166" t="n">
        <v>2</v>
      </c>
      <c r="K166" t="n">
        <v>0</v>
      </c>
      <c r="L166" t="n">
        <v>0</v>
      </c>
      <c r="M166" t="n">
        <v>0</v>
      </c>
      <c r="N166" t="n">
        <v>0</v>
      </c>
      <c r="O166" t="n">
        <v>2</v>
      </c>
      <c r="P166" t="n">
        <v>0</v>
      </c>
      <c r="Q166" t="n">
        <v>2</v>
      </c>
      <c r="R166" s="2" t="inlineStr">
        <is>
          <t>Lunglav
Skrovellav</t>
        </is>
      </c>
      <c r="S166">
        <f>HYPERLINK("https://klasma.github.io/Logging_2361/artfynd/A 10344-2023 artfynd.xlsx", "A 10344-2023")</f>
        <v/>
      </c>
      <c r="T166">
        <f>HYPERLINK("https://klasma.github.io/Logging_2361/kartor/A 10344-2023 karta.png", "A 10344-2023")</f>
        <v/>
      </c>
      <c r="U166">
        <f>HYPERLINK("https://klasma.github.io/Logging_2361/knärot/A 10344-2023 karta knärot.png", "A 10344-2023")</f>
        <v/>
      </c>
      <c r="V166">
        <f>HYPERLINK("https://klasma.github.io/Logging_2361/klagomål/A 10344-2023 FSC-klagomål.docx", "A 10344-2023")</f>
        <v/>
      </c>
      <c r="W166">
        <f>HYPERLINK("https://klasma.github.io/Logging_2361/klagomålsmail/A 10344-2023 FSC-klagomål mail.docx", "A 10344-2023")</f>
        <v/>
      </c>
      <c r="X166">
        <f>HYPERLINK("https://klasma.github.io/Logging_2361/tillsyn/A 10344-2023 tillsynsbegäran.docx", "A 10344-2023")</f>
        <v/>
      </c>
      <c r="Y166">
        <f>HYPERLINK("https://klasma.github.io/Logging_2361/tillsynsmail/A 10344-2023 tillsynsbegäran mail.docx", "A 10344-2023")</f>
        <v/>
      </c>
    </row>
    <row r="167" ht="15" customHeight="1">
      <c r="A167" t="inlineStr">
        <is>
          <t>A 25742-2023</t>
        </is>
      </c>
      <c r="B167" s="1" t="n">
        <v>45090</v>
      </c>
      <c r="C167" s="1" t="n">
        <v>45719</v>
      </c>
      <c r="D167" t="inlineStr">
        <is>
          <t>JÄMTLANDS LÄN</t>
        </is>
      </c>
      <c r="E167" t="inlineStr">
        <is>
          <t>HÄRJEDALEN</t>
        </is>
      </c>
      <c r="F167" t="inlineStr">
        <is>
          <t>Bergvik skog väst AB</t>
        </is>
      </c>
      <c r="G167" t="n">
        <v>55</v>
      </c>
      <c r="H167" t="n">
        <v>0</v>
      </c>
      <c r="I167" t="n">
        <v>0</v>
      </c>
      <c r="J167" t="n">
        <v>2</v>
      </c>
      <c r="K167" t="n">
        <v>0</v>
      </c>
      <c r="L167" t="n">
        <v>0</v>
      </c>
      <c r="M167" t="n">
        <v>0</v>
      </c>
      <c r="N167" t="n">
        <v>0</v>
      </c>
      <c r="O167" t="n">
        <v>2</v>
      </c>
      <c r="P167" t="n">
        <v>0</v>
      </c>
      <c r="Q167" t="n">
        <v>2</v>
      </c>
      <c r="R167" s="2" t="inlineStr">
        <is>
          <t>Dvärgbägarlav
Mörk kolflarnlav</t>
        </is>
      </c>
      <c r="S167">
        <f>HYPERLINK("https://klasma.github.io/Logging_2361/artfynd/A 25742-2023 artfynd.xlsx", "A 25742-2023")</f>
        <v/>
      </c>
      <c r="T167">
        <f>HYPERLINK("https://klasma.github.io/Logging_2361/kartor/A 25742-2023 karta.png", "A 25742-2023")</f>
        <v/>
      </c>
      <c r="V167">
        <f>HYPERLINK("https://klasma.github.io/Logging_2361/klagomål/A 25742-2023 FSC-klagomål.docx", "A 25742-2023")</f>
        <v/>
      </c>
      <c r="W167">
        <f>HYPERLINK("https://klasma.github.io/Logging_2361/klagomålsmail/A 25742-2023 FSC-klagomål mail.docx", "A 25742-2023")</f>
        <v/>
      </c>
      <c r="X167">
        <f>HYPERLINK("https://klasma.github.io/Logging_2361/tillsyn/A 25742-2023 tillsynsbegäran.docx", "A 25742-2023")</f>
        <v/>
      </c>
      <c r="Y167">
        <f>HYPERLINK("https://klasma.github.io/Logging_2361/tillsynsmail/A 25742-2023 tillsynsbegäran mail.docx", "A 25742-2023")</f>
        <v/>
      </c>
    </row>
    <row r="168" ht="15" customHeight="1">
      <c r="A168" t="inlineStr">
        <is>
          <t>A 36750-2023</t>
        </is>
      </c>
      <c r="B168" s="1" t="n">
        <v>45153</v>
      </c>
      <c r="C168" s="1" t="n">
        <v>45719</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40015-2023</t>
        </is>
      </c>
      <c r="B169" s="1" t="n">
        <v>45168</v>
      </c>
      <c r="C169" s="1" t="n">
        <v>45719</v>
      </c>
      <c r="D169" t="inlineStr">
        <is>
          <t>JÄMTLANDS LÄN</t>
        </is>
      </c>
      <c r="E169" t="inlineStr">
        <is>
          <t>HÄRJEDALEN</t>
        </is>
      </c>
      <c r="G169" t="n">
        <v>21.9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40015-2023 artfynd.xlsx", "A 40015-2023")</f>
        <v/>
      </c>
      <c r="T169">
        <f>HYPERLINK("https://klasma.github.io/Logging_2361/kartor/A 40015-2023 karta.png", "A 40015-2023")</f>
        <v/>
      </c>
      <c r="V169">
        <f>HYPERLINK("https://klasma.github.io/Logging_2361/klagomål/A 40015-2023 FSC-klagomål.docx", "A 40015-2023")</f>
        <v/>
      </c>
      <c r="W169">
        <f>HYPERLINK("https://klasma.github.io/Logging_2361/klagomålsmail/A 40015-2023 FSC-klagomål mail.docx", "A 40015-2023")</f>
        <v/>
      </c>
      <c r="X169">
        <f>HYPERLINK("https://klasma.github.io/Logging_2361/tillsyn/A 40015-2023 tillsynsbegäran.docx", "A 40015-2023")</f>
        <v/>
      </c>
      <c r="Y169">
        <f>HYPERLINK("https://klasma.github.io/Logging_2361/tillsynsmail/A 40015-2023 tillsynsbegäran mail.docx", "A 40015-2023")</f>
        <v/>
      </c>
    </row>
    <row r="170" ht="15" customHeight="1">
      <c r="A170" t="inlineStr">
        <is>
          <t>A 45191-2023</t>
        </is>
      </c>
      <c r="B170" s="1" t="n">
        <v>45191</v>
      </c>
      <c r="C170" s="1" t="n">
        <v>45719</v>
      </c>
      <c r="D170" t="inlineStr">
        <is>
          <t>JÄMTLANDS LÄN</t>
        </is>
      </c>
      <c r="E170" t="inlineStr">
        <is>
          <t>HÄRJEDALEN</t>
        </is>
      </c>
      <c r="F170" t="inlineStr">
        <is>
          <t>Sveaskog</t>
        </is>
      </c>
      <c r="G170" t="n">
        <v>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45191-2023 artfynd.xlsx", "A 45191-2023")</f>
        <v/>
      </c>
      <c r="T170">
        <f>HYPERLINK("https://klasma.github.io/Logging_2361/kartor/A 45191-2023 karta.png", "A 45191-2023")</f>
        <v/>
      </c>
      <c r="V170">
        <f>HYPERLINK("https://klasma.github.io/Logging_2361/klagomål/A 45191-2023 FSC-klagomål.docx", "A 45191-2023")</f>
        <v/>
      </c>
      <c r="W170">
        <f>HYPERLINK("https://klasma.github.io/Logging_2361/klagomålsmail/A 45191-2023 FSC-klagomål mail.docx", "A 45191-2023")</f>
        <v/>
      </c>
      <c r="X170">
        <f>HYPERLINK("https://klasma.github.io/Logging_2361/tillsyn/A 45191-2023 tillsynsbegäran.docx", "A 45191-2023")</f>
        <v/>
      </c>
      <c r="Y170">
        <f>HYPERLINK("https://klasma.github.io/Logging_2361/tillsynsmail/A 45191-2023 tillsynsbegäran mail.docx", "A 45191-2023")</f>
        <v/>
      </c>
    </row>
    <row r="171" ht="15" customHeight="1">
      <c r="A171" t="inlineStr">
        <is>
          <t>A 22836-2024</t>
        </is>
      </c>
      <c r="B171" s="1" t="n">
        <v>45448</v>
      </c>
      <c r="C171" s="1" t="n">
        <v>45719</v>
      </c>
      <c r="D171" t="inlineStr">
        <is>
          <t>JÄMTLANDS LÄN</t>
        </is>
      </c>
      <c r="E171" t="inlineStr">
        <is>
          <t>HÄRJEDALEN</t>
        </is>
      </c>
      <c r="F171" t="inlineStr">
        <is>
          <t>Holmen skog AB</t>
        </is>
      </c>
      <c r="G171" t="n">
        <v>3.5</v>
      </c>
      <c r="H171" t="n">
        <v>0</v>
      </c>
      <c r="I171" t="n">
        <v>1</v>
      </c>
      <c r="J171" t="n">
        <v>1</v>
      </c>
      <c r="K171" t="n">
        <v>0</v>
      </c>
      <c r="L171" t="n">
        <v>0</v>
      </c>
      <c r="M171" t="n">
        <v>0</v>
      </c>
      <c r="N171" t="n">
        <v>0</v>
      </c>
      <c r="O171" t="n">
        <v>1</v>
      </c>
      <c r="P171" t="n">
        <v>0</v>
      </c>
      <c r="Q171" t="n">
        <v>2</v>
      </c>
      <c r="R171" s="2" t="inlineStr">
        <is>
          <t>Vedflamlav
Dropptaggsvamp</t>
        </is>
      </c>
      <c r="S171">
        <f>HYPERLINK("https://klasma.github.io/Logging_2361/artfynd/A 22836-2024 artfynd.xlsx", "A 22836-2024")</f>
        <v/>
      </c>
      <c r="T171">
        <f>HYPERLINK("https://klasma.github.io/Logging_2361/kartor/A 22836-2024 karta.png", "A 22836-2024")</f>
        <v/>
      </c>
      <c r="V171">
        <f>HYPERLINK("https://klasma.github.io/Logging_2361/klagomål/A 22836-2024 FSC-klagomål.docx", "A 22836-2024")</f>
        <v/>
      </c>
      <c r="W171">
        <f>HYPERLINK("https://klasma.github.io/Logging_2361/klagomålsmail/A 22836-2024 FSC-klagomål mail.docx", "A 22836-2024")</f>
        <v/>
      </c>
      <c r="X171">
        <f>HYPERLINK("https://klasma.github.io/Logging_2361/tillsyn/A 22836-2024 tillsynsbegäran.docx", "A 22836-2024")</f>
        <v/>
      </c>
      <c r="Y171">
        <f>HYPERLINK("https://klasma.github.io/Logging_2361/tillsynsmail/A 22836-2024 tillsynsbegäran mail.docx", "A 22836-2024")</f>
        <v/>
      </c>
    </row>
    <row r="172" ht="15" customHeight="1">
      <c r="A172" t="inlineStr">
        <is>
          <t>A 27179-2024</t>
        </is>
      </c>
      <c r="B172" s="1" t="n">
        <v>45471</v>
      </c>
      <c r="C172" s="1" t="n">
        <v>45719</v>
      </c>
      <c r="D172" t="inlineStr">
        <is>
          <t>JÄMTLANDS LÄN</t>
        </is>
      </c>
      <c r="E172" t="inlineStr">
        <is>
          <t>HÄRJEDALEN</t>
        </is>
      </c>
      <c r="G172" t="n">
        <v>3.1</v>
      </c>
      <c r="H172" t="n">
        <v>0</v>
      </c>
      <c r="I172" t="n">
        <v>1</v>
      </c>
      <c r="J172" t="n">
        <v>1</v>
      </c>
      <c r="K172" t="n">
        <v>0</v>
      </c>
      <c r="L172" t="n">
        <v>0</v>
      </c>
      <c r="M172" t="n">
        <v>0</v>
      </c>
      <c r="N172" t="n">
        <v>0</v>
      </c>
      <c r="O172" t="n">
        <v>1</v>
      </c>
      <c r="P172" t="n">
        <v>0</v>
      </c>
      <c r="Q172" t="n">
        <v>2</v>
      </c>
      <c r="R172" s="2" t="inlineStr">
        <is>
          <t>Garnlav
Korallblylav</t>
        </is>
      </c>
      <c r="S172">
        <f>HYPERLINK("https://klasma.github.io/Logging_2361/artfynd/A 27179-2024 artfynd.xlsx", "A 27179-2024")</f>
        <v/>
      </c>
      <c r="T172">
        <f>HYPERLINK("https://klasma.github.io/Logging_2361/kartor/A 27179-2024 karta.png", "A 27179-2024")</f>
        <v/>
      </c>
      <c r="V172">
        <f>HYPERLINK("https://klasma.github.io/Logging_2361/klagomål/A 27179-2024 FSC-klagomål.docx", "A 27179-2024")</f>
        <v/>
      </c>
      <c r="W172">
        <f>HYPERLINK("https://klasma.github.io/Logging_2361/klagomålsmail/A 27179-2024 FSC-klagomål mail.docx", "A 27179-2024")</f>
        <v/>
      </c>
      <c r="X172">
        <f>HYPERLINK("https://klasma.github.io/Logging_2361/tillsyn/A 27179-2024 tillsynsbegäran.docx", "A 27179-2024")</f>
        <v/>
      </c>
      <c r="Y172">
        <f>HYPERLINK("https://klasma.github.io/Logging_2361/tillsynsmail/A 27179-2024 tillsynsbegäran mail.docx", "A 27179-2024")</f>
        <v/>
      </c>
    </row>
    <row r="173" ht="15" customHeight="1">
      <c r="A173" t="inlineStr">
        <is>
          <t>A 31892-2024</t>
        </is>
      </c>
      <c r="B173" s="1" t="n">
        <v>45509</v>
      </c>
      <c r="C173" s="1" t="n">
        <v>45719</v>
      </c>
      <c r="D173" t="inlineStr">
        <is>
          <t>JÄMTLANDS LÄN</t>
        </is>
      </c>
      <c r="E173" t="inlineStr">
        <is>
          <t>HÄRJEDALEN</t>
        </is>
      </c>
      <c r="F173" t="inlineStr">
        <is>
          <t>SCA</t>
        </is>
      </c>
      <c r="G173" t="n">
        <v>5.2</v>
      </c>
      <c r="H173" t="n">
        <v>1</v>
      </c>
      <c r="I173" t="n">
        <v>1</v>
      </c>
      <c r="J173" t="n">
        <v>0</v>
      </c>
      <c r="K173" t="n">
        <v>0</v>
      </c>
      <c r="L173" t="n">
        <v>0</v>
      </c>
      <c r="M173" t="n">
        <v>0</v>
      </c>
      <c r="N173" t="n">
        <v>0</v>
      </c>
      <c r="O173" t="n">
        <v>0</v>
      </c>
      <c r="P173" t="n">
        <v>0</v>
      </c>
      <c r="Q173" t="n">
        <v>2</v>
      </c>
      <c r="R173" s="2" t="inlineStr">
        <is>
          <t>Bollvitmossa
Fläcknycklar</t>
        </is>
      </c>
      <c r="S173">
        <f>HYPERLINK("https://klasma.github.io/Logging_2361/artfynd/A 31892-2024 artfynd.xlsx", "A 31892-2024")</f>
        <v/>
      </c>
      <c r="T173">
        <f>HYPERLINK("https://klasma.github.io/Logging_2361/kartor/A 31892-2024 karta.png", "A 31892-2024")</f>
        <v/>
      </c>
      <c r="V173">
        <f>HYPERLINK("https://klasma.github.io/Logging_2361/klagomål/A 31892-2024 FSC-klagomål.docx", "A 31892-2024")</f>
        <v/>
      </c>
      <c r="W173">
        <f>HYPERLINK("https://klasma.github.io/Logging_2361/klagomålsmail/A 31892-2024 FSC-klagomål mail.docx", "A 31892-2024")</f>
        <v/>
      </c>
      <c r="X173">
        <f>HYPERLINK("https://klasma.github.io/Logging_2361/tillsyn/A 31892-2024 tillsynsbegäran.docx", "A 31892-2024")</f>
        <v/>
      </c>
      <c r="Y173">
        <f>HYPERLINK("https://klasma.github.io/Logging_2361/tillsynsmail/A 31892-2024 tillsynsbegäran mail.docx", "A 31892-2024")</f>
        <v/>
      </c>
    </row>
    <row r="174" ht="15" customHeight="1">
      <c r="A174" t="inlineStr">
        <is>
          <t>A 36051-2024</t>
        </is>
      </c>
      <c r="B174" s="1" t="n">
        <v>45533</v>
      </c>
      <c r="C174" s="1" t="n">
        <v>45719</v>
      </c>
      <c r="D174" t="inlineStr">
        <is>
          <t>JÄMTLANDS LÄN</t>
        </is>
      </c>
      <c r="E174" t="inlineStr">
        <is>
          <t>HÄRJEDALEN</t>
        </is>
      </c>
      <c r="F174" t="inlineStr">
        <is>
          <t>Sveaskog</t>
        </is>
      </c>
      <c r="G174" t="n">
        <v>2.3</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36051-2024 artfynd.xlsx", "A 36051-2024")</f>
        <v/>
      </c>
      <c r="T174">
        <f>HYPERLINK("https://klasma.github.io/Logging_2361/kartor/A 36051-2024 karta.png", "A 36051-2024")</f>
        <v/>
      </c>
      <c r="V174">
        <f>HYPERLINK("https://klasma.github.io/Logging_2361/klagomål/A 36051-2024 FSC-klagomål.docx", "A 36051-2024")</f>
        <v/>
      </c>
      <c r="W174">
        <f>HYPERLINK("https://klasma.github.io/Logging_2361/klagomålsmail/A 36051-2024 FSC-klagomål mail.docx", "A 36051-2024")</f>
        <v/>
      </c>
      <c r="X174">
        <f>HYPERLINK("https://klasma.github.io/Logging_2361/tillsyn/A 36051-2024 tillsynsbegäran.docx", "A 36051-2024")</f>
        <v/>
      </c>
      <c r="Y174">
        <f>HYPERLINK("https://klasma.github.io/Logging_2361/tillsynsmail/A 36051-2024 tillsynsbegäran mail.docx", "A 36051-2024")</f>
        <v/>
      </c>
    </row>
    <row r="175" ht="15" customHeight="1">
      <c r="A175" t="inlineStr">
        <is>
          <t>A 36924-2024</t>
        </is>
      </c>
      <c r="B175" s="1" t="n">
        <v>45538</v>
      </c>
      <c r="C175" s="1" t="n">
        <v>45719</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36924-2024 artfynd.xlsx", "A 36924-2024")</f>
        <v/>
      </c>
      <c r="T175">
        <f>HYPERLINK("https://klasma.github.io/Logging_2361/kartor/A 36924-2024 karta.png", "A 36924-2024")</f>
        <v/>
      </c>
      <c r="V175">
        <f>HYPERLINK("https://klasma.github.io/Logging_2361/klagomål/A 36924-2024 FSC-klagomål.docx", "A 36924-2024")</f>
        <v/>
      </c>
      <c r="W175">
        <f>HYPERLINK("https://klasma.github.io/Logging_2361/klagomålsmail/A 36924-2024 FSC-klagomål mail.docx", "A 36924-2024")</f>
        <v/>
      </c>
      <c r="X175">
        <f>HYPERLINK("https://klasma.github.io/Logging_2361/tillsyn/A 36924-2024 tillsynsbegäran.docx", "A 36924-2024")</f>
        <v/>
      </c>
      <c r="Y175">
        <f>HYPERLINK("https://klasma.github.io/Logging_2361/tillsynsmail/A 36924-2024 tillsynsbegäran mail.docx", "A 36924-2024")</f>
        <v/>
      </c>
    </row>
    <row r="176" ht="15" customHeight="1">
      <c r="A176" t="inlineStr">
        <is>
          <t>A 39718-2024</t>
        </is>
      </c>
      <c r="B176" s="1" t="n">
        <v>45552</v>
      </c>
      <c r="C176" s="1" t="n">
        <v>45719</v>
      </c>
      <c r="D176" t="inlineStr">
        <is>
          <t>JÄMTLANDS LÄN</t>
        </is>
      </c>
      <c r="E176" t="inlineStr">
        <is>
          <t>HÄRJEDALEN</t>
        </is>
      </c>
      <c r="G176" t="n">
        <v>9.4</v>
      </c>
      <c r="H176" t="n">
        <v>0</v>
      </c>
      <c r="I176" t="n">
        <v>0</v>
      </c>
      <c r="J176" t="n">
        <v>1</v>
      </c>
      <c r="K176" t="n">
        <v>1</v>
      </c>
      <c r="L176" t="n">
        <v>0</v>
      </c>
      <c r="M176" t="n">
        <v>0</v>
      </c>
      <c r="N176" t="n">
        <v>0</v>
      </c>
      <c r="O176" t="n">
        <v>2</v>
      </c>
      <c r="P176" t="n">
        <v>1</v>
      </c>
      <c r="Q176" t="n">
        <v>2</v>
      </c>
      <c r="R176" s="2" t="inlineStr">
        <is>
          <t>Gräddporing
Slåtterfibbla</t>
        </is>
      </c>
      <c r="S176">
        <f>HYPERLINK("https://klasma.github.io/Logging_2361/artfynd/A 39718-2024 artfynd.xlsx", "A 39718-2024")</f>
        <v/>
      </c>
      <c r="T176">
        <f>HYPERLINK("https://klasma.github.io/Logging_2361/kartor/A 39718-2024 karta.png", "A 39718-2024")</f>
        <v/>
      </c>
      <c r="U176">
        <f>HYPERLINK("https://klasma.github.io/Logging_2361/knärot/A 39718-2024 karta knärot.png", "A 39718-2024")</f>
        <v/>
      </c>
      <c r="V176">
        <f>HYPERLINK("https://klasma.github.io/Logging_2361/klagomål/A 39718-2024 FSC-klagomål.docx", "A 39718-2024")</f>
        <v/>
      </c>
      <c r="W176">
        <f>HYPERLINK("https://klasma.github.io/Logging_2361/klagomålsmail/A 39718-2024 FSC-klagomål mail.docx", "A 39718-2024")</f>
        <v/>
      </c>
      <c r="X176">
        <f>HYPERLINK("https://klasma.github.io/Logging_2361/tillsyn/A 39718-2024 tillsynsbegäran.docx", "A 39718-2024")</f>
        <v/>
      </c>
      <c r="Y176">
        <f>HYPERLINK("https://klasma.github.io/Logging_2361/tillsynsmail/A 39718-2024 tillsynsbegäran mail.docx", "A 39718-2024")</f>
        <v/>
      </c>
    </row>
    <row r="177" ht="15" customHeight="1">
      <c r="A177" t="inlineStr">
        <is>
          <t>A 44824-2024</t>
        </is>
      </c>
      <c r="B177" s="1" t="n">
        <v>45574</v>
      </c>
      <c r="C177" s="1" t="n">
        <v>45719</v>
      </c>
      <c r="D177" t="inlineStr">
        <is>
          <t>JÄMTLANDS LÄN</t>
        </is>
      </c>
      <c r="E177" t="inlineStr">
        <is>
          <t>HÄRJEDALEN</t>
        </is>
      </c>
      <c r="F177" t="inlineStr">
        <is>
          <t>Bergvik skog väst AB</t>
        </is>
      </c>
      <c r="G177" t="n">
        <v>29.4</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HYPERLINK("https://klasma.github.io/Logging_2361/artfynd/A 44824-2024 artfynd.xlsx", "A 44824-2024")</f>
        <v/>
      </c>
      <c r="T177">
        <f>HYPERLINK("https://klasma.github.io/Logging_2361/kartor/A 44824-2024 karta.png", "A 44824-2024")</f>
        <v/>
      </c>
      <c r="V177">
        <f>HYPERLINK("https://klasma.github.io/Logging_2361/klagomål/A 44824-2024 FSC-klagomål.docx", "A 44824-2024")</f>
        <v/>
      </c>
      <c r="W177">
        <f>HYPERLINK("https://klasma.github.io/Logging_2361/klagomålsmail/A 44824-2024 FSC-klagomål mail.docx", "A 44824-2024")</f>
        <v/>
      </c>
      <c r="X177">
        <f>HYPERLINK("https://klasma.github.io/Logging_2361/tillsyn/A 44824-2024 tillsynsbegäran.docx", "A 44824-2024")</f>
        <v/>
      </c>
      <c r="Y177">
        <f>HYPERLINK("https://klasma.github.io/Logging_2361/tillsynsmail/A 44824-2024 tillsynsbegäran mail.docx", "A 44824-2024")</f>
        <v/>
      </c>
      <c r="Z177">
        <f>HYPERLINK("https://klasma.github.io/Logging_2361/fåglar/A 44824-2024 prioriterade fågelarter.docx", "A 44824-2024")</f>
        <v/>
      </c>
    </row>
    <row r="178" ht="15" customHeight="1">
      <c r="A178" t="inlineStr">
        <is>
          <t>A 49329-2024</t>
        </is>
      </c>
      <c r="B178" s="1" t="n">
        <v>45595</v>
      </c>
      <c r="C178" s="1" t="n">
        <v>45719</v>
      </c>
      <c r="D178" t="inlineStr">
        <is>
          <t>JÄMTLANDS LÄN</t>
        </is>
      </c>
      <c r="E178" t="inlineStr">
        <is>
          <t>HÄRJEDALEN</t>
        </is>
      </c>
      <c r="F178" t="inlineStr">
        <is>
          <t>Bergvik skog väst AB</t>
        </is>
      </c>
      <c r="G178" t="n">
        <v>6.1</v>
      </c>
      <c r="H178" t="n">
        <v>0</v>
      </c>
      <c r="I178" t="n">
        <v>0</v>
      </c>
      <c r="J178" t="n">
        <v>2</v>
      </c>
      <c r="K178" t="n">
        <v>0</v>
      </c>
      <c r="L178" t="n">
        <v>0</v>
      </c>
      <c r="M178" t="n">
        <v>0</v>
      </c>
      <c r="N178" t="n">
        <v>0</v>
      </c>
      <c r="O178" t="n">
        <v>2</v>
      </c>
      <c r="P178" t="n">
        <v>0</v>
      </c>
      <c r="Q178" t="n">
        <v>2</v>
      </c>
      <c r="R178" s="2" t="inlineStr">
        <is>
          <t>Dvärgbägarlav
Vedflamlav</t>
        </is>
      </c>
      <c r="S178">
        <f>HYPERLINK("https://klasma.github.io/Logging_2361/artfynd/A 49329-2024 artfynd.xlsx", "A 49329-2024")</f>
        <v/>
      </c>
      <c r="T178">
        <f>HYPERLINK("https://klasma.github.io/Logging_2361/kartor/A 49329-2024 karta.png", "A 49329-2024")</f>
        <v/>
      </c>
      <c r="V178">
        <f>HYPERLINK("https://klasma.github.io/Logging_2361/klagomål/A 49329-2024 FSC-klagomål.docx", "A 49329-2024")</f>
        <v/>
      </c>
      <c r="W178">
        <f>HYPERLINK("https://klasma.github.io/Logging_2361/klagomålsmail/A 49329-2024 FSC-klagomål mail.docx", "A 49329-2024")</f>
        <v/>
      </c>
      <c r="X178">
        <f>HYPERLINK("https://klasma.github.io/Logging_2361/tillsyn/A 49329-2024 tillsynsbegäran.docx", "A 49329-2024")</f>
        <v/>
      </c>
      <c r="Y178">
        <f>HYPERLINK("https://klasma.github.io/Logging_2361/tillsynsmail/A 49329-2024 tillsynsbegäran mail.docx", "A 49329-2024")</f>
        <v/>
      </c>
    </row>
    <row r="179" ht="15" customHeight="1">
      <c r="A179" t="inlineStr">
        <is>
          <t>A 49482-2024</t>
        </is>
      </c>
      <c r="B179" s="1" t="n">
        <v>45596</v>
      </c>
      <c r="C179" s="1" t="n">
        <v>45719</v>
      </c>
      <c r="D179" t="inlineStr">
        <is>
          <t>JÄMTLANDS LÄN</t>
        </is>
      </c>
      <c r="E179" t="inlineStr">
        <is>
          <t>HÄRJEDALEN</t>
        </is>
      </c>
      <c r="F179" t="inlineStr">
        <is>
          <t>Kommuner</t>
        </is>
      </c>
      <c r="G179" t="n">
        <v>12.8</v>
      </c>
      <c r="H179" t="n">
        <v>0</v>
      </c>
      <c r="I179" t="n">
        <v>1</v>
      </c>
      <c r="J179" t="n">
        <v>1</v>
      </c>
      <c r="K179" t="n">
        <v>0</v>
      </c>
      <c r="L179" t="n">
        <v>0</v>
      </c>
      <c r="M179" t="n">
        <v>0</v>
      </c>
      <c r="N179" t="n">
        <v>0</v>
      </c>
      <c r="O179" t="n">
        <v>1</v>
      </c>
      <c r="P179" t="n">
        <v>0</v>
      </c>
      <c r="Q179" t="n">
        <v>2</v>
      </c>
      <c r="R179" s="2" t="inlineStr">
        <is>
          <t>Motaggsvamp
Skarp dropptaggsvamp</t>
        </is>
      </c>
      <c r="S179">
        <f>HYPERLINK("https://klasma.github.io/Logging_2361/artfynd/A 49482-2024 artfynd.xlsx", "A 49482-2024")</f>
        <v/>
      </c>
      <c r="T179">
        <f>HYPERLINK("https://klasma.github.io/Logging_2361/kartor/A 49482-2024 karta.png", "A 49482-2024")</f>
        <v/>
      </c>
      <c r="V179">
        <f>HYPERLINK("https://klasma.github.io/Logging_2361/klagomål/A 49482-2024 FSC-klagomål.docx", "A 49482-2024")</f>
        <v/>
      </c>
      <c r="W179">
        <f>HYPERLINK("https://klasma.github.io/Logging_2361/klagomålsmail/A 49482-2024 FSC-klagomål mail.docx", "A 49482-2024")</f>
        <v/>
      </c>
      <c r="X179">
        <f>HYPERLINK("https://klasma.github.io/Logging_2361/tillsyn/A 49482-2024 tillsynsbegäran.docx", "A 49482-2024")</f>
        <v/>
      </c>
      <c r="Y179">
        <f>HYPERLINK("https://klasma.github.io/Logging_2361/tillsynsmail/A 49482-2024 tillsynsbegäran mail.docx", "A 49482-2024")</f>
        <v/>
      </c>
    </row>
    <row r="180" ht="15" customHeight="1">
      <c r="A180" t="inlineStr">
        <is>
          <t>A 55298-2024</t>
        </is>
      </c>
      <c r="B180" s="1" t="n">
        <v>45621</v>
      </c>
      <c r="C180" s="1" t="n">
        <v>45719</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55298-2024 artfynd.xlsx", "A 55298-2024")</f>
        <v/>
      </c>
      <c r="T180">
        <f>HYPERLINK("https://klasma.github.io/Logging_2361/kartor/A 55298-2024 karta.png", "A 55298-2024")</f>
        <v/>
      </c>
      <c r="U180">
        <f>HYPERLINK("https://klasma.github.io/Logging_2361/knärot/A 55298-2024 karta knärot.png", "A 55298-2024")</f>
        <v/>
      </c>
      <c r="V180">
        <f>HYPERLINK("https://klasma.github.io/Logging_2361/klagomål/A 55298-2024 FSC-klagomål.docx", "A 55298-2024")</f>
        <v/>
      </c>
      <c r="W180">
        <f>HYPERLINK("https://klasma.github.io/Logging_2361/klagomålsmail/A 55298-2024 FSC-klagomål mail.docx", "A 55298-2024")</f>
        <v/>
      </c>
      <c r="X180">
        <f>HYPERLINK("https://klasma.github.io/Logging_2361/tillsyn/A 55298-2024 tillsynsbegäran.docx", "A 55298-2024")</f>
        <v/>
      </c>
      <c r="Y180">
        <f>HYPERLINK("https://klasma.github.io/Logging_2361/tillsynsmail/A 55298-2024 tillsynsbegäran mail.docx", "A 55298-2024")</f>
        <v/>
      </c>
    </row>
    <row r="181" ht="15" customHeight="1">
      <c r="A181" t="inlineStr">
        <is>
          <t>A 60750-2024</t>
        </is>
      </c>
      <c r="B181" s="1" t="n">
        <v>45644</v>
      </c>
      <c r="C181" s="1" t="n">
        <v>45719</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60750-2024 artfynd.xlsx", "A 60750-2024")</f>
        <v/>
      </c>
      <c r="T181">
        <f>HYPERLINK("https://klasma.github.io/Logging_2361/kartor/A 60750-2024 karta.png", "A 60750-2024")</f>
        <v/>
      </c>
      <c r="U181">
        <f>HYPERLINK("https://klasma.github.io/Logging_2361/knärot/A 60750-2024 karta knärot.png", "A 60750-2024")</f>
        <v/>
      </c>
      <c r="V181">
        <f>HYPERLINK("https://klasma.github.io/Logging_2361/klagomål/A 60750-2024 FSC-klagomål.docx", "A 60750-2024")</f>
        <v/>
      </c>
      <c r="W181">
        <f>HYPERLINK("https://klasma.github.io/Logging_2361/klagomålsmail/A 60750-2024 FSC-klagomål mail.docx", "A 60750-2024")</f>
        <v/>
      </c>
      <c r="X181">
        <f>HYPERLINK("https://klasma.github.io/Logging_2361/tillsyn/A 60750-2024 tillsynsbegäran.docx", "A 60750-2024")</f>
        <v/>
      </c>
      <c r="Y181">
        <f>HYPERLINK("https://klasma.github.io/Logging_2361/tillsynsmail/A 60750-2024 tillsynsbegäran mail.docx", "A 60750-2024")</f>
        <v/>
      </c>
    </row>
    <row r="182" ht="15" customHeight="1">
      <c r="A182" t="inlineStr">
        <is>
          <t>A 45781-2019</t>
        </is>
      </c>
      <c r="B182" s="1" t="n">
        <v>43717</v>
      </c>
      <c r="C182" s="1" t="n">
        <v>45719</v>
      </c>
      <c r="D182" t="inlineStr">
        <is>
          <t>JÄMTLANDS LÄN</t>
        </is>
      </c>
      <c r="E182" t="inlineStr">
        <is>
          <t>HÄRJEDALEN</t>
        </is>
      </c>
      <c r="F182" t="inlineStr">
        <is>
          <t>Holmen skog AB</t>
        </is>
      </c>
      <c r="G182" t="n">
        <v>13.8</v>
      </c>
      <c r="H182" t="n">
        <v>0</v>
      </c>
      <c r="I182" t="n">
        <v>0</v>
      </c>
      <c r="J182" t="n">
        <v>1</v>
      </c>
      <c r="K182" t="n">
        <v>0</v>
      </c>
      <c r="L182" t="n">
        <v>0</v>
      </c>
      <c r="M182" t="n">
        <v>0</v>
      </c>
      <c r="N182" t="n">
        <v>0</v>
      </c>
      <c r="O182" t="n">
        <v>1</v>
      </c>
      <c r="P182" t="n">
        <v>0</v>
      </c>
      <c r="Q182" t="n">
        <v>1</v>
      </c>
      <c r="R182" s="2" t="inlineStr">
        <is>
          <t>Kolflarnlav</t>
        </is>
      </c>
      <c r="S182">
        <f>HYPERLINK("https://klasma.github.io/Logging_2361/artfynd/A 45781-2019 artfynd.xlsx", "A 45781-2019")</f>
        <v/>
      </c>
      <c r="T182">
        <f>HYPERLINK("https://klasma.github.io/Logging_2361/kartor/A 45781-2019 karta.png", "A 45781-2019")</f>
        <v/>
      </c>
      <c r="V182">
        <f>HYPERLINK("https://klasma.github.io/Logging_2361/klagomål/A 45781-2019 FSC-klagomål.docx", "A 45781-2019")</f>
        <v/>
      </c>
      <c r="W182">
        <f>HYPERLINK("https://klasma.github.io/Logging_2361/klagomålsmail/A 45781-2019 FSC-klagomål mail.docx", "A 45781-2019")</f>
        <v/>
      </c>
      <c r="X182">
        <f>HYPERLINK("https://klasma.github.io/Logging_2361/tillsyn/A 45781-2019 tillsynsbegäran.docx", "A 45781-2019")</f>
        <v/>
      </c>
      <c r="Y182">
        <f>HYPERLINK("https://klasma.github.io/Logging_2361/tillsynsmail/A 45781-2019 tillsynsbegäran mail.docx", "A 45781-2019")</f>
        <v/>
      </c>
    </row>
    <row r="183" ht="15" customHeight="1">
      <c r="A183" t="inlineStr">
        <is>
          <t>A 24898-2020</t>
        </is>
      </c>
      <c r="B183" s="1" t="n">
        <v>43979</v>
      </c>
      <c r="C183" s="1" t="n">
        <v>45719</v>
      </c>
      <c r="D183" t="inlineStr">
        <is>
          <t>JÄMTLANDS LÄN</t>
        </is>
      </c>
      <c r="E183" t="inlineStr">
        <is>
          <t>HÄRJEDALEN</t>
        </is>
      </c>
      <c r="F183" t="inlineStr">
        <is>
          <t>Sveaskog</t>
        </is>
      </c>
      <c r="G183" t="n">
        <v>2.9</v>
      </c>
      <c r="H183" t="n">
        <v>0</v>
      </c>
      <c r="I183" t="n">
        <v>0</v>
      </c>
      <c r="J183" t="n">
        <v>1</v>
      </c>
      <c r="K183" t="n">
        <v>0</v>
      </c>
      <c r="L183" t="n">
        <v>0</v>
      </c>
      <c r="M183" t="n">
        <v>0</v>
      </c>
      <c r="N183" t="n">
        <v>0</v>
      </c>
      <c r="O183" t="n">
        <v>1</v>
      </c>
      <c r="P183" t="n">
        <v>0</v>
      </c>
      <c r="Q183" t="n">
        <v>1</v>
      </c>
      <c r="R183" s="2" t="inlineStr">
        <is>
          <t>Brunklöver</t>
        </is>
      </c>
      <c r="S183">
        <f>HYPERLINK("https://klasma.github.io/Logging_2361/artfynd/A 24898-2020 artfynd.xlsx", "A 24898-2020")</f>
        <v/>
      </c>
      <c r="T183">
        <f>HYPERLINK("https://klasma.github.io/Logging_2361/kartor/A 24898-2020 karta.png", "A 24898-2020")</f>
        <v/>
      </c>
      <c r="V183">
        <f>HYPERLINK("https://klasma.github.io/Logging_2361/klagomål/A 24898-2020 FSC-klagomål.docx", "A 24898-2020")</f>
        <v/>
      </c>
      <c r="W183">
        <f>HYPERLINK("https://klasma.github.io/Logging_2361/klagomålsmail/A 24898-2020 FSC-klagomål mail.docx", "A 24898-2020")</f>
        <v/>
      </c>
      <c r="X183">
        <f>HYPERLINK("https://klasma.github.io/Logging_2361/tillsyn/A 24898-2020 tillsynsbegäran.docx", "A 24898-2020")</f>
        <v/>
      </c>
      <c r="Y183">
        <f>HYPERLINK("https://klasma.github.io/Logging_2361/tillsynsmail/A 24898-2020 tillsynsbegäran mail.docx", "A 24898-2020")</f>
        <v/>
      </c>
    </row>
    <row r="184" ht="15" customHeight="1">
      <c r="A184" t="inlineStr">
        <is>
          <t>A 36954-2020</t>
        </is>
      </c>
      <c r="B184" s="1" t="n">
        <v>44053</v>
      </c>
      <c r="C184" s="1" t="n">
        <v>45719</v>
      </c>
      <c r="D184" t="inlineStr">
        <is>
          <t>JÄMTLANDS LÄN</t>
        </is>
      </c>
      <c r="E184" t="inlineStr">
        <is>
          <t>HÄRJEDALEN</t>
        </is>
      </c>
      <c r="F184" t="inlineStr">
        <is>
          <t>SCA</t>
        </is>
      </c>
      <c r="G184" t="n">
        <v>38.7</v>
      </c>
      <c r="H184" t="n">
        <v>0</v>
      </c>
      <c r="I184" t="n">
        <v>0</v>
      </c>
      <c r="J184" t="n">
        <v>1</v>
      </c>
      <c r="K184" t="n">
        <v>0</v>
      </c>
      <c r="L184" t="n">
        <v>0</v>
      </c>
      <c r="M184" t="n">
        <v>0</v>
      </c>
      <c r="N184" t="n">
        <v>0</v>
      </c>
      <c r="O184" t="n">
        <v>1</v>
      </c>
      <c r="P184" t="n">
        <v>0</v>
      </c>
      <c r="Q184" t="n">
        <v>1</v>
      </c>
      <c r="R184" s="2" t="inlineStr">
        <is>
          <t>Reliktbock</t>
        </is>
      </c>
      <c r="S184">
        <f>HYPERLINK("https://klasma.github.io/Logging_2361/artfynd/A 36954-2020 artfynd.xlsx", "A 36954-2020")</f>
        <v/>
      </c>
      <c r="T184">
        <f>HYPERLINK("https://klasma.github.io/Logging_2361/kartor/A 36954-2020 karta.png", "A 36954-2020")</f>
        <v/>
      </c>
      <c r="V184">
        <f>HYPERLINK("https://klasma.github.io/Logging_2361/klagomål/A 36954-2020 FSC-klagomål.docx", "A 36954-2020")</f>
        <v/>
      </c>
      <c r="W184">
        <f>HYPERLINK("https://klasma.github.io/Logging_2361/klagomålsmail/A 36954-2020 FSC-klagomål mail.docx", "A 36954-2020")</f>
        <v/>
      </c>
      <c r="X184">
        <f>HYPERLINK("https://klasma.github.io/Logging_2361/tillsyn/A 36954-2020 tillsynsbegäran.docx", "A 36954-2020")</f>
        <v/>
      </c>
      <c r="Y184">
        <f>HYPERLINK("https://klasma.github.io/Logging_2361/tillsynsmail/A 36954-2020 tillsynsbegäran mail.docx", "A 36954-2020")</f>
        <v/>
      </c>
    </row>
    <row r="185" ht="15" customHeight="1">
      <c r="A185" t="inlineStr">
        <is>
          <t>A 47685-2020</t>
        </is>
      </c>
      <c r="B185" s="1" t="n">
        <v>44096</v>
      </c>
      <c r="C185" s="1" t="n">
        <v>45719</v>
      </c>
      <c r="D185" t="inlineStr">
        <is>
          <t>JÄMTLANDS LÄN</t>
        </is>
      </c>
      <c r="E185" t="inlineStr">
        <is>
          <t>HÄRJEDALEN</t>
        </is>
      </c>
      <c r="F185" t="inlineStr">
        <is>
          <t>Sveaskog</t>
        </is>
      </c>
      <c r="G185" t="n">
        <v>2.3</v>
      </c>
      <c r="H185" t="n">
        <v>0</v>
      </c>
      <c r="I185" t="n">
        <v>0</v>
      </c>
      <c r="J185" t="n">
        <v>1</v>
      </c>
      <c r="K185" t="n">
        <v>0</v>
      </c>
      <c r="L185" t="n">
        <v>0</v>
      </c>
      <c r="M185" t="n">
        <v>0</v>
      </c>
      <c r="N185" t="n">
        <v>0</v>
      </c>
      <c r="O185" t="n">
        <v>1</v>
      </c>
      <c r="P185" t="n">
        <v>0</v>
      </c>
      <c r="Q185" t="n">
        <v>1</v>
      </c>
      <c r="R185" s="2" t="inlineStr">
        <is>
          <t>Lunglav</t>
        </is>
      </c>
      <c r="S185">
        <f>HYPERLINK("https://klasma.github.io/Logging_2361/artfynd/A 47685-2020 artfynd.xlsx", "A 47685-2020")</f>
        <v/>
      </c>
      <c r="T185">
        <f>HYPERLINK("https://klasma.github.io/Logging_2361/kartor/A 47685-2020 karta.png", "A 47685-2020")</f>
        <v/>
      </c>
      <c r="V185">
        <f>HYPERLINK("https://klasma.github.io/Logging_2361/klagomål/A 47685-2020 FSC-klagomål.docx", "A 47685-2020")</f>
        <v/>
      </c>
      <c r="W185">
        <f>HYPERLINK("https://klasma.github.io/Logging_2361/klagomålsmail/A 47685-2020 FSC-klagomål mail.docx", "A 47685-2020")</f>
        <v/>
      </c>
      <c r="X185">
        <f>HYPERLINK("https://klasma.github.io/Logging_2361/tillsyn/A 47685-2020 tillsynsbegäran.docx", "A 47685-2020")</f>
        <v/>
      </c>
      <c r="Y185">
        <f>HYPERLINK("https://klasma.github.io/Logging_2361/tillsynsmail/A 47685-2020 tillsynsbegäran mail.docx", "A 47685-2020")</f>
        <v/>
      </c>
    </row>
    <row r="186" ht="15" customHeight="1">
      <c r="A186" t="inlineStr">
        <is>
          <t>A 49246-2020</t>
        </is>
      </c>
      <c r="B186" s="1" t="n">
        <v>44105</v>
      </c>
      <c r="C186" s="1" t="n">
        <v>45719</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HYPERLINK("https://klasma.github.io/Logging_2361/artfynd/A 49246-2020 artfynd.xlsx", "A 49246-2020")</f>
        <v/>
      </c>
      <c r="T186">
        <f>HYPERLINK("https://klasma.github.io/Logging_2361/kartor/A 49246-2020 karta.png", "A 49246-2020")</f>
        <v/>
      </c>
      <c r="V186">
        <f>HYPERLINK("https://klasma.github.io/Logging_2361/klagomål/A 49246-2020 FSC-klagomål.docx", "A 49246-2020")</f>
        <v/>
      </c>
      <c r="W186">
        <f>HYPERLINK("https://klasma.github.io/Logging_2361/klagomålsmail/A 49246-2020 FSC-klagomål mail.docx", "A 49246-2020")</f>
        <v/>
      </c>
      <c r="X186">
        <f>HYPERLINK("https://klasma.github.io/Logging_2361/tillsyn/A 49246-2020 tillsynsbegäran.docx", "A 49246-2020")</f>
        <v/>
      </c>
      <c r="Y186">
        <f>HYPERLINK("https://klasma.github.io/Logging_2361/tillsynsmail/A 49246-2020 tillsynsbegäran mail.docx", "A 49246-2020")</f>
        <v/>
      </c>
    </row>
    <row r="187" ht="15" customHeight="1">
      <c r="A187" t="inlineStr">
        <is>
          <t>A 51387-2020</t>
        </is>
      </c>
      <c r="B187" s="1" t="n">
        <v>44113</v>
      </c>
      <c r="C187" s="1" t="n">
        <v>45719</v>
      </c>
      <c r="D187" t="inlineStr">
        <is>
          <t>JÄMTLANDS LÄN</t>
        </is>
      </c>
      <c r="E187" t="inlineStr">
        <is>
          <t>HÄRJEDALEN</t>
        </is>
      </c>
      <c r="G187" t="n">
        <v>1</v>
      </c>
      <c r="H187" t="n">
        <v>0</v>
      </c>
      <c r="I187" t="n">
        <v>0</v>
      </c>
      <c r="J187" t="n">
        <v>0</v>
      </c>
      <c r="K187" t="n">
        <v>1</v>
      </c>
      <c r="L187" t="n">
        <v>0</v>
      </c>
      <c r="M187" t="n">
        <v>0</v>
      </c>
      <c r="N187" t="n">
        <v>0</v>
      </c>
      <c r="O187" t="n">
        <v>1</v>
      </c>
      <c r="P187" t="n">
        <v>1</v>
      </c>
      <c r="Q187" t="n">
        <v>1</v>
      </c>
      <c r="R187" s="2" t="inlineStr">
        <is>
          <t>Goliatmusseron</t>
        </is>
      </c>
      <c r="S187">
        <f>HYPERLINK("https://klasma.github.io/Logging_2361/artfynd/A 51387-2020 artfynd.xlsx", "A 51387-2020")</f>
        <v/>
      </c>
      <c r="T187">
        <f>HYPERLINK("https://klasma.github.io/Logging_2361/kartor/A 51387-2020 karta.png", "A 51387-2020")</f>
        <v/>
      </c>
      <c r="V187">
        <f>HYPERLINK("https://klasma.github.io/Logging_2361/klagomål/A 51387-2020 FSC-klagomål.docx", "A 51387-2020")</f>
        <v/>
      </c>
      <c r="W187">
        <f>HYPERLINK("https://klasma.github.io/Logging_2361/klagomålsmail/A 51387-2020 FSC-klagomål mail.docx", "A 51387-2020")</f>
        <v/>
      </c>
      <c r="X187">
        <f>HYPERLINK("https://klasma.github.io/Logging_2361/tillsyn/A 51387-2020 tillsynsbegäran.docx", "A 51387-2020")</f>
        <v/>
      </c>
      <c r="Y187">
        <f>HYPERLINK("https://klasma.github.io/Logging_2361/tillsynsmail/A 51387-2020 tillsynsbegäran mail.docx", "A 51387-2020")</f>
        <v/>
      </c>
    </row>
    <row r="188" ht="15" customHeight="1">
      <c r="A188" t="inlineStr">
        <is>
          <t>A 21572-2021</t>
        </is>
      </c>
      <c r="B188" s="1" t="n">
        <v>44321</v>
      </c>
      <c r="C188" s="1" t="n">
        <v>45719</v>
      </c>
      <c r="D188" t="inlineStr">
        <is>
          <t>JÄMTLANDS LÄN</t>
        </is>
      </c>
      <c r="E188" t="inlineStr">
        <is>
          <t>HÄRJEDALEN</t>
        </is>
      </c>
      <c r="F188" t="inlineStr">
        <is>
          <t>Holmen skog AB</t>
        </is>
      </c>
      <c r="G188" t="n">
        <v>29</v>
      </c>
      <c r="H188" t="n">
        <v>0</v>
      </c>
      <c r="I188" t="n">
        <v>0</v>
      </c>
      <c r="J188" t="n">
        <v>1</v>
      </c>
      <c r="K188" t="n">
        <v>0</v>
      </c>
      <c r="L188" t="n">
        <v>0</v>
      </c>
      <c r="M188" t="n">
        <v>0</v>
      </c>
      <c r="N188" t="n">
        <v>0</v>
      </c>
      <c r="O188" t="n">
        <v>1</v>
      </c>
      <c r="P188" t="n">
        <v>0</v>
      </c>
      <c r="Q188" t="n">
        <v>1</v>
      </c>
      <c r="R188" s="2" t="inlineStr">
        <is>
          <t>Skrovlig taggsvamp</t>
        </is>
      </c>
      <c r="S188">
        <f>HYPERLINK("https://klasma.github.io/Logging_2361/artfynd/A 21572-2021 artfynd.xlsx", "A 21572-2021")</f>
        <v/>
      </c>
      <c r="T188">
        <f>HYPERLINK("https://klasma.github.io/Logging_2361/kartor/A 21572-2021 karta.png", "A 21572-2021")</f>
        <v/>
      </c>
      <c r="V188">
        <f>HYPERLINK("https://klasma.github.io/Logging_2361/klagomål/A 21572-2021 FSC-klagomål.docx", "A 21572-2021")</f>
        <v/>
      </c>
      <c r="W188">
        <f>HYPERLINK("https://klasma.github.io/Logging_2361/klagomålsmail/A 21572-2021 FSC-klagomål mail.docx", "A 21572-2021")</f>
        <v/>
      </c>
      <c r="X188">
        <f>HYPERLINK("https://klasma.github.io/Logging_2361/tillsyn/A 21572-2021 tillsynsbegäran.docx", "A 21572-2021")</f>
        <v/>
      </c>
      <c r="Y188">
        <f>HYPERLINK("https://klasma.github.io/Logging_2361/tillsynsmail/A 21572-2021 tillsynsbegäran mail.docx", "A 21572-2021")</f>
        <v/>
      </c>
    </row>
    <row r="189" ht="15" customHeight="1">
      <c r="A189" t="inlineStr">
        <is>
          <t>A 55223-2021</t>
        </is>
      </c>
      <c r="B189" s="1" t="n">
        <v>44475</v>
      </c>
      <c r="C189" s="1" t="n">
        <v>45719</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55222-2021</t>
        </is>
      </c>
      <c r="B190" s="1" t="n">
        <v>44475</v>
      </c>
      <c r="C190" s="1" t="n">
        <v>45719</v>
      </c>
      <c r="D190" t="inlineStr">
        <is>
          <t>JÄMTLANDS LÄN</t>
        </is>
      </c>
      <c r="E190" t="inlineStr">
        <is>
          <t>HÄRJEDALEN</t>
        </is>
      </c>
      <c r="G190" t="n">
        <v>1.1</v>
      </c>
      <c r="H190" t="n">
        <v>1</v>
      </c>
      <c r="I190" t="n">
        <v>0</v>
      </c>
      <c r="J190" t="n">
        <v>1</v>
      </c>
      <c r="K190" t="n">
        <v>0</v>
      </c>
      <c r="L190" t="n">
        <v>0</v>
      </c>
      <c r="M190" t="n">
        <v>0</v>
      </c>
      <c r="N190" t="n">
        <v>0</v>
      </c>
      <c r="O190" t="n">
        <v>1</v>
      </c>
      <c r="P190" t="n">
        <v>0</v>
      </c>
      <c r="Q190" t="n">
        <v>1</v>
      </c>
      <c r="R190" s="2" t="inlineStr">
        <is>
          <t>Varglav</t>
        </is>
      </c>
      <c r="S190">
        <f>HYPERLINK("https://klasma.github.io/Logging_2361/artfynd/A 55222-2021 artfynd.xlsx", "A 55222-2021")</f>
        <v/>
      </c>
      <c r="T190">
        <f>HYPERLINK("https://klasma.github.io/Logging_2361/kartor/A 55222-2021 karta.png", "A 55222-2021")</f>
        <v/>
      </c>
      <c r="V190">
        <f>HYPERLINK("https://klasma.github.io/Logging_2361/klagomål/A 55222-2021 FSC-klagomål.docx", "A 55222-2021")</f>
        <v/>
      </c>
      <c r="W190">
        <f>HYPERLINK("https://klasma.github.io/Logging_2361/klagomålsmail/A 55222-2021 FSC-klagomål mail.docx", "A 55222-2021")</f>
        <v/>
      </c>
      <c r="X190">
        <f>HYPERLINK("https://klasma.github.io/Logging_2361/tillsyn/A 55222-2021 tillsynsbegäran.docx", "A 55222-2021")</f>
        <v/>
      </c>
      <c r="Y190">
        <f>HYPERLINK("https://klasma.github.io/Logging_2361/tillsynsmail/A 55222-2021 tillsynsbegäran mail.docx", "A 55222-2021")</f>
        <v/>
      </c>
    </row>
    <row r="191" ht="15" customHeight="1">
      <c r="A191" t="inlineStr">
        <is>
          <t>A 55221-2021</t>
        </is>
      </c>
      <c r="B191" s="1" t="n">
        <v>44475</v>
      </c>
      <c r="C191" s="1" t="n">
        <v>45719</v>
      </c>
      <c r="D191" t="inlineStr">
        <is>
          <t>JÄMTLANDS LÄN</t>
        </is>
      </c>
      <c r="E191" t="inlineStr">
        <is>
          <t>HÄRJEDALEN</t>
        </is>
      </c>
      <c r="G191" t="n">
        <v>0.2</v>
      </c>
      <c r="H191" t="n">
        <v>1</v>
      </c>
      <c r="I191" t="n">
        <v>0</v>
      </c>
      <c r="J191" t="n">
        <v>1</v>
      </c>
      <c r="K191" t="n">
        <v>0</v>
      </c>
      <c r="L191" t="n">
        <v>0</v>
      </c>
      <c r="M191" t="n">
        <v>0</v>
      </c>
      <c r="N191" t="n">
        <v>0</v>
      </c>
      <c r="O191" t="n">
        <v>1</v>
      </c>
      <c r="P191" t="n">
        <v>0</v>
      </c>
      <c r="Q191" t="n">
        <v>1</v>
      </c>
      <c r="R191" s="2" t="inlineStr">
        <is>
          <t>Varglav</t>
        </is>
      </c>
      <c r="S191">
        <f>HYPERLINK("https://klasma.github.io/Logging_2361/artfynd/A 55221-2021 artfynd.xlsx", "A 55221-2021")</f>
        <v/>
      </c>
      <c r="T191">
        <f>HYPERLINK("https://klasma.github.io/Logging_2361/kartor/A 55221-2021 karta.png", "A 55221-2021")</f>
        <v/>
      </c>
      <c r="V191">
        <f>HYPERLINK("https://klasma.github.io/Logging_2361/klagomål/A 55221-2021 FSC-klagomål.docx", "A 55221-2021")</f>
        <v/>
      </c>
      <c r="W191">
        <f>HYPERLINK("https://klasma.github.io/Logging_2361/klagomålsmail/A 55221-2021 FSC-klagomål mail.docx", "A 55221-2021")</f>
        <v/>
      </c>
      <c r="X191">
        <f>HYPERLINK("https://klasma.github.io/Logging_2361/tillsyn/A 55221-2021 tillsynsbegäran.docx", "A 55221-2021")</f>
        <v/>
      </c>
      <c r="Y191">
        <f>HYPERLINK("https://klasma.github.io/Logging_2361/tillsynsmail/A 55221-2021 tillsynsbegäran mail.docx", "A 55221-2021")</f>
        <v/>
      </c>
    </row>
    <row r="192" ht="15" customHeight="1">
      <c r="A192" t="inlineStr">
        <is>
          <t>A 55245-2021</t>
        </is>
      </c>
      <c r="B192" s="1" t="n">
        <v>44475</v>
      </c>
      <c r="C192" s="1" t="n">
        <v>45719</v>
      </c>
      <c r="D192" t="inlineStr">
        <is>
          <t>JÄMTLANDS LÄN</t>
        </is>
      </c>
      <c r="E192" t="inlineStr">
        <is>
          <t>HÄRJEDALEN</t>
        </is>
      </c>
      <c r="G192" t="n">
        <v>5.1</v>
      </c>
      <c r="H192" t="n">
        <v>0</v>
      </c>
      <c r="I192" t="n">
        <v>0</v>
      </c>
      <c r="J192" t="n">
        <v>1</v>
      </c>
      <c r="K192" t="n">
        <v>0</v>
      </c>
      <c r="L192" t="n">
        <v>0</v>
      </c>
      <c r="M192" t="n">
        <v>0</v>
      </c>
      <c r="N192" t="n">
        <v>0</v>
      </c>
      <c r="O192" t="n">
        <v>1</v>
      </c>
      <c r="P192" t="n">
        <v>0</v>
      </c>
      <c r="Q192" t="n">
        <v>1</v>
      </c>
      <c r="R192" s="2" t="inlineStr">
        <is>
          <t>Blanksvart spiklav</t>
        </is>
      </c>
      <c r="S192">
        <f>HYPERLINK("https://klasma.github.io/Logging_2361/artfynd/A 55245-2021 artfynd.xlsx", "A 55245-2021")</f>
        <v/>
      </c>
      <c r="T192">
        <f>HYPERLINK("https://klasma.github.io/Logging_2361/kartor/A 55245-2021 karta.png", "A 55245-2021")</f>
        <v/>
      </c>
      <c r="V192">
        <f>HYPERLINK("https://klasma.github.io/Logging_2361/klagomål/A 55245-2021 FSC-klagomål.docx", "A 55245-2021")</f>
        <v/>
      </c>
      <c r="W192">
        <f>HYPERLINK("https://klasma.github.io/Logging_2361/klagomålsmail/A 55245-2021 FSC-klagomål mail.docx", "A 55245-2021")</f>
        <v/>
      </c>
      <c r="X192">
        <f>HYPERLINK("https://klasma.github.io/Logging_2361/tillsyn/A 55245-2021 tillsynsbegäran.docx", "A 55245-2021")</f>
        <v/>
      </c>
      <c r="Y192">
        <f>HYPERLINK("https://klasma.github.io/Logging_2361/tillsynsmail/A 55245-2021 tillsynsbegäran mail.docx", "A 55245-2021")</f>
        <v/>
      </c>
    </row>
    <row r="193" ht="15" customHeight="1">
      <c r="A193" t="inlineStr">
        <is>
          <t>A 13982-2022</t>
        </is>
      </c>
      <c r="B193" s="1" t="n">
        <v>44650</v>
      </c>
      <c r="C193" s="1" t="n">
        <v>45719</v>
      </c>
      <c r="D193" t="inlineStr">
        <is>
          <t>JÄMTLANDS LÄN</t>
        </is>
      </c>
      <c r="E193" t="inlineStr">
        <is>
          <t>HÄRJEDALEN</t>
        </is>
      </c>
      <c r="F193" t="inlineStr">
        <is>
          <t>Holmen skog AB</t>
        </is>
      </c>
      <c r="G193" t="n">
        <v>4.4</v>
      </c>
      <c r="H193" t="n">
        <v>0</v>
      </c>
      <c r="I193" t="n">
        <v>0</v>
      </c>
      <c r="J193" t="n">
        <v>1</v>
      </c>
      <c r="K193" t="n">
        <v>0</v>
      </c>
      <c r="L193" t="n">
        <v>0</v>
      </c>
      <c r="M193" t="n">
        <v>0</v>
      </c>
      <c r="N193" t="n">
        <v>0</v>
      </c>
      <c r="O193" t="n">
        <v>1</v>
      </c>
      <c r="P193" t="n">
        <v>0</v>
      </c>
      <c r="Q193" t="n">
        <v>1</v>
      </c>
      <c r="R193" s="2" t="inlineStr">
        <is>
          <t>Garnlav</t>
        </is>
      </c>
      <c r="S193">
        <f>HYPERLINK("https://klasma.github.io/Logging_2361/artfynd/A 13982-2022 artfynd.xlsx", "A 13982-2022")</f>
        <v/>
      </c>
      <c r="T193">
        <f>HYPERLINK("https://klasma.github.io/Logging_2361/kartor/A 13982-2022 karta.png", "A 13982-2022")</f>
        <v/>
      </c>
      <c r="V193">
        <f>HYPERLINK("https://klasma.github.io/Logging_2361/klagomål/A 13982-2022 FSC-klagomål.docx", "A 13982-2022")</f>
        <v/>
      </c>
      <c r="W193">
        <f>HYPERLINK("https://klasma.github.io/Logging_2361/klagomålsmail/A 13982-2022 FSC-klagomål mail.docx", "A 13982-2022")</f>
        <v/>
      </c>
      <c r="X193">
        <f>HYPERLINK("https://klasma.github.io/Logging_2361/tillsyn/A 13982-2022 tillsynsbegäran.docx", "A 13982-2022")</f>
        <v/>
      </c>
      <c r="Y193">
        <f>HYPERLINK("https://klasma.github.io/Logging_2361/tillsynsmail/A 13982-2022 tillsynsbegäran mail.docx", "A 13982-2022")</f>
        <v/>
      </c>
    </row>
    <row r="194" ht="15" customHeight="1">
      <c r="A194" t="inlineStr">
        <is>
          <t>A 15360-2022</t>
        </is>
      </c>
      <c r="B194" s="1" t="n">
        <v>44659</v>
      </c>
      <c r="C194" s="1" t="n">
        <v>45719</v>
      </c>
      <c r="D194" t="inlineStr">
        <is>
          <t>JÄMTLANDS LÄN</t>
        </is>
      </c>
      <c r="E194" t="inlineStr">
        <is>
          <t>HÄRJEDALEN</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15360-2022 artfynd.xlsx", "A 15360-2022")</f>
        <v/>
      </c>
      <c r="T194">
        <f>HYPERLINK("https://klasma.github.io/Logging_2361/kartor/A 15360-2022 karta.png", "A 15360-2022")</f>
        <v/>
      </c>
      <c r="V194">
        <f>HYPERLINK("https://klasma.github.io/Logging_2361/klagomål/A 15360-2022 FSC-klagomål.docx", "A 15360-2022")</f>
        <v/>
      </c>
      <c r="W194">
        <f>HYPERLINK("https://klasma.github.io/Logging_2361/klagomålsmail/A 15360-2022 FSC-klagomål mail.docx", "A 15360-2022")</f>
        <v/>
      </c>
      <c r="X194">
        <f>HYPERLINK("https://klasma.github.io/Logging_2361/tillsyn/A 15360-2022 tillsynsbegäran.docx", "A 15360-2022")</f>
        <v/>
      </c>
      <c r="Y194">
        <f>HYPERLINK("https://klasma.github.io/Logging_2361/tillsynsmail/A 15360-2022 tillsynsbegäran mail.docx", "A 15360-2022")</f>
        <v/>
      </c>
    </row>
    <row r="195" ht="15" customHeight="1">
      <c r="A195" t="inlineStr">
        <is>
          <t>A 31061-2022</t>
        </is>
      </c>
      <c r="B195" s="1" t="n">
        <v>44769</v>
      </c>
      <c r="C195" s="1" t="n">
        <v>45719</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42214-2022</t>
        </is>
      </c>
      <c r="B196" s="1" t="n">
        <v>44830</v>
      </c>
      <c r="C196" s="1" t="n">
        <v>45719</v>
      </c>
      <c r="D196" t="inlineStr">
        <is>
          <t>JÄMTLANDS LÄN</t>
        </is>
      </c>
      <c r="E196" t="inlineStr">
        <is>
          <t>HÄRJEDALEN</t>
        </is>
      </c>
      <c r="F196" t="inlineStr">
        <is>
          <t>Sveaskog</t>
        </is>
      </c>
      <c r="G196" t="n">
        <v>8.800000000000001</v>
      </c>
      <c r="H196" t="n">
        <v>0</v>
      </c>
      <c r="I196" t="n">
        <v>0</v>
      </c>
      <c r="J196" t="n">
        <v>0</v>
      </c>
      <c r="K196" t="n">
        <v>1</v>
      </c>
      <c r="L196" t="n">
        <v>0</v>
      </c>
      <c r="M196" t="n">
        <v>0</v>
      </c>
      <c r="N196" t="n">
        <v>0</v>
      </c>
      <c r="O196" t="n">
        <v>1</v>
      </c>
      <c r="P196" t="n">
        <v>1</v>
      </c>
      <c r="Q196" t="n">
        <v>1</v>
      </c>
      <c r="R196" s="2" t="inlineStr">
        <is>
          <t>Rynkskinn</t>
        </is>
      </c>
      <c r="S196">
        <f>HYPERLINK("https://klasma.github.io/Logging_2361/artfynd/A 42214-2022 artfynd.xlsx", "A 42214-2022")</f>
        <v/>
      </c>
      <c r="T196">
        <f>HYPERLINK("https://klasma.github.io/Logging_2361/kartor/A 42214-2022 karta.png", "A 42214-2022")</f>
        <v/>
      </c>
      <c r="V196">
        <f>HYPERLINK("https://klasma.github.io/Logging_2361/klagomål/A 42214-2022 FSC-klagomål.docx", "A 42214-2022")</f>
        <v/>
      </c>
      <c r="W196">
        <f>HYPERLINK("https://klasma.github.io/Logging_2361/klagomålsmail/A 42214-2022 FSC-klagomål mail.docx", "A 42214-2022")</f>
        <v/>
      </c>
      <c r="X196">
        <f>HYPERLINK("https://klasma.github.io/Logging_2361/tillsyn/A 42214-2022 tillsynsbegäran.docx", "A 42214-2022")</f>
        <v/>
      </c>
      <c r="Y196">
        <f>HYPERLINK("https://klasma.github.io/Logging_2361/tillsynsmail/A 42214-2022 tillsynsbegäran mail.docx", "A 42214-2022")</f>
        <v/>
      </c>
    </row>
    <row r="197" ht="15" customHeight="1">
      <c r="A197" t="inlineStr">
        <is>
          <t>A 52328-2022</t>
        </is>
      </c>
      <c r="B197" s="1" t="n">
        <v>44873</v>
      </c>
      <c r="C197" s="1" t="n">
        <v>45719</v>
      </c>
      <c r="D197" t="inlineStr">
        <is>
          <t>JÄMTLANDS LÄN</t>
        </is>
      </c>
      <c r="E197" t="inlineStr">
        <is>
          <t>HÄRJEDALEN</t>
        </is>
      </c>
      <c r="G197" t="n">
        <v>30.5</v>
      </c>
      <c r="H197" t="n">
        <v>0</v>
      </c>
      <c r="I197" t="n">
        <v>0</v>
      </c>
      <c r="J197" t="n">
        <v>1</v>
      </c>
      <c r="K197" t="n">
        <v>0</v>
      </c>
      <c r="L197" t="n">
        <v>0</v>
      </c>
      <c r="M197" t="n">
        <v>0</v>
      </c>
      <c r="N197" t="n">
        <v>0</v>
      </c>
      <c r="O197" t="n">
        <v>1</v>
      </c>
      <c r="P197" t="n">
        <v>0</v>
      </c>
      <c r="Q197" t="n">
        <v>1</v>
      </c>
      <c r="R197" s="2" t="inlineStr">
        <is>
          <t>Stjärntagging</t>
        </is>
      </c>
      <c r="S197">
        <f>HYPERLINK("https://klasma.github.io/Logging_2361/artfynd/A 52328-2022 artfynd.xlsx", "A 52328-2022")</f>
        <v/>
      </c>
      <c r="T197">
        <f>HYPERLINK("https://klasma.github.io/Logging_2361/kartor/A 52328-2022 karta.png", "A 52328-2022")</f>
        <v/>
      </c>
      <c r="V197">
        <f>HYPERLINK("https://klasma.github.io/Logging_2361/klagomål/A 52328-2022 FSC-klagomål.docx", "A 52328-2022")</f>
        <v/>
      </c>
      <c r="W197">
        <f>HYPERLINK("https://klasma.github.io/Logging_2361/klagomålsmail/A 52328-2022 FSC-klagomål mail.docx", "A 52328-2022")</f>
        <v/>
      </c>
      <c r="X197">
        <f>HYPERLINK("https://klasma.github.io/Logging_2361/tillsyn/A 52328-2022 tillsynsbegäran.docx", "A 52328-2022")</f>
        <v/>
      </c>
      <c r="Y197">
        <f>HYPERLINK("https://klasma.github.io/Logging_2361/tillsynsmail/A 52328-2022 tillsynsbegäran mail.docx", "A 52328-2022")</f>
        <v/>
      </c>
    </row>
    <row r="198" ht="15" customHeight="1">
      <c r="A198" t="inlineStr">
        <is>
          <t>A 56084-2022</t>
        </is>
      </c>
      <c r="B198" s="1" t="n">
        <v>44886</v>
      </c>
      <c r="C198" s="1" t="n">
        <v>45719</v>
      </c>
      <c r="D198" t="inlineStr">
        <is>
          <t>JÄMTLANDS LÄN</t>
        </is>
      </c>
      <c r="E198" t="inlineStr">
        <is>
          <t>HÄRJEDALEN</t>
        </is>
      </c>
      <c r="F198" t="inlineStr">
        <is>
          <t>Övriga statliga verk och myndigheter</t>
        </is>
      </c>
      <c r="G198" t="n">
        <v>18.6</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56084-2022 artfynd.xlsx", "A 56084-2022")</f>
        <v/>
      </c>
      <c r="T198">
        <f>HYPERLINK("https://klasma.github.io/Logging_2361/kartor/A 56084-2022 karta.png", "A 56084-2022")</f>
        <v/>
      </c>
      <c r="V198">
        <f>HYPERLINK("https://klasma.github.io/Logging_2361/klagomål/A 56084-2022 FSC-klagomål.docx", "A 56084-2022")</f>
        <v/>
      </c>
      <c r="W198">
        <f>HYPERLINK("https://klasma.github.io/Logging_2361/klagomålsmail/A 56084-2022 FSC-klagomål mail.docx", "A 56084-2022")</f>
        <v/>
      </c>
      <c r="X198">
        <f>HYPERLINK("https://klasma.github.io/Logging_2361/tillsyn/A 56084-2022 tillsynsbegäran.docx", "A 56084-2022")</f>
        <v/>
      </c>
      <c r="Y198">
        <f>HYPERLINK("https://klasma.github.io/Logging_2361/tillsynsmail/A 56084-2022 tillsynsbegäran mail.docx", "A 56084-2022")</f>
        <v/>
      </c>
    </row>
    <row r="199" ht="15" customHeight="1">
      <c r="A199" t="inlineStr">
        <is>
          <t>A 184-2023</t>
        </is>
      </c>
      <c r="B199" s="1" t="n">
        <v>44928</v>
      </c>
      <c r="C199" s="1" t="n">
        <v>45719</v>
      </c>
      <c r="D199" t="inlineStr">
        <is>
          <t>JÄMTLANDS LÄN</t>
        </is>
      </c>
      <c r="E199" t="inlineStr">
        <is>
          <t>HÄRJEDALEN</t>
        </is>
      </c>
      <c r="F199" t="inlineStr">
        <is>
          <t>Holmen skog AB</t>
        </is>
      </c>
      <c r="G199" t="n">
        <v>7.8</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184-2023 artfynd.xlsx", "A 184-2023")</f>
        <v/>
      </c>
      <c r="T199">
        <f>HYPERLINK("https://klasma.github.io/Logging_2361/kartor/A 184-2023 karta.png", "A 184-2023")</f>
        <v/>
      </c>
      <c r="U199">
        <f>HYPERLINK("https://klasma.github.io/Logging_2361/knärot/A 184-2023 karta knärot.png", "A 184-2023")</f>
        <v/>
      </c>
      <c r="V199">
        <f>HYPERLINK("https://klasma.github.io/Logging_2361/klagomål/A 184-2023 FSC-klagomål.docx", "A 184-2023")</f>
        <v/>
      </c>
      <c r="W199">
        <f>HYPERLINK("https://klasma.github.io/Logging_2361/klagomålsmail/A 184-2023 FSC-klagomål mail.docx", "A 184-2023")</f>
        <v/>
      </c>
      <c r="X199">
        <f>HYPERLINK("https://klasma.github.io/Logging_2361/tillsyn/A 184-2023 tillsynsbegäran.docx", "A 184-2023")</f>
        <v/>
      </c>
      <c r="Y199">
        <f>HYPERLINK("https://klasma.github.io/Logging_2361/tillsynsmail/A 184-2023 tillsynsbegäran mail.docx", "A 184-2023")</f>
        <v/>
      </c>
    </row>
    <row r="200" ht="15" customHeight="1">
      <c r="A200" t="inlineStr">
        <is>
          <t>A 30330-2023</t>
        </is>
      </c>
      <c r="B200" s="1" t="n">
        <v>45111</v>
      </c>
      <c r="C200" s="1" t="n">
        <v>45719</v>
      </c>
      <c r="D200" t="inlineStr">
        <is>
          <t>JÄMTLANDS LÄN</t>
        </is>
      </c>
      <c r="E200" t="inlineStr">
        <is>
          <t>HÄRJEDALEN</t>
        </is>
      </c>
      <c r="F200" t="inlineStr">
        <is>
          <t>Bergvik skog väst AB</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30330-2023 artfynd.xlsx", "A 30330-2023")</f>
        <v/>
      </c>
      <c r="T200">
        <f>HYPERLINK("https://klasma.github.io/Logging_2361/kartor/A 30330-2023 karta.png", "A 30330-2023")</f>
        <v/>
      </c>
      <c r="V200">
        <f>HYPERLINK("https://klasma.github.io/Logging_2361/klagomål/A 30330-2023 FSC-klagomål.docx", "A 30330-2023")</f>
        <v/>
      </c>
      <c r="W200">
        <f>HYPERLINK("https://klasma.github.io/Logging_2361/klagomålsmail/A 30330-2023 FSC-klagomål mail.docx", "A 30330-2023")</f>
        <v/>
      </c>
      <c r="X200">
        <f>HYPERLINK("https://klasma.github.io/Logging_2361/tillsyn/A 30330-2023 tillsynsbegäran.docx", "A 30330-2023")</f>
        <v/>
      </c>
      <c r="Y200">
        <f>HYPERLINK("https://klasma.github.io/Logging_2361/tillsynsmail/A 30330-2023 tillsynsbegäran mail.docx", "A 30330-2023")</f>
        <v/>
      </c>
    </row>
    <row r="201" ht="15" customHeight="1">
      <c r="A201" t="inlineStr">
        <is>
          <t>A 39524-2023</t>
        </is>
      </c>
      <c r="B201" s="1" t="n">
        <v>45167</v>
      </c>
      <c r="C201" s="1" t="n">
        <v>45719</v>
      </c>
      <c r="D201" t="inlineStr">
        <is>
          <t>JÄMTLANDS LÄN</t>
        </is>
      </c>
      <c r="E201" t="inlineStr">
        <is>
          <t>HÄRJEDALEN</t>
        </is>
      </c>
      <c r="F201" t="inlineStr">
        <is>
          <t>Bergvik skog väst AB</t>
        </is>
      </c>
      <c r="G201" t="n">
        <v>4.1</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39524-2023 artfynd.xlsx", "A 39524-2023")</f>
        <v/>
      </c>
      <c r="T201">
        <f>HYPERLINK("https://klasma.github.io/Logging_2361/kartor/A 39524-2023 karta.png", "A 39524-2023")</f>
        <v/>
      </c>
      <c r="V201">
        <f>HYPERLINK("https://klasma.github.io/Logging_2361/klagomål/A 39524-2023 FSC-klagomål.docx", "A 39524-2023")</f>
        <v/>
      </c>
      <c r="W201">
        <f>HYPERLINK("https://klasma.github.io/Logging_2361/klagomålsmail/A 39524-2023 FSC-klagomål mail.docx", "A 39524-2023")</f>
        <v/>
      </c>
      <c r="X201">
        <f>HYPERLINK("https://klasma.github.io/Logging_2361/tillsyn/A 39524-2023 tillsynsbegäran.docx", "A 39524-2023")</f>
        <v/>
      </c>
      <c r="Y201">
        <f>HYPERLINK("https://klasma.github.io/Logging_2361/tillsynsmail/A 39524-2023 tillsynsbegäran mail.docx", "A 39524-2023")</f>
        <v/>
      </c>
      <c r="Z201">
        <f>HYPERLINK("https://klasma.github.io/Logging_2361/fåglar/A 39524-2023 prioriterade fågelarter.docx", "A 39524-2023")</f>
        <v/>
      </c>
    </row>
    <row r="202" ht="15" customHeight="1">
      <c r="A202" t="inlineStr">
        <is>
          <t>A 50470-2023</t>
        </is>
      </c>
      <c r="B202" s="1" t="n">
        <v>45216</v>
      </c>
      <c r="C202" s="1" t="n">
        <v>45719</v>
      </c>
      <c r="D202" t="inlineStr">
        <is>
          <t>JÄMTLANDS LÄN</t>
        </is>
      </c>
      <c r="E202" t="inlineStr">
        <is>
          <t>HÄRJEDALEN</t>
        </is>
      </c>
      <c r="F202" t="inlineStr">
        <is>
          <t>Sveaskog</t>
        </is>
      </c>
      <c r="G202" t="n">
        <v>3.5</v>
      </c>
      <c r="H202" t="n">
        <v>0</v>
      </c>
      <c r="I202" t="n">
        <v>0</v>
      </c>
      <c r="J202" t="n">
        <v>0</v>
      </c>
      <c r="K202" t="n">
        <v>1</v>
      </c>
      <c r="L202" t="n">
        <v>0</v>
      </c>
      <c r="M202" t="n">
        <v>0</v>
      </c>
      <c r="N202" t="n">
        <v>0</v>
      </c>
      <c r="O202" t="n">
        <v>1</v>
      </c>
      <c r="P202" t="n">
        <v>1</v>
      </c>
      <c r="Q202" t="n">
        <v>1</v>
      </c>
      <c r="R202" s="2" t="inlineStr">
        <is>
          <t>Gräddporing</t>
        </is>
      </c>
      <c r="S202">
        <f>HYPERLINK("https://klasma.github.io/Logging_2361/artfynd/A 50470-2023 artfynd.xlsx", "A 50470-2023")</f>
        <v/>
      </c>
      <c r="T202">
        <f>HYPERLINK("https://klasma.github.io/Logging_2361/kartor/A 50470-2023 karta.png", "A 50470-2023")</f>
        <v/>
      </c>
      <c r="V202">
        <f>HYPERLINK("https://klasma.github.io/Logging_2361/klagomål/A 50470-2023 FSC-klagomål.docx", "A 50470-2023")</f>
        <v/>
      </c>
      <c r="W202">
        <f>HYPERLINK("https://klasma.github.io/Logging_2361/klagomålsmail/A 50470-2023 FSC-klagomål mail.docx", "A 50470-2023")</f>
        <v/>
      </c>
      <c r="X202">
        <f>HYPERLINK("https://klasma.github.io/Logging_2361/tillsyn/A 50470-2023 tillsynsbegäran.docx", "A 50470-2023")</f>
        <v/>
      </c>
      <c r="Y202">
        <f>HYPERLINK("https://klasma.github.io/Logging_2361/tillsynsmail/A 50470-2023 tillsynsbegäran mail.docx", "A 50470-2023")</f>
        <v/>
      </c>
    </row>
    <row r="203" ht="15" customHeight="1">
      <c r="A203" t="inlineStr">
        <is>
          <t>A 51414-2023</t>
        </is>
      </c>
      <c r="B203" s="1" t="n">
        <v>45219</v>
      </c>
      <c r="C203" s="1" t="n">
        <v>45719</v>
      </c>
      <c r="D203" t="inlineStr">
        <is>
          <t>JÄMTLANDS LÄN</t>
        </is>
      </c>
      <c r="E203" t="inlineStr">
        <is>
          <t>HÄRJEDALEN</t>
        </is>
      </c>
      <c r="F203" t="inlineStr">
        <is>
          <t>Sveaskog</t>
        </is>
      </c>
      <c r="G203" t="n">
        <v>3.9</v>
      </c>
      <c r="H203" t="n">
        <v>0</v>
      </c>
      <c r="I203" t="n">
        <v>0</v>
      </c>
      <c r="J203" t="n">
        <v>1</v>
      </c>
      <c r="K203" t="n">
        <v>0</v>
      </c>
      <c r="L203" t="n">
        <v>0</v>
      </c>
      <c r="M203" t="n">
        <v>0</v>
      </c>
      <c r="N203" t="n">
        <v>0</v>
      </c>
      <c r="O203" t="n">
        <v>1</v>
      </c>
      <c r="P203" t="n">
        <v>0</v>
      </c>
      <c r="Q203" t="n">
        <v>1</v>
      </c>
      <c r="R203" s="2" t="inlineStr">
        <is>
          <t>Lunglav</t>
        </is>
      </c>
      <c r="S203">
        <f>HYPERLINK("https://klasma.github.io/Logging_2361/artfynd/A 51414-2023 artfynd.xlsx", "A 51414-2023")</f>
        <v/>
      </c>
      <c r="T203">
        <f>HYPERLINK("https://klasma.github.io/Logging_2361/kartor/A 51414-2023 karta.png", "A 51414-2023")</f>
        <v/>
      </c>
      <c r="V203">
        <f>HYPERLINK("https://klasma.github.io/Logging_2361/klagomål/A 51414-2023 FSC-klagomål.docx", "A 51414-2023")</f>
        <v/>
      </c>
      <c r="W203">
        <f>HYPERLINK("https://klasma.github.io/Logging_2361/klagomålsmail/A 51414-2023 FSC-klagomål mail.docx", "A 51414-2023")</f>
        <v/>
      </c>
      <c r="X203">
        <f>HYPERLINK("https://klasma.github.io/Logging_2361/tillsyn/A 51414-2023 tillsynsbegäran.docx", "A 51414-2023")</f>
        <v/>
      </c>
      <c r="Y203">
        <f>HYPERLINK("https://klasma.github.io/Logging_2361/tillsynsmail/A 51414-2023 tillsynsbegäran mail.docx", "A 51414-2023")</f>
        <v/>
      </c>
    </row>
    <row r="204" ht="15" customHeight="1">
      <c r="A204" t="inlineStr">
        <is>
          <t>A 62539-2023</t>
        </is>
      </c>
      <c r="B204" s="1" t="n">
        <v>45268</v>
      </c>
      <c r="C204" s="1" t="n">
        <v>45719</v>
      </c>
      <c r="D204" t="inlineStr">
        <is>
          <t>JÄMTLANDS LÄN</t>
        </is>
      </c>
      <c r="E204" t="inlineStr">
        <is>
          <t>HÄRJEDALEN</t>
        </is>
      </c>
      <c r="G204" t="n">
        <v>7.6</v>
      </c>
      <c r="H204" t="n">
        <v>1</v>
      </c>
      <c r="I204" t="n">
        <v>0</v>
      </c>
      <c r="J204" t="n">
        <v>1</v>
      </c>
      <c r="K204" t="n">
        <v>0</v>
      </c>
      <c r="L204" t="n">
        <v>0</v>
      </c>
      <c r="M204" t="n">
        <v>0</v>
      </c>
      <c r="N204" t="n">
        <v>0</v>
      </c>
      <c r="O204" t="n">
        <v>1</v>
      </c>
      <c r="P204" t="n">
        <v>0</v>
      </c>
      <c r="Q204" t="n">
        <v>1</v>
      </c>
      <c r="R204" s="2" t="inlineStr">
        <is>
          <t>Talltita</t>
        </is>
      </c>
      <c r="S204">
        <f>HYPERLINK("https://klasma.github.io/Logging_2361/artfynd/A 62539-2023 artfynd.xlsx", "A 62539-2023")</f>
        <v/>
      </c>
      <c r="T204">
        <f>HYPERLINK("https://klasma.github.io/Logging_2361/kartor/A 62539-2023 karta.png", "A 62539-2023")</f>
        <v/>
      </c>
      <c r="V204">
        <f>HYPERLINK("https://klasma.github.io/Logging_2361/klagomål/A 62539-2023 FSC-klagomål.docx", "A 62539-2023")</f>
        <v/>
      </c>
      <c r="W204">
        <f>HYPERLINK("https://klasma.github.io/Logging_2361/klagomålsmail/A 62539-2023 FSC-klagomål mail.docx", "A 62539-2023")</f>
        <v/>
      </c>
      <c r="X204">
        <f>HYPERLINK("https://klasma.github.io/Logging_2361/tillsyn/A 62539-2023 tillsynsbegäran.docx", "A 62539-2023")</f>
        <v/>
      </c>
      <c r="Y204">
        <f>HYPERLINK("https://klasma.github.io/Logging_2361/tillsynsmail/A 62539-2023 tillsynsbegäran mail.docx", "A 62539-2023")</f>
        <v/>
      </c>
      <c r="Z204">
        <f>HYPERLINK("https://klasma.github.io/Logging_2361/fåglar/A 62539-2023 prioriterade fågelarter.docx", "A 62539-2023")</f>
        <v/>
      </c>
    </row>
    <row r="205" ht="15" customHeight="1">
      <c r="A205" t="inlineStr">
        <is>
          <t>A 63659-2023</t>
        </is>
      </c>
      <c r="B205" s="1" t="n">
        <v>45275</v>
      </c>
      <c r="C205" s="1" t="n">
        <v>45719</v>
      </c>
      <c r="D205" t="inlineStr">
        <is>
          <t>JÄMTLANDS LÄN</t>
        </is>
      </c>
      <c r="E205" t="inlineStr">
        <is>
          <t>HÄRJEDALEN</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HYPERLINK("https://klasma.github.io/Logging_2361/artfynd/A 63659-2023 artfynd.xlsx", "A 63659-2023")</f>
        <v/>
      </c>
      <c r="T205">
        <f>HYPERLINK("https://klasma.github.io/Logging_2361/kartor/A 63659-2023 karta.png", "A 63659-2023")</f>
        <v/>
      </c>
      <c r="V205">
        <f>HYPERLINK("https://klasma.github.io/Logging_2361/klagomål/A 63659-2023 FSC-klagomål.docx", "A 63659-2023")</f>
        <v/>
      </c>
      <c r="W205">
        <f>HYPERLINK("https://klasma.github.io/Logging_2361/klagomålsmail/A 63659-2023 FSC-klagomål mail.docx", "A 63659-2023")</f>
        <v/>
      </c>
      <c r="X205">
        <f>HYPERLINK("https://klasma.github.io/Logging_2361/tillsyn/A 63659-2023 tillsynsbegäran.docx", "A 63659-2023")</f>
        <v/>
      </c>
      <c r="Y205">
        <f>HYPERLINK("https://klasma.github.io/Logging_2361/tillsynsmail/A 63659-2023 tillsynsbegäran mail.docx", "A 63659-2023")</f>
        <v/>
      </c>
    </row>
    <row r="206" ht="15" customHeight="1">
      <c r="A206" t="inlineStr">
        <is>
          <t>A 3593-2024</t>
        </is>
      </c>
      <c r="B206" s="1" t="n">
        <v>45320</v>
      </c>
      <c r="C206" s="1" t="n">
        <v>45719</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7327-2024</t>
        </is>
      </c>
      <c r="B207" s="1" t="n">
        <v>45345</v>
      </c>
      <c r="C207" s="1" t="n">
        <v>45719</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16471-2024</t>
        </is>
      </c>
      <c r="B208" s="1" t="n">
        <v>45408</v>
      </c>
      <c r="C208" s="1" t="n">
        <v>45719</v>
      </c>
      <c r="D208" t="inlineStr">
        <is>
          <t>JÄMTLANDS LÄN</t>
        </is>
      </c>
      <c r="E208" t="inlineStr">
        <is>
          <t>HÄRJEDALEN</t>
        </is>
      </c>
      <c r="G208" t="n">
        <v>31.7</v>
      </c>
      <c r="H208" t="n">
        <v>0</v>
      </c>
      <c r="I208" t="n">
        <v>0</v>
      </c>
      <c r="J208" t="n">
        <v>0</v>
      </c>
      <c r="K208" t="n">
        <v>0</v>
      </c>
      <c r="L208" t="n">
        <v>0</v>
      </c>
      <c r="M208" t="n">
        <v>1</v>
      </c>
      <c r="N208" t="n">
        <v>0</v>
      </c>
      <c r="O208" t="n">
        <v>1</v>
      </c>
      <c r="P208" t="n">
        <v>1</v>
      </c>
      <c r="Q208" t="n">
        <v>1</v>
      </c>
      <c r="R208" s="2" t="inlineStr">
        <is>
          <t>Limbergsfibbla</t>
        </is>
      </c>
      <c r="S208">
        <f>HYPERLINK("https://klasma.github.io/Logging_2361/artfynd/A 16471-2024 artfynd.xlsx", "A 16471-2024")</f>
        <v/>
      </c>
      <c r="T208">
        <f>HYPERLINK("https://klasma.github.io/Logging_2361/kartor/A 16471-2024 karta.png", "A 16471-2024")</f>
        <v/>
      </c>
      <c r="V208">
        <f>HYPERLINK("https://klasma.github.io/Logging_2361/klagomål/A 16471-2024 FSC-klagomål.docx", "A 16471-2024")</f>
        <v/>
      </c>
      <c r="W208">
        <f>HYPERLINK("https://klasma.github.io/Logging_2361/klagomålsmail/A 16471-2024 FSC-klagomål mail.docx", "A 16471-2024")</f>
        <v/>
      </c>
      <c r="X208">
        <f>HYPERLINK("https://klasma.github.io/Logging_2361/tillsyn/A 16471-2024 tillsynsbegäran.docx", "A 16471-2024")</f>
        <v/>
      </c>
      <c r="Y208">
        <f>HYPERLINK("https://klasma.github.io/Logging_2361/tillsynsmail/A 16471-2024 tillsynsbegäran mail.docx", "A 16471-2024")</f>
        <v/>
      </c>
    </row>
    <row r="209" ht="15" customHeight="1">
      <c r="A209" t="inlineStr">
        <is>
          <t>A 23680-2024</t>
        </is>
      </c>
      <c r="B209" s="1" t="n">
        <v>45454</v>
      </c>
      <c r="C209" s="1" t="n">
        <v>45719</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24254-2024</t>
        </is>
      </c>
      <c r="B210" s="1" t="n">
        <v>45457</v>
      </c>
      <c r="C210" s="1" t="n">
        <v>45719</v>
      </c>
      <c r="D210" t="inlineStr">
        <is>
          <t>JÄMTLANDS LÄN</t>
        </is>
      </c>
      <c r="E210" t="inlineStr">
        <is>
          <t>HÄRJEDALEN</t>
        </is>
      </c>
      <c r="F210" t="inlineStr">
        <is>
          <t>Sveaskog</t>
        </is>
      </c>
      <c r="G210" t="n">
        <v>6</v>
      </c>
      <c r="H210" t="n">
        <v>0</v>
      </c>
      <c r="I210" t="n">
        <v>0</v>
      </c>
      <c r="J210" t="n">
        <v>1</v>
      </c>
      <c r="K210" t="n">
        <v>0</v>
      </c>
      <c r="L210" t="n">
        <v>0</v>
      </c>
      <c r="M210" t="n">
        <v>0</v>
      </c>
      <c r="N210" t="n">
        <v>0</v>
      </c>
      <c r="O210" t="n">
        <v>1</v>
      </c>
      <c r="P210" t="n">
        <v>0</v>
      </c>
      <c r="Q210" t="n">
        <v>1</v>
      </c>
      <c r="R210" s="2" t="inlineStr">
        <is>
          <t>Kolflarnlav</t>
        </is>
      </c>
      <c r="S210">
        <f>HYPERLINK("https://klasma.github.io/Logging_2361/artfynd/A 24254-2024 artfynd.xlsx", "A 24254-2024")</f>
        <v/>
      </c>
      <c r="T210">
        <f>HYPERLINK("https://klasma.github.io/Logging_2361/kartor/A 24254-2024 karta.png", "A 24254-2024")</f>
        <v/>
      </c>
      <c r="V210">
        <f>HYPERLINK("https://klasma.github.io/Logging_2361/klagomål/A 24254-2024 FSC-klagomål.docx", "A 24254-2024")</f>
        <v/>
      </c>
      <c r="W210">
        <f>HYPERLINK("https://klasma.github.io/Logging_2361/klagomålsmail/A 24254-2024 FSC-klagomål mail.docx", "A 24254-2024")</f>
        <v/>
      </c>
      <c r="X210">
        <f>HYPERLINK("https://klasma.github.io/Logging_2361/tillsyn/A 24254-2024 tillsynsbegäran.docx", "A 24254-2024")</f>
        <v/>
      </c>
      <c r="Y210">
        <f>HYPERLINK("https://klasma.github.io/Logging_2361/tillsynsmail/A 24254-2024 tillsynsbegäran mail.docx", "A 24254-2024")</f>
        <v/>
      </c>
    </row>
    <row r="211" ht="15" customHeight="1">
      <c r="A211" t="inlineStr">
        <is>
          <t>A 24249-2024</t>
        </is>
      </c>
      <c r="B211" s="1" t="n">
        <v>45457</v>
      </c>
      <c r="C211" s="1" t="n">
        <v>45719</v>
      </c>
      <c r="D211" t="inlineStr">
        <is>
          <t>JÄMTLANDS LÄN</t>
        </is>
      </c>
      <c r="E211" t="inlineStr">
        <is>
          <t>HÄRJEDALEN</t>
        </is>
      </c>
      <c r="F211" t="inlineStr">
        <is>
          <t>Sveaskog</t>
        </is>
      </c>
      <c r="G211" t="n">
        <v>15.1</v>
      </c>
      <c r="H211" t="n">
        <v>0</v>
      </c>
      <c r="I211" t="n">
        <v>0</v>
      </c>
      <c r="J211" t="n">
        <v>1</v>
      </c>
      <c r="K211" t="n">
        <v>0</v>
      </c>
      <c r="L211" t="n">
        <v>0</v>
      </c>
      <c r="M211" t="n">
        <v>0</v>
      </c>
      <c r="N211" t="n">
        <v>0</v>
      </c>
      <c r="O211" t="n">
        <v>1</v>
      </c>
      <c r="P211" t="n">
        <v>0</v>
      </c>
      <c r="Q211" t="n">
        <v>1</v>
      </c>
      <c r="R211" s="2" t="inlineStr">
        <is>
          <t>Garnlav</t>
        </is>
      </c>
      <c r="S211">
        <f>HYPERLINK("https://klasma.github.io/Logging_2361/artfynd/A 24249-2024 artfynd.xlsx", "A 24249-2024")</f>
        <v/>
      </c>
      <c r="T211">
        <f>HYPERLINK("https://klasma.github.io/Logging_2361/kartor/A 24249-2024 karta.png", "A 24249-2024")</f>
        <v/>
      </c>
      <c r="V211">
        <f>HYPERLINK("https://klasma.github.io/Logging_2361/klagomål/A 24249-2024 FSC-klagomål.docx", "A 24249-2024")</f>
        <v/>
      </c>
      <c r="W211">
        <f>HYPERLINK("https://klasma.github.io/Logging_2361/klagomålsmail/A 24249-2024 FSC-klagomål mail.docx", "A 24249-2024")</f>
        <v/>
      </c>
      <c r="X211">
        <f>HYPERLINK("https://klasma.github.io/Logging_2361/tillsyn/A 24249-2024 tillsynsbegäran.docx", "A 24249-2024")</f>
        <v/>
      </c>
      <c r="Y211">
        <f>HYPERLINK("https://klasma.github.io/Logging_2361/tillsynsmail/A 24249-2024 tillsynsbegäran mail.docx", "A 24249-2024")</f>
        <v/>
      </c>
    </row>
    <row r="212" ht="15" customHeight="1">
      <c r="A212" t="inlineStr">
        <is>
          <t>A 24251-2024</t>
        </is>
      </c>
      <c r="B212" s="1" t="n">
        <v>45457</v>
      </c>
      <c r="C212" s="1" t="n">
        <v>45719</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25942-2024</t>
        </is>
      </c>
      <c r="B213" s="1" t="n">
        <v>45467</v>
      </c>
      <c r="C213" s="1" t="n">
        <v>45719</v>
      </c>
      <c r="D213" t="inlineStr">
        <is>
          <t>JÄMTLANDS LÄN</t>
        </is>
      </c>
      <c r="E213" t="inlineStr">
        <is>
          <t>HÄRJEDALEN</t>
        </is>
      </c>
      <c r="F213" t="inlineStr">
        <is>
          <t>Sveaskog</t>
        </is>
      </c>
      <c r="G213" t="n">
        <v>6.4</v>
      </c>
      <c r="H213" t="n">
        <v>0</v>
      </c>
      <c r="I213" t="n">
        <v>0</v>
      </c>
      <c r="J213" t="n">
        <v>1</v>
      </c>
      <c r="K213" t="n">
        <v>0</v>
      </c>
      <c r="L213" t="n">
        <v>0</v>
      </c>
      <c r="M213" t="n">
        <v>0</v>
      </c>
      <c r="N213" t="n">
        <v>0</v>
      </c>
      <c r="O213" t="n">
        <v>1</v>
      </c>
      <c r="P213" t="n">
        <v>0</v>
      </c>
      <c r="Q213" t="n">
        <v>1</v>
      </c>
      <c r="R213" s="2" t="inlineStr">
        <is>
          <t>Lunglav</t>
        </is>
      </c>
      <c r="S213">
        <f>HYPERLINK("https://klasma.github.io/Logging_2361/artfynd/A 25942-2024 artfynd.xlsx", "A 25942-2024")</f>
        <v/>
      </c>
      <c r="T213">
        <f>HYPERLINK("https://klasma.github.io/Logging_2361/kartor/A 25942-2024 karta.png", "A 25942-2024")</f>
        <v/>
      </c>
      <c r="V213">
        <f>HYPERLINK("https://klasma.github.io/Logging_2361/klagomål/A 25942-2024 FSC-klagomål.docx", "A 25942-2024")</f>
        <v/>
      </c>
      <c r="W213">
        <f>HYPERLINK("https://klasma.github.io/Logging_2361/klagomålsmail/A 25942-2024 FSC-klagomål mail.docx", "A 25942-2024")</f>
        <v/>
      </c>
      <c r="X213">
        <f>HYPERLINK("https://klasma.github.io/Logging_2361/tillsyn/A 25942-2024 tillsynsbegäran.docx", "A 25942-2024")</f>
        <v/>
      </c>
      <c r="Y213">
        <f>HYPERLINK("https://klasma.github.io/Logging_2361/tillsynsmail/A 25942-2024 tillsynsbegäran mail.docx", "A 25942-2024")</f>
        <v/>
      </c>
    </row>
    <row r="214" ht="15" customHeight="1">
      <c r="A214" t="inlineStr">
        <is>
          <t>A 28629-2024</t>
        </is>
      </c>
      <c r="B214" s="1" t="n">
        <v>45478</v>
      </c>
      <c r="C214" s="1" t="n">
        <v>45719</v>
      </c>
      <c r="D214" t="inlineStr">
        <is>
          <t>JÄMTLANDS LÄN</t>
        </is>
      </c>
      <c r="E214" t="inlineStr">
        <is>
          <t>HÄRJEDALEN</t>
        </is>
      </c>
      <c r="G214" t="n">
        <v>8.699999999999999</v>
      </c>
      <c r="H214" t="n">
        <v>1</v>
      </c>
      <c r="I214" t="n">
        <v>0</v>
      </c>
      <c r="J214" t="n">
        <v>0</v>
      </c>
      <c r="K214" t="n">
        <v>0</v>
      </c>
      <c r="L214" t="n">
        <v>1</v>
      </c>
      <c r="M214" t="n">
        <v>0</v>
      </c>
      <c r="N214" t="n">
        <v>0</v>
      </c>
      <c r="O214" t="n">
        <v>1</v>
      </c>
      <c r="P214" t="n">
        <v>1</v>
      </c>
      <c r="Q214" t="n">
        <v>1</v>
      </c>
      <c r="R214" s="2" t="inlineStr">
        <is>
          <t>Mosippa</t>
        </is>
      </c>
      <c r="S214">
        <f>HYPERLINK("https://klasma.github.io/Logging_2361/artfynd/A 28629-2024 artfynd.xlsx", "A 28629-2024")</f>
        <v/>
      </c>
      <c r="T214">
        <f>HYPERLINK("https://klasma.github.io/Logging_2361/kartor/A 28629-2024 karta.png", "A 28629-2024")</f>
        <v/>
      </c>
      <c r="V214">
        <f>HYPERLINK("https://klasma.github.io/Logging_2361/klagomål/A 28629-2024 FSC-klagomål.docx", "A 28629-2024")</f>
        <v/>
      </c>
      <c r="W214">
        <f>HYPERLINK("https://klasma.github.io/Logging_2361/klagomålsmail/A 28629-2024 FSC-klagomål mail.docx", "A 28629-2024")</f>
        <v/>
      </c>
      <c r="X214">
        <f>HYPERLINK("https://klasma.github.io/Logging_2361/tillsyn/A 28629-2024 tillsynsbegäran.docx", "A 28629-2024")</f>
        <v/>
      </c>
      <c r="Y214">
        <f>HYPERLINK("https://klasma.github.io/Logging_2361/tillsynsmail/A 28629-2024 tillsynsbegäran mail.docx", "A 28629-2024")</f>
        <v/>
      </c>
    </row>
    <row r="215" ht="15" customHeight="1">
      <c r="A215" t="inlineStr">
        <is>
          <t>A 31607-2024</t>
        </is>
      </c>
      <c r="B215" s="1" t="n">
        <v>45506</v>
      </c>
      <c r="C215" s="1" t="n">
        <v>45719</v>
      </c>
      <c r="D215" t="inlineStr">
        <is>
          <t>JÄMTLANDS LÄN</t>
        </is>
      </c>
      <c r="E215" t="inlineStr">
        <is>
          <t>HÄRJEDALEN</t>
        </is>
      </c>
      <c r="F215" t="inlineStr">
        <is>
          <t>Sveaskog</t>
        </is>
      </c>
      <c r="G215" t="n">
        <v>9.1</v>
      </c>
      <c r="H215" t="n">
        <v>0</v>
      </c>
      <c r="I215" t="n">
        <v>1</v>
      </c>
      <c r="J215" t="n">
        <v>0</v>
      </c>
      <c r="K215" t="n">
        <v>0</v>
      </c>
      <c r="L215" t="n">
        <v>0</v>
      </c>
      <c r="M215" t="n">
        <v>0</v>
      </c>
      <c r="N215" t="n">
        <v>0</v>
      </c>
      <c r="O215" t="n">
        <v>0</v>
      </c>
      <c r="P215" t="n">
        <v>0</v>
      </c>
      <c r="Q215" t="n">
        <v>1</v>
      </c>
      <c r="R215" s="2" t="inlineStr">
        <is>
          <t>Dropptaggsvamp</t>
        </is>
      </c>
      <c r="S215">
        <f>HYPERLINK("https://klasma.github.io/Logging_2361/artfynd/A 31607-2024 artfynd.xlsx", "A 31607-2024")</f>
        <v/>
      </c>
      <c r="T215">
        <f>HYPERLINK("https://klasma.github.io/Logging_2361/kartor/A 31607-2024 karta.png", "A 31607-2024")</f>
        <v/>
      </c>
      <c r="V215">
        <f>HYPERLINK("https://klasma.github.io/Logging_2361/klagomål/A 31607-2024 FSC-klagomål.docx", "A 31607-2024")</f>
        <v/>
      </c>
      <c r="W215">
        <f>HYPERLINK("https://klasma.github.io/Logging_2361/klagomålsmail/A 31607-2024 FSC-klagomål mail.docx", "A 31607-2024")</f>
        <v/>
      </c>
      <c r="X215">
        <f>HYPERLINK("https://klasma.github.io/Logging_2361/tillsyn/A 31607-2024 tillsynsbegäran.docx", "A 31607-2024")</f>
        <v/>
      </c>
      <c r="Y215">
        <f>HYPERLINK("https://klasma.github.io/Logging_2361/tillsynsmail/A 31607-2024 tillsynsbegäran mail.docx", "A 31607-2024")</f>
        <v/>
      </c>
    </row>
    <row r="216" ht="15" customHeight="1">
      <c r="A216" t="inlineStr">
        <is>
          <t>A 31583-2024</t>
        </is>
      </c>
      <c r="B216" s="1" t="n">
        <v>45506</v>
      </c>
      <c r="C216" s="1" t="n">
        <v>45719</v>
      </c>
      <c r="D216" t="inlineStr">
        <is>
          <t>JÄMTLANDS LÄN</t>
        </is>
      </c>
      <c r="E216" t="inlineStr">
        <is>
          <t>HÄRJEDALEN</t>
        </is>
      </c>
      <c r="G216" t="n">
        <v>9.199999999999999</v>
      </c>
      <c r="H216" t="n">
        <v>0</v>
      </c>
      <c r="I216" t="n">
        <v>0</v>
      </c>
      <c r="J216" t="n">
        <v>1</v>
      </c>
      <c r="K216" t="n">
        <v>0</v>
      </c>
      <c r="L216" t="n">
        <v>0</v>
      </c>
      <c r="M216" t="n">
        <v>0</v>
      </c>
      <c r="N216" t="n">
        <v>0</v>
      </c>
      <c r="O216" t="n">
        <v>1</v>
      </c>
      <c r="P216" t="n">
        <v>0</v>
      </c>
      <c r="Q216" t="n">
        <v>1</v>
      </c>
      <c r="R216" s="2" t="inlineStr">
        <is>
          <t>Igelkott</t>
        </is>
      </c>
      <c r="S216">
        <f>HYPERLINK("https://klasma.github.io/Logging_2361/artfynd/A 31583-2024 artfynd.xlsx", "A 31583-2024")</f>
        <v/>
      </c>
      <c r="T216">
        <f>HYPERLINK("https://klasma.github.io/Logging_2361/kartor/A 31583-2024 karta.png", "A 31583-2024")</f>
        <v/>
      </c>
      <c r="V216">
        <f>HYPERLINK("https://klasma.github.io/Logging_2361/klagomål/A 31583-2024 FSC-klagomål.docx", "A 31583-2024")</f>
        <v/>
      </c>
      <c r="W216">
        <f>HYPERLINK("https://klasma.github.io/Logging_2361/klagomålsmail/A 31583-2024 FSC-klagomål mail.docx", "A 31583-2024")</f>
        <v/>
      </c>
      <c r="X216">
        <f>HYPERLINK("https://klasma.github.io/Logging_2361/tillsyn/A 31583-2024 tillsynsbegäran.docx", "A 31583-2024")</f>
        <v/>
      </c>
      <c r="Y216">
        <f>HYPERLINK("https://klasma.github.io/Logging_2361/tillsynsmail/A 31583-2024 tillsynsbegäran mail.docx", "A 31583-2024")</f>
        <v/>
      </c>
    </row>
    <row r="217" ht="15" customHeight="1">
      <c r="A217" t="inlineStr">
        <is>
          <t>A 37451-2024</t>
        </is>
      </c>
      <c r="B217" s="1" t="n">
        <v>45540</v>
      </c>
      <c r="C217" s="1" t="n">
        <v>45719</v>
      </c>
      <c r="D217" t="inlineStr">
        <is>
          <t>JÄMTLANDS LÄN</t>
        </is>
      </c>
      <c r="E217" t="inlineStr">
        <is>
          <t>HÄRJEDALEN</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HYPERLINK("https://klasma.github.io/Logging_2361/artfynd/A 37451-2024 artfynd.xlsx", "A 37451-2024")</f>
        <v/>
      </c>
      <c r="T217">
        <f>HYPERLINK("https://klasma.github.io/Logging_2361/kartor/A 37451-2024 karta.png", "A 37451-2024")</f>
        <v/>
      </c>
      <c r="V217">
        <f>HYPERLINK("https://klasma.github.io/Logging_2361/klagomål/A 37451-2024 FSC-klagomål.docx", "A 37451-2024")</f>
        <v/>
      </c>
      <c r="W217">
        <f>HYPERLINK("https://klasma.github.io/Logging_2361/klagomålsmail/A 37451-2024 FSC-klagomål mail.docx", "A 37451-2024")</f>
        <v/>
      </c>
      <c r="X217">
        <f>HYPERLINK("https://klasma.github.io/Logging_2361/tillsyn/A 37451-2024 tillsynsbegäran.docx", "A 37451-2024")</f>
        <v/>
      </c>
      <c r="Y217">
        <f>HYPERLINK("https://klasma.github.io/Logging_2361/tillsynsmail/A 37451-2024 tillsynsbegäran mail.docx", "A 37451-2024")</f>
        <v/>
      </c>
    </row>
    <row r="218" ht="15" customHeight="1">
      <c r="A218" t="inlineStr">
        <is>
          <t>A 38285-2024</t>
        </is>
      </c>
      <c r="B218" s="1" t="n">
        <v>45545</v>
      </c>
      <c r="C218" s="1" t="n">
        <v>45719</v>
      </c>
      <c r="D218" t="inlineStr">
        <is>
          <t>JÄMTLANDS LÄN</t>
        </is>
      </c>
      <c r="E218" t="inlineStr">
        <is>
          <t>HÄRJEDALEN</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HYPERLINK("https://klasma.github.io/Logging_2361/artfynd/A 38285-2024 artfynd.xlsx", "A 38285-2024")</f>
        <v/>
      </c>
      <c r="T218">
        <f>HYPERLINK("https://klasma.github.io/Logging_2361/kartor/A 38285-2024 karta.png", "A 38285-2024")</f>
        <v/>
      </c>
      <c r="V218">
        <f>HYPERLINK("https://klasma.github.io/Logging_2361/klagomål/A 38285-2024 FSC-klagomål.docx", "A 38285-2024")</f>
        <v/>
      </c>
      <c r="W218">
        <f>HYPERLINK("https://klasma.github.io/Logging_2361/klagomålsmail/A 38285-2024 FSC-klagomål mail.docx", "A 38285-2024")</f>
        <v/>
      </c>
      <c r="X218">
        <f>HYPERLINK("https://klasma.github.io/Logging_2361/tillsyn/A 38285-2024 tillsynsbegäran.docx", "A 38285-2024")</f>
        <v/>
      </c>
      <c r="Y218">
        <f>HYPERLINK("https://klasma.github.io/Logging_2361/tillsynsmail/A 38285-2024 tillsynsbegäran mail.docx", "A 38285-2024")</f>
        <v/>
      </c>
    </row>
    <row r="219" ht="15" customHeight="1">
      <c r="A219" t="inlineStr">
        <is>
          <t>A 43744-2024</t>
        </is>
      </c>
      <c r="B219" s="1" t="n">
        <v>45569</v>
      </c>
      <c r="C219" s="1" t="n">
        <v>45719</v>
      </c>
      <c r="D219" t="inlineStr">
        <is>
          <t>JÄMTLANDS LÄN</t>
        </is>
      </c>
      <c r="E219" t="inlineStr">
        <is>
          <t>HÄRJEDALEN</t>
        </is>
      </c>
      <c r="G219" t="n">
        <v>15.8</v>
      </c>
      <c r="H219" t="n">
        <v>1</v>
      </c>
      <c r="I219" t="n">
        <v>0</v>
      </c>
      <c r="J219" t="n">
        <v>1</v>
      </c>
      <c r="K219" t="n">
        <v>0</v>
      </c>
      <c r="L219" t="n">
        <v>0</v>
      </c>
      <c r="M219" t="n">
        <v>0</v>
      </c>
      <c r="N219" t="n">
        <v>0</v>
      </c>
      <c r="O219" t="n">
        <v>1</v>
      </c>
      <c r="P219" t="n">
        <v>0</v>
      </c>
      <c r="Q219" t="n">
        <v>1</v>
      </c>
      <c r="R219" s="2" t="inlineStr">
        <is>
          <t>Skogsfru</t>
        </is>
      </c>
      <c r="S219">
        <f>HYPERLINK("https://klasma.github.io/Logging_2361/artfynd/A 43744-2024 artfynd.xlsx", "A 43744-2024")</f>
        <v/>
      </c>
      <c r="T219">
        <f>HYPERLINK("https://klasma.github.io/Logging_2361/kartor/A 43744-2024 karta.png", "A 43744-2024")</f>
        <v/>
      </c>
      <c r="V219">
        <f>HYPERLINK("https://klasma.github.io/Logging_2361/klagomål/A 43744-2024 FSC-klagomål.docx", "A 43744-2024")</f>
        <v/>
      </c>
      <c r="W219">
        <f>HYPERLINK("https://klasma.github.io/Logging_2361/klagomålsmail/A 43744-2024 FSC-klagomål mail.docx", "A 43744-2024")</f>
        <v/>
      </c>
      <c r="X219">
        <f>HYPERLINK("https://klasma.github.io/Logging_2361/tillsyn/A 43744-2024 tillsynsbegäran.docx", "A 43744-2024")</f>
        <v/>
      </c>
      <c r="Y219">
        <f>HYPERLINK("https://klasma.github.io/Logging_2361/tillsynsmail/A 43744-2024 tillsynsbegäran mail.docx", "A 43744-2024")</f>
        <v/>
      </c>
    </row>
    <row r="220" ht="15" customHeight="1">
      <c r="A220" t="inlineStr">
        <is>
          <t>A 51234-2024</t>
        </is>
      </c>
      <c r="B220" s="1" t="n">
        <v>45603</v>
      </c>
      <c r="C220" s="1" t="n">
        <v>45719</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54520-2024</t>
        </is>
      </c>
      <c r="B221" s="1" t="n">
        <v>45617</v>
      </c>
      <c r="C221" s="1" t="n">
        <v>45719</v>
      </c>
      <c r="D221" t="inlineStr">
        <is>
          <t>JÄMTLANDS LÄN</t>
        </is>
      </c>
      <c r="E221" t="inlineStr">
        <is>
          <t>HÄRJEDALEN</t>
        </is>
      </c>
      <c r="F221" t="inlineStr">
        <is>
          <t>Holmen skog AB</t>
        </is>
      </c>
      <c r="G221" t="n">
        <v>4.6</v>
      </c>
      <c r="H221" t="n">
        <v>1</v>
      </c>
      <c r="I221" t="n">
        <v>0</v>
      </c>
      <c r="J221" t="n">
        <v>1</v>
      </c>
      <c r="K221" t="n">
        <v>0</v>
      </c>
      <c r="L221" t="n">
        <v>0</v>
      </c>
      <c r="M221" t="n">
        <v>0</v>
      </c>
      <c r="N221" t="n">
        <v>0</v>
      </c>
      <c r="O221" t="n">
        <v>1</v>
      </c>
      <c r="P221" t="n">
        <v>0</v>
      </c>
      <c r="Q221" t="n">
        <v>1</v>
      </c>
      <c r="R221" s="2" t="inlineStr">
        <is>
          <t>Talltita</t>
        </is>
      </c>
      <c r="S221">
        <f>HYPERLINK("https://klasma.github.io/Logging_2361/artfynd/A 54520-2024 artfynd.xlsx", "A 54520-2024")</f>
        <v/>
      </c>
      <c r="T221">
        <f>HYPERLINK("https://klasma.github.io/Logging_2361/kartor/A 54520-2024 karta.png", "A 54520-2024")</f>
        <v/>
      </c>
      <c r="V221">
        <f>HYPERLINK("https://klasma.github.io/Logging_2361/klagomål/A 54520-2024 FSC-klagomål.docx", "A 54520-2024")</f>
        <v/>
      </c>
      <c r="W221">
        <f>HYPERLINK("https://klasma.github.io/Logging_2361/klagomålsmail/A 54520-2024 FSC-klagomål mail.docx", "A 54520-2024")</f>
        <v/>
      </c>
      <c r="X221">
        <f>HYPERLINK("https://klasma.github.io/Logging_2361/tillsyn/A 54520-2024 tillsynsbegäran.docx", "A 54520-2024")</f>
        <v/>
      </c>
      <c r="Y221">
        <f>HYPERLINK("https://klasma.github.io/Logging_2361/tillsynsmail/A 54520-2024 tillsynsbegäran mail.docx", "A 54520-2024")</f>
        <v/>
      </c>
      <c r="Z221">
        <f>HYPERLINK("https://klasma.github.io/Logging_2361/fåglar/A 54520-2024 prioriterade fågelarter.docx", "A 54520-2024")</f>
        <v/>
      </c>
    </row>
    <row r="222" ht="15" customHeight="1">
      <c r="A222" t="inlineStr">
        <is>
          <t>A 55135-2024</t>
        </is>
      </c>
      <c r="B222" s="1" t="n">
        <v>45621</v>
      </c>
      <c r="C222" s="1" t="n">
        <v>45719</v>
      </c>
      <c r="D222" t="inlineStr">
        <is>
          <t>JÄMTLANDS LÄN</t>
        </is>
      </c>
      <c r="E222" t="inlineStr">
        <is>
          <t>HÄRJEDALEN</t>
        </is>
      </c>
      <c r="F222" t="inlineStr">
        <is>
          <t>Sveaskog</t>
        </is>
      </c>
      <c r="G222" t="n">
        <v>12.6</v>
      </c>
      <c r="H222" t="n">
        <v>0</v>
      </c>
      <c r="I222" t="n">
        <v>1</v>
      </c>
      <c r="J222" t="n">
        <v>0</v>
      </c>
      <c r="K222" t="n">
        <v>0</v>
      </c>
      <c r="L222" t="n">
        <v>0</v>
      </c>
      <c r="M222" t="n">
        <v>0</v>
      </c>
      <c r="N222" t="n">
        <v>0</v>
      </c>
      <c r="O222" t="n">
        <v>0</v>
      </c>
      <c r="P222" t="n">
        <v>0</v>
      </c>
      <c r="Q222" t="n">
        <v>1</v>
      </c>
      <c r="R222" s="2" t="inlineStr">
        <is>
          <t>Skarp dropptaggsvamp</t>
        </is>
      </c>
      <c r="S222">
        <f>HYPERLINK("https://klasma.github.io/Logging_2361/artfynd/A 55135-2024 artfynd.xlsx", "A 55135-2024")</f>
        <v/>
      </c>
      <c r="T222">
        <f>HYPERLINK("https://klasma.github.io/Logging_2361/kartor/A 55135-2024 karta.png", "A 55135-2024")</f>
        <v/>
      </c>
      <c r="V222">
        <f>HYPERLINK("https://klasma.github.io/Logging_2361/klagomål/A 55135-2024 FSC-klagomål.docx", "A 55135-2024")</f>
        <v/>
      </c>
      <c r="W222">
        <f>HYPERLINK("https://klasma.github.io/Logging_2361/klagomålsmail/A 55135-2024 FSC-klagomål mail.docx", "A 55135-2024")</f>
        <v/>
      </c>
      <c r="X222">
        <f>HYPERLINK("https://klasma.github.io/Logging_2361/tillsyn/A 55135-2024 tillsynsbegäran.docx", "A 55135-2024")</f>
        <v/>
      </c>
      <c r="Y222">
        <f>HYPERLINK("https://klasma.github.io/Logging_2361/tillsynsmail/A 55135-2024 tillsynsbegäran mail.docx", "A 55135-2024")</f>
        <v/>
      </c>
    </row>
    <row r="223" ht="15" customHeight="1">
      <c r="A223" t="inlineStr">
        <is>
          <t>A 55214-2024</t>
        </is>
      </c>
      <c r="B223" s="1" t="n">
        <v>45621</v>
      </c>
      <c r="C223" s="1" t="n">
        <v>45719</v>
      </c>
      <c r="D223" t="inlineStr">
        <is>
          <t>JÄMTLANDS LÄN</t>
        </is>
      </c>
      <c r="E223" t="inlineStr">
        <is>
          <t>HÄRJEDALEN</t>
        </is>
      </c>
      <c r="F223" t="inlineStr">
        <is>
          <t>Sveaskog</t>
        </is>
      </c>
      <c r="G223" t="n">
        <v>1.1</v>
      </c>
      <c r="H223" t="n">
        <v>0</v>
      </c>
      <c r="I223" t="n">
        <v>0</v>
      </c>
      <c r="J223" t="n">
        <v>1</v>
      </c>
      <c r="K223" t="n">
        <v>0</v>
      </c>
      <c r="L223" t="n">
        <v>0</v>
      </c>
      <c r="M223" t="n">
        <v>0</v>
      </c>
      <c r="N223" t="n">
        <v>0</v>
      </c>
      <c r="O223" t="n">
        <v>1</v>
      </c>
      <c r="P223" t="n">
        <v>0</v>
      </c>
      <c r="Q223" t="n">
        <v>1</v>
      </c>
      <c r="R223" s="2" t="inlineStr">
        <is>
          <t>Kolflarnlav</t>
        </is>
      </c>
      <c r="S223">
        <f>HYPERLINK("https://klasma.github.io/Logging_2361/artfynd/A 55214-2024 artfynd.xlsx", "A 55214-2024")</f>
        <v/>
      </c>
      <c r="T223">
        <f>HYPERLINK("https://klasma.github.io/Logging_2361/kartor/A 55214-2024 karta.png", "A 55214-2024")</f>
        <v/>
      </c>
      <c r="V223">
        <f>HYPERLINK("https://klasma.github.io/Logging_2361/klagomål/A 55214-2024 FSC-klagomål.docx", "A 55214-2024")</f>
        <v/>
      </c>
      <c r="W223">
        <f>HYPERLINK("https://klasma.github.io/Logging_2361/klagomålsmail/A 55214-2024 FSC-klagomål mail.docx", "A 55214-2024")</f>
        <v/>
      </c>
      <c r="X223">
        <f>HYPERLINK("https://klasma.github.io/Logging_2361/tillsyn/A 55214-2024 tillsynsbegäran.docx", "A 55214-2024")</f>
        <v/>
      </c>
      <c r="Y223">
        <f>HYPERLINK("https://klasma.github.io/Logging_2361/tillsynsmail/A 55214-2024 tillsynsbegäran mail.docx", "A 55214-2024")</f>
        <v/>
      </c>
    </row>
    <row r="224" ht="15" customHeight="1">
      <c r="A224" t="inlineStr">
        <is>
          <t>A 59367-2024</t>
        </is>
      </c>
      <c r="B224" s="1" t="n">
        <v>45638</v>
      </c>
      <c r="C224" s="1" t="n">
        <v>45719</v>
      </c>
      <c r="D224" t="inlineStr">
        <is>
          <t>JÄMTLANDS LÄN</t>
        </is>
      </c>
      <c r="E224" t="inlineStr">
        <is>
          <t>HÄRJEDALEN</t>
        </is>
      </c>
      <c r="F224" t="inlineStr">
        <is>
          <t>Holmen skog AB</t>
        </is>
      </c>
      <c r="G224" t="n">
        <v>5.9</v>
      </c>
      <c r="H224" t="n">
        <v>0</v>
      </c>
      <c r="I224" t="n">
        <v>0</v>
      </c>
      <c r="J224" t="n">
        <v>1</v>
      </c>
      <c r="K224" t="n">
        <v>0</v>
      </c>
      <c r="L224" t="n">
        <v>0</v>
      </c>
      <c r="M224" t="n">
        <v>0</v>
      </c>
      <c r="N224" t="n">
        <v>0</v>
      </c>
      <c r="O224" t="n">
        <v>1</v>
      </c>
      <c r="P224" t="n">
        <v>0</v>
      </c>
      <c r="Q224" t="n">
        <v>1</v>
      </c>
      <c r="R224" s="2" t="inlineStr">
        <is>
          <t>Vedflamlav</t>
        </is>
      </c>
      <c r="S224">
        <f>HYPERLINK("https://klasma.github.io/Logging_2361/artfynd/A 59367-2024 artfynd.xlsx", "A 59367-2024")</f>
        <v/>
      </c>
      <c r="T224">
        <f>HYPERLINK("https://klasma.github.io/Logging_2361/kartor/A 59367-2024 karta.png", "A 59367-2024")</f>
        <v/>
      </c>
      <c r="V224">
        <f>HYPERLINK("https://klasma.github.io/Logging_2361/klagomål/A 59367-2024 FSC-klagomål.docx", "A 59367-2024")</f>
        <v/>
      </c>
      <c r="W224">
        <f>HYPERLINK("https://klasma.github.io/Logging_2361/klagomålsmail/A 59367-2024 FSC-klagomål mail.docx", "A 59367-2024")</f>
        <v/>
      </c>
      <c r="X224">
        <f>HYPERLINK("https://klasma.github.io/Logging_2361/tillsyn/A 59367-2024 tillsynsbegäran.docx", "A 59367-2024")</f>
        <v/>
      </c>
      <c r="Y224">
        <f>HYPERLINK("https://klasma.github.io/Logging_2361/tillsynsmail/A 59367-2024 tillsynsbegäran mail.docx", "A 59367-2024")</f>
        <v/>
      </c>
    </row>
    <row r="225" ht="15" customHeight="1">
      <c r="A225" t="inlineStr">
        <is>
          <t>A 2041-2025</t>
        </is>
      </c>
      <c r="B225" s="1" t="n">
        <v>45672</v>
      </c>
      <c r="C225" s="1" t="n">
        <v>45719</v>
      </c>
      <c r="D225" t="inlineStr">
        <is>
          <t>JÄMTLANDS LÄN</t>
        </is>
      </c>
      <c r="E225" t="inlineStr">
        <is>
          <t>HÄRJEDALEN</t>
        </is>
      </c>
      <c r="G225" t="n">
        <v>10</v>
      </c>
      <c r="H225" t="n">
        <v>0</v>
      </c>
      <c r="I225" t="n">
        <v>0</v>
      </c>
      <c r="J225" t="n">
        <v>1</v>
      </c>
      <c r="K225" t="n">
        <v>0</v>
      </c>
      <c r="L225" t="n">
        <v>0</v>
      </c>
      <c r="M225" t="n">
        <v>0</v>
      </c>
      <c r="N225" t="n">
        <v>0</v>
      </c>
      <c r="O225" t="n">
        <v>1</v>
      </c>
      <c r="P225" t="n">
        <v>0</v>
      </c>
      <c r="Q225" t="n">
        <v>1</v>
      </c>
      <c r="R225" s="2" t="inlineStr">
        <is>
          <t>Gränsticka</t>
        </is>
      </c>
      <c r="S225">
        <f>HYPERLINK("https://klasma.github.io/Logging_2361/artfynd/A 2041-2025 artfynd.xlsx", "A 2041-2025")</f>
        <v/>
      </c>
      <c r="T225">
        <f>HYPERLINK("https://klasma.github.io/Logging_2361/kartor/A 2041-2025 karta.png", "A 2041-2025")</f>
        <v/>
      </c>
      <c r="V225">
        <f>HYPERLINK("https://klasma.github.io/Logging_2361/klagomål/A 2041-2025 FSC-klagomål.docx", "A 2041-2025")</f>
        <v/>
      </c>
      <c r="W225">
        <f>HYPERLINK("https://klasma.github.io/Logging_2361/klagomålsmail/A 2041-2025 FSC-klagomål mail.docx", "A 2041-2025")</f>
        <v/>
      </c>
      <c r="X225">
        <f>HYPERLINK("https://klasma.github.io/Logging_2361/tillsyn/A 2041-2025 tillsynsbegäran.docx", "A 2041-2025")</f>
        <v/>
      </c>
      <c r="Y225">
        <f>HYPERLINK("https://klasma.github.io/Logging_2361/tillsynsmail/A 2041-2025 tillsynsbegäran mail.docx", "A 2041-2025")</f>
        <v/>
      </c>
    </row>
    <row r="226" ht="15" customHeight="1">
      <c r="A226" t="inlineStr">
        <is>
          <t>A 9233-2025</t>
        </is>
      </c>
      <c r="B226" s="1" t="n">
        <v>45714</v>
      </c>
      <c r="C226" s="1" t="n">
        <v>45719</v>
      </c>
      <c r="D226" t="inlineStr">
        <is>
          <t>JÄMTLANDS LÄN</t>
        </is>
      </c>
      <c r="E226" t="inlineStr">
        <is>
          <t>HÄRJEDALEN</t>
        </is>
      </c>
      <c r="F226" t="inlineStr">
        <is>
          <t>SCA</t>
        </is>
      </c>
      <c r="G226" t="n">
        <v>16.8</v>
      </c>
      <c r="H226" t="n">
        <v>1</v>
      </c>
      <c r="I226" t="n">
        <v>0</v>
      </c>
      <c r="J226" t="n">
        <v>1</v>
      </c>
      <c r="K226" t="n">
        <v>0</v>
      </c>
      <c r="L226" t="n">
        <v>0</v>
      </c>
      <c r="M226" t="n">
        <v>0</v>
      </c>
      <c r="N226" t="n">
        <v>0</v>
      </c>
      <c r="O226" t="n">
        <v>1</v>
      </c>
      <c r="P226" t="n">
        <v>0</v>
      </c>
      <c r="Q226" t="n">
        <v>1</v>
      </c>
      <c r="R226" s="2" t="inlineStr">
        <is>
          <t>Järpe</t>
        </is>
      </c>
      <c r="S226">
        <f>HYPERLINK("https://klasma.github.io/Logging_2361/artfynd/A 9233-2025 artfynd.xlsx", "A 9233-2025")</f>
        <v/>
      </c>
      <c r="T226">
        <f>HYPERLINK("https://klasma.github.io/Logging_2361/kartor/A 9233-2025 karta.png", "A 9233-2025")</f>
        <v/>
      </c>
      <c r="V226">
        <f>HYPERLINK("https://klasma.github.io/Logging_2361/klagomål/A 9233-2025 FSC-klagomål.docx", "A 9233-2025")</f>
        <v/>
      </c>
      <c r="W226">
        <f>HYPERLINK("https://klasma.github.io/Logging_2361/klagomålsmail/A 9233-2025 FSC-klagomål mail.docx", "A 9233-2025")</f>
        <v/>
      </c>
      <c r="X226">
        <f>HYPERLINK("https://klasma.github.io/Logging_2361/tillsyn/A 9233-2025 tillsynsbegäran.docx", "A 9233-2025")</f>
        <v/>
      </c>
      <c r="Y226">
        <f>HYPERLINK("https://klasma.github.io/Logging_2361/tillsynsmail/A 9233-2025 tillsynsbegäran mail.docx", "A 9233-2025")</f>
        <v/>
      </c>
      <c r="Z226">
        <f>HYPERLINK("https://klasma.github.io/Logging_2361/fåglar/A 9233-2025 prioriterade fågelarter.docx", "A 9233-2025")</f>
        <v/>
      </c>
    </row>
    <row r="227" ht="15" customHeight="1">
      <c r="A227" t="inlineStr">
        <is>
          <t>A 17811-2019</t>
        </is>
      </c>
      <c r="B227" s="1" t="n">
        <v>43556</v>
      </c>
      <c r="C227" s="1" t="n">
        <v>45719</v>
      </c>
      <c r="D227" t="inlineStr">
        <is>
          <t>JÄMTLANDS LÄN</t>
        </is>
      </c>
      <c r="E227" t="inlineStr">
        <is>
          <t>HÄRJEDALEN</t>
        </is>
      </c>
      <c r="G227" t="n">
        <v>10.3</v>
      </c>
      <c r="H227" t="n">
        <v>0</v>
      </c>
      <c r="I227" t="n">
        <v>0</v>
      </c>
      <c r="J227" t="n">
        <v>0</v>
      </c>
      <c r="K227" t="n">
        <v>0</v>
      </c>
      <c r="L227" t="n">
        <v>0</v>
      </c>
      <c r="M227" t="n">
        <v>0</v>
      </c>
      <c r="N227" t="n">
        <v>0</v>
      </c>
      <c r="O227" t="n">
        <v>0</v>
      </c>
      <c r="P227" t="n">
        <v>0</v>
      </c>
      <c r="Q227" t="n">
        <v>0</v>
      </c>
      <c r="R227" s="2" t="inlineStr"/>
    </row>
    <row r="228" ht="15" customHeight="1">
      <c r="A228" t="inlineStr">
        <is>
          <t>A 17986-2019</t>
        </is>
      </c>
      <c r="B228" s="1" t="n">
        <v>43557</v>
      </c>
      <c r="C228" s="1" t="n">
        <v>45719</v>
      </c>
      <c r="D228" t="inlineStr">
        <is>
          <t>JÄMTLANDS LÄN</t>
        </is>
      </c>
      <c r="E228" t="inlineStr">
        <is>
          <t>HÄRJEDALEN</t>
        </is>
      </c>
      <c r="F228" t="inlineStr">
        <is>
          <t>Kyrkan</t>
        </is>
      </c>
      <c r="G228" t="n">
        <v>17.5</v>
      </c>
      <c r="H228" t="n">
        <v>0</v>
      </c>
      <c r="I228" t="n">
        <v>0</v>
      </c>
      <c r="J228" t="n">
        <v>0</v>
      </c>
      <c r="K228" t="n">
        <v>0</v>
      </c>
      <c r="L228" t="n">
        <v>0</v>
      </c>
      <c r="M228" t="n">
        <v>0</v>
      </c>
      <c r="N228" t="n">
        <v>0</v>
      </c>
      <c r="O228" t="n">
        <v>0</v>
      </c>
      <c r="P228" t="n">
        <v>0</v>
      </c>
      <c r="Q228" t="n">
        <v>0</v>
      </c>
      <c r="R228" s="2" t="inlineStr"/>
    </row>
    <row r="229" ht="15" customHeight="1">
      <c r="A229" t="inlineStr">
        <is>
          <t>A 17917-2019</t>
        </is>
      </c>
      <c r="B229" s="1" t="n">
        <v>43557</v>
      </c>
      <c r="C229" s="1" t="n">
        <v>45719</v>
      </c>
      <c r="D229" t="inlineStr">
        <is>
          <t>JÄMTLANDS LÄN</t>
        </is>
      </c>
      <c r="E229" t="inlineStr">
        <is>
          <t>HÄRJEDALEN</t>
        </is>
      </c>
      <c r="F229" t="inlineStr">
        <is>
          <t>Bergvik skog väst AB</t>
        </is>
      </c>
      <c r="G229" t="n">
        <v>166.3</v>
      </c>
      <c r="H229" t="n">
        <v>0</v>
      </c>
      <c r="I229" t="n">
        <v>0</v>
      </c>
      <c r="J229" t="n">
        <v>0</v>
      </c>
      <c r="K229" t="n">
        <v>0</v>
      </c>
      <c r="L229" t="n">
        <v>0</v>
      </c>
      <c r="M229" t="n">
        <v>0</v>
      </c>
      <c r="N229" t="n">
        <v>0</v>
      </c>
      <c r="O229" t="n">
        <v>0</v>
      </c>
      <c r="P229" t="n">
        <v>0</v>
      </c>
      <c r="Q229" t="n">
        <v>0</v>
      </c>
      <c r="R229" s="2" t="inlineStr"/>
    </row>
    <row r="230" ht="15" customHeight="1">
      <c r="A230" t="inlineStr">
        <is>
          <t>A 18539-2019</t>
        </is>
      </c>
      <c r="B230" s="1" t="n">
        <v>43559</v>
      </c>
      <c r="C230" s="1" t="n">
        <v>45719</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18648-2019</t>
        </is>
      </c>
      <c r="B231" s="1" t="n">
        <v>43560</v>
      </c>
      <c r="C231" s="1" t="n">
        <v>45719</v>
      </c>
      <c r="D231" t="inlineStr">
        <is>
          <t>JÄMTLANDS LÄN</t>
        </is>
      </c>
      <c r="E231" t="inlineStr">
        <is>
          <t>HÄRJEDALEN</t>
        </is>
      </c>
      <c r="G231" t="n">
        <v>5.5</v>
      </c>
      <c r="H231" t="n">
        <v>0</v>
      </c>
      <c r="I231" t="n">
        <v>0</v>
      </c>
      <c r="J231" t="n">
        <v>0</v>
      </c>
      <c r="K231" t="n">
        <v>0</v>
      </c>
      <c r="L231" t="n">
        <v>0</v>
      </c>
      <c r="M231" t="n">
        <v>0</v>
      </c>
      <c r="N231" t="n">
        <v>0</v>
      </c>
      <c r="O231" t="n">
        <v>0</v>
      </c>
      <c r="P231" t="n">
        <v>0</v>
      </c>
      <c r="Q231" t="n">
        <v>0</v>
      </c>
      <c r="R231" s="2" t="inlineStr"/>
    </row>
    <row r="232" ht="15" customHeight="1">
      <c r="A232" t="inlineStr">
        <is>
          <t>A 19114-2019</t>
        </is>
      </c>
      <c r="B232" s="1" t="n">
        <v>43563</v>
      </c>
      <c r="C232" s="1" t="n">
        <v>45719</v>
      </c>
      <c r="D232" t="inlineStr">
        <is>
          <t>JÄMTLANDS LÄN</t>
        </is>
      </c>
      <c r="E232" t="inlineStr">
        <is>
          <t>HÄRJEDALEN</t>
        </is>
      </c>
      <c r="G232" t="n">
        <v>0.6</v>
      </c>
      <c r="H232" t="n">
        <v>0</v>
      </c>
      <c r="I232" t="n">
        <v>0</v>
      </c>
      <c r="J232" t="n">
        <v>0</v>
      </c>
      <c r="K232" t="n">
        <v>0</v>
      </c>
      <c r="L232" t="n">
        <v>0</v>
      </c>
      <c r="M232" t="n">
        <v>0</v>
      </c>
      <c r="N232" t="n">
        <v>0</v>
      </c>
      <c r="O232" t="n">
        <v>0</v>
      </c>
      <c r="P232" t="n">
        <v>0</v>
      </c>
      <c r="Q232" t="n">
        <v>0</v>
      </c>
      <c r="R232" s="2" t="inlineStr"/>
    </row>
    <row r="233" ht="15" customHeight="1">
      <c r="A233" t="inlineStr">
        <is>
          <t>A 20063-2019</t>
        </is>
      </c>
      <c r="B233" s="1" t="n">
        <v>43567</v>
      </c>
      <c r="C233" s="1" t="n">
        <v>45719</v>
      </c>
      <c r="D233" t="inlineStr">
        <is>
          <t>JÄMTLANDS LÄN</t>
        </is>
      </c>
      <c r="E233" t="inlineStr">
        <is>
          <t>HÄRJEDALEN</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19864-2019</t>
        </is>
      </c>
      <c r="B234" s="1" t="n">
        <v>43567</v>
      </c>
      <c r="C234" s="1" t="n">
        <v>45719</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20403-2019</t>
        </is>
      </c>
      <c r="B235" s="1" t="n">
        <v>43571</v>
      </c>
      <c r="C235" s="1" t="n">
        <v>45719</v>
      </c>
      <c r="D235" t="inlineStr">
        <is>
          <t>JÄMTLANDS LÄN</t>
        </is>
      </c>
      <c r="E235" t="inlineStr">
        <is>
          <t>HÄRJEDALEN</t>
        </is>
      </c>
      <c r="F235" t="inlineStr">
        <is>
          <t>Bergvik skog väst AB</t>
        </is>
      </c>
      <c r="G235" t="n">
        <v>7.8</v>
      </c>
      <c r="H235" t="n">
        <v>0</v>
      </c>
      <c r="I235" t="n">
        <v>0</v>
      </c>
      <c r="J235" t="n">
        <v>0</v>
      </c>
      <c r="K235" t="n">
        <v>0</v>
      </c>
      <c r="L235" t="n">
        <v>0</v>
      </c>
      <c r="M235" t="n">
        <v>0</v>
      </c>
      <c r="N235" t="n">
        <v>0</v>
      </c>
      <c r="O235" t="n">
        <v>0</v>
      </c>
      <c r="P235" t="n">
        <v>0</v>
      </c>
      <c r="Q235" t="n">
        <v>0</v>
      </c>
      <c r="R235" s="2" t="inlineStr"/>
    </row>
    <row r="236" ht="15" customHeight="1">
      <c r="A236" t="inlineStr">
        <is>
          <t>A 20373-2019</t>
        </is>
      </c>
      <c r="B236" s="1" t="n">
        <v>43571</v>
      </c>
      <c r="C236" s="1" t="n">
        <v>45719</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20851-2019</t>
        </is>
      </c>
      <c r="B237" s="1" t="n">
        <v>43577</v>
      </c>
      <c r="C237" s="1" t="n">
        <v>45719</v>
      </c>
      <c r="D237" t="inlineStr">
        <is>
          <t>JÄMTLANDS LÄN</t>
        </is>
      </c>
      <c r="E237" t="inlineStr">
        <is>
          <t>HÄRJEDALEN</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21040-2019</t>
        </is>
      </c>
      <c r="B238" s="1" t="n">
        <v>43578</v>
      </c>
      <c r="C238" s="1" t="n">
        <v>45719</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21189-2019</t>
        </is>
      </c>
      <c r="B239" s="1" t="n">
        <v>43579</v>
      </c>
      <c r="C239" s="1" t="n">
        <v>45719</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22622-2019</t>
        </is>
      </c>
      <c r="B240" s="1" t="n">
        <v>43588</v>
      </c>
      <c r="C240" s="1" t="n">
        <v>45719</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24030-2019</t>
        </is>
      </c>
      <c r="B241" s="1" t="n">
        <v>43598</v>
      </c>
      <c r="C241" s="1" t="n">
        <v>45719</v>
      </c>
      <c r="D241" t="inlineStr">
        <is>
          <t>JÄMTLANDS LÄN</t>
        </is>
      </c>
      <c r="E241" t="inlineStr">
        <is>
          <t>HÄRJEDALEN</t>
        </is>
      </c>
      <c r="F241" t="inlineStr">
        <is>
          <t>Sveaskog</t>
        </is>
      </c>
      <c r="G241" t="n">
        <v>39.9</v>
      </c>
      <c r="H241" t="n">
        <v>0</v>
      </c>
      <c r="I241" t="n">
        <v>0</v>
      </c>
      <c r="J241" t="n">
        <v>0</v>
      </c>
      <c r="K241" t="n">
        <v>0</v>
      </c>
      <c r="L241" t="n">
        <v>0</v>
      </c>
      <c r="M241" t="n">
        <v>0</v>
      </c>
      <c r="N241" t="n">
        <v>0</v>
      </c>
      <c r="O241" t="n">
        <v>0</v>
      </c>
      <c r="P241" t="n">
        <v>0</v>
      </c>
      <c r="Q241" t="n">
        <v>0</v>
      </c>
      <c r="R241" s="2" t="inlineStr"/>
    </row>
    <row r="242" ht="15" customHeight="1">
      <c r="A242" t="inlineStr">
        <is>
          <t>A 24760-2019</t>
        </is>
      </c>
      <c r="B242" s="1" t="n">
        <v>43601</v>
      </c>
      <c r="C242" s="1" t="n">
        <v>45719</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25309-2019</t>
        </is>
      </c>
      <c r="B243" s="1" t="n">
        <v>43605</v>
      </c>
      <c r="C243" s="1" t="n">
        <v>45719</v>
      </c>
      <c r="D243" t="inlineStr">
        <is>
          <t>JÄMTLANDS LÄN</t>
        </is>
      </c>
      <c r="E243" t="inlineStr">
        <is>
          <t>HÄRJEDALEN</t>
        </is>
      </c>
      <c r="G243" t="n">
        <v>0.1</v>
      </c>
      <c r="H243" t="n">
        <v>0</v>
      </c>
      <c r="I243" t="n">
        <v>0</v>
      </c>
      <c r="J243" t="n">
        <v>0</v>
      </c>
      <c r="K243" t="n">
        <v>0</v>
      </c>
      <c r="L243" t="n">
        <v>0</v>
      </c>
      <c r="M243" t="n">
        <v>0</v>
      </c>
      <c r="N243" t="n">
        <v>0</v>
      </c>
      <c r="O243" t="n">
        <v>0</v>
      </c>
      <c r="P243" t="n">
        <v>0</v>
      </c>
      <c r="Q243" t="n">
        <v>0</v>
      </c>
      <c r="R243" s="2" t="inlineStr"/>
    </row>
    <row r="244" ht="15" customHeight="1">
      <c r="A244" t="inlineStr">
        <is>
          <t>A 25470-2019</t>
        </is>
      </c>
      <c r="B244" s="1" t="n">
        <v>43606</v>
      </c>
      <c r="C244" s="1" t="n">
        <v>45719</v>
      </c>
      <c r="D244" t="inlineStr">
        <is>
          <t>JÄMTLANDS LÄN</t>
        </is>
      </c>
      <c r="E244" t="inlineStr">
        <is>
          <t>HÄRJEDALEN</t>
        </is>
      </c>
      <c r="G244" t="n">
        <v>36.8</v>
      </c>
      <c r="H244" t="n">
        <v>0</v>
      </c>
      <c r="I244" t="n">
        <v>0</v>
      </c>
      <c r="J244" t="n">
        <v>0</v>
      </c>
      <c r="K244" t="n">
        <v>0</v>
      </c>
      <c r="L244" t="n">
        <v>0</v>
      </c>
      <c r="M244" t="n">
        <v>0</v>
      </c>
      <c r="N244" t="n">
        <v>0</v>
      </c>
      <c r="O244" t="n">
        <v>0</v>
      </c>
      <c r="P244" t="n">
        <v>0</v>
      </c>
      <c r="Q244" t="n">
        <v>0</v>
      </c>
      <c r="R244" s="2" t="inlineStr"/>
    </row>
    <row r="245" ht="15" customHeight="1">
      <c r="A245" t="inlineStr">
        <is>
          <t>A 26166-2019</t>
        </is>
      </c>
      <c r="B245" s="1" t="n">
        <v>43609</v>
      </c>
      <c r="C245" s="1" t="n">
        <v>45719</v>
      </c>
      <c r="D245" t="inlineStr">
        <is>
          <t>JÄMTLANDS LÄN</t>
        </is>
      </c>
      <c r="E245" t="inlineStr">
        <is>
          <t>HÄRJEDALEN</t>
        </is>
      </c>
      <c r="G245" t="n">
        <v>85.2</v>
      </c>
      <c r="H245" t="n">
        <v>0</v>
      </c>
      <c r="I245" t="n">
        <v>0</v>
      </c>
      <c r="J245" t="n">
        <v>0</v>
      </c>
      <c r="K245" t="n">
        <v>0</v>
      </c>
      <c r="L245" t="n">
        <v>0</v>
      </c>
      <c r="M245" t="n">
        <v>0</v>
      </c>
      <c r="N245" t="n">
        <v>0</v>
      </c>
      <c r="O245" t="n">
        <v>0</v>
      </c>
      <c r="P245" t="n">
        <v>0</v>
      </c>
      <c r="Q245" t="n">
        <v>0</v>
      </c>
      <c r="R245" s="2" t="inlineStr"/>
    </row>
    <row r="246" ht="15" customHeight="1">
      <c r="A246" t="inlineStr">
        <is>
          <t>A 26310-2019</t>
        </is>
      </c>
      <c r="B246" s="1" t="n">
        <v>43612</v>
      </c>
      <c r="C246" s="1" t="n">
        <v>45719</v>
      </c>
      <c r="D246" t="inlineStr">
        <is>
          <t>JÄMTLANDS LÄN</t>
        </is>
      </c>
      <c r="E246" t="inlineStr">
        <is>
          <t>HÄRJEDALEN</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26423-2019</t>
        </is>
      </c>
      <c r="B247" s="1" t="n">
        <v>43612</v>
      </c>
      <c r="C247" s="1" t="n">
        <v>45719</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27683-2019</t>
        </is>
      </c>
      <c r="B248" s="1" t="n">
        <v>43619</v>
      </c>
      <c r="C248" s="1" t="n">
        <v>45719</v>
      </c>
      <c r="D248" t="inlineStr">
        <is>
          <t>JÄMTLANDS LÄN</t>
        </is>
      </c>
      <c r="E248" t="inlineStr">
        <is>
          <t>HÄRJEDALEN</t>
        </is>
      </c>
      <c r="G248" t="n">
        <v>5.4</v>
      </c>
      <c r="H248" t="n">
        <v>0</v>
      </c>
      <c r="I248" t="n">
        <v>0</v>
      </c>
      <c r="J248" t="n">
        <v>0</v>
      </c>
      <c r="K248" t="n">
        <v>0</v>
      </c>
      <c r="L248" t="n">
        <v>0</v>
      </c>
      <c r="M248" t="n">
        <v>0</v>
      </c>
      <c r="N248" t="n">
        <v>0</v>
      </c>
      <c r="O248" t="n">
        <v>0</v>
      </c>
      <c r="P248" t="n">
        <v>0</v>
      </c>
      <c r="Q248" t="n">
        <v>0</v>
      </c>
      <c r="R248" s="2" t="inlineStr"/>
    </row>
    <row r="249" ht="15" customHeight="1">
      <c r="A249" t="inlineStr">
        <is>
          <t>A 27903-2019</t>
        </is>
      </c>
      <c r="B249" s="1" t="n">
        <v>43620</v>
      </c>
      <c r="C249" s="1" t="n">
        <v>45719</v>
      </c>
      <c r="D249" t="inlineStr">
        <is>
          <t>JÄMTLANDS LÄN</t>
        </is>
      </c>
      <c r="E249" t="inlineStr">
        <is>
          <t>HÄRJEDALEN</t>
        </is>
      </c>
      <c r="G249" t="n">
        <v>22</v>
      </c>
      <c r="H249" t="n">
        <v>0</v>
      </c>
      <c r="I249" t="n">
        <v>0</v>
      </c>
      <c r="J249" t="n">
        <v>0</v>
      </c>
      <c r="K249" t="n">
        <v>0</v>
      </c>
      <c r="L249" t="n">
        <v>0</v>
      </c>
      <c r="M249" t="n">
        <v>0</v>
      </c>
      <c r="N249" t="n">
        <v>0</v>
      </c>
      <c r="O249" t="n">
        <v>0</v>
      </c>
      <c r="P249" t="n">
        <v>0</v>
      </c>
      <c r="Q249" t="n">
        <v>0</v>
      </c>
      <c r="R249" s="2" t="inlineStr"/>
    </row>
    <row r="250" ht="15" customHeight="1">
      <c r="A250" t="inlineStr">
        <is>
          <t>A 28312-2019</t>
        </is>
      </c>
      <c r="B250" s="1" t="n">
        <v>43623</v>
      </c>
      <c r="C250" s="1" t="n">
        <v>45719</v>
      </c>
      <c r="D250" t="inlineStr">
        <is>
          <t>JÄMTLANDS LÄN</t>
        </is>
      </c>
      <c r="E250" t="inlineStr">
        <is>
          <t>HÄRJEDALEN</t>
        </is>
      </c>
      <c r="G250" t="n">
        <v>6.5</v>
      </c>
      <c r="H250" t="n">
        <v>0</v>
      </c>
      <c r="I250" t="n">
        <v>0</v>
      </c>
      <c r="J250" t="n">
        <v>0</v>
      </c>
      <c r="K250" t="n">
        <v>0</v>
      </c>
      <c r="L250" t="n">
        <v>0</v>
      </c>
      <c r="M250" t="n">
        <v>0</v>
      </c>
      <c r="N250" t="n">
        <v>0</v>
      </c>
      <c r="O250" t="n">
        <v>0</v>
      </c>
      <c r="P250" t="n">
        <v>0</v>
      </c>
      <c r="Q250" t="n">
        <v>0</v>
      </c>
      <c r="R250" s="2" t="inlineStr"/>
    </row>
    <row r="251" ht="15" customHeight="1">
      <c r="A251" t="inlineStr">
        <is>
          <t>A 28326-2019</t>
        </is>
      </c>
      <c r="B251" s="1" t="n">
        <v>43623</v>
      </c>
      <c r="C251" s="1" t="n">
        <v>45719</v>
      </c>
      <c r="D251" t="inlineStr">
        <is>
          <t>JÄMTLANDS LÄN</t>
        </is>
      </c>
      <c r="E251" t="inlineStr">
        <is>
          <t>HÄRJEDALEN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28513-2019</t>
        </is>
      </c>
      <c r="B252" s="1" t="n">
        <v>43626</v>
      </c>
      <c r="C252" s="1" t="n">
        <v>45719</v>
      </c>
      <c r="D252" t="inlineStr">
        <is>
          <t>JÄMTLANDS LÄN</t>
        </is>
      </c>
      <c r="E252" t="inlineStr">
        <is>
          <t>HÄRJEDALEN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29263-2019</t>
        </is>
      </c>
      <c r="B253" s="1" t="n">
        <v>43629</v>
      </c>
      <c r="C253" s="1" t="n">
        <v>45719</v>
      </c>
      <c r="D253" t="inlineStr">
        <is>
          <t>JÄMTLANDS LÄN</t>
        </is>
      </c>
      <c r="E253" t="inlineStr">
        <is>
          <t>HÄRJEDALEN</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29822-2019</t>
        </is>
      </c>
      <c r="B254" s="1" t="n">
        <v>43633</v>
      </c>
      <c r="C254" s="1" t="n">
        <v>45719</v>
      </c>
      <c r="D254" t="inlineStr">
        <is>
          <t>JÄMTLANDS LÄN</t>
        </is>
      </c>
      <c r="E254" t="inlineStr">
        <is>
          <t>HÄRJEDALEN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34618-2019</t>
        </is>
      </c>
      <c r="B255" s="1" t="n">
        <v>43647</v>
      </c>
      <c r="C255" s="1" t="n">
        <v>45719</v>
      </c>
      <c r="D255" t="inlineStr">
        <is>
          <t>JÄMTLANDS LÄN</t>
        </is>
      </c>
      <c r="E255" t="inlineStr">
        <is>
          <t>HÄRJEDALEN</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32878-2019</t>
        </is>
      </c>
      <c r="B256" s="1" t="n">
        <v>43648</v>
      </c>
      <c r="C256" s="1" t="n">
        <v>45719</v>
      </c>
      <c r="D256" t="inlineStr">
        <is>
          <t>JÄMTLANDS LÄN</t>
        </is>
      </c>
      <c r="E256" t="inlineStr">
        <is>
          <t>HÄRJEDALEN</t>
        </is>
      </c>
      <c r="F256" t="inlineStr">
        <is>
          <t>Övriga Aktiebolag</t>
        </is>
      </c>
      <c r="G256" t="n">
        <v>91.8</v>
      </c>
      <c r="H256" t="n">
        <v>0</v>
      </c>
      <c r="I256" t="n">
        <v>0</v>
      </c>
      <c r="J256" t="n">
        <v>0</v>
      </c>
      <c r="K256" t="n">
        <v>0</v>
      </c>
      <c r="L256" t="n">
        <v>0</v>
      </c>
      <c r="M256" t="n">
        <v>0</v>
      </c>
      <c r="N256" t="n">
        <v>0</v>
      </c>
      <c r="O256" t="n">
        <v>0</v>
      </c>
      <c r="P256" t="n">
        <v>0</v>
      </c>
      <c r="Q256" t="n">
        <v>0</v>
      </c>
      <c r="R256" s="2" t="inlineStr"/>
    </row>
    <row r="257" ht="15" customHeight="1">
      <c r="A257" t="inlineStr">
        <is>
          <t>A 33496-2019</t>
        </is>
      </c>
      <c r="B257" s="1" t="n">
        <v>43651</v>
      </c>
      <c r="C257" s="1" t="n">
        <v>45719</v>
      </c>
      <c r="D257" t="inlineStr">
        <is>
          <t>JÄMTLANDS LÄN</t>
        </is>
      </c>
      <c r="E257" t="inlineStr">
        <is>
          <t>HÄRJEDALEN</t>
        </is>
      </c>
      <c r="G257" t="n">
        <v>3.6</v>
      </c>
      <c r="H257" t="n">
        <v>0</v>
      </c>
      <c r="I257" t="n">
        <v>0</v>
      </c>
      <c r="J257" t="n">
        <v>0</v>
      </c>
      <c r="K257" t="n">
        <v>0</v>
      </c>
      <c r="L257" t="n">
        <v>0</v>
      </c>
      <c r="M257" t="n">
        <v>0</v>
      </c>
      <c r="N257" t="n">
        <v>0</v>
      </c>
      <c r="O257" t="n">
        <v>0</v>
      </c>
      <c r="P257" t="n">
        <v>0</v>
      </c>
      <c r="Q257" t="n">
        <v>0</v>
      </c>
      <c r="R257" s="2" t="inlineStr"/>
    </row>
    <row r="258" ht="15" customHeight="1">
      <c r="A258" t="inlineStr">
        <is>
          <t>A 33497-2019</t>
        </is>
      </c>
      <c r="B258" s="1" t="n">
        <v>43651</v>
      </c>
      <c r="C258" s="1" t="n">
        <v>45719</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34688-2019</t>
        </is>
      </c>
      <c r="B259" s="1" t="n">
        <v>43657</v>
      </c>
      <c r="C259" s="1" t="n">
        <v>45719</v>
      </c>
      <c r="D259" t="inlineStr">
        <is>
          <t>JÄMTLANDS LÄN</t>
        </is>
      </c>
      <c r="E259" t="inlineStr">
        <is>
          <t>HÄRJEDALEN</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34805-2019</t>
        </is>
      </c>
      <c r="B260" s="1" t="n">
        <v>43658</v>
      </c>
      <c r="C260" s="1" t="n">
        <v>45719</v>
      </c>
      <c r="D260" t="inlineStr">
        <is>
          <t>JÄMTLANDS LÄN</t>
        </is>
      </c>
      <c r="E260" t="inlineStr">
        <is>
          <t>HÄRJEDALEN</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35160-2019</t>
        </is>
      </c>
      <c r="B261" s="1" t="n">
        <v>43661</v>
      </c>
      <c r="C261" s="1" t="n">
        <v>45719</v>
      </c>
      <c r="D261" t="inlineStr">
        <is>
          <t>JÄMTLANDS LÄN</t>
        </is>
      </c>
      <c r="E261" t="inlineStr">
        <is>
          <t>HÄRJEDALEN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36343-2019</t>
        </is>
      </c>
      <c r="B262" s="1" t="n">
        <v>43662</v>
      </c>
      <c r="C262" s="1" t="n">
        <v>45719</v>
      </c>
      <c r="D262" t="inlineStr">
        <is>
          <t>JÄMTLANDS LÄN</t>
        </is>
      </c>
      <c r="E262" t="inlineStr">
        <is>
          <t>HÄRJEDALEN</t>
        </is>
      </c>
      <c r="G262" t="n">
        <v>8</v>
      </c>
      <c r="H262" t="n">
        <v>0</v>
      </c>
      <c r="I262" t="n">
        <v>0</v>
      </c>
      <c r="J262" t="n">
        <v>0</v>
      </c>
      <c r="K262" t="n">
        <v>0</v>
      </c>
      <c r="L262" t="n">
        <v>0</v>
      </c>
      <c r="M262" t="n">
        <v>0</v>
      </c>
      <c r="N262" t="n">
        <v>0</v>
      </c>
      <c r="O262" t="n">
        <v>0</v>
      </c>
      <c r="P262" t="n">
        <v>0</v>
      </c>
      <c r="Q262" t="n">
        <v>0</v>
      </c>
      <c r="R262" s="2" t="inlineStr"/>
    </row>
    <row r="263" ht="15" customHeight="1">
      <c r="A263" t="inlineStr">
        <is>
          <t>A 38283-2019</t>
        </is>
      </c>
      <c r="B263" s="1" t="n">
        <v>43684</v>
      </c>
      <c r="C263" s="1" t="n">
        <v>45719</v>
      </c>
      <c r="D263" t="inlineStr">
        <is>
          <t>JÄMTLANDS LÄN</t>
        </is>
      </c>
      <c r="E263" t="inlineStr">
        <is>
          <t>HÄRJEDALEN</t>
        </is>
      </c>
      <c r="F263" t="inlineStr">
        <is>
          <t>Bergvik skog väst AB</t>
        </is>
      </c>
      <c r="G263" t="n">
        <v>29.5</v>
      </c>
      <c r="H263" t="n">
        <v>0</v>
      </c>
      <c r="I263" t="n">
        <v>0</v>
      </c>
      <c r="J263" t="n">
        <v>0</v>
      </c>
      <c r="K263" t="n">
        <v>0</v>
      </c>
      <c r="L263" t="n">
        <v>0</v>
      </c>
      <c r="M263" t="n">
        <v>0</v>
      </c>
      <c r="N263" t="n">
        <v>0</v>
      </c>
      <c r="O263" t="n">
        <v>0</v>
      </c>
      <c r="P263" t="n">
        <v>0</v>
      </c>
      <c r="Q263" t="n">
        <v>0</v>
      </c>
      <c r="R263" s="2" t="inlineStr"/>
    </row>
    <row r="264" ht="15" customHeight="1">
      <c r="A264" t="inlineStr">
        <is>
          <t>A 38859-2019</t>
        </is>
      </c>
      <c r="B264" s="1" t="n">
        <v>43689</v>
      </c>
      <c r="C264" s="1" t="n">
        <v>45719</v>
      </c>
      <c r="D264" t="inlineStr">
        <is>
          <t>JÄMTLANDS LÄN</t>
        </is>
      </c>
      <c r="E264" t="inlineStr">
        <is>
          <t>HÄRJEDALEN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38884-2019</t>
        </is>
      </c>
      <c r="B265" s="1" t="n">
        <v>43689</v>
      </c>
      <c r="C265" s="1" t="n">
        <v>45719</v>
      </c>
      <c r="D265" t="inlineStr">
        <is>
          <t>JÄMTLANDS LÄN</t>
        </is>
      </c>
      <c r="E265" t="inlineStr">
        <is>
          <t>HÄRJEDALEN</t>
        </is>
      </c>
      <c r="G265" t="n">
        <v>2.5</v>
      </c>
      <c r="H265" t="n">
        <v>0</v>
      </c>
      <c r="I265" t="n">
        <v>0</v>
      </c>
      <c r="J265" t="n">
        <v>0</v>
      </c>
      <c r="K265" t="n">
        <v>0</v>
      </c>
      <c r="L265" t="n">
        <v>0</v>
      </c>
      <c r="M265" t="n">
        <v>0</v>
      </c>
      <c r="N265" t="n">
        <v>0</v>
      </c>
      <c r="O265" t="n">
        <v>0</v>
      </c>
      <c r="P265" t="n">
        <v>0</v>
      </c>
      <c r="Q265" t="n">
        <v>0</v>
      </c>
      <c r="R265" s="2" t="inlineStr"/>
    </row>
    <row r="266" ht="15" customHeight="1">
      <c r="A266" t="inlineStr">
        <is>
          <t>A 40244-2019</t>
        </is>
      </c>
      <c r="B266" s="1" t="n">
        <v>43694</v>
      </c>
      <c r="C266" s="1" t="n">
        <v>45719</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42123-2019</t>
        </is>
      </c>
      <c r="B267" s="1" t="n">
        <v>43703</v>
      </c>
      <c r="C267" s="1" t="n">
        <v>45719</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43103-2019</t>
        </is>
      </c>
      <c r="B268" s="1" t="n">
        <v>43705</v>
      </c>
      <c r="C268" s="1" t="n">
        <v>45719</v>
      </c>
      <c r="D268" t="inlineStr">
        <is>
          <t>JÄMTLANDS LÄN</t>
        </is>
      </c>
      <c r="E268" t="inlineStr">
        <is>
          <t>HÄRJEDALEN</t>
        </is>
      </c>
      <c r="G268" t="n">
        <v>38.6</v>
      </c>
      <c r="H268" t="n">
        <v>0</v>
      </c>
      <c r="I268" t="n">
        <v>0</v>
      </c>
      <c r="J268" t="n">
        <v>0</v>
      </c>
      <c r="K268" t="n">
        <v>0</v>
      </c>
      <c r="L268" t="n">
        <v>0</v>
      </c>
      <c r="M268" t="n">
        <v>0</v>
      </c>
      <c r="N268" t="n">
        <v>0</v>
      </c>
      <c r="O268" t="n">
        <v>0</v>
      </c>
      <c r="P268" t="n">
        <v>0</v>
      </c>
      <c r="Q268" t="n">
        <v>0</v>
      </c>
      <c r="R268" s="2" t="inlineStr"/>
    </row>
    <row r="269" ht="15" customHeight="1">
      <c r="A269" t="inlineStr">
        <is>
          <t>A 43142-2019</t>
        </is>
      </c>
      <c r="B269" s="1" t="n">
        <v>43705</v>
      </c>
      <c r="C269" s="1" t="n">
        <v>45719</v>
      </c>
      <c r="D269" t="inlineStr">
        <is>
          <t>JÄMTLANDS LÄN</t>
        </is>
      </c>
      <c r="E269" t="inlineStr">
        <is>
          <t>HÄRJEDALEN</t>
        </is>
      </c>
      <c r="G269" t="n">
        <v>3.2</v>
      </c>
      <c r="H269" t="n">
        <v>0</v>
      </c>
      <c r="I269" t="n">
        <v>0</v>
      </c>
      <c r="J269" t="n">
        <v>0</v>
      </c>
      <c r="K269" t="n">
        <v>0</v>
      </c>
      <c r="L269" t="n">
        <v>0</v>
      </c>
      <c r="M269" t="n">
        <v>0</v>
      </c>
      <c r="N269" t="n">
        <v>0</v>
      </c>
      <c r="O269" t="n">
        <v>0</v>
      </c>
      <c r="P269" t="n">
        <v>0</v>
      </c>
      <c r="Q269" t="n">
        <v>0</v>
      </c>
      <c r="R269" s="2" t="inlineStr"/>
    </row>
    <row r="270" ht="15" customHeight="1">
      <c r="A270" t="inlineStr">
        <is>
          <t>A 43649-2019</t>
        </is>
      </c>
      <c r="B270" s="1" t="n">
        <v>43707</v>
      </c>
      <c r="C270" s="1" t="n">
        <v>45719</v>
      </c>
      <c r="D270" t="inlineStr">
        <is>
          <t>JÄMTLANDS LÄN</t>
        </is>
      </c>
      <c r="E270" t="inlineStr">
        <is>
          <t>HÄRJEDALEN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43896-2019</t>
        </is>
      </c>
      <c r="B271" s="1" t="n">
        <v>43707</v>
      </c>
      <c r="C271" s="1" t="n">
        <v>45719</v>
      </c>
      <c r="D271" t="inlineStr">
        <is>
          <t>JÄMTLANDS LÄN</t>
        </is>
      </c>
      <c r="E271" t="inlineStr">
        <is>
          <t>HÄRJEDALEN</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45167-2019</t>
        </is>
      </c>
      <c r="B272" s="1" t="n">
        <v>43713</v>
      </c>
      <c r="C272" s="1" t="n">
        <v>45719</v>
      </c>
      <c r="D272" t="inlineStr">
        <is>
          <t>JÄMTLANDS LÄN</t>
        </is>
      </c>
      <c r="E272" t="inlineStr">
        <is>
          <t>HÄRJEDALEN</t>
        </is>
      </c>
      <c r="F272" t="inlineStr">
        <is>
          <t>Holmen skog AB</t>
        </is>
      </c>
      <c r="G272" t="n">
        <v>15.9</v>
      </c>
      <c r="H272" t="n">
        <v>0</v>
      </c>
      <c r="I272" t="n">
        <v>0</v>
      </c>
      <c r="J272" t="n">
        <v>0</v>
      </c>
      <c r="K272" t="n">
        <v>0</v>
      </c>
      <c r="L272" t="n">
        <v>0</v>
      </c>
      <c r="M272" t="n">
        <v>0</v>
      </c>
      <c r="N272" t="n">
        <v>0</v>
      </c>
      <c r="O272" t="n">
        <v>0</v>
      </c>
      <c r="P272" t="n">
        <v>0</v>
      </c>
      <c r="Q272" t="n">
        <v>0</v>
      </c>
      <c r="R272" s="2" t="inlineStr"/>
    </row>
    <row r="273" ht="15" customHeight="1">
      <c r="A273" t="inlineStr">
        <is>
          <t>A 44939-2019</t>
        </is>
      </c>
      <c r="B273" s="1" t="n">
        <v>43713</v>
      </c>
      <c r="C273" s="1" t="n">
        <v>45719</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45858-2019</t>
        </is>
      </c>
      <c r="B274" s="1" t="n">
        <v>43717</v>
      </c>
      <c r="C274" s="1" t="n">
        <v>45719</v>
      </c>
      <c r="D274" t="inlineStr">
        <is>
          <t>JÄMTLANDS LÄN</t>
        </is>
      </c>
      <c r="E274" t="inlineStr">
        <is>
          <t>HÄRJEDALEN</t>
        </is>
      </c>
      <c r="F274" t="inlineStr">
        <is>
          <t>Holmen skog AB</t>
        </is>
      </c>
      <c r="G274" t="n">
        <v>3.9</v>
      </c>
      <c r="H274" t="n">
        <v>0</v>
      </c>
      <c r="I274" t="n">
        <v>0</v>
      </c>
      <c r="J274" t="n">
        <v>0</v>
      </c>
      <c r="K274" t="n">
        <v>0</v>
      </c>
      <c r="L274" t="n">
        <v>0</v>
      </c>
      <c r="M274" t="n">
        <v>0</v>
      </c>
      <c r="N274" t="n">
        <v>0</v>
      </c>
      <c r="O274" t="n">
        <v>0</v>
      </c>
      <c r="P274" t="n">
        <v>0</v>
      </c>
      <c r="Q274" t="n">
        <v>0</v>
      </c>
      <c r="R274" s="2" t="inlineStr"/>
    </row>
    <row r="275" ht="15" customHeight="1">
      <c r="A275" t="inlineStr">
        <is>
          <t>A 46156-2019</t>
        </is>
      </c>
      <c r="B275" s="1" t="n">
        <v>43718</v>
      </c>
      <c r="C275" s="1" t="n">
        <v>45719</v>
      </c>
      <c r="D275" t="inlineStr">
        <is>
          <t>JÄMTLANDS LÄN</t>
        </is>
      </c>
      <c r="E275" t="inlineStr">
        <is>
          <t>HÄRJEDALEN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46133-2019</t>
        </is>
      </c>
      <c r="B276" s="1" t="n">
        <v>43718</v>
      </c>
      <c r="C276" s="1" t="n">
        <v>45719</v>
      </c>
      <c r="D276" t="inlineStr">
        <is>
          <t>JÄMTLANDS LÄN</t>
        </is>
      </c>
      <c r="E276" t="inlineStr">
        <is>
          <t>HÄRJEDALEN</t>
        </is>
      </c>
      <c r="G276" t="n">
        <v>17.6</v>
      </c>
      <c r="H276" t="n">
        <v>0</v>
      </c>
      <c r="I276" t="n">
        <v>0</v>
      </c>
      <c r="J276" t="n">
        <v>0</v>
      </c>
      <c r="K276" t="n">
        <v>0</v>
      </c>
      <c r="L276" t="n">
        <v>0</v>
      </c>
      <c r="M276" t="n">
        <v>0</v>
      </c>
      <c r="N276" t="n">
        <v>0</v>
      </c>
      <c r="O276" t="n">
        <v>0</v>
      </c>
      <c r="P276" t="n">
        <v>0</v>
      </c>
      <c r="Q276" t="n">
        <v>0</v>
      </c>
      <c r="R276" s="2" t="inlineStr"/>
    </row>
    <row r="277" ht="15" customHeight="1">
      <c r="A277" t="inlineStr">
        <is>
          <t>A 46163-2019</t>
        </is>
      </c>
      <c r="B277" s="1" t="n">
        <v>43718</v>
      </c>
      <c r="C277" s="1" t="n">
        <v>45719</v>
      </c>
      <c r="D277" t="inlineStr">
        <is>
          <t>JÄMTLANDS LÄN</t>
        </is>
      </c>
      <c r="E277" t="inlineStr">
        <is>
          <t>HÄRJEDALEN</t>
        </is>
      </c>
      <c r="G277" t="n">
        <v>28.9</v>
      </c>
      <c r="H277" t="n">
        <v>0</v>
      </c>
      <c r="I277" t="n">
        <v>0</v>
      </c>
      <c r="J277" t="n">
        <v>0</v>
      </c>
      <c r="K277" t="n">
        <v>0</v>
      </c>
      <c r="L277" t="n">
        <v>0</v>
      </c>
      <c r="M277" t="n">
        <v>0</v>
      </c>
      <c r="N277" t="n">
        <v>0</v>
      </c>
      <c r="O277" t="n">
        <v>0</v>
      </c>
      <c r="P277" t="n">
        <v>0</v>
      </c>
      <c r="Q277" t="n">
        <v>0</v>
      </c>
      <c r="R277" s="2" t="inlineStr"/>
    </row>
    <row r="278" ht="15" customHeight="1">
      <c r="A278" t="inlineStr">
        <is>
          <t>A 47004-2019</t>
        </is>
      </c>
      <c r="B278" s="1" t="n">
        <v>43720</v>
      </c>
      <c r="C278" s="1" t="n">
        <v>45719</v>
      </c>
      <c r="D278" t="inlineStr">
        <is>
          <t>JÄMTLANDS LÄN</t>
        </is>
      </c>
      <c r="E278" t="inlineStr">
        <is>
          <t>HÄRJEDALEN</t>
        </is>
      </c>
      <c r="F278" t="inlineStr">
        <is>
          <t>Bergvik skog väst AB</t>
        </is>
      </c>
      <c r="G278" t="n">
        <v>13.7</v>
      </c>
      <c r="H278" t="n">
        <v>0</v>
      </c>
      <c r="I278" t="n">
        <v>0</v>
      </c>
      <c r="J278" t="n">
        <v>0</v>
      </c>
      <c r="K278" t="n">
        <v>0</v>
      </c>
      <c r="L278" t="n">
        <v>0</v>
      </c>
      <c r="M278" t="n">
        <v>0</v>
      </c>
      <c r="N278" t="n">
        <v>0</v>
      </c>
      <c r="O278" t="n">
        <v>0</v>
      </c>
      <c r="P278" t="n">
        <v>0</v>
      </c>
      <c r="Q278" t="n">
        <v>0</v>
      </c>
      <c r="R278" s="2" t="inlineStr"/>
    </row>
    <row r="279" ht="15" customHeight="1">
      <c r="A279" t="inlineStr">
        <is>
          <t>A 49328-2019</t>
        </is>
      </c>
      <c r="B279" s="1" t="n">
        <v>43731</v>
      </c>
      <c r="C279" s="1" t="n">
        <v>45719</v>
      </c>
      <c r="D279" t="inlineStr">
        <is>
          <t>JÄMTLANDS LÄN</t>
        </is>
      </c>
      <c r="E279" t="inlineStr">
        <is>
          <t>HÄRJEDALEN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49336-2019</t>
        </is>
      </c>
      <c r="B280" s="1" t="n">
        <v>43731</v>
      </c>
      <c r="C280" s="1" t="n">
        <v>45719</v>
      </c>
      <c r="D280" t="inlineStr">
        <is>
          <t>JÄMTLANDS LÄN</t>
        </is>
      </c>
      <c r="E280" t="inlineStr">
        <is>
          <t>HÄRJEDALEN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50310-2019</t>
        </is>
      </c>
      <c r="B281" s="1" t="n">
        <v>43735</v>
      </c>
      <c r="C281" s="1" t="n">
        <v>45719</v>
      </c>
      <c r="D281" t="inlineStr">
        <is>
          <t>JÄMTLANDS LÄN</t>
        </is>
      </c>
      <c r="E281" t="inlineStr">
        <is>
          <t>HÄRJEDALEN</t>
        </is>
      </c>
      <c r="G281" t="n">
        <v>9.1</v>
      </c>
      <c r="H281" t="n">
        <v>0</v>
      </c>
      <c r="I281" t="n">
        <v>0</v>
      </c>
      <c r="J281" t="n">
        <v>0</v>
      </c>
      <c r="K281" t="n">
        <v>0</v>
      </c>
      <c r="L281" t="n">
        <v>0</v>
      </c>
      <c r="M281" t="n">
        <v>0</v>
      </c>
      <c r="N281" t="n">
        <v>0</v>
      </c>
      <c r="O281" t="n">
        <v>0</v>
      </c>
      <c r="P281" t="n">
        <v>0</v>
      </c>
      <c r="Q281" t="n">
        <v>0</v>
      </c>
      <c r="R281" s="2" t="inlineStr"/>
    </row>
    <row r="282" ht="15" customHeight="1">
      <c r="A282" t="inlineStr">
        <is>
          <t>A 50411-2019</t>
        </is>
      </c>
      <c r="B282" s="1" t="n">
        <v>43735</v>
      </c>
      <c r="C282" s="1" t="n">
        <v>45719</v>
      </c>
      <c r="D282" t="inlineStr">
        <is>
          <t>JÄMTLANDS LÄN</t>
        </is>
      </c>
      <c r="E282" t="inlineStr">
        <is>
          <t>HÄRJEDALEN</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50519-2019</t>
        </is>
      </c>
      <c r="B283" s="1" t="n">
        <v>43735</v>
      </c>
      <c r="C283" s="1" t="n">
        <v>45719</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50624-2019</t>
        </is>
      </c>
      <c r="B284" s="1" t="n">
        <v>43736</v>
      </c>
      <c r="C284" s="1" t="n">
        <v>45719</v>
      </c>
      <c r="D284" t="inlineStr">
        <is>
          <t>JÄMTLANDS LÄN</t>
        </is>
      </c>
      <c r="E284" t="inlineStr">
        <is>
          <t>HÄRJEDALEN</t>
        </is>
      </c>
      <c r="G284" t="n">
        <v>2.4</v>
      </c>
      <c r="H284" t="n">
        <v>0</v>
      </c>
      <c r="I284" t="n">
        <v>0</v>
      </c>
      <c r="J284" t="n">
        <v>0</v>
      </c>
      <c r="K284" t="n">
        <v>0</v>
      </c>
      <c r="L284" t="n">
        <v>0</v>
      </c>
      <c r="M284" t="n">
        <v>0</v>
      </c>
      <c r="N284" t="n">
        <v>0</v>
      </c>
      <c r="O284" t="n">
        <v>0</v>
      </c>
      <c r="P284" t="n">
        <v>0</v>
      </c>
      <c r="Q284" t="n">
        <v>0</v>
      </c>
      <c r="R284" s="2" t="inlineStr"/>
    </row>
    <row r="285" ht="15" customHeight="1">
      <c r="A285" t="inlineStr">
        <is>
          <t>A 51108-2019</t>
        </is>
      </c>
      <c r="B285" s="1" t="n">
        <v>43739</v>
      </c>
      <c r="C285" s="1" t="n">
        <v>45719</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51118-2019</t>
        </is>
      </c>
      <c r="B286" s="1" t="n">
        <v>43739</v>
      </c>
      <c r="C286" s="1" t="n">
        <v>45719</v>
      </c>
      <c r="D286" t="inlineStr">
        <is>
          <t>JÄMTLANDS LÄN</t>
        </is>
      </c>
      <c r="E286" t="inlineStr">
        <is>
          <t>HÄRJEDALEN</t>
        </is>
      </c>
      <c r="G286" t="n">
        <v>12.5</v>
      </c>
      <c r="H286" t="n">
        <v>0</v>
      </c>
      <c r="I286" t="n">
        <v>0</v>
      </c>
      <c r="J286" t="n">
        <v>0</v>
      </c>
      <c r="K286" t="n">
        <v>0</v>
      </c>
      <c r="L286" t="n">
        <v>0</v>
      </c>
      <c r="M286" t="n">
        <v>0</v>
      </c>
      <c r="N286" t="n">
        <v>0</v>
      </c>
      <c r="O286" t="n">
        <v>0</v>
      </c>
      <c r="P286" t="n">
        <v>0</v>
      </c>
      <c r="Q286" t="n">
        <v>0</v>
      </c>
      <c r="R286" s="2" t="inlineStr"/>
    </row>
    <row r="287" ht="15" customHeight="1">
      <c r="A287" t="inlineStr">
        <is>
          <t>A 51123-2019</t>
        </is>
      </c>
      <c r="B287" s="1" t="n">
        <v>43739</v>
      </c>
      <c r="C287" s="1" t="n">
        <v>45719</v>
      </c>
      <c r="D287" t="inlineStr">
        <is>
          <t>JÄMTLANDS LÄN</t>
        </is>
      </c>
      <c r="E287" t="inlineStr">
        <is>
          <t>HÄRJEDALEN</t>
        </is>
      </c>
      <c r="G287" t="n">
        <v>1.6</v>
      </c>
      <c r="H287" t="n">
        <v>0</v>
      </c>
      <c r="I287" t="n">
        <v>0</v>
      </c>
      <c r="J287" t="n">
        <v>0</v>
      </c>
      <c r="K287" t="n">
        <v>0</v>
      </c>
      <c r="L287" t="n">
        <v>0</v>
      </c>
      <c r="M287" t="n">
        <v>0</v>
      </c>
      <c r="N287" t="n">
        <v>0</v>
      </c>
      <c r="O287" t="n">
        <v>0</v>
      </c>
      <c r="P287" t="n">
        <v>0</v>
      </c>
      <c r="Q287" t="n">
        <v>0</v>
      </c>
      <c r="R287" s="2" t="inlineStr"/>
    </row>
    <row r="288" ht="15" customHeight="1">
      <c r="A288" t="inlineStr">
        <is>
          <t>A 51105-2019</t>
        </is>
      </c>
      <c r="B288" s="1" t="n">
        <v>43739</v>
      </c>
      <c r="C288" s="1" t="n">
        <v>45719</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51111-2019</t>
        </is>
      </c>
      <c r="B289" s="1" t="n">
        <v>43739</v>
      </c>
      <c r="C289" s="1" t="n">
        <v>45719</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52304-2019</t>
        </is>
      </c>
      <c r="B290" s="1" t="n">
        <v>43745</v>
      </c>
      <c r="C290" s="1" t="n">
        <v>45719</v>
      </c>
      <c r="D290" t="inlineStr">
        <is>
          <t>JÄMTLANDS LÄN</t>
        </is>
      </c>
      <c r="E290" t="inlineStr">
        <is>
          <t>HÄRJEDALEN</t>
        </is>
      </c>
      <c r="G290" t="n">
        <v>4.8</v>
      </c>
      <c r="H290" t="n">
        <v>0</v>
      </c>
      <c r="I290" t="n">
        <v>0</v>
      </c>
      <c r="J290" t="n">
        <v>0</v>
      </c>
      <c r="K290" t="n">
        <v>0</v>
      </c>
      <c r="L290" t="n">
        <v>0</v>
      </c>
      <c r="M290" t="n">
        <v>0</v>
      </c>
      <c r="N290" t="n">
        <v>0</v>
      </c>
      <c r="O290" t="n">
        <v>0</v>
      </c>
      <c r="P290" t="n">
        <v>0</v>
      </c>
      <c r="Q290" t="n">
        <v>0</v>
      </c>
      <c r="R290" s="2" t="inlineStr"/>
    </row>
    <row r="291" ht="15" customHeight="1">
      <c r="A291" t="inlineStr">
        <is>
          <t>A 52709-2019</t>
        </is>
      </c>
      <c r="B291" s="1" t="n">
        <v>43746</v>
      </c>
      <c r="C291" s="1" t="n">
        <v>45719</v>
      </c>
      <c r="D291" t="inlineStr">
        <is>
          <t>JÄMTLANDS LÄN</t>
        </is>
      </c>
      <c r="E291" t="inlineStr">
        <is>
          <t>HÄRJEDALEN</t>
        </is>
      </c>
      <c r="G291" t="n">
        <v>10.6</v>
      </c>
      <c r="H291" t="n">
        <v>0</v>
      </c>
      <c r="I291" t="n">
        <v>0</v>
      </c>
      <c r="J291" t="n">
        <v>0</v>
      </c>
      <c r="K291" t="n">
        <v>0</v>
      </c>
      <c r="L291" t="n">
        <v>0</v>
      </c>
      <c r="M291" t="n">
        <v>0</v>
      </c>
      <c r="N291" t="n">
        <v>0</v>
      </c>
      <c r="O291" t="n">
        <v>0</v>
      </c>
      <c r="P291" t="n">
        <v>0</v>
      </c>
      <c r="Q291" t="n">
        <v>0</v>
      </c>
      <c r="R291" s="2" t="inlineStr"/>
    </row>
    <row r="292" ht="15" customHeight="1">
      <c r="A292" t="inlineStr">
        <is>
          <t>A 52992-2019</t>
        </is>
      </c>
      <c r="B292" s="1" t="n">
        <v>43747</v>
      </c>
      <c r="C292" s="1" t="n">
        <v>45719</v>
      </c>
      <c r="D292" t="inlineStr">
        <is>
          <t>JÄMTLANDS LÄN</t>
        </is>
      </c>
      <c r="E292" t="inlineStr">
        <is>
          <t>HÄRJEDALEN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52991-2019</t>
        </is>
      </c>
      <c r="B293" s="1" t="n">
        <v>43747</v>
      </c>
      <c r="C293" s="1" t="n">
        <v>45719</v>
      </c>
      <c r="D293" t="inlineStr">
        <is>
          <t>JÄMTLANDS LÄN</t>
        </is>
      </c>
      <c r="E293" t="inlineStr">
        <is>
          <t>HÄRJEDALEN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53418-2019</t>
        </is>
      </c>
      <c r="B294" s="1" t="n">
        <v>43748</v>
      </c>
      <c r="C294" s="1" t="n">
        <v>45719</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53952-2019</t>
        </is>
      </c>
      <c r="B295" s="1" t="n">
        <v>43752</v>
      </c>
      <c r="C295" s="1" t="n">
        <v>45719</v>
      </c>
      <c r="D295" t="inlineStr">
        <is>
          <t>JÄMTLANDS LÄN</t>
        </is>
      </c>
      <c r="E295" t="inlineStr">
        <is>
          <t>HÄRJEDALEN</t>
        </is>
      </c>
      <c r="G295" t="n">
        <v>8.6</v>
      </c>
      <c r="H295" t="n">
        <v>0</v>
      </c>
      <c r="I295" t="n">
        <v>0</v>
      </c>
      <c r="J295" t="n">
        <v>0</v>
      </c>
      <c r="K295" t="n">
        <v>0</v>
      </c>
      <c r="L295" t="n">
        <v>0</v>
      </c>
      <c r="M295" t="n">
        <v>0</v>
      </c>
      <c r="N295" t="n">
        <v>0</v>
      </c>
      <c r="O295" t="n">
        <v>0</v>
      </c>
      <c r="P295" t="n">
        <v>0</v>
      </c>
      <c r="Q295" t="n">
        <v>0</v>
      </c>
      <c r="R295" s="2" t="inlineStr"/>
    </row>
    <row r="296" ht="15" customHeight="1">
      <c r="A296" t="inlineStr">
        <is>
          <t>A 53962-2019</t>
        </is>
      </c>
      <c r="B296" s="1" t="n">
        <v>43752</v>
      </c>
      <c r="C296" s="1" t="n">
        <v>45719</v>
      </c>
      <c r="D296" t="inlineStr">
        <is>
          <t>JÄMTLANDS LÄN</t>
        </is>
      </c>
      <c r="E296" t="inlineStr">
        <is>
          <t>HÄRJEDALEN</t>
        </is>
      </c>
      <c r="G296" t="n">
        <v>19.4</v>
      </c>
      <c r="H296" t="n">
        <v>0</v>
      </c>
      <c r="I296" t="n">
        <v>0</v>
      </c>
      <c r="J296" t="n">
        <v>0</v>
      </c>
      <c r="K296" t="n">
        <v>0</v>
      </c>
      <c r="L296" t="n">
        <v>0</v>
      </c>
      <c r="M296" t="n">
        <v>0</v>
      </c>
      <c r="N296" t="n">
        <v>0</v>
      </c>
      <c r="O296" t="n">
        <v>0</v>
      </c>
      <c r="P296" t="n">
        <v>0</v>
      </c>
      <c r="Q296" t="n">
        <v>0</v>
      </c>
      <c r="R296" s="2" t="inlineStr"/>
    </row>
    <row r="297" ht="15" customHeight="1">
      <c r="A297" t="inlineStr">
        <is>
          <t>A 54905-2019</t>
        </is>
      </c>
      <c r="B297" s="1" t="n">
        <v>43755</v>
      </c>
      <c r="C297" s="1" t="n">
        <v>45719</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55197-2019</t>
        </is>
      </c>
      <c r="B298" s="1" t="n">
        <v>43756</v>
      </c>
      <c r="C298" s="1" t="n">
        <v>45719</v>
      </c>
      <c r="D298" t="inlineStr">
        <is>
          <t>JÄMTLANDS LÄN</t>
        </is>
      </c>
      <c r="E298" t="inlineStr">
        <is>
          <t>HÄRJEDALEN</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55241-2019</t>
        </is>
      </c>
      <c r="B299" s="1" t="n">
        <v>43756</v>
      </c>
      <c r="C299" s="1" t="n">
        <v>45719</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55193-2019</t>
        </is>
      </c>
      <c r="B300" s="1" t="n">
        <v>43756</v>
      </c>
      <c r="C300" s="1" t="n">
        <v>45719</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55238-2019</t>
        </is>
      </c>
      <c r="B301" s="1" t="n">
        <v>43756</v>
      </c>
      <c r="C301" s="1" t="n">
        <v>45719</v>
      </c>
      <c r="D301" t="inlineStr">
        <is>
          <t>JÄMTLANDS LÄN</t>
        </is>
      </c>
      <c r="E301" t="inlineStr">
        <is>
          <t>HÄRJEDALEN</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55801-2019</t>
        </is>
      </c>
      <c r="B302" s="1" t="n">
        <v>43759</v>
      </c>
      <c r="C302" s="1" t="n">
        <v>45719</v>
      </c>
      <c r="D302" t="inlineStr">
        <is>
          <t>JÄMTLANDS LÄN</t>
        </is>
      </c>
      <c r="E302" t="inlineStr">
        <is>
          <t>HÄRJEDALEN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55554-2019</t>
        </is>
      </c>
      <c r="B303" s="1" t="n">
        <v>43759</v>
      </c>
      <c r="C303" s="1" t="n">
        <v>45719</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57281-2019</t>
        </is>
      </c>
      <c r="B304" s="1" t="n">
        <v>43759</v>
      </c>
      <c r="C304" s="1" t="n">
        <v>45719</v>
      </c>
      <c r="D304" t="inlineStr">
        <is>
          <t>JÄMTLANDS LÄN</t>
        </is>
      </c>
      <c r="E304" t="inlineStr">
        <is>
          <t>HÄRJEDALEN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55578-2019</t>
        </is>
      </c>
      <c r="B305" s="1" t="n">
        <v>43760</v>
      </c>
      <c r="C305" s="1" t="n">
        <v>45719</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55607-2019</t>
        </is>
      </c>
      <c r="B306" s="1" t="n">
        <v>43760</v>
      </c>
      <c r="C306" s="1" t="n">
        <v>45719</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56217-2019</t>
        </is>
      </c>
      <c r="B307" s="1" t="n">
        <v>43762</v>
      </c>
      <c r="C307" s="1" t="n">
        <v>45719</v>
      </c>
      <c r="D307" t="inlineStr">
        <is>
          <t>JÄMTLANDS LÄN</t>
        </is>
      </c>
      <c r="E307" t="inlineStr">
        <is>
          <t>HÄRJEDALEN</t>
        </is>
      </c>
      <c r="G307" t="n">
        <v>43.2</v>
      </c>
      <c r="H307" t="n">
        <v>0</v>
      </c>
      <c r="I307" t="n">
        <v>0</v>
      </c>
      <c r="J307" t="n">
        <v>0</v>
      </c>
      <c r="K307" t="n">
        <v>0</v>
      </c>
      <c r="L307" t="n">
        <v>0</v>
      </c>
      <c r="M307" t="n">
        <v>0</v>
      </c>
      <c r="N307" t="n">
        <v>0</v>
      </c>
      <c r="O307" t="n">
        <v>0</v>
      </c>
      <c r="P307" t="n">
        <v>0</v>
      </c>
      <c r="Q307" t="n">
        <v>0</v>
      </c>
      <c r="R307" s="2" t="inlineStr"/>
    </row>
    <row r="308" ht="15" customHeight="1">
      <c r="A308" t="inlineStr">
        <is>
          <t>A 58175-2019</t>
        </is>
      </c>
      <c r="B308" s="1" t="n">
        <v>43769</v>
      </c>
      <c r="C308" s="1" t="n">
        <v>45719</v>
      </c>
      <c r="D308" t="inlineStr">
        <is>
          <t>JÄMTLANDS LÄN</t>
        </is>
      </c>
      <c r="E308" t="inlineStr">
        <is>
          <t>HÄRJEDALEN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59347-2019</t>
        </is>
      </c>
      <c r="B309" s="1" t="n">
        <v>43770</v>
      </c>
      <c r="C309" s="1" t="n">
        <v>45719</v>
      </c>
      <c r="D309" t="inlineStr">
        <is>
          <t>JÄMTLANDS LÄN</t>
        </is>
      </c>
      <c r="E309" t="inlineStr">
        <is>
          <t>HÄRJEDALEN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58742-2019</t>
        </is>
      </c>
      <c r="B310" s="1" t="n">
        <v>43773</v>
      </c>
      <c r="C310" s="1" t="n">
        <v>45719</v>
      </c>
      <c r="D310" t="inlineStr">
        <is>
          <t>JÄMTLANDS LÄN</t>
        </is>
      </c>
      <c r="E310" t="inlineStr">
        <is>
          <t>HÄRJEDALEN</t>
        </is>
      </c>
      <c r="G310" t="n">
        <v>4</v>
      </c>
      <c r="H310" t="n">
        <v>0</v>
      </c>
      <c r="I310" t="n">
        <v>0</v>
      </c>
      <c r="J310" t="n">
        <v>0</v>
      </c>
      <c r="K310" t="n">
        <v>0</v>
      </c>
      <c r="L310" t="n">
        <v>0</v>
      </c>
      <c r="M310" t="n">
        <v>0</v>
      </c>
      <c r="N310" t="n">
        <v>0</v>
      </c>
      <c r="O310" t="n">
        <v>0</v>
      </c>
      <c r="P310" t="n">
        <v>0</v>
      </c>
      <c r="Q310" t="n">
        <v>0</v>
      </c>
      <c r="R310" s="2" t="inlineStr"/>
    </row>
    <row r="311" ht="15" customHeight="1">
      <c r="A311" t="inlineStr">
        <is>
          <t>A 59984-2019</t>
        </is>
      </c>
      <c r="B311" s="1" t="n">
        <v>43775</v>
      </c>
      <c r="C311" s="1" t="n">
        <v>45719</v>
      </c>
      <c r="D311" t="inlineStr">
        <is>
          <t>JÄMTLANDS LÄN</t>
        </is>
      </c>
      <c r="E311" t="inlineStr">
        <is>
          <t>HÄRJEDALEN</t>
        </is>
      </c>
      <c r="G311" t="n">
        <v>20.4</v>
      </c>
      <c r="H311" t="n">
        <v>0</v>
      </c>
      <c r="I311" t="n">
        <v>0</v>
      </c>
      <c r="J311" t="n">
        <v>0</v>
      </c>
      <c r="K311" t="n">
        <v>0</v>
      </c>
      <c r="L311" t="n">
        <v>0</v>
      </c>
      <c r="M311" t="n">
        <v>0</v>
      </c>
      <c r="N311" t="n">
        <v>0</v>
      </c>
      <c r="O311" t="n">
        <v>0</v>
      </c>
      <c r="P311" t="n">
        <v>0</v>
      </c>
      <c r="Q311" t="n">
        <v>0</v>
      </c>
      <c r="R311" s="2" t="inlineStr"/>
    </row>
    <row r="312" ht="15" customHeight="1">
      <c r="A312" t="inlineStr">
        <is>
          <t>A 59733-2019</t>
        </is>
      </c>
      <c r="B312" s="1" t="n">
        <v>43776</v>
      </c>
      <c r="C312" s="1" t="n">
        <v>45719</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62342-2019</t>
        </is>
      </c>
      <c r="B313" s="1" t="n">
        <v>43782</v>
      </c>
      <c r="C313" s="1" t="n">
        <v>45719</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60919-2019</t>
        </is>
      </c>
      <c r="B314" s="1" t="n">
        <v>43782</v>
      </c>
      <c r="C314" s="1" t="n">
        <v>45719</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62115-2019</t>
        </is>
      </c>
      <c r="B315" s="1" t="n">
        <v>43787</v>
      </c>
      <c r="C315" s="1" t="n">
        <v>45719</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62451-2019</t>
        </is>
      </c>
      <c r="B316" s="1" t="n">
        <v>43788</v>
      </c>
      <c r="C316" s="1" t="n">
        <v>45719</v>
      </c>
      <c r="D316" t="inlineStr">
        <is>
          <t>JÄMTLANDS LÄN</t>
        </is>
      </c>
      <c r="E316" t="inlineStr">
        <is>
          <t>HÄRJEDALEN</t>
        </is>
      </c>
      <c r="F316" t="inlineStr">
        <is>
          <t>Bergvik skog väst AB</t>
        </is>
      </c>
      <c r="G316" t="n">
        <v>22.2</v>
      </c>
      <c r="H316" t="n">
        <v>0</v>
      </c>
      <c r="I316" t="n">
        <v>0</v>
      </c>
      <c r="J316" t="n">
        <v>0</v>
      </c>
      <c r="K316" t="n">
        <v>0</v>
      </c>
      <c r="L316" t="n">
        <v>0</v>
      </c>
      <c r="M316" t="n">
        <v>0</v>
      </c>
      <c r="N316" t="n">
        <v>0</v>
      </c>
      <c r="O316" t="n">
        <v>0</v>
      </c>
      <c r="P316" t="n">
        <v>0</v>
      </c>
      <c r="Q316" t="n">
        <v>0</v>
      </c>
      <c r="R316" s="2" t="inlineStr"/>
    </row>
    <row r="317" ht="15" customHeight="1">
      <c r="A317" t="inlineStr">
        <is>
          <t>A 62971-2019</t>
        </is>
      </c>
      <c r="B317" s="1" t="n">
        <v>43790</v>
      </c>
      <c r="C317" s="1" t="n">
        <v>45719</v>
      </c>
      <c r="D317" t="inlineStr">
        <is>
          <t>JÄMTLANDS LÄN</t>
        </is>
      </c>
      <c r="E317" t="inlineStr">
        <is>
          <t>HÄRJEDALEN</t>
        </is>
      </c>
      <c r="F317" t="inlineStr">
        <is>
          <t>Bergvik skog väst AB</t>
        </is>
      </c>
      <c r="G317" t="n">
        <v>18.2</v>
      </c>
      <c r="H317" t="n">
        <v>0</v>
      </c>
      <c r="I317" t="n">
        <v>0</v>
      </c>
      <c r="J317" t="n">
        <v>0</v>
      </c>
      <c r="K317" t="n">
        <v>0</v>
      </c>
      <c r="L317" t="n">
        <v>0</v>
      </c>
      <c r="M317" t="n">
        <v>0</v>
      </c>
      <c r="N317" t="n">
        <v>0</v>
      </c>
      <c r="O317" t="n">
        <v>0</v>
      </c>
      <c r="P317" t="n">
        <v>0</v>
      </c>
      <c r="Q317" t="n">
        <v>0</v>
      </c>
      <c r="R317" s="2" t="inlineStr"/>
    </row>
    <row r="318" ht="15" customHeight="1">
      <c r="A318" t="inlineStr">
        <is>
          <t>A 64417-2019</t>
        </is>
      </c>
      <c r="B318" s="1" t="n">
        <v>43794</v>
      </c>
      <c r="C318" s="1" t="n">
        <v>45719</v>
      </c>
      <c r="D318" t="inlineStr">
        <is>
          <t>JÄMTLANDS LÄN</t>
        </is>
      </c>
      <c r="E318" t="inlineStr">
        <is>
          <t>HÄRJEDALEN</t>
        </is>
      </c>
      <c r="G318" t="n">
        <v>6.9</v>
      </c>
      <c r="H318" t="n">
        <v>0</v>
      </c>
      <c r="I318" t="n">
        <v>0</v>
      </c>
      <c r="J318" t="n">
        <v>0</v>
      </c>
      <c r="K318" t="n">
        <v>0</v>
      </c>
      <c r="L318" t="n">
        <v>0</v>
      </c>
      <c r="M318" t="n">
        <v>0</v>
      </c>
      <c r="N318" t="n">
        <v>0</v>
      </c>
      <c r="O318" t="n">
        <v>0</v>
      </c>
      <c r="P318" t="n">
        <v>0</v>
      </c>
      <c r="Q318" t="n">
        <v>0</v>
      </c>
      <c r="R318" s="2" t="inlineStr"/>
    </row>
    <row r="319" ht="15" customHeight="1">
      <c r="A319" t="inlineStr">
        <is>
          <t>A 64229-2019</t>
        </is>
      </c>
      <c r="B319" s="1" t="n">
        <v>43797</v>
      </c>
      <c r="C319" s="1" t="n">
        <v>45719</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64689-2019</t>
        </is>
      </c>
      <c r="B320" s="1" t="n">
        <v>43798</v>
      </c>
      <c r="C320" s="1" t="n">
        <v>45719</v>
      </c>
      <c r="D320" t="inlineStr">
        <is>
          <t>JÄMTLANDS LÄN</t>
        </is>
      </c>
      <c r="E320" t="inlineStr">
        <is>
          <t>HÄRJEDALEN</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65759-2019</t>
        </is>
      </c>
      <c r="B321" s="1" t="n">
        <v>43804</v>
      </c>
      <c r="C321" s="1" t="n">
        <v>45719</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66255-2019</t>
        </is>
      </c>
      <c r="B322" s="1" t="n">
        <v>43808</v>
      </c>
      <c r="C322" s="1" t="n">
        <v>45719</v>
      </c>
      <c r="D322" t="inlineStr">
        <is>
          <t>JÄMTLANDS LÄN</t>
        </is>
      </c>
      <c r="E322" t="inlineStr">
        <is>
          <t>HÄRJEDALEN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66735-2019</t>
        </is>
      </c>
      <c r="B323" s="1" t="n">
        <v>43810</v>
      </c>
      <c r="C323" s="1" t="n">
        <v>45719</v>
      </c>
      <c r="D323" t="inlineStr">
        <is>
          <t>JÄMTLANDS LÄN</t>
        </is>
      </c>
      <c r="E323" t="inlineStr">
        <is>
          <t>HÄRJEDALEN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67619-2019</t>
        </is>
      </c>
      <c r="B324" s="1" t="n">
        <v>43815</v>
      </c>
      <c r="C324" s="1" t="n">
        <v>45719</v>
      </c>
      <c r="D324" t="inlineStr">
        <is>
          <t>JÄMTLANDS LÄN</t>
        </is>
      </c>
      <c r="E324" t="inlineStr">
        <is>
          <t>HÄRJEDALEN</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67693-2019</t>
        </is>
      </c>
      <c r="B325" s="1" t="n">
        <v>43815</v>
      </c>
      <c r="C325" s="1" t="n">
        <v>45719</v>
      </c>
      <c r="D325" t="inlineStr">
        <is>
          <t>JÄMTLANDS LÄN</t>
        </is>
      </c>
      <c r="E325" t="inlineStr">
        <is>
          <t>HÄRJEDALEN</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67500-2019</t>
        </is>
      </c>
      <c r="B326" s="1" t="n">
        <v>43815</v>
      </c>
      <c r="C326" s="1" t="n">
        <v>45719</v>
      </c>
      <c r="D326" t="inlineStr">
        <is>
          <t>JÄMTLANDS LÄN</t>
        </is>
      </c>
      <c r="E326" t="inlineStr">
        <is>
          <t>HÄRJEDALEN</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67695-2019</t>
        </is>
      </c>
      <c r="B327" s="1" t="n">
        <v>43815</v>
      </c>
      <c r="C327" s="1" t="n">
        <v>45719</v>
      </c>
      <c r="D327" t="inlineStr">
        <is>
          <t>JÄMTLANDS LÄN</t>
        </is>
      </c>
      <c r="E327" t="inlineStr">
        <is>
          <t>HÄRJEDALEN</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67757-2019</t>
        </is>
      </c>
      <c r="B328" s="1" t="n">
        <v>43815</v>
      </c>
      <c r="C328" s="1" t="n">
        <v>45719</v>
      </c>
      <c r="D328" t="inlineStr">
        <is>
          <t>JÄMTLANDS LÄN</t>
        </is>
      </c>
      <c r="E328" t="inlineStr">
        <is>
          <t>HÄRJEDALEN</t>
        </is>
      </c>
      <c r="F328" t="inlineStr">
        <is>
          <t>Holmen skog AB</t>
        </is>
      </c>
      <c r="G328" t="n">
        <v>4</v>
      </c>
      <c r="H328" t="n">
        <v>0</v>
      </c>
      <c r="I328" t="n">
        <v>0</v>
      </c>
      <c r="J328" t="n">
        <v>0</v>
      </c>
      <c r="K328" t="n">
        <v>0</v>
      </c>
      <c r="L328" t="n">
        <v>0</v>
      </c>
      <c r="M328" t="n">
        <v>0</v>
      </c>
      <c r="N328" t="n">
        <v>0</v>
      </c>
      <c r="O328" t="n">
        <v>0</v>
      </c>
      <c r="P328" t="n">
        <v>0</v>
      </c>
      <c r="Q328" t="n">
        <v>0</v>
      </c>
      <c r="R328" s="2" t="inlineStr"/>
    </row>
    <row r="329" ht="15" customHeight="1">
      <c r="A329" t="inlineStr">
        <is>
          <t>A 67688-2019</t>
        </is>
      </c>
      <c r="B329" s="1" t="n">
        <v>43815</v>
      </c>
      <c r="C329" s="1" t="n">
        <v>45719</v>
      </c>
      <c r="D329" t="inlineStr">
        <is>
          <t>JÄMTLANDS LÄN</t>
        </is>
      </c>
      <c r="E329" t="inlineStr">
        <is>
          <t>HÄRJEDALEN</t>
        </is>
      </c>
      <c r="F329" t="inlineStr">
        <is>
          <t>Holmen skog AB</t>
        </is>
      </c>
      <c r="G329" t="n">
        <v>4.2</v>
      </c>
      <c r="H329" t="n">
        <v>0</v>
      </c>
      <c r="I329" t="n">
        <v>0</v>
      </c>
      <c r="J329" t="n">
        <v>0</v>
      </c>
      <c r="K329" t="n">
        <v>0</v>
      </c>
      <c r="L329" t="n">
        <v>0</v>
      </c>
      <c r="M329" t="n">
        <v>0</v>
      </c>
      <c r="N329" t="n">
        <v>0</v>
      </c>
      <c r="O329" t="n">
        <v>0</v>
      </c>
      <c r="P329" t="n">
        <v>0</v>
      </c>
      <c r="Q329" t="n">
        <v>0</v>
      </c>
      <c r="R329" s="2" t="inlineStr"/>
    </row>
    <row r="330" ht="15" customHeight="1">
      <c r="A330" t="inlineStr">
        <is>
          <t>A 67738-2019</t>
        </is>
      </c>
      <c r="B330" s="1" t="n">
        <v>43815</v>
      </c>
      <c r="C330" s="1" t="n">
        <v>45719</v>
      </c>
      <c r="D330" t="inlineStr">
        <is>
          <t>JÄMTLANDS LÄN</t>
        </is>
      </c>
      <c r="E330" t="inlineStr">
        <is>
          <t>HÄRJEDALEN</t>
        </is>
      </c>
      <c r="F330" t="inlineStr">
        <is>
          <t>Holmen skog AB</t>
        </is>
      </c>
      <c r="G330" t="n">
        <v>15.9</v>
      </c>
      <c r="H330" t="n">
        <v>0</v>
      </c>
      <c r="I330" t="n">
        <v>0</v>
      </c>
      <c r="J330" t="n">
        <v>0</v>
      </c>
      <c r="K330" t="n">
        <v>0</v>
      </c>
      <c r="L330" t="n">
        <v>0</v>
      </c>
      <c r="M330" t="n">
        <v>0</v>
      </c>
      <c r="N330" t="n">
        <v>0</v>
      </c>
      <c r="O330" t="n">
        <v>0</v>
      </c>
      <c r="P330" t="n">
        <v>0</v>
      </c>
      <c r="Q330" t="n">
        <v>0</v>
      </c>
      <c r="R330" s="2" t="inlineStr"/>
    </row>
    <row r="331" ht="15" customHeight="1">
      <c r="A331" t="inlineStr">
        <is>
          <t>A 67506-2019</t>
        </is>
      </c>
      <c r="B331" s="1" t="n">
        <v>43815</v>
      </c>
      <c r="C331" s="1" t="n">
        <v>45719</v>
      </c>
      <c r="D331" t="inlineStr">
        <is>
          <t>JÄMTLANDS LÄN</t>
        </is>
      </c>
      <c r="E331" t="inlineStr">
        <is>
          <t>HÄRJEDALEN</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67692-2019</t>
        </is>
      </c>
      <c r="B332" s="1" t="n">
        <v>43815</v>
      </c>
      <c r="C332" s="1" t="n">
        <v>45719</v>
      </c>
      <c r="D332" t="inlineStr">
        <is>
          <t>JÄMTLANDS LÄN</t>
        </is>
      </c>
      <c r="E332" t="inlineStr">
        <is>
          <t>HÄRJEDALEN</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67733-2019</t>
        </is>
      </c>
      <c r="B333" s="1" t="n">
        <v>43815</v>
      </c>
      <c r="C333" s="1" t="n">
        <v>45719</v>
      </c>
      <c r="D333" t="inlineStr">
        <is>
          <t>JÄMTLANDS LÄN</t>
        </is>
      </c>
      <c r="E333" t="inlineStr">
        <is>
          <t>HÄRJEDALEN</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67593-2019</t>
        </is>
      </c>
      <c r="B334" s="1" t="n">
        <v>43815</v>
      </c>
      <c r="C334" s="1" t="n">
        <v>45719</v>
      </c>
      <c r="D334" t="inlineStr">
        <is>
          <t>JÄMTLANDS LÄN</t>
        </is>
      </c>
      <c r="E334" t="inlineStr">
        <is>
          <t>HÄRJEDALEN</t>
        </is>
      </c>
      <c r="F334" t="inlineStr">
        <is>
          <t>Holmen skog AB</t>
        </is>
      </c>
      <c r="G334" t="n">
        <v>7.9</v>
      </c>
      <c r="H334" t="n">
        <v>0</v>
      </c>
      <c r="I334" t="n">
        <v>0</v>
      </c>
      <c r="J334" t="n">
        <v>0</v>
      </c>
      <c r="K334" t="n">
        <v>0</v>
      </c>
      <c r="L334" t="n">
        <v>0</v>
      </c>
      <c r="M334" t="n">
        <v>0</v>
      </c>
      <c r="N334" t="n">
        <v>0</v>
      </c>
      <c r="O334" t="n">
        <v>0</v>
      </c>
      <c r="P334" t="n">
        <v>0</v>
      </c>
      <c r="Q334" t="n">
        <v>0</v>
      </c>
      <c r="R334" s="2" t="inlineStr"/>
    </row>
    <row r="335" ht="15" customHeight="1">
      <c r="A335" t="inlineStr">
        <is>
          <t>A 67535-2019</t>
        </is>
      </c>
      <c r="B335" s="1" t="n">
        <v>43815</v>
      </c>
      <c r="C335" s="1" t="n">
        <v>45719</v>
      </c>
      <c r="D335" t="inlineStr">
        <is>
          <t>JÄMTLANDS LÄN</t>
        </is>
      </c>
      <c r="E335" t="inlineStr">
        <is>
          <t>HÄRJEDALEN</t>
        </is>
      </c>
      <c r="F335" t="inlineStr">
        <is>
          <t>Holmen skog AB</t>
        </is>
      </c>
      <c r="G335" t="n">
        <v>34.3</v>
      </c>
      <c r="H335" t="n">
        <v>0</v>
      </c>
      <c r="I335" t="n">
        <v>0</v>
      </c>
      <c r="J335" t="n">
        <v>0</v>
      </c>
      <c r="K335" t="n">
        <v>0</v>
      </c>
      <c r="L335" t="n">
        <v>0</v>
      </c>
      <c r="M335" t="n">
        <v>0</v>
      </c>
      <c r="N335" t="n">
        <v>0</v>
      </c>
      <c r="O335" t="n">
        <v>0</v>
      </c>
      <c r="P335" t="n">
        <v>0</v>
      </c>
      <c r="Q335" t="n">
        <v>0</v>
      </c>
      <c r="R335" s="2" t="inlineStr"/>
    </row>
    <row r="336" ht="15" customHeight="1">
      <c r="A336" t="inlineStr">
        <is>
          <t>A 67972-2019</t>
        </is>
      </c>
      <c r="B336" s="1" t="n">
        <v>43816</v>
      </c>
      <c r="C336" s="1" t="n">
        <v>45719</v>
      </c>
      <c r="D336" t="inlineStr">
        <is>
          <t>JÄMTLANDS LÄN</t>
        </is>
      </c>
      <c r="E336" t="inlineStr">
        <is>
          <t>HÄRJEDALEN</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642-2020</t>
        </is>
      </c>
      <c r="B337" s="1" t="n">
        <v>43817</v>
      </c>
      <c r="C337" s="1" t="n">
        <v>45719</v>
      </c>
      <c r="D337" t="inlineStr">
        <is>
          <t>JÄMTLANDS LÄN</t>
        </is>
      </c>
      <c r="E337" t="inlineStr">
        <is>
          <t>HÄRJEDALEN</t>
        </is>
      </c>
      <c r="G337" t="n">
        <v>15.5</v>
      </c>
      <c r="H337" t="n">
        <v>0</v>
      </c>
      <c r="I337" t="n">
        <v>0</v>
      </c>
      <c r="J337" t="n">
        <v>0</v>
      </c>
      <c r="K337" t="n">
        <v>0</v>
      </c>
      <c r="L337" t="n">
        <v>0</v>
      </c>
      <c r="M337" t="n">
        <v>0</v>
      </c>
      <c r="N337" t="n">
        <v>0</v>
      </c>
      <c r="O337" t="n">
        <v>0</v>
      </c>
      <c r="P337" t="n">
        <v>0</v>
      </c>
      <c r="Q337" t="n">
        <v>0</v>
      </c>
      <c r="R337" s="2" t="inlineStr"/>
    </row>
    <row r="338" ht="15" customHeight="1">
      <c r="A338" t="inlineStr">
        <is>
          <t>A 159-2020</t>
        </is>
      </c>
      <c r="B338" s="1" t="n">
        <v>43833</v>
      </c>
      <c r="C338" s="1" t="n">
        <v>45719</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2320-2020</t>
        </is>
      </c>
      <c r="B339" s="1" t="n">
        <v>43846</v>
      </c>
      <c r="C339" s="1" t="n">
        <v>45719</v>
      </c>
      <c r="D339" t="inlineStr">
        <is>
          <t>JÄMTLANDS LÄN</t>
        </is>
      </c>
      <c r="E339" t="inlineStr">
        <is>
          <t>HÄRJEDALEN</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4663-2020</t>
        </is>
      </c>
      <c r="B340" s="1" t="n">
        <v>43858</v>
      </c>
      <c r="C340" s="1" t="n">
        <v>45719</v>
      </c>
      <c r="D340" t="inlineStr">
        <is>
          <t>JÄMTLANDS LÄN</t>
        </is>
      </c>
      <c r="E340" t="inlineStr">
        <is>
          <t>HÄRJEDALEN</t>
        </is>
      </c>
      <c r="G340" t="n">
        <v>10.2</v>
      </c>
      <c r="H340" t="n">
        <v>0</v>
      </c>
      <c r="I340" t="n">
        <v>0</v>
      </c>
      <c r="J340" t="n">
        <v>0</v>
      </c>
      <c r="K340" t="n">
        <v>0</v>
      </c>
      <c r="L340" t="n">
        <v>0</v>
      </c>
      <c r="M340" t="n">
        <v>0</v>
      </c>
      <c r="N340" t="n">
        <v>0</v>
      </c>
      <c r="O340" t="n">
        <v>0</v>
      </c>
      <c r="P340" t="n">
        <v>0</v>
      </c>
      <c r="Q340" t="n">
        <v>0</v>
      </c>
      <c r="R340" s="2" t="inlineStr"/>
    </row>
    <row r="341" ht="15" customHeight="1">
      <c r="A341" t="inlineStr">
        <is>
          <t>A 6719-2020</t>
        </is>
      </c>
      <c r="B341" s="1" t="n">
        <v>43866</v>
      </c>
      <c r="C341" s="1" t="n">
        <v>45719</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6715-2020</t>
        </is>
      </c>
      <c r="B342" s="1" t="n">
        <v>43866</v>
      </c>
      <c r="C342" s="1" t="n">
        <v>45719</v>
      </c>
      <c r="D342" t="inlineStr">
        <is>
          <t>JÄMTLANDS LÄN</t>
        </is>
      </c>
      <c r="E342" t="inlineStr">
        <is>
          <t>HÄRJEDALEN</t>
        </is>
      </c>
      <c r="G342" t="n">
        <v>7.5</v>
      </c>
      <c r="H342" t="n">
        <v>0</v>
      </c>
      <c r="I342" t="n">
        <v>0</v>
      </c>
      <c r="J342" t="n">
        <v>0</v>
      </c>
      <c r="K342" t="n">
        <v>0</v>
      </c>
      <c r="L342" t="n">
        <v>0</v>
      </c>
      <c r="M342" t="n">
        <v>0</v>
      </c>
      <c r="N342" t="n">
        <v>0</v>
      </c>
      <c r="O342" t="n">
        <v>0</v>
      </c>
      <c r="P342" t="n">
        <v>0</v>
      </c>
      <c r="Q342" t="n">
        <v>0</v>
      </c>
      <c r="R342" s="2" t="inlineStr"/>
    </row>
    <row r="343" ht="15" customHeight="1">
      <c r="A343" t="inlineStr">
        <is>
          <t>A 6675-2020</t>
        </is>
      </c>
      <c r="B343" s="1" t="n">
        <v>43866</v>
      </c>
      <c r="C343" s="1" t="n">
        <v>45719</v>
      </c>
      <c r="D343" t="inlineStr">
        <is>
          <t>JÄMTLANDS LÄN</t>
        </is>
      </c>
      <c r="E343" t="inlineStr">
        <is>
          <t>HÄRJEDALEN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6584-2020</t>
        </is>
      </c>
      <c r="B344" s="1" t="n">
        <v>43867</v>
      </c>
      <c r="C344" s="1" t="n">
        <v>45719</v>
      </c>
      <c r="D344" t="inlineStr">
        <is>
          <t>JÄMTLANDS LÄN</t>
        </is>
      </c>
      <c r="E344" t="inlineStr">
        <is>
          <t>HÄRJEDALEN</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6903-2020</t>
        </is>
      </c>
      <c r="B345" s="1" t="n">
        <v>43867</v>
      </c>
      <c r="C345" s="1" t="n">
        <v>45719</v>
      </c>
      <c r="D345" t="inlineStr">
        <is>
          <t>JÄMTLANDS LÄN</t>
        </is>
      </c>
      <c r="E345" t="inlineStr">
        <is>
          <t>HÄRJEDALEN</t>
        </is>
      </c>
      <c r="G345" t="n">
        <v>10.5</v>
      </c>
      <c r="H345" t="n">
        <v>0</v>
      </c>
      <c r="I345" t="n">
        <v>0</v>
      </c>
      <c r="J345" t="n">
        <v>0</v>
      </c>
      <c r="K345" t="n">
        <v>0</v>
      </c>
      <c r="L345" t="n">
        <v>0</v>
      </c>
      <c r="M345" t="n">
        <v>0</v>
      </c>
      <c r="N345" t="n">
        <v>0</v>
      </c>
      <c r="O345" t="n">
        <v>0</v>
      </c>
      <c r="P345" t="n">
        <v>0</v>
      </c>
      <c r="Q345" t="n">
        <v>0</v>
      </c>
      <c r="R345" s="2" t="inlineStr"/>
    </row>
    <row r="346" ht="15" customHeight="1">
      <c r="A346" t="inlineStr">
        <is>
          <t>A 7184-2020</t>
        </is>
      </c>
      <c r="B346" s="1" t="n">
        <v>43871</v>
      </c>
      <c r="C346" s="1" t="n">
        <v>45719</v>
      </c>
      <c r="D346" t="inlineStr">
        <is>
          <t>JÄMTLANDS LÄN</t>
        </is>
      </c>
      <c r="E346" t="inlineStr">
        <is>
          <t>HÄRJEDALEN</t>
        </is>
      </c>
      <c r="G346" t="n">
        <v>41.4</v>
      </c>
      <c r="H346" t="n">
        <v>0</v>
      </c>
      <c r="I346" t="n">
        <v>0</v>
      </c>
      <c r="J346" t="n">
        <v>0</v>
      </c>
      <c r="K346" t="n">
        <v>0</v>
      </c>
      <c r="L346" t="n">
        <v>0</v>
      </c>
      <c r="M346" t="n">
        <v>0</v>
      </c>
      <c r="N346" t="n">
        <v>0</v>
      </c>
      <c r="O346" t="n">
        <v>0</v>
      </c>
      <c r="P346" t="n">
        <v>0</v>
      </c>
      <c r="Q346" t="n">
        <v>0</v>
      </c>
      <c r="R346" s="2" t="inlineStr"/>
    </row>
    <row r="347" ht="15" customHeight="1">
      <c r="A347" t="inlineStr">
        <is>
          <t>A 8111-2020</t>
        </is>
      </c>
      <c r="B347" s="1" t="n">
        <v>43874</v>
      </c>
      <c r="C347" s="1" t="n">
        <v>45719</v>
      </c>
      <c r="D347" t="inlineStr">
        <is>
          <t>JÄMTLANDS LÄN</t>
        </is>
      </c>
      <c r="E347" t="inlineStr">
        <is>
          <t>HÄRJEDALEN</t>
        </is>
      </c>
      <c r="G347" t="n">
        <v>15.4</v>
      </c>
      <c r="H347" t="n">
        <v>0</v>
      </c>
      <c r="I347" t="n">
        <v>0</v>
      </c>
      <c r="J347" t="n">
        <v>0</v>
      </c>
      <c r="K347" t="n">
        <v>0</v>
      </c>
      <c r="L347" t="n">
        <v>0</v>
      </c>
      <c r="M347" t="n">
        <v>0</v>
      </c>
      <c r="N347" t="n">
        <v>0</v>
      </c>
      <c r="O347" t="n">
        <v>0</v>
      </c>
      <c r="P347" t="n">
        <v>0</v>
      </c>
      <c r="Q347" t="n">
        <v>0</v>
      </c>
      <c r="R347" s="2" t="inlineStr"/>
    </row>
    <row r="348" ht="15" customHeight="1">
      <c r="A348" t="inlineStr">
        <is>
          <t>A 8762-2020</t>
        </is>
      </c>
      <c r="B348" s="1" t="n">
        <v>43875</v>
      </c>
      <c r="C348" s="1" t="n">
        <v>45719</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8908-2020</t>
        </is>
      </c>
      <c r="B349" s="1" t="n">
        <v>43878</v>
      </c>
      <c r="C349" s="1" t="n">
        <v>45719</v>
      </c>
      <c r="D349" t="inlineStr">
        <is>
          <t>JÄMTLANDS LÄN</t>
        </is>
      </c>
      <c r="E349" t="inlineStr">
        <is>
          <t>HÄRJEDALEN</t>
        </is>
      </c>
      <c r="G349" t="n">
        <v>18.1</v>
      </c>
      <c r="H349" t="n">
        <v>0</v>
      </c>
      <c r="I349" t="n">
        <v>0</v>
      </c>
      <c r="J349" t="n">
        <v>0</v>
      </c>
      <c r="K349" t="n">
        <v>0</v>
      </c>
      <c r="L349" t="n">
        <v>0</v>
      </c>
      <c r="M349" t="n">
        <v>0</v>
      </c>
      <c r="N349" t="n">
        <v>0</v>
      </c>
      <c r="O349" t="n">
        <v>0</v>
      </c>
      <c r="P349" t="n">
        <v>0</v>
      </c>
      <c r="Q349" t="n">
        <v>0</v>
      </c>
      <c r="R349" s="2" t="inlineStr"/>
    </row>
    <row r="350" ht="15" customHeight="1">
      <c r="A350" t="inlineStr">
        <is>
          <t>A 9034-2020</t>
        </is>
      </c>
      <c r="B350" s="1" t="n">
        <v>43879</v>
      </c>
      <c r="C350" s="1" t="n">
        <v>45719</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9591-2020</t>
        </is>
      </c>
      <c r="B351" s="1" t="n">
        <v>43881</v>
      </c>
      <c r="C351" s="1" t="n">
        <v>45719</v>
      </c>
      <c r="D351" t="inlineStr">
        <is>
          <t>JÄMTLANDS LÄN</t>
        </is>
      </c>
      <c r="E351" t="inlineStr">
        <is>
          <t>HÄRJEDALEN</t>
        </is>
      </c>
      <c r="G351" t="n">
        <v>6.4</v>
      </c>
      <c r="H351" t="n">
        <v>0</v>
      </c>
      <c r="I351" t="n">
        <v>0</v>
      </c>
      <c r="J351" t="n">
        <v>0</v>
      </c>
      <c r="K351" t="n">
        <v>0</v>
      </c>
      <c r="L351" t="n">
        <v>0</v>
      </c>
      <c r="M351" t="n">
        <v>0</v>
      </c>
      <c r="N351" t="n">
        <v>0</v>
      </c>
      <c r="O351" t="n">
        <v>0</v>
      </c>
      <c r="P351" t="n">
        <v>0</v>
      </c>
      <c r="Q351" t="n">
        <v>0</v>
      </c>
      <c r="R351" s="2" t="inlineStr"/>
    </row>
    <row r="352" ht="15" customHeight="1">
      <c r="A352" t="inlineStr">
        <is>
          <t>A 11731-2020</t>
        </is>
      </c>
      <c r="B352" s="1" t="n">
        <v>43894</v>
      </c>
      <c r="C352" s="1" t="n">
        <v>45719</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11816-2020</t>
        </is>
      </c>
      <c r="B353" s="1" t="n">
        <v>43894</v>
      </c>
      <c r="C353" s="1" t="n">
        <v>45719</v>
      </c>
      <c r="D353" t="inlineStr">
        <is>
          <t>JÄMTLANDS LÄN</t>
        </is>
      </c>
      <c r="E353" t="inlineStr">
        <is>
          <t>HÄRJEDALEN</t>
        </is>
      </c>
      <c r="F353" t="inlineStr">
        <is>
          <t>Holmen skog AB</t>
        </is>
      </c>
      <c r="G353" t="n">
        <v>20.4</v>
      </c>
      <c r="H353" t="n">
        <v>0</v>
      </c>
      <c r="I353" t="n">
        <v>0</v>
      </c>
      <c r="J353" t="n">
        <v>0</v>
      </c>
      <c r="K353" t="n">
        <v>0</v>
      </c>
      <c r="L353" t="n">
        <v>0</v>
      </c>
      <c r="M353" t="n">
        <v>0</v>
      </c>
      <c r="N353" t="n">
        <v>0</v>
      </c>
      <c r="O353" t="n">
        <v>0</v>
      </c>
      <c r="P353" t="n">
        <v>0</v>
      </c>
      <c r="Q353" t="n">
        <v>0</v>
      </c>
      <c r="R353" s="2" t="inlineStr"/>
    </row>
    <row r="354" ht="15" customHeight="1">
      <c r="A354" t="inlineStr">
        <is>
          <t>A 11818-2020</t>
        </is>
      </c>
      <c r="B354" s="1" t="n">
        <v>43894</v>
      </c>
      <c r="C354" s="1" t="n">
        <v>45719</v>
      </c>
      <c r="D354" t="inlineStr">
        <is>
          <t>JÄMTLANDS LÄN</t>
        </is>
      </c>
      <c r="E354" t="inlineStr">
        <is>
          <t>HÄRJEDALEN</t>
        </is>
      </c>
      <c r="F354" t="inlineStr">
        <is>
          <t>Holmen skog AB</t>
        </is>
      </c>
      <c r="G354" t="n">
        <v>6</v>
      </c>
      <c r="H354" t="n">
        <v>0</v>
      </c>
      <c r="I354" t="n">
        <v>0</v>
      </c>
      <c r="J354" t="n">
        <v>0</v>
      </c>
      <c r="K354" t="n">
        <v>0</v>
      </c>
      <c r="L354" t="n">
        <v>0</v>
      </c>
      <c r="M354" t="n">
        <v>0</v>
      </c>
      <c r="N354" t="n">
        <v>0</v>
      </c>
      <c r="O354" t="n">
        <v>0</v>
      </c>
      <c r="P354" t="n">
        <v>0</v>
      </c>
      <c r="Q354" t="n">
        <v>0</v>
      </c>
      <c r="R354" s="2" t="inlineStr"/>
    </row>
    <row r="355" ht="15" customHeight="1">
      <c r="A355" t="inlineStr">
        <is>
          <t>A 11885-2020</t>
        </is>
      </c>
      <c r="B355" s="1" t="n">
        <v>43894</v>
      </c>
      <c r="C355" s="1" t="n">
        <v>45719</v>
      </c>
      <c r="D355" t="inlineStr">
        <is>
          <t>JÄMTLANDS LÄN</t>
        </is>
      </c>
      <c r="E355" t="inlineStr">
        <is>
          <t>HÄRJEDALEN</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11828-2020</t>
        </is>
      </c>
      <c r="B356" s="1" t="n">
        <v>43894</v>
      </c>
      <c r="C356" s="1" t="n">
        <v>45719</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11905-2020</t>
        </is>
      </c>
      <c r="B357" s="1" t="n">
        <v>43894</v>
      </c>
      <c r="C357" s="1" t="n">
        <v>45719</v>
      </c>
      <c r="D357" t="inlineStr">
        <is>
          <t>JÄMTLANDS LÄN</t>
        </is>
      </c>
      <c r="E357" t="inlineStr">
        <is>
          <t>HÄRJEDALEN</t>
        </is>
      </c>
      <c r="F357" t="inlineStr">
        <is>
          <t>Holmen skog AB</t>
        </is>
      </c>
      <c r="G357" t="n">
        <v>10.3</v>
      </c>
      <c r="H357" t="n">
        <v>0</v>
      </c>
      <c r="I357" t="n">
        <v>0</v>
      </c>
      <c r="J357" t="n">
        <v>0</v>
      </c>
      <c r="K357" t="n">
        <v>0</v>
      </c>
      <c r="L357" t="n">
        <v>0</v>
      </c>
      <c r="M357" t="n">
        <v>0</v>
      </c>
      <c r="N357" t="n">
        <v>0</v>
      </c>
      <c r="O357" t="n">
        <v>0</v>
      </c>
      <c r="P357" t="n">
        <v>0</v>
      </c>
      <c r="Q357" t="n">
        <v>0</v>
      </c>
      <c r="R357" s="2" t="inlineStr"/>
    </row>
    <row r="358" ht="15" customHeight="1">
      <c r="A358" t="inlineStr">
        <is>
          <t>A 13604-2020</t>
        </is>
      </c>
      <c r="B358" s="1" t="n">
        <v>43895</v>
      </c>
      <c r="C358" s="1" t="n">
        <v>45719</v>
      </c>
      <c r="D358" t="inlineStr">
        <is>
          <t>JÄMTLANDS LÄN</t>
        </is>
      </c>
      <c r="E358" t="inlineStr">
        <is>
          <t>HÄRJEDALEN</t>
        </is>
      </c>
      <c r="G358" t="n">
        <v>0.6</v>
      </c>
      <c r="H358" t="n">
        <v>0</v>
      </c>
      <c r="I358" t="n">
        <v>0</v>
      </c>
      <c r="J358" t="n">
        <v>0</v>
      </c>
      <c r="K358" t="n">
        <v>0</v>
      </c>
      <c r="L358" t="n">
        <v>0</v>
      </c>
      <c r="M358" t="n">
        <v>0</v>
      </c>
      <c r="N358" t="n">
        <v>0</v>
      </c>
      <c r="O358" t="n">
        <v>0</v>
      </c>
      <c r="P358" t="n">
        <v>0</v>
      </c>
      <c r="Q358" t="n">
        <v>0</v>
      </c>
      <c r="R358" s="2" t="inlineStr"/>
    </row>
    <row r="359" ht="15" customHeight="1">
      <c r="A359" t="inlineStr">
        <is>
          <t>A 12398-2020</t>
        </is>
      </c>
      <c r="B359" s="1" t="n">
        <v>43896</v>
      </c>
      <c r="C359" s="1" t="n">
        <v>45719</v>
      </c>
      <c r="D359" t="inlineStr">
        <is>
          <t>JÄMTLANDS LÄN</t>
        </is>
      </c>
      <c r="E359" t="inlineStr">
        <is>
          <t>HÄRJEDALEN</t>
        </is>
      </c>
      <c r="G359" t="n">
        <v>12.3</v>
      </c>
      <c r="H359" t="n">
        <v>0</v>
      </c>
      <c r="I359" t="n">
        <v>0</v>
      </c>
      <c r="J359" t="n">
        <v>0</v>
      </c>
      <c r="K359" t="n">
        <v>0</v>
      </c>
      <c r="L359" t="n">
        <v>0</v>
      </c>
      <c r="M359" t="n">
        <v>0</v>
      </c>
      <c r="N359" t="n">
        <v>0</v>
      </c>
      <c r="O359" t="n">
        <v>0</v>
      </c>
      <c r="P359" t="n">
        <v>0</v>
      </c>
      <c r="Q359" t="n">
        <v>0</v>
      </c>
      <c r="R359" s="2" t="inlineStr"/>
    </row>
    <row r="360" ht="15" customHeight="1">
      <c r="A360" t="inlineStr">
        <is>
          <t>A 12410-2020</t>
        </is>
      </c>
      <c r="B360" s="1" t="n">
        <v>43896</v>
      </c>
      <c r="C360" s="1" t="n">
        <v>45719</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13588-2020</t>
        </is>
      </c>
      <c r="B361" s="1" t="n">
        <v>43896</v>
      </c>
      <c r="C361" s="1" t="n">
        <v>45719</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12898-2020</t>
        </is>
      </c>
      <c r="B362" s="1" t="n">
        <v>43900</v>
      </c>
      <c r="C362" s="1" t="n">
        <v>45719</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15020-2020</t>
        </is>
      </c>
      <c r="B363" s="1" t="n">
        <v>43907</v>
      </c>
      <c r="C363" s="1" t="n">
        <v>45719</v>
      </c>
      <c r="D363" t="inlineStr">
        <is>
          <t>JÄMTLANDS LÄN</t>
        </is>
      </c>
      <c r="E363" t="inlineStr">
        <is>
          <t>HÄRJEDALEN</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15576-2020</t>
        </is>
      </c>
      <c r="B364" s="1" t="n">
        <v>43914</v>
      </c>
      <c r="C364" s="1" t="n">
        <v>45719</v>
      </c>
      <c r="D364" t="inlineStr">
        <is>
          <t>JÄMTLANDS LÄN</t>
        </is>
      </c>
      <c r="E364" t="inlineStr">
        <is>
          <t>HÄRJEDALEN</t>
        </is>
      </c>
      <c r="F364" t="inlineStr">
        <is>
          <t>Kyrkan</t>
        </is>
      </c>
      <c r="G364" t="n">
        <v>8.1</v>
      </c>
      <c r="H364" t="n">
        <v>0</v>
      </c>
      <c r="I364" t="n">
        <v>0</v>
      </c>
      <c r="J364" t="n">
        <v>0</v>
      </c>
      <c r="K364" t="n">
        <v>0</v>
      </c>
      <c r="L364" t="n">
        <v>0</v>
      </c>
      <c r="M364" t="n">
        <v>0</v>
      </c>
      <c r="N364" t="n">
        <v>0</v>
      </c>
      <c r="O364" t="n">
        <v>0</v>
      </c>
      <c r="P364" t="n">
        <v>0</v>
      </c>
      <c r="Q364" t="n">
        <v>0</v>
      </c>
      <c r="R364" s="2" t="inlineStr"/>
    </row>
    <row r="365" ht="15" customHeight="1">
      <c r="A365" t="inlineStr">
        <is>
          <t>A 17515-2020</t>
        </is>
      </c>
      <c r="B365" s="1" t="n">
        <v>43920</v>
      </c>
      <c r="C365" s="1" t="n">
        <v>45719</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17024-2020</t>
        </is>
      </c>
      <c r="B366" s="1" t="n">
        <v>43921</v>
      </c>
      <c r="C366" s="1" t="n">
        <v>45719</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17676-2020</t>
        </is>
      </c>
      <c r="B367" s="1" t="n">
        <v>43924</v>
      </c>
      <c r="C367" s="1" t="n">
        <v>45719</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18038-2020</t>
        </is>
      </c>
      <c r="B368" s="1" t="n">
        <v>43927</v>
      </c>
      <c r="C368" s="1" t="n">
        <v>45719</v>
      </c>
      <c r="D368" t="inlineStr">
        <is>
          <t>JÄMTLANDS LÄN</t>
        </is>
      </c>
      <c r="E368" t="inlineStr">
        <is>
          <t>HÄRJEDALEN</t>
        </is>
      </c>
      <c r="G368" t="n">
        <v>13.5</v>
      </c>
      <c r="H368" t="n">
        <v>0</v>
      </c>
      <c r="I368" t="n">
        <v>0</v>
      </c>
      <c r="J368" t="n">
        <v>0</v>
      </c>
      <c r="K368" t="n">
        <v>0</v>
      </c>
      <c r="L368" t="n">
        <v>0</v>
      </c>
      <c r="M368" t="n">
        <v>0</v>
      </c>
      <c r="N368" t="n">
        <v>0</v>
      </c>
      <c r="O368" t="n">
        <v>0</v>
      </c>
      <c r="P368" t="n">
        <v>0</v>
      </c>
      <c r="Q368" t="n">
        <v>0</v>
      </c>
      <c r="R368" s="2" t="inlineStr"/>
    </row>
    <row r="369" ht="15" customHeight="1">
      <c r="A369" t="inlineStr">
        <is>
          <t>A 18761-2020</t>
        </is>
      </c>
      <c r="B369" s="1" t="n">
        <v>43930</v>
      </c>
      <c r="C369" s="1" t="n">
        <v>45719</v>
      </c>
      <c r="D369" t="inlineStr">
        <is>
          <t>JÄMTLANDS LÄN</t>
        </is>
      </c>
      <c r="E369" t="inlineStr">
        <is>
          <t>HÄRJEDALEN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18760-2020</t>
        </is>
      </c>
      <c r="B370" s="1" t="n">
        <v>43930</v>
      </c>
      <c r="C370" s="1" t="n">
        <v>45719</v>
      </c>
      <c r="D370" t="inlineStr">
        <is>
          <t>JÄMTLANDS LÄN</t>
        </is>
      </c>
      <c r="E370" t="inlineStr">
        <is>
          <t>HÄRJEDALEN</t>
        </is>
      </c>
      <c r="F370" t="inlineStr">
        <is>
          <t>Sveaskog</t>
        </is>
      </c>
      <c r="G370" t="n">
        <v>16.1</v>
      </c>
      <c r="H370" t="n">
        <v>0</v>
      </c>
      <c r="I370" t="n">
        <v>0</v>
      </c>
      <c r="J370" t="n">
        <v>0</v>
      </c>
      <c r="K370" t="n">
        <v>0</v>
      </c>
      <c r="L370" t="n">
        <v>0</v>
      </c>
      <c r="M370" t="n">
        <v>0</v>
      </c>
      <c r="N370" t="n">
        <v>0</v>
      </c>
      <c r="O370" t="n">
        <v>0</v>
      </c>
      <c r="P370" t="n">
        <v>0</v>
      </c>
      <c r="Q370" t="n">
        <v>0</v>
      </c>
      <c r="R370" s="2" t="inlineStr"/>
    </row>
    <row r="371" ht="15" customHeight="1">
      <c r="A371" t="inlineStr">
        <is>
          <t>A 18759-2020</t>
        </is>
      </c>
      <c r="B371" s="1" t="n">
        <v>43930</v>
      </c>
      <c r="C371" s="1" t="n">
        <v>45719</v>
      </c>
      <c r="D371" t="inlineStr">
        <is>
          <t>JÄMTLANDS LÄN</t>
        </is>
      </c>
      <c r="E371" t="inlineStr">
        <is>
          <t>HÄRJEDALEN</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18877-2020</t>
        </is>
      </c>
      <c r="B372" s="1" t="n">
        <v>43935</v>
      </c>
      <c r="C372" s="1" t="n">
        <v>45719</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18879-2020</t>
        </is>
      </c>
      <c r="B373" s="1" t="n">
        <v>43935</v>
      </c>
      <c r="C373" s="1" t="n">
        <v>45719</v>
      </c>
      <c r="D373" t="inlineStr">
        <is>
          <t>JÄMTLANDS LÄN</t>
        </is>
      </c>
      <c r="E373" t="inlineStr">
        <is>
          <t>HÄRJEDALEN</t>
        </is>
      </c>
      <c r="G373" t="n">
        <v>5.5</v>
      </c>
      <c r="H373" t="n">
        <v>0</v>
      </c>
      <c r="I373" t="n">
        <v>0</v>
      </c>
      <c r="J373" t="n">
        <v>0</v>
      </c>
      <c r="K373" t="n">
        <v>0</v>
      </c>
      <c r="L373" t="n">
        <v>0</v>
      </c>
      <c r="M373" t="n">
        <v>0</v>
      </c>
      <c r="N373" t="n">
        <v>0</v>
      </c>
      <c r="O373" t="n">
        <v>0</v>
      </c>
      <c r="P373" t="n">
        <v>0</v>
      </c>
      <c r="Q373" t="n">
        <v>0</v>
      </c>
      <c r="R373" s="2" t="inlineStr"/>
    </row>
    <row r="374" ht="15" customHeight="1">
      <c r="A374" t="inlineStr">
        <is>
          <t>A 19304-2020</t>
        </is>
      </c>
      <c r="B374" s="1" t="n">
        <v>43937</v>
      </c>
      <c r="C374" s="1" t="n">
        <v>45719</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19506-2020</t>
        </is>
      </c>
      <c r="B375" s="1" t="n">
        <v>43938</v>
      </c>
      <c r="C375" s="1" t="n">
        <v>45719</v>
      </c>
      <c r="D375" t="inlineStr">
        <is>
          <t>JÄMTLANDS LÄN</t>
        </is>
      </c>
      <c r="E375" t="inlineStr">
        <is>
          <t>HÄRJEDALEN</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20781-2020</t>
        </is>
      </c>
      <c r="B376" s="1" t="n">
        <v>43949</v>
      </c>
      <c r="C376" s="1" t="n">
        <v>45719</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21537-2020</t>
        </is>
      </c>
      <c r="B377" s="1" t="n">
        <v>43956</v>
      </c>
      <c r="C377" s="1" t="n">
        <v>45719</v>
      </c>
      <c r="D377" t="inlineStr">
        <is>
          <t>JÄMTLANDS LÄN</t>
        </is>
      </c>
      <c r="E377" t="inlineStr">
        <is>
          <t>HÄRJEDALEN</t>
        </is>
      </c>
      <c r="G377" t="n">
        <v>4.3</v>
      </c>
      <c r="H377" t="n">
        <v>0</v>
      </c>
      <c r="I377" t="n">
        <v>0</v>
      </c>
      <c r="J377" t="n">
        <v>0</v>
      </c>
      <c r="K377" t="n">
        <v>0</v>
      </c>
      <c r="L377" t="n">
        <v>0</v>
      </c>
      <c r="M377" t="n">
        <v>0</v>
      </c>
      <c r="N377" t="n">
        <v>0</v>
      </c>
      <c r="O377" t="n">
        <v>0</v>
      </c>
      <c r="P377" t="n">
        <v>0</v>
      </c>
      <c r="Q377" t="n">
        <v>0</v>
      </c>
      <c r="R377" s="2" t="inlineStr"/>
    </row>
    <row r="378" ht="15" customHeight="1">
      <c r="A378" t="inlineStr">
        <is>
          <t>A 23082-2020</t>
        </is>
      </c>
      <c r="B378" s="1" t="n">
        <v>43964</v>
      </c>
      <c r="C378" s="1" t="n">
        <v>45719</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23310-2020</t>
        </is>
      </c>
      <c r="B379" s="1" t="n">
        <v>43966</v>
      </c>
      <c r="C379" s="1" t="n">
        <v>45719</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23174-2020</t>
        </is>
      </c>
      <c r="B380" s="1" t="n">
        <v>43966</v>
      </c>
      <c r="C380" s="1" t="n">
        <v>45719</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23560-2020</t>
        </is>
      </c>
      <c r="B381" s="1" t="n">
        <v>43969</v>
      </c>
      <c r="C381" s="1" t="n">
        <v>45719</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24077-2020</t>
        </is>
      </c>
      <c r="B382" s="1" t="n">
        <v>43972</v>
      </c>
      <c r="C382" s="1" t="n">
        <v>45719</v>
      </c>
      <c r="D382" t="inlineStr">
        <is>
          <t>JÄMTLANDS LÄN</t>
        </is>
      </c>
      <c r="E382" t="inlineStr">
        <is>
          <t>HÄRJEDALEN</t>
        </is>
      </c>
      <c r="F382" t="inlineStr">
        <is>
          <t>Sveaskog</t>
        </is>
      </c>
      <c r="G382" t="n">
        <v>9.6</v>
      </c>
      <c r="H382" t="n">
        <v>0</v>
      </c>
      <c r="I382" t="n">
        <v>0</v>
      </c>
      <c r="J382" t="n">
        <v>0</v>
      </c>
      <c r="K382" t="n">
        <v>0</v>
      </c>
      <c r="L382" t="n">
        <v>0</v>
      </c>
      <c r="M382" t="n">
        <v>0</v>
      </c>
      <c r="N382" t="n">
        <v>0</v>
      </c>
      <c r="O382" t="n">
        <v>0</v>
      </c>
      <c r="P382" t="n">
        <v>0</v>
      </c>
      <c r="Q382" t="n">
        <v>0</v>
      </c>
      <c r="R382" s="2" t="inlineStr"/>
    </row>
    <row r="383" ht="15" customHeight="1">
      <c r="A383" t="inlineStr">
        <is>
          <t>A 24127-2020</t>
        </is>
      </c>
      <c r="B383" s="1" t="n">
        <v>43973</v>
      </c>
      <c r="C383" s="1" t="n">
        <v>45719</v>
      </c>
      <c r="D383" t="inlineStr">
        <is>
          <t>JÄMTLANDS LÄN</t>
        </is>
      </c>
      <c r="E383" t="inlineStr">
        <is>
          <t>HÄRJEDALEN</t>
        </is>
      </c>
      <c r="G383" t="n">
        <v>4.6</v>
      </c>
      <c r="H383" t="n">
        <v>0</v>
      </c>
      <c r="I383" t="n">
        <v>0</v>
      </c>
      <c r="J383" t="n">
        <v>0</v>
      </c>
      <c r="K383" t="n">
        <v>0</v>
      </c>
      <c r="L383" t="n">
        <v>0</v>
      </c>
      <c r="M383" t="n">
        <v>0</v>
      </c>
      <c r="N383" t="n">
        <v>0</v>
      </c>
      <c r="O383" t="n">
        <v>0</v>
      </c>
      <c r="P383" t="n">
        <v>0</v>
      </c>
      <c r="Q383" t="n">
        <v>0</v>
      </c>
      <c r="R383" s="2" t="inlineStr"/>
    </row>
    <row r="384" ht="15" customHeight="1">
      <c r="A384" t="inlineStr">
        <is>
          <t>A 25240-2020</t>
        </is>
      </c>
      <c r="B384" s="1" t="n">
        <v>43980</v>
      </c>
      <c r="C384" s="1" t="n">
        <v>45719</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25341-2020</t>
        </is>
      </c>
      <c r="B385" s="1" t="n">
        <v>43980</v>
      </c>
      <c r="C385" s="1" t="n">
        <v>45719</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25232-2020</t>
        </is>
      </c>
      <c r="B386" s="1" t="n">
        <v>43980</v>
      </c>
      <c r="C386" s="1" t="n">
        <v>45719</v>
      </c>
      <c r="D386" t="inlineStr">
        <is>
          <t>JÄMTLANDS LÄN</t>
        </is>
      </c>
      <c r="E386" t="inlineStr">
        <is>
          <t>HÄRJEDALEN</t>
        </is>
      </c>
      <c r="G386" t="n">
        <v>14.9</v>
      </c>
      <c r="H386" t="n">
        <v>0</v>
      </c>
      <c r="I386" t="n">
        <v>0</v>
      </c>
      <c r="J386" t="n">
        <v>0</v>
      </c>
      <c r="K386" t="n">
        <v>0</v>
      </c>
      <c r="L386" t="n">
        <v>0</v>
      </c>
      <c r="M386" t="n">
        <v>0</v>
      </c>
      <c r="N386" t="n">
        <v>0</v>
      </c>
      <c r="O386" t="n">
        <v>0</v>
      </c>
      <c r="P386" t="n">
        <v>0</v>
      </c>
      <c r="Q386" t="n">
        <v>0</v>
      </c>
      <c r="R386" s="2" t="inlineStr"/>
    </row>
    <row r="387" ht="15" customHeight="1">
      <c r="A387" t="inlineStr">
        <is>
          <t>A 25238-2020</t>
        </is>
      </c>
      <c r="B387" s="1" t="n">
        <v>43980</v>
      </c>
      <c r="C387" s="1" t="n">
        <v>45719</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25236-2020</t>
        </is>
      </c>
      <c r="B388" s="1" t="n">
        <v>43980</v>
      </c>
      <c r="C388" s="1" t="n">
        <v>45719</v>
      </c>
      <c r="D388" t="inlineStr">
        <is>
          <t>JÄMTLANDS LÄN</t>
        </is>
      </c>
      <c r="E388" t="inlineStr">
        <is>
          <t>HÄRJEDALEN</t>
        </is>
      </c>
      <c r="G388" t="n">
        <v>2.2</v>
      </c>
      <c r="H388" t="n">
        <v>0</v>
      </c>
      <c r="I388" t="n">
        <v>0</v>
      </c>
      <c r="J388" t="n">
        <v>0</v>
      </c>
      <c r="K388" t="n">
        <v>0</v>
      </c>
      <c r="L388" t="n">
        <v>0</v>
      </c>
      <c r="M388" t="n">
        <v>0</v>
      </c>
      <c r="N388" t="n">
        <v>0</v>
      </c>
      <c r="O388" t="n">
        <v>0</v>
      </c>
      <c r="P388" t="n">
        <v>0</v>
      </c>
      <c r="Q388" t="n">
        <v>0</v>
      </c>
      <c r="R388" s="2" t="inlineStr"/>
    </row>
    <row r="389" ht="15" customHeight="1">
      <c r="A389" t="inlineStr">
        <is>
          <t>A 25779-2020</t>
        </is>
      </c>
      <c r="B389" s="1" t="n">
        <v>43984</v>
      </c>
      <c r="C389" s="1" t="n">
        <v>45719</v>
      </c>
      <c r="D389" t="inlineStr">
        <is>
          <t>JÄMTLANDS LÄN</t>
        </is>
      </c>
      <c r="E389" t="inlineStr">
        <is>
          <t>HÄRJEDALEN</t>
        </is>
      </c>
      <c r="G389" t="n">
        <v>22.2</v>
      </c>
      <c r="H389" t="n">
        <v>0</v>
      </c>
      <c r="I389" t="n">
        <v>0</v>
      </c>
      <c r="J389" t="n">
        <v>0</v>
      </c>
      <c r="K389" t="n">
        <v>0</v>
      </c>
      <c r="L389" t="n">
        <v>0</v>
      </c>
      <c r="M389" t="n">
        <v>0</v>
      </c>
      <c r="N389" t="n">
        <v>0</v>
      </c>
      <c r="O389" t="n">
        <v>0</v>
      </c>
      <c r="P389" t="n">
        <v>0</v>
      </c>
      <c r="Q389" t="n">
        <v>0</v>
      </c>
      <c r="R389" s="2" t="inlineStr"/>
    </row>
    <row r="390" ht="15" customHeight="1">
      <c r="A390" t="inlineStr">
        <is>
          <t>A 26056-2020</t>
        </is>
      </c>
      <c r="B390" s="1" t="n">
        <v>43984</v>
      </c>
      <c r="C390" s="1" t="n">
        <v>45719</v>
      </c>
      <c r="D390" t="inlineStr">
        <is>
          <t>JÄMTLANDS LÄN</t>
        </is>
      </c>
      <c r="E390" t="inlineStr">
        <is>
          <t>HÄRJEDALEN</t>
        </is>
      </c>
      <c r="G390" t="n">
        <v>53.1</v>
      </c>
      <c r="H390" t="n">
        <v>0</v>
      </c>
      <c r="I390" t="n">
        <v>0</v>
      </c>
      <c r="J390" t="n">
        <v>0</v>
      </c>
      <c r="K390" t="n">
        <v>0</v>
      </c>
      <c r="L390" t="n">
        <v>0</v>
      </c>
      <c r="M390" t="n">
        <v>0</v>
      </c>
      <c r="N390" t="n">
        <v>0</v>
      </c>
      <c r="O390" t="n">
        <v>0</v>
      </c>
      <c r="P390" t="n">
        <v>0</v>
      </c>
      <c r="Q390" t="n">
        <v>0</v>
      </c>
      <c r="R390" s="2" t="inlineStr"/>
    </row>
    <row r="391" ht="15" customHeight="1">
      <c r="A391" t="inlineStr">
        <is>
          <t>A 27854-2020</t>
        </is>
      </c>
      <c r="B391" s="1" t="n">
        <v>43994</v>
      </c>
      <c r="C391" s="1" t="n">
        <v>45719</v>
      </c>
      <c r="D391" t="inlineStr">
        <is>
          <t>JÄMTLANDS LÄN</t>
        </is>
      </c>
      <c r="E391" t="inlineStr">
        <is>
          <t>HÄRJEDALEN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28543-2020</t>
        </is>
      </c>
      <c r="B392" s="1" t="n">
        <v>43999</v>
      </c>
      <c r="C392" s="1" t="n">
        <v>45719</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29158-2020</t>
        </is>
      </c>
      <c r="B393" s="1" t="n">
        <v>44004</v>
      </c>
      <c r="C393" s="1" t="n">
        <v>45719</v>
      </c>
      <c r="D393" t="inlineStr">
        <is>
          <t>JÄMTLANDS LÄN</t>
        </is>
      </c>
      <c r="E393" t="inlineStr">
        <is>
          <t>HÄRJEDALEN</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29154-2020</t>
        </is>
      </c>
      <c r="B394" s="1" t="n">
        <v>44004</v>
      </c>
      <c r="C394" s="1" t="n">
        <v>45719</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30963-2020</t>
        </is>
      </c>
      <c r="B395" s="1" t="n">
        <v>44011</v>
      </c>
      <c r="C395" s="1" t="n">
        <v>45719</v>
      </c>
      <c r="D395" t="inlineStr">
        <is>
          <t>JÄMTLANDS LÄN</t>
        </is>
      </c>
      <c r="E395" t="inlineStr">
        <is>
          <t>HÄRJEDALEN</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30936-2020</t>
        </is>
      </c>
      <c r="B396" s="1" t="n">
        <v>44011</v>
      </c>
      <c r="C396" s="1" t="n">
        <v>45719</v>
      </c>
      <c r="D396" t="inlineStr">
        <is>
          <t>JÄMTLANDS LÄN</t>
        </is>
      </c>
      <c r="E396" t="inlineStr">
        <is>
          <t>HÄRJEDALEN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30940-2020</t>
        </is>
      </c>
      <c r="B397" s="1" t="n">
        <v>44011</v>
      </c>
      <c r="C397" s="1" t="n">
        <v>45719</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31264-2020</t>
        </is>
      </c>
      <c r="B398" s="1" t="n">
        <v>44012</v>
      </c>
      <c r="C398" s="1" t="n">
        <v>45719</v>
      </c>
      <c r="D398" t="inlineStr">
        <is>
          <t>JÄMTLANDS LÄN</t>
        </is>
      </c>
      <c r="E398" t="inlineStr">
        <is>
          <t>HÄRJEDALEN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31872-2020</t>
        </is>
      </c>
      <c r="B399" s="1" t="n">
        <v>44014</v>
      </c>
      <c r="C399" s="1" t="n">
        <v>45719</v>
      </c>
      <c r="D399" t="inlineStr">
        <is>
          <t>JÄMTLANDS LÄN</t>
        </is>
      </c>
      <c r="E399" t="inlineStr">
        <is>
          <t>HÄRJEDALEN</t>
        </is>
      </c>
      <c r="G399" t="n">
        <v>21.4</v>
      </c>
      <c r="H399" t="n">
        <v>0</v>
      </c>
      <c r="I399" t="n">
        <v>0</v>
      </c>
      <c r="J399" t="n">
        <v>0</v>
      </c>
      <c r="K399" t="n">
        <v>0</v>
      </c>
      <c r="L399" t="n">
        <v>0</v>
      </c>
      <c r="M399" t="n">
        <v>0</v>
      </c>
      <c r="N399" t="n">
        <v>0</v>
      </c>
      <c r="O399" t="n">
        <v>0</v>
      </c>
      <c r="P399" t="n">
        <v>0</v>
      </c>
      <c r="Q399" t="n">
        <v>0</v>
      </c>
      <c r="R399" s="2" t="inlineStr"/>
    </row>
    <row r="400" ht="15" customHeight="1">
      <c r="A400" t="inlineStr">
        <is>
          <t>A 31920-2020</t>
        </is>
      </c>
      <c r="B400" s="1" t="n">
        <v>44014</v>
      </c>
      <c r="C400" s="1" t="n">
        <v>45719</v>
      </c>
      <c r="D400" t="inlineStr">
        <is>
          <t>JÄMTLANDS LÄN</t>
        </is>
      </c>
      <c r="E400" t="inlineStr">
        <is>
          <t>HÄRJEDALEN</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33020-2020</t>
        </is>
      </c>
      <c r="B401" s="1" t="n">
        <v>44021</v>
      </c>
      <c r="C401" s="1" t="n">
        <v>45719</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33812-2020</t>
        </is>
      </c>
      <c r="B402" s="1" t="n">
        <v>44025</v>
      </c>
      <c r="C402" s="1" t="n">
        <v>45719</v>
      </c>
      <c r="D402" t="inlineStr">
        <is>
          <t>JÄMTLANDS LÄN</t>
        </is>
      </c>
      <c r="E402" t="inlineStr">
        <is>
          <t>HÄRJEDALEN</t>
        </is>
      </c>
      <c r="G402" t="n">
        <v>3.2</v>
      </c>
      <c r="H402" t="n">
        <v>0</v>
      </c>
      <c r="I402" t="n">
        <v>0</v>
      </c>
      <c r="J402" t="n">
        <v>0</v>
      </c>
      <c r="K402" t="n">
        <v>0</v>
      </c>
      <c r="L402" t="n">
        <v>0</v>
      </c>
      <c r="M402" t="n">
        <v>0</v>
      </c>
      <c r="N402" t="n">
        <v>0</v>
      </c>
      <c r="O402" t="n">
        <v>0</v>
      </c>
      <c r="P402" t="n">
        <v>0</v>
      </c>
      <c r="Q402" t="n">
        <v>0</v>
      </c>
      <c r="R402" s="2" t="inlineStr"/>
    </row>
    <row r="403" ht="15" customHeight="1">
      <c r="A403" t="inlineStr">
        <is>
          <t>A 33513-2020</t>
        </is>
      </c>
      <c r="B403" s="1" t="n">
        <v>44025</v>
      </c>
      <c r="C403" s="1" t="n">
        <v>45719</v>
      </c>
      <c r="D403" t="inlineStr">
        <is>
          <t>JÄMTLANDS LÄN</t>
        </is>
      </c>
      <c r="E403" t="inlineStr">
        <is>
          <t>HÄRJEDALEN</t>
        </is>
      </c>
      <c r="G403" t="n">
        <v>3.5</v>
      </c>
      <c r="H403" t="n">
        <v>0</v>
      </c>
      <c r="I403" t="n">
        <v>0</v>
      </c>
      <c r="J403" t="n">
        <v>0</v>
      </c>
      <c r="K403" t="n">
        <v>0</v>
      </c>
      <c r="L403" t="n">
        <v>0</v>
      </c>
      <c r="M403" t="n">
        <v>0</v>
      </c>
      <c r="N403" t="n">
        <v>0</v>
      </c>
      <c r="O403" t="n">
        <v>0</v>
      </c>
      <c r="P403" t="n">
        <v>0</v>
      </c>
      <c r="Q403" t="n">
        <v>0</v>
      </c>
      <c r="R403" s="2" t="inlineStr"/>
    </row>
    <row r="404" ht="15" customHeight="1">
      <c r="A404" t="inlineStr">
        <is>
          <t>A 33701-2020</t>
        </is>
      </c>
      <c r="B404" s="1" t="n">
        <v>44026</v>
      </c>
      <c r="C404" s="1" t="n">
        <v>45719</v>
      </c>
      <c r="D404" t="inlineStr">
        <is>
          <t>JÄMTLANDS LÄN</t>
        </is>
      </c>
      <c r="E404" t="inlineStr">
        <is>
          <t>HÄRJEDALEN</t>
        </is>
      </c>
      <c r="F404" t="inlineStr">
        <is>
          <t>Bergvik skog väst AB</t>
        </is>
      </c>
      <c r="G404" t="n">
        <v>7.2</v>
      </c>
      <c r="H404" t="n">
        <v>0</v>
      </c>
      <c r="I404" t="n">
        <v>0</v>
      </c>
      <c r="J404" t="n">
        <v>0</v>
      </c>
      <c r="K404" t="n">
        <v>0</v>
      </c>
      <c r="L404" t="n">
        <v>0</v>
      </c>
      <c r="M404" t="n">
        <v>0</v>
      </c>
      <c r="N404" t="n">
        <v>0</v>
      </c>
      <c r="O404" t="n">
        <v>0</v>
      </c>
      <c r="P404" t="n">
        <v>0</v>
      </c>
      <c r="Q404" t="n">
        <v>0</v>
      </c>
      <c r="R404" s="2" t="inlineStr"/>
    </row>
    <row r="405" ht="15" customHeight="1">
      <c r="A405" t="inlineStr">
        <is>
          <t>A 33942-2020</t>
        </is>
      </c>
      <c r="B405" s="1" t="n">
        <v>44028</v>
      </c>
      <c r="C405" s="1" t="n">
        <v>45719</v>
      </c>
      <c r="D405" t="inlineStr">
        <is>
          <t>JÄMTLANDS LÄN</t>
        </is>
      </c>
      <c r="E405" t="inlineStr">
        <is>
          <t>HÄRJEDALEN</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34894-2020</t>
        </is>
      </c>
      <c r="B406" s="1" t="n">
        <v>44036</v>
      </c>
      <c r="C406" s="1" t="n">
        <v>45719</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34900-2020</t>
        </is>
      </c>
      <c r="B407" s="1" t="n">
        <v>44036</v>
      </c>
      <c r="C407" s="1" t="n">
        <v>45719</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34975-2020</t>
        </is>
      </c>
      <c r="B408" s="1" t="n">
        <v>44039</v>
      </c>
      <c r="C408" s="1" t="n">
        <v>45719</v>
      </c>
      <c r="D408" t="inlineStr">
        <is>
          <t>JÄMTLANDS LÄN</t>
        </is>
      </c>
      <c r="E408" t="inlineStr">
        <is>
          <t>HÄRJEDALEN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34963-2020</t>
        </is>
      </c>
      <c r="B409" s="1" t="n">
        <v>44039</v>
      </c>
      <c r="C409" s="1" t="n">
        <v>45719</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35160-2020</t>
        </is>
      </c>
      <c r="B410" s="1" t="n">
        <v>44040</v>
      </c>
      <c r="C410" s="1" t="n">
        <v>45719</v>
      </c>
      <c r="D410" t="inlineStr">
        <is>
          <t>JÄMTLANDS LÄN</t>
        </is>
      </c>
      <c r="E410" t="inlineStr">
        <is>
          <t>HÄRJEDALEN</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35436-2020</t>
        </is>
      </c>
      <c r="B411" s="1" t="n">
        <v>44042</v>
      </c>
      <c r="C411" s="1" t="n">
        <v>45719</v>
      </c>
      <c r="D411" t="inlineStr">
        <is>
          <t>JÄMTLANDS LÄN</t>
        </is>
      </c>
      <c r="E411" t="inlineStr">
        <is>
          <t>HÄRJEDALEN</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35548-2020</t>
        </is>
      </c>
      <c r="B412" s="1" t="n">
        <v>44043</v>
      </c>
      <c r="C412" s="1" t="n">
        <v>45719</v>
      </c>
      <c r="D412" t="inlineStr">
        <is>
          <t>JÄMTLANDS LÄN</t>
        </is>
      </c>
      <c r="E412" t="inlineStr">
        <is>
          <t>HÄRJEDALEN</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36471-2020</t>
        </is>
      </c>
      <c r="B413" s="1" t="n">
        <v>44050</v>
      </c>
      <c r="C413" s="1" t="n">
        <v>45719</v>
      </c>
      <c r="D413" t="inlineStr">
        <is>
          <t>JÄMTLANDS LÄN</t>
        </is>
      </c>
      <c r="E413" t="inlineStr">
        <is>
          <t>HÄRJEDALEN</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36790-2020</t>
        </is>
      </c>
      <c r="B414" s="1" t="n">
        <v>44053</v>
      </c>
      <c r="C414" s="1" t="n">
        <v>45719</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37780-2020</t>
        </is>
      </c>
      <c r="B415" s="1" t="n">
        <v>44056</v>
      </c>
      <c r="C415" s="1" t="n">
        <v>45719</v>
      </c>
      <c r="D415" t="inlineStr">
        <is>
          <t>JÄMTLANDS LÄN</t>
        </is>
      </c>
      <c r="E415" t="inlineStr">
        <is>
          <t>HÄRJEDALEN</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38044-2020</t>
        </is>
      </c>
      <c r="B416" s="1" t="n">
        <v>44057</v>
      </c>
      <c r="C416" s="1" t="n">
        <v>45719</v>
      </c>
      <c r="D416" t="inlineStr">
        <is>
          <t>JÄMTLANDS LÄN</t>
        </is>
      </c>
      <c r="E416" t="inlineStr">
        <is>
          <t>HÄRJEDALEN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38107-2020</t>
        </is>
      </c>
      <c r="B417" s="1" t="n">
        <v>44057</v>
      </c>
      <c r="C417" s="1" t="n">
        <v>45719</v>
      </c>
      <c r="D417" t="inlineStr">
        <is>
          <t>JÄMTLANDS LÄN</t>
        </is>
      </c>
      <c r="E417" t="inlineStr">
        <is>
          <t>HÄRJEDALEN</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38403-2020</t>
        </is>
      </c>
      <c r="B418" s="1" t="n">
        <v>44060</v>
      </c>
      <c r="C418" s="1" t="n">
        <v>45719</v>
      </c>
      <c r="D418" t="inlineStr">
        <is>
          <t>JÄMTLANDS LÄN</t>
        </is>
      </c>
      <c r="E418" t="inlineStr">
        <is>
          <t>HÄRJEDALEN</t>
        </is>
      </c>
      <c r="G418" t="n">
        <v>4.7</v>
      </c>
      <c r="H418" t="n">
        <v>0</v>
      </c>
      <c r="I418" t="n">
        <v>0</v>
      </c>
      <c r="J418" t="n">
        <v>0</v>
      </c>
      <c r="K418" t="n">
        <v>0</v>
      </c>
      <c r="L418" t="n">
        <v>0</v>
      </c>
      <c r="M418" t="n">
        <v>0</v>
      </c>
      <c r="N418" t="n">
        <v>0</v>
      </c>
      <c r="O418" t="n">
        <v>0</v>
      </c>
      <c r="P418" t="n">
        <v>0</v>
      </c>
      <c r="Q418" t="n">
        <v>0</v>
      </c>
      <c r="R418" s="2" t="inlineStr"/>
      <c r="U418">
        <f>HYPERLINK("https://klasma.github.io/Logging_2361/knärot/A 38403-2020 karta knärot.png", "A 38403-2020")</f>
        <v/>
      </c>
      <c r="V418">
        <f>HYPERLINK("https://klasma.github.io/Logging_2361/klagomål/A 38403-2020 FSC-klagomål.docx", "A 38403-2020")</f>
        <v/>
      </c>
      <c r="W418">
        <f>HYPERLINK("https://klasma.github.io/Logging_2361/klagomålsmail/A 38403-2020 FSC-klagomål mail.docx", "A 38403-2020")</f>
        <v/>
      </c>
      <c r="X418">
        <f>HYPERLINK("https://klasma.github.io/Logging_2361/tillsyn/A 38403-2020 tillsynsbegäran.docx", "A 38403-2020")</f>
        <v/>
      </c>
      <c r="Y418">
        <f>HYPERLINK("https://klasma.github.io/Logging_2361/tillsynsmail/A 38403-2020 tillsynsbegäran mail.docx", "A 38403-2020")</f>
        <v/>
      </c>
    </row>
    <row r="419" ht="15" customHeight="1">
      <c r="A419" t="inlineStr">
        <is>
          <t>A 42078-2020</t>
        </is>
      </c>
      <c r="B419" s="1" t="n">
        <v>44075</v>
      </c>
      <c r="C419" s="1" t="n">
        <v>45719</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43417-2020</t>
        </is>
      </c>
      <c r="B420" s="1" t="n">
        <v>44078</v>
      </c>
      <c r="C420" s="1" t="n">
        <v>45719</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43748-2020</t>
        </is>
      </c>
      <c r="B421" s="1" t="n">
        <v>44082</v>
      </c>
      <c r="C421" s="1" t="n">
        <v>45719</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43750-2020</t>
        </is>
      </c>
      <c r="B422" s="1" t="n">
        <v>44082</v>
      </c>
      <c r="C422" s="1" t="n">
        <v>45719</v>
      </c>
      <c r="D422" t="inlineStr">
        <is>
          <t>JÄMTLANDS LÄN</t>
        </is>
      </c>
      <c r="E422" t="inlineStr">
        <is>
          <t>HÄRJEDALEN</t>
        </is>
      </c>
      <c r="F422" t="inlineStr">
        <is>
          <t>Holmen skog AB</t>
        </is>
      </c>
      <c r="G422" t="n">
        <v>0.4</v>
      </c>
      <c r="H422" t="n">
        <v>0</v>
      </c>
      <c r="I422" t="n">
        <v>0</v>
      </c>
      <c r="J422" t="n">
        <v>0</v>
      </c>
      <c r="K422" t="n">
        <v>0</v>
      </c>
      <c r="L422" t="n">
        <v>0</v>
      </c>
      <c r="M422" t="n">
        <v>0</v>
      </c>
      <c r="N422" t="n">
        <v>0</v>
      </c>
      <c r="O422" t="n">
        <v>0</v>
      </c>
      <c r="P422" t="n">
        <v>0</v>
      </c>
      <c r="Q422" t="n">
        <v>0</v>
      </c>
      <c r="R422" s="2" t="inlineStr"/>
    </row>
    <row r="423" ht="15" customHeight="1">
      <c r="A423" t="inlineStr">
        <is>
          <t>A 44381-2020</t>
        </is>
      </c>
      <c r="B423" s="1" t="n">
        <v>44084</v>
      </c>
      <c r="C423" s="1" t="n">
        <v>45719</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45426-2020</t>
        </is>
      </c>
      <c r="B424" s="1" t="n">
        <v>44088</v>
      </c>
      <c r="C424" s="1" t="n">
        <v>45719</v>
      </c>
      <c r="D424" t="inlineStr">
        <is>
          <t>JÄMTLANDS LÄN</t>
        </is>
      </c>
      <c r="E424" t="inlineStr">
        <is>
          <t>HÄRJEDALEN</t>
        </is>
      </c>
      <c r="G424" t="n">
        <v>6.1</v>
      </c>
      <c r="H424" t="n">
        <v>0</v>
      </c>
      <c r="I424" t="n">
        <v>0</v>
      </c>
      <c r="J424" t="n">
        <v>0</v>
      </c>
      <c r="K424" t="n">
        <v>0</v>
      </c>
      <c r="L424" t="n">
        <v>0</v>
      </c>
      <c r="M424" t="n">
        <v>0</v>
      </c>
      <c r="N424" t="n">
        <v>0</v>
      </c>
      <c r="O424" t="n">
        <v>0</v>
      </c>
      <c r="P424" t="n">
        <v>0</v>
      </c>
      <c r="Q424" t="n">
        <v>0</v>
      </c>
      <c r="R424" s="2" t="inlineStr"/>
    </row>
    <row r="425" ht="15" customHeight="1">
      <c r="A425" t="inlineStr">
        <is>
          <t>A 45866-2020</t>
        </is>
      </c>
      <c r="B425" s="1" t="n">
        <v>44091</v>
      </c>
      <c r="C425" s="1" t="n">
        <v>45719</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45719</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46310-2020</t>
        </is>
      </c>
      <c r="B427" s="1" t="n">
        <v>44092</v>
      </c>
      <c r="C427" s="1" t="n">
        <v>45719</v>
      </c>
      <c r="D427" t="inlineStr">
        <is>
          <t>JÄMTLANDS LÄN</t>
        </is>
      </c>
      <c r="E427" t="inlineStr">
        <is>
          <t>HÄRJEDALEN</t>
        </is>
      </c>
      <c r="F427" t="inlineStr">
        <is>
          <t>Bergvik skog väst AB</t>
        </is>
      </c>
      <c r="G427" t="n">
        <v>26.6</v>
      </c>
      <c r="H427" t="n">
        <v>0</v>
      </c>
      <c r="I427" t="n">
        <v>0</v>
      </c>
      <c r="J427" t="n">
        <v>0</v>
      </c>
      <c r="K427" t="n">
        <v>0</v>
      </c>
      <c r="L427" t="n">
        <v>0</v>
      </c>
      <c r="M427" t="n">
        <v>0</v>
      </c>
      <c r="N427" t="n">
        <v>0</v>
      </c>
      <c r="O427" t="n">
        <v>0</v>
      </c>
      <c r="P427" t="n">
        <v>0</v>
      </c>
      <c r="Q427" t="n">
        <v>0</v>
      </c>
      <c r="R427" s="2" t="inlineStr"/>
    </row>
    <row r="428" ht="15" customHeight="1">
      <c r="A428" t="inlineStr">
        <is>
          <t>A 49430-2020</t>
        </is>
      </c>
      <c r="B428" s="1" t="n">
        <v>44102</v>
      </c>
      <c r="C428" s="1" t="n">
        <v>45719</v>
      </c>
      <c r="D428" t="inlineStr">
        <is>
          <t>JÄMTLANDS LÄN</t>
        </is>
      </c>
      <c r="E428" t="inlineStr">
        <is>
          <t>HÄRJEDALEN</t>
        </is>
      </c>
      <c r="G428" t="n">
        <v>8</v>
      </c>
      <c r="H428" t="n">
        <v>0</v>
      </c>
      <c r="I428" t="n">
        <v>0</v>
      </c>
      <c r="J428" t="n">
        <v>0</v>
      </c>
      <c r="K428" t="n">
        <v>0</v>
      </c>
      <c r="L428" t="n">
        <v>0</v>
      </c>
      <c r="M428" t="n">
        <v>0</v>
      </c>
      <c r="N428" t="n">
        <v>0</v>
      </c>
      <c r="O428" t="n">
        <v>0</v>
      </c>
      <c r="P428" t="n">
        <v>0</v>
      </c>
      <c r="Q428" t="n">
        <v>0</v>
      </c>
      <c r="R428" s="2" t="inlineStr"/>
    </row>
    <row r="429" ht="15" customHeight="1">
      <c r="A429" t="inlineStr">
        <is>
          <t>A 49447-2020</t>
        </is>
      </c>
      <c r="B429" s="1" t="n">
        <v>44102</v>
      </c>
      <c r="C429" s="1" t="n">
        <v>45719</v>
      </c>
      <c r="D429" t="inlineStr">
        <is>
          <t>JÄMTLANDS LÄN</t>
        </is>
      </c>
      <c r="E429" t="inlineStr">
        <is>
          <t>HÄRJEDALEN</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49248-2020</t>
        </is>
      </c>
      <c r="B430" s="1" t="n">
        <v>44105</v>
      </c>
      <c r="C430" s="1" t="n">
        <v>45719</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49903-2020</t>
        </is>
      </c>
      <c r="B431" s="1" t="n">
        <v>44108</v>
      </c>
      <c r="C431" s="1" t="n">
        <v>45719</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50018-2020</t>
        </is>
      </c>
      <c r="B432" s="1" t="n">
        <v>44109</v>
      </c>
      <c r="C432" s="1" t="n">
        <v>45719</v>
      </c>
      <c r="D432" t="inlineStr">
        <is>
          <t>JÄMTLANDS LÄN</t>
        </is>
      </c>
      <c r="E432" t="inlineStr">
        <is>
          <t>HÄRJEDALEN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54481-2020</t>
        </is>
      </c>
      <c r="B433" s="1" t="n">
        <v>44126</v>
      </c>
      <c r="C433" s="1" t="n">
        <v>45719</v>
      </c>
      <c r="D433" t="inlineStr">
        <is>
          <t>JÄMTLANDS LÄN</t>
        </is>
      </c>
      <c r="E433" t="inlineStr">
        <is>
          <t>HÄRJEDALEN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54537-2020</t>
        </is>
      </c>
      <c r="B434" s="1" t="n">
        <v>44126</v>
      </c>
      <c r="C434" s="1" t="n">
        <v>45719</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54593-2020</t>
        </is>
      </c>
      <c r="B435" s="1" t="n">
        <v>44126</v>
      </c>
      <c r="C435" s="1" t="n">
        <v>45719</v>
      </c>
      <c r="D435" t="inlineStr">
        <is>
          <t>JÄMTLANDS LÄN</t>
        </is>
      </c>
      <c r="E435" t="inlineStr">
        <is>
          <t>HÄRJEDALEN</t>
        </is>
      </c>
      <c r="G435" t="n">
        <v>6.5</v>
      </c>
      <c r="H435" t="n">
        <v>0</v>
      </c>
      <c r="I435" t="n">
        <v>0</v>
      </c>
      <c r="J435" t="n">
        <v>0</v>
      </c>
      <c r="K435" t="n">
        <v>0</v>
      </c>
      <c r="L435" t="n">
        <v>0</v>
      </c>
      <c r="M435" t="n">
        <v>0</v>
      </c>
      <c r="N435" t="n">
        <v>0</v>
      </c>
      <c r="O435" t="n">
        <v>0</v>
      </c>
      <c r="P435" t="n">
        <v>0</v>
      </c>
      <c r="Q435" t="n">
        <v>0</v>
      </c>
      <c r="R435" s="2" t="inlineStr"/>
    </row>
    <row r="436" ht="15" customHeight="1">
      <c r="A436" t="inlineStr">
        <is>
          <t>A 54716-2020</t>
        </is>
      </c>
      <c r="B436" s="1" t="n">
        <v>44127</v>
      </c>
      <c r="C436" s="1" t="n">
        <v>45719</v>
      </c>
      <c r="D436" t="inlineStr">
        <is>
          <t>JÄMTLANDS LÄN</t>
        </is>
      </c>
      <c r="E436" t="inlineStr">
        <is>
          <t>HÄRJEDALEN</t>
        </is>
      </c>
      <c r="F436" t="inlineStr">
        <is>
          <t>Kyrkan</t>
        </is>
      </c>
      <c r="G436" t="n">
        <v>21.3</v>
      </c>
      <c r="H436" t="n">
        <v>0</v>
      </c>
      <c r="I436" t="n">
        <v>0</v>
      </c>
      <c r="J436" t="n">
        <v>0</v>
      </c>
      <c r="K436" t="n">
        <v>0</v>
      </c>
      <c r="L436" t="n">
        <v>0</v>
      </c>
      <c r="M436" t="n">
        <v>0</v>
      </c>
      <c r="N436" t="n">
        <v>0</v>
      </c>
      <c r="O436" t="n">
        <v>0</v>
      </c>
      <c r="P436" t="n">
        <v>0</v>
      </c>
      <c r="Q436" t="n">
        <v>0</v>
      </c>
      <c r="R436" s="2" t="inlineStr"/>
    </row>
    <row r="437" ht="15" customHeight="1">
      <c r="A437" t="inlineStr">
        <is>
          <t>A 55834-2020</t>
        </is>
      </c>
      <c r="B437" s="1" t="n">
        <v>44132</v>
      </c>
      <c r="C437" s="1" t="n">
        <v>45719</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56001-2020</t>
        </is>
      </c>
      <c r="B438" s="1" t="n">
        <v>44133</v>
      </c>
      <c r="C438" s="1" t="n">
        <v>45719</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57196-2020</t>
        </is>
      </c>
      <c r="B439" s="1" t="n">
        <v>44139</v>
      </c>
      <c r="C439" s="1" t="n">
        <v>45719</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59533-2020</t>
        </is>
      </c>
      <c r="B440" s="1" t="n">
        <v>44148</v>
      </c>
      <c r="C440" s="1" t="n">
        <v>45719</v>
      </c>
      <c r="D440" t="inlineStr">
        <is>
          <t>JÄMTLANDS LÄN</t>
        </is>
      </c>
      <c r="E440" t="inlineStr">
        <is>
          <t>HÄRJEDALEN</t>
        </is>
      </c>
      <c r="F440" t="inlineStr">
        <is>
          <t>Holmen skog AB</t>
        </is>
      </c>
      <c r="G440" t="n">
        <v>38.3</v>
      </c>
      <c r="H440" t="n">
        <v>0</v>
      </c>
      <c r="I440" t="n">
        <v>0</v>
      </c>
      <c r="J440" t="n">
        <v>0</v>
      </c>
      <c r="K440" t="n">
        <v>0</v>
      </c>
      <c r="L440" t="n">
        <v>0</v>
      </c>
      <c r="M440" t="n">
        <v>0</v>
      </c>
      <c r="N440" t="n">
        <v>0</v>
      </c>
      <c r="O440" t="n">
        <v>0</v>
      </c>
      <c r="P440" t="n">
        <v>0</v>
      </c>
      <c r="Q440" t="n">
        <v>0</v>
      </c>
      <c r="R440" s="2" t="inlineStr"/>
    </row>
    <row r="441" ht="15" customHeight="1">
      <c r="A441" t="inlineStr">
        <is>
          <t>A 60087-2020</t>
        </is>
      </c>
      <c r="B441" s="1" t="n">
        <v>44151</v>
      </c>
      <c r="C441" s="1" t="n">
        <v>45719</v>
      </c>
      <c r="D441" t="inlineStr">
        <is>
          <t>JÄMTLANDS LÄN</t>
        </is>
      </c>
      <c r="E441" t="inlineStr">
        <is>
          <t>HÄRJEDALEN</t>
        </is>
      </c>
      <c r="G441" t="n">
        <v>9.4</v>
      </c>
      <c r="H441" t="n">
        <v>0</v>
      </c>
      <c r="I441" t="n">
        <v>0</v>
      </c>
      <c r="J441" t="n">
        <v>0</v>
      </c>
      <c r="K441" t="n">
        <v>0</v>
      </c>
      <c r="L441" t="n">
        <v>0</v>
      </c>
      <c r="M441" t="n">
        <v>0</v>
      </c>
      <c r="N441" t="n">
        <v>0</v>
      </c>
      <c r="O441" t="n">
        <v>0</v>
      </c>
      <c r="P441" t="n">
        <v>0</v>
      </c>
      <c r="Q441" t="n">
        <v>0</v>
      </c>
      <c r="R441" s="2" t="inlineStr"/>
    </row>
    <row r="442" ht="15" customHeight="1">
      <c r="A442" t="inlineStr">
        <is>
          <t>A 60424-2020</t>
        </is>
      </c>
      <c r="B442" s="1" t="n">
        <v>44153</v>
      </c>
      <c r="C442" s="1" t="n">
        <v>45719</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45719</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60606-2020</t>
        </is>
      </c>
      <c r="B444" s="1" t="n">
        <v>44153</v>
      </c>
      <c r="C444" s="1" t="n">
        <v>45719</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60422-2020</t>
        </is>
      </c>
      <c r="B445" s="1" t="n">
        <v>44153</v>
      </c>
      <c r="C445" s="1" t="n">
        <v>45719</v>
      </c>
      <c r="D445" t="inlineStr">
        <is>
          <t>JÄMTLANDS LÄN</t>
        </is>
      </c>
      <c r="E445" t="inlineStr">
        <is>
          <t>HÄRJEDALEN</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60836-2020</t>
        </is>
      </c>
      <c r="B446" s="1" t="n">
        <v>44154</v>
      </c>
      <c r="C446" s="1" t="n">
        <v>45719</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60794-2020</t>
        </is>
      </c>
      <c r="B447" s="1" t="n">
        <v>44154</v>
      </c>
      <c r="C447" s="1" t="n">
        <v>45719</v>
      </c>
      <c r="D447" t="inlineStr">
        <is>
          <t>JÄMTLANDS LÄN</t>
        </is>
      </c>
      <c r="E447" t="inlineStr">
        <is>
          <t>HÄRJEDALEN</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61232-2020</t>
        </is>
      </c>
      <c r="B448" s="1" t="n">
        <v>44155</v>
      </c>
      <c r="C448" s="1" t="n">
        <v>45719</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63133-2020</t>
        </is>
      </c>
      <c r="B449" s="1" t="n">
        <v>44162</v>
      </c>
      <c r="C449" s="1" t="n">
        <v>45719</v>
      </c>
      <c r="D449" t="inlineStr">
        <is>
          <t>JÄMTLANDS LÄN</t>
        </is>
      </c>
      <c r="E449" t="inlineStr">
        <is>
          <t>HÄRJEDALEN</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64281-2020</t>
        </is>
      </c>
      <c r="B450" s="1" t="n">
        <v>44166</v>
      </c>
      <c r="C450" s="1" t="n">
        <v>45719</v>
      </c>
      <c r="D450" t="inlineStr">
        <is>
          <t>JÄMTLANDS LÄN</t>
        </is>
      </c>
      <c r="E450" t="inlineStr">
        <is>
          <t>HÄRJEDALEN</t>
        </is>
      </c>
      <c r="F450" t="inlineStr">
        <is>
          <t>Övriga statliga verk och myndigheter</t>
        </is>
      </c>
      <c r="G450" t="n">
        <v>4.1</v>
      </c>
      <c r="H450" t="n">
        <v>0</v>
      </c>
      <c r="I450" t="n">
        <v>0</v>
      </c>
      <c r="J450" t="n">
        <v>0</v>
      </c>
      <c r="K450" t="n">
        <v>0</v>
      </c>
      <c r="L450" t="n">
        <v>0</v>
      </c>
      <c r="M450" t="n">
        <v>0</v>
      </c>
      <c r="N450" t="n">
        <v>0</v>
      </c>
      <c r="O450" t="n">
        <v>0</v>
      </c>
      <c r="P450" t="n">
        <v>0</v>
      </c>
      <c r="Q450" t="n">
        <v>0</v>
      </c>
      <c r="R450" s="2" t="inlineStr"/>
    </row>
    <row r="451" ht="15" customHeight="1">
      <c r="A451" t="inlineStr">
        <is>
          <t>A 64300-2020</t>
        </is>
      </c>
      <c r="B451" s="1" t="n">
        <v>44166</v>
      </c>
      <c r="C451" s="1" t="n">
        <v>45719</v>
      </c>
      <c r="D451" t="inlineStr">
        <is>
          <t>JÄMTLANDS LÄN</t>
        </is>
      </c>
      <c r="E451" t="inlineStr">
        <is>
          <t>HÄRJEDALEN</t>
        </is>
      </c>
      <c r="F451" t="inlineStr">
        <is>
          <t>Övriga statliga verk och myndigheter</t>
        </is>
      </c>
      <c r="G451" t="n">
        <v>58</v>
      </c>
      <c r="H451" t="n">
        <v>0</v>
      </c>
      <c r="I451" t="n">
        <v>0</v>
      </c>
      <c r="J451" t="n">
        <v>0</v>
      </c>
      <c r="K451" t="n">
        <v>0</v>
      </c>
      <c r="L451" t="n">
        <v>0</v>
      </c>
      <c r="M451" t="n">
        <v>0</v>
      </c>
      <c r="N451" t="n">
        <v>0</v>
      </c>
      <c r="O451" t="n">
        <v>0</v>
      </c>
      <c r="P451" t="n">
        <v>0</v>
      </c>
      <c r="Q451" t="n">
        <v>0</v>
      </c>
      <c r="R451" s="2" t="inlineStr"/>
    </row>
    <row r="452" ht="15" customHeight="1">
      <c r="A452" t="inlineStr">
        <is>
          <t>A 63949-2020</t>
        </is>
      </c>
      <c r="B452" s="1" t="n">
        <v>44167</v>
      </c>
      <c r="C452" s="1" t="n">
        <v>45719</v>
      </c>
      <c r="D452" t="inlineStr">
        <is>
          <t>JÄMTLANDS LÄN</t>
        </is>
      </c>
      <c r="E452" t="inlineStr">
        <is>
          <t>HÄRJEDALEN</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45719</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64539-2020</t>
        </is>
      </c>
      <c r="B454" s="1" t="n">
        <v>44169</v>
      </c>
      <c r="C454" s="1" t="n">
        <v>45719</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64579-2020</t>
        </is>
      </c>
      <c r="B455" s="1" t="n">
        <v>44169</v>
      </c>
      <c r="C455" s="1" t="n">
        <v>45719</v>
      </c>
      <c r="D455" t="inlineStr">
        <is>
          <t>JÄMTLANDS LÄN</t>
        </is>
      </c>
      <c r="E455" t="inlineStr">
        <is>
          <t>HÄRJEDALEN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65817-2020</t>
        </is>
      </c>
      <c r="B456" s="1" t="n">
        <v>44174</v>
      </c>
      <c r="C456" s="1" t="n">
        <v>45719</v>
      </c>
      <c r="D456" t="inlineStr">
        <is>
          <t>JÄMTLANDS LÄN</t>
        </is>
      </c>
      <c r="E456" t="inlineStr">
        <is>
          <t>HÄRJEDALEN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66276-2020</t>
        </is>
      </c>
      <c r="B457" s="1" t="n">
        <v>44174</v>
      </c>
      <c r="C457" s="1" t="n">
        <v>45719</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66720-2020</t>
        </is>
      </c>
      <c r="B458" s="1" t="n">
        <v>44179</v>
      </c>
      <c r="C458" s="1" t="n">
        <v>45719</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67099-2020</t>
        </is>
      </c>
      <c r="B459" s="1" t="n">
        <v>44180</v>
      </c>
      <c r="C459" s="1" t="n">
        <v>45719</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67156-2020</t>
        </is>
      </c>
      <c r="B460" s="1" t="n">
        <v>44180</v>
      </c>
      <c r="C460" s="1" t="n">
        <v>45719</v>
      </c>
      <c r="D460" t="inlineStr">
        <is>
          <t>JÄMTLANDS LÄN</t>
        </is>
      </c>
      <c r="E460" t="inlineStr">
        <is>
          <t>HÄRJEDALEN</t>
        </is>
      </c>
      <c r="F460" t="inlineStr">
        <is>
          <t>Holmen skog AB</t>
        </is>
      </c>
      <c r="G460" t="n">
        <v>7.3</v>
      </c>
      <c r="H460" t="n">
        <v>0</v>
      </c>
      <c r="I460" t="n">
        <v>0</v>
      </c>
      <c r="J460" t="n">
        <v>0</v>
      </c>
      <c r="K460" t="n">
        <v>0</v>
      </c>
      <c r="L460" t="n">
        <v>0</v>
      </c>
      <c r="M460" t="n">
        <v>0</v>
      </c>
      <c r="N460" t="n">
        <v>0</v>
      </c>
      <c r="O460" t="n">
        <v>0</v>
      </c>
      <c r="P460" t="n">
        <v>0</v>
      </c>
      <c r="Q460" t="n">
        <v>0</v>
      </c>
      <c r="R460" s="2" t="inlineStr"/>
    </row>
    <row r="461" ht="15" customHeight="1">
      <c r="A461" t="inlineStr">
        <is>
          <t>A 67110-2020</t>
        </is>
      </c>
      <c r="B461" s="1" t="n">
        <v>44180</v>
      </c>
      <c r="C461" s="1" t="n">
        <v>45719</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67182-2020</t>
        </is>
      </c>
      <c r="B462" s="1" t="n">
        <v>44180</v>
      </c>
      <c r="C462" s="1" t="n">
        <v>45719</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67194-2020</t>
        </is>
      </c>
      <c r="B463" s="1" t="n">
        <v>44180</v>
      </c>
      <c r="C463" s="1" t="n">
        <v>45719</v>
      </c>
      <c r="D463" t="inlineStr">
        <is>
          <t>JÄMTLANDS LÄN</t>
        </is>
      </c>
      <c r="E463" t="inlineStr">
        <is>
          <t>HÄRJEDALEN</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67180-2020</t>
        </is>
      </c>
      <c r="B464" s="1" t="n">
        <v>44180</v>
      </c>
      <c r="C464" s="1" t="n">
        <v>45719</v>
      </c>
      <c r="D464" t="inlineStr">
        <is>
          <t>JÄMTLANDS LÄN</t>
        </is>
      </c>
      <c r="E464" t="inlineStr">
        <is>
          <t>HÄRJEDALEN</t>
        </is>
      </c>
      <c r="G464" t="n">
        <v>0</v>
      </c>
      <c r="H464" t="n">
        <v>0</v>
      </c>
      <c r="I464" t="n">
        <v>0</v>
      </c>
      <c r="J464" t="n">
        <v>0</v>
      </c>
      <c r="K464" t="n">
        <v>0</v>
      </c>
      <c r="L464" t="n">
        <v>0</v>
      </c>
      <c r="M464" t="n">
        <v>0</v>
      </c>
      <c r="N464" t="n">
        <v>0</v>
      </c>
      <c r="O464" t="n">
        <v>0</v>
      </c>
      <c r="P464" t="n">
        <v>0</v>
      </c>
      <c r="Q464" t="n">
        <v>0</v>
      </c>
      <c r="R464" s="2" t="inlineStr"/>
    </row>
    <row r="465" ht="15" customHeight="1">
      <c r="A465" t="inlineStr">
        <is>
          <t>A 67106-2020</t>
        </is>
      </c>
      <c r="B465" s="1" t="n">
        <v>44180</v>
      </c>
      <c r="C465" s="1" t="n">
        <v>45719</v>
      </c>
      <c r="D465" t="inlineStr">
        <is>
          <t>JÄMTLANDS LÄN</t>
        </is>
      </c>
      <c r="E465" t="inlineStr">
        <is>
          <t>HÄRJEDALEN</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67457-2020</t>
        </is>
      </c>
      <c r="B466" s="1" t="n">
        <v>44181</v>
      </c>
      <c r="C466" s="1" t="n">
        <v>45719</v>
      </c>
      <c r="D466" t="inlineStr">
        <is>
          <t>JÄMTLANDS LÄN</t>
        </is>
      </c>
      <c r="E466" t="inlineStr">
        <is>
          <t>HÄRJEDALEN</t>
        </is>
      </c>
      <c r="F466" t="inlineStr">
        <is>
          <t>Holmen skog AB</t>
        </is>
      </c>
      <c r="G466" t="n">
        <v>30</v>
      </c>
      <c r="H466" t="n">
        <v>0</v>
      </c>
      <c r="I466" t="n">
        <v>0</v>
      </c>
      <c r="J466" t="n">
        <v>0</v>
      </c>
      <c r="K466" t="n">
        <v>0</v>
      </c>
      <c r="L466" t="n">
        <v>0</v>
      </c>
      <c r="M466" t="n">
        <v>0</v>
      </c>
      <c r="N466" t="n">
        <v>0</v>
      </c>
      <c r="O466" t="n">
        <v>0</v>
      </c>
      <c r="P466" t="n">
        <v>0</v>
      </c>
      <c r="Q466" t="n">
        <v>0</v>
      </c>
      <c r="R466" s="2" t="inlineStr"/>
    </row>
    <row r="467" ht="15" customHeight="1">
      <c r="A467" t="inlineStr">
        <is>
          <t>A 67522-2020</t>
        </is>
      </c>
      <c r="B467" s="1" t="n">
        <v>44181</v>
      </c>
      <c r="C467" s="1" t="n">
        <v>45719</v>
      </c>
      <c r="D467" t="inlineStr">
        <is>
          <t>JÄMTLANDS LÄN</t>
        </is>
      </c>
      <c r="E467" t="inlineStr">
        <is>
          <t>HÄRJEDALEN</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67416-2020</t>
        </is>
      </c>
      <c r="B468" s="1" t="n">
        <v>44181</v>
      </c>
      <c r="C468" s="1" t="n">
        <v>45719</v>
      </c>
      <c r="D468" t="inlineStr">
        <is>
          <t>JÄMTLANDS LÄN</t>
        </is>
      </c>
      <c r="E468" t="inlineStr">
        <is>
          <t>HÄRJEDALEN</t>
        </is>
      </c>
      <c r="F468" t="inlineStr">
        <is>
          <t>Holmen skog AB</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67445-2020</t>
        </is>
      </c>
      <c r="B469" s="1" t="n">
        <v>44181</v>
      </c>
      <c r="C469" s="1" t="n">
        <v>45719</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67459-2020</t>
        </is>
      </c>
      <c r="B470" s="1" t="n">
        <v>44181</v>
      </c>
      <c r="C470" s="1" t="n">
        <v>45719</v>
      </c>
      <c r="D470" t="inlineStr">
        <is>
          <t>JÄMTLANDS LÄN</t>
        </is>
      </c>
      <c r="E470" t="inlineStr">
        <is>
          <t>HÄRJEDALEN</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67529-2020</t>
        </is>
      </c>
      <c r="B471" s="1" t="n">
        <v>44181</v>
      </c>
      <c r="C471" s="1" t="n">
        <v>45719</v>
      </c>
      <c r="D471" t="inlineStr">
        <is>
          <t>JÄMTLANDS LÄN</t>
        </is>
      </c>
      <c r="E471" t="inlineStr">
        <is>
          <t>HÄRJEDALEN</t>
        </is>
      </c>
      <c r="F471" t="inlineStr">
        <is>
          <t>Holmen skog AB</t>
        </is>
      </c>
      <c r="G471" t="n">
        <v>5.4</v>
      </c>
      <c r="H471" t="n">
        <v>0</v>
      </c>
      <c r="I471" t="n">
        <v>0</v>
      </c>
      <c r="J471" t="n">
        <v>0</v>
      </c>
      <c r="K471" t="n">
        <v>0</v>
      </c>
      <c r="L471" t="n">
        <v>0</v>
      </c>
      <c r="M471" t="n">
        <v>0</v>
      </c>
      <c r="N471" t="n">
        <v>0</v>
      </c>
      <c r="O471" t="n">
        <v>0</v>
      </c>
      <c r="P471" t="n">
        <v>0</v>
      </c>
      <c r="Q471" t="n">
        <v>0</v>
      </c>
      <c r="R471" s="2" t="inlineStr"/>
    </row>
    <row r="472" ht="15" customHeight="1">
      <c r="A472" t="inlineStr">
        <is>
          <t>A 67411-2020</t>
        </is>
      </c>
      <c r="B472" s="1" t="n">
        <v>44181</v>
      </c>
      <c r="C472" s="1" t="n">
        <v>45719</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67438-2020</t>
        </is>
      </c>
      <c r="B473" s="1" t="n">
        <v>44181</v>
      </c>
      <c r="C473" s="1" t="n">
        <v>45719</v>
      </c>
      <c r="D473" t="inlineStr">
        <is>
          <t>JÄMTLANDS LÄN</t>
        </is>
      </c>
      <c r="E473" t="inlineStr">
        <is>
          <t>HÄRJEDALEN</t>
        </is>
      </c>
      <c r="F473" t="inlineStr">
        <is>
          <t>Holmen skog AB</t>
        </is>
      </c>
      <c r="G473" t="n">
        <v>5.6</v>
      </c>
      <c r="H473" t="n">
        <v>0</v>
      </c>
      <c r="I473" t="n">
        <v>0</v>
      </c>
      <c r="J473" t="n">
        <v>0</v>
      </c>
      <c r="K473" t="n">
        <v>0</v>
      </c>
      <c r="L473" t="n">
        <v>0</v>
      </c>
      <c r="M473" t="n">
        <v>0</v>
      </c>
      <c r="N473" t="n">
        <v>0</v>
      </c>
      <c r="O473" t="n">
        <v>0</v>
      </c>
      <c r="P473" t="n">
        <v>0</v>
      </c>
      <c r="Q473" t="n">
        <v>0</v>
      </c>
      <c r="R473" s="2" t="inlineStr"/>
    </row>
    <row r="474" ht="15" customHeight="1">
      <c r="A474" t="inlineStr">
        <is>
          <t>A 67447-2020</t>
        </is>
      </c>
      <c r="B474" s="1" t="n">
        <v>44181</v>
      </c>
      <c r="C474" s="1" t="n">
        <v>45719</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67454-2020</t>
        </is>
      </c>
      <c r="B475" s="1" t="n">
        <v>44181</v>
      </c>
      <c r="C475" s="1" t="n">
        <v>45719</v>
      </c>
      <c r="D475" t="inlineStr">
        <is>
          <t>JÄMTLANDS LÄN</t>
        </is>
      </c>
      <c r="E475" t="inlineStr">
        <is>
          <t>HÄRJEDALEN</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67498-2020</t>
        </is>
      </c>
      <c r="B476" s="1" t="n">
        <v>44181</v>
      </c>
      <c r="C476" s="1" t="n">
        <v>45719</v>
      </c>
      <c r="D476" t="inlineStr">
        <is>
          <t>JÄMTLANDS LÄN</t>
        </is>
      </c>
      <c r="E476" t="inlineStr">
        <is>
          <t>HÄRJEDALEN</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67507-2020</t>
        </is>
      </c>
      <c r="B477" s="1" t="n">
        <v>44181</v>
      </c>
      <c r="C477" s="1" t="n">
        <v>45719</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67526-2020</t>
        </is>
      </c>
      <c r="B478" s="1" t="n">
        <v>44181</v>
      </c>
      <c r="C478" s="1" t="n">
        <v>45719</v>
      </c>
      <c r="D478" t="inlineStr">
        <is>
          <t>JÄMTLANDS LÄN</t>
        </is>
      </c>
      <c r="E478" t="inlineStr">
        <is>
          <t>HÄRJEDALEN</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67409-2020</t>
        </is>
      </c>
      <c r="B479" s="1" t="n">
        <v>44181</v>
      </c>
      <c r="C479" s="1" t="n">
        <v>45719</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67720-2020</t>
        </is>
      </c>
      <c r="B480" s="1" t="n">
        <v>44182</v>
      </c>
      <c r="C480" s="1" t="n">
        <v>45719</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67697-2020</t>
        </is>
      </c>
      <c r="B481" s="1" t="n">
        <v>44182</v>
      </c>
      <c r="C481" s="1" t="n">
        <v>45719</v>
      </c>
      <c r="D481" t="inlineStr">
        <is>
          <t>JÄMTLANDS LÄN</t>
        </is>
      </c>
      <c r="E481" t="inlineStr">
        <is>
          <t>HÄRJEDALEN</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67714-2020</t>
        </is>
      </c>
      <c r="B482" s="1" t="n">
        <v>44182</v>
      </c>
      <c r="C482" s="1" t="n">
        <v>45719</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67821-2020</t>
        </is>
      </c>
      <c r="B483" s="1" t="n">
        <v>44182</v>
      </c>
      <c r="C483" s="1" t="n">
        <v>45719</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68141-2020</t>
        </is>
      </c>
      <c r="B484" s="1" t="n">
        <v>44183</v>
      </c>
      <c r="C484" s="1" t="n">
        <v>45719</v>
      </c>
      <c r="D484" t="inlineStr">
        <is>
          <t>JÄMTLANDS LÄN</t>
        </is>
      </c>
      <c r="E484" t="inlineStr">
        <is>
          <t>HÄRJEDALEN</t>
        </is>
      </c>
      <c r="G484" t="n">
        <v>3.1</v>
      </c>
      <c r="H484" t="n">
        <v>0</v>
      </c>
      <c r="I484" t="n">
        <v>0</v>
      </c>
      <c r="J484" t="n">
        <v>0</v>
      </c>
      <c r="K484" t="n">
        <v>0</v>
      </c>
      <c r="L484" t="n">
        <v>0</v>
      </c>
      <c r="M484" t="n">
        <v>0</v>
      </c>
      <c r="N484" t="n">
        <v>0</v>
      </c>
      <c r="O484" t="n">
        <v>0</v>
      </c>
      <c r="P484" t="n">
        <v>0</v>
      </c>
      <c r="Q484" t="n">
        <v>0</v>
      </c>
      <c r="R484" s="2" t="inlineStr"/>
    </row>
    <row r="485" ht="15" customHeight="1">
      <c r="A485" t="inlineStr">
        <is>
          <t>A 69108-2020</t>
        </is>
      </c>
      <c r="B485" s="1" t="n">
        <v>44188</v>
      </c>
      <c r="C485" s="1" t="n">
        <v>45719</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69168-2020</t>
        </is>
      </c>
      <c r="B486" s="1" t="n">
        <v>44188</v>
      </c>
      <c r="C486" s="1" t="n">
        <v>45719</v>
      </c>
      <c r="D486" t="inlineStr">
        <is>
          <t>JÄMTLANDS LÄN</t>
        </is>
      </c>
      <c r="E486" t="inlineStr">
        <is>
          <t>HÄRJEDALEN</t>
        </is>
      </c>
      <c r="F486" t="inlineStr">
        <is>
          <t>Sveaskog</t>
        </is>
      </c>
      <c r="G486" t="n">
        <v>20</v>
      </c>
      <c r="H486" t="n">
        <v>0</v>
      </c>
      <c r="I486" t="n">
        <v>0</v>
      </c>
      <c r="J486" t="n">
        <v>0</v>
      </c>
      <c r="K486" t="n">
        <v>0</v>
      </c>
      <c r="L486" t="n">
        <v>0</v>
      </c>
      <c r="M486" t="n">
        <v>0</v>
      </c>
      <c r="N486" t="n">
        <v>0</v>
      </c>
      <c r="O486" t="n">
        <v>0</v>
      </c>
      <c r="P486" t="n">
        <v>0</v>
      </c>
      <c r="Q486" t="n">
        <v>0</v>
      </c>
      <c r="R486" s="2" t="inlineStr"/>
    </row>
    <row r="487" ht="15" customHeight="1">
      <c r="A487" t="inlineStr">
        <is>
          <t>A 69101-2020</t>
        </is>
      </c>
      <c r="B487" s="1" t="n">
        <v>44188</v>
      </c>
      <c r="C487" s="1" t="n">
        <v>45719</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1088-2021</t>
        </is>
      </c>
      <c r="B488" s="1" t="n">
        <v>44207</v>
      </c>
      <c r="C488" s="1" t="n">
        <v>45719</v>
      </c>
      <c r="D488" t="inlineStr">
        <is>
          <t>JÄMTLANDS LÄN</t>
        </is>
      </c>
      <c r="E488" t="inlineStr">
        <is>
          <t>HÄRJEDALEN</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1478-2021</t>
        </is>
      </c>
      <c r="B489" s="1" t="n">
        <v>44208</v>
      </c>
      <c r="C489" s="1" t="n">
        <v>45719</v>
      </c>
      <c r="D489" t="inlineStr">
        <is>
          <t>JÄMTLANDS LÄN</t>
        </is>
      </c>
      <c r="E489" t="inlineStr">
        <is>
          <t>HÄRJEDALEN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1545-2021</t>
        </is>
      </c>
      <c r="B490" s="1" t="n">
        <v>44209</v>
      </c>
      <c r="C490" s="1" t="n">
        <v>45719</v>
      </c>
      <c r="D490" t="inlineStr">
        <is>
          <t>JÄMTLANDS LÄN</t>
        </is>
      </c>
      <c r="E490" t="inlineStr">
        <is>
          <t>HÄRJEDALEN</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1558-2021</t>
        </is>
      </c>
      <c r="B491" s="1" t="n">
        <v>44209</v>
      </c>
      <c r="C491" s="1" t="n">
        <v>45719</v>
      </c>
      <c r="D491" t="inlineStr">
        <is>
          <t>JÄMTLANDS LÄN</t>
        </is>
      </c>
      <c r="E491" t="inlineStr">
        <is>
          <t>HÄRJEDALEN</t>
        </is>
      </c>
      <c r="F491" t="inlineStr">
        <is>
          <t>Bergvik skog väst AB</t>
        </is>
      </c>
      <c r="G491" t="n">
        <v>7.2</v>
      </c>
      <c r="H491" t="n">
        <v>0</v>
      </c>
      <c r="I491" t="n">
        <v>0</v>
      </c>
      <c r="J491" t="n">
        <v>0</v>
      </c>
      <c r="K491" t="n">
        <v>0</v>
      </c>
      <c r="L491" t="n">
        <v>0</v>
      </c>
      <c r="M491" t="n">
        <v>0</v>
      </c>
      <c r="N491" t="n">
        <v>0</v>
      </c>
      <c r="O491" t="n">
        <v>0</v>
      </c>
      <c r="P491" t="n">
        <v>0</v>
      </c>
      <c r="Q491" t="n">
        <v>0</v>
      </c>
      <c r="R491" s="2" t="inlineStr"/>
    </row>
    <row r="492" ht="15" customHeight="1">
      <c r="A492" t="inlineStr">
        <is>
          <t>A 1602-2021</t>
        </is>
      </c>
      <c r="B492" s="1" t="n">
        <v>44209</v>
      </c>
      <c r="C492" s="1" t="n">
        <v>45719</v>
      </c>
      <c r="D492" t="inlineStr">
        <is>
          <t>JÄMTLANDS LÄN</t>
        </is>
      </c>
      <c r="E492" t="inlineStr">
        <is>
          <t>HÄRJEDALEN</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2531-2021</t>
        </is>
      </c>
      <c r="B493" s="1" t="n">
        <v>44214</v>
      </c>
      <c r="C493" s="1" t="n">
        <v>45719</v>
      </c>
      <c r="D493" t="inlineStr">
        <is>
          <t>JÄMTLANDS LÄN</t>
        </is>
      </c>
      <c r="E493" t="inlineStr">
        <is>
          <t>HÄRJEDALEN</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2855-2021</t>
        </is>
      </c>
      <c r="B494" s="1" t="n">
        <v>44216</v>
      </c>
      <c r="C494" s="1" t="n">
        <v>45719</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2862-2021</t>
        </is>
      </c>
      <c r="B495" s="1" t="n">
        <v>44216</v>
      </c>
      <c r="C495" s="1" t="n">
        <v>45719</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3536-2021</t>
        </is>
      </c>
      <c r="B496" s="1" t="n">
        <v>44218</v>
      </c>
      <c r="C496" s="1" t="n">
        <v>45719</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5277-2021</t>
        </is>
      </c>
      <c r="B497" s="1" t="n">
        <v>44225</v>
      </c>
      <c r="C497" s="1" t="n">
        <v>45719</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5283-2021</t>
        </is>
      </c>
      <c r="B498" s="1" t="n">
        <v>44225</v>
      </c>
      <c r="C498" s="1" t="n">
        <v>45719</v>
      </c>
      <c r="D498" t="inlineStr">
        <is>
          <t>JÄMTLANDS LÄN</t>
        </is>
      </c>
      <c r="E498" t="inlineStr">
        <is>
          <t>HÄRJEDALEN</t>
        </is>
      </c>
      <c r="G498" t="n">
        <v>20</v>
      </c>
      <c r="H498" t="n">
        <v>0</v>
      </c>
      <c r="I498" t="n">
        <v>0</v>
      </c>
      <c r="J498" t="n">
        <v>0</v>
      </c>
      <c r="K498" t="n">
        <v>0</v>
      </c>
      <c r="L498" t="n">
        <v>0</v>
      </c>
      <c r="M498" t="n">
        <v>0</v>
      </c>
      <c r="N498" t="n">
        <v>0</v>
      </c>
      <c r="O498" t="n">
        <v>0</v>
      </c>
      <c r="P498" t="n">
        <v>0</v>
      </c>
      <c r="Q498" t="n">
        <v>0</v>
      </c>
      <c r="R498" s="2" t="inlineStr"/>
    </row>
    <row r="499" ht="15" customHeight="1">
      <c r="A499" t="inlineStr">
        <is>
          <t>A 5343-2021</t>
        </is>
      </c>
      <c r="B499" s="1" t="n">
        <v>44228</v>
      </c>
      <c r="C499" s="1" t="n">
        <v>45719</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5353-2021</t>
        </is>
      </c>
      <c r="B500" s="1" t="n">
        <v>44228</v>
      </c>
      <c r="C500" s="1" t="n">
        <v>45719</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5273-2021</t>
        </is>
      </c>
      <c r="B501" s="1" t="n">
        <v>44229</v>
      </c>
      <c r="C501" s="1" t="n">
        <v>45719</v>
      </c>
      <c r="D501" t="inlineStr">
        <is>
          <t>JÄMTLANDS LÄN</t>
        </is>
      </c>
      <c r="E501" t="inlineStr">
        <is>
          <t>HÄRJEDALEN</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5237-2021</t>
        </is>
      </c>
      <c r="B502" s="1" t="n">
        <v>44229</v>
      </c>
      <c r="C502" s="1" t="n">
        <v>45719</v>
      </c>
      <c r="D502" t="inlineStr">
        <is>
          <t>JÄMTLANDS LÄN</t>
        </is>
      </c>
      <c r="E502" t="inlineStr">
        <is>
          <t>HÄRJEDALEN</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5519-2021</t>
        </is>
      </c>
      <c r="B503" s="1" t="n">
        <v>44230</v>
      </c>
      <c r="C503" s="1" t="n">
        <v>45719</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5993-2021</t>
        </is>
      </c>
      <c r="B504" s="1" t="n">
        <v>44231</v>
      </c>
      <c r="C504" s="1" t="n">
        <v>45719</v>
      </c>
      <c r="D504" t="inlineStr">
        <is>
          <t>JÄMTLANDS LÄN</t>
        </is>
      </c>
      <c r="E504" t="inlineStr">
        <is>
          <t>HÄRJEDALEN</t>
        </is>
      </c>
      <c r="F504" t="inlineStr">
        <is>
          <t>Kyrkan</t>
        </is>
      </c>
      <c r="G504" t="n">
        <v>2.6</v>
      </c>
      <c r="H504" t="n">
        <v>0</v>
      </c>
      <c r="I504" t="n">
        <v>0</v>
      </c>
      <c r="J504" t="n">
        <v>0</v>
      </c>
      <c r="K504" t="n">
        <v>0</v>
      </c>
      <c r="L504" t="n">
        <v>0</v>
      </c>
      <c r="M504" t="n">
        <v>0</v>
      </c>
      <c r="N504" t="n">
        <v>0</v>
      </c>
      <c r="O504" t="n">
        <v>0</v>
      </c>
      <c r="P504" t="n">
        <v>0</v>
      </c>
      <c r="Q504" t="n">
        <v>0</v>
      </c>
      <c r="R504" s="2" t="inlineStr"/>
    </row>
    <row r="505" ht="15" customHeight="1">
      <c r="A505" t="inlineStr">
        <is>
          <t>A 7087-2021</t>
        </is>
      </c>
      <c r="B505" s="1" t="n">
        <v>44238</v>
      </c>
      <c r="C505" s="1" t="n">
        <v>45719</v>
      </c>
      <c r="D505" t="inlineStr">
        <is>
          <t>JÄMTLANDS LÄN</t>
        </is>
      </c>
      <c r="E505" t="inlineStr">
        <is>
          <t>HÄRJEDALEN</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7112-2021</t>
        </is>
      </c>
      <c r="B506" s="1" t="n">
        <v>44238</v>
      </c>
      <c r="C506" s="1" t="n">
        <v>45719</v>
      </c>
      <c r="D506" t="inlineStr">
        <is>
          <t>JÄMTLANDS LÄN</t>
        </is>
      </c>
      <c r="E506" t="inlineStr">
        <is>
          <t>HÄRJEDALEN</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7097-2021</t>
        </is>
      </c>
      <c r="B507" s="1" t="n">
        <v>44238</v>
      </c>
      <c r="C507" s="1" t="n">
        <v>45719</v>
      </c>
      <c r="D507" t="inlineStr">
        <is>
          <t>JÄMTLANDS LÄN</t>
        </is>
      </c>
      <c r="E507" t="inlineStr">
        <is>
          <t>HÄRJEDALEN</t>
        </is>
      </c>
      <c r="F507" t="inlineStr">
        <is>
          <t>Holmen skog AB</t>
        </is>
      </c>
      <c r="G507" t="n">
        <v>3.9</v>
      </c>
      <c r="H507" t="n">
        <v>0</v>
      </c>
      <c r="I507" t="n">
        <v>0</v>
      </c>
      <c r="J507" t="n">
        <v>0</v>
      </c>
      <c r="K507" t="n">
        <v>0</v>
      </c>
      <c r="L507" t="n">
        <v>0</v>
      </c>
      <c r="M507" t="n">
        <v>0</v>
      </c>
      <c r="N507" t="n">
        <v>0</v>
      </c>
      <c r="O507" t="n">
        <v>0</v>
      </c>
      <c r="P507" t="n">
        <v>0</v>
      </c>
      <c r="Q507" t="n">
        <v>0</v>
      </c>
      <c r="R507" s="2" t="inlineStr"/>
    </row>
    <row r="508" ht="15" customHeight="1">
      <c r="A508" t="inlineStr">
        <is>
          <t>A 7086-2021</t>
        </is>
      </c>
      <c r="B508" s="1" t="n">
        <v>44238</v>
      </c>
      <c r="C508" s="1" t="n">
        <v>45719</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7110-2021</t>
        </is>
      </c>
      <c r="B509" s="1" t="n">
        <v>44238</v>
      </c>
      <c r="C509" s="1" t="n">
        <v>45719</v>
      </c>
      <c r="D509" t="inlineStr">
        <is>
          <t>JÄMTLANDS LÄN</t>
        </is>
      </c>
      <c r="E509" t="inlineStr">
        <is>
          <t>HÄRJEDALEN</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7427-2021</t>
        </is>
      </c>
      <c r="B510" s="1" t="n">
        <v>44239</v>
      </c>
      <c r="C510" s="1" t="n">
        <v>45719</v>
      </c>
      <c r="D510" t="inlineStr">
        <is>
          <t>JÄMTLANDS LÄN</t>
        </is>
      </c>
      <c r="E510" t="inlineStr">
        <is>
          <t>HÄRJEDALEN</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7570-2021</t>
        </is>
      </c>
      <c r="B511" s="1" t="n">
        <v>44239</v>
      </c>
      <c r="C511" s="1" t="n">
        <v>45719</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7731-2021</t>
        </is>
      </c>
      <c r="B512" s="1" t="n">
        <v>44242</v>
      </c>
      <c r="C512" s="1" t="n">
        <v>45719</v>
      </c>
      <c r="D512" t="inlineStr">
        <is>
          <t>JÄMTLANDS LÄN</t>
        </is>
      </c>
      <c r="E512" t="inlineStr">
        <is>
          <t>HÄRJEDALEN</t>
        </is>
      </c>
      <c r="G512" t="n">
        <v>13.6</v>
      </c>
      <c r="H512" t="n">
        <v>0</v>
      </c>
      <c r="I512" t="n">
        <v>0</v>
      </c>
      <c r="J512" t="n">
        <v>0</v>
      </c>
      <c r="K512" t="n">
        <v>0</v>
      </c>
      <c r="L512" t="n">
        <v>0</v>
      </c>
      <c r="M512" t="n">
        <v>0</v>
      </c>
      <c r="N512" t="n">
        <v>0</v>
      </c>
      <c r="O512" t="n">
        <v>0</v>
      </c>
      <c r="P512" t="n">
        <v>0</v>
      </c>
      <c r="Q512" t="n">
        <v>0</v>
      </c>
      <c r="R512" s="2" t="inlineStr"/>
    </row>
    <row r="513" ht="15" customHeight="1">
      <c r="A513" t="inlineStr">
        <is>
          <t>A 8055-2021</t>
        </is>
      </c>
      <c r="B513" s="1" t="n">
        <v>44243</v>
      </c>
      <c r="C513" s="1" t="n">
        <v>45719</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9470-2021</t>
        </is>
      </c>
      <c r="B514" s="1" t="n">
        <v>44251</v>
      </c>
      <c r="C514" s="1" t="n">
        <v>45719</v>
      </c>
      <c r="D514" t="inlineStr">
        <is>
          <t>JÄMTLANDS LÄN</t>
        </is>
      </c>
      <c r="E514" t="inlineStr">
        <is>
          <t>HÄRJEDALEN</t>
        </is>
      </c>
      <c r="G514" t="n">
        <v>12.4</v>
      </c>
      <c r="H514" t="n">
        <v>0</v>
      </c>
      <c r="I514" t="n">
        <v>0</v>
      </c>
      <c r="J514" t="n">
        <v>0</v>
      </c>
      <c r="K514" t="n">
        <v>0</v>
      </c>
      <c r="L514" t="n">
        <v>0</v>
      </c>
      <c r="M514" t="n">
        <v>0</v>
      </c>
      <c r="N514" t="n">
        <v>0</v>
      </c>
      <c r="O514" t="n">
        <v>0</v>
      </c>
      <c r="P514" t="n">
        <v>0</v>
      </c>
      <c r="Q514" t="n">
        <v>0</v>
      </c>
      <c r="R514" s="2" t="inlineStr"/>
    </row>
    <row r="515" ht="15" customHeight="1">
      <c r="A515" t="inlineStr">
        <is>
          <t>A 10530-2021</t>
        </is>
      </c>
      <c r="B515" s="1" t="n">
        <v>44258</v>
      </c>
      <c r="C515" s="1" t="n">
        <v>45719</v>
      </c>
      <c r="D515" t="inlineStr">
        <is>
          <t>JÄMTLANDS LÄN</t>
        </is>
      </c>
      <c r="E515" t="inlineStr">
        <is>
          <t>HÄRJEDALEN</t>
        </is>
      </c>
      <c r="G515" t="n">
        <v>19.5</v>
      </c>
      <c r="H515" t="n">
        <v>0</v>
      </c>
      <c r="I515" t="n">
        <v>0</v>
      </c>
      <c r="J515" t="n">
        <v>0</v>
      </c>
      <c r="K515" t="n">
        <v>0</v>
      </c>
      <c r="L515" t="n">
        <v>0</v>
      </c>
      <c r="M515" t="n">
        <v>0</v>
      </c>
      <c r="N515" t="n">
        <v>0</v>
      </c>
      <c r="O515" t="n">
        <v>0</v>
      </c>
      <c r="P515" t="n">
        <v>0</v>
      </c>
      <c r="Q515" t="n">
        <v>0</v>
      </c>
      <c r="R515" s="2" t="inlineStr"/>
    </row>
    <row r="516" ht="15" customHeight="1">
      <c r="A516" t="inlineStr">
        <is>
          <t>A 10536-2021</t>
        </is>
      </c>
      <c r="B516" s="1" t="n">
        <v>44258</v>
      </c>
      <c r="C516" s="1" t="n">
        <v>45719</v>
      </c>
      <c r="D516" t="inlineStr">
        <is>
          <t>JÄMTLANDS LÄN</t>
        </is>
      </c>
      <c r="E516" t="inlineStr">
        <is>
          <t>HÄRJEDALEN</t>
        </is>
      </c>
      <c r="G516" t="n">
        <v>18.7</v>
      </c>
      <c r="H516" t="n">
        <v>0</v>
      </c>
      <c r="I516" t="n">
        <v>0</v>
      </c>
      <c r="J516" t="n">
        <v>0</v>
      </c>
      <c r="K516" t="n">
        <v>0</v>
      </c>
      <c r="L516" t="n">
        <v>0</v>
      </c>
      <c r="M516" t="n">
        <v>0</v>
      </c>
      <c r="N516" t="n">
        <v>0</v>
      </c>
      <c r="O516" t="n">
        <v>0</v>
      </c>
      <c r="P516" t="n">
        <v>0</v>
      </c>
      <c r="Q516" t="n">
        <v>0</v>
      </c>
      <c r="R516" s="2" t="inlineStr"/>
    </row>
    <row r="517" ht="15" customHeight="1">
      <c r="A517" t="inlineStr">
        <is>
          <t>A 12629-2021</t>
        </is>
      </c>
      <c r="B517" s="1" t="n">
        <v>44270</v>
      </c>
      <c r="C517" s="1" t="n">
        <v>45719</v>
      </c>
      <c r="D517" t="inlineStr">
        <is>
          <t>JÄMTLANDS LÄN</t>
        </is>
      </c>
      <c r="E517" t="inlineStr">
        <is>
          <t>HÄRJEDALEN</t>
        </is>
      </c>
      <c r="G517" t="n">
        <v>20.7</v>
      </c>
      <c r="H517" t="n">
        <v>0</v>
      </c>
      <c r="I517" t="n">
        <v>0</v>
      </c>
      <c r="J517" t="n">
        <v>0</v>
      </c>
      <c r="K517" t="n">
        <v>0</v>
      </c>
      <c r="L517" t="n">
        <v>0</v>
      </c>
      <c r="M517" t="n">
        <v>0</v>
      </c>
      <c r="N517" t="n">
        <v>0</v>
      </c>
      <c r="O517" t="n">
        <v>0</v>
      </c>
      <c r="P517" t="n">
        <v>0</v>
      </c>
      <c r="Q517" t="n">
        <v>0</v>
      </c>
      <c r="R517" s="2" t="inlineStr"/>
    </row>
    <row r="518" ht="15" customHeight="1">
      <c r="A518" t="inlineStr">
        <is>
          <t>A 14798-2021</t>
        </is>
      </c>
      <c r="B518" s="1" t="n">
        <v>44280</v>
      </c>
      <c r="C518" s="1" t="n">
        <v>45719</v>
      </c>
      <c r="D518" t="inlineStr">
        <is>
          <t>JÄMTLANDS LÄN</t>
        </is>
      </c>
      <c r="E518" t="inlineStr">
        <is>
          <t>HÄRJEDALEN</t>
        </is>
      </c>
      <c r="G518" t="n">
        <v>2.6</v>
      </c>
      <c r="H518" t="n">
        <v>0</v>
      </c>
      <c r="I518" t="n">
        <v>0</v>
      </c>
      <c r="J518" t="n">
        <v>0</v>
      </c>
      <c r="K518" t="n">
        <v>0</v>
      </c>
      <c r="L518" t="n">
        <v>0</v>
      </c>
      <c r="M518" t="n">
        <v>0</v>
      </c>
      <c r="N518" t="n">
        <v>0</v>
      </c>
      <c r="O518" t="n">
        <v>0</v>
      </c>
      <c r="P518" t="n">
        <v>0</v>
      </c>
      <c r="Q518" t="n">
        <v>0</v>
      </c>
      <c r="R518" s="2" t="inlineStr"/>
    </row>
    <row r="519" ht="15" customHeight="1">
      <c r="A519" t="inlineStr">
        <is>
          <t>A 15580-2021</t>
        </is>
      </c>
      <c r="B519" s="1" t="n">
        <v>44285</v>
      </c>
      <c r="C519" s="1" t="n">
        <v>45719</v>
      </c>
      <c r="D519" t="inlineStr">
        <is>
          <t>JÄMTLANDS LÄN</t>
        </is>
      </c>
      <c r="E519" t="inlineStr">
        <is>
          <t>HÄRJEDALEN</t>
        </is>
      </c>
      <c r="G519" t="n">
        <v>22.1</v>
      </c>
      <c r="H519" t="n">
        <v>0</v>
      </c>
      <c r="I519" t="n">
        <v>0</v>
      </c>
      <c r="J519" t="n">
        <v>0</v>
      </c>
      <c r="K519" t="n">
        <v>0</v>
      </c>
      <c r="L519" t="n">
        <v>0</v>
      </c>
      <c r="M519" t="n">
        <v>0</v>
      </c>
      <c r="N519" t="n">
        <v>0</v>
      </c>
      <c r="O519" t="n">
        <v>0</v>
      </c>
      <c r="P519" t="n">
        <v>0</v>
      </c>
      <c r="Q519" t="n">
        <v>0</v>
      </c>
      <c r="R519" s="2" t="inlineStr"/>
    </row>
    <row r="520" ht="15" customHeight="1">
      <c r="A520" t="inlineStr">
        <is>
          <t>A 15585-2021</t>
        </is>
      </c>
      <c r="B520" s="1" t="n">
        <v>44285</v>
      </c>
      <c r="C520" s="1" t="n">
        <v>45719</v>
      </c>
      <c r="D520" t="inlineStr">
        <is>
          <t>JÄMTLANDS LÄN</t>
        </is>
      </c>
      <c r="E520" t="inlineStr">
        <is>
          <t>HÄRJEDALEN</t>
        </is>
      </c>
      <c r="G520" t="n">
        <v>21.2</v>
      </c>
      <c r="H520" t="n">
        <v>0</v>
      </c>
      <c r="I520" t="n">
        <v>0</v>
      </c>
      <c r="J520" t="n">
        <v>0</v>
      </c>
      <c r="K520" t="n">
        <v>0</v>
      </c>
      <c r="L520" t="n">
        <v>0</v>
      </c>
      <c r="M520" t="n">
        <v>0</v>
      </c>
      <c r="N520" t="n">
        <v>0</v>
      </c>
      <c r="O520" t="n">
        <v>0</v>
      </c>
      <c r="P520" t="n">
        <v>0</v>
      </c>
      <c r="Q520" t="n">
        <v>0</v>
      </c>
      <c r="R520" s="2" t="inlineStr"/>
    </row>
    <row r="521" ht="15" customHeight="1">
      <c r="A521" t="inlineStr">
        <is>
          <t>A 15594-2021</t>
        </is>
      </c>
      <c r="B521" s="1" t="n">
        <v>44285</v>
      </c>
      <c r="C521" s="1" t="n">
        <v>45719</v>
      </c>
      <c r="D521" t="inlineStr">
        <is>
          <t>JÄMTLANDS LÄN</t>
        </is>
      </c>
      <c r="E521" t="inlineStr">
        <is>
          <t>HÄRJEDALEN</t>
        </is>
      </c>
      <c r="G521" t="n">
        <v>28.5</v>
      </c>
      <c r="H521" t="n">
        <v>0</v>
      </c>
      <c r="I521" t="n">
        <v>0</v>
      </c>
      <c r="J521" t="n">
        <v>0</v>
      </c>
      <c r="K521" t="n">
        <v>0</v>
      </c>
      <c r="L521" t="n">
        <v>0</v>
      </c>
      <c r="M521" t="n">
        <v>0</v>
      </c>
      <c r="N521" t="n">
        <v>0</v>
      </c>
      <c r="O521" t="n">
        <v>0</v>
      </c>
      <c r="P521" t="n">
        <v>0</v>
      </c>
      <c r="Q521" t="n">
        <v>0</v>
      </c>
      <c r="R521" s="2" t="inlineStr"/>
    </row>
    <row r="522" ht="15" customHeight="1">
      <c r="A522" t="inlineStr">
        <is>
          <t>A 15681-2021</t>
        </is>
      </c>
      <c r="B522" s="1" t="n">
        <v>44286</v>
      </c>
      <c r="C522" s="1" t="n">
        <v>45719</v>
      </c>
      <c r="D522" t="inlineStr">
        <is>
          <t>JÄMTLANDS LÄN</t>
        </is>
      </c>
      <c r="E522" t="inlineStr">
        <is>
          <t>HÄRJEDALEN</t>
        </is>
      </c>
      <c r="G522" t="n">
        <v>9.6</v>
      </c>
      <c r="H522" t="n">
        <v>0</v>
      </c>
      <c r="I522" t="n">
        <v>0</v>
      </c>
      <c r="J522" t="n">
        <v>0</v>
      </c>
      <c r="K522" t="n">
        <v>0</v>
      </c>
      <c r="L522" t="n">
        <v>0</v>
      </c>
      <c r="M522" t="n">
        <v>0</v>
      </c>
      <c r="N522" t="n">
        <v>0</v>
      </c>
      <c r="O522" t="n">
        <v>0</v>
      </c>
      <c r="P522" t="n">
        <v>0</v>
      </c>
      <c r="Q522" t="n">
        <v>0</v>
      </c>
      <c r="R522" s="2" t="inlineStr"/>
    </row>
    <row r="523" ht="15" customHeight="1">
      <c r="A523" t="inlineStr">
        <is>
          <t>A 15685-2021</t>
        </is>
      </c>
      <c r="B523" s="1" t="n">
        <v>44286</v>
      </c>
      <c r="C523" s="1" t="n">
        <v>45719</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17187-2021</t>
        </is>
      </c>
      <c r="B524" s="1" t="n">
        <v>44298</v>
      </c>
      <c r="C524" s="1" t="n">
        <v>45719</v>
      </c>
      <c r="D524" t="inlineStr">
        <is>
          <t>JÄMTLANDS LÄN</t>
        </is>
      </c>
      <c r="E524" t="inlineStr">
        <is>
          <t>HÄRJEDALEN</t>
        </is>
      </c>
      <c r="G524" t="n">
        <v>20.1</v>
      </c>
      <c r="H524" t="n">
        <v>0</v>
      </c>
      <c r="I524" t="n">
        <v>0</v>
      </c>
      <c r="J524" t="n">
        <v>0</v>
      </c>
      <c r="K524" t="n">
        <v>0</v>
      </c>
      <c r="L524" t="n">
        <v>0</v>
      </c>
      <c r="M524" t="n">
        <v>0</v>
      </c>
      <c r="N524" t="n">
        <v>0</v>
      </c>
      <c r="O524" t="n">
        <v>0</v>
      </c>
      <c r="P524" t="n">
        <v>0</v>
      </c>
      <c r="Q524" t="n">
        <v>0</v>
      </c>
      <c r="R524" s="2" t="inlineStr"/>
    </row>
    <row r="525" ht="15" customHeight="1">
      <c r="A525" t="inlineStr">
        <is>
          <t>A 17705-2021</t>
        </is>
      </c>
      <c r="B525" s="1" t="n">
        <v>44300</v>
      </c>
      <c r="C525" s="1" t="n">
        <v>45719</v>
      </c>
      <c r="D525" t="inlineStr">
        <is>
          <t>JÄMTLANDS LÄN</t>
        </is>
      </c>
      <c r="E525" t="inlineStr">
        <is>
          <t>HÄRJEDALEN</t>
        </is>
      </c>
      <c r="G525" t="n">
        <v>5.2</v>
      </c>
      <c r="H525" t="n">
        <v>0</v>
      </c>
      <c r="I525" t="n">
        <v>0</v>
      </c>
      <c r="J525" t="n">
        <v>0</v>
      </c>
      <c r="K525" t="n">
        <v>0</v>
      </c>
      <c r="L525" t="n">
        <v>0</v>
      </c>
      <c r="M525" t="n">
        <v>0</v>
      </c>
      <c r="N525" t="n">
        <v>0</v>
      </c>
      <c r="O525" t="n">
        <v>0</v>
      </c>
      <c r="P525" t="n">
        <v>0</v>
      </c>
      <c r="Q525" t="n">
        <v>0</v>
      </c>
      <c r="R525" s="2" t="inlineStr"/>
    </row>
    <row r="526" ht="15" customHeight="1">
      <c r="A526" t="inlineStr">
        <is>
          <t>A 18389-2021</t>
        </is>
      </c>
      <c r="B526" s="1" t="n">
        <v>44305</v>
      </c>
      <c r="C526" s="1" t="n">
        <v>45719</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19958-2021</t>
        </is>
      </c>
      <c r="B527" s="1" t="n">
        <v>44312</v>
      </c>
      <c r="C527" s="1" t="n">
        <v>45719</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19955-2021</t>
        </is>
      </c>
      <c r="B528" s="1" t="n">
        <v>44312</v>
      </c>
      <c r="C528" s="1" t="n">
        <v>45719</v>
      </c>
      <c r="D528" t="inlineStr">
        <is>
          <t>JÄMTLANDS LÄN</t>
        </is>
      </c>
      <c r="E528" t="inlineStr">
        <is>
          <t>HÄRJEDALEN</t>
        </is>
      </c>
      <c r="G528" t="n">
        <v>4.6</v>
      </c>
      <c r="H528" t="n">
        <v>0</v>
      </c>
      <c r="I528" t="n">
        <v>0</v>
      </c>
      <c r="J528" t="n">
        <v>0</v>
      </c>
      <c r="K528" t="n">
        <v>0</v>
      </c>
      <c r="L528" t="n">
        <v>0</v>
      </c>
      <c r="M528" t="n">
        <v>0</v>
      </c>
      <c r="N528" t="n">
        <v>0</v>
      </c>
      <c r="O528" t="n">
        <v>0</v>
      </c>
      <c r="P528" t="n">
        <v>0</v>
      </c>
      <c r="Q528" t="n">
        <v>0</v>
      </c>
      <c r="R528" s="2" t="inlineStr"/>
    </row>
    <row r="529" ht="15" customHeight="1">
      <c r="A529" t="inlineStr">
        <is>
          <t>A 19962-2021</t>
        </is>
      </c>
      <c r="B529" s="1" t="n">
        <v>44312</v>
      </c>
      <c r="C529" s="1" t="n">
        <v>45719</v>
      </c>
      <c r="D529" t="inlineStr">
        <is>
          <t>JÄMTLANDS LÄN</t>
        </is>
      </c>
      <c r="E529" t="inlineStr">
        <is>
          <t>HÄRJEDALEN</t>
        </is>
      </c>
      <c r="G529" t="n">
        <v>3.7</v>
      </c>
      <c r="H529" t="n">
        <v>0</v>
      </c>
      <c r="I529" t="n">
        <v>0</v>
      </c>
      <c r="J529" t="n">
        <v>0</v>
      </c>
      <c r="K529" t="n">
        <v>0</v>
      </c>
      <c r="L529" t="n">
        <v>0</v>
      </c>
      <c r="M529" t="n">
        <v>0</v>
      </c>
      <c r="N529" t="n">
        <v>0</v>
      </c>
      <c r="O529" t="n">
        <v>0</v>
      </c>
      <c r="P529" t="n">
        <v>0</v>
      </c>
      <c r="Q529" t="n">
        <v>0</v>
      </c>
      <c r="R529" s="2" t="inlineStr"/>
    </row>
    <row r="530" ht="15" customHeight="1">
      <c r="A530" t="inlineStr">
        <is>
          <t>A 21593-2021</t>
        </is>
      </c>
      <c r="B530" s="1" t="n">
        <v>44314</v>
      </c>
      <c r="C530" s="1" t="n">
        <v>45719</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21596-2021</t>
        </is>
      </c>
      <c r="B531" s="1" t="n">
        <v>44314</v>
      </c>
      <c r="C531" s="1" t="n">
        <v>45719</v>
      </c>
      <c r="D531" t="inlineStr">
        <is>
          <t>JÄMTLANDS LÄN</t>
        </is>
      </c>
      <c r="E531" t="inlineStr">
        <is>
          <t>HÄRJEDALEN</t>
        </is>
      </c>
      <c r="G531" t="n">
        <v>18.2</v>
      </c>
      <c r="H531" t="n">
        <v>0</v>
      </c>
      <c r="I531" t="n">
        <v>0</v>
      </c>
      <c r="J531" t="n">
        <v>0</v>
      </c>
      <c r="K531" t="n">
        <v>0</v>
      </c>
      <c r="L531" t="n">
        <v>0</v>
      </c>
      <c r="M531" t="n">
        <v>0</v>
      </c>
      <c r="N531" t="n">
        <v>0</v>
      </c>
      <c r="O531" t="n">
        <v>0</v>
      </c>
      <c r="P531" t="n">
        <v>0</v>
      </c>
      <c r="Q531" t="n">
        <v>0</v>
      </c>
      <c r="R531" s="2" t="inlineStr"/>
    </row>
    <row r="532" ht="15" customHeight="1">
      <c r="A532" t="inlineStr">
        <is>
          <t>A 21837-2021</t>
        </is>
      </c>
      <c r="B532" s="1" t="n">
        <v>44316</v>
      </c>
      <c r="C532" s="1" t="n">
        <v>45719</v>
      </c>
      <c r="D532" t="inlineStr">
        <is>
          <t>JÄMTLANDS LÄN</t>
        </is>
      </c>
      <c r="E532" t="inlineStr">
        <is>
          <t>HÄRJEDALEN</t>
        </is>
      </c>
      <c r="G532" t="n">
        <v>20</v>
      </c>
      <c r="H532" t="n">
        <v>0</v>
      </c>
      <c r="I532" t="n">
        <v>0</v>
      </c>
      <c r="J532" t="n">
        <v>0</v>
      </c>
      <c r="K532" t="n">
        <v>0</v>
      </c>
      <c r="L532" t="n">
        <v>0</v>
      </c>
      <c r="M532" t="n">
        <v>0</v>
      </c>
      <c r="N532" t="n">
        <v>0</v>
      </c>
      <c r="O532" t="n">
        <v>0</v>
      </c>
      <c r="P532" t="n">
        <v>0</v>
      </c>
      <c r="Q532" t="n">
        <v>0</v>
      </c>
      <c r="R532" s="2" t="inlineStr"/>
    </row>
    <row r="533" ht="15" customHeight="1">
      <c r="A533" t="inlineStr">
        <is>
          <t>A 21702-2021</t>
        </is>
      </c>
      <c r="B533" s="1" t="n">
        <v>44316</v>
      </c>
      <c r="C533" s="1" t="n">
        <v>45719</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21833-2021</t>
        </is>
      </c>
      <c r="B534" s="1" t="n">
        <v>44316</v>
      </c>
      <c r="C534" s="1" t="n">
        <v>45719</v>
      </c>
      <c r="D534" t="inlineStr">
        <is>
          <t>JÄMTLANDS LÄN</t>
        </is>
      </c>
      <c r="E534" t="inlineStr">
        <is>
          <t>HÄRJEDALEN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21854-2021</t>
        </is>
      </c>
      <c r="B535" s="1" t="n">
        <v>44316</v>
      </c>
      <c r="C535" s="1" t="n">
        <v>45719</v>
      </c>
      <c r="D535" t="inlineStr">
        <is>
          <t>JÄMTLANDS LÄN</t>
        </is>
      </c>
      <c r="E535" t="inlineStr">
        <is>
          <t>HÄRJEDALEN</t>
        </is>
      </c>
      <c r="G535" t="n">
        <v>10.7</v>
      </c>
      <c r="H535" t="n">
        <v>0</v>
      </c>
      <c r="I535" t="n">
        <v>0</v>
      </c>
      <c r="J535" t="n">
        <v>0</v>
      </c>
      <c r="K535" t="n">
        <v>0</v>
      </c>
      <c r="L535" t="n">
        <v>0</v>
      </c>
      <c r="M535" t="n">
        <v>0</v>
      </c>
      <c r="N535" t="n">
        <v>0</v>
      </c>
      <c r="O535" t="n">
        <v>0</v>
      </c>
      <c r="P535" t="n">
        <v>0</v>
      </c>
      <c r="Q535" t="n">
        <v>0</v>
      </c>
      <c r="R535" s="2" t="inlineStr"/>
    </row>
    <row r="536" ht="15" customHeight="1">
      <c r="A536" t="inlineStr">
        <is>
          <t>A 21848-2021</t>
        </is>
      </c>
      <c r="B536" s="1" t="n">
        <v>44316</v>
      </c>
      <c r="C536" s="1" t="n">
        <v>45719</v>
      </c>
      <c r="D536" t="inlineStr">
        <is>
          <t>JÄMTLANDS LÄN</t>
        </is>
      </c>
      <c r="E536" t="inlineStr">
        <is>
          <t>HÄRJEDALEN</t>
        </is>
      </c>
      <c r="G536" t="n">
        <v>19.4</v>
      </c>
      <c r="H536" t="n">
        <v>0</v>
      </c>
      <c r="I536" t="n">
        <v>0</v>
      </c>
      <c r="J536" t="n">
        <v>0</v>
      </c>
      <c r="K536" t="n">
        <v>0</v>
      </c>
      <c r="L536" t="n">
        <v>0</v>
      </c>
      <c r="M536" t="n">
        <v>0</v>
      </c>
      <c r="N536" t="n">
        <v>0</v>
      </c>
      <c r="O536" t="n">
        <v>0</v>
      </c>
      <c r="P536" t="n">
        <v>0</v>
      </c>
      <c r="Q536" t="n">
        <v>0</v>
      </c>
      <c r="R536" s="2" t="inlineStr"/>
    </row>
    <row r="537" ht="15" customHeight="1">
      <c r="A537" t="inlineStr">
        <is>
          <t>A 21699-2021</t>
        </is>
      </c>
      <c r="B537" s="1" t="n">
        <v>44316</v>
      </c>
      <c r="C537" s="1" t="n">
        <v>45719</v>
      </c>
      <c r="D537" t="inlineStr">
        <is>
          <t>JÄMTLANDS LÄN</t>
        </is>
      </c>
      <c r="E537" t="inlineStr">
        <is>
          <t>HÄRJEDALEN</t>
        </is>
      </c>
      <c r="G537" t="n">
        <v>6.8</v>
      </c>
      <c r="H537" t="n">
        <v>0</v>
      </c>
      <c r="I537" t="n">
        <v>0</v>
      </c>
      <c r="J537" t="n">
        <v>0</v>
      </c>
      <c r="K537" t="n">
        <v>0</v>
      </c>
      <c r="L537" t="n">
        <v>0</v>
      </c>
      <c r="M537" t="n">
        <v>0</v>
      </c>
      <c r="N537" t="n">
        <v>0</v>
      </c>
      <c r="O537" t="n">
        <v>0</v>
      </c>
      <c r="P537" t="n">
        <v>0</v>
      </c>
      <c r="Q537" t="n">
        <v>0</v>
      </c>
      <c r="R537" s="2" t="inlineStr"/>
    </row>
    <row r="538" ht="15" customHeight="1">
      <c r="A538" t="inlineStr">
        <is>
          <t>A 21703-2021</t>
        </is>
      </c>
      <c r="B538" s="1" t="n">
        <v>44316</v>
      </c>
      <c r="C538" s="1" t="n">
        <v>45719</v>
      </c>
      <c r="D538" t="inlineStr">
        <is>
          <t>JÄMTLANDS LÄN</t>
        </is>
      </c>
      <c r="E538" t="inlineStr">
        <is>
          <t>HÄRJEDALEN</t>
        </is>
      </c>
      <c r="G538" t="n">
        <v>11.9</v>
      </c>
      <c r="H538" t="n">
        <v>0</v>
      </c>
      <c r="I538" t="n">
        <v>0</v>
      </c>
      <c r="J538" t="n">
        <v>0</v>
      </c>
      <c r="K538" t="n">
        <v>0</v>
      </c>
      <c r="L538" t="n">
        <v>0</v>
      </c>
      <c r="M538" t="n">
        <v>0</v>
      </c>
      <c r="N538" t="n">
        <v>0</v>
      </c>
      <c r="O538" t="n">
        <v>0</v>
      </c>
      <c r="P538" t="n">
        <v>0</v>
      </c>
      <c r="Q538" t="n">
        <v>0</v>
      </c>
      <c r="R538" s="2" t="inlineStr"/>
    </row>
    <row r="539" ht="15" customHeight="1">
      <c r="A539" t="inlineStr">
        <is>
          <t>A 21843-2021</t>
        </is>
      </c>
      <c r="B539" s="1" t="n">
        <v>44316</v>
      </c>
      <c r="C539" s="1" t="n">
        <v>45719</v>
      </c>
      <c r="D539" t="inlineStr">
        <is>
          <t>JÄMTLANDS LÄN</t>
        </is>
      </c>
      <c r="E539" t="inlineStr">
        <is>
          <t>HÄRJEDALEN</t>
        </is>
      </c>
      <c r="G539" t="n">
        <v>15.1</v>
      </c>
      <c r="H539" t="n">
        <v>0</v>
      </c>
      <c r="I539" t="n">
        <v>0</v>
      </c>
      <c r="J539" t="n">
        <v>0</v>
      </c>
      <c r="K539" t="n">
        <v>0</v>
      </c>
      <c r="L539" t="n">
        <v>0</v>
      </c>
      <c r="M539" t="n">
        <v>0</v>
      </c>
      <c r="N539" t="n">
        <v>0</v>
      </c>
      <c r="O539" t="n">
        <v>0</v>
      </c>
      <c r="P539" t="n">
        <v>0</v>
      </c>
      <c r="Q539" t="n">
        <v>0</v>
      </c>
      <c r="R539" s="2" t="inlineStr"/>
    </row>
    <row r="540" ht="15" customHeight="1">
      <c r="A540" t="inlineStr">
        <is>
          <t>A 21705-2021</t>
        </is>
      </c>
      <c r="B540" s="1" t="n">
        <v>44316</v>
      </c>
      <c r="C540" s="1" t="n">
        <v>45719</v>
      </c>
      <c r="D540" t="inlineStr">
        <is>
          <t>JÄMTLANDS LÄN</t>
        </is>
      </c>
      <c r="E540" t="inlineStr">
        <is>
          <t>HÄRJEDALEN</t>
        </is>
      </c>
      <c r="G540" t="n">
        <v>6.1</v>
      </c>
      <c r="H540" t="n">
        <v>0</v>
      </c>
      <c r="I540" t="n">
        <v>0</v>
      </c>
      <c r="J540" t="n">
        <v>0</v>
      </c>
      <c r="K540" t="n">
        <v>0</v>
      </c>
      <c r="L540" t="n">
        <v>0</v>
      </c>
      <c r="M540" t="n">
        <v>0</v>
      </c>
      <c r="N540" t="n">
        <v>0</v>
      </c>
      <c r="O540" t="n">
        <v>0</v>
      </c>
      <c r="P540" t="n">
        <v>0</v>
      </c>
      <c r="Q540" t="n">
        <v>0</v>
      </c>
      <c r="R540" s="2" t="inlineStr"/>
    </row>
    <row r="541" ht="15" customHeight="1">
      <c r="A541" t="inlineStr">
        <is>
          <t>A 20804-2021</t>
        </is>
      </c>
      <c r="B541" s="1" t="n">
        <v>44316</v>
      </c>
      <c r="C541" s="1" t="n">
        <v>45719</v>
      </c>
      <c r="D541" t="inlineStr">
        <is>
          <t>JÄMTLANDS LÄN</t>
        </is>
      </c>
      <c r="E541" t="inlineStr">
        <is>
          <t>HÄRJEDALEN</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21753-2021</t>
        </is>
      </c>
      <c r="B542" s="1" t="n">
        <v>44319</v>
      </c>
      <c r="C542" s="1" t="n">
        <v>45719</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21298-2021</t>
        </is>
      </c>
      <c r="B543" s="1" t="n">
        <v>44320</v>
      </c>
      <c r="C543" s="1" t="n">
        <v>45719</v>
      </c>
      <c r="D543" t="inlineStr">
        <is>
          <t>JÄMTLANDS LÄN</t>
        </is>
      </c>
      <c r="E543" t="inlineStr">
        <is>
          <t>HÄRJEDALEN</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21334-2021</t>
        </is>
      </c>
      <c r="B544" s="1" t="n">
        <v>44320</v>
      </c>
      <c r="C544" s="1" t="n">
        <v>45719</v>
      </c>
      <c r="D544" t="inlineStr">
        <is>
          <t>JÄMTLANDS LÄN</t>
        </is>
      </c>
      <c r="E544" t="inlineStr">
        <is>
          <t>HÄRJEDALEN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21346-2021</t>
        </is>
      </c>
      <c r="B545" s="1" t="n">
        <v>44321</v>
      </c>
      <c r="C545" s="1" t="n">
        <v>45719</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21661-2021</t>
        </is>
      </c>
      <c r="B546" s="1" t="n">
        <v>44322</v>
      </c>
      <c r="C546" s="1" t="n">
        <v>45719</v>
      </c>
      <c r="D546" t="inlineStr">
        <is>
          <t>JÄMTLANDS LÄN</t>
        </is>
      </c>
      <c r="E546" t="inlineStr">
        <is>
          <t>HÄRJEDALEN</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22160-2021</t>
        </is>
      </c>
      <c r="B547" s="1" t="n">
        <v>44325</v>
      </c>
      <c r="C547" s="1" t="n">
        <v>45719</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23869-2021</t>
        </is>
      </c>
      <c r="B548" s="1" t="n">
        <v>44335</v>
      </c>
      <c r="C548" s="1" t="n">
        <v>45719</v>
      </c>
      <c r="D548" t="inlineStr">
        <is>
          <t>JÄMTLANDS LÄN</t>
        </is>
      </c>
      <c r="E548" t="inlineStr">
        <is>
          <t>HÄRJEDALEN</t>
        </is>
      </c>
      <c r="G548" t="n">
        <v>15.3</v>
      </c>
      <c r="H548" t="n">
        <v>0</v>
      </c>
      <c r="I548" t="n">
        <v>0</v>
      </c>
      <c r="J548" t="n">
        <v>0</v>
      </c>
      <c r="K548" t="n">
        <v>0</v>
      </c>
      <c r="L548" t="n">
        <v>0</v>
      </c>
      <c r="M548" t="n">
        <v>0</v>
      </c>
      <c r="N548" t="n">
        <v>0</v>
      </c>
      <c r="O548" t="n">
        <v>0</v>
      </c>
      <c r="P548" t="n">
        <v>0</v>
      </c>
      <c r="Q548" t="n">
        <v>0</v>
      </c>
      <c r="R548" s="2" t="inlineStr"/>
    </row>
    <row r="549" ht="15" customHeight="1">
      <c r="A549" t="inlineStr">
        <is>
          <t>A 25444-2021</t>
        </is>
      </c>
      <c r="B549" s="1" t="n">
        <v>44342</v>
      </c>
      <c r="C549" s="1" t="n">
        <v>45719</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26167-2021</t>
        </is>
      </c>
      <c r="B550" s="1" t="n">
        <v>44344</v>
      </c>
      <c r="C550" s="1" t="n">
        <v>45719</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26656-2021</t>
        </is>
      </c>
      <c r="B551" s="1" t="n">
        <v>44348</v>
      </c>
      <c r="C551" s="1" t="n">
        <v>45719</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28446-2021</t>
        </is>
      </c>
      <c r="B552" s="1" t="n">
        <v>44356</v>
      </c>
      <c r="C552" s="1" t="n">
        <v>45719</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28693-2021</t>
        </is>
      </c>
      <c r="B553" s="1" t="n">
        <v>44357</v>
      </c>
      <c r="C553" s="1" t="n">
        <v>45719</v>
      </c>
      <c r="D553" t="inlineStr">
        <is>
          <t>JÄMTLANDS LÄN</t>
        </is>
      </c>
      <c r="E553" t="inlineStr">
        <is>
          <t>HÄRJEDALEN</t>
        </is>
      </c>
      <c r="G553" t="n">
        <v>20</v>
      </c>
      <c r="H553" t="n">
        <v>0</v>
      </c>
      <c r="I553" t="n">
        <v>0</v>
      </c>
      <c r="J553" t="n">
        <v>0</v>
      </c>
      <c r="K553" t="n">
        <v>0</v>
      </c>
      <c r="L553" t="n">
        <v>0</v>
      </c>
      <c r="M553" t="n">
        <v>0</v>
      </c>
      <c r="N553" t="n">
        <v>0</v>
      </c>
      <c r="O553" t="n">
        <v>0</v>
      </c>
      <c r="P553" t="n">
        <v>0</v>
      </c>
      <c r="Q553" t="n">
        <v>0</v>
      </c>
      <c r="R553" s="2" t="inlineStr"/>
    </row>
    <row r="554" ht="15" customHeight="1">
      <c r="A554" t="inlineStr">
        <is>
          <t>A 29284-2021</t>
        </is>
      </c>
      <c r="B554" s="1" t="n">
        <v>44361</v>
      </c>
      <c r="C554" s="1" t="n">
        <v>45719</v>
      </c>
      <c r="D554" t="inlineStr">
        <is>
          <t>JÄMTLANDS LÄN</t>
        </is>
      </c>
      <c r="E554" t="inlineStr">
        <is>
          <t>HÄRJEDALEN</t>
        </is>
      </c>
      <c r="F554" t="inlineStr">
        <is>
          <t>Holmen skog AB</t>
        </is>
      </c>
      <c r="G554" t="n">
        <v>10.5</v>
      </c>
      <c r="H554" t="n">
        <v>0</v>
      </c>
      <c r="I554" t="n">
        <v>0</v>
      </c>
      <c r="J554" t="n">
        <v>0</v>
      </c>
      <c r="K554" t="n">
        <v>0</v>
      </c>
      <c r="L554" t="n">
        <v>0</v>
      </c>
      <c r="M554" t="n">
        <v>0</v>
      </c>
      <c r="N554" t="n">
        <v>0</v>
      </c>
      <c r="O554" t="n">
        <v>0</v>
      </c>
      <c r="P554" t="n">
        <v>0</v>
      </c>
      <c r="Q554" t="n">
        <v>0</v>
      </c>
      <c r="R554" s="2" t="inlineStr"/>
    </row>
    <row r="555" ht="15" customHeight="1">
      <c r="A555" t="inlineStr">
        <is>
          <t>A 29372-2021</t>
        </is>
      </c>
      <c r="B555" s="1" t="n">
        <v>44361</v>
      </c>
      <c r="C555" s="1" t="n">
        <v>45719</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29452-2021</t>
        </is>
      </c>
      <c r="B556" s="1" t="n">
        <v>44361</v>
      </c>
      <c r="C556" s="1" t="n">
        <v>45719</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29581-2021</t>
        </is>
      </c>
      <c r="B557" s="1" t="n">
        <v>44361</v>
      </c>
      <c r="C557" s="1" t="n">
        <v>45719</v>
      </c>
      <c r="D557" t="inlineStr">
        <is>
          <t>JÄMTLANDS LÄN</t>
        </is>
      </c>
      <c r="E557" t="inlineStr">
        <is>
          <t>HÄRJEDALEN</t>
        </is>
      </c>
      <c r="G557" t="n">
        <v>50.9</v>
      </c>
      <c r="H557" t="n">
        <v>0</v>
      </c>
      <c r="I557" t="n">
        <v>0</v>
      </c>
      <c r="J557" t="n">
        <v>0</v>
      </c>
      <c r="K557" t="n">
        <v>0</v>
      </c>
      <c r="L557" t="n">
        <v>0</v>
      </c>
      <c r="M557" t="n">
        <v>0</v>
      </c>
      <c r="N557" t="n">
        <v>0</v>
      </c>
      <c r="O557" t="n">
        <v>0</v>
      </c>
      <c r="P557" t="n">
        <v>0</v>
      </c>
      <c r="Q557" t="n">
        <v>0</v>
      </c>
      <c r="R557" s="2" t="inlineStr"/>
    </row>
    <row r="558" ht="15" customHeight="1">
      <c r="A558" t="inlineStr">
        <is>
          <t>A 29585-2021</t>
        </is>
      </c>
      <c r="B558" s="1" t="n">
        <v>44361</v>
      </c>
      <c r="C558" s="1" t="n">
        <v>45719</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30302-2021</t>
        </is>
      </c>
      <c r="B559" s="1" t="n">
        <v>44364</v>
      </c>
      <c r="C559" s="1" t="n">
        <v>45719</v>
      </c>
      <c r="D559" t="inlineStr">
        <is>
          <t>JÄMTLANDS LÄN</t>
        </is>
      </c>
      <c r="E559" t="inlineStr">
        <is>
          <t>HÄRJEDALEN</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30323-2021</t>
        </is>
      </c>
      <c r="B560" s="1" t="n">
        <v>44364</v>
      </c>
      <c r="C560" s="1" t="n">
        <v>45719</v>
      </c>
      <c r="D560" t="inlineStr">
        <is>
          <t>JÄMTLANDS LÄN</t>
        </is>
      </c>
      <c r="E560" t="inlineStr">
        <is>
          <t>HÄRJEDALEN</t>
        </is>
      </c>
      <c r="F560" t="inlineStr">
        <is>
          <t>Holmen skog AB</t>
        </is>
      </c>
      <c r="G560" t="n">
        <v>11.2</v>
      </c>
      <c r="H560" t="n">
        <v>0</v>
      </c>
      <c r="I560" t="n">
        <v>0</v>
      </c>
      <c r="J560" t="n">
        <v>0</v>
      </c>
      <c r="K560" t="n">
        <v>0</v>
      </c>
      <c r="L560" t="n">
        <v>0</v>
      </c>
      <c r="M560" t="n">
        <v>0</v>
      </c>
      <c r="N560" t="n">
        <v>0</v>
      </c>
      <c r="O560" t="n">
        <v>0</v>
      </c>
      <c r="P560" t="n">
        <v>0</v>
      </c>
      <c r="Q560" t="n">
        <v>0</v>
      </c>
      <c r="R560" s="2" t="inlineStr"/>
    </row>
    <row r="561" ht="15" customHeight="1">
      <c r="A561" t="inlineStr">
        <is>
          <t>A 30315-2021</t>
        </is>
      </c>
      <c r="B561" s="1" t="n">
        <v>44364</v>
      </c>
      <c r="C561" s="1" t="n">
        <v>45719</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30311-2021</t>
        </is>
      </c>
      <c r="B562" s="1" t="n">
        <v>44364</v>
      </c>
      <c r="C562" s="1" t="n">
        <v>45719</v>
      </c>
      <c r="D562" t="inlineStr">
        <is>
          <t>JÄMTLANDS LÄN</t>
        </is>
      </c>
      <c r="E562" t="inlineStr">
        <is>
          <t>HÄRJEDALEN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30321-2021</t>
        </is>
      </c>
      <c r="B563" s="1" t="n">
        <v>44364</v>
      </c>
      <c r="C563" s="1" t="n">
        <v>45719</v>
      </c>
      <c r="D563" t="inlineStr">
        <is>
          <t>JÄMTLANDS LÄN</t>
        </is>
      </c>
      <c r="E563" t="inlineStr">
        <is>
          <t>HÄRJEDALEN</t>
        </is>
      </c>
      <c r="F563" t="inlineStr">
        <is>
          <t>Holmen skog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30317-2021</t>
        </is>
      </c>
      <c r="B564" s="1" t="n">
        <v>44364</v>
      </c>
      <c r="C564" s="1" t="n">
        <v>45719</v>
      </c>
      <c r="D564" t="inlineStr">
        <is>
          <t>JÄMTLANDS LÄN</t>
        </is>
      </c>
      <c r="E564" t="inlineStr">
        <is>
          <t>HÄRJEDALEN</t>
        </is>
      </c>
      <c r="F564" t="inlineStr">
        <is>
          <t>Holmen skog AB</t>
        </is>
      </c>
      <c r="G564" t="n">
        <v>8.4</v>
      </c>
      <c r="H564" t="n">
        <v>0</v>
      </c>
      <c r="I564" t="n">
        <v>0</v>
      </c>
      <c r="J564" t="n">
        <v>0</v>
      </c>
      <c r="K564" t="n">
        <v>0</v>
      </c>
      <c r="L564" t="n">
        <v>0</v>
      </c>
      <c r="M564" t="n">
        <v>0</v>
      </c>
      <c r="N564" t="n">
        <v>0</v>
      </c>
      <c r="O564" t="n">
        <v>0</v>
      </c>
      <c r="P564" t="n">
        <v>0</v>
      </c>
      <c r="Q564" t="n">
        <v>0</v>
      </c>
      <c r="R564" s="2" t="inlineStr"/>
    </row>
    <row r="565" ht="15" customHeight="1">
      <c r="A565" t="inlineStr">
        <is>
          <t>A 30684-2021</t>
        </is>
      </c>
      <c r="B565" s="1" t="n">
        <v>44365</v>
      </c>
      <c r="C565" s="1" t="n">
        <v>45719</v>
      </c>
      <c r="D565" t="inlineStr">
        <is>
          <t>JÄMTLANDS LÄN</t>
        </is>
      </c>
      <c r="E565" t="inlineStr">
        <is>
          <t>HÄRJEDALEN</t>
        </is>
      </c>
      <c r="G565" t="n">
        <v>4</v>
      </c>
      <c r="H565" t="n">
        <v>0</v>
      </c>
      <c r="I565" t="n">
        <v>0</v>
      </c>
      <c r="J565" t="n">
        <v>0</v>
      </c>
      <c r="K565" t="n">
        <v>0</v>
      </c>
      <c r="L565" t="n">
        <v>0</v>
      </c>
      <c r="M565" t="n">
        <v>0</v>
      </c>
      <c r="N565" t="n">
        <v>0</v>
      </c>
      <c r="O565" t="n">
        <v>0</v>
      </c>
      <c r="P565" t="n">
        <v>0</v>
      </c>
      <c r="Q565" t="n">
        <v>0</v>
      </c>
      <c r="R565" s="2" t="inlineStr"/>
    </row>
    <row r="566" ht="15" customHeight="1">
      <c r="A566" t="inlineStr">
        <is>
          <t>A 31212-2021</t>
        </is>
      </c>
      <c r="B566" s="1" t="n">
        <v>44368</v>
      </c>
      <c r="C566" s="1" t="n">
        <v>45719</v>
      </c>
      <c r="D566" t="inlineStr">
        <is>
          <t>JÄMTLANDS LÄN</t>
        </is>
      </c>
      <c r="E566" t="inlineStr">
        <is>
          <t>HÄRJEDALEN</t>
        </is>
      </c>
      <c r="G566" t="n">
        <v>5.5</v>
      </c>
      <c r="H566" t="n">
        <v>0</v>
      </c>
      <c r="I566" t="n">
        <v>0</v>
      </c>
      <c r="J566" t="n">
        <v>0</v>
      </c>
      <c r="K566" t="n">
        <v>0</v>
      </c>
      <c r="L566" t="n">
        <v>0</v>
      </c>
      <c r="M566" t="n">
        <v>0</v>
      </c>
      <c r="N566" t="n">
        <v>0</v>
      </c>
      <c r="O566" t="n">
        <v>0</v>
      </c>
      <c r="P566" t="n">
        <v>0</v>
      </c>
      <c r="Q566" t="n">
        <v>0</v>
      </c>
      <c r="R566" s="2" t="inlineStr"/>
    </row>
    <row r="567" ht="15" customHeight="1">
      <c r="A567" t="inlineStr">
        <is>
          <t>A 33424-2021</t>
        </is>
      </c>
      <c r="B567" s="1" t="n">
        <v>44377</v>
      </c>
      <c r="C567" s="1" t="n">
        <v>45719</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34453-2021</t>
        </is>
      </c>
      <c r="B568" s="1" t="n">
        <v>44381</v>
      </c>
      <c r="C568" s="1" t="n">
        <v>45719</v>
      </c>
      <c r="D568" t="inlineStr">
        <is>
          <t>JÄMTLANDS LÄN</t>
        </is>
      </c>
      <c r="E568" t="inlineStr">
        <is>
          <t>HÄRJEDALEN</t>
        </is>
      </c>
      <c r="G568" t="n">
        <v>12.7</v>
      </c>
      <c r="H568" t="n">
        <v>0</v>
      </c>
      <c r="I568" t="n">
        <v>0</v>
      </c>
      <c r="J568" t="n">
        <v>0</v>
      </c>
      <c r="K568" t="n">
        <v>0</v>
      </c>
      <c r="L568" t="n">
        <v>0</v>
      </c>
      <c r="M568" t="n">
        <v>0</v>
      </c>
      <c r="N568" t="n">
        <v>0</v>
      </c>
      <c r="O568" t="n">
        <v>0</v>
      </c>
      <c r="P568" t="n">
        <v>0</v>
      </c>
      <c r="Q568" t="n">
        <v>0</v>
      </c>
      <c r="R568" s="2" t="inlineStr"/>
    </row>
    <row r="569" ht="15" customHeight="1">
      <c r="A569" t="inlineStr">
        <is>
          <t>A 35194-2021</t>
        </is>
      </c>
      <c r="B569" s="1" t="n">
        <v>44384</v>
      </c>
      <c r="C569" s="1" t="n">
        <v>45719</v>
      </c>
      <c r="D569" t="inlineStr">
        <is>
          <t>JÄMTLANDS LÄN</t>
        </is>
      </c>
      <c r="E569" t="inlineStr">
        <is>
          <t>HÄRJEDALEN</t>
        </is>
      </c>
      <c r="G569" t="n">
        <v>46.4</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45719</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35572-2021</t>
        </is>
      </c>
      <c r="B571" s="1" t="n">
        <v>44386</v>
      </c>
      <c r="C571" s="1" t="n">
        <v>45719</v>
      </c>
      <c r="D571" t="inlineStr">
        <is>
          <t>JÄMTLANDS LÄN</t>
        </is>
      </c>
      <c r="E571" t="inlineStr">
        <is>
          <t>HÄRJEDALEN</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35573-2021</t>
        </is>
      </c>
      <c r="B572" s="1" t="n">
        <v>44386</v>
      </c>
      <c r="C572" s="1" t="n">
        <v>45719</v>
      </c>
      <c r="D572" t="inlineStr">
        <is>
          <t>JÄMTLANDS LÄN</t>
        </is>
      </c>
      <c r="E572" t="inlineStr">
        <is>
          <t>HÄRJEDALEN</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36235-2021</t>
        </is>
      </c>
      <c r="B573" s="1" t="n">
        <v>44389</v>
      </c>
      <c r="C573" s="1" t="n">
        <v>45719</v>
      </c>
      <c r="D573" t="inlineStr">
        <is>
          <t>JÄMTLANDS LÄN</t>
        </is>
      </c>
      <c r="E573" t="inlineStr">
        <is>
          <t>HÄRJEDALEN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37155-2021</t>
        </is>
      </c>
      <c r="B574" s="1" t="n">
        <v>44396</v>
      </c>
      <c r="C574" s="1" t="n">
        <v>45719</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37832-2021</t>
        </is>
      </c>
      <c r="B575" s="1" t="n">
        <v>44403</v>
      </c>
      <c r="C575" s="1" t="n">
        <v>45719</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37825-2021</t>
        </is>
      </c>
      <c r="B576" s="1" t="n">
        <v>44403</v>
      </c>
      <c r="C576" s="1" t="n">
        <v>45719</v>
      </c>
      <c r="D576" t="inlineStr">
        <is>
          <t>JÄMTLANDS LÄN</t>
        </is>
      </c>
      <c r="E576" t="inlineStr">
        <is>
          <t>HÄRJEDALEN</t>
        </is>
      </c>
      <c r="G576" t="n">
        <v>0.1</v>
      </c>
      <c r="H576" t="n">
        <v>0</v>
      </c>
      <c r="I576" t="n">
        <v>0</v>
      </c>
      <c r="J576" t="n">
        <v>0</v>
      </c>
      <c r="K576" t="n">
        <v>0</v>
      </c>
      <c r="L576" t="n">
        <v>0</v>
      </c>
      <c r="M576" t="n">
        <v>0</v>
      </c>
      <c r="N576" t="n">
        <v>0</v>
      </c>
      <c r="O576" t="n">
        <v>0</v>
      </c>
      <c r="P576" t="n">
        <v>0</v>
      </c>
      <c r="Q576" t="n">
        <v>0</v>
      </c>
      <c r="R576" s="2" t="inlineStr"/>
    </row>
    <row r="577" ht="15" customHeight="1">
      <c r="A577" t="inlineStr">
        <is>
          <t>A 38001-2021</t>
        </is>
      </c>
      <c r="B577" s="1" t="n">
        <v>44404</v>
      </c>
      <c r="C577" s="1" t="n">
        <v>45719</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38215-2021</t>
        </is>
      </c>
      <c r="B578" s="1" t="n">
        <v>44405</v>
      </c>
      <c r="C578" s="1" t="n">
        <v>45719</v>
      </c>
      <c r="D578" t="inlineStr">
        <is>
          <t>JÄMTLANDS LÄN</t>
        </is>
      </c>
      <c r="E578" t="inlineStr">
        <is>
          <t>HÄRJEDALEN</t>
        </is>
      </c>
      <c r="F578" t="inlineStr">
        <is>
          <t>Övriga Aktiebolag</t>
        </is>
      </c>
      <c r="G578" t="n">
        <v>6.4</v>
      </c>
      <c r="H578" t="n">
        <v>0</v>
      </c>
      <c r="I578" t="n">
        <v>0</v>
      </c>
      <c r="J578" t="n">
        <v>0</v>
      </c>
      <c r="K578" t="n">
        <v>0</v>
      </c>
      <c r="L578" t="n">
        <v>0</v>
      </c>
      <c r="M578" t="n">
        <v>0</v>
      </c>
      <c r="N578" t="n">
        <v>0</v>
      </c>
      <c r="O578" t="n">
        <v>0</v>
      </c>
      <c r="P578" t="n">
        <v>0</v>
      </c>
      <c r="Q578" t="n">
        <v>0</v>
      </c>
      <c r="R578" s="2" t="inlineStr"/>
    </row>
    <row r="579" ht="15" customHeight="1">
      <c r="A579" t="inlineStr">
        <is>
          <t>A 38356-2021</t>
        </is>
      </c>
      <c r="B579" s="1" t="n">
        <v>44406</v>
      </c>
      <c r="C579" s="1" t="n">
        <v>45719</v>
      </c>
      <c r="D579" t="inlineStr">
        <is>
          <t>JÄMTLANDS LÄN</t>
        </is>
      </c>
      <c r="E579" t="inlineStr">
        <is>
          <t>HÄRJEDALEN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38794-2021</t>
        </is>
      </c>
      <c r="B580" s="1" t="n">
        <v>44410</v>
      </c>
      <c r="C580" s="1" t="n">
        <v>45719</v>
      </c>
      <c r="D580" t="inlineStr">
        <is>
          <t>JÄMTLANDS LÄN</t>
        </is>
      </c>
      <c r="E580" t="inlineStr">
        <is>
          <t>HÄRJEDALEN</t>
        </is>
      </c>
      <c r="G580" t="n">
        <v>4.2</v>
      </c>
      <c r="H580" t="n">
        <v>0</v>
      </c>
      <c r="I580" t="n">
        <v>0</v>
      </c>
      <c r="J580" t="n">
        <v>0</v>
      </c>
      <c r="K580" t="n">
        <v>0</v>
      </c>
      <c r="L580" t="n">
        <v>0</v>
      </c>
      <c r="M580" t="n">
        <v>0</v>
      </c>
      <c r="N580" t="n">
        <v>0</v>
      </c>
      <c r="O580" t="n">
        <v>0</v>
      </c>
      <c r="P580" t="n">
        <v>0</v>
      </c>
      <c r="Q580" t="n">
        <v>0</v>
      </c>
      <c r="R580" s="2" t="inlineStr"/>
    </row>
    <row r="581" ht="15" customHeight="1">
      <c r="A581" t="inlineStr">
        <is>
          <t>A 39321-2021</t>
        </is>
      </c>
      <c r="B581" s="1" t="n">
        <v>44413</v>
      </c>
      <c r="C581" s="1" t="n">
        <v>45719</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39493-2021</t>
        </is>
      </c>
      <c r="B582" s="1" t="n">
        <v>44414</v>
      </c>
      <c r="C582" s="1" t="n">
        <v>45719</v>
      </c>
      <c r="D582" t="inlineStr">
        <is>
          <t>JÄMTLANDS LÄN</t>
        </is>
      </c>
      <c r="E582" t="inlineStr">
        <is>
          <t>HÄRJEDALEN</t>
        </is>
      </c>
      <c r="G582" t="n">
        <v>13.5</v>
      </c>
      <c r="H582" t="n">
        <v>0</v>
      </c>
      <c r="I582" t="n">
        <v>0</v>
      </c>
      <c r="J582" t="n">
        <v>0</v>
      </c>
      <c r="K582" t="n">
        <v>0</v>
      </c>
      <c r="L582" t="n">
        <v>0</v>
      </c>
      <c r="M582" t="n">
        <v>0</v>
      </c>
      <c r="N582" t="n">
        <v>0</v>
      </c>
      <c r="O582" t="n">
        <v>0</v>
      </c>
      <c r="P582" t="n">
        <v>0</v>
      </c>
      <c r="Q582" t="n">
        <v>0</v>
      </c>
      <c r="R582" s="2" t="inlineStr"/>
    </row>
    <row r="583" ht="15" customHeight="1">
      <c r="A583" t="inlineStr">
        <is>
          <t>A 39492-2021</t>
        </is>
      </c>
      <c r="B583" s="1" t="n">
        <v>44414</v>
      </c>
      <c r="C583" s="1" t="n">
        <v>45719</v>
      </c>
      <c r="D583" t="inlineStr">
        <is>
          <t>JÄMTLANDS LÄN</t>
        </is>
      </c>
      <c r="E583" t="inlineStr">
        <is>
          <t>HÄRJEDALEN</t>
        </is>
      </c>
      <c r="G583" t="n">
        <v>28.3</v>
      </c>
      <c r="H583" t="n">
        <v>0</v>
      </c>
      <c r="I583" t="n">
        <v>0</v>
      </c>
      <c r="J583" t="n">
        <v>0</v>
      </c>
      <c r="K583" t="n">
        <v>0</v>
      </c>
      <c r="L583" t="n">
        <v>0</v>
      </c>
      <c r="M583" t="n">
        <v>0</v>
      </c>
      <c r="N583" t="n">
        <v>0</v>
      </c>
      <c r="O583" t="n">
        <v>0</v>
      </c>
      <c r="P583" t="n">
        <v>0</v>
      </c>
      <c r="Q583" t="n">
        <v>0</v>
      </c>
      <c r="R583" s="2" t="inlineStr"/>
    </row>
    <row r="584" ht="15" customHeight="1">
      <c r="A584" t="inlineStr">
        <is>
          <t>A 39610-2021</t>
        </is>
      </c>
      <c r="B584" s="1" t="n">
        <v>44417</v>
      </c>
      <c r="C584" s="1" t="n">
        <v>45719</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39616-2021</t>
        </is>
      </c>
      <c r="B585" s="1" t="n">
        <v>44417</v>
      </c>
      <c r="C585" s="1" t="n">
        <v>45719</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39611-2021</t>
        </is>
      </c>
      <c r="B586" s="1" t="n">
        <v>44417</v>
      </c>
      <c r="C586" s="1" t="n">
        <v>45719</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39631-2021</t>
        </is>
      </c>
      <c r="B587" s="1" t="n">
        <v>44417</v>
      </c>
      <c r="C587" s="1" t="n">
        <v>45719</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39618-2021</t>
        </is>
      </c>
      <c r="B588" s="1" t="n">
        <v>44417</v>
      </c>
      <c r="C588" s="1" t="n">
        <v>45719</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39979-2021</t>
        </is>
      </c>
      <c r="B589" s="1" t="n">
        <v>44418</v>
      </c>
      <c r="C589" s="1" t="n">
        <v>45719</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39951-2021</t>
        </is>
      </c>
      <c r="B590" s="1" t="n">
        <v>44418</v>
      </c>
      <c r="C590" s="1" t="n">
        <v>45719</v>
      </c>
      <c r="D590" t="inlineStr">
        <is>
          <t>JÄMTLANDS LÄN</t>
        </is>
      </c>
      <c r="E590" t="inlineStr">
        <is>
          <t>HÄRJEDALEN</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39950-2021</t>
        </is>
      </c>
      <c r="B591" s="1" t="n">
        <v>44418</v>
      </c>
      <c r="C591" s="1" t="n">
        <v>45719</v>
      </c>
      <c r="D591" t="inlineStr">
        <is>
          <t>JÄMTLANDS LÄN</t>
        </is>
      </c>
      <c r="E591" t="inlineStr">
        <is>
          <t>HÄRJEDALEN</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40412-2021</t>
        </is>
      </c>
      <c r="B592" s="1" t="n">
        <v>44419</v>
      </c>
      <c r="C592" s="1" t="n">
        <v>45719</v>
      </c>
      <c r="D592" t="inlineStr">
        <is>
          <t>JÄMTLANDS LÄN</t>
        </is>
      </c>
      <c r="E592" t="inlineStr">
        <is>
          <t>HÄRJEDALEN</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40497-2021</t>
        </is>
      </c>
      <c r="B593" s="1" t="n">
        <v>44420</v>
      </c>
      <c r="C593" s="1" t="n">
        <v>45719</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40808-2021</t>
        </is>
      </c>
      <c r="B594" s="1" t="n">
        <v>44421</v>
      </c>
      <c r="C594" s="1" t="n">
        <v>45719</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41149-2021</t>
        </is>
      </c>
      <c r="B595" s="1" t="n">
        <v>44423</v>
      </c>
      <c r="C595" s="1" t="n">
        <v>45719</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41147-2021</t>
        </is>
      </c>
      <c r="B596" s="1" t="n">
        <v>44423</v>
      </c>
      <c r="C596" s="1" t="n">
        <v>45719</v>
      </c>
      <c r="D596" t="inlineStr">
        <is>
          <t>JÄMTLANDS LÄN</t>
        </is>
      </c>
      <c r="E596" t="inlineStr">
        <is>
          <t>HÄRJEDALEN</t>
        </is>
      </c>
      <c r="G596" t="n">
        <v>2.2</v>
      </c>
      <c r="H596" t="n">
        <v>0</v>
      </c>
      <c r="I596" t="n">
        <v>0</v>
      </c>
      <c r="J596" t="n">
        <v>0</v>
      </c>
      <c r="K596" t="n">
        <v>0</v>
      </c>
      <c r="L596" t="n">
        <v>0</v>
      </c>
      <c r="M596" t="n">
        <v>0</v>
      </c>
      <c r="N596" t="n">
        <v>0</v>
      </c>
      <c r="O596" t="n">
        <v>0</v>
      </c>
      <c r="P596" t="n">
        <v>0</v>
      </c>
      <c r="Q596" t="n">
        <v>0</v>
      </c>
      <c r="R596" s="2" t="inlineStr"/>
    </row>
    <row r="597" ht="15" customHeight="1">
      <c r="A597" t="inlineStr">
        <is>
          <t>A 41146-2021</t>
        </is>
      </c>
      <c r="B597" s="1" t="n">
        <v>44423</v>
      </c>
      <c r="C597" s="1" t="n">
        <v>45719</v>
      </c>
      <c r="D597" t="inlineStr">
        <is>
          <t>JÄMTLANDS LÄN</t>
        </is>
      </c>
      <c r="E597" t="inlineStr">
        <is>
          <t>HÄRJEDALEN</t>
        </is>
      </c>
      <c r="G597" t="n">
        <v>14.9</v>
      </c>
      <c r="H597" t="n">
        <v>0</v>
      </c>
      <c r="I597" t="n">
        <v>0</v>
      </c>
      <c r="J597" t="n">
        <v>0</v>
      </c>
      <c r="K597" t="n">
        <v>0</v>
      </c>
      <c r="L597" t="n">
        <v>0</v>
      </c>
      <c r="M597" t="n">
        <v>0</v>
      </c>
      <c r="N597" t="n">
        <v>0</v>
      </c>
      <c r="O597" t="n">
        <v>0</v>
      </c>
      <c r="P597" t="n">
        <v>0</v>
      </c>
      <c r="Q597" t="n">
        <v>0</v>
      </c>
      <c r="R597" s="2" t="inlineStr"/>
    </row>
    <row r="598" ht="15" customHeight="1">
      <c r="A598" t="inlineStr">
        <is>
          <t>A 41387-2021</t>
        </is>
      </c>
      <c r="B598" s="1" t="n">
        <v>44424</v>
      </c>
      <c r="C598" s="1" t="n">
        <v>45719</v>
      </c>
      <c r="D598" t="inlineStr">
        <is>
          <t>JÄMTLANDS LÄN</t>
        </is>
      </c>
      <c r="E598" t="inlineStr">
        <is>
          <t>HÄRJEDALEN</t>
        </is>
      </c>
      <c r="G598" t="n">
        <v>9.5</v>
      </c>
      <c r="H598" t="n">
        <v>0</v>
      </c>
      <c r="I598" t="n">
        <v>0</v>
      </c>
      <c r="J598" t="n">
        <v>0</v>
      </c>
      <c r="K598" t="n">
        <v>0</v>
      </c>
      <c r="L598" t="n">
        <v>0</v>
      </c>
      <c r="M598" t="n">
        <v>0</v>
      </c>
      <c r="N598" t="n">
        <v>0</v>
      </c>
      <c r="O598" t="n">
        <v>0</v>
      </c>
      <c r="P598" t="n">
        <v>0</v>
      </c>
      <c r="Q598" t="n">
        <v>0</v>
      </c>
      <c r="R598" s="2" t="inlineStr"/>
    </row>
    <row r="599" ht="15" customHeight="1">
      <c r="A599" t="inlineStr">
        <is>
          <t>A 41395-2021</t>
        </is>
      </c>
      <c r="B599" s="1" t="n">
        <v>44424</v>
      </c>
      <c r="C599" s="1" t="n">
        <v>45719</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41400-2021</t>
        </is>
      </c>
      <c r="B600" s="1" t="n">
        <v>44424</v>
      </c>
      <c r="C600" s="1" t="n">
        <v>45719</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41391-2021</t>
        </is>
      </c>
      <c r="B601" s="1" t="n">
        <v>44424</v>
      </c>
      <c r="C601" s="1" t="n">
        <v>45719</v>
      </c>
      <c r="D601" t="inlineStr">
        <is>
          <t>JÄMTLANDS LÄN</t>
        </is>
      </c>
      <c r="E601" t="inlineStr">
        <is>
          <t>HÄRJEDALEN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41978-2021</t>
        </is>
      </c>
      <c r="B602" s="1" t="n">
        <v>44426</v>
      </c>
      <c r="C602" s="1" t="n">
        <v>45719</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42827-2021</t>
        </is>
      </c>
      <c r="B603" s="1" t="n">
        <v>44430</v>
      </c>
      <c r="C603" s="1" t="n">
        <v>45719</v>
      </c>
      <c r="D603" t="inlineStr">
        <is>
          <t>JÄMTLANDS LÄN</t>
        </is>
      </c>
      <c r="E603" t="inlineStr">
        <is>
          <t>HÄRJEDALEN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44519-2021</t>
        </is>
      </c>
      <c r="B604" s="1" t="n">
        <v>44435</v>
      </c>
      <c r="C604" s="1" t="n">
        <v>45719</v>
      </c>
      <c r="D604" t="inlineStr">
        <is>
          <t>JÄMTLANDS LÄN</t>
        </is>
      </c>
      <c r="E604" t="inlineStr">
        <is>
          <t>HÄRJEDALEN</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45719</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45363-2021</t>
        </is>
      </c>
      <c r="B606" s="1" t="n">
        <v>44440</v>
      </c>
      <c r="C606" s="1" t="n">
        <v>45719</v>
      </c>
      <c r="D606" t="inlineStr">
        <is>
          <t>JÄMTLANDS LÄN</t>
        </is>
      </c>
      <c r="E606" t="inlineStr">
        <is>
          <t>HÄRJEDALEN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45365-2021</t>
        </is>
      </c>
      <c r="B607" s="1" t="n">
        <v>44440</v>
      </c>
      <c r="C607" s="1" t="n">
        <v>45719</v>
      </c>
      <c r="D607" t="inlineStr">
        <is>
          <t>JÄMTLANDS LÄN</t>
        </is>
      </c>
      <c r="E607" t="inlineStr">
        <is>
          <t>HÄRJEDALEN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45744-2021</t>
        </is>
      </c>
      <c r="B608" s="1" t="n">
        <v>44441</v>
      </c>
      <c r="C608" s="1" t="n">
        <v>45719</v>
      </c>
      <c r="D608" t="inlineStr">
        <is>
          <t>JÄMTLANDS LÄN</t>
        </is>
      </c>
      <c r="E608" t="inlineStr">
        <is>
          <t>HÄRJEDALEN</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46352-2021</t>
        </is>
      </c>
      <c r="B609" s="1" t="n">
        <v>44442</v>
      </c>
      <c r="C609" s="1" t="n">
        <v>45719</v>
      </c>
      <c r="D609" t="inlineStr">
        <is>
          <t>JÄMTLANDS LÄN</t>
        </is>
      </c>
      <c r="E609" t="inlineStr">
        <is>
          <t>HÄRJEDALEN</t>
        </is>
      </c>
      <c r="G609" t="n">
        <v>4.4</v>
      </c>
      <c r="H609" t="n">
        <v>0</v>
      </c>
      <c r="I609" t="n">
        <v>0</v>
      </c>
      <c r="J609" t="n">
        <v>0</v>
      </c>
      <c r="K609" t="n">
        <v>0</v>
      </c>
      <c r="L609" t="n">
        <v>0</v>
      </c>
      <c r="M609" t="n">
        <v>0</v>
      </c>
      <c r="N609" t="n">
        <v>0</v>
      </c>
      <c r="O609" t="n">
        <v>0</v>
      </c>
      <c r="P609" t="n">
        <v>0</v>
      </c>
      <c r="Q609" t="n">
        <v>0</v>
      </c>
      <c r="R609" s="2" t="inlineStr"/>
    </row>
    <row r="610" ht="15" customHeight="1">
      <c r="A610" t="inlineStr">
        <is>
          <t>A 47289-2021</t>
        </is>
      </c>
      <c r="B610" s="1" t="n">
        <v>44447</v>
      </c>
      <c r="C610" s="1" t="n">
        <v>45719</v>
      </c>
      <c r="D610" t="inlineStr">
        <is>
          <t>JÄMTLANDS LÄN</t>
        </is>
      </c>
      <c r="E610" t="inlineStr">
        <is>
          <t>HÄRJEDALEN</t>
        </is>
      </c>
      <c r="F610" t="inlineStr">
        <is>
          <t>Holmen skog AB</t>
        </is>
      </c>
      <c r="G610" t="n">
        <v>31.7</v>
      </c>
      <c r="H610" t="n">
        <v>0</v>
      </c>
      <c r="I610" t="n">
        <v>0</v>
      </c>
      <c r="J610" t="n">
        <v>0</v>
      </c>
      <c r="K610" t="n">
        <v>0</v>
      </c>
      <c r="L610" t="n">
        <v>0</v>
      </c>
      <c r="M610" t="n">
        <v>0</v>
      </c>
      <c r="N610" t="n">
        <v>0</v>
      </c>
      <c r="O610" t="n">
        <v>0</v>
      </c>
      <c r="P610" t="n">
        <v>0</v>
      </c>
      <c r="Q610" t="n">
        <v>0</v>
      </c>
      <c r="R610" s="2" t="inlineStr"/>
    </row>
    <row r="611" ht="15" customHeight="1">
      <c r="A611" t="inlineStr">
        <is>
          <t>A 48079-2021</t>
        </is>
      </c>
      <c r="B611" s="1" t="n">
        <v>44449</v>
      </c>
      <c r="C611" s="1" t="n">
        <v>45719</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48132-2021</t>
        </is>
      </c>
      <c r="B612" s="1" t="n">
        <v>44449</v>
      </c>
      <c r="C612" s="1" t="n">
        <v>45719</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48142-2021</t>
        </is>
      </c>
      <c r="B613" s="1" t="n">
        <v>44449</v>
      </c>
      <c r="C613" s="1" t="n">
        <v>45719</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48444-2021</t>
        </is>
      </c>
      <c r="B614" s="1" t="n">
        <v>44452</v>
      </c>
      <c r="C614" s="1" t="n">
        <v>45719</v>
      </c>
      <c r="D614" t="inlineStr">
        <is>
          <t>JÄMTLANDS LÄN</t>
        </is>
      </c>
      <c r="E614" t="inlineStr">
        <is>
          <t>HÄRJEDALEN</t>
        </is>
      </c>
      <c r="F614" t="inlineStr">
        <is>
          <t>Holmen skog AB</t>
        </is>
      </c>
      <c r="G614" t="n">
        <v>7.4</v>
      </c>
      <c r="H614" t="n">
        <v>0</v>
      </c>
      <c r="I614" t="n">
        <v>0</v>
      </c>
      <c r="J614" t="n">
        <v>0</v>
      </c>
      <c r="K614" t="n">
        <v>0</v>
      </c>
      <c r="L614" t="n">
        <v>0</v>
      </c>
      <c r="M614" t="n">
        <v>0</v>
      </c>
      <c r="N614" t="n">
        <v>0</v>
      </c>
      <c r="O614" t="n">
        <v>0</v>
      </c>
      <c r="P614" t="n">
        <v>0</v>
      </c>
      <c r="Q614" t="n">
        <v>0</v>
      </c>
      <c r="R614" s="2" t="inlineStr"/>
    </row>
    <row r="615" ht="15" customHeight="1">
      <c r="A615" t="inlineStr">
        <is>
          <t>A 48586-2021</t>
        </is>
      </c>
      <c r="B615" s="1" t="n">
        <v>44452</v>
      </c>
      <c r="C615" s="1" t="n">
        <v>45719</v>
      </c>
      <c r="D615" t="inlineStr">
        <is>
          <t>JÄMTLANDS LÄN</t>
        </is>
      </c>
      <c r="E615" t="inlineStr">
        <is>
          <t>HÄRJEDALEN</t>
        </is>
      </c>
      <c r="F615" t="inlineStr">
        <is>
          <t>Holmen skog AB</t>
        </is>
      </c>
      <c r="G615" t="n">
        <v>5.2</v>
      </c>
      <c r="H615" t="n">
        <v>0</v>
      </c>
      <c r="I615" t="n">
        <v>0</v>
      </c>
      <c r="J615" t="n">
        <v>0</v>
      </c>
      <c r="K615" t="n">
        <v>0</v>
      </c>
      <c r="L615" t="n">
        <v>0</v>
      </c>
      <c r="M615" t="n">
        <v>0</v>
      </c>
      <c r="N615" t="n">
        <v>0</v>
      </c>
      <c r="O615" t="n">
        <v>0</v>
      </c>
      <c r="P615" t="n">
        <v>0</v>
      </c>
      <c r="Q615" t="n">
        <v>0</v>
      </c>
      <c r="R615" s="2" t="inlineStr"/>
    </row>
    <row r="616" ht="15" customHeight="1">
      <c r="A616" t="inlineStr">
        <is>
          <t>A 48769-2021</t>
        </is>
      </c>
      <c r="B616" s="1" t="n">
        <v>44452</v>
      </c>
      <c r="C616" s="1" t="n">
        <v>45719</v>
      </c>
      <c r="D616" t="inlineStr">
        <is>
          <t>JÄMTLANDS LÄN</t>
        </is>
      </c>
      <c r="E616" t="inlineStr">
        <is>
          <t>HÄRJEDALEN</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48681-2021</t>
        </is>
      </c>
      <c r="B617" s="1" t="n">
        <v>44452</v>
      </c>
      <c r="C617" s="1" t="n">
        <v>45719</v>
      </c>
      <c r="D617" t="inlineStr">
        <is>
          <t>JÄMTLANDS LÄN</t>
        </is>
      </c>
      <c r="E617" t="inlineStr">
        <is>
          <t>HÄRJEDALEN</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v>
      </c>
      <c r="C618" s="1" t="n">
        <v>45719</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52685-2021</t>
        </is>
      </c>
      <c r="B619" s="1" t="n">
        <v>44466</v>
      </c>
      <c r="C619" s="1" t="n">
        <v>45719</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54103-2021</t>
        </is>
      </c>
      <c r="B620" s="1" t="n">
        <v>44470</v>
      </c>
      <c r="C620" s="1" t="n">
        <v>45719</v>
      </c>
      <c r="D620" t="inlineStr">
        <is>
          <t>JÄMTLANDS LÄN</t>
        </is>
      </c>
      <c r="E620" t="inlineStr">
        <is>
          <t>HÄRJEDALEN</t>
        </is>
      </c>
      <c r="F620" t="inlineStr">
        <is>
          <t>Holmen skog AB</t>
        </is>
      </c>
      <c r="G620" t="n">
        <v>11.9</v>
      </c>
      <c r="H620" t="n">
        <v>0</v>
      </c>
      <c r="I620" t="n">
        <v>0</v>
      </c>
      <c r="J620" t="n">
        <v>0</v>
      </c>
      <c r="K620" t="n">
        <v>0</v>
      </c>
      <c r="L620" t="n">
        <v>0</v>
      </c>
      <c r="M620" t="n">
        <v>0</v>
      </c>
      <c r="N620" t="n">
        <v>0</v>
      </c>
      <c r="O620" t="n">
        <v>0</v>
      </c>
      <c r="P620" t="n">
        <v>0</v>
      </c>
      <c r="Q620" t="n">
        <v>0</v>
      </c>
      <c r="R620" s="2" t="inlineStr"/>
    </row>
    <row r="621" ht="15" customHeight="1">
      <c r="A621" t="inlineStr">
        <is>
          <t>A 54218-2021</t>
        </is>
      </c>
      <c r="B621" s="1" t="n">
        <v>44470</v>
      </c>
      <c r="C621" s="1" t="n">
        <v>45719</v>
      </c>
      <c r="D621" t="inlineStr">
        <is>
          <t>JÄMTLANDS LÄN</t>
        </is>
      </c>
      <c r="E621" t="inlineStr">
        <is>
          <t>HÄRJEDALEN</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54331-2021</t>
        </is>
      </c>
      <c r="B622" s="1" t="n">
        <v>44472</v>
      </c>
      <c r="C622" s="1" t="n">
        <v>45719</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54842-2021</t>
        </is>
      </c>
      <c r="B623" s="1" t="n">
        <v>44473</v>
      </c>
      <c r="C623" s="1" t="n">
        <v>45719</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55029-2021</t>
        </is>
      </c>
      <c r="B624" s="1" t="n">
        <v>44474</v>
      </c>
      <c r="C624" s="1" t="n">
        <v>45719</v>
      </c>
      <c r="D624" t="inlineStr">
        <is>
          <t>JÄMTLANDS LÄN</t>
        </is>
      </c>
      <c r="E624" t="inlineStr">
        <is>
          <t>HÄRJEDALEN</t>
        </is>
      </c>
      <c r="G624" t="n">
        <v>6.2</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45719</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55226-2021</t>
        </is>
      </c>
      <c r="B626" s="1" t="n">
        <v>44475</v>
      </c>
      <c r="C626" s="1" t="n">
        <v>45719</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55232-2021</t>
        </is>
      </c>
      <c r="B627" s="1" t="n">
        <v>44475</v>
      </c>
      <c r="C627" s="1" t="n">
        <v>45719</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55250-2021</t>
        </is>
      </c>
      <c r="B628" s="1" t="n">
        <v>44475</v>
      </c>
      <c r="C628" s="1" t="n">
        <v>45719</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55231-2021</t>
        </is>
      </c>
      <c r="B629" s="1" t="n">
        <v>44475</v>
      </c>
      <c r="C629" s="1" t="n">
        <v>45719</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55238-2021</t>
        </is>
      </c>
      <c r="B630" s="1" t="n">
        <v>44475</v>
      </c>
      <c r="C630" s="1" t="n">
        <v>45719</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55242-2021</t>
        </is>
      </c>
      <c r="B631" s="1" t="n">
        <v>44475</v>
      </c>
      <c r="C631" s="1" t="n">
        <v>45719</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55252-2021</t>
        </is>
      </c>
      <c r="B632" s="1" t="n">
        <v>44475</v>
      </c>
      <c r="C632" s="1" t="n">
        <v>45719</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55257-2021</t>
        </is>
      </c>
      <c r="B633" s="1" t="n">
        <v>44475</v>
      </c>
      <c r="C633" s="1" t="n">
        <v>45719</v>
      </c>
      <c r="D633" t="inlineStr">
        <is>
          <t>JÄMTLANDS LÄN</t>
        </is>
      </c>
      <c r="E633" t="inlineStr">
        <is>
          <t>HÄRJEDALEN</t>
        </is>
      </c>
      <c r="G633" t="n">
        <v>0</v>
      </c>
      <c r="H633" t="n">
        <v>0</v>
      </c>
      <c r="I633" t="n">
        <v>0</v>
      </c>
      <c r="J633" t="n">
        <v>0</v>
      </c>
      <c r="K633" t="n">
        <v>0</v>
      </c>
      <c r="L633" t="n">
        <v>0</v>
      </c>
      <c r="M633" t="n">
        <v>0</v>
      </c>
      <c r="N633" t="n">
        <v>0</v>
      </c>
      <c r="O633" t="n">
        <v>0</v>
      </c>
      <c r="P633" t="n">
        <v>0</v>
      </c>
      <c r="Q633" t="n">
        <v>0</v>
      </c>
      <c r="R633" s="2" t="inlineStr"/>
    </row>
    <row r="634" ht="15" customHeight="1">
      <c r="A634" t="inlineStr">
        <is>
          <t>A 55255-2021</t>
        </is>
      </c>
      <c r="B634" s="1" t="n">
        <v>44475</v>
      </c>
      <c r="C634" s="1" t="n">
        <v>45719</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55246-2021</t>
        </is>
      </c>
      <c r="B635" s="1" t="n">
        <v>44475</v>
      </c>
      <c r="C635" s="1" t="n">
        <v>45719</v>
      </c>
      <c r="D635" t="inlineStr">
        <is>
          <t>JÄMTLANDS LÄN</t>
        </is>
      </c>
      <c r="E635" t="inlineStr">
        <is>
          <t>HÄRJEDALEN</t>
        </is>
      </c>
      <c r="G635" t="n">
        <v>3.8</v>
      </c>
      <c r="H635" t="n">
        <v>0</v>
      </c>
      <c r="I635" t="n">
        <v>0</v>
      </c>
      <c r="J635" t="n">
        <v>0</v>
      </c>
      <c r="K635" t="n">
        <v>0</v>
      </c>
      <c r="L635" t="n">
        <v>0</v>
      </c>
      <c r="M635" t="n">
        <v>0</v>
      </c>
      <c r="N635" t="n">
        <v>0</v>
      </c>
      <c r="O635" t="n">
        <v>0</v>
      </c>
      <c r="P635" t="n">
        <v>0</v>
      </c>
      <c r="Q635" t="n">
        <v>0</v>
      </c>
      <c r="R635" s="2" t="inlineStr"/>
    </row>
    <row r="636" ht="15" customHeight="1">
      <c r="A636" t="inlineStr">
        <is>
          <t>A 55384-2021</t>
        </is>
      </c>
      <c r="B636" s="1" t="n">
        <v>44475</v>
      </c>
      <c r="C636" s="1" t="n">
        <v>45719</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55379-2021</t>
        </is>
      </c>
      <c r="B637" s="1" t="n">
        <v>44475</v>
      </c>
      <c r="C637" s="1" t="n">
        <v>45719</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55388-2021</t>
        </is>
      </c>
      <c r="B638" s="1" t="n">
        <v>44475</v>
      </c>
      <c r="C638" s="1" t="n">
        <v>45719</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55396-2021</t>
        </is>
      </c>
      <c r="B639" s="1" t="n">
        <v>44475</v>
      </c>
      <c r="C639" s="1" t="n">
        <v>45719</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55385-2021</t>
        </is>
      </c>
      <c r="B640" s="1" t="n">
        <v>44475</v>
      </c>
      <c r="C640" s="1" t="n">
        <v>45719</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55381-2021</t>
        </is>
      </c>
      <c r="B641" s="1" t="n">
        <v>44475</v>
      </c>
      <c r="C641" s="1" t="n">
        <v>45719</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55399-2021</t>
        </is>
      </c>
      <c r="B642" s="1" t="n">
        <v>44475</v>
      </c>
      <c r="C642" s="1" t="n">
        <v>45719</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55517-2021</t>
        </is>
      </c>
      <c r="B643" s="1" t="n">
        <v>44475</v>
      </c>
      <c r="C643" s="1" t="n">
        <v>45719</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55542-2021</t>
        </is>
      </c>
      <c r="B644" s="1" t="n">
        <v>44475</v>
      </c>
      <c r="C644" s="1" t="n">
        <v>45719</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55393-2021</t>
        </is>
      </c>
      <c r="B645" s="1" t="n">
        <v>44475</v>
      </c>
      <c r="C645" s="1" t="n">
        <v>45719</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55215-2021</t>
        </is>
      </c>
      <c r="B646" s="1" t="n">
        <v>44475</v>
      </c>
      <c r="C646" s="1" t="n">
        <v>45719</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56852-2021</t>
        </is>
      </c>
      <c r="B647" s="1" t="n">
        <v>44481</v>
      </c>
      <c r="C647" s="1" t="n">
        <v>45719</v>
      </c>
      <c r="D647" t="inlineStr">
        <is>
          <t>JÄMTLANDS LÄN</t>
        </is>
      </c>
      <c r="E647" t="inlineStr">
        <is>
          <t>HÄRJEDALEN</t>
        </is>
      </c>
      <c r="G647" t="n">
        <v>2.8</v>
      </c>
      <c r="H647" t="n">
        <v>0</v>
      </c>
      <c r="I647" t="n">
        <v>0</v>
      </c>
      <c r="J647" t="n">
        <v>0</v>
      </c>
      <c r="K647" t="n">
        <v>0</v>
      </c>
      <c r="L647" t="n">
        <v>0</v>
      </c>
      <c r="M647" t="n">
        <v>0</v>
      </c>
      <c r="N647" t="n">
        <v>0</v>
      </c>
      <c r="O647" t="n">
        <v>0</v>
      </c>
      <c r="P647" t="n">
        <v>0</v>
      </c>
      <c r="Q647" t="n">
        <v>0</v>
      </c>
      <c r="R647" s="2" t="inlineStr"/>
    </row>
    <row r="648" ht="15" customHeight="1">
      <c r="A648" t="inlineStr">
        <is>
          <t>A 57381-2021</t>
        </is>
      </c>
      <c r="B648" s="1" t="n">
        <v>44483</v>
      </c>
      <c r="C648" s="1" t="n">
        <v>45719</v>
      </c>
      <c r="D648" t="inlineStr">
        <is>
          <t>JÄMTLANDS LÄN</t>
        </is>
      </c>
      <c r="E648" t="inlineStr">
        <is>
          <t>HÄRJEDALEN</t>
        </is>
      </c>
      <c r="G648" t="n">
        <v>17.9</v>
      </c>
      <c r="H648" t="n">
        <v>0</v>
      </c>
      <c r="I648" t="n">
        <v>0</v>
      </c>
      <c r="J648" t="n">
        <v>0</v>
      </c>
      <c r="K648" t="n">
        <v>0</v>
      </c>
      <c r="L648" t="n">
        <v>0</v>
      </c>
      <c r="M648" t="n">
        <v>0</v>
      </c>
      <c r="N648" t="n">
        <v>0</v>
      </c>
      <c r="O648" t="n">
        <v>0</v>
      </c>
      <c r="P648" t="n">
        <v>0</v>
      </c>
      <c r="Q648" t="n">
        <v>0</v>
      </c>
      <c r="R648" s="2" t="inlineStr"/>
    </row>
    <row r="649" ht="15" customHeight="1">
      <c r="A649" t="inlineStr">
        <is>
          <t>A 57256-2021</t>
        </is>
      </c>
      <c r="B649" s="1" t="n">
        <v>44483</v>
      </c>
      <c r="C649" s="1" t="n">
        <v>45719</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45719</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v>
      </c>
      <c r="C651" s="1" t="n">
        <v>45719</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57782-2021</t>
        </is>
      </c>
      <c r="B652" s="1" t="n">
        <v>44484</v>
      </c>
      <c r="C652" s="1" t="n">
        <v>45719</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58451-2021</t>
        </is>
      </c>
      <c r="B653" s="1" t="n">
        <v>44488</v>
      </c>
      <c r="C653" s="1" t="n">
        <v>45719</v>
      </c>
      <c r="D653" t="inlineStr">
        <is>
          <t>JÄMTLANDS LÄN</t>
        </is>
      </c>
      <c r="E653" t="inlineStr">
        <is>
          <t>HÄRJEDALEN</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59928-2021</t>
        </is>
      </c>
      <c r="B654" s="1" t="n">
        <v>44494</v>
      </c>
      <c r="C654" s="1" t="n">
        <v>45719</v>
      </c>
      <c r="D654" t="inlineStr">
        <is>
          <t>JÄMTLANDS LÄN</t>
        </is>
      </c>
      <c r="E654" t="inlineStr">
        <is>
          <t>HÄRJEDALEN</t>
        </is>
      </c>
      <c r="G654" t="n">
        <v>28.6</v>
      </c>
      <c r="H654" t="n">
        <v>0</v>
      </c>
      <c r="I654" t="n">
        <v>0</v>
      </c>
      <c r="J654" t="n">
        <v>0</v>
      </c>
      <c r="K654" t="n">
        <v>0</v>
      </c>
      <c r="L654" t="n">
        <v>0</v>
      </c>
      <c r="M654" t="n">
        <v>0</v>
      </c>
      <c r="N654" t="n">
        <v>0</v>
      </c>
      <c r="O654" t="n">
        <v>0</v>
      </c>
      <c r="P654" t="n">
        <v>0</v>
      </c>
      <c r="Q654" t="n">
        <v>0</v>
      </c>
      <c r="R654" s="2" t="inlineStr"/>
    </row>
    <row r="655" ht="15" customHeight="1">
      <c r="A655" t="inlineStr">
        <is>
          <t>A 60841-2021</t>
        </is>
      </c>
      <c r="B655" s="1" t="n">
        <v>44497</v>
      </c>
      <c r="C655" s="1" t="n">
        <v>45719</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61547-2021</t>
        </is>
      </c>
      <c r="B656" s="1" t="n">
        <v>44501</v>
      </c>
      <c r="C656" s="1" t="n">
        <v>45719</v>
      </c>
      <c r="D656" t="inlineStr">
        <is>
          <t>JÄMTLANDS LÄN</t>
        </is>
      </c>
      <c r="E656" t="inlineStr">
        <is>
          <t>HÄRJEDALEN</t>
        </is>
      </c>
      <c r="G656" t="n">
        <v>2.1</v>
      </c>
      <c r="H656" t="n">
        <v>0</v>
      </c>
      <c r="I656" t="n">
        <v>0</v>
      </c>
      <c r="J656" t="n">
        <v>0</v>
      </c>
      <c r="K656" t="n">
        <v>0</v>
      </c>
      <c r="L656" t="n">
        <v>0</v>
      </c>
      <c r="M656" t="n">
        <v>0</v>
      </c>
      <c r="N656" t="n">
        <v>0</v>
      </c>
      <c r="O656" t="n">
        <v>0</v>
      </c>
      <c r="P656" t="n">
        <v>0</v>
      </c>
      <c r="Q656" t="n">
        <v>0</v>
      </c>
      <c r="R656" s="2" t="inlineStr"/>
    </row>
    <row r="657" ht="15" customHeight="1">
      <c r="A657" t="inlineStr">
        <is>
          <t>A 63774-2021</t>
        </is>
      </c>
      <c r="B657" s="1" t="n">
        <v>44508</v>
      </c>
      <c r="C657" s="1" t="n">
        <v>45719</v>
      </c>
      <c r="D657" t="inlineStr">
        <is>
          <t>JÄMTLANDS LÄN</t>
        </is>
      </c>
      <c r="E657" t="inlineStr">
        <is>
          <t>HÄRJEDALEN</t>
        </is>
      </c>
      <c r="F657" t="inlineStr">
        <is>
          <t>Holmen skog AB</t>
        </is>
      </c>
      <c r="G657" t="n">
        <v>14.8</v>
      </c>
      <c r="H657" t="n">
        <v>0</v>
      </c>
      <c r="I657" t="n">
        <v>0</v>
      </c>
      <c r="J657" t="n">
        <v>0</v>
      </c>
      <c r="K657" t="n">
        <v>0</v>
      </c>
      <c r="L657" t="n">
        <v>0</v>
      </c>
      <c r="M657" t="n">
        <v>0</v>
      </c>
      <c r="N657" t="n">
        <v>0</v>
      </c>
      <c r="O657" t="n">
        <v>0</v>
      </c>
      <c r="P657" t="n">
        <v>0</v>
      </c>
      <c r="Q657" t="n">
        <v>0</v>
      </c>
      <c r="R657" s="2" t="inlineStr"/>
    </row>
    <row r="658" ht="15" customHeight="1">
      <c r="A658" t="inlineStr">
        <is>
          <t>A 64937-2021</t>
        </is>
      </c>
      <c r="B658" s="1" t="n">
        <v>44512</v>
      </c>
      <c r="C658" s="1" t="n">
        <v>45719</v>
      </c>
      <c r="D658" t="inlineStr">
        <is>
          <t>JÄMTLANDS LÄN</t>
        </is>
      </c>
      <c r="E658" t="inlineStr">
        <is>
          <t>HÄRJEDALEN</t>
        </is>
      </c>
      <c r="G658" t="n">
        <v>7</v>
      </c>
      <c r="H658" t="n">
        <v>0</v>
      </c>
      <c r="I658" t="n">
        <v>0</v>
      </c>
      <c r="J658" t="n">
        <v>0</v>
      </c>
      <c r="K658" t="n">
        <v>0</v>
      </c>
      <c r="L658" t="n">
        <v>0</v>
      </c>
      <c r="M658" t="n">
        <v>0</v>
      </c>
      <c r="N658" t="n">
        <v>0</v>
      </c>
      <c r="O658" t="n">
        <v>0</v>
      </c>
      <c r="P658" t="n">
        <v>0</v>
      </c>
      <c r="Q658" t="n">
        <v>0</v>
      </c>
      <c r="R658" s="2" t="inlineStr"/>
    </row>
    <row r="659" ht="15" customHeight="1">
      <c r="A659" t="inlineStr">
        <is>
          <t>A 65125-2021</t>
        </is>
      </c>
      <c r="B659" s="1" t="n">
        <v>44515</v>
      </c>
      <c r="C659" s="1" t="n">
        <v>45719</v>
      </c>
      <c r="D659" t="inlineStr">
        <is>
          <t>JÄMTLANDS LÄN</t>
        </is>
      </c>
      <c r="E659" t="inlineStr">
        <is>
          <t>HÄRJEDALEN</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65549-2021</t>
        </is>
      </c>
      <c r="B660" s="1" t="n">
        <v>44516</v>
      </c>
      <c r="C660" s="1" t="n">
        <v>45719</v>
      </c>
      <c r="D660" t="inlineStr">
        <is>
          <t>JÄMTLANDS LÄN</t>
        </is>
      </c>
      <c r="E660" t="inlineStr">
        <is>
          <t>HÄRJEDALEN</t>
        </is>
      </c>
      <c r="F660" t="inlineStr">
        <is>
          <t>Bergvik skog väst AB</t>
        </is>
      </c>
      <c r="G660" t="n">
        <v>7</v>
      </c>
      <c r="H660" t="n">
        <v>0</v>
      </c>
      <c r="I660" t="n">
        <v>0</v>
      </c>
      <c r="J660" t="n">
        <v>0</v>
      </c>
      <c r="K660" t="n">
        <v>0</v>
      </c>
      <c r="L660" t="n">
        <v>0</v>
      </c>
      <c r="M660" t="n">
        <v>0</v>
      </c>
      <c r="N660" t="n">
        <v>0</v>
      </c>
      <c r="O660" t="n">
        <v>0</v>
      </c>
      <c r="P660" t="n">
        <v>0</v>
      </c>
      <c r="Q660" t="n">
        <v>0</v>
      </c>
      <c r="R660" s="2" t="inlineStr"/>
    </row>
    <row r="661" ht="15" customHeight="1">
      <c r="A661" t="inlineStr">
        <is>
          <t>A 68858-2021</t>
        </is>
      </c>
      <c r="B661" s="1" t="n">
        <v>44530</v>
      </c>
      <c r="C661" s="1" t="n">
        <v>45719</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69271-2021</t>
        </is>
      </c>
      <c r="B662" s="1" t="n">
        <v>44531</v>
      </c>
      <c r="C662" s="1" t="n">
        <v>45719</v>
      </c>
      <c r="D662" t="inlineStr">
        <is>
          <t>JÄMTLANDS LÄN</t>
        </is>
      </c>
      <c r="E662" t="inlineStr">
        <is>
          <t>HÄRJEDALEN</t>
        </is>
      </c>
      <c r="F662" t="inlineStr">
        <is>
          <t>Bergvik skog väst AB</t>
        </is>
      </c>
      <c r="G662" t="n">
        <v>6.3</v>
      </c>
      <c r="H662" t="n">
        <v>0</v>
      </c>
      <c r="I662" t="n">
        <v>0</v>
      </c>
      <c r="J662" t="n">
        <v>0</v>
      </c>
      <c r="K662" t="n">
        <v>0</v>
      </c>
      <c r="L662" t="n">
        <v>0</v>
      </c>
      <c r="M662" t="n">
        <v>0</v>
      </c>
      <c r="N662" t="n">
        <v>0</v>
      </c>
      <c r="O662" t="n">
        <v>0</v>
      </c>
      <c r="P662" t="n">
        <v>0</v>
      </c>
      <c r="Q662" t="n">
        <v>0</v>
      </c>
      <c r="R662" s="2" t="inlineStr"/>
    </row>
    <row r="663" ht="15" customHeight="1">
      <c r="A663" t="inlineStr">
        <is>
          <t>A 69501-2021</t>
        </is>
      </c>
      <c r="B663" s="1" t="n">
        <v>44531</v>
      </c>
      <c r="C663" s="1" t="n">
        <v>45719</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69490-2021</t>
        </is>
      </c>
      <c r="B664" s="1" t="n">
        <v>44531</v>
      </c>
      <c r="C664" s="1" t="n">
        <v>45719</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69504-2021</t>
        </is>
      </c>
      <c r="B665" s="1" t="n">
        <v>44531</v>
      </c>
      <c r="C665" s="1" t="n">
        <v>45719</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69499-2021</t>
        </is>
      </c>
      <c r="B666" s="1" t="n">
        <v>44531</v>
      </c>
      <c r="C666" s="1" t="n">
        <v>45719</v>
      </c>
      <c r="D666" t="inlineStr">
        <is>
          <t>JÄMTLANDS LÄN</t>
        </is>
      </c>
      <c r="E666" t="inlineStr">
        <is>
          <t>HÄRJEDALEN</t>
        </is>
      </c>
      <c r="G666" t="n">
        <v>7.5</v>
      </c>
      <c r="H666" t="n">
        <v>0</v>
      </c>
      <c r="I666" t="n">
        <v>0</v>
      </c>
      <c r="J666" t="n">
        <v>0</v>
      </c>
      <c r="K666" t="n">
        <v>0</v>
      </c>
      <c r="L666" t="n">
        <v>0</v>
      </c>
      <c r="M666" t="n">
        <v>0</v>
      </c>
      <c r="N666" t="n">
        <v>0</v>
      </c>
      <c r="O666" t="n">
        <v>0</v>
      </c>
      <c r="P666" t="n">
        <v>0</v>
      </c>
      <c r="Q666" t="n">
        <v>0</v>
      </c>
      <c r="R666" s="2" t="inlineStr"/>
    </row>
    <row r="667" ht="15" customHeight="1">
      <c r="A667" t="inlineStr">
        <is>
          <t>A 71649-2021</t>
        </is>
      </c>
      <c r="B667" s="1" t="n">
        <v>44538</v>
      </c>
      <c r="C667" s="1" t="n">
        <v>45719</v>
      </c>
      <c r="D667" t="inlineStr">
        <is>
          <t>JÄMTLANDS LÄN</t>
        </is>
      </c>
      <c r="E667" t="inlineStr">
        <is>
          <t>HÄRJEDALEN</t>
        </is>
      </c>
      <c r="F667" t="inlineStr">
        <is>
          <t>Övriga statliga verk och myndigheter</t>
        </is>
      </c>
      <c r="G667" t="n">
        <v>3.7</v>
      </c>
      <c r="H667" t="n">
        <v>0</v>
      </c>
      <c r="I667" t="n">
        <v>0</v>
      </c>
      <c r="J667" t="n">
        <v>0</v>
      </c>
      <c r="K667" t="n">
        <v>0</v>
      </c>
      <c r="L667" t="n">
        <v>0</v>
      </c>
      <c r="M667" t="n">
        <v>0</v>
      </c>
      <c r="N667" t="n">
        <v>0</v>
      </c>
      <c r="O667" t="n">
        <v>0</v>
      </c>
      <c r="P667" t="n">
        <v>0</v>
      </c>
      <c r="Q667" t="n">
        <v>0</v>
      </c>
      <c r="R667" s="2" t="inlineStr"/>
    </row>
    <row r="668" ht="15" customHeight="1">
      <c r="A668" t="inlineStr">
        <is>
          <t>A 71668-2021</t>
        </is>
      </c>
      <c r="B668" s="1" t="n">
        <v>44538</v>
      </c>
      <c r="C668" s="1" t="n">
        <v>45719</v>
      </c>
      <c r="D668" t="inlineStr">
        <is>
          <t>JÄMTLANDS LÄN</t>
        </is>
      </c>
      <c r="E668" t="inlineStr">
        <is>
          <t>HÄRJEDALEN</t>
        </is>
      </c>
      <c r="F668" t="inlineStr">
        <is>
          <t>Övriga statliga verk och myndigheter</t>
        </is>
      </c>
      <c r="G668" t="n">
        <v>3.1</v>
      </c>
      <c r="H668" t="n">
        <v>0</v>
      </c>
      <c r="I668" t="n">
        <v>0</v>
      </c>
      <c r="J668" t="n">
        <v>0</v>
      </c>
      <c r="K668" t="n">
        <v>0</v>
      </c>
      <c r="L668" t="n">
        <v>0</v>
      </c>
      <c r="M668" t="n">
        <v>0</v>
      </c>
      <c r="N668" t="n">
        <v>0</v>
      </c>
      <c r="O668" t="n">
        <v>0</v>
      </c>
      <c r="P668" t="n">
        <v>0</v>
      </c>
      <c r="Q668" t="n">
        <v>0</v>
      </c>
      <c r="R668" s="2" t="inlineStr"/>
    </row>
    <row r="669" ht="15" customHeight="1">
      <c r="A669" t="inlineStr">
        <is>
          <t>A 71638-2021</t>
        </is>
      </c>
      <c r="B669" s="1" t="n">
        <v>44538</v>
      </c>
      <c r="C669" s="1" t="n">
        <v>45719</v>
      </c>
      <c r="D669" t="inlineStr">
        <is>
          <t>JÄMTLANDS LÄN</t>
        </is>
      </c>
      <c r="E669" t="inlineStr">
        <is>
          <t>HÄRJEDALEN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71493-2021</t>
        </is>
      </c>
      <c r="B670" s="1" t="n">
        <v>44540</v>
      </c>
      <c r="C670" s="1" t="n">
        <v>45719</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71467-2021</t>
        </is>
      </c>
      <c r="B671" s="1" t="n">
        <v>44540</v>
      </c>
      <c r="C671" s="1" t="n">
        <v>45719</v>
      </c>
      <c r="D671" t="inlineStr">
        <is>
          <t>JÄMTLANDS LÄN</t>
        </is>
      </c>
      <c r="E671" t="inlineStr">
        <is>
          <t>HÄRJEDALEN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71501-2021</t>
        </is>
      </c>
      <c r="B672" s="1" t="n">
        <v>44540</v>
      </c>
      <c r="C672" s="1" t="n">
        <v>45719</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71864-2021</t>
        </is>
      </c>
      <c r="B673" s="1" t="n">
        <v>44543</v>
      </c>
      <c r="C673" s="1" t="n">
        <v>45719</v>
      </c>
      <c r="D673" t="inlineStr">
        <is>
          <t>JÄMTLANDS LÄN</t>
        </is>
      </c>
      <c r="E673" t="inlineStr">
        <is>
          <t>HÄRJEDALEN</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71756-2021</t>
        </is>
      </c>
      <c r="B674" s="1" t="n">
        <v>44543</v>
      </c>
      <c r="C674" s="1" t="n">
        <v>45719</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71989-2021</t>
        </is>
      </c>
      <c r="B675" s="1" t="n">
        <v>44544</v>
      </c>
      <c r="C675" s="1" t="n">
        <v>45719</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72374-2021</t>
        </is>
      </c>
      <c r="B676" s="1" t="n">
        <v>44545</v>
      </c>
      <c r="C676" s="1" t="n">
        <v>45719</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72790-2021</t>
        </is>
      </c>
      <c r="B677" s="1" t="n">
        <v>44547</v>
      </c>
      <c r="C677" s="1" t="n">
        <v>45719</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73051-2021</t>
        </is>
      </c>
      <c r="B678" s="1" t="n">
        <v>44550</v>
      </c>
      <c r="C678" s="1" t="n">
        <v>45719</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73211-2021</t>
        </is>
      </c>
      <c r="B679" s="1" t="n">
        <v>44550</v>
      </c>
      <c r="C679" s="1" t="n">
        <v>45719</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73573-2021</t>
        </is>
      </c>
      <c r="B680" s="1" t="n">
        <v>44552</v>
      </c>
      <c r="C680" s="1" t="n">
        <v>45719</v>
      </c>
      <c r="D680" t="inlineStr">
        <is>
          <t>JÄMTLANDS LÄN</t>
        </is>
      </c>
      <c r="E680" t="inlineStr">
        <is>
          <t>HÄRJEDALEN</t>
        </is>
      </c>
      <c r="F680" t="inlineStr">
        <is>
          <t>Holmen skog AB</t>
        </is>
      </c>
      <c r="G680" t="n">
        <v>10.5</v>
      </c>
      <c r="H680" t="n">
        <v>0</v>
      </c>
      <c r="I680" t="n">
        <v>0</v>
      </c>
      <c r="J680" t="n">
        <v>0</v>
      </c>
      <c r="K680" t="n">
        <v>0</v>
      </c>
      <c r="L680" t="n">
        <v>0</v>
      </c>
      <c r="M680" t="n">
        <v>0</v>
      </c>
      <c r="N680" t="n">
        <v>0</v>
      </c>
      <c r="O680" t="n">
        <v>0</v>
      </c>
      <c r="P680" t="n">
        <v>0</v>
      </c>
      <c r="Q680" t="n">
        <v>0</v>
      </c>
      <c r="R680" s="2" t="inlineStr"/>
    </row>
    <row r="681" ht="15" customHeight="1">
      <c r="A681" t="inlineStr">
        <is>
          <t>A 197-2022</t>
        </is>
      </c>
      <c r="B681" s="1" t="n">
        <v>44564</v>
      </c>
      <c r="C681" s="1" t="n">
        <v>45719</v>
      </c>
      <c r="D681" t="inlineStr">
        <is>
          <t>JÄMTLANDS LÄN</t>
        </is>
      </c>
      <c r="E681" t="inlineStr">
        <is>
          <t>HÄRJEDALEN</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241-2022</t>
        </is>
      </c>
      <c r="B682" s="1" t="n">
        <v>44565</v>
      </c>
      <c r="C682" s="1" t="n">
        <v>45719</v>
      </c>
      <c r="D682" t="inlineStr">
        <is>
          <t>JÄMTLANDS LÄN</t>
        </is>
      </c>
      <c r="E682" t="inlineStr">
        <is>
          <t>HÄRJEDALEN</t>
        </is>
      </c>
      <c r="F682" t="inlineStr">
        <is>
          <t>Övriga Aktiebolag</t>
        </is>
      </c>
      <c r="G682" t="n">
        <v>16.5</v>
      </c>
      <c r="H682" t="n">
        <v>0</v>
      </c>
      <c r="I682" t="n">
        <v>0</v>
      </c>
      <c r="J682" t="n">
        <v>0</v>
      </c>
      <c r="K682" t="n">
        <v>0</v>
      </c>
      <c r="L682" t="n">
        <v>0</v>
      </c>
      <c r="M682" t="n">
        <v>0</v>
      </c>
      <c r="N682" t="n">
        <v>0</v>
      </c>
      <c r="O682" t="n">
        <v>0</v>
      </c>
      <c r="P682" t="n">
        <v>0</v>
      </c>
      <c r="Q682" t="n">
        <v>0</v>
      </c>
      <c r="R682" s="2" t="inlineStr"/>
    </row>
    <row r="683" ht="15" customHeight="1">
      <c r="A683" t="inlineStr">
        <is>
          <t>A 239-2022</t>
        </is>
      </c>
      <c r="B683" s="1" t="n">
        <v>44565</v>
      </c>
      <c r="C683" s="1" t="n">
        <v>45719</v>
      </c>
      <c r="D683" t="inlineStr">
        <is>
          <t>JÄMTLANDS LÄN</t>
        </is>
      </c>
      <c r="E683" t="inlineStr">
        <is>
          <t>HÄRJEDALEN</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240-2022</t>
        </is>
      </c>
      <c r="B684" s="1" t="n">
        <v>44565</v>
      </c>
      <c r="C684" s="1" t="n">
        <v>45719</v>
      </c>
      <c r="D684" t="inlineStr">
        <is>
          <t>JÄMTLANDS LÄN</t>
        </is>
      </c>
      <c r="E684" t="inlineStr">
        <is>
          <t>HÄRJEDALEN</t>
        </is>
      </c>
      <c r="F684" t="inlineStr">
        <is>
          <t>Övriga Aktiebolag</t>
        </is>
      </c>
      <c r="G684" t="n">
        <v>53.9</v>
      </c>
      <c r="H684" t="n">
        <v>0</v>
      </c>
      <c r="I684" t="n">
        <v>0</v>
      </c>
      <c r="J684" t="n">
        <v>0</v>
      </c>
      <c r="K684" t="n">
        <v>0</v>
      </c>
      <c r="L684" t="n">
        <v>0</v>
      </c>
      <c r="M684" t="n">
        <v>0</v>
      </c>
      <c r="N684" t="n">
        <v>0</v>
      </c>
      <c r="O684" t="n">
        <v>0</v>
      </c>
      <c r="P684" t="n">
        <v>0</v>
      </c>
      <c r="Q684" t="n">
        <v>0</v>
      </c>
      <c r="R684" s="2" t="inlineStr"/>
    </row>
    <row r="685" ht="15" customHeight="1">
      <c r="A685" t="inlineStr">
        <is>
          <t>A 537-2022</t>
        </is>
      </c>
      <c r="B685" s="1" t="n">
        <v>44566</v>
      </c>
      <c r="C685" s="1" t="n">
        <v>45719</v>
      </c>
      <c r="D685" t="inlineStr">
        <is>
          <t>JÄMTLANDS LÄN</t>
        </is>
      </c>
      <c r="E685" t="inlineStr">
        <is>
          <t>HÄRJEDALEN</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45719</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2846-2022</t>
        </is>
      </c>
      <c r="B687" s="1" t="n">
        <v>44581</v>
      </c>
      <c r="C687" s="1" t="n">
        <v>45719</v>
      </c>
      <c r="D687" t="inlineStr">
        <is>
          <t>JÄMTLANDS LÄN</t>
        </is>
      </c>
      <c r="E687" t="inlineStr">
        <is>
          <t>HÄRJEDALEN</t>
        </is>
      </c>
      <c r="G687" t="n">
        <v>15.2</v>
      </c>
      <c r="H687" t="n">
        <v>0</v>
      </c>
      <c r="I687" t="n">
        <v>0</v>
      </c>
      <c r="J687" t="n">
        <v>0</v>
      </c>
      <c r="K687" t="n">
        <v>0</v>
      </c>
      <c r="L687" t="n">
        <v>0</v>
      </c>
      <c r="M687" t="n">
        <v>0</v>
      </c>
      <c r="N687" t="n">
        <v>0</v>
      </c>
      <c r="O687" t="n">
        <v>0</v>
      </c>
      <c r="P687" t="n">
        <v>0</v>
      </c>
      <c r="Q687" t="n">
        <v>0</v>
      </c>
      <c r="R687" s="2" t="inlineStr"/>
    </row>
    <row r="688" ht="15" customHeight="1">
      <c r="A688" t="inlineStr">
        <is>
          <t>A 3163-2022</t>
        </is>
      </c>
      <c r="B688" s="1" t="n">
        <v>44582</v>
      </c>
      <c r="C688" s="1" t="n">
        <v>45719</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3373-2022</t>
        </is>
      </c>
      <c r="B689" s="1" t="n">
        <v>44585</v>
      </c>
      <c r="C689" s="1" t="n">
        <v>45719</v>
      </c>
      <c r="D689" t="inlineStr">
        <is>
          <t>JÄMTLANDS LÄN</t>
        </is>
      </c>
      <c r="E689" t="inlineStr">
        <is>
          <t>HÄRJEDALEN</t>
        </is>
      </c>
      <c r="G689" t="n">
        <v>7.4</v>
      </c>
      <c r="H689" t="n">
        <v>0</v>
      </c>
      <c r="I689" t="n">
        <v>0</v>
      </c>
      <c r="J689" t="n">
        <v>0</v>
      </c>
      <c r="K689" t="n">
        <v>0</v>
      </c>
      <c r="L689" t="n">
        <v>0</v>
      </c>
      <c r="M689" t="n">
        <v>0</v>
      </c>
      <c r="N689" t="n">
        <v>0</v>
      </c>
      <c r="O689" t="n">
        <v>0</v>
      </c>
      <c r="P689" t="n">
        <v>0</v>
      </c>
      <c r="Q689" t="n">
        <v>0</v>
      </c>
      <c r="R689" s="2" t="inlineStr"/>
    </row>
    <row r="690" ht="15" customHeight="1">
      <c r="A690" t="inlineStr">
        <is>
          <t>A 4487-2022</t>
        </is>
      </c>
      <c r="B690" s="1" t="n">
        <v>44589</v>
      </c>
      <c r="C690" s="1" t="n">
        <v>45719</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4914-2022</t>
        </is>
      </c>
      <c r="B691" s="1" t="n">
        <v>44593</v>
      </c>
      <c r="C691" s="1" t="n">
        <v>45719</v>
      </c>
      <c r="D691" t="inlineStr">
        <is>
          <t>JÄMTLANDS LÄN</t>
        </is>
      </c>
      <c r="E691" t="inlineStr">
        <is>
          <t>HÄRJEDALEN</t>
        </is>
      </c>
      <c r="F691" t="inlineStr">
        <is>
          <t>Sveaskog</t>
        </is>
      </c>
      <c r="G691" t="n">
        <v>7.7</v>
      </c>
      <c r="H691" t="n">
        <v>0</v>
      </c>
      <c r="I691" t="n">
        <v>0</v>
      </c>
      <c r="J691" t="n">
        <v>0</v>
      </c>
      <c r="K691" t="n">
        <v>0</v>
      </c>
      <c r="L691" t="n">
        <v>0</v>
      </c>
      <c r="M691" t="n">
        <v>0</v>
      </c>
      <c r="N691" t="n">
        <v>0</v>
      </c>
      <c r="O691" t="n">
        <v>0</v>
      </c>
      <c r="P691" t="n">
        <v>0</v>
      </c>
      <c r="Q691" t="n">
        <v>0</v>
      </c>
      <c r="R691" s="2" t="inlineStr"/>
    </row>
    <row r="692" ht="15" customHeight="1">
      <c r="A692" t="inlineStr">
        <is>
          <t>A 6309-2022</t>
        </is>
      </c>
      <c r="B692" s="1" t="n">
        <v>44600</v>
      </c>
      <c r="C692" s="1" t="n">
        <v>45719</v>
      </c>
      <c r="D692" t="inlineStr">
        <is>
          <t>JÄMTLANDS LÄN</t>
        </is>
      </c>
      <c r="E692" t="inlineStr">
        <is>
          <t>HÄRJEDALEN</t>
        </is>
      </c>
      <c r="G692" t="n">
        <v>38.2</v>
      </c>
      <c r="H692" t="n">
        <v>0</v>
      </c>
      <c r="I692" t="n">
        <v>0</v>
      </c>
      <c r="J692" t="n">
        <v>0</v>
      </c>
      <c r="K692" t="n">
        <v>0</v>
      </c>
      <c r="L692" t="n">
        <v>0</v>
      </c>
      <c r="M692" t="n">
        <v>0</v>
      </c>
      <c r="N692" t="n">
        <v>0</v>
      </c>
      <c r="O692" t="n">
        <v>0</v>
      </c>
      <c r="P692" t="n">
        <v>0</v>
      </c>
      <c r="Q692" t="n">
        <v>0</v>
      </c>
      <c r="R692" s="2" t="inlineStr"/>
    </row>
    <row r="693" ht="15" customHeight="1">
      <c r="A693" t="inlineStr">
        <is>
          <t>A 6208-2022</t>
        </is>
      </c>
      <c r="B693" s="1" t="n">
        <v>44600</v>
      </c>
      <c r="C693" s="1" t="n">
        <v>45719</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6312-2022</t>
        </is>
      </c>
      <c r="B694" s="1" t="n">
        <v>44600</v>
      </c>
      <c r="C694" s="1" t="n">
        <v>45719</v>
      </c>
      <c r="D694" t="inlineStr">
        <is>
          <t>JÄMTLANDS LÄN</t>
        </is>
      </c>
      <c r="E694" t="inlineStr">
        <is>
          <t>HÄRJEDALEN</t>
        </is>
      </c>
      <c r="G694" t="n">
        <v>18.4</v>
      </c>
      <c r="H694" t="n">
        <v>0</v>
      </c>
      <c r="I694" t="n">
        <v>0</v>
      </c>
      <c r="J694" t="n">
        <v>0</v>
      </c>
      <c r="K694" t="n">
        <v>0</v>
      </c>
      <c r="L694" t="n">
        <v>0</v>
      </c>
      <c r="M694" t="n">
        <v>0</v>
      </c>
      <c r="N694" t="n">
        <v>0</v>
      </c>
      <c r="O694" t="n">
        <v>0</v>
      </c>
      <c r="P694" t="n">
        <v>0</v>
      </c>
      <c r="Q694" t="n">
        <v>0</v>
      </c>
      <c r="R694" s="2" t="inlineStr"/>
    </row>
    <row r="695" ht="15" customHeight="1">
      <c r="A695" t="inlineStr">
        <is>
          <t>A 6444-2022</t>
        </is>
      </c>
      <c r="B695" s="1" t="n">
        <v>44601</v>
      </c>
      <c r="C695" s="1" t="n">
        <v>45719</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6933-2022</t>
        </is>
      </c>
      <c r="B696" s="1" t="n">
        <v>44603</v>
      </c>
      <c r="C696" s="1" t="n">
        <v>45719</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6938-2022</t>
        </is>
      </c>
      <c r="B697" s="1" t="n">
        <v>44603</v>
      </c>
      <c r="C697" s="1" t="n">
        <v>45719</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6935-2022</t>
        </is>
      </c>
      <c r="B698" s="1" t="n">
        <v>44603</v>
      </c>
      <c r="C698" s="1" t="n">
        <v>45719</v>
      </c>
      <c r="D698" t="inlineStr">
        <is>
          <t>JÄMTLANDS LÄN</t>
        </is>
      </c>
      <c r="E698" t="inlineStr">
        <is>
          <t>HÄRJEDALEN</t>
        </is>
      </c>
      <c r="F698" t="inlineStr">
        <is>
          <t>Holmen skog AB</t>
        </is>
      </c>
      <c r="G698" t="n">
        <v>4</v>
      </c>
      <c r="H698" t="n">
        <v>0</v>
      </c>
      <c r="I698" t="n">
        <v>0</v>
      </c>
      <c r="J698" t="n">
        <v>0</v>
      </c>
      <c r="K698" t="n">
        <v>0</v>
      </c>
      <c r="L698" t="n">
        <v>0</v>
      </c>
      <c r="M698" t="n">
        <v>0</v>
      </c>
      <c r="N698" t="n">
        <v>0</v>
      </c>
      <c r="O698" t="n">
        <v>0</v>
      </c>
      <c r="P698" t="n">
        <v>0</v>
      </c>
      <c r="Q698" t="n">
        <v>0</v>
      </c>
      <c r="R698" s="2" t="inlineStr"/>
    </row>
    <row r="699" ht="15" customHeight="1">
      <c r="A699" t="inlineStr">
        <is>
          <t>A 6941-2022</t>
        </is>
      </c>
      <c r="B699" s="1" t="n">
        <v>44603</v>
      </c>
      <c r="C699" s="1" t="n">
        <v>45719</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8368-2022</t>
        </is>
      </c>
      <c r="B700" s="1" t="n">
        <v>44610</v>
      </c>
      <c r="C700" s="1" t="n">
        <v>45719</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8538-2022</t>
        </is>
      </c>
      <c r="B701" s="1" t="n">
        <v>44613</v>
      </c>
      <c r="C701" s="1" t="n">
        <v>45719</v>
      </c>
      <c r="D701" t="inlineStr">
        <is>
          <t>JÄMTLANDS LÄN</t>
        </is>
      </c>
      <c r="E701" t="inlineStr">
        <is>
          <t>HÄRJEDALEN</t>
        </is>
      </c>
      <c r="F701" t="inlineStr">
        <is>
          <t>Naturvårdsverket</t>
        </is>
      </c>
      <c r="G701" t="n">
        <v>0.4</v>
      </c>
      <c r="H701" t="n">
        <v>0</v>
      </c>
      <c r="I701" t="n">
        <v>0</v>
      </c>
      <c r="J701" t="n">
        <v>0</v>
      </c>
      <c r="K701" t="n">
        <v>0</v>
      </c>
      <c r="L701" t="n">
        <v>0</v>
      </c>
      <c r="M701" t="n">
        <v>0</v>
      </c>
      <c r="N701" t="n">
        <v>0</v>
      </c>
      <c r="O701" t="n">
        <v>0</v>
      </c>
      <c r="P701" t="n">
        <v>0</v>
      </c>
      <c r="Q701" t="n">
        <v>0</v>
      </c>
      <c r="R701" s="2" t="inlineStr"/>
    </row>
    <row r="702" ht="15" customHeight="1">
      <c r="A702" t="inlineStr">
        <is>
          <t>A 8823-2022</t>
        </is>
      </c>
      <c r="B702" s="1" t="n">
        <v>44614</v>
      </c>
      <c r="C702" s="1" t="n">
        <v>45719</v>
      </c>
      <c r="D702" t="inlineStr">
        <is>
          <t>JÄMTLANDS LÄN</t>
        </is>
      </c>
      <c r="E702" t="inlineStr">
        <is>
          <t>HÄRJEDALEN</t>
        </is>
      </c>
      <c r="F702" t="inlineStr">
        <is>
          <t>Naturvårdsverket</t>
        </is>
      </c>
      <c r="G702" t="n">
        <v>23.7</v>
      </c>
      <c r="H702" t="n">
        <v>0</v>
      </c>
      <c r="I702" t="n">
        <v>0</v>
      </c>
      <c r="J702" t="n">
        <v>0</v>
      </c>
      <c r="K702" t="n">
        <v>0</v>
      </c>
      <c r="L702" t="n">
        <v>0</v>
      </c>
      <c r="M702" t="n">
        <v>0</v>
      </c>
      <c r="N702" t="n">
        <v>0</v>
      </c>
      <c r="O702" t="n">
        <v>0</v>
      </c>
      <c r="P702" t="n">
        <v>0</v>
      </c>
      <c r="Q702" t="n">
        <v>0</v>
      </c>
      <c r="R702" s="2" t="inlineStr"/>
    </row>
    <row r="703" ht="15" customHeight="1">
      <c r="A703" t="inlineStr">
        <is>
          <t>A 9095-2022</t>
        </is>
      </c>
      <c r="B703" s="1" t="n">
        <v>44615</v>
      </c>
      <c r="C703" s="1" t="n">
        <v>45719</v>
      </c>
      <c r="D703" t="inlineStr">
        <is>
          <t>JÄMTLANDS LÄN</t>
        </is>
      </c>
      <c r="E703" t="inlineStr">
        <is>
          <t>HÄRJEDALEN</t>
        </is>
      </c>
      <c r="F703" t="inlineStr">
        <is>
          <t>Kyrkan</t>
        </is>
      </c>
      <c r="G703" t="n">
        <v>15.9</v>
      </c>
      <c r="H703" t="n">
        <v>0</v>
      </c>
      <c r="I703" t="n">
        <v>0</v>
      </c>
      <c r="J703" t="n">
        <v>0</v>
      </c>
      <c r="K703" t="n">
        <v>0</v>
      </c>
      <c r="L703" t="n">
        <v>0</v>
      </c>
      <c r="M703" t="n">
        <v>0</v>
      </c>
      <c r="N703" t="n">
        <v>0</v>
      </c>
      <c r="O703" t="n">
        <v>0</v>
      </c>
      <c r="P703" t="n">
        <v>0</v>
      </c>
      <c r="Q703" t="n">
        <v>0</v>
      </c>
      <c r="R703" s="2" t="inlineStr"/>
    </row>
    <row r="704" ht="15" customHeight="1">
      <c r="A704" t="inlineStr">
        <is>
          <t>A 10504-2022</t>
        </is>
      </c>
      <c r="B704" s="1" t="n">
        <v>44623</v>
      </c>
      <c r="C704" s="1" t="n">
        <v>45719</v>
      </c>
      <c r="D704" t="inlineStr">
        <is>
          <t>JÄMTLANDS LÄN</t>
        </is>
      </c>
      <c r="E704" t="inlineStr">
        <is>
          <t>HÄRJEDALEN</t>
        </is>
      </c>
      <c r="F704" t="inlineStr">
        <is>
          <t>Holmen skog AB</t>
        </is>
      </c>
      <c r="G704" t="n">
        <v>11.6</v>
      </c>
      <c r="H704" t="n">
        <v>0</v>
      </c>
      <c r="I704" t="n">
        <v>0</v>
      </c>
      <c r="J704" t="n">
        <v>0</v>
      </c>
      <c r="K704" t="n">
        <v>0</v>
      </c>
      <c r="L704" t="n">
        <v>0</v>
      </c>
      <c r="M704" t="n">
        <v>0</v>
      </c>
      <c r="N704" t="n">
        <v>0</v>
      </c>
      <c r="O704" t="n">
        <v>0</v>
      </c>
      <c r="P704" t="n">
        <v>0</v>
      </c>
      <c r="Q704" t="n">
        <v>0</v>
      </c>
      <c r="R704" s="2" t="inlineStr"/>
    </row>
    <row r="705" ht="15" customHeight="1">
      <c r="A705" t="inlineStr">
        <is>
          <t>A 10727-2022</t>
        </is>
      </c>
      <c r="B705" s="1" t="n">
        <v>44627</v>
      </c>
      <c r="C705" s="1" t="n">
        <v>45719</v>
      </c>
      <c r="D705" t="inlineStr">
        <is>
          <t>JÄMTLANDS LÄN</t>
        </is>
      </c>
      <c r="E705" t="inlineStr">
        <is>
          <t>HÄRJEDALEN</t>
        </is>
      </c>
      <c r="F705" t="inlineStr">
        <is>
          <t>Holmen skog AB</t>
        </is>
      </c>
      <c r="G705" t="n">
        <v>12.6</v>
      </c>
      <c r="H705" t="n">
        <v>0</v>
      </c>
      <c r="I705" t="n">
        <v>0</v>
      </c>
      <c r="J705" t="n">
        <v>0</v>
      </c>
      <c r="K705" t="n">
        <v>0</v>
      </c>
      <c r="L705" t="n">
        <v>0</v>
      </c>
      <c r="M705" t="n">
        <v>0</v>
      </c>
      <c r="N705" t="n">
        <v>0</v>
      </c>
      <c r="O705" t="n">
        <v>0</v>
      </c>
      <c r="P705" t="n">
        <v>0</v>
      </c>
      <c r="Q705" t="n">
        <v>0</v>
      </c>
      <c r="R705" s="2" t="inlineStr"/>
    </row>
    <row r="706" ht="15" customHeight="1">
      <c r="A706" t="inlineStr">
        <is>
          <t>A 10741-2022</t>
        </is>
      </c>
      <c r="B706" s="1" t="n">
        <v>44627</v>
      </c>
      <c r="C706" s="1" t="n">
        <v>45719</v>
      </c>
      <c r="D706" t="inlineStr">
        <is>
          <t>JÄMTLANDS LÄN</t>
        </is>
      </c>
      <c r="E706" t="inlineStr">
        <is>
          <t>HÄRJEDALEN</t>
        </is>
      </c>
      <c r="F706" t="inlineStr">
        <is>
          <t>Holmen skog AB</t>
        </is>
      </c>
      <c r="G706" t="n">
        <v>8</v>
      </c>
      <c r="H706" t="n">
        <v>0</v>
      </c>
      <c r="I706" t="n">
        <v>0</v>
      </c>
      <c r="J706" t="n">
        <v>0</v>
      </c>
      <c r="K706" t="n">
        <v>0</v>
      </c>
      <c r="L706" t="n">
        <v>0</v>
      </c>
      <c r="M706" t="n">
        <v>0</v>
      </c>
      <c r="N706" t="n">
        <v>0</v>
      </c>
      <c r="O706" t="n">
        <v>0</v>
      </c>
      <c r="P706" t="n">
        <v>0</v>
      </c>
      <c r="Q706" t="n">
        <v>0</v>
      </c>
      <c r="R706" s="2" t="inlineStr"/>
    </row>
    <row r="707" ht="15" customHeight="1">
      <c r="A707" t="inlineStr">
        <is>
          <t>A 10956-2022</t>
        </is>
      </c>
      <c r="B707" s="1" t="n">
        <v>44628</v>
      </c>
      <c r="C707" s="1" t="n">
        <v>45719</v>
      </c>
      <c r="D707" t="inlineStr">
        <is>
          <t>JÄMTLANDS LÄN</t>
        </is>
      </c>
      <c r="E707" t="inlineStr">
        <is>
          <t>HÄRJEDALEN</t>
        </is>
      </c>
      <c r="F707" t="inlineStr">
        <is>
          <t>Holmen skog AB</t>
        </is>
      </c>
      <c r="G707" t="n">
        <v>21.8</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v>
      </c>
      <c r="C708" s="1" t="n">
        <v>45719</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11334-2022</t>
        </is>
      </c>
      <c r="B709" s="1" t="n">
        <v>44630</v>
      </c>
      <c r="C709" s="1" t="n">
        <v>45719</v>
      </c>
      <c r="D709" t="inlineStr">
        <is>
          <t>JÄMTLANDS LÄN</t>
        </is>
      </c>
      <c r="E709" t="inlineStr">
        <is>
          <t>HÄRJEDALEN</t>
        </is>
      </c>
      <c r="F709" t="inlineStr">
        <is>
          <t>Holmen skog AB</t>
        </is>
      </c>
      <c r="G709" t="n">
        <v>5.8</v>
      </c>
      <c r="H709" t="n">
        <v>0</v>
      </c>
      <c r="I709" t="n">
        <v>0</v>
      </c>
      <c r="J709" t="n">
        <v>0</v>
      </c>
      <c r="K709" t="n">
        <v>0</v>
      </c>
      <c r="L709" t="n">
        <v>0</v>
      </c>
      <c r="M709" t="n">
        <v>0</v>
      </c>
      <c r="N709" t="n">
        <v>0</v>
      </c>
      <c r="O709" t="n">
        <v>0</v>
      </c>
      <c r="P709" t="n">
        <v>0</v>
      </c>
      <c r="Q709" t="n">
        <v>0</v>
      </c>
      <c r="R709" s="2" t="inlineStr"/>
    </row>
    <row r="710" ht="15" customHeight="1">
      <c r="A710" t="inlineStr">
        <is>
          <t>A 11512-2022</t>
        </is>
      </c>
      <c r="B710" s="1" t="n">
        <v>44631</v>
      </c>
      <c r="C710" s="1" t="n">
        <v>45719</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11528-2022</t>
        </is>
      </c>
      <c r="B711" s="1" t="n">
        <v>44631</v>
      </c>
      <c r="C711" s="1" t="n">
        <v>45719</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11553-2022</t>
        </is>
      </c>
      <c r="B712" s="1" t="n">
        <v>44631</v>
      </c>
      <c r="C712" s="1" t="n">
        <v>45719</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11525-2022</t>
        </is>
      </c>
      <c r="B713" s="1" t="n">
        <v>44631</v>
      </c>
      <c r="C713" s="1" t="n">
        <v>45719</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11545-2022</t>
        </is>
      </c>
      <c r="B714" s="1" t="n">
        <v>44631</v>
      </c>
      <c r="C714" s="1" t="n">
        <v>45719</v>
      </c>
      <c r="D714" t="inlineStr">
        <is>
          <t>JÄMTLANDS LÄN</t>
        </is>
      </c>
      <c r="E714" t="inlineStr">
        <is>
          <t>HÄRJEDALEN</t>
        </is>
      </c>
      <c r="F714" t="inlineStr">
        <is>
          <t>Holmen skog AB</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11522-2022</t>
        </is>
      </c>
      <c r="B715" s="1" t="n">
        <v>44631</v>
      </c>
      <c r="C715" s="1" t="n">
        <v>45719</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11527-2022</t>
        </is>
      </c>
      <c r="B716" s="1" t="n">
        <v>44631</v>
      </c>
      <c r="C716" s="1" t="n">
        <v>45719</v>
      </c>
      <c r="D716" t="inlineStr">
        <is>
          <t>JÄMTLANDS LÄN</t>
        </is>
      </c>
      <c r="E716" t="inlineStr">
        <is>
          <t>HÄRJEDALEN</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11557-2022</t>
        </is>
      </c>
      <c r="B717" s="1" t="n">
        <v>44631</v>
      </c>
      <c r="C717" s="1" t="n">
        <v>45719</v>
      </c>
      <c r="D717" t="inlineStr">
        <is>
          <t>JÄMTLANDS LÄN</t>
        </is>
      </c>
      <c r="E717" t="inlineStr">
        <is>
          <t>HÄRJEDALEN</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11541-2022</t>
        </is>
      </c>
      <c r="B718" s="1" t="n">
        <v>44631</v>
      </c>
      <c r="C718" s="1" t="n">
        <v>45719</v>
      </c>
      <c r="D718" t="inlineStr">
        <is>
          <t>JÄMTLANDS LÄN</t>
        </is>
      </c>
      <c r="E718" t="inlineStr">
        <is>
          <t>HÄRJEDALEN</t>
        </is>
      </c>
      <c r="F718" t="inlineStr">
        <is>
          <t>Holmen skog AB</t>
        </is>
      </c>
      <c r="G718" t="n">
        <v>5.5</v>
      </c>
      <c r="H718" t="n">
        <v>0</v>
      </c>
      <c r="I718" t="n">
        <v>0</v>
      </c>
      <c r="J718" t="n">
        <v>0</v>
      </c>
      <c r="K718" t="n">
        <v>0</v>
      </c>
      <c r="L718" t="n">
        <v>0</v>
      </c>
      <c r="M718" t="n">
        <v>0</v>
      </c>
      <c r="N718" t="n">
        <v>0</v>
      </c>
      <c r="O718" t="n">
        <v>0</v>
      </c>
      <c r="P718" t="n">
        <v>0</v>
      </c>
      <c r="Q718" t="n">
        <v>0</v>
      </c>
      <c r="R718" s="2" t="inlineStr"/>
    </row>
    <row r="719" ht="15" customHeight="1">
      <c r="A719" t="inlineStr">
        <is>
          <t>A 11551-2022</t>
        </is>
      </c>
      <c r="B719" s="1" t="n">
        <v>44631</v>
      </c>
      <c r="C719" s="1" t="n">
        <v>45719</v>
      </c>
      <c r="D719" t="inlineStr">
        <is>
          <t>JÄMTLANDS LÄN</t>
        </is>
      </c>
      <c r="E719" t="inlineStr">
        <is>
          <t>HÄRJEDALEN</t>
        </is>
      </c>
      <c r="F719" t="inlineStr">
        <is>
          <t>Holmen skog AB</t>
        </is>
      </c>
      <c r="G719" t="n">
        <v>17.6</v>
      </c>
      <c r="H719" t="n">
        <v>0</v>
      </c>
      <c r="I719" t="n">
        <v>0</v>
      </c>
      <c r="J719" t="n">
        <v>0</v>
      </c>
      <c r="K719" t="n">
        <v>0</v>
      </c>
      <c r="L719" t="n">
        <v>0</v>
      </c>
      <c r="M719" t="n">
        <v>0</v>
      </c>
      <c r="N719" t="n">
        <v>0</v>
      </c>
      <c r="O719" t="n">
        <v>0</v>
      </c>
      <c r="P719" t="n">
        <v>0</v>
      </c>
      <c r="Q719" t="n">
        <v>0</v>
      </c>
      <c r="R719" s="2" t="inlineStr"/>
    </row>
    <row r="720" ht="15" customHeight="1">
      <c r="A720" t="inlineStr">
        <is>
          <t>A 12468-2022</t>
        </is>
      </c>
      <c r="B720" s="1" t="n">
        <v>44638</v>
      </c>
      <c r="C720" s="1" t="n">
        <v>45719</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45719</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13081-2022</t>
        </is>
      </c>
      <c r="B722" s="1" t="n">
        <v>44643</v>
      </c>
      <c r="C722" s="1" t="n">
        <v>45719</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13991-2022</t>
        </is>
      </c>
      <c r="B723" s="1" t="n">
        <v>44650</v>
      </c>
      <c r="C723" s="1" t="n">
        <v>45719</v>
      </c>
      <c r="D723" t="inlineStr">
        <is>
          <t>JÄMTLANDS LÄN</t>
        </is>
      </c>
      <c r="E723" t="inlineStr">
        <is>
          <t>HÄRJEDALEN</t>
        </is>
      </c>
      <c r="F723" t="inlineStr">
        <is>
          <t>Holmen skog AB</t>
        </is>
      </c>
      <c r="G723" t="n">
        <v>6.2</v>
      </c>
      <c r="H723" t="n">
        <v>0</v>
      </c>
      <c r="I723" t="n">
        <v>0</v>
      </c>
      <c r="J723" t="n">
        <v>0</v>
      </c>
      <c r="K723" t="n">
        <v>0</v>
      </c>
      <c r="L723" t="n">
        <v>0</v>
      </c>
      <c r="M723" t="n">
        <v>0</v>
      </c>
      <c r="N723" t="n">
        <v>0</v>
      </c>
      <c r="O723" t="n">
        <v>0</v>
      </c>
      <c r="P723" t="n">
        <v>0</v>
      </c>
      <c r="Q723" t="n">
        <v>0</v>
      </c>
      <c r="R723" s="2" t="inlineStr"/>
    </row>
    <row r="724" ht="15" customHeight="1">
      <c r="A724" t="inlineStr">
        <is>
          <t>A 15374-2022</t>
        </is>
      </c>
      <c r="B724" s="1" t="n">
        <v>44659</v>
      </c>
      <c r="C724" s="1" t="n">
        <v>45719</v>
      </c>
      <c r="D724" t="inlineStr">
        <is>
          <t>JÄMTLANDS LÄN</t>
        </is>
      </c>
      <c r="E724" t="inlineStr">
        <is>
          <t>HÄRJEDALEN</t>
        </is>
      </c>
      <c r="G724" t="n">
        <v>1.9</v>
      </c>
      <c r="H724" t="n">
        <v>0</v>
      </c>
      <c r="I724" t="n">
        <v>0</v>
      </c>
      <c r="J724" t="n">
        <v>0</v>
      </c>
      <c r="K724" t="n">
        <v>0</v>
      </c>
      <c r="L724" t="n">
        <v>0</v>
      </c>
      <c r="M724" t="n">
        <v>0</v>
      </c>
      <c r="N724" t="n">
        <v>0</v>
      </c>
      <c r="O724" t="n">
        <v>0</v>
      </c>
      <c r="P724" t="n">
        <v>0</v>
      </c>
      <c r="Q724" t="n">
        <v>0</v>
      </c>
      <c r="R724" s="2" t="inlineStr"/>
    </row>
    <row r="725" ht="15" customHeight="1">
      <c r="A725" t="inlineStr">
        <is>
          <t>A 15611-2022</t>
        </is>
      </c>
      <c r="B725" s="1" t="n">
        <v>44662</v>
      </c>
      <c r="C725" s="1" t="n">
        <v>45719</v>
      </c>
      <c r="D725" t="inlineStr">
        <is>
          <t>JÄMTLANDS LÄN</t>
        </is>
      </c>
      <c r="E725" t="inlineStr">
        <is>
          <t>HÄRJEDALEN</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15763-2022</t>
        </is>
      </c>
      <c r="B726" s="1" t="n">
        <v>44663</v>
      </c>
      <c r="C726" s="1" t="n">
        <v>45719</v>
      </c>
      <c r="D726" t="inlineStr">
        <is>
          <t>JÄMTLANDS LÄN</t>
        </is>
      </c>
      <c r="E726" t="inlineStr">
        <is>
          <t>HÄRJEDALEN</t>
        </is>
      </c>
      <c r="G726" t="n">
        <v>4.4</v>
      </c>
      <c r="H726" t="n">
        <v>0</v>
      </c>
      <c r="I726" t="n">
        <v>0</v>
      </c>
      <c r="J726" t="n">
        <v>0</v>
      </c>
      <c r="K726" t="n">
        <v>0</v>
      </c>
      <c r="L726" t="n">
        <v>0</v>
      </c>
      <c r="M726" t="n">
        <v>0</v>
      </c>
      <c r="N726" t="n">
        <v>0</v>
      </c>
      <c r="O726" t="n">
        <v>0</v>
      </c>
      <c r="P726" t="n">
        <v>0</v>
      </c>
      <c r="Q726" t="n">
        <v>0</v>
      </c>
      <c r="R726" s="2" t="inlineStr"/>
    </row>
    <row r="727" ht="15" customHeight="1">
      <c r="A727" t="inlineStr">
        <is>
          <t>A 16014-2022</t>
        </is>
      </c>
      <c r="B727" s="1" t="n">
        <v>44665</v>
      </c>
      <c r="C727" s="1" t="n">
        <v>45719</v>
      </c>
      <c r="D727" t="inlineStr">
        <is>
          <t>JÄMTLANDS LÄN</t>
        </is>
      </c>
      <c r="E727" t="inlineStr">
        <is>
          <t>HÄRJEDALEN</t>
        </is>
      </c>
      <c r="G727" t="n">
        <v>38.7</v>
      </c>
      <c r="H727" t="n">
        <v>0</v>
      </c>
      <c r="I727" t="n">
        <v>0</v>
      </c>
      <c r="J727" t="n">
        <v>0</v>
      </c>
      <c r="K727" t="n">
        <v>0</v>
      </c>
      <c r="L727" t="n">
        <v>0</v>
      </c>
      <c r="M727" t="n">
        <v>0</v>
      </c>
      <c r="N727" t="n">
        <v>0</v>
      </c>
      <c r="O727" t="n">
        <v>0</v>
      </c>
      <c r="P727" t="n">
        <v>0</v>
      </c>
      <c r="Q727" t="n">
        <v>0</v>
      </c>
      <c r="R727" s="2" t="inlineStr"/>
    </row>
    <row r="728" ht="15" customHeight="1">
      <c r="A728" t="inlineStr">
        <is>
          <t>A 17805-2022</t>
        </is>
      </c>
      <c r="B728" s="1" t="n">
        <v>44683</v>
      </c>
      <c r="C728" s="1" t="n">
        <v>45719</v>
      </c>
      <c r="D728" t="inlineStr">
        <is>
          <t>JÄMTLANDS LÄN</t>
        </is>
      </c>
      <c r="E728" t="inlineStr">
        <is>
          <t>HÄRJEDALEN</t>
        </is>
      </c>
      <c r="G728" t="n">
        <v>15.7</v>
      </c>
      <c r="H728" t="n">
        <v>0</v>
      </c>
      <c r="I728" t="n">
        <v>0</v>
      </c>
      <c r="J728" t="n">
        <v>0</v>
      </c>
      <c r="K728" t="n">
        <v>0</v>
      </c>
      <c r="L728" t="n">
        <v>0</v>
      </c>
      <c r="M728" t="n">
        <v>0</v>
      </c>
      <c r="N728" t="n">
        <v>0</v>
      </c>
      <c r="O728" t="n">
        <v>0</v>
      </c>
      <c r="P728" t="n">
        <v>0</v>
      </c>
      <c r="Q728" t="n">
        <v>0</v>
      </c>
      <c r="R728" s="2" t="inlineStr"/>
    </row>
    <row r="729" ht="15" customHeight="1">
      <c r="A729" t="inlineStr">
        <is>
          <t>A 17797-2022</t>
        </is>
      </c>
      <c r="B729" s="1" t="n">
        <v>44683</v>
      </c>
      <c r="C729" s="1" t="n">
        <v>45719</v>
      </c>
      <c r="D729" t="inlineStr">
        <is>
          <t>JÄMTLANDS LÄN</t>
        </is>
      </c>
      <c r="E729" t="inlineStr">
        <is>
          <t>HÄRJEDALEN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17935-2022</t>
        </is>
      </c>
      <c r="B730" s="1" t="n">
        <v>44683</v>
      </c>
      <c r="C730" s="1" t="n">
        <v>45719</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18169-2022</t>
        </is>
      </c>
      <c r="B731" s="1" t="n">
        <v>44684</v>
      </c>
      <c r="C731" s="1" t="n">
        <v>45719</v>
      </c>
      <c r="D731" t="inlineStr">
        <is>
          <t>JÄMTLANDS LÄN</t>
        </is>
      </c>
      <c r="E731" t="inlineStr">
        <is>
          <t>HÄRJEDALEN</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18778-2022</t>
        </is>
      </c>
      <c r="B732" s="1" t="n">
        <v>44689</v>
      </c>
      <c r="C732" s="1" t="n">
        <v>45719</v>
      </c>
      <c r="D732" t="inlineStr">
        <is>
          <t>JÄMTLANDS LÄN</t>
        </is>
      </c>
      <c r="E732" t="inlineStr">
        <is>
          <t>HÄRJEDALEN</t>
        </is>
      </c>
      <c r="G732" t="n">
        <v>4.1</v>
      </c>
      <c r="H732" t="n">
        <v>0</v>
      </c>
      <c r="I732" t="n">
        <v>0</v>
      </c>
      <c r="J732" t="n">
        <v>0</v>
      </c>
      <c r="K732" t="n">
        <v>0</v>
      </c>
      <c r="L732" t="n">
        <v>0</v>
      </c>
      <c r="M732" t="n">
        <v>0</v>
      </c>
      <c r="N732" t="n">
        <v>0</v>
      </c>
      <c r="O732" t="n">
        <v>0</v>
      </c>
      <c r="P732" t="n">
        <v>0</v>
      </c>
      <c r="Q732" t="n">
        <v>0</v>
      </c>
      <c r="R732" s="2" t="inlineStr"/>
    </row>
    <row r="733" ht="15" customHeight="1">
      <c r="A733" t="inlineStr">
        <is>
          <t>A 18808-2022</t>
        </is>
      </c>
      <c r="B733" s="1" t="n">
        <v>44690</v>
      </c>
      <c r="C733" s="1" t="n">
        <v>45719</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20059-2022</t>
        </is>
      </c>
      <c r="B734" s="1" t="n">
        <v>44698</v>
      </c>
      <c r="C734" s="1" t="n">
        <v>45719</v>
      </c>
      <c r="D734" t="inlineStr">
        <is>
          <t>JÄMTLANDS LÄN</t>
        </is>
      </c>
      <c r="E734" t="inlineStr">
        <is>
          <t>HÄRJEDALEN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20206-2022</t>
        </is>
      </c>
      <c r="B735" s="1" t="n">
        <v>44698</v>
      </c>
      <c r="C735" s="1" t="n">
        <v>45719</v>
      </c>
      <c r="D735" t="inlineStr">
        <is>
          <t>JÄMTLANDS LÄN</t>
        </is>
      </c>
      <c r="E735" t="inlineStr">
        <is>
          <t>HÄRJEDALEN</t>
        </is>
      </c>
      <c r="F735" t="inlineStr">
        <is>
          <t>Bergvik skog väst AB</t>
        </is>
      </c>
      <c r="G735" t="n">
        <v>5.8</v>
      </c>
      <c r="H735" t="n">
        <v>0</v>
      </c>
      <c r="I735" t="n">
        <v>0</v>
      </c>
      <c r="J735" t="n">
        <v>0</v>
      </c>
      <c r="K735" t="n">
        <v>0</v>
      </c>
      <c r="L735" t="n">
        <v>0</v>
      </c>
      <c r="M735" t="n">
        <v>0</v>
      </c>
      <c r="N735" t="n">
        <v>0</v>
      </c>
      <c r="O735" t="n">
        <v>0</v>
      </c>
      <c r="P735" t="n">
        <v>0</v>
      </c>
      <c r="Q735" t="n">
        <v>0</v>
      </c>
      <c r="R735" s="2" t="inlineStr"/>
    </row>
    <row r="736" ht="15" customHeight="1">
      <c r="A736" t="inlineStr">
        <is>
          <t>A 21610-2022</t>
        </is>
      </c>
      <c r="B736" s="1" t="n">
        <v>44706</v>
      </c>
      <c r="C736" s="1" t="n">
        <v>45719</v>
      </c>
      <c r="D736" t="inlineStr">
        <is>
          <t>JÄMTLANDS LÄN</t>
        </is>
      </c>
      <c r="E736" t="inlineStr">
        <is>
          <t>HÄRJEDALEN</t>
        </is>
      </c>
      <c r="F736" t="inlineStr">
        <is>
          <t>Holmen skog AB</t>
        </is>
      </c>
      <c r="G736" t="n">
        <v>15.3</v>
      </c>
      <c r="H736" t="n">
        <v>0</v>
      </c>
      <c r="I736" t="n">
        <v>0</v>
      </c>
      <c r="J736" t="n">
        <v>0</v>
      </c>
      <c r="K736" t="n">
        <v>0</v>
      </c>
      <c r="L736" t="n">
        <v>0</v>
      </c>
      <c r="M736" t="n">
        <v>0</v>
      </c>
      <c r="N736" t="n">
        <v>0</v>
      </c>
      <c r="O736" t="n">
        <v>0</v>
      </c>
      <c r="P736" t="n">
        <v>0</v>
      </c>
      <c r="Q736" t="n">
        <v>0</v>
      </c>
      <c r="R736" s="2" t="inlineStr"/>
    </row>
    <row r="737" ht="15" customHeight="1">
      <c r="A737" t="inlineStr">
        <is>
          <t>A 21767-2022</t>
        </is>
      </c>
      <c r="B737" s="1" t="n">
        <v>44708</v>
      </c>
      <c r="C737" s="1" t="n">
        <v>45719</v>
      </c>
      <c r="D737" t="inlineStr">
        <is>
          <t>JÄMTLANDS LÄN</t>
        </is>
      </c>
      <c r="E737" t="inlineStr">
        <is>
          <t>HÄRJEDALEN</t>
        </is>
      </c>
      <c r="F737" t="inlineStr">
        <is>
          <t>Holmen skog AB</t>
        </is>
      </c>
      <c r="G737" t="n">
        <v>8.1</v>
      </c>
      <c r="H737" t="n">
        <v>0</v>
      </c>
      <c r="I737" t="n">
        <v>0</v>
      </c>
      <c r="J737" t="n">
        <v>0</v>
      </c>
      <c r="K737" t="n">
        <v>0</v>
      </c>
      <c r="L737" t="n">
        <v>0</v>
      </c>
      <c r="M737" t="n">
        <v>0</v>
      </c>
      <c r="N737" t="n">
        <v>0</v>
      </c>
      <c r="O737" t="n">
        <v>0</v>
      </c>
      <c r="P737" t="n">
        <v>0</v>
      </c>
      <c r="Q737" t="n">
        <v>0</v>
      </c>
      <c r="R737" s="2" t="inlineStr"/>
    </row>
    <row r="738" ht="15" customHeight="1">
      <c r="A738" t="inlineStr">
        <is>
          <t>A 21774-2022</t>
        </is>
      </c>
      <c r="B738" s="1" t="n">
        <v>44708</v>
      </c>
      <c r="C738" s="1" t="n">
        <v>45719</v>
      </c>
      <c r="D738" t="inlineStr">
        <is>
          <t>JÄMTLANDS LÄN</t>
        </is>
      </c>
      <c r="E738" t="inlineStr">
        <is>
          <t>HÄRJEDALEN</t>
        </is>
      </c>
      <c r="F738" t="inlineStr">
        <is>
          <t>Holmen skog AB</t>
        </is>
      </c>
      <c r="G738" t="n">
        <v>17.3</v>
      </c>
      <c r="H738" t="n">
        <v>0</v>
      </c>
      <c r="I738" t="n">
        <v>0</v>
      </c>
      <c r="J738" t="n">
        <v>0</v>
      </c>
      <c r="K738" t="n">
        <v>0</v>
      </c>
      <c r="L738" t="n">
        <v>0</v>
      </c>
      <c r="M738" t="n">
        <v>0</v>
      </c>
      <c r="N738" t="n">
        <v>0</v>
      </c>
      <c r="O738" t="n">
        <v>0</v>
      </c>
      <c r="P738" t="n">
        <v>0</v>
      </c>
      <c r="Q738" t="n">
        <v>0</v>
      </c>
      <c r="R738" s="2" t="inlineStr"/>
    </row>
    <row r="739" ht="15" customHeight="1">
      <c r="A739" t="inlineStr">
        <is>
          <t>A 21778-2022</t>
        </is>
      </c>
      <c r="B739" s="1" t="n">
        <v>44708</v>
      </c>
      <c r="C739" s="1" t="n">
        <v>45719</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21770-2022</t>
        </is>
      </c>
      <c r="B740" s="1" t="n">
        <v>44708</v>
      </c>
      <c r="C740" s="1" t="n">
        <v>45719</v>
      </c>
      <c r="D740" t="inlineStr">
        <is>
          <t>JÄMTLANDS LÄN</t>
        </is>
      </c>
      <c r="E740" t="inlineStr">
        <is>
          <t>HÄRJEDALEN</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21781-2022</t>
        </is>
      </c>
      <c r="B741" s="1" t="n">
        <v>44708</v>
      </c>
      <c r="C741" s="1" t="n">
        <v>45719</v>
      </c>
      <c r="D741" t="inlineStr">
        <is>
          <t>JÄMTLANDS LÄN</t>
        </is>
      </c>
      <c r="E741" t="inlineStr">
        <is>
          <t>HÄRJEDALEN</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21796-2022</t>
        </is>
      </c>
      <c r="B742" s="1" t="n">
        <v>44708</v>
      </c>
      <c r="C742" s="1" t="n">
        <v>45719</v>
      </c>
      <c r="D742" t="inlineStr">
        <is>
          <t>JÄMTLANDS LÄN</t>
        </is>
      </c>
      <c r="E742" t="inlineStr">
        <is>
          <t>HÄRJEDALEN</t>
        </is>
      </c>
      <c r="F742" t="inlineStr">
        <is>
          <t>Holmen skog AB</t>
        </is>
      </c>
      <c r="G742" t="n">
        <v>22.3</v>
      </c>
      <c r="H742" t="n">
        <v>0</v>
      </c>
      <c r="I742" t="n">
        <v>0</v>
      </c>
      <c r="J742" t="n">
        <v>0</v>
      </c>
      <c r="K742" t="n">
        <v>0</v>
      </c>
      <c r="L742" t="n">
        <v>0</v>
      </c>
      <c r="M742" t="n">
        <v>0</v>
      </c>
      <c r="N742" t="n">
        <v>0</v>
      </c>
      <c r="O742" t="n">
        <v>0</v>
      </c>
      <c r="P742" t="n">
        <v>0</v>
      </c>
      <c r="Q742" t="n">
        <v>0</v>
      </c>
      <c r="R742" s="2" t="inlineStr"/>
    </row>
    <row r="743" ht="15" customHeight="1">
      <c r="A743" t="inlineStr">
        <is>
          <t>A 22166-2022</t>
        </is>
      </c>
      <c r="B743" s="1" t="n">
        <v>44712</v>
      </c>
      <c r="C743" s="1" t="n">
        <v>45719</v>
      </c>
      <c r="D743" t="inlineStr">
        <is>
          <t>JÄMTLANDS LÄN</t>
        </is>
      </c>
      <c r="E743" t="inlineStr">
        <is>
          <t>HÄRJEDALEN</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23074-2022</t>
        </is>
      </c>
      <c r="B744" s="1" t="n">
        <v>44719</v>
      </c>
      <c r="C744" s="1" t="n">
        <v>45719</v>
      </c>
      <c r="D744" t="inlineStr">
        <is>
          <t>JÄMTLANDS LÄN</t>
        </is>
      </c>
      <c r="E744" t="inlineStr">
        <is>
          <t>HÄRJEDALEN</t>
        </is>
      </c>
      <c r="F744" t="inlineStr">
        <is>
          <t>Bergvik skog väst AB</t>
        </is>
      </c>
      <c r="G744" t="n">
        <v>23.2</v>
      </c>
      <c r="H744" t="n">
        <v>0</v>
      </c>
      <c r="I744" t="n">
        <v>0</v>
      </c>
      <c r="J744" t="n">
        <v>0</v>
      </c>
      <c r="K744" t="n">
        <v>0</v>
      </c>
      <c r="L744" t="n">
        <v>0</v>
      </c>
      <c r="M744" t="n">
        <v>0</v>
      </c>
      <c r="N744" t="n">
        <v>0</v>
      </c>
      <c r="O744" t="n">
        <v>0</v>
      </c>
      <c r="P744" t="n">
        <v>0</v>
      </c>
      <c r="Q744" t="n">
        <v>0</v>
      </c>
      <c r="R744" s="2" t="inlineStr"/>
    </row>
    <row r="745" ht="15" customHeight="1">
      <c r="A745" t="inlineStr">
        <is>
          <t>A 23140-2022</t>
        </is>
      </c>
      <c r="B745" s="1" t="n">
        <v>44719</v>
      </c>
      <c r="C745" s="1" t="n">
        <v>45719</v>
      </c>
      <c r="D745" t="inlineStr">
        <is>
          <t>JÄMTLANDS LÄN</t>
        </is>
      </c>
      <c r="E745" t="inlineStr">
        <is>
          <t>HÄRJEDALEN</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45719</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24214-2022</t>
        </is>
      </c>
      <c r="B747" s="1" t="n">
        <v>44725</v>
      </c>
      <c r="C747" s="1" t="n">
        <v>45719</v>
      </c>
      <c r="D747" t="inlineStr">
        <is>
          <t>JÄMTLANDS LÄN</t>
        </is>
      </c>
      <c r="E747" t="inlineStr">
        <is>
          <t>HÄRJEDALEN</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24426-2022</t>
        </is>
      </c>
      <c r="B748" s="1" t="n">
        <v>44726</v>
      </c>
      <c r="C748" s="1" t="n">
        <v>45719</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24530-2022</t>
        </is>
      </c>
      <c r="B749" s="1" t="n">
        <v>44726</v>
      </c>
      <c r="C749" s="1" t="n">
        <v>45719</v>
      </c>
      <c r="D749" t="inlineStr">
        <is>
          <t>JÄMTLANDS LÄN</t>
        </is>
      </c>
      <c r="E749" t="inlineStr">
        <is>
          <t>HÄRJEDALEN</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24571-2022</t>
        </is>
      </c>
      <c r="B750" s="1" t="n">
        <v>44727</v>
      </c>
      <c r="C750" s="1" t="n">
        <v>45719</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24690-2022</t>
        </is>
      </c>
      <c r="B751" s="1" t="n">
        <v>44727</v>
      </c>
      <c r="C751" s="1" t="n">
        <v>45719</v>
      </c>
      <c r="D751" t="inlineStr">
        <is>
          <t>JÄMTLANDS LÄN</t>
        </is>
      </c>
      <c r="E751" t="inlineStr">
        <is>
          <t>HÄRJEDALEN</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24693-2022</t>
        </is>
      </c>
      <c r="B752" s="1" t="n">
        <v>44727</v>
      </c>
      <c r="C752" s="1" t="n">
        <v>45719</v>
      </c>
      <c r="D752" t="inlineStr">
        <is>
          <t>JÄMTLANDS LÄN</t>
        </is>
      </c>
      <c r="E752" t="inlineStr">
        <is>
          <t>HÄRJEDALEN</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24824-2022</t>
        </is>
      </c>
      <c r="B753" s="1" t="n">
        <v>44728</v>
      </c>
      <c r="C753" s="1" t="n">
        <v>45719</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24834-2022</t>
        </is>
      </c>
      <c r="B754" s="1" t="n">
        <v>44728</v>
      </c>
      <c r="C754" s="1" t="n">
        <v>45719</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24792-2022</t>
        </is>
      </c>
      <c r="B755" s="1" t="n">
        <v>44728</v>
      </c>
      <c r="C755" s="1" t="n">
        <v>45719</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45719</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25583-2022</t>
        </is>
      </c>
      <c r="B757" s="1" t="n">
        <v>44732</v>
      </c>
      <c r="C757" s="1" t="n">
        <v>45719</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25780-2022</t>
        </is>
      </c>
      <c r="B758" s="1" t="n">
        <v>44733</v>
      </c>
      <c r="C758" s="1" t="n">
        <v>45719</v>
      </c>
      <c r="D758" t="inlineStr">
        <is>
          <t>JÄMTLANDS LÄN</t>
        </is>
      </c>
      <c r="E758" t="inlineStr">
        <is>
          <t>HÄRJEDALEN</t>
        </is>
      </c>
      <c r="F758" t="inlineStr">
        <is>
          <t>Kyrkan</t>
        </is>
      </c>
      <c r="G758" t="n">
        <v>7.7</v>
      </c>
      <c r="H758" t="n">
        <v>0</v>
      </c>
      <c r="I758" t="n">
        <v>0</v>
      </c>
      <c r="J758" t="n">
        <v>0</v>
      </c>
      <c r="K758" t="n">
        <v>0</v>
      </c>
      <c r="L758" t="n">
        <v>0</v>
      </c>
      <c r="M758" t="n">
        <v>0</v>
      </c>
      <c r="N758" t="n">
        <v>0</v>
      </c>
      <c r="O758" t="n">
        <v>0</v>
      </c>
      <c r="P758" t="n">
        <v>0</v>
      </c>
      <c r="Q758" t="n">
        <v>0</v>
      </c>
      <c r="R758" s="2" t="inlineStr"/>
    </row>
    <row r="759" ht="15" customHeight="1">
      <c r="A759" t="inlineStr">
        <is>
          <t>A 25725-2022</t>
        </is>
      </c>
      <c r="B759" s="1" t="n">
        <v>44733</v>
      </c>
      <c r="C759" s="1" t="n">
        <v>45719</v>
      </c>
      <c r="D759" t="inlineStr">
        <is>
          <t>JÄMTLANDS LÄN</t>
        </is>
      </c>
      <c r="E759" t="inlineStr">
        <is>
          <t>HÄRJEDALEN</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25912-2022</t>
        </is>
      </c>
      <c r="B760" s="1" t="n">
        <v>44734</v>
      </c>
      <c r="C760" s="1" t="n">
        <v>45719</v>
      </c>
      <c r="D760" t="inlineStr">
        <is>
          <t>JÄMTLANDS LÄN</t>
        </is>
      </c>
      <c r="E760" t="inlineStr">
        <is>
          <t>HÄRJEDALEN</t>
        </is>
      </c>
      <c r="F760" t="inlineStr">
        <is>
          <t>Bergvik skog väst AB</t>
        </is>
      </c>
      <c r="G760" t="n">
        <v>13.7</v>
      </c>
      <c r="H760" t="n">
        <v>0</v>
      </c>
      <c r="I760" t="n">
        <v>0</v>
      </c>
      <c r="J760" t="n">
        <v>0</v>
      </c>
      <c r="K760" t="n">
        <v>0</v>
      </c>
      <c r="L760" t="n">
        <v>0</v>
      </c>
      <c r="M760" t="n">
        <v>0</v>
      </c>
      <c r="N760" t="n">
        <v>0</v>
      </c>
      <c r="O760" t="n">
        <v>0</v>
      </c>
      <c r="P760" t="n">
        <v>0</v>
      </c>
      <c r="Q760" t="n">
        <v>0</v>
      </c>
      <c r="R760" s="2" t="inlineStr"/>
    </row>
    <row r="761" ht="15" customHeight="1">
      <c r="A761" t="inlineStr">
        <is>
          <t>A 26613-2022</t>
        </is>
      </c>
      <c r="B761" s="1" t="n">
        <v>44739</v>
      </c>
      <c r="C761" s="1" t="n">
        <v>45719</v>
      </c>
      <c r="D761" t="inlineStr">
        <is>
          <t>JÄMTLANDS LÄN</t>
        </is>
      </c>
      <c r="E761" t="inlineStr">
        <is>
          <t>HÄRJEDALEN</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26935-2022</t>
        </is>
      </c>
      <c r="B762" s="1" t="n">
        <v>44740</v>
      </c>
      <c r="C762" s="1" t="n">
        <v>45719</v>
      </c>
      <c r="D762" t="inlineStr">
        <is>
          <t>JÄMTLANDS LÄN</t>
        </is>
      </c>
      <c r="E762" t="inlineStr">
        <is>
          <t>HÄRJEDALEN</t>
        </is>
      </c>
      <c r="G762" t="n">
        <v>10.8</v>
      </c>
      <c r="H762" t="n">
        <v>0</v>
      </c>
      <c r="I762" t="n">
        <v>0</v>
      </c>
      <c r="J762" t="n">
        <v>0</v>
      </c>
      <c r="K762" t="n">
        <v>0</v>
      </c>
      <c r="L762" t="n">
        <v>0</v>
      </c>
      <c r="M762" t="n">
        <v>0</v>
      </c>
      <c r="N762" t="n">
        <v>0</v>
      </c>
      <c r="O762" t="n">
        <v>0</v>
      </c>
      <c r="P762" t="n">
        <v>0</v>
      </c>
      <c r="Q762" t="n">
        <v>0</v>
      </c>
      <c r="R762" s="2" t="inlineStr"/>
    </row>
    <row r="763" ht="15" customHeight="1">
      <c r="A763" t="inlineStr">
        <is>
          <t>A 27483-2022</t>
        </is>
      </c>
      <c r="B763" s="1" t="n">
        <v>44742</v>
      </c>
      <c r="C763" s="1" t="n">
        <v>45719</v>
      </c>
      <c r="D763" t="inlineStr">
        <is>
          <t>JÄMTLANDS LÄN</t>
        </is>
      </c>
      <c r="E763" t="inlineStr">
        <is>
          <t>HÄRJEDALEN</t>
        </is>
      </c>
      <c r="F763" t="inlineStr">
        <is>
          <t>Holmen skog AB</t>
        </is>
      </c>
      <c r="G763" t="n">
        <v>0</v>
      </c>
      <c r="H763" t="n">
        <v>0</v>
      </c>
      <c r="I763" t="n">
        <v>0</v>
      </c>
      <c r="J763" t="n">
        <v>0</v>
      </c>
      <c r="K763" t="n">
        <v>0</v>
      </c>
      <c r="L763" t="n">
        <v>0</v>
      </c>
      <c r="M763" t="n">
        <v>0</v>
      </c>
      <c r="N763" t="n">
        <v>0</v>
      </c>
      <c r="O763" t="n">
        <v>0</v>
      </c>
      <c r="P763" t="n">
        <v>0</v>
      </c>
      <c r="Q763" t="n">
        <v>0</v>
      </c>
      <c r="R763" s="2" t="inlineStr"/>
    </row>
    <row r="764" ht="15" customHeight="1">
      <c r="A764" t="inlineStr">
        <is>
          <t>A 29000-2022</t>
        </is>
      </c>
      <c r="B764" s="1" t="n">
        <v>44749</v>
      </c>
      <c r="C764" s="1" t="n">
        <v>45719</v>
      </c>
      <c r="D764" t="inlineStr">
        <is>
          <t>JÄMTLANDS LÄN</t>
        </is>
      </c>
      <c r="E764" t="inlineStr">
        <is>
          <t>HÄRJEDALEN</t>
        </is>
      </c>
      <c r="F764" t="inlineStr">
        <is>
          <t>Kyrkan</t>
        </is>
      </c>
      <c r="G764" t="n">
        <v>16.7</v>
      </c>
      <c r="H764" t="n">
        <v>0</v>
      </c>
      <c r="I764" t="n">
        <v>0</v>
      </c>
      <c r="J764" t="n">
        <v>0</v>
      </c>
      <c r="K764" t="n">
        <v>0</v>
      </c>
      <c r="L764" t="n">
        <v>0</v>
      </c>
      <c r="M764" t="n">
        <v>0</v>
      </c>
      <c r="N764" t="n">
        <v>0</v>
      </c>
      <c r="O764" t="n">
        <v>0</v>
      </c>
      <c r="P764" t="n">
        <v>0</v>
      </c>
      <c r="Q764" t="n">
        <v>0</v>
      </c>
      <c r="R764" s="2" t="inlineStr"/>
    </row>
    <row r="765" ht="15" customHeight="1">
      <c r="A765" t="inlineStr">
        <is>
          <t>A 29455-2022</t>
        </is>
      </c>
      <c r="B765" s="1" t="n">
        <v>44753</v>
      </c>
      <c r="C765" s="1" t="n">
        <v>45719</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30082-2022</t>
        </is>
      </c>
      <c r="B766" s="1" t="n">
        <v>44757</v>
      </c>
      <c r="C766" s="1" t="n">
        <v>45719</v>
      </c>
      <c r="D766" t="inlineStr">
        <is>
          <t>JÄMTLANDS LÄN</t>
        </is>
      </c>
      <c r="E766" t="inlineStr">
        <is>
          <t>HÄRJEDALEN</t>
        </is>
      </c>
      <c r="G766" t="n">
        <v>3</v>
      </c>
      <c r="H766" t="n">
        <v>0</v>
      </c>
      <c r="I766" t="n">
        <v>0</v>
      </c>
      <c r="J766" t="n">
        <v>0</v>
      </c>
      <c r="K766" t="n">
        <v>0</v>
      </c>
      <c r="L766" t="n">
        <v>0</v>
      </c>
      <c r="M766" t="n">
        <v>0</v>
      </c>
      <c r="N766" t="n">
        <v>0</v>
      </c>
      <c r="O766" t="n">
        <v>0</v>
      </c>
      <c r="P766" t="n">
        <v>0</v>
      </c>
      <c r="Q766" t="n">
        <v>0</v>
      </c>
      <c r="R766" s="2" t="inlineStr"/>
    </row>
    <row r="767" ht="15" customHeight="1">
      <c r="A767" t="inlineStr">
        <is>
          <t>A 30537-2022</t>
        </is>
      </c>
      <c r="B767" s="1" t="n">
        <v>44762</v>
      </c>
      <c r="C767" s="1" t="n">
        <v>45719</v>
      </c>
      <c r="D767" t="inlineStr">
        <is>
          <t>JÄMTLANDS LÄN</t>
        </is>
      </c>
      <c r="E767" t="inlineStr">
        <is>
          <t>HÄRJEDALEN</t>
        </is>
      </c>
      <c r="F767" t="inlineStr">
        <is>
          <t>Bergvik skog väst AB</t>
        </is>
      </c>
      <c r="G767" t="n">
        <v>18.5</v>
      </c>
      <c r="H767" t="n">
        <v>0</v>
      </c>
      <c r="I767" t="n">
        <v>0</v>
      </c>
      <c r="J767" t="n">
        <v>0</v>
      </c>
      <c r="K767" t="n">
        <v>0</v>
      </c>
      <c r="L767" t="n">
        <v>0</v>
      </c>
      <c r="M767" t="n">
        <v>0</v>
      </c>
      <c r="N767" t="n">
        <v>0</v>
      </c>
      <c r="O767" t="n">
        <v>0</v>
      </c>
      <c r="P767" t="n">
        <v>0</v>
      </c>
      <c r="Q767" t="n">
        <v>0</v>
      </c>
      <c r="R767" s="2" t="inlineStr"/>
    </row>
    <row r="768" ht="15" customHeight="1">
      <c r="A768" t="inlineStr">
        <is>
          <t>A 30643-2022</t>
        </is>
      </c>
      <c r="B768" s="1" t="n">
        <v>44763</v>
      </c>
      <c r="C768" s="1" t="n">
        <v>45719</v>
      </c>
      <c r="D768" t="inlineStr">
        <is>
          <t>JÄMTLANDS LÄN</t>
        </is>
      </c>
      <c r="E768" t="inlineStr">
        <is>
          <t>HÄRJEDALEN</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30962-2022</t>
        </is>
      </c>
      <c r="B769" s="1" t="n">
        <v>44768</v>
      </c>
      <c r="C769" s="1" t="n">
        <v>45719</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31167-2022</t>
        </is>
      </c>
      <c r="B770" s="1" t="n">
        <v>44770</v>
      </c>
      <c r="C770" s="1" t="n">
        <v>45719</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v>
      </c>
      <c r="C771" s="1" t="n">
        <v>45719</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32974-2022</t>
        </is>
      </c>
      <c r="B772" s="1" t="n">
        <v>44784</v>
      </c>
      <c r="C772" s="1" t="n">
        <v>45719</v>
      </c>
      <c r="D772" t="inlineStr">
        <is>
          <t>JÄMTLANDS LÄN</t>
        </is>
      </c>
      <c r="E772" t="inlineStr">
        <is>
          <t>HÄRJEDALEN</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33465-2022</t>
        </is>
      </c>
      <c r="B773" s="1" t="n">
        <v>44788</v>
      </c>
      <c r="C773" s="1" t="n">
        <v>45719</v>
      </c>
      <c r="D773" t="inlineStr">
        <is>
          <t>JÄMTLANDS LÄN</t>
        </is>
      </c>
      <c r="E773" t="inlineStr">
        <is>
          <t>HÄRJEDALEN</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33900-2022</t>
        </is>
      </c>
      <c r="B774" s="1" t="n">
        <v>44790</v>
      </c>
      <c r="C774" s="1" t="n">
        <v>45719</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33889-2022</t>
        </is>
      </c>
      <c r="B775" s="1" t="n">
        <v>44790</v>
      </c>
      <c r="C775" s="1" t="n">
        <v>45719</v>
      </c>
      <c r="D775" t="inlineStr">
        <is>
          <t>JÄMTLANDS LÄN</t>
        </is>
      </c>
      <c r="E775" t="inlineStr">
        <is>
          <t>HÄRJEDALEN</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34112-2022</t>
        </is>
      </c>
      <c r="B776" s="1" t="n">
        <v>44791</v>
      </c>
      <c r="C776" s="1" t="n">
        <v>45719</v>
      </c>
      <c r="D776" t="inlineStr">
        <is>
          <t>JÄMTLANDS LÄN</t>
        </is>
      </c>
      <c r="E776" t="inlineStr">
        <is>
          <t>HÄRJEDALEN</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34359-2022</t>
        </is>
      </c>
      <c r="B777" s="1" t="n">
        <v>44792</v>
      </c>
      <c r="C777" s="1" t="n">
        <v>45719</v>
      </c>
      <c r="D777" t="inlineStr">
        <is>
          <t>JÄMTLANDS LÄN</t>
        </is>
      </c>
      <c r="E777" t="inlineStr">
        <is>
          <t>HÄRJEDALEN</t>
        </is>
      </c>
      <c r="F777" t="inlineStr">
        <is>
          <t>Bergvik skog väst AB</t>
        </is>
      </c>
      <c r="G777" t="n">
        <v>23.1</v>
      </c>
      <c r="H777" t="n">
        <v>0</v>
      </c>
      <c r="I777" t="n">
        <v>0</v>
      </c>
      <c r="J777" t="n">
        <v>0</v>
      </c>
      <c r="K777" t="n">
        <v>0</v>
      </c>
      <c r="L777" t="n">
        <v>0</v>
      </c>
      <c r="M777" t="n">
        <v>0</v>
      </c>
      <c r="N777" t="n">
        <v>0</v>
      </c>
      <c r="O777" t="n">
        <v>0</v>
      </c>
      <c r="P777" t="n">
        <v>0</v>
      </c>
      <c r="Q777" t="n">
        <v>0</v>
      </c>
      <c r="R777" s="2" t="inlineStr"/>
    </row>
    <row r="778" ht="15" customHeight="1">
      <c r="A778" t="inlineStr">
        <is>
          <t>A 34361-2022</t>
        </is>
      </c>
      <c r="B778" s="1" t="n">
        <v>44792</v>
      </c>
      <c r="C778" s="1" t="n">
        <v>45719</v>
      </c>
      <c r="D778" t="inlineStr">
        <is>
          <t>JÄMTLANDS LÄN</t>
        </is>
      </c>
      <c r="E778" t="inlineStr">
        <is>
          <t>HÄRJEDALEN</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34392-2022</t>
        </is>
      </c>
      <c r="B779" s="1" t="n">
        <v>44792</v>
      </c>
      <c r="C779" s="1" t="n">
        <v>45719</v>
      </c>
      <c r="D779" t="inlineStr">
        <is>
          <t>JÄMTLANDS LÄN</t>
        </is>
      </c>
      <c r="E779" t="inlineStr">
        <is>
          <t>HÄRJEDALEN</t>
        </is>
      </c>
      <c r="G779" t="n">
        <v>23.5</v>
      </c>
      <c r="H779" t="n">
        <v>0</v>
      </c>
      <c r="I779" t="n">
        <v>0</v>
      </c>
      <c r="J779" t="n">
        <v>0</v>
      </c>
      <c r="K779" t="n">
        <v>0</v>
      </c>
      <c r="L779" t="n">
        <v>0</v>
      </c>
      <c r="M779" t="n">
        <v>0</v>
      </c>
      <c r="N779" t="n">
        <v>0</v>
      </c>
      <c r="O779" t="n">
        <v>0</v>
      </c>
      <c r="P779" t="n">
        <v>0</v>
      </c>
      <c r="Q779" t="n">
        <v>0</v>
      </c>
      <c r="R779" s="2" t="inlineStr"/>
    </row>
    <row r="780" ht="15" customHeight="1">
      <c r="A780" t="inlineStr">
        <is>
          <t>A 34492-2022</t>
        </is>
      </c>
      <c r="B780" s="1" t="n">
        <v>44792</v>
      </c>
      <c r="C780" s="1" t="n">
        <v>45719</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34627-2022</t>
        </is>
      </c>
      <c r="B781" s="1" t="n">
        <v>44795</v>
      </c>
      <c r="C781" s="1" t="n">
        <v>45719</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34621-2022</t>
        </is>
      </c>
      <c r="B782" s="1" t="n">
        <v>44795</v>
      </c>
      <c r="C782" s="1" t="n">
        <v>45719</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35614-2022</t>
        </is>
      </c>
      <c r="B783" s="1" t="n">
        <v>44799</v>
      </c>
      <c r="C783" s="1" t="n">
        <v>45719</v>
      </c>
      <c r="D783" t="inlineStr">
        <is>
          <t>JÄMTLANDS LÄN</t>
        </is>
      </c>
      <c r="E783" t="inlineStr">
        <is>
          <t>HÄRJEDALEN</t>
        </is>
      </c>
      <c r="F783" t="inlineStr">
        <is>
          <t>Bergvik skog väst AB</t>
        </is>
      </c>
      <c r="G783" t="n">
        <v>72.09999999999999</v>
      </c>
      <c r="H783" t="n">
        <v>0</v>
      </c>
      <c r="I783" t="n">
        <v>0</v>
      </c>
      <c r="J783" t="n">
        <v>0</v>
      </c>
      <c r="K783" t="n">
        <v>0</v>
      </c>
      <c r="L783" t="n">
        <v>0</v>
      </c>
      <c r="M783" t="n">
        <v>0</v>
      </c>
      <c r="N783" t="n">
        <v>0</v>
      </c>
      <c r="O783" t="n">
        <v>0</v>
      </c>
      <c r="P783" t="n">
        <v>0</v>
      </c>
      <c r="Q783" t="n">
        <v>0</v>
      </c>
      <c r="R783" s="2" t="inlineStr"/>
    </row>
    <row r="784" ht="15" customHeight="1">
      <c r="A784" t="inlineStr">
        <is>
          <t>A 36249-2022</t>
        </is>
      </c>
      <c r="B784" s="1" t="n">
        <v>44803</v>
      </c>
      <c r="C784" s="1" t="n">
        <v>45719</v>
      </c>
      <c r="D784" t="inlineStr">
        <is>
          <t>JÄMTLANDS LÄN</t>
        </is>
      </c>
      <c r="E784" t="inlineStr">
        <is>
          <t>HÄRJEDALEN</t>
        </is>
      </c>
      <c r="G784" t="n">
        <v>7.2</v>
      </c>
      <c r="H784" t="n">
        <v>0</v>
      </c>
      <c r="I784" t="n">
        <v>0</v>
      </c>
      <c r="J784" t="n">
        <v>0</v>
      </c>
      <c r="K784" t="n">
        <v>0</v>
      </c>
      <c r="L784" t="n">
        <v>0</v>
      </c>
      <c r="M784" t="n">
        <v>0</v>
      </c>
      <c r="N784" t="n">
        <v>0</v>
      </c>
      <c r="O784" t="n">
        <v>0</v>
      </c>
      <c r="P784" t="n">
        <v>0</v>
      </c>
      <c r="Q784" t="n">
        <v>0</v>
      </c>
      <c r="R784" s="2" t="inlineStr"/>
    </row>
    <row r="785" ht="15" customHeight="1">
      <c r="A785" t="inlineStr">
        <is>
          <t>A 36170-2022</t>
        </is>
      </c>
      <c r="B785" s="1" t="n">
        <v>44803</v>
      </c>
      <c r="C785" s="1" t="n">
        <v>45719</v>
      </c>
      <c r="D785" t="inlineStr">
        <is>
          <t>JÄMTLANDS LÄN</t>
        </is>
      </c>
      <c r="E785" t="inlineStr">
        <is>
          <t>HÄRJEDALEN</t>
        </is>
      </c>
      <c r="G785" t="n">
        <v>14.7</v>
      </c>
      <c r="H785" t="n">
        <v>0</v>
      </c>
      <c r="I785" t="n">
        <v>0</v>
      </c>
      <c r="J785" t="n">
        <v>0</v>
      </c>
      <c r="K785" t="n">
        <v>0</v>
      </c>
      <c r="L785" t="n">
        <v>0</v>
      </c>
      <c r="M785" t="n">
        <v>0</v>
      </c>
      <c r="N785" t="n">
        <v>0</v>
      </c>
      <c r="O785" t="n">
        <v>0</v>
      </c>
      <c r="P785" t="n">
        <v>0</v>
      </c>
      <c r="Q785" t="n">
        <v>0</v>
      </c>
      <c r="R785" s="2" t="inlineStr"/>
    </row>
    <row r="786" ht="15" customHeight="1">
      <c r="A786" t="inlineStr">
        <is>
          <t>A 36182-2022</t>
        </is>
      </c>
      <c r="B786" s="1" t="n">
        <v>44803</v>
      </c>
      <c r="C786" s="1" t="n">
        <v>45719</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36187-2022</t>
        </is>
      </c>
      <c r="B787" s="1" t="n">
        <v>44803</v>
      </c>
      <c r="C787" s="1" t="n">
        <v>45719</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36448-2022</t>
        </is>
      </c>
      <c r="B788" s="1" t="n">
        <v>44804</v>
      </c>
      <c r="C788" s="1" t="n">
        <v>45719</v>
      </c>
      <c r="D788" t="inlineStr">
        <is>
          <t>JÄMTLANDS LÄN</t>
        </is>
      </c>
      <c r="E788" t="inlineStr">
        <is>
          <t>HÄRJEDALEN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37515-2022</t>
        </is>
      </c>
      <c r="B789" s="1" t="n">
        <v>44809</v>
      </c>
      <c r="C789" s="1" t="n">
        <v>45719</v>
      </c>
      <c r="D789" t="inlineStr">
        <is>
          <t>JÄMTLANDS LÄN</t>
        </is>
      </c>
      <c r="E789" t="inlineStr">
        <is>
          <t>HÄRJEDALEN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37666-2022</t>
        </is>
      </c>
      <c r="B790" s="1" t="n">
        <v>44810</v>
      </c>
      <c r="C790" s="1" t="n">
        <v>45719</v>
      </c>
      <c r="D790" t="inlineStr">
        <is>
          <t>JÄMTLANDS LÄN</t>
        </is>
      </c>
      <c r="E790" t="inlineStr">
        <is>
          <t>HÄRJEDALEN</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37690-2022</t>
        </is>
      </c>
      <c r="B791" s="1" t="n">
        <v>44810</v>
      </c>
      <c r="C791" s="1" t="n">
        <v>45719</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37678-2022</t>
        </is>
      </c>
      <c r="B792" s="1" t="n">
        <v>44810</v>
      </c>
      <c r="C792" s="1" t="n">
        <v>45719</v>
      </c>
      <c r="D792" t="inlineStr">
        <is>
          <t>JÄMTLANDS LÄN</t>
        </is>
      </c>
      <c r="E792" t="inlineStr">
        <is>
          <t>HÄRJEDALEN</t>
        </is>
      </c>
      <c r="F792" t="inlineStr">
        <is>
          <t>Bergvik skog väst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37873-2022</t>
        </is>
      </c>
      <c r="B793" s="1" t="n">
        <v>44811</v>
      </c>
      <c r="C793" s="1" t="n">
        <v>45719</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37990-2022</t>
        </is>
      </c>
      <c r="B794" s="1" t="n">
        <v>44811</v>
      </c>
      <c r="C794" s="1" t="n">
        <v>45719</v>
      </c>
      <c r="D794" t="inlineStr">
        <is>
          <t>JÄMTLANDS LÄN</t>
        </is>
      </c>
      <c r="E794" t="inlineStr">
        <is>
          <t>HÄRJEDALEN</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37988-2022</t>
        </is>
      </c>
      <c r="B795" s="1" t="n">
        <v>44811</v>
      </c>
      <c r="C795" s="1" t="n">
        <v>45719</v>
      </c>
      <c r="D795" t="inlineStr">
        <is>
          <t>JÄMTLANDS LÄN</t>
        </is>
      </c>
      <c r="E795" t="inlineStr">
        <is>
          <t>HÄRJEDALEN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39396-2022</t>
        </is>
      </c>
      <c r="B796" s="1" t="n">
        <v>44818</v>
      </c>
      <c r="C796" s="1" t="n">
        <v>45719</v>
      </c>
      <c r="D796" t="inlineStr">
        <is>
          <t>JÄMTLANDS LÄN</t>
        </is>
      </c>
      <c r="E796" t="inlineStr">
        <is>
          <t>HÄRJEDALEN</t>
        </is>
      </c>
      <c r="F796" t="inlineStr">
        <is>
          <t>SCA</t>
        </is>
      </c>
      <c r="G796" t="n">
        <v>11.4</v>
      </c>
      <c r="H796" t="n">
        <v>0</v>
      </c>
      <c r="I796" t="n">
        <v>0</v>
      </c>
      <c r="J796" t="n">
        <v>0</v>
      </c>
      <c r="K796" t="n">
        <v>0</v>
      </c>
      <c r="L796" t="n">
        <v>0</v>
      </c>
      <c r="M796" t="n">
        <v>0</v>
      </c>
      <c r="N796" t="n">
        <v>0</v>
      </c>
      <c r="O796" t="n">
        <v>0</v>
      </c>
      <c r="P796" t="n">
        <v>0</v>
      </c>
      <c r="Q796" t="n">
        <v>0</v>
      </c>
      <c r="R796" s="2" t="inlineStr"/>
    </row>
    <row r="797" ht="15" customHeight="1">
      <c r="A797" t="inlineStr">
        <is>
          <t>A 39625-2022</t>
        </is>
      </c>
      <c r="B797" s="1" t="n">
        <v>44818</v>
      </c>
      <c r="C797" s="1" t="n">
        <v>45719</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39618-2022</t>
        </is>
      </c>
      <c r="B798" s="1" t="n">
        <v>44818</v>
      </c>
      <c r="C798" s="1" t="n">
        <v>45719</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39820-2022</t>
        </is>
      </c>
      <c r="B799" s="1" t="n">
        <v>44819</v>
      </c>
      <c r="C799" s="1" t="n">
        <v>45719</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40084-2022</t>
        </is>
      </c>
      <c r="B800" s="1" t="n">
        <v>44820</v>
      </c>
      <c r="C800" s="1" t="n">
        <v>45719</v>
      </c>
      <c r="D800" t="inlineStr">
        <is>
          <t>JÄMTLANDS LÄN</t>
        </is>
      </c>
      <c r="E800" t="inlineStr">
        <is>
          <t>HÄRJEDALEN</t>
        </is>
      </c>
      <c r="F800" t="inlineStr">
        <is>
          <t>Bergvik skog väst AB</t>
        </is>
      </c>
      <c r="G800" t="n">
        <v>6</v>
      </c>
      <c r="H800" t="n">
        <v>0</v>
      </c>
      <c r="I800" t="n">
        <v>0</v>
      </c>
      <c r="J800" t="n">
        <v>0</v>
      </c>
      <c r="K800" t="n">
        <v>0</v>
      </c>
      <c r="L800" t="n">
        <v>0</v>
      </c>
      <c r="M800" t="n">
        <v>0</v>
      </c>
      <c r="N800" t="n">
        <v>0</v>
      </c>
      <c r="O800" t="n">
        <v>0</v>
      </c>
      <c r="P800" t="n">
        <v>0</v>
      </c>
      <c r="Q800" t="n">
        <v>0</v>
      </c>
      <c r="R800" s="2" t="inlineStr"/>
    </row>
    <row r="801" ht="15" customHeight="1">
      <c r="A801" t="inlineStr">
        <is>
          <t>A 40201-2022</t>
        </is>
      </c>
      <c r="B801" s="1" t="n">
        <v>44820</v>
      </c>
      <c r="C801" s="1" t="n">
        <v>45719</v>
      </c>
      <c r="D801" t="inlineStr">
        <is>
          <t>JÄMTLANDS LÄN</t>
        </is>
      </c>
      <c r="E801" t="inlineStr">
        <is>
          <t>HÄRJEDALEN</t>
        </is>
      </c>
      <c r="F801" t="inlineStr">
        <is>
          <t>Kyrkan</t>
        </is>
      </c>
      <c r="G801" t="n">
        <v>14.6</v>
      </c>
      <c r="H801" t="n">
        <v>0</v>
      </c>
      <c r="I801" t="n">
        <v>0</v>
      </c>
      <c r="J801" t="n">
        <v>0</v>
      </c>
      <c r="K801" t="n">
        <v>0</v>
      </c>
      <c r="L801" t="n">
        <v>0</v>
      </c>
      <c r="M801" t="n">
        <v>0</v>
      </c>
      <c r="N801" t="n">
        <v>0</v>
      </c>
      <c r="O801" t="n">
        <v>0</v>
      </c>
      <c r="P801" t="n">
        <v>0</v>
      </c>
      <c r="Q801" t="n">
        <v>0</v>
      </c>
      <c r="R801" s="2" t="inlineStr"/>
    </row>
    <row r="802" ht="15" customHeight="1">
      <c r="A802" t="inlineStr">
        <is>
          <t>A 40596-2022</t>
        </is>
      </c>
      <c r="B802" s="1" t="n">
        <v>44823</v>
      </c>
      <c r="C802" s="1" t="n">
        <v>45719</v>
      </c>
      <c r="D802" t="inlineStr">
        <is>
          <t>JÄMTLANDS LÄN</t>
        </is>
      </c>
      <c r="E802" t="inlineStr">
        <is>
          <t>HÄRJEDALEN</t>
        </is>
      </c>
      <c r="G802" t="n">
        <v>2.9</v>
      </c>
      <c r="H802" t="n">
        <v>0</v>
      </c>
      <c r="I802" t="n">
        <v>0</v>
      </c>
      <c r="J802" t="n">
        <v>0</v>
      </c>
      <c r="K802" t="n">
        <v>0</v>
      </c>
      <c r="L802" t="n">
        <v>0</v>
      </c>
      <c r="M802" t="n">
        <v>0</v>
      </c>
      <c r="N802" t="n">
        <v>0</v>
      </c>
      <c r="O802" t="n">
        <v>0</v>
      </c>
      <c r="P802" t="n">
        <v>0</v>
      </c>
      <c r="Q802" t="n">
        <v>0</v>
      </c>
      <c r="R802" s="2" t="inlineStr"/>
    </row>
    <row r="803" ht="15" customHeight="1">
      <c r="A803" t="inlineStr">
        <is>
          <t>A 40561-2022</t>
        </is>
      </c>
      <c r="B803" s="1" t="n">
        <v>44823</v>
      </c>
      <c r="C803" s="1" t="n">
        <v>45719</v>
      </c>
      <c r="D803" t="inlineStr">
        <is>
          <t>JÄMTLANDS LÄN</t>
        </is>
      </c>
      <c r="E803" t="inlineStr">
        <is>
          <t>HÄRJEDALEN</t>
        </is>
      </c>
      <c r="F803" t="inlineStr">
        <is>
          <t>Bergvik skog väst AB</t>
        </is>
      </c>
      <c r="G803" t="n">
        <v>2.4</v>
      </c>
      <c r="H803" t="n">
        <v>0</v>
      </c>
      <c r="I803" t="n">
        <v>0</v>
      </c>
      <c r="J803" t="n">
        <v>0</v>
      </c>
      <c r="K803" t="n">
        <v>0</v>
      </c>
      <c r="L803" t="n">
        <v>0</v>
      </c>
      <c r="M803" t="n">
        <v>0</v>
      </c>
      <c r="N803" t="n">
        <v>0</v>
      </c>
      <c r="O803" t="n">
        <v>0</v>
      </c>
      <c r="P803" t="n">
        <v>0</v>
      </c>
      <c r="Q803" t="n">
        <v>0</v>
      </c>
      <c r="R803" s="2" t="inlineStr"/>
    </row>
    <row r="804" ht="15" customHeight="1">
      <c r="A804" t="inlineStr">
        <is>
          <t>A 40578-2022</t>
        </is>
      </c>
      <c r="B804" s="1" t="n">
        <v>44823</v>
      </c>
      <c r="C804" s="1" t="n">
        <v>45719</v>
      </c>
      <c r="D804" t="inlineStr">
        <is>
          <t>JÄMTLANDS LÄN</t>
        </is>
      </c>
      <c r="E804" t="inlineStr">
        <is>
          <t>HÄRJEDALEN</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41080-2022</t>
        </is>
      </c>
      <c r="B805" s="1" t="n">
        <v>44825</v>
      </c>
      <c r="C805" s="1" t="n">
        <v>45719</v>
      </c>
      <c r="D805" t="inlineStr">
        <is>
          <t>JÄMTLANDS LÄN</t>
        </is>
      </c>
      <c r="E805" t="inlineStr">
        <is>
          <t>HÄRJEDALEN</t>
        </is>
      </c>
      <c r="G805" t="n">
        <v>1.3</v>
      </c>
      <c r="H805" t="n">
        <v>0</v>
      </c>
      <c r="I805" t="n">
        <v>0</v>
      </c>
      <c r="J805" t="n">
        <v>0</v>
      </c>
      <c r="K805" t="n">
        <v>0</v>
      </c>
      <c r="L805" t="n">
        <v>0</v>
      </c>
      <c r="M805" t="n">
        <v>0</v>
      </c>
      <c r="N805" t="n">
        <v>0</v>
      </c>
      <c r="O805" t="n">
        <v>0</v>
      </c>
      <c r="P805" t="n">
        <v>0</v>
      </c>
      <c r="Q805" t="n">
        <v>0</v>
      </c>
      <c r="R805" s="2" t="inlineStr"/>
    </row>
    <row r="806" ht="15" customHeight="1">
      <c r="A806" t="inlineStr">
        <is>
          <t>A 41164-2022</t>
        </is>
      </c>
      <c r="B806" s="1" t="n">
        <v>44825</v>
      </c>
      <c r="C806" s="1" t="n">
        <v>45719</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41209-2022</t>
        </is>
      </c>
      <c r="B807" s="1" t="n">
        <v>44825</v>
      </c>
      <c r="C807" s="1" t="n">
        <v>45719</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41293-2022</t>
        </is>
      </c>
      <c r="B808" s="1" t="n">
        <v>44826</v>
      </c>
      <c r="C808" s="1" t="n">
        <v>45719</v>
      </c>
      <c r="D808" t="inlineStr">
        <is>
          <t>JÄMTLANDS LÄN</t>
        </is>
      </c>
      <c r="E808" t="inlineStr">
        <is>
          <t>HÄRJEDALEN</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41759-2022</t>
        </is>
      </c>
      <c r="B809" s="1" t="n">
        <v>44827</v>
      </c>
      <c r="C809" s="1" t="n">
        <v>45719</v>
      </c>
      <c r="D809" t="inlineStr">
        <is>
          <t>JÄMTLANDS LÄN</t>
        </is>
      </c>
      <c r="E809" t="inlineStr">
        <is>
          <t>HÄRJEDALEN</t>
        </is>
      </c>
      <c r="G809" t="n">
        <v>20</v>
      </c>
      <c r="H809" t="n">
        <v>0</v>
      </c>
      <c r="I809" t="n">
        <v>0</v>
      </c>
      <c r="J809" t="n">
        <v>0</v>
      </c>
      <c r="K809" t="n">
        <v>0</v>
      </c>
      <c r="L809" t="n">
        <v>0</v>
      </c>
      <c r="M809" t="n">
        <v>0</v>
      </c>
      <c r="N809" t="n">
        <v>0</v>
      </c>
      <c r="O809" t="n">
        <v>0</v>
      </c>
      <c r="P809" t="n">
        <v>0</v>
      </c>
      <c r="Q809" t="n">
        <v>0</v>
      </c>
      <c r="R809" s="2" t="inlineStr"/>
    </row>
    <row r="810" ht="15" customHeight="1">
      <c r="A810" t="inlineStr">
        <is>
          <t>A 41711-2022</t>
        </is>
      </c>
      <c r="B810" s="1" t="n">
        <v>44827</v>
      </c>
      <c r="C810" s="1" t="n">
        <v>45719</v>
      </c>
      <c r="D810" t="inlineStr">
        <is>
          <t>JÄMTLANDS LÄN</t>
        </is>
      </c>
      <c r="E810" t="inlineStr">
        <is>
          <t>HÄRJEDALEN</t>
        </is>
      </c>
      <c r="G810" t="n">
        <v>18.3</v>
      </c>
      <c r="H810" t="n">
        <v>0</v>
      </c>
      <c r="I810" t="n">
        <v>0</v>
      </c>
      <c r="J810" t="n">
        <v>0</v>
      </c>
      <c r="K810" t="n">
        <v>0</v>
      </c>
      <c r="L810" t="n">
        <v>0</v>
      </c>
      <c r="M810" t="n">
        <v>0</v>
      </c>
      <c r="N810" t="n">
        <v>0</v>
      </c>
      <c r="O810" t="n">
        <v>0</v>
      </c>
      <c r="P810" t="n">
        <v>0</v>
      </c>
      <c r="Q810" t="n">
        <v>0</v>
      </c>
      <c r="R810" s="2" t="inlineStr"/>
    </row>
    <row r="811" ht="15" customHeight="1">
      <c r="A811" t="inlineStr">
        <is>
          <t>A 41771-2022</t>
        </is>
      </c>
      <c r="B811" s="1" t="n">
        <v>44827</v>
      </c>
      <c r="C811" s="1" t="n">
        <v>45719</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45719</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42673-2022</t>
        </is>
      </c>
      <c r="B813" s="1" t="n">
        <v>44832</v>
      </c>
      <c r="C813" s="1" t="n">
        <v>45719</v>
      </c>
      <c r="D813" t="inlineStr">
        <is>
          <t>JÄMTLANDS LÄN</t>
        </is>
      </c>
      <c r="E813" t="inlineStr">
        <is>
          <t>HÄRJEDALEN</t>
        </is>
      </c>
      <c r="F813" t="inlineStr">
        <is>
          <t>Bergvik skog väst AB</t>
        </is>
      </c>
      <c r="G813" t="n">
        <v>18.6</v>
      </c>
      <c r="H813" t="n">
        <v>0</v>
      </c>
      <c r="I813" t="n">
        <v>0</v>
      </c>
      <c r="J813" t="n">
        <v>0</v>
      </c>
      <c r="K813" t="n">
        <v>0</v>
      </c>
      <c r="L813" t="n">
        <v>0</v>
      </c>
      <c r="M813" t="n">
        <v>0</v>
      </c>
      <c r="N813" t="n">
        <v>0</v>
      </c>
      <c r="O813" t="n">
        <v>0</v>
      </c>
      <c r="P813" t="n">
        <v>0</v>
      </c>
      <c r="Q813" t="n">
        <v>0</v>
      </c>
      <c r="R813" s="2" t="inlineStr"/>
    </row>
    <row r="814" ht="15" customHeight="1">
      <c r="A814" t="inlineStr">
        <is>
          <t>A 42916-2022</t>
        </is>
      </c>
      <c r="B814" s="1" t="n">
        <v>44833</v>
      </c>
      <c r="C814" s="1" t="n">
        <v>45719</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43293-2022</t>
        </is>
      </c>
      <c r="B815" s="1" t="n">
        <v>44834</v>
      </c>
      <c r="C815" s="1" t="n">
        <v>45719</v>
      </c>
      <c r="D815" t="inlineStr">
        <is>
          <t>JÄMTLANDS LÄN</t>
        </is>
      </c>
      <c r="E815" t="inlineStr">
        <is>
          <t>HÄRJEDALEN</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43531-2022</t>
        </is>
      </c>
      <c r="B816" s="1" t="n">
        <v>44837</v>
      </c>
      <c r="C816" s="1" t="n">
        <v>45719</v>
      </c>
      <c r="D816" t="inlineStr">
        <is>
          <t>JÄMTLANDS LÄN</t>
        </is>
      </c>
      <c r="E816" t="inlineStr">
        <is>
          <t>HÄRJEDALEN</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43552-2022</t>
        </is>
      </c>
      <c r="B817" s="1" t="n">
        <v>44837</v>
      </c>
      <c r="C817" s="1" t="n">
        <v>45719</v>
      </c>
      <c r="D817" t="inlineStr">
        <is>
          <t>JÄMTLANDS LÄN</t>
        </is>
      </c>
      <c r="E817" t="inlineStr">
        <is>
          <t>HÄRJEDALEN</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43825-2022</t>
        </is>
      </c>
      <c r="B818" s="1" t="n">
        <v>44838</v>
      </c>
      <c r="C818" s="1" t="n">
        <v>45719</v>
      </c>
      <c r="D818" t="inlineStr">
        <is>
          <t>JÄMTLANDS LÄN</t>
        </is>
      </c>
      <c r="E818" t="inlineStr">
        <is>
          <t>HÄRJEDALEN</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45017-2022</t>
        </is>
      </c>
      <c r="B819" s="1" t="n">
        <v>44841</v>
      </c>
      <c r="C819" s="1" t="n">
        <v>45719</v>
      </c>
      <c r="D819" t="inlineStr">
        <is>
          <t>JÄMTLANDS LÄN</t>
        </is>
      </c>
      <c r="E819" t="inlineStr">
        <is>
          <t>HÄRJEDALEN</t>
        </is>
      </c>
      <c r="F819" t="inlineStr">
        <is>
          <t>Bergvik skog väst AB</t>
        </is>
      </c>
      <c r="G819" t="n">
        <v>5.4</v>
      </c>
      <c r="H819" t="n">
        <v>0</v>
      </c>
      <c r="I819" t="n">
        <v>0</v>
      </c>
      <c r="J819" t="n">
        <v>0</v>
      </c>
      <c r="K819" t="n">
        <v>0</v>
      </c>
      <c r="L819" t="n">
        <v>0</v>
      </c>
      <c r="M819" t="n">
        <v>0</v>
      </c>
      <c r="N819" t="n">
        <v>0</v>
      </c>
      <c r="O819" t="n">
        <v>0</v>
      </c>
      <c r="P819" t="n">
        <v>0</v>
      </c>
      <c r="Q819" t="n">
        <v>0</v>
      </c>
      <c r="R819" s="2" t="inlineStr"/>
    </row>
    <row r="820" ht="15" customHeight="1">
      <c r="A820" t="inlineStr">
        <is>
          <t>A 47351-2022</t>
        </is>
      </c>
      <c r="B820" s="1" t="n">
        <v>44853</v>
      </c>
      <c r="C820" s="1" t="n">
        <v>45719</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47450-2022</t>
        </is>
      </c>
      <c r="B821" s="1" t="n">
        <v>44853</v>
      </c>
      <c r="C821" s="1" t="n">
        <v>45719</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47635-2022</t>
        </is>
      </c>
      <c r="B822" s="1" t="n">
        <v>44854</v>
      </c>
      <c r="C822" s="1" t="n">
        <v>45719</v>
      </c>
      <c r="D822" t="inlineStr">
        <is>
          <t>JÄMTLANDS LÄN</t>
        </is>
      </c>
      <c r="E822" t="inlineStr">
        <is>
          <t>HÄRJEDALEN</t>
        </is>
      </c>
      <c r="G822" t="n">
        <v>2.2</v>
      </c>
      <c r="H822" t="n">
        <v>0</v>
      </c>
      <c r="I822" t="n">
        <v>0</v>
      </c>
      <c r="J822" t="n">
        <v>0</v>
      </c>
      <c r="K822" t="n">
        <v>0</v>
      </c>
      <c r="L822" t="n">
        <v>0</v>
      </c>
      <c r="M822" t="n">
        <v>0</v>
      </c>
      <c r="N822" t="n">
        <v>0</v>
      </c>
      <c r="O822" t="n">
        <v>0</v>
      </c>
      <c r="P822" t="n">
        <v>0</v>
      </c>
      <c r="Q822" t="n">
        <v>0</v>
      </c>
      <c r="R822" s="2" t="inlineStr"/>
    </row>
    <row r="823" ht="15" customHeight="1">
      <c r="A823" t="inlineStr">
        <is>
          <t>A 47738-2022</t>
        </is>
      </c>
      <c r="B823" s="1" t="n">
        <v>44854</v>
      </c>
      <c r="C823" s="1" t="n">
        <v>45719</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47975-2022</t>
        </is>
      </c>
      <c r="B824" s="1" t="n">
        <v>44855</v>
      </c>
      <c r="C824" s="1" t="n">
        <v>45719</v>
      </c>
      <c r="D824" t="inlineStr">
        <is>
          <t>JÄMTLANDS LÄN</t>
        </is>
      </c>
      <c r="E824" t="inlineStr">
        <is>
          <t>HÄRJEDALEN</t>
        </is>
      </c>
      <c r="G824" t="n">
        <v>3</v>
      </c>
      <c r="H824" t="n">
        <v>0</v>
      </c>
      <c r="I824" t="n">
        <v>0</v>
      </c>
      <c r="J824" t="n">
        <v>0</v>
      </c>
      <c r="K824" t="n">
        <v>0</v>
      </c>
      <c r="L824" t="n">
        <v>0</v>
      </c>
      <c r="M824" t="n">
        <v>0</v>
      </c>
      <c r="N824" t="n">
        <v>0</v>
      </c>
      <c r="O824" t="n">
        <v>0</v>
      </c>
      <c r="P824" t="n">
        <v>0</v>
      </c>
      <c r="Q824" t="n">
        <v>0</v>
      </c>
      <c r="R824" s="2" t="inlineStr"/>
    </row>
    <row r="825" ht="15" customHeight="1">
      <c r="A825" t="inlineStr">
        <is>
          <t>A 48438-2022</t>
        </is>
      </c>
      <c r="B825" s="1" t="n">
        <v>44858</v>
      </c>
      <c r="C825" s="1" t="n">
        <v>45719</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48583-2022</t>
        </is>
      </c>
      <c r="B826" s="1" t="n">
        <v>44859</v>
      </c>
      <c r="C826" s="1" t="n">
        <v>45719</v>
      </c>
      <c r="D826" t="inlineStr">
        <is>
          <t>JÄMTLANDS LÄN</t>
        </is>
      </c>
      <c r="E826" t="inlineStr">
        <is>
          <t>HÄRJEDALEN</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49237-2022</t>
        </is>
      </c>
      <c r="B827" s="1" t="n">
        <v>44861</v>
      </c>
      <c r="C827" s="1" t="n">
        <v>45719</v>
      </c>
      <c r="D827" t="inlineStr">
        <is>
          <t>JÄMTLANDS LÄN</t>
        </is>
      </c>
      <c r="E827" t="inlineStr">
        <is>
          <t>HÄRJEDALEN</t>
        </is>
      </c>
      <c r="G827" t="n">
        <v>5.8</v>
      </c>
      <c r="H827" t="n">
        <v>0</v>
      </c>
      <c r="I827" t="n">
        <v>0</v>
      </c>
      <c r="J827" t="n">
        <v>0</v>
      </c>
      <c r="K827" t="n">
        <v>0</v>
      </c>
      <c r="L827" t="n">
        <v>0</v>
      </c>
      <c r="M827" t="n">
        <v>0</v>
      </c>
      <c r="N827" t="n">
        <v>0</v>
      </c>
      <c r="O827" t="n">
        <v>0</v>
      </c>
      <c r="P827" t="n">
        <v>0</v>
      </c>
      <c r="Q827" t="n">
        <v>0</v>
      </c>
      <c r="R827" s="2" t="inlineStr"/>
    </row>
    <row r="828" ht="15" customHeight="1">
      <c r="A828" t="inlineStr">
        <is>
          <t>A 49295-2022</t>
        </is>
      </c>
      <c r="B828" s="1" t="n">
        <v>44861</v>
      </c>
      <c r="C828" s="1" t="n">
        <v>45719</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49663-2022</t>
        </is>
      </c>
      <c r="B829" s="1" t="n">
        <v>44862</v>
      </c>
      <c r="C829" s="1" t="n">
        <v>45719</v>
      </c>
      <c r="D829" t="inlineStr">
        <is>
          <t>JÄMTLANDS LÄN</t>
        </is>
      </c>
      <c r="E829" t="inlineStr">
        <is>
          <t>HÄRJEDALEN</t>
        </is>
      </c>
      <c r="F829" t="inlineStr">
        <is>
          <t>Bergvik skog väst AB</t>
        </is>
      </c>
      <c r="G829" t="n">
        <v>17.5</v>
      </c>
      <c r="H829" t="n">
        <v>0</v>
      </c>
      <c r="I829" t="n">
        <v>0</v>
      </c>
      <c r="J829" t="n">
        <v>0</v>
      </c>
      <c r="K829" t="n">
        <v>0</v>
      </c>
      <c r="L829" t="n">
        <v>0</v>
      </c>
      <c r="M829" t="n">
        <v>0</v>
      </c>
      <c r="N829" t="n">
        <v>0</v>
      </c>
      <c r="O829" t="n">
        <v>0</v>
      </c>
      <c r="P829" t="n">
        <v>0</v>
      </c>
      <c r="Q829" t="n">
        <v>0</v>
      </c>
      <c r="R829" s="2" t="inlineStr"/>
    </row>
    <row r="830" ht="15" customHeight="1">
      <c r="A830" t="inlineStr">
        <is>
          <t>A 49689-2022</t>
        </is>
      </c>
      <c r="B830" s="1" t="n">
        <v>44862</v>
      </c>
      <c r="C830" s="1" t="n">
        <v>45719</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49995-2022</t>
        </is>
      </c>
      <c r="B831" s="1" t="n">
        <v>44865</v>
      </c>
      <c r="C831" s="1" t="n">
        <v>45719</v>
      </c>
      <c r="D831" t="inlineStr">
        <is>
          <t>JÄMTLANDS LÄN</t>
        </is>
      </c>
      <c r="E831" t="inlineStr">
        <is>
          <t>HÄRJEDALEN</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51948-2022</t>
        </is>
      </c>
      <c r="B832" s="1" t="n">
        <v>44872</v>
      </c>
      <c r="C832" s="1" t="n">
        <v>45719</v>
      </c>
      <c r="D832" t="inlineStr">
        <is>
          <t>JÄMTLANDS LÄN</t>
        </is>
      </c>
      <c r="E832" t="inlineStr">
        <is>
          <t>HÄRJEDALEN</t>
        </is>
      </c>
      <c r="F832" t="inlineStr">
        <is>
          <t>Bergvik skog väst AB</t>
        </is>
      </c>
      <c r="G832" t="n">
        <v>3.8</v>
      </c>
      <c r="H832" t="n">
        <v>0</v>
      </c>
      <c r="I832" t="n">
        <v>0</v>
      </c>
      <c r="J832" t="n">
        <v>0</v>
      </c>
      <c r="K832" t="n">
        <v>0</v>
      </c>
      <c r="L832" t="n">
        <v>0</v>
      </c>
      <c r="M832" t="n">
        <v>0</v>
      </c>
      <c r="N832" t="n">
        <v>0</v>
      </c>
      <c r="O832" t="n">
        <v>0</v>
      </c>
      <c r="P832" t="n">
        <v>0</v>
      </c>
      <c r="Q832" t="n">
        <v>0</v>
      </c>
      <c r="R832" s="2" t="inlineStr"/>
    </row>
    <row r="833" ht="15" customHeight="1">
      <c r="A833" t="inlineStr">
        <is>
          <t>A 52852-2022</t>
        </is>
      </c>
      <c r="B833" s="1" t="n">
        <v>44872</v>
      </c>
      <c r="C833" s="1" t="n">
        <v>45719</v>
      </c>
      <c r="D833" t="inlineStr">
        <is>
          <t>JÄMTLANDS LÄN</t>
        </is>
      </c>
      <c r="E833" t="inlineStr">
        <is>
          <t>HÄRJEDALEN</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52867-2022</t>
        </is>
      </c>
      <c r="B834" s="1" t="n">
        <v>44872</v>
      </c>
      <c r="C834" s="1" t="n">
        <v>45719</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52339-2022</t>
        </is>
      </c>
      <c r="B835" s="1" t="n">
        <v>44873</v>
      </c>
      <c r="C835" s="1" t="n">
        <v>45719</v>
      </c>
      <c r="D835" t="inlineStr">
        <is>
          <t>JÄMTLANDS LÄN</t>
        </is>
      </c>
      <c r="E835" t="inlineStr">
        <is>
          <t>HÄRJEDALEN</t>
        </is>
      </c>
      <c r="G835" t="n">
        <v>28.1</v>
      </c>
      <c r="H835" t="n">
        <v>0</v>
      </c>
      <c r="I835" t="n">
        <v>0</v>
      </c>
      <c r="J835" t="n">
        <v>0</v>
      </c>
      <c r="K835" t="n">
        <v>0</v>
      </c>
      <c r="L835" t="n">
        <v>0</v>
      </c>
      <c r="M835" t="n">
        <v>0</v>
      </c>
      <c r="N835" t="n">
        <v>0</v>
      </c>
      <c r="O835" t="n">
        <v>0</v>
      </c>
      <c r="P835" t="n">
        <v>0</v>
      </c>
      <c r="Q835" t="n">
        <v>0</v>
      </c>
      <c r="R835" s="2" t="inlineStr"/>
    </row>
    <row r="836" ht="15" customHeight="1">
      <c r="A836" t="inlineStr">
        <is>
          <t>A 52586-2022</t>
        </is>
      </c>
      <c r="B836" s="1" t="n">
        <v>44874</v>
      </c>
      <c r="C836" s="1" t="n">
        <v>45719</v>
      </c>
      <c r="D836" t="inlineStr">
        <is>
          <t>JÄMTLANDS LÄN</t>
        </is>
      </c>
      <c r="E836" t="inlineStr">
        <is>
          <t>HÄRJEDALEN</t>
        </is>
      </c>
      <c r="F836" t="inlineStr">
        <is>
          <t>Bergvik skog väst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53104-2022</t>
        </is>
      </c>
      <c r="B837" s="1" t="n">
        <v>44876</v>
      </c>
      <c r="C837" s="1" t="n">
        <v>45719</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53107-2022</t>
        </is>
      </c>
      <c r="B838" s="1" t="n">
        <v>44876</v>
      </c>
      <c r="C838" s="1" t="n">
        <v>45719</v>
      </c>
      <c r="D838" t="inlineStr">
        <is>
          <t>JÄMTLANDS LÄN</t>
        </is>
      </c>
      <c r="E838" t="inlineStr">
        <is>
          <t>HÄRJEDALEN</t>
        </is>
      </c>
      <c r="F838" t="inlineStr">
        <is>
          <t>Bergvik skog väst AB</t>
        </is>
      </c>
      <c r="G838" t="n">
        <v>9.1</v>
      </c>
      <c r="H838" t="n">
        <v>0</v>
      </c>
      <c r="I838" t="n">
        <v>0</v>
      </c>
      <c r="J838" t="n">
        <v>0</v>
      </c>
      <c r="K838" t="n">
        <v>0</v>
      </c>
      <c r="L838" t="n">
        <v>0</v>
      </c>
      <c r="M838" t="n">
        <v>0</v>
      </c>
      <c r="N838" t="n">
        <v>0</v>
      </c>
      <c r="O838" t="n">
        <v>0</v>
      </c>
      <c r="P838" t="n">
        <v>0</v>
      </c>
      <c r="Q838" t="n">
        <v>0</v>
      </c>
      <c r="R838" s="2" t="inlineStr"/>
    </row>
    <row r="839" ht="15" customHeight="1">
      <c r="A839" t="inlineStr">
        <is>
          <t>A 53120-2022</t>
        </is>
      </c>
      <c r="B839" s="1" t="n">
        <v>44876</v>
      </c>
      <c r="C839" s="1" t="n">
        <v>45719</v>
      </c>
      <c r="D839" t="inlineStr">
        <is>
          <t>JÄMTLANDS LÄN</t>
        </is>
      </c>
      <c r="E839" t="inlineStr">
        <is>
          <t>HÄRJEDALEN</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53563-2022</t>
        </is>
      </c>
      <c r="B840" s="1" t="n">
        <v>44879</v>
      </c>
      <c r="C840" s="1" t="n">
        <v>45719</v>
      </c>
      <c r="D840" t="inlineStr">
        <is>
          <t>JÄMTLANDS LÄN</t>
        </is>
      </c>
      <c r="E840" t="inlineStr">
        <is>
          <t>HÄRJEDALEN</t>
        </is>
      </c>
      <c r="G840" t="n">
        <v>8.6</v>
      </c>
      <c r="H840" t="n">
        <v>0</v>
      </c>
      <c r="I840" t="n">
        <v>0</v>
      </c>
      <c r="J840" t="n">
        <v>0</v>
      </c>
      <c r="K840" t="n">
        <v>0</v>
      </c>
      <c r="L840" t="n">
        <v>0</v>
      </c>
      <c r="M840" t="n">
        <v>0</v>
      </c>
      <c r="N840" t="n">
        <v>0</v>
      </c>
      <c r="O840" t="n">
        <v>0</v>
      </c>
      <c r="P840" t="n">
        <v>0</v>
      </c>
      <c r="Q840" t="n">
        <v>0</v>
      </c>
      <c r="R840" s="2" t="inlineStr"/>
    </row>
    <row r="841" ht="15" customHeight="1">
      <c r="A841" t="inlineStr">
        <is>
          <t>A 54059-2022</t>
        </is>
      </c>
      <c r="B841" s="1" t="n">
        <v>44881</v>
      </c>
      <c r="C841" s="1" t="n">
        <v>45719</v>
      </c>
      <c r="D841" t="inlineStr">
        <is>
          <t>JÄMTLANDS LÄN</t>
        </is>
      </c>
      <c r="E841" t="inlineStr">
        <is>
          <t>HÄRJEDALEN</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54065-2022</t>
        </is>
      </c>
      <c r="B842" s="1" t="n">
        <v>44881</v>
      </c>
      <c r="C842" s="1" t="n">
        <v>45719</v>
      </c>
      <c r="D842" t="inlineStr">
        <is>
          <t>JÄMTLANDS LÄN</t>
        </is>
      </c>
      <c r="E842" t="inlineStr">
        <is>
          <t>HÄRJEDALEN</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54305-2022</t>
        </is>
      </c>
      <c r="B843" s="1" t="n">
        <v>44882</v>
      </c>
      <c r="C843" s="1" t="n">
        <v>45719</v>
      </c>
      <c r="D843" t="inlineStr">
        <is>
          <t>JÄMTLANDS LÄN</t>
        </is>
      </c>
      <c r="E843" t="inlineStr">
        <is>
          <t>HÄRJEDALEN</t>
        </is>
      </c>
      <c r="G843" t="n">
        <v>2.3</v>
      </c>
      <c r="H843" t="n">
        <v>0</v>
      </c>
      <c r="I843" t="n">
        <v>0</v>
      </c>
      <c r="J843" t="n">
        <v>0</v>
      </c>
      <c r="K843" t="n">
        <v>0</v>
      </c>
      <c r="L843" t="n">
        <v>0</v>
      </c>
      <c r="M843" t="n">
        <v>0</v>
      </c>
      <c r="N843" t="n">
        <v>0</v>
      </c>
      <c r="O843" t="n">
        <v>0</v>
      </c>
      <c r="P843" t="n">
        <v>0</v>
      </c>
      <c r="Q843" t="n">
        <v>0</v>
      </c>
      <c r="R843" s="2" t="inlineStr"/>
    </row>
    <row r="844" ht="15" customHeight="1">
      <c r="A844" t="inlineStr">
        <is>
          <t>A 54661-2022</t>
        </is>
      </c>
      <c r="B844" s="1" t="n">
        <v>44883</v>
      </c>
      <c r="C844" s="1" t="n">
        <v>45719</v>
      </c>
      <c r="D844" t="inlineStr">
        <is>
          <t>JÄMTLANDS LÄN</t>
        </is>
      </c>
      <c r="E844" t="inlineStr">
        <is>
          <t>HÄRJEDALEN</t>
        </is>
      </c>
      <c r="G844" t="n">
        <v>5.9</v>
      </c>
      <c r="H844" t="n">
        <v>0</v>
      </c>
      <c r="I844" t="n">
        <v>0</v>
      </c>
      <c r="J844" t="n">
        <v>0</v>
      </c>
      <c r="K844" t="n">
        <v>0</v>
      </c>
      <c r="L844" t="n">
        <v>0</v>
      </c>
      <c r="M844" t="n">
        <v>0</v>
      </c>
      <c r="N844" t="n">
        <v>0</v>
      </c>
      <c r="O844" t="n">
        <v>0</v>
      </c>
      <c r="P844" t="n">
        <v>0</v>
      </c>
      <c r="Q844" t="n">
        <v>0</v>
      </c>
      <c r="R844" s="2" t="inlineStr"/>
    </row>
    <row r="845" ht="15" customHeight="1">
      <c r="A845" t="inlineStr">
        <is>
          <t>A 54762-2022</t>
        </is>
      </c>
      <c r="B845" s="1" t="n">
        <v>44883</v>
      </c>
      <c r="C845" s="1" t="n">
        <v>45719</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55100-2022</t>
        </is>
      </c>
      <c r="B846" s="1" t="n">
        <v>44886</v>
      </c>
      <c r="C846" s="1" t="n">
        <v>45719</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55103-2022</t>
        </is>
      </c>
      <c r="B847" s="1" t="n">
        <v>44886</v>
      </c>
      <c r="C847" s="1" t="n">
        <v>45719</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55931-2022</t>
        </is>
      </c>
      <c r="B848" s="1" t="n">
        <v>44886</v>
      </c>
      <c r="C848" s="1" t="n">
        <v>45719</v>
      </c>
      <c r="D848" t="inlineStr">
        <is>
          <t>JÄMTLANDS LÄN</t>
        </is>
      </c>
      <c r="E848" t="inlineStr">
        <is>
          <t>HÄRJEDALEN</t>
        </is>
      </c>
      <c r="F848" t="inlineStr">
        <is>
          <t>Övriga statliga verk och myndigheter</t>
        </is>
      </c>
      <c r="G848" t="n">
        <v>2.9</v>
      </c>
      <c r="H848" t="n">
        <v>0</v>
      </c>
      <c r="I848" t="n">
        <v>0</v>
      </c>
      <c r="J848" t="n">
        <v>0</v>
      </c>
      <c r="K848" t="n">
        <v>0</v>
      </c>
      <c r="L848" t="n">
        <v>0</v>
      </c>
      <c r="M848" t="n">
        <v>0</v>
      </c>
      <c r="N848" t="n">
        <v>0</v>
      </c>
      <c r="O848" t="n">
        <v>0</v>
      </c>
      <c r="P848" t="n">
        <v>0</v>
      </c>
      <c r="Q848" t="n">
        <v>0</v>
      </c>
      <c r="R848" s="2" t="inlineStr"/>
    </row>
    <row r="849" ht="15" customHeight="1">
      <c r="A849" t="inlineStr">
        <is>
          <t>A 55969-2022</t>
        </is>
      </c>
      <c r="B849" s="1" t="n">
        <v>44886</v>
      </c>
      <c r="C849" s="1" t="n">
        <v>45719</v>
      </c>
      <c r="D849" t="inlineStr">
        <is>
          <t>JÄMTLANDS LÄN</t>
        </is>
      </c>
      <c r="E849" t="inlineStr">
        <is>
          <t>HÄRJEDALEN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56043-2022</t>
        </is>
      </c>
      <c r="B850" s="1" t="n">
        <v>44889</v>
      </c>
      <c r="C850" s="1" t="n">
        <v>45719</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57223-2022</t>
        </is>
      </c>
      <c r="B851" s="1" t="n">
        <v>44889</v>
      </c>
      <c r="C851" s="1" t="n">
        <v>45719</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56533-2022</t>
        </is>
      </c>
      <c r="B852" s="1" t="n">
        <v>44893</v>
      </c>
      <c r="C852" s="1" t="n">
        <v>45719</v>
      </c>
      <c r="D852" t="inlineStr">
        <is>
          <t>JÄMTLANDS LÄN</t>
        </is>
      </c>
      <c r="E852" t="inlineStr">
        <is>
          <t>HÄRJEDALEN</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56992-2022</t>
        </is>
      </c>
      <c r="B853" s="1" t="n">
        <v>44894</v>
      </c>
      <c r="C853" s="1" t="n">
        <v>45719</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58425-2022</t>
        </is>
      </c>
      <c r="B854" s="1" t="n">
        <v>44901</v>
      </c>
      <c r="C854" s="1" t="n">
        <v>45719</v>
      </c>
      <c r="D854" t="inlineStr">
        <is>
          <t>JÄMTLANDS LÄN</t>
        </is>
      </c>
      <c r="E854" t="inlineStr">
        <is>
          <t>HÄRJEDALEN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59094-2022</t>
        </is>
      </c>
      <c r="B855" s="1" t="n">
        <v>44904</v>
      </c>
      <c r="C855" s="1" t="n">
        <v>45719</v>
      </c>
      <c r="D855" t="inlineStr">
        <is>
          <t>JÄMTLANDS LÄN</t>
        </is>
      </c>
      <c r="E855" t="inlineStr">
        <is>
          <t>HÄRJEDALEN</t>
        </is>
      </c>
      <c r="F855" t="inlineStr">
        <is>
          <t>Bergvik skog väst AB</t>
        </is>
      </c>
      <c r="G855" t="n">
        <v>49.8</v>
      </c>
      <c r="H855" t="n">
        <v>0</v>
      </c>
      <c r="I855" t="n">
        <v>0</v>
      </c>
      <c r="J855" t="n">
        <v>0</v>
      </c>
      <c r="K855" t="n">
        <v>0</v>
      </c>
      <c r="L855" t="n">
        <v>0</v>
      </c>
      <c r="M855" t="n">
        <v>0</v>
      </c>
      <c r="N855" t="n">
        <v>0</v>
      </c>
      <c r="O855" t="n">
        <v>0</v>
      </c>
      <c r="P855" t="n">
        <v>0</v>
      </c>
      <c r="Q855" t="n">
        <v>0</v>
      </c>
      <c r="R855" s="2" t="inlineStr"/>
    </row>
    <row r="856" ht="15" customHeight="1">
      <c r="A856" t="inlineStr">
        <is>
          <t>A 59112-2022</t>
        </is>
      </c>
      <c r="B856" s="1" t="n">
        <v>44904</v>
      </c>
      <c r="C856" s="1" t="n">
        <v>45719</v>
      </c>
      <c r="D856" t="inlineStr">
        <is>
          <t>JÄMTLANDS LÄN</t>
        </is>
      </c>
      <c r="E856" t="inlineStr">
        <is>
          <t>HÄRJEDALEN</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59824-2022</t>
        </is>
      </c>
      <c r="B857" s="1" t="n">
        <v>44908</v>
      </c>
      <c r="C857" s="1" t="n">
        <v>45719</v>
      </c>
      <c r="D857" t="inlineStr">
        <is>
          <t>JÄMTLANDS LÄN</t>
        </is>
      </c>
      <c r="E857" t="inlineStr">
        <is>
          <t>HÄRJEDALEN</t>
        </is>
      </c>
      <c r="G857" t="n">
        <v>4.9</v>
      </c>
      <c r="H857" t="n">
        <v>0</v>
      </c>
      <c r="I857" t="n">
        <v>0</v>
      </c>
      <c r="J857" t="n">
        <v>0</v>
      </c>
      <c r="K857" t="n">
        <v>0</v>
      </c>
      <c r="L857" t="n">
        <v>0</v>
      </c>
      <c r="M857" t="n">
        <v>0</v>
      </c>
      <c r="N857" t="n">
        <v>0</v>
      </c>
      <c r="O857" t="n">
        <v>0</v>
      </c>
      <c r="P857" t="n">
        <v>0</v>
      </c>
      <c r="Q857" t="n">
        <v>0</v>
      </c>
      <c r="R857" s="2" t="inlineStr"/>
    </row>
    <row r="858" ht="15" customHeight="1">
      <c r="A858" t="inlineStr">
        <is>
          <t>A 59851-2022</t>
        </is>
      </c>
      <c r="B858" s="1" t="n">
        <v>44908</v>
      </c>
      <c r="C858" s="1" t="n">
        <v>45719</v>
      </c>
      <c r="D858" t="inlineStr">
        <is>
          <t>JÄMTLANDS LÄN</t>
        </is>
      </c>
      <c r="E858" t="inlineStr">
        <is>
          <t>HÄRJEDALEN</t>
        </is>
      </c>
      <c r="G858" t="n">
        <v>3.2</v>
      </c>
      <c r="H858" t="n">
        <v>0</v>
      </c>
      <c r="I858" t="n">
        <v>0</v>
      </c>
      <c r="J858" t="n">
        <v>0</v>
      </c>
      <c r="K858" t="n">
        <v>0</v>
      </c>
      <c r="L858" t="n">
        <v>0</v>
      </c>
      <c r="M858" t="n">
        <v>0</v>
      </c>
      <c r="N858" t="n">
        <v>0</v>
      </c>
      <c r="O858" t="n">
        <v>0</v>
      </c>
      <c r="P858" t="n">
        <v>0</v>
      </c>
      <c r="Q858" t="n">
        <v>0</v>
      </c>
      <c r="R858" s="2" t="inlineStr"/>
    </row>
    <row r="859" ht="15" customHeight="1">
      <c r="A859" t="inlineStr">
        <is>
          <t>A 59828-2022</t>
        </is>
      </c>
      <c r="B859" s="1" t="n">
        <v>44908</v>
      </c>
      <c r="C859" s="1" t="n">
        <v>45719</v>
      </c>
      <c r="D859" t="inlineStr">
        <is>
          <t>JÄMTLANDS LÄN</t>
        </is>
      </c>
      <c r="E859" t="inlineStr">
        <is>
          <t>HÄRJEDALEN</t>
        </is>
      </c>
      <c r="G859" t="n">
        <v>7.4</v>
      </c>
      <c r="H859" t="n">
        <v>0</v>
      </c>
      <c r="I859" t="n">
        <v>0</v>
      </c>
      <c r="J859" t="n">
        <v>0</v>
      </c>
      <c r="K859" t="n">
        <v>0</v>
      </c>
      <c r="L859" t="n">
        <v>0</v>
      </c>
      <c r="M859" t="n">
        <v>0</v>
      </c>
      <c r="N859" t="n">
        <v>0</v>
      </c>
      <c r="O859" t="n">
        <v>0</v>
      </c>
      <c r="P859" t="n">
        <v>0</v>
      </c>
      <c r="Q859" t="n">
        <v>0</v>
      </c>
      <c r="R859" s="2" t="inlineStr"/>
    </row>
    <row r="860" ht="15" customHeight="1">
      <c r="A860" t="inlineStr">
        <is>
          <t>A 59818-2022</t>
        </is>
      </c>
      <c r="B860" s="1" t="n">
        <v>44908</v>
      </c>
      <c r="C860" s="1" t="n">
        <v>45719</v>
      </c>
      <c r="D860" t="inlineStr">
        <is>
          <t>JÄMTLANDS LÄN</t>
        </is>
      </c>
      <c r="E860" t="inlineStr">
        <is>
          <t>HÄRJEDALEN</t>
        </is>
      </c>
      <c r="G860" t="n">
        <v>5.3</v>
      </c>
      <c r="H860" t="n">
        <v>0</v>
      </c>
      <c r="I860" t="n">
        <v>0</v>
      </c>
      <c r="J860" t="n">
        <v>0</v>
      </c>
      <c r="K860" t="n">
        <v>0</v>
      </c>
      <c r="L860" t="n">
        <v>0</v>
      </c>
      <c r="M860" t="n">
        <v>0</v>
      </c>
      <c r="N860" t="n">
        <v>0</v>
      </c>
      <c r="O860" t="n">
        <v>0</v>
      </c>
      <c r="P860" t="n">
        <v>0</v>
      </c>
      <c r="Q860" t="n">
        <v>0</v>
      </c>
      <c r="R860" s="2" t="inlineStr"/>
    </row>
    <row r="861" ht="15" customHeight="1">
      <c r="A861" t="inlineStr">
        <is>
          <t>A 61300-2022</t>
        </is>
      </c>
      <c r="B861" s="1" t="n">
        <v>44909</v>
      </c>
      <c r="C861" s="1" t="n">
        <v>45719</v>
      </c>
      <c r="D861" t="inlineStr">
        <is>
          <t>JÄMTLANDS LÄN</t>
        </is>
      </c>
      <c r="E861" t="inlineStr">
        <is>
          <t>HÄRJEDALEN</t>
        </is>
      </c>
      <c r="F861" t="inlineStr">
        <is>
          <t>Bergvik skog väst AB</t>
        </is>
      </c>
      <c r="G861" t="n">
        <v>14.1</v>
      </c>
      <c r="H861" t="n">
        <v>0</v>
      </c>
      <c r="I861" t="n">
        <v>0</v>
      </c>
      <c r="J861" t="n">
        <v>0</v>
      </c>
      <c r="K861" t="n">
        <v>0</v>
      </c>
      <c r="L861" t="n">
        <v>0</v>
      </c>
      <c r="M861" t="n">
        <v>0</v>
      </c>
      <c r="N861" t="n">
        <v>0</v>
      </c>
      <c r="O861" t="n">
        <v>0</v>
      </c>
      <c r="P861" t="n">
        <v>0</v>
      </c>
      <c r="Q861" t="n">
        <v>0</v>
      </c>
      <c r="R861" s="2" t="inlineStr"/>
    </row>
    <row r="862" ht="15" customHeight="1">
      <c r="A862" t="inlineStr">
        <is>
          <t>A 60236-2022</t>
        </is>
      </c>
      <c r="B862" s="1" t="n">
        <v>44910</v>
      </c>
      <c r="C862" s="1" t="n">
        <v>45719</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60542-2022</t>
        </is>
      </c>
      <c r="B863" s="1" t="n">
        <v>44911</v>
      </c>
      <c r="C863" s="1" t="n">
        <v>45719</v>
      </c>
      <c r="D863" t="inlineStr">
        <is>
          <t>JÄMTLANDS LÄN</t>
        </is>
      </c>
      <c r="E863" t="inlineStr">
        <is>
          <t>HÄRJEDALEN</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60887-2022</t>
        </is>
      </c>
      <c r="B864" s="1" t="n">
        <v>44914</v>
      </c>
      <c r="C864" s="1" t="n">
        <v>45719</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60983-2022</t>
        </is>
      </c>
      <c r="B865" s="1" t="n">
        <v>44914</v>
      </c>
      <c r="C865" s="1" t="n">
        <v>45719</v>
      </c>
      <c r="D865" t="inlineStr">
        <is>
          <t>JÄMTLANDS LÄN</t>
        </is>
      </c>
      <c r="E865" t="inlineStr">
        <is>
          <t>HÄRJEDALEN</t>
        </is>
      </c>
      <c r="G865" t="n">
        <v>44</v>
      </c>
      <c r="H865" t="n">
        <v>0</v>
      </c>
      <c r="I865" t="n">
        <v>0</v>
      </c>
      <c r="J865" t="n">
        <v>0</v>
      </c>
      <c r="K865" t="n">
        <v>0</v>
      </c>
      <c r="L865" t="n">
        <v>0</v>
      </c>
      <c r="M865" t="n">
        <v>0</v>
      </c>
      <c r="N865" t="n">
        <v>0</v>
      </c>
      <c r="O865" t="n">
        <v>0</v>
      </c>
      <c r="P865" t="n">
        <v>0</v>
      </c>
      <c r="Q865" t="n">
        <v>0</v>
      </c>
      <c r="R865" s="2" t="inlineStr"/>
    </row>
    <row r="866" ht="15" customHeight="1">
      <c r="A866" t="inlineStr">
        <is>
          <t>A 60897-2022</t>
        </is>
      </c>
      <c r="B866" s="1" t="n">
        <v>44914</v>
      </c>
      <c r="C866" s="1" t="n">
        <v>45719</v>
      </c>
      <c r="D866" t="inlineStr">
        <is>
          <t>JÄMTLANDS LÄN</t>
        </is>
      </c>
      <c r="E866" t="inlineStr">
        <is>
          <t>HÄRJEDALEN</t>
        </is>
      </c>
      <c r="F866" t="inlineStr">
        <is>
          <t>Holmen skog AB</t>
        </is>
      </c>
      <c r="G866" t="n">
        <v>0.3</v>
      </c>
      <c r="H866" t="n">
        <v>0</v>
      </c>
      <c r="I866" t="n">
        <v>0</v>
      </c>
      <c r="J866" t="n">
        <v>0</v>
      </c>
      <c r="K866" t="n">
        <v>0</v>
      </c>
      <c r="L866" t="n">
        <v>0</v>
      </c>
      <c r="M866" t="n">
        <v>0</v>
      </c>
      <c r="N866" t="n">
        <v>0</v>
      </c>
      <c r="O866" t="n">
        <v>0</v>
      </c>
      <c r="P866" t="n">
        <v>0</v>
      </c>
      <c r="Q866" t="n">
        <v>0</v>
      </c>
      <c r="R866" s="2" t="inlineStr"/>
      <c r="U866">
        <f>HYPERLINK("https://klasma.github.io/Logging_2361/knärot/A 60897-2022 karta knärot.png", "A 60897-2022")</f>
        <v/>
      </c>
      <c r="V866">
        <f>HYPERLINK("https://klasma.github.io/Logging_2361/klagomål/A 60897-2022 FSC-klagomål.docx", "A 60897-2022")</f>
        <v/>
      </c>
      <c r="W866">
        <f>HYPERLINK("https://klasma.github.io/Logging_2361/klagomålsmail/A 60897-2022 FSC-klagomål mail.docx", "A 60897-2022")</f>
        <v/>
      </c>
      <c r="X866">
        <f>HYPERLINK("https://klasma.github.io/Logging_2361/tillsyn/A 60897-2022 tillsynsbegäran.docx", "A 60897-2022")</f>
        <v/>
      </c>
      <c r="Y866">
        <f>HYPERLINK("https://klasma.github.io/Logging_2361/tillsynsmail/A 60897-2022 tillsynsbegäran mail.docx", "A 60897-2022")</f>
        <v/>
      </c>
    </row>
    <row r="867" ht="15" customHeight="1">
      <c r="A867" t="inlineStr">
        <is>
          <t>A 60933-2022</t>
        </is>
      </c>
      <c r="B867" s="1" t="n">
        <v>44914</v>
      </c>
      <c r="C867" s="1" t="n">
        <v>45719</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61571-2022</t>
        </is>
      </c>
      <c r="B868" s="1" t="n">
        <v>44916</v>
      </c>
      <c r="C868" s="1" t="n">
        <v>45719</v>
      </c>
      <c r="D868" t="inlineStr">
        <is>
          <t>JÄMTLANDS LÄN</t>
        </is>
      </c>
      <c r="E868" t="inlineStr">
        <is>
          <t>HÄRJEDALEN</t>
        </is>
      </c>
      <c r="G868" t="n">
        <v>3.4</v>
      </c>
      <c r="H868" t="n">
        <v>0</v>
      </c>
      <c r="I868" t="n">
        <v>0</v>
      </c>
      <c r="J868" t="n">
        <v>0</v>
      </c>
      <c r="K868" t="n">
        <v>0</v>
      </c>
      <c r="L868" t="n">
        <v>0</v>
      </c>
      <c r="M868" t="n">
        <v>0</v>
      </c>
      <c r="N868" t="n">
        <v>0</v>
      </c>
      <c r="O868" t="n">
        <v>0</v>
      </c>
      <c r="P868" t="n">
        <v>0</v>
      </c>
      <c r="Q868" t="n">
        <v>0</v>
      </c>
      <c r="R868" s="2" t="inlineStr"/>
    </row>
    <row r="869" ht="15" customHeight="1">
      <c r="A869" t="inlineStr">
        <is>
          <t>A 62500-2022</t>
        </is>
      </c>
      <c r="B869" s="1" t="n">
        <v>44924</v>
      </c>
      <c r="C869" s="1" t="n">
        <v>45719</v>
      </c>
      <c r="D869" t="inlineStr">
        <is>
          <t>JÄMTLANDS LÄN</t>
        </is>
      </c>
      <c r="E869" t="inlineStr">
        <is>
          <t>HÄRJEDALEN</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62513-2022</t>
        </is>
      </c>
      <c r="B870" s="1" t="n">
        <v>44924</v>
      </c>
      <c r="C870" s="1" t="n">
        <v>45719</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62535-2022</t>
        </is>
      </c>
      <c r="B871" s="1" t="n">
        <v>44924</v>
      </c>
      <c r="C871" s="1" t="n">
        <v>45719</v>
      </c>
      <c r="D871" t="inlineStr">
        <is>
          <t>JÄMTLANDS LÄN</t>
        </is>
      </c>
      <c r="E871" t="inlineStr">
        <is>
          <t>HÄRJEDALEN</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62505-2022</t>
        </is>
      </c>
      <c r="B872" s="1" t="n">
        <v>44924</v>
      </c>
      <c r="C872" s="1" t="n">
        <v>45719</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62533-2022</t>
        </is>
      </c>
      <c r="B873" s="1" t="n">
        <v>44924</v>
      </c>
      <c r="C873" s="1" t="n">
        <v>45719</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62639-2022</t>
        </is>
      </c>
      <c r="B874" s="1" t="n">
        <v>44925</v>
      </c>
      <c r="C874" s="1" t="n">
        <v>45719</v>
      </c>
      <c r="D874" t="inlineStr">
        <is>
          <t>JÄMTLANDS LÄN</t>
        </is>
      </c>
      <c r="E874" t="inlineStr">
        <is>
          <t>HÄRJEDALEN</t>
        </is>
      </c>
      <c r="G874" t="n">
        <v>4.3</v>
      </c>
      <c r="H874" t="n">
        <v>0</v>
      </c>
      <c r="I874" t="n">
        <v>0</v>
      </c>
      <c r="J874" t="n">
        <v>0</v>
      </c>
      <c r="K874" t="n">
        <v>0</v>
      </c>
      <c r="L874" t="n">
        <v>0</v>
      </c>
      <c r="M874" t="n">
        <v>0</v>
      </c>
      <c r="N874" t="n">
        <v>0</v>
      </c>
      <c r="O874" t="n">
        <v>0</v>
      </c>
      <c r="P874" t="n">
        <v>0</v>
      </c>
      <c r="Q874" t="n">
        <v>0</v>
      </c>
      <c r="R874" s="2" t="inlineStr"/>
    </row>
    <row r="875" ht="15" customHeight="1">
      <c r="A875" t="inlineStr">
        <is>
          <t>A 62696-2022</t>
        </is>
      </c>
      <c r="B875" s="1" t="n">
        <v>44925</v>
      </c>
      <c r="C875" s="1" t="n">
        <v>45719</v>
      </c>
      <c r="D875" t="inlineStr">
        <is>
          <t>JÄMTLANDS LÄN</t>
        </is>
      </c>
      <c r="E875" t="inlineStr">
        <is>
          <t>HÄRJEDALEN</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62702-2022</t>
        </is>
      </c>
      <c r="B876" s="1" t="n">
        <v>44925</v>
      </c>
      <c r="C876" s="1" t="n">
        <v>45719</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62719-2022</t>
        </is>
      </c>
      <c r="B877" s="1" t="n">
        <v>44925</v>
      </c>
      <c r="C877" s="1" t="n">
        <v>45719</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62724-2022</t>
        </is>
      </c>
      <c r="B878" s="1" t="n">
        <v>44925</v>
      </c>
      <c r="C878" s="1" t="n">
        <v>45719</v>
      </c>
      <c r="D878" t="inlineStr">
        <is>
          <t>JÄMTLANDS LÄN</t>
        </is>
      </c>
      <c r="E878" t="inlineStr">
        <is>
          <t>HÄRJEDALEN</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62599-2022</t>
        </is>
      </c>
      <c r="B879" s="1" t="n">
        <v>44925</v>
      </c>
      <c r="C879" s="1" t="n">
        <v>45719</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62641-2022</t>
        </is>
      </c>
      <c r="B880" s="1" t="n">
        <v>44925</v>
      </c>
      <c r="C880" s="1" t="n">
        <v>45719</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62591-2022</t>
        </is>
      </c>
      <c r="B881" s="1" t="n">
        <v>44925</v>
      </c>
      <c r="C881" s="1" t="n">
        <v>45719</v>
      </c>
      <c r="D881" t="inlineStr">
        <is>
          <t>JÄMTLANDS LÄN</t>
        </is>
      </c>
      <c r="E881" t="inlineStr">
        <is>
          <t>HÄRJEDALEN</t>
        </is>
      </c>
      <c r="G881" t="n">
        <v>32.7</v>
      </c>
      <c r="H881" t="n">
        <v>0</v>
      </c>
      <c r="I881" t="n">
        <v>0</v>
      </c>
      <c r="J881" t="n">
        <v>0</v>
      </c>
      <c r="K881" t="n">
        <v>0</v>
      </c>
      <c r="L881" t="n">
        <v>0</v>
      </c>
      <c r="M881" t="n">
        <v>0</v>
      </c>
      <c r="N881" t="n">
        <v>0</v>
      </c>
      <c r="O881" t="n">
        <v>0</v>
      </c>
      <c r="P881" t="n">
        <v>0</v>
      </c>
      <c r="Q881" t="n">
        <v>0</v>
      </c>
      <c r="R881" s="2" t="inlineStr"/>
    </row>
    <row r="882" ht="15" customHeight="1">
      <c r="A882" t="inlineStr">
        <is>
          <t>A 62653-2022</t>
        </is>
      </c>
      <c r="B882" s="1" t="n">
        <v>44925</v>
      </c>
      <c r="C882" s="1" t="n">
        <v>45719</v>
      </c>
      <c r="D882" t="inlineStr">
        <is>
          <t>JÄMTLANDS LÄN</t>
        </is>
      </c>
      <c r="E882" t="inlineStr">
        <is>
          <t>HÄRJEDALEN</t>
        </is>
      </c>
      <c r="G882" t="n">
        <v>3.8</v>
      </c>
      <c r="H882" t="n">
        <v>0</v>
      </c>
      <c r="I882" t="n">
        <v>0</v>
      </c>
      <c r="J882" t="n">
        <v>0</v>
      </c>
      <c r="K882" t="n">
        <v>0</v>
      </c>
      <c r="L882" t="n">
        <v>0</v>
      </c>
      <c r="M882" t="n">
        <v>0</v>
      </c>
      <c r="N882" t="n">
        <v>0</v>
      </c>
      <c r="O882" t="n">
        <v>0</v>
      </c>
      <c r="P882" t="n">
        <v>0</v>
      </c>
      <c r="Q882" t="n">
        <v>0</v>
      </c>
      <c r="R882" s="2" t="inlineStr"/>
    </row>
    <row r="883" ht="15" customHeight="1">
      <c r="A883" t="inlineStr">
        <is>
          <t>A 62687-2022</t>
        </is>
      </c>
      <c r="B883" s="1" t="n">
        <v>44925</v>
      </c>
      <c r="C883" s="1" t="n">
        <v>45719</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62694-2022</t>
        </is>
      </c>
      <c r="B884" s="1" t="n">
        <v>44925</v>
      </c>
      <c r="C884" s="1" t="n">
        <v>45719</v>
      </c>
      <c r="D884" t="inlineStr">
        <is>
          <t>JÄMTLANDS LÄN</t>
        </is>
      </c>
      <c r="E884" t="inlineStr">
        <is>
          <t>HÄRJEDALEN</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62708-2022</t>
        </is>
      </c>
      <c r="B885" s="1" t="n">
        <v>44925</v>
      </c>
      <c r="C885" s="1" t="n">
        <v>45719</v>
      </c>
      <c r="D885" t="inlineStr">
        <is>
          <t>JÄMTLANDS LÄN</t>
        </is>
      </c>
      <c r="E885" t="inlineStr">
        <is>
          <t>HÄRJEDALEN</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62590-2022</t>
        </is>
      </c>
      <c r="B886" s="1" t="n">
        <v>44925</v>
      </c>
      <c r="C886" s="1" t="n">
        <v>45719</v>
      </c>
      <c r="D886" t="inlineStr">
        <is>
          <t>JÄMTLANDS LÄN</t>
        </is>
      </c>
      <c r="E886" t="inlineStr">
        <is>
          <t>HÄRJEDALEN</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62684-2022</t>
        </is>
      </c>
      <c r="B887" s="1" t="n">
        <v>44925</v>
      </c>
      <c r="C887" s="1" t="n">
        <v>45719</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62699-2022</t>
        </is>
      </c>
      <c r="B888" s="1" t="n">
        <v>44925</v>
      </c>
      <c r="C888" s="1" t="n">
        <v>45719</v>
      </c>
      <c r="D888" t="inlineStr">
        <is>
          <t>JÄMTLANDS LÄN</t>
        </is>
      </c>
      <c r="E888" t="inlineStr">
        <is>
          <t>HÄRJEDALEN</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62706-2022</t>
        </is>
      </c>
      <c r="B889" s="1" t="n">
        <v>44925</v>
      </c>
      <c r="C889" s="1" t="n">
        <v>45719</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62721-2022</t>
        </is>
      </c>
      <c r="B890" s="1" t="n">
        <v>44925</v>
      </c>
      <c r="C890" s="1" t="n">
        <v>45719</v>
      </c>
      <c r="D890" t="inlineStr">
        <is>
          <t>JÄMTLANDS LÄN</t>
        </is>
      </c>
      <c r="E890" t="inlineStr">
        <is>
          <t>HÄRJEDALEN</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105-2023</t>
        </is>
      </c>
      <c r="B891" s="1" t="n">
        <v>44928</v>
      </c>
      <c r="C891" s="1" t="n">
        <v>45719</v>
      </c>
      <c r="D891" t="inlineStr">
        <is>
          <t>JÄMTLANDS LÄN</t>
        </is>
      </c>
      <c r="E891" t="inlineStr">
        <is>
          <t>HÄRJEDALEN</t>
        </is>
      </c>
      <c r="F891" t="inlineStr">
        <is>
          <t>Holmen skog AB</t>
        </is>
      </c>
      <c r="G891" t="n">
        <v>17.5</v>
      </c>
      <c r="H891" t="n">
        <v>0</v>
      </c>
      <c r="I891" t="n">
        <v>0</v>
      </c>
      <c r="J891" t="n">
        <v>0</v>
      </c>
      <c r="K891" t="n">
        <v>0</v>
      </c>
      <c r="L891" t="n">
        <v>0</v>
      </c>
      <c r="M891" t="n">
        <v>0</v>
      </c>
      <c r="N891" t="n">
        <v>0</v>
      </c>
      <c r="O891" t="n">
        <v>0</v>
      </c>
      <c r="P891" t="n">
        <v>0</v>
      </c>
      <c r="Q891" t="n">
        <v>0</v>
      </c>
      <c r="R891" s="2" t="inlineStr"/>
    </row>
    <row r="892" ht="15" customHeight="1">
      <c r="A892" t="inlineStr">
        <is>
          <t>A 29-2023</t>
        </is>
      </c>
      <c r="B892" s="1" t="n">
        <v>44928</v>
      </c>
      <c r="C892" s="1" t="n">
        <v>45719</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35-2023</t>
        </is>
      </c>
      <c r="B893" s="1" t="n">
        <v>44928</v>
      </c>
      <c r="C893" s="1" t="n">
        <v>45719</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78-2023</t>
        </is>
      </c>
      <c r="B894" s="1" t="n">
        <v>44928</v>
      </c>
      <c r="C894" s="1" t="n">
        <v>45719</v>
      </c>
      <c r="D894" t="inlineStr">
        <is>
          <t>JÄMTLANDS LÄN</t>
        </is>
      </c>
      <c r="E894" t="inlineStr">
        <is>
          <t>HÄRJEDALEN</t>
        </is>
      </c>
      <c r="F894" t="inlineStr">
        <is>
          <t>Holmen skog AB</t>
        </is>
      </c>
      <c r="G894" t="n">
        <v>3.1</v>
      </c>
      <c r="H894" t="n">
        <v>0</v>
      </c>
      <c r="I894" t="n">
        <v>0</v>
      </c>
      <c r="J894" t="n">
        <v>0</v>
      </c>
      <c r="K894" t="n">
        <v>0</v>
      </c>
      <c r="L894" t="n">
        <v>0</v>
      </c>
      <c r="M894" t="n">
        <v>0</v>
      </c>
      <c r="N894" t="n">
        <v>0</v>
      </c>
      <c r="O894" t="n">
        <v>0</v>
      </c>
      <c r="P894" t="n">
        <v>0</v>
      </c>
      <c r="Q894" t="n">
        <v>0</v>
      </c>
      <c r="R894" s="2" t="inlineStr"/>
    </row>
    <row r="895" ht="15" customHeight="1">
      <c r="A895" t="inlineStr">
        <is>
          <t>A 103-2023</t>
        </is>
      </c>
      <c r="B895" s="1" t="n">
        <v>44928</v>
      </c>
      <c r="C895" s="1" t="n">
        <v>45719</v>
      </c>
      <c r="D895" t="inlineStr">
        <is>
          <t>JÄMTLANDS LÄN</t>
        </is>
      </c>
      <c r="E895" t="inlineStr">
        <is>
          <t>HÄRJEDALEN</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166-2023</t>
        </is>
      </c>
      <c r="B896" s="1" t="n">
        <v>44928</v>
      </c>
      <c r="C896" s="1" t="n">
        <v>45719</v>
      </c>
      <c r="D896" t="inlineStr">
        <is>
          <t>JÄMTLANDS LÄN</t>
        </is>
      </c>
      <c r="E896" t="inlineStr">
        <is>
          <t>HÄRJEDALEN</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176-2023</t>
        </is>
      </c>
      <c r="B897" s="1" t="n">
        <v>44928</v>
      </c>
      <c r="C897" s="1" t="n">
        <v>45719</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171-2023</t>
        </is>
      </c>
      <c r="B898" s="1" t="n">
        <v>44928</v>
      </c>
      <c r="C898" s="1" t="n">
        <v>45719</v>
      </c>
      <c r="D898" t="inlineStr">
        <is>
          <t>JÄMTLANDS LÄN</t>
        </is>
      </c>
      <c r="E898" t="inlineStr">
        <is>
          <t>HÄRJEDALEN</t>
        </is>
      </c>
      <c r="F898" t="inlineStr">
        <is>
          <t>Holmen skog AB</t>
        </is>
      </c>
      <c r="G898" t="n">
        <v>5.7</v>
      </c>
      <c r="H898" t="n">
        <v>0</v>
      </c>
      <c r="I898" t="n">
        <v>0</v>
      </c>
      <c r="J898" t="n">
        <v>0</v>
      </c>
      <c r="K898" t="n">
        <v>0</v>
      </c>
      <c r="L898" t="n">
        <v>0</v>
      </c>
      <c r="M898" t="n">
        <v>0</v>
      </c>
      <c r="N898" t="n">
        <v>0</v>
      </c>
      <c r="O898" t="n">
        <v>0</v>
      </c>
      <c r="P898" t="n">
        <v>0</v>
      </c>
      <c r="Q898" t="n">
        <v>0</v>
      </c>
      <c r="R898" s="2" t="inlineStr"/>
    </row>
    <row r="899" ht="15" customHeight="1">
      <c r="A899" t="inlineStr">
        <is>
          <t>A 1907-2023</t>
        </is>
      </c>
      <c r="B899" s="1" t="n">
        <v>44939</v>
      </c>
      <c r="C899" s="1" t="n">
        <v>45719</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1954-2023</t>
        </is>
      </c>
      <c r="B900" s="1" t="n">
        <v>44939</v>
      </c>
      <c r="C900" s="1" t="n">
        <v>45719</v>
      </c>
      <c r="D900" t="inlineStr">
        <is>
          <t>JÄMTLANDS LÄN</t>
        </is>
      </c>
      <c r="E900" t="inlineStr">
        <is>
          <t>HÄRJEDALEN</t>
        </is>
      </c>
      <c r="G900" t="n">
        <v>0.6</v>
      </c>
      <c r="H900" t="n">
        <v>0</v>
      </c>
      <c r="I900" t="n">
        <v>0</v>
      </c>
      <c r="J900" t="n">
        <v>0</v>
      </c>
      <c r="K900" t="n">
        <v>0</v>
      </c>
      <c r="L900" t="n">
        <v>0</v>
      </c>
      <c r="M900" t="n">
        <v>0</v>
      </c>
      <c r="N900" t="n">
        <v>0</v>
      </c>
      <c r="O900" t="n">
        <v>0</v>
      </c>
      <c r="P900" t="n">
        <v>0</v>
      </c>
      <c r="Q900" t="n">
        <v>0</v>
      </c>
      <c r="R900" s="2" t="inlineStr"/>
    </row>
    <row r="901" ht="15" customHeight="1">
      <c r="A901" t="inlineStr">
        <is>
          <t>A 4196-2023</t>
        </is>
      </c>
      <c r="B901" s="1" t="n">
        <v>44953</v>
      </c>
      <c r="C901" s="1" t="n">
        <v>45719</v>
      </c>
      <c r="D901" t="inlineStr">
        <is>
          <t>JÄMTLANDS LÄN</t>
        </is>
      </c>
      <c r="E901" t="inlineStr">
        <is>
          <t>HÄRJEDALEN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4694-2023</t>
        </is>
      </c>
      <c r="B902" s="1" t="n">
        <v>44957</v>
      </c>
      <c r="C902" s="1" t="n">
        <v>45719</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4712-2023</t>
        </is>
      </c>
      <c r="B903" s="1" t="n">
        <v>44957</v>
      </c>
      <c r="C903" s="1" t="n">
        <v>45719</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4711-2023</t>
        </is>
      </c>
      <c r="B904" s="1" t="n">
        <v>44957</v>
      </c>
      <c r="C904" s="1" t="n">
        <v>45719</v>
      </c>
      <c r="D904" t="inlineStr">
        <is>
          <t>JÄMTLANDS LÄN</t>
        </is>
      </c>
      <c r="E904" t="inlineStr">
        <is>
          <t>HÄRJEDALEN</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4782-2023</t>
        </is>
      </c>
      <c r="B905" s="1" t="n">
        <v>44957</v>
      </c>
      <c r="C905" s="1" t="n">
        <v>45719</v>
      </c>
      <c r="D905" t="inlineStr">
        <is>
          <t>JÄMTLANDS LÄN</t>
        </is>
      </c>
      <c r="E905" t="inlineStr">
        <is>
          <t>HÄRJEDALEN</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5013-2023</t>
        </is>
      </c>
      <c r="B906" s="1" t="n">
        <v>44958</v>
      </c>
      <c r="C906" s="1" t="n">
        <v>45719</v>
      </c>
      <c r="D906" t="inlineStr">
        <is>
          <t>JÄMTLANDS LÄN</t>
        </is>
      </c>
      <c r="E906" t="inlineStr">
        <is>
          <t>HÄRJEDALEN</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5640-2023</t>
        </is>
      </c>
      <c r="B907" s="1" t="n">
        <v>44960</v>
      </c>
      <c r="C907" s="1" t="n">
        <v>45719</v>
      </c>
      <c r="D907" t="inlineStr">
        <is>
          <t>JÄMTLANDS LÄN</t>
        </is>
      </c>
      <c r="E907" t="inlineStr">
        <is>
          <t>HÄRJEDALEN</t>
        </is>
      </c>
      <c r="G907" t="n">
        <v>8.4</v>
      </c>
      <c r="H907" t="n">
        <v>0</v>
      </c>
      <c r="I907" t="n">
        <v>0</v>
      </c>
      <c r="J907" t="n">
        <v>0</v>
      </c>
      <c r="K907" t="n">
        <v>0</v>
      </c>
      <c r="L907" t="n">
        <v>0</v>
      </c>
      <c r="M907" t="n">
        <v>0</v>
      </c>
      <c r="N907" t="n">
        <v>0</v>
      </c>
      <c r="O907" t="n">
        <v>0</v>
      </c>
      <c r="P907" t="n">
        <v>0</v>
      </c>
      <c r="Q907" t="n">
        <v>0</v>
      </c>
      <c r="R907" s="2" t="inlineStr"/>
    </row>
    <row r="908" ht="15" customHeight="1">
      <c r="A908" t="inlineStr">
        <is>
          <t>A 6001-2023</t>
        </is>
      </c>
      <c r="B908" s="1" t="n">
        <v>44964</v>
      </c>
      <c r="C908" s="1" t="n">
        <v>45719</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6124-2023</t>
        </is>
      </c>
      <c r="B909" s="1" t="n">
        <v>44964</v>
      </c>
      <c r="C909" s="1" t="n">
        <v>45719</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v>
      </c>
      <c r="C910" s="1" t="n">
        <v>45719</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8365-2023</t>
        </is>
      </c>
      <c r="B911" s="1" t="n">
        <v>44977</v>
      </c>
      <c r="C911" s="1" t="n">
        <v>45719</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8420-2023</t>
        </is>
      </c>
      <c r="B912" s="1" t="n">
        <v>44977</v>
      </c>
      <c r="C912" s="1" t="n">
        <v>45719</v>
      </c>
      <c r="D912" t="inlineStr">
        <is>
          <t>JÄMTLANDS LÄN</t>
        </is>
      </c>
      <c r="E912" t="inlineStr">
        <is>
          <t>HÄRJEDALEN</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8577-2023</t>
        </is>
      </c>
      <c r="B913" s="1" t="n">
        <v>44977</v>
      </c>
      <c r="C913" s="1" t="n">
        <v>45719</v>
      </c>
      <c r="D913" t="inlineStr">
        <is>
          <t>JÄMTLANDS LÄN</t>
        </is>
      </c>
      <c r="E913" t="inlineStr">
        <is>
          <t>HÄRJEDALEN</t>
        </is>
      </c>
      <c r="G913" t="n">
        <v>19.6</v>
      </c>
      <c r="H913" t="n">
        <v>0</v>
      </c>
      <c r="I913" t="n">
        <v>0</v>
      </c>
      <c r="J913" t="n">
        <v>0</v>
      </c>
      <c r="K913" t="n">
        <v>0</v>
      </c>
      <c r="L913" t="n">
        <v>0</v>
      </c>
      <c r="M913" t="n">
        <v>0</v>
      </c>
      <c r="N913" t="n">
        <v>0</v>
      </c>
      <c r="O913" t="n">
        <v>0</v>
      </c>
      <c r="P913" t="n">
        <v>0</v>
      </c>
      <c r="Q913" t="n">
        <v>0</v>
      </c>
      <c r="R913" s="2" t="inlineStr"/>
    </row>
    <row r="914" ht="15" customHeight="1">
      <c r="A914" t="inlineStr">
        <is>
          <t>A 8804-2023</t>
        </is>
      </c>
      <c r="B914" s="1" t="n">
        <v>44978</v>
      </c>
      <c r="C914" s="1" t="n">
        <v>45719</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9188-2023</t>
        </is>
      </c>
      <c r="B915" s="1" t="n">
        <v>44980</v>
      </c>
      <c r="C915" s="1" t="n">
        <v>45719</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9998-2023</t>
        </is>
      </c>
      <c r="B916" s="1" t="n">
        <v>44985</v>
      </c>
      <c r="C916" s="1" t="n">
        <v>45719</v>
      </c>
      <c r="D916" t="inlineStr">
        <is>
          <t>JÄMTLANDS LÄN</t>
        </is>
      </c>
      <c r="E916" t="inlineStr">
        <is>
          <t>HÄRJEDALEN</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10002-2023</t>
        </is>
      </c>
      <c r="B917" s="1" t="n">
        <v>44985</v>
      </c>
      <c r="C917" s="1" t="n">
        <v>45719</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10006-2023</t>
        </is>
      </c>
      <c r="B918" s="1" t="n">
        <v>44985</v>
      </c>
      <c r="C918" s="1" t="n">
        <v>45719</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10000-2023</t>
        </is>
      </c>
      <c r="B919" s="1" t="n">
        <v>44985</v>
      </c>
      <c r="C919" s="1" t="n">
        <v>45719</v>
      </c>
      <c r="D919" t="inlineStr">
        <is>
          <t>JÄMTLANDS LÄN</t>
        </is>
      </c>
      <c r="E919" t="inlineStr">
        <is>
          <t>HÄRJEDALEN</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9997-2023</t>
        </is>
      </c>
      <c r="B920" s="1" t="n">
        <v>44985</v>
      </c>
      <c r="C920" s="1" t="n">
        <v>45719</v>
      </c>
      <c r="D920" t="inlineStr">
        <is>
          <t>JÄMTLANDS LÄN</t>
        </is>
      </c>
      <c r="E920" t="inlineStr">
        <is>
          <t>HÄRJEDALEN</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10014-2023</t>
        </is>
      </c>
      <c r="B921" s="1" t="n">
        <v>44985</v>
      </c>
      <c r="C921" s="1" t="n">
        <v>45719</v>
      </c>
      <c r="D921" t="inlineStr">
        <is>
          <t>JÄMTLANDS LÄN</t>
        </is>
      </c>
      <c r="E921" t="inlineStr">
        <is>
          <t>HÄRJEDALEN</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10008-2023</t>
        </is>
      </c>
      <c r="B922" s="1" t="n">
        <v>44985</v>
      </c>
      <c r="C922" s="1" t="n">
        <v>45719</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10046-2023</t>
        </is>
      </c>
      <c r="B923" s="1" t="n">
        <v>44985</v>
      </c>
      <c r="C923" s="1" t="n">
        <v>45719</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10015-2023</t>
        </is>
      </c>
      <c r="B924" s="1" t="n">
        <v>44985</v>
      </c>
      <c r="C924" s="1" t="n">
        <v>45719</v>
      </c>
      <c r="D924" t="inlineStr">
        <is>
          <t>JÄMTLANDS LÄN</t>
        </is>
      </c>
      <c r="E924" t="inlineStr">
        <is>
          <t>HÄRJEDALEN</t>
        </is>
      </c>
      <c r="F924" t="inlineStr">
        <is>
          <t>Holmen skog AB</t>
        </is>
      </c>
      <c r="G924" t="n">
        <v>3.2</v>
      </c>
      <c r="H924" t="n">
        <v>0</v>
      </c>
      <c r="I924" t="n">
        <v>0</v>
      </c>
      <c r="J924" t="n">
        <v>0</v>
      </c>
      <c r="K924" t="n">
        <v>0</v>
      </c>
      <c r="L924" t="n">
        <v>0</v>
      </c>
      <c r="M924" t="n">
        <v>0</v>
      </c>
      <c r="N924" t="n">
        <v>0</v>
      </c>
      <c r="O924" t="n">
        <v>0</v>
      </c>
      <c r="P924" t="n">
        <v>0</v>
      </c>
      <c r="Q924" t="n">
        <v>0</v>
      </c>
      <c r="R924" s="2" t="inlineStr"/>
    </row>
    <row r="925" ht="15" customHeight="1">
      <c r="A925" t="inlineStr">
        <is>
          <t>A 10043-2023</t>
        </is>
      </c>
      <c r="B925" s="1" t="n">
        <v>44985</v>
      </c>
      <c r="C925" s="1" t="n">
        <v>45719</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9993-2023</t>
        </is>
      </c>
      <c r="B926" s="1" t="n">
        <v>44985</v>
      </c>
      <c r="C926" s="1" t="n">
        <v>45719</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10003-2023</t>
        </is>
      </c>
      <c r="B927" s="1" t="n">
        <v>44985</v>
      </c>
      <c r="C927" s="1" t="n">
        <v>45719</v>
      </c>
      <c r="D927" t="inlineStr">
        <is>
          <t>JÄMTLANDS LÄN</t>
        </is>
      </c>
      <c r="E927" t="inlineStr">
        <is>
          <t>HÄRJEDALEN</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10007-2023</t>
        </is>
      </c>
      <c r="B928" s="1" t="n">
        <v>44985</v>
      </c>
      <c r="C928" s="1" t="n">
        <v>45719</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10012-2023</t>
        </is>
      </c>
      <c r="B929" s="1" t="n">
        <v>44985</v>
      </c>
      <c r="C929" s="1" t="n">
        <v>45719</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10040-2023</t>
        </is>
      </c>
      <c r="B930" s="1" t="n">
        <v>44985</v>
      </c>
      <c r="C930" s="1" t="n">
        <v>45719</v>
      </c>
      <c r="D930" t="inlineStr">
        <is>
          <t>JÄMTLANDS LÄN</t>
        </is>
      </c>
      <c r="E930" t="inlineStr">
        <is>
          <t>HÄRJEDALEN</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10329-2023</t>
        </is>
      </c>
      <c r="B931" s="1" t="n">
        <v>44987</v>
      </c>
      <c r="C931" s="1" t="n">
        <v>45719</v>
      </c>
      <c r="D931" t="inlineStr">
        <is>
          <t>JÄMTLANDS LÄN</t>
        </is>
      </c>
      <c r="E931" t="inlineStr">
        <is>
          <t>HÄRJEDALEN</t>
        </is>
      </c>
      <c r="F931" t="inlineStr">
        <is>
          <t>Holmen skog AB</t>
        </is>
      </c>
      <c r="G931" t="n">
        <v>4.7</v>
      </c>
      <c r="H931" t="n">
        <v>0</v>
      </c>
      <c r="I931" t="n">
        <v>0</v>
      </c>
      <c r="J931" t="n">
        <v>0</v>
      </c>
      <c r="K931" t="n">
        <v>0</v>
      </c>
      <c r="L931" t="n">
        <v>0</v>
      </c>
      <c r="M931" t="n">
        <v>0</v>
      </c>
      <c r="N931" t="n">
        <v>0</v>
      </c>
      <c r="O931" t="n">
        <v>0</v>
      </c>
      <c r="P931" t="n">
        <v>0</v>
      </c>
      <c r="Q931" t="n">
        <v>0</v>
      </c>
      <c r="R931" s="2" t="inlineStr"/>
    </row>
    <row r="932" ht="15" customHeight="1">
      <c r="A932" t="inlineStr">
        <is>
          <t>A 10353-2023</t>
        </is>
      </c>
      <c r="B932" s="1" t="n">
        <v>44987</v>
      </c>
      <c r="C932" s="1" t="n">
        <v>45719</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10342-2023</t>
        </is>
      </c>
      <c r="B933" s="1" t="n">
        <v>44987</v>
      </c>
      <c r="C933" s="1" t="n">
        <v>45719</v>
      </c>
      <c r="D933" t="inlineStr">
        <is>
          <t>JÄMTLANDS LÄN</t>
        </is>
      </c>
      <c r="E933" t="inlineStr">
        <is>
          <t>HÄRJEDALEN</t>
        </is>
      </c>
      <c r="F933" t="inlineStr">
        <is>
          <t>Holmen skog AB</t>
        </is>
      </c>
      <c r="G933" t="n">
        <v>32.6</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v>
      </c>
      <c r="C934" s="1" t="n">
        <v>45719</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10348-2023</t>
        </is>
      </c>
      <c r="B935" s="1" t="n">
        <v>44987</v>
      </c>
      <c r="C935" s="1" t="n">
        <v>45719</v>
      </c>
      <c r="D935" t="inlineStr">
        <is>
          <t>JÄMTLANDS LÄN</t>
        </is>
      </c>
      <c r="E935" t="inlineStr">
        <is>
          <t>HÄRJEDALEN</t>
        </is>
      </c>
      <c r="F935" t="inlineStr">
        <is>
          <t>Holmen skog AB</t>
        </is>
      </c>
      <c r="G935" t="n">
        <v>17.8</v>
      </c>
      <c r="H935" t="n">
        <v>0</v>
      </c>
      <c r="I935" t="n">
        <v>0</v>
      </c>
      <c r="J935" t="n">
        <v>0</v>
      </c>
      <c r="K935" t="n">
        <v>0</v>
      </c>
      <c r="L935" t="n">
        <v>0</v>
      </c>
      <c r="M935" t="n">
        <v>0</v>
      </c>
      <c r="N935" t="n">
        <v>0</v>
      </c>
      <c r="O935" t="n">
        <v>0</v>
      </c>
      <c r="P935" t="n">
        <v>0</v>
      </c>
      <c r="Q935" t="n">
        <v>0</v>
      </c>
      <c r="R935" s="2" t="inlineStr"/>
    </row>
    <row r="936" ht="15" customHeight="1">
      <c r="A936" t="inlineStr">
        <is>
          <t>A 10338-2023</t>
        </is>
      </c>
      <c r="B936" s="1" t="n">
        <v>44987</v>
      </c>
      <c r="C936" s="1" t="n">
        <v>45719</v>
      </c>
      <c r="D936" t="inlineStr">
        <is>
          <t>JÄMTLANDS LÄN</t>
        </is>
      </c>
      <c r="E936" t="inlineStr">
        <is>
          <t>HÄRJEDALEN</t>
        </is>
      </c>
      <c r="F936" t="inlineStr">
        <is>
          <t>Holmen skog AB</t>
        </is>
      </c>
      <c r="G936" t="n">
        <v>11.8</v>
      </c>
      <c r="H936" t="n">
        <v>0</v>
      </c>
      <c r="I936" t="n">
        <v>0</v>
      </c>
      <c r="J936" t="n">
        <v>0</v>
      </c>
      <c r="K936" t="n">
        <v>0</v>
      </c>
      <c r="L936" t="n">
        <v>0</v>
      </c>
      <c r="M936" t="n">
        <v>0</v>
      </c>
      <c r="N936" t="n">
        <v>0</v>
      </c>
      <c r="O936" t="n">
        <v>0</v>
      </c>
      <c r="P936" t="n">
        <v>0</v>
      </c>
      <c r="Q936" t="n">
        <v>0</v>
      </c>
      <c r="R936" s="2" t="inlineStr"/>
    </row>
    <row r="937" ht="15" customHeight="1">
      <c r="A937" t="inlineStr">
        <is>
          <t>A 11448-2023</t>
        </is>
      </c>
      <c r="B937" s="1" t="n">
        <v>44993</v>
      </c>
      <c r="C937" s="1" t="n">
        <v>45719</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11818-2023</t>
        </is>
      </c>
      <c r="B938" s="1" t="n">
        <v>44994</v>
      </c>
      <c r="C938" s="1" t="n">
        <v>45719</v>
      </c>
      <c r="D938" t="inlineStr">
        <is>
          <t>JÄMTLANDS LÄN</t>
        </is>
      </c>
      <c r="E938" t="inlineStr">
        <is>
          <t>HÄRJEDALEN</t>
        </is>
      </c>
      <c r="G938" t="n">
        <v>8.9</v>
      </c>
      <c r="H938" t="n">
        <v>0</v>
      </c>
      <c r="I938" t="n">
        <v>0</v>
      </c>
      <c r="J938" t="n">
        <v>0</v>
      </c>
      <c r="K938" t="n">
        <v>0</v>
      </c>
      <c r="L938" t="n">
        <v>0</v>
      </c>
      <c r="M938" t="n">
        <v>0</v>
      </c>
      <c r="N938" t="n">
        <v>0</v>
      </c>
      <c r="O938" t="n">
        <v>0</v>
      </c>
      <c r="P938" t="n">
        <v>0</v>
      </c>
      <c r="Q938" t="n">
        <v>0</v>
      </c>
      <c r="R938" s="2" t="inlineStr"/>
    </row>
    <row r="939" ht="15" customHeight="1">
      <c r="A939" t="inlineStr">
        <is>
          <t>A 12484-2023</t>
        </is>
      </c>
      <c r="B939" s="1" t="n">
        <v>44998</v>
      </c>
      <c r="C939" s="1" t="n">
        <v>45719</v>
      </c>
      <c r="D939" t="inlineStr">
        <is>
          <t>JÄMTLANDS LÄN</t>
        </is>
      </c>
      <c r="E939" t="inlineStr">
        <is>
          <t>HÄRJEDALEN</t>
        </is>
      </c>
      <c r="G939" t="n">
        <v>43.1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v>
      </c>
      <c r="C940" s="1" t="n">
        <v>45719</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12625-2023</t>
        </is>
      </c>
      <c r="B941" s="1" t="n">
        <v>45000</v>
      </c>
      <c r="C941" s="1" t="n">
        <v>45719</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12921-2023</t>
        </is>
      </c>
      <c r="B942" s="1" t="n">
        <v>45001</v>
      </c>
      <c r="C942" s="1" t="n">
        <v>45719</v>
      </c>
      <c r="D942" t="inlineStr">
        <is>
          <t>JÄMTLANDS LÄN</t>
        </is>
      </c>
      <c r="E942" t="inlineStr">
        <is>
          <t>HÄRJEDALEN</t>
        </is>
      </c>
      <c r="G942" t="n">
        <v>13.9</v>
      </c>
      <c r="H942" t="n">
        <v>0</v>
      </c>
      <c r="I942" t="n">
        <v>0</v>
      </c>
      <c r="J942" t="n">
        <v>0</v>
      </c>
      <c r="K942" t="n">
        <v>0</v>
      </c>
      <c r="L942" t="n">
        <v>0</v>
      </c>
      <c r="M942" t="n">
        <v>0</v>
      </c>
      <c r="N942" t="n">
        <v>0</v>
      </c>
      <c r="O942" t="n">
        <v>0</v>
      </c>
      <c r="P942" t="n">
        <v>0</v>
      </c>
      <c r="Q942" t="n">
        <v>0</v>
      </c>
      <c r="R942" s="2" t="inlineStr"/>
    </row>
    <row r="943" ht="15" customHeight="1">
      <c r="A943" t="inlineStr">
        <is>
          <t>A 13774-2023</t>
        </is>
      </c>
      <c r="B943" s="1" t="n">
        <v>45007</v>
      </c>
      <c r="C943" s="1" t="n">
        <v>45719</v>
      </c>
      <c r="D943" t="inlineStr">
        <is>
          <t>JÄMTLANDS LÄN</t>
        </is>
      </c>
      <c r="E943" t="inlineStr">
        <is>
          <t>HÄRJEDALEN</t>
        </is>
      </c>
      <c r="G943" t="n">
        <v>0.7</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45719</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15511-2023</t>
        </is>
      </c>
      <c r="B945" s="1" t="n">
        <v>45020</v>
      </c>
      <c r="C945" s="1" t="n">
        <v>45719</v>
      </c>
      <c r="D945" t="inlineStr">
        <is>
          <t>JÄMTLANDS LÄN</t>
        </is>
      </c>
      <c r="E945" t="inlineStr">
        <is>
          <t>HÄRJEDALEN</t>
        </is>
      </c>
      <c r="G945" t="n">
        <v>14.6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45719</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16115-2023</t>
        </is>
      </c>
      <c r="B947" s="1" t="n">
        <v>45027</v>
      </c>
      <c r="C947" s="1" t="n">
        <v>45719</v>
      </c>
      <c r="D947" t="inlineStr">
        <is>
          <t>JÄMTLANDS LÄN</t>
        </is>
      </c>
      <c r="E947" t="inlineStr">
        <is>
          <t>HÄRJEDALEN</t>
        </is>
      </c>
      <c r="G947" t="n">
        <v>26</v>
      </c>
      <c r="H947" t="n">
        <v>0</v>
      </c>
      <c r="I947" t="n">
        <v>0</v>
      </c>
      <c r="J947" t="n">
        <v>0</v>
      </c>
      <c r="K947" t="n">
        <v>0</v>
      </c>
      <c r="L947" t="n">
        <v>0</v>
      </c>
      <c r="M947" t="n">
        <v>0</v>
      </c>
      <c r="N947" t="n">
        <v>0</v>
      </c>
      <c r="O947" t="n">
        <v>0</v>
      </c>
      <c r="P947" t="n">
        <v>0</v>
      </c>
      <c r="Q947" t="n">
        <v>0</v>
      </c>
      <c r="R947" s="2" t="inlineStr"/>
    </row>
    <row r="948" ht="15" customHeight="1">
      <c r="A948" t="inlineStr">
        <is>
          <t>A 16468-2023</t>
        </is>
      </c>
      <c r="B948" s="1" t="n">
        <v>45029</v>
      </c>
      <c r="C948" s="1" t="n">
        <v>45719</v>
      </c>
      <c r="D948" t="inlineStr">
        <is>
          <t>JÄMTLANDS LÄN</t>
        </is>
      </c>
      <c r="E948" t="inlineStr">
        <is>
          <t>HÄRJEDALEN</t>
        </is>
      </c>
      <c r="G948" t="n">
        <v>6.7</v>
      </c>
      <c r="H948" t="n">
        <v>0</v>
      </c>
      <c r="I948" t="n">
        <v>0</v>
      </c>
      <c r="J948" t="n">
        <v>0</v>
      </c>
      <c r="K948" t="n">
        <v>0</v>
      </c>
      <c r="L948" t="n">
        <v>0</v>
      </c>
      <c r="M948" t="n">
        <v>0</v>
      </c>
      <c r="N948" t="n">
        <v>0</v>
      </c>
      <c r="O948" t="n">
        <v>0</v>
      </c>
      <c r="P948" t="n">
        <v>0</v>
      </c>
      <c r="Q948" t="n">
        <v>0</v>
      </c>
      <c r="R948" s="2" t="inlineStr"/>
    </row>
    <row r="949" ht="15" customHeight="1">
      <c r="A949" t="inlineStr">
        <is>
          <t>A 17121-2023</t>
        </is>
      </c>
      <c r="B949" s="1" t="n">
        <v>45034</v>
      </c>
      <c r="C949" s="1" t="n">
        <v>45719</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17105-2023</t>
        </is>
      </c>
      <c r="B950" s="1" t="n">
        <v>45034</v>
      </c>
      <c r="C950" s="1" t="n">
        <v>45719</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17122-2023</t>
        </is>
      </c>
      <c r="B951" s="1" t="n">
        <v>45034</v>
      </c>
      <c r="C951" s="1" t="n">
        <v>45719</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17153-2023</t>
        </is>
      </c>
      <c r="B952" s="1" t="n">
        <v>45034</v>
      </c>
      <c r="C952" s="1" t="n">
        <v>45719</v>
      </c>
      <c r="D952" t="inlineStr">
        <is>
          <t>JÄMTLANDS LÄN</t>
        </is>
      </c>
      <c r="E952" t="inlineStr">
        <is>
          <t>HÄRJEDALEN</t>
        </is>
      </c>
      <c r="G952" t="n">
        <v>5.6</v>
      </c>
      <c r="H952" t="n">
        <v>0</v>
      </c>
      <c r="I952" t="n">
        <v>0</v>
      </c>
      <c r="J952" t="n">
        <v>0</v>
      </c>
      <c r="K952" t="n">
        <v>0</v>
      </c>
      <c r="L952" t="n">
        <v>0</v>
      </c>
      <c r="M952" t="n">
        <v>0</v>
      </c>
      <c r="N952" t="n">
        <v>0</v>
      </c>
      <c r="O952" t="n">
        <v>0</v>
      </c>
      <c r="P952" t="n">
        <v>0</v>
      </c>
      <c r="Q952" t="n">
        <v>0</v>
      </c>
      <c r="R952" s="2" t="inlineStr"/>
    </row>
    <row r="953" ht="15" customHeight="1">
      <c r="A953" t="inlineStr">
        <is>
          <t>A 17118-2023</t>
        </is>
      </c>
      <c r="B953" s="1" t="n">
        <v>45034</v>
      </c>
      <c r="C953" s="1" t="n">
        <v>45719</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17238-2023</t>
        </is>
      </c>
      <c r="B954" s="1" t="n">
        <v>45035</v>
      </c>
      <c r="C954" s="1" t="n">
        <v>45719</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17246-2023</t>
        </is>
      </c>
      <c r="B955" s="1" t="n">
        <v>45035</v>
      </c>
      <c r="C955" s="1" t="n">
        <v>45719</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17232-2023</t>
        </is>
      </c>
      <c r="B956" s="1" t="n">
        <v>45035</v>
      </c>
      <c r="C956" s="1" t="n">
        <v>45719</v>
      </c>
      <c r="D956" t="inlineStr">
        <is>
          <t>JÄMTLANDS LÄN</t>
        </is>
      </c>
      <c r="E956" t="inlineStr">
        <is>
          <t>HÄRJEDALEN</t>
        </is>
      </c>
      <c r="G956" t="n">
        <v>6.9</v>
      </c>
      <c r="H956" t="n">
        <v>0</v>
      </c>
      <c r="I956" t="n">
        <v>0</v>
      </c>
      <c r="J956" t="n">
        <v>0</v>
      </c>
      <c r="K956" t="n">
        <v>0</v>
      </c>
      <c r="L956" t="n">
        <v>0</v>
      </c>
      <c r="M956" t="n">
        <v>0</v>
      </c>
      <c r="N956" t="n">
        <v>0</v>
      </c>
      <c r="O956" t="n">
        <v>0</v>
      </c>
      <c r="P956" t="n">
        <v>0</v>
      </c>
      <c r="Q956" t="n">
        <v>0</v>
      </c>
      <c r="R956" s="2" t="inlineStr"/>
    </row>
    <row r="957" ht="15" customHeight="1">
      <c r="A957" t="inlineStr">
        <is>
          <t>A 17368-2023</t>
        </is>
      </c>
      <c r="B957" s="1" t="n">
        <v>45035</v>
      </c>
      <c r="C957" s="1" t="n">
        <v>45719</v>
      </c>
      <c r="D957" t="inlineStr">
        <is>
          <t>JÄMTLANDS LÄN</t>
        </is>
      </c>
      <c r="E957" t="inlineStr">
        <is>
          <t>HÄRJEDALEN</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18334-2023</t>
        </is>
      </c>
      <c r="B958" s="1" t="n">
        <v>45041</v>
      </c>
      <c r="C958" s="1" t="n">
        <v>45719</v>
      </c>
      <c r="D958" t="inlineStr">
        <is>
          <t>JÄMTLANDS LÄN</t>
        </is>
      </c>
      <c r="E958" t="inlineStr">
        <is>
          <t>HÄRJEDALEN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18258-2023</t>
        </is>
      </c>
      <c r="B959" s="1" t="n">
        <v>45041</v>
      </c>
      <c r="C959" s="1" t="n">
        <v>45719</v>
      </c>
      <c r="D959" t="inlineStr">
        <is>
          <t>JÄMTLANDS LÄN</t>
        </is>
      </c>
      <c r="E959" t="inlineStr">
        <is>
          <t>HÄRJEDALEN</t>
        </is>
      </c>
      <c r="F959" t="inlineStr">
        <is>
          <t>Bergvik skog väst AB</t>
        </is>
      </c>
      <c r="G959" t="n">
        <v>14.7</v>
      </c>
      <c r="H959" t="n">
        <v>0</v>
      </c>
      <c r="I959" t="n">
        <v>0</v>
      </c>
      <c r="J959" t="n">
        <v>0</v>
      </c>
      <c r="K959" t="n">
        <v>0</v>
      </c>
      <c r="L959" t="n">
        <v>0</v>
      </c>
      <c r="M959" t="n">
        <v>0</v>
      </c>
      <c r="N959" t="n">
        <v>0</v>
      </c>
      <c r="O959" t="n">
        <v>0</v>
      </c>
      <c r="P959" t="n">
        <v>0</v>
      </c>
      <c r="Q959" t="n">
        <v>0</v>
      </c>
      <c r="R959" s="2" t="inlineStr"/>
    </row>
    <row r="960" ht="15" customHeight="1">
      <c r="A960" t="inlineStr">
        <is>
          <t>A 18620-2023</t>
        </is>
      </c>
      <c r="B960" s="1" t="n">
        <v>45041</v>
      </c>
      <c r="C960" s="1" t="n">
        <v>45719</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18646-2023</t>
        </is>
      </c>
      <c r="B961" s="1" t="n">
        <v>45041</v>
      </c>
      <c r="C961" s="1" t="n">
        <v>45719</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18659-2023</t>
        </is>
      </c>
      <c r="B962" s="1" t="n">
        <v>45041</v>
      </c>
      <c r="C962" s="1" t="n">
        <v>45719</v>
      </c>
      <c r="D962" t="inlineStr">
        <is>
          <t>JÄMTLANDS LÄN</t>
        </is>
      </c>
      <c r="E962" t="inlineStr">
        <is>
          <t>HÄRJEDALEN</t>
        </is>
      </c>
      <c r="G962" t="n">
        <v>0.9</v>
      </c>
      <c r="H962" t="n">
        <v>0</v>
      </c>
      <c r="I962" t="n">
        <v>0</v>
      </c>
      <c r="J962" t="n">
        <v>0</v>
      </c>
      <c r="K962" t="n">
        <v>0</v>
      </c>
      <c r="L962" t="n">
        <v>0</v>
      </c>
      <c r="M962" t="n">
        <v>0</v>
      </c>
      <c r="N962" t="n">
        <v>0</v>
      </c>
      <c r="O962" t="n">
        <v>0</v>
      </c>
      <c r="P962" t="n">
        <v>0</v>
      </c>
      <c r="Q962" t="n">
        <v>0</v>
      </c>
      <c r="R962" s="2" t="inlineStr"/>
    </row>
    <row r="963" ht="15" customHeight="1">
      <c r="A963" t="inlineStr">
        <is>
          <t>A 18617-2023</t>
        </is>
      </c>
      <c r="B963" s="1" t="n">
        <v>45043</v>
      </c>
      <c r="C963" s="1" t="n">
        <v>45719</v>
      </c>
      <c r="D963" t="inlineStr">
        <is>
          <t>JÄMTLANDS LÄN</t>
        </is>
      </c>
      <c r="E963" t="inlineStr">
        <is>
          <t>HÄRJEDALEN</t>
        </is>
      </c>
      <c r="G963" t="n">
        <v>15.1</v>
      </c>
      <c r="H963" t="n">
        <v>0</v>
      </c>
      <c r="I963" t="n">
        <v>0</v>
      </c>
      <c r="J963" t="n">
        <v>0</v>
      </c>
      <c r="K963" t="n">
        <v>0</v>
      </c>
      <c r="L963" t="n">
        <v>0</v>
      </c>
      <c r="M963" t="n">
        <v>0</v>
      </c>
      <c r="N963" t="n">
        <v>0</v>
      </c>
      <c r="O963" t="n">
        <v>0</v>
      </c>
      <c r="P963" t="n">
        <v>0</v>
      </c>
      <c r="Q963" t="n">
        <v>0</v>
      </c>
      <c r="R963" s="2" t="inlineStr"/>
    </row>
    <row r="964" ht="15" customHeight="1">
      <c r="A964" t="inlineStr">
        <is>
          <t>A 18875-2023</t>
        </is>
      </c>
      <c r="B964" s="1" t="n">
        <v>45044</v>
      </c>
      <c r="C964" s="1" t="n">
        <v>45719</v>
      </c>
      <c r="D964" t="inlineStr">
        <is>
          <t>JÄMTLANDS LÄN</t>
        </is>
      </c>
      <c r="E964" t="inlineStr">
        <is>
          <t>HÄRJEDALEN</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v>
      </c>
      <c r="C965" s="1" t="n">
        <v>45719</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19337-2023</t>
        </is>
      </c>
      <c r="B966" s="1" t="n">
        <v>45049</v>
      </c>
      <c r="C966" s="1" t="n">
        <v>45719</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19730-2023</t>
        </is>
      </c>
      <c r="B967" s="1" t="n">
        <v>45050</v>
      </c>
      <c r="C967" s="1" t="n">
        <v>45719</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45719</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19981-2023</t>
        </is>
      </c>
      <c r="B969" s="1" t="n">
        <v>45054</v>
      </c>
      <c r="C969" s="1" t="n">
        <v>45719</v>
      </c>
      <c r="D969" t="inlineStr">
        <is>
          <t>JÄMTLANDS LÄN</t>
        </is>
      </c>
      <c r="E969" t="inlineStr">
        <is>
          <t>HÄRJEDALEN</t>
        </is>
      </c>
      <c r="G969" t="n">
        <v>13.5</v>
      </c>
      <c r="H969" t="n">
        <v>0</v>
      </c>
      <c r="I969" t="n">
        <v>0</v>
      </c>
      <c r="J969" t="n">
        <v>0</v>
      </c>
      <c r="K969" t="n">
        <v>0</v>
      </c>
      <c r="L969" t="n">
        <v>0</v>
      </c>
      <c r="M969" t="n">
        <v>0</v>
      </c>
      <c r="N969" t="n">
        <v>0</v>
      </c>
      <c r="O969" t="n">
        <v>0</v>
      </c>
      <c r="P969" t="n">
        <v>0</v>
      </c>
      <c r="Q969" t="n">
        <v>0</v>
      </c>
      <c r="R969" s="2" t="inlineStr"/>
    </row>
    <row r="970" ht="15" customHeight="1">
      <c r="A970" t="inlineStr">
        <is>
          <t>A 20539-2023</t>
        </is>
      </c>
      <c r="B970" s="1" t="n">
        <v>45055</v>
      </c>
      <c r="C970" s="1" t="n">
        <v>45719</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20851-2023</t>
        </is>
      </c>
      <c r="B971" s="1" t="n">
        <v>45056</v>
      </c>
      <c r="C971" s="1" t="n">
        <v>45719</v>
      </c>
      <c r="D971" t="inlineStr">
        <is>
          <t>JÄMTLANDS LÄN</t>
        </is>
      </c>
      <c r="E971" t="inlineStr">
        <is>
          <t>HÄRJEDALEN</t>
        </is>
      </c>
      <c r="F971" t="inlineStr">
        <is>
          <t>Holmen skog AB</t>
        </is>
      </c>
      <c r="G971" t="n">
        <v>41.1</v>
      </c>
      <c r="H971" t="n">
        <v>0</v>
      </c>
      <c r="I971" t="n">
        <v>0</v>
      </c>
      <c r="J971" t="n">
        <v>0</v>
      </c>
      <c r="K971" t="n">
        <v>0</v>
      </c>
      <c r="L971" t="n">
        <v>0</v>
      </c>
      <c r="M971" t="n">
        <v>0</v>
      </c>
      <c r="N971" t="n">
        <v>0</v>
      </c>
      <c r="O971" t="n">
        <v>0</v>
      </c>
      <c r="P971" t="n">
        <v>0</v>
      </c>
      <c r="Q971" t="n">
        <v>0</v>
      </c>
      <c r="R971" s="2" t="inlineStr"/>
    </row>
    <row r="972" ht="15" customHeight="1">
      <c r="A972" t="inlineStr">
        <is>
          <t>A 20609-2023</t>
        </is>
      </c>
      <c r="B972" s="1" t="n">
        <v>45057</v>
      </c>
      <c r="C972" s="1" t="n">
        <v>45719</v>
      </c>
      <c r="D972" t="inlineStr">
        <is>
          <t>JÄMTLANDS LÄN</t>
        </is>
      </c>
      <c r="E972" t="inlineStr">
        <is>
          <t>HÄRJEDALEN</t>
        </is>
      </c>
      <c r="F972" t="inlineStr">
        <is>
          <t>SCA</t>
        </is>
      </c>
      <c r="G972" t="n">
        <v>15.6</v>
      </c>
      <c r="H972" t="n">
        <v>0</v>
      </c>
      <c r="I972" t="n">
        <v>0</v>
      </c>
      <c r="J972" t="n">
        <v>0</v>
      </c>
      <c r="K972" t="n">
        <v>0</v>
      </c>
      <c r="L972" t="n">
        <v>0</v>
      </c>
      <c r="M972" t="n">
        <v>0</v>
      </c>
      <c r="N972" t="n">
        <v>0</v>
      </c>
      <c r="O972" t="n">
        <v>0</v>
      </c>
      <c r="P972" t="n">
        <v>0</v>
      </c>
      <c r="Q972" t="n">
        <v>0</v>
      </c>
      <c r="R972" s="2" t="inlineStr"/>
      <c r="U972">
        <f>HYPERLINK("https://klasma.github.io/Logging_2361/knärot/A 20609-2023 karta knärot.png", "A 20609-2023")</f>
        <v/>
      </c>
      <c r="V972">
        <f>HYPERLINK("https://klasma.github.io/Logging_2361/klagomål/A 20609-2023 FSC-klagomål.docx", "A 20609-2023")</f>
        <v/>
      </c>
      <c r="W972">
        <f>HYPERLINK("https://klasma.github.io/Logging_2361/klagomålsmail/A 20609-2023 FSC-klagomål mail.docx", "A 20609-2023")</f>
        <v/>
      </c>
      <c r="X972">
        <f>HYPERLINK("https://klasma.github.io/Logging_2361/tillsyn/A 20609-2023 tillsynsbegäran.docx", "A 20609-2023")</f>
        <v/>
      </c>
      <c r="Y972">
        <f>HYPERLINK("https://klasma.github.io/Logging_2361/tillsynsmail/A 20609-2023 tillsynsbegäran mail.docx", "A 20609-2023")</f>
        <v/>
      </c>
    </row>
    <row r="973" ht="15" customHeight="1">
      <c r="A973" t="inlineStr">
        <is>
          <t>A 20768-2023</t>
        </is>
      </c>
      <c r="B973" s="1" t="n">
        <v>45058</v>
      </c>
      <c r="C973" s="1" t="n">
        <v>45719</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20718-2023</t>
        </is>
      </c>
      <c r="B974" s="1" t="n">
        <v>45058</v>
      </c>
      <c r="C974" s="1" t="n">
        <v>45719</v>
      </c>
      <c r="D974" t="inlineStr">
        <is>
          <t>JÄMTLANDS LÄN</t>
        </is>
      </c>
      <c r="E974" t="inlineStr">
        <is>
          <t>HÄRJEDALEN</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20935-2023</t>
        </is>
      </c>
      <c r="B975" s="1" t="n">
        <v>45061</v>
      </c>
      <c r="C975" s="1" t="n">
        <v>45719</v>
      </c>
      <c r="D975" t="inlineStr">
        <is>
          <t>JÄMTLANDS LÄN</t>
        </is>
      </c>
      <c r="E975" t="inlineStr">
        <is>
          <t>HÄRJEDALEN</t>
        </is>
      </c>
      <c r="G975" t="n">
        <v>7.3</v>
      </c>
      <c r="H975" t="n">
        <v>0</v>
      </c>
      <c r="I975" t="n">
        <v>0</v>
      </c>
      <c r="J975" t="n">
        <v>0</v>
      </c>
      <c r="K975" t="n">
        <v>0</v>
      </c>
      <c r="L975" t="n">
        <v>0</v>
      </c>
      <c r="M975" t="n">
        <v>0</v>
      </c>
      <c r="N975" t="n">
        <v>0</v>
      </c>
      <c r="O975" t="n">
        <v>0</v>
      </c>
      <c r="P975" t="n">
        <v>0</v>
      </c>
      <c r="Q975" t="n">
        <v>0</v>
      </c>
      <c r="R975" s="2" t="inlineStr"/>
    </row>
    <row r="976" ht="15" customHeight="1">
      <c r="A976" t="inlineStr">
        <is>
          <t>A 21050-2023</t>
        </is>
      </c>
      <c r="B976" s="1" t="n">
        <v>45061</v>
      </c>
      <c r="C976" s="1" t="n">
        <v>45719</v>
      </c>
      <c r="D976" t="inlineStr">
        <is>
          <t>JÄMTLANDS LÄN</t>
        </is>
      </c>
      <c r="E976" t="inlineStr">
        <is>
          <t>HÄRJEDALEN</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21054-2023</t>
        </is>
      </c>
      <c r="B977" s="1" t="n">
        <v>45061</v>
      </c>
      <c r="C977" s="1" t="n">
        <v>45719</v>
      </c>
      <c r="D977" t="inlineStr">
        <is>
          <t>JÄMTLANDS LÄN</t>
        </is>
      </c>
      <c r="E977" t="inlineStr">
        <is>
          <t>HÄRJEDALEN</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21517-2023</t>
        </is>
      </c>
      <c r="B978" s="1" t="n">
        <v>45063</v>
      </c>
      <c r="C978" s="1" t="n">
        <v>45719</v>
      </c>
      <c r="D978" t="inlineStr">
        <is>
          <t>JÄMTLANDS LÄN</t>
        </is>
      </c>
      <c r="E978" t="inlineStr">
        <is>
          <t>HÄRJEDALEN</t>
        </is>
      </c>
      <c r="G978" t="n">
        <v>9</v>
      </c>
      <c r="H978" t="n">
        <v>0</v>
      </c>
      <c r="I978" t="n">
        <v>0</v>
      </c>
      <c r="J978" t="n">
        <v>0</v>
      </c>
      <c r="K978" t="n">
        <v>0</v>
      </c>
      <c r="L978" t="n">
        <v>0</v>
      </c>
      <c r="M978" t="n">
        <v>0</v>
      </c>
      <c r="N978" t="n">
        <v>0</v>
      </c>
      <c r="O978" t="n">
        <v>0</v>
      </c>
      <c r="P978" t="n">
        <v>0</v>
      </c>
      <c r="Q978" t="n">
        <v>0</v>
      </c>
      <c r="R978" s="2" t="inlineStr"/>
    </row>
    <row r="979" ht="15" customHeight="1">
      <c r="A979" t="inlineStr">
        <is>
          <t>A 21531-2023</t>
        </is>
      </c>
      <c r="B979" s="1" t="n">
        <v>45063</v>
      </c>
      <c r="C979" s="1" t="n">
        <v>45719</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21439-2023</t>
        </is>
      </c>
      <c r="B980" s="1" t="n">
        <v>45063</v>
      </c>
      <c r="C980" s="1" t="n">
        <v>45719</v>
      </c>
      <c r="D980" t="inlineStr">
        <is>
          <t>JÄMTLANDS LÄN</t>
        </is>
      </c>
      <c r="E980" t="inlineStr">
        <is>
          <t>HÄRJEDALEN</t>
        </is>
      </c>
      <c r="G980" t="n">
        <v>57</v>
      </c>
      <c r="H980" t="n">
        <v>0</v>
      </c>
      <c r="I980" t="n">
        <v>0</v>
      </c>
      <c r="J980" t="n">
        <v>0</v>
      </c>
      <c r="K980" t="n">
        <v>0</v>
      </c>
      <c r="L980" t="n">
        <v>0</v>
      </c>
      <c r="M980" t="n">
        <v>0</v>
      </c>
      <c r="N980" t="n">
        <v>0</v>
      </c>
      <c r="O980" t="n">
        <v>0</v>
      </c>
      <c r="P980" t="n">
        <v>0</v>
      </c>
      <c r="Q980" t="n">
        <v>0</v>
      </c>
      <c r="R980" s="2" t="inlineStr"/>
    </row>
    <row r="981" ht="15" customHeight="1">
      <c r="A981" t="inlineStr">
        <is>
          <t>A 21521-2023</t>
        </is>
      </c>
      <c r="B981" s="1" t="n">
        <v>45063</v>
      </c>
      <c r="C981" s="1" t="n">
        <v>45719</v>
      </c>
      <c r="D981" t="inlineStr">
        <is>
          <t>JÄMTLANDS LÄN</t>
        </is>
      </c>
      <c r="E981" t="inlineStr">
        <is>
          <t>HÄRJEDALEN</t>
        </is>
      </c>
      <c r="G981" t="n">
        <v>3</v>
      </c>
      <c r="H981" t="n">
        <v>0</v>
      </c>
      <c r="I981" t="n">
        <v>0</v>
      </c>
      <c r="J981" t="n">
        <v>0</v>
      </c>
      <c r="K981" t="n">
        <v>0</v>
      </c>
      <c r="L981" t="n">
        <v>0</v>
      </c>
      <c r="M981" t="n">
        <v>0</v>
      </c>
      <c r="N981" t="n">
        <v>0</v>
      </c>
      <c r="O981" t="n">
        <v>0</v>
      </c>
      <c r="P981" t="n">
        <v>0</v>
      </c>
      <c r="Q981" t="n">
        <v>0</v>
      </c>
      <c r="R981" s="2" t="inlineStr"/>
    </row>
    <row r="982" ht="15" customHeight="1">
      <c r="A982" t="inlineStr">
        <is>
          <t>A 21525-2023</t>
        </is>
      </c>
      <c r="B982" s="1" t="n">
        <v>45063</v>
      </c>
      <c r="C982" s="1" t="n">
        <v>45719</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45719</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21645-2023</t>
        </is>
      </c>
      <c r="B984" s="1" t="n">
        <v>45063</v>
      </c>
      <c r="C984" s="1" t="n">
        <v>45719</v>
      </c>
      <c r="D984" t="inlineStr">
        <is>
          <t>JÄMTLANDS LÄN</t>
        </is>
      </c>
      <c r="E984" t="inlineStr">
        <is>
          <t>HÄRJEDALEN</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21646-2023</t>
        </is>
      </c>
      <c r="B985" s="1" t="n">
        <v>45063</v>
      </c>
      <c r="C985" s="1" t="n">
        <v>45719</v>
      </c>
      <c r="D985" t="inlineStr">
        <is>
          <t>JÄMTLANDS LÄN</t>
        </is>
      </c>
      <c r="E985" t="inlineStr">
        <is>
          <t>HÄRJEDALEN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21665-2023</t>
        </is>
      </c>
      <c r="B986" s="1" t="n">
        <v>45063</v>
      </c>
      <c r="C986" s="1" t="n">
        <v>45719</v>
      </c>
      <c r="D986" t="inlineStr">
        <is>
          <t>JÄMTLANDS LÄN</t>
        </is>
      </c>
      <c r="E986" t="inlineStr">
        <is>
          <t>HÄRJEDALEN</t>
        </is>
      </c>
      <c r="G986" t="n">
        <v>19.3</v>
      </c>
      <c r="H986" t="n">
        <v>0</v>
      </c>
      <c r="I986" t="n">
        <v>0</v>
      </c>
      <c r="J986" t="n">
        <v>0</v>
      </c>
      <c r="K986" t="n">
        <v>0</v>
      </c>
      <c r="L986" t="n">
        <v>0</v>
      </c>
      <c r="M986" t="n">
        <v>0</v>
      </c>
      <c r="N986" t="n">
        <v>0</v>
      </c>
      <c r="O986" t="n">
        <v>0</v>
      </c>
      <c r="P986" t="n">
        <v>0</v>
      </c>
      <c r="Q986" t="n">
        <v>0</v>
      </c>
      <c r="R986" s="2" t="inlineStr"/>
    </row>
    <row r="987" ht="15" customHeight="1">
      <c r="A987" t="inlineStr">
        <is>
          <t>A 21666-2023</t>
        </is>
      </c>
      <c r="B987" s="1" t="n">
        <v>45064</v>
      </c>
      <c r="C987" s="1" t="n">
        <v>45719</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22674-2023</t>
        </is>
      </c>
      <c r="B988" s="1" t="n">
        <v>45071</v>
      </c>
      <c r="C988" s="1" t="n">
        <v>45719</v>
      </c>
      <c r="D988" t="inlineStr">
        <is>
          <t>JÄMTLANDS LÄN</t>
        </is>
      </c>
      <c r="E988" t="inlineStr">
        <is>
          <t>HÄRJEDALEN</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22728-2023</t>
        </is>
      </c>
      <c r="B989" s="1" t="n">
        <v>45072</v>
      </c>
      <c r="C989" s="1" t="n">
        <v>45719</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22747-2023</t>
        </is>
      </c>
      <c r="B990" s="1" t="n">
        <v>45071</v>
      </c>
      <c r="C990" s="1" t="n">
        <v>45719</v>
      </c>
      <c r="D990" t="inlineStr">
        <is>
          <t>JÄMTLANDS LÄN</t>
        </is>
      </c>
      <c r="E990" t="inlineStr">
        <is>
          <t>HÄRJEDALEN</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22746-2023</t>
        </is>
      </c>
      <c r="B991" s="1" t="n">
        <v>45071</v>
      </c>
      <c r="C991" s="1" t="n">
        <v>45719</v>
      </c>
      <c r="D991" t="inlineStr">
        <is>
          <t>JÄMTLANDS LÄN</t>
        </is>
      </c>
      <c r="E991" t="inlineStr">
        <is>
          <t>HÄRJEDALEN</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22729-2023</t>
        </is>
      </c>
      <c r="B992" s="1" t="n">
        <v>45072</v>
      </c>
      <c r="C992" s="1" t="n">
        <v>45719</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23186-2023</t>
        </is>
      </c>
      <c r="B993" s="1" t="n">
        <v>45075</v>
      </c>
      <c r="C993" s="1" t="n">
        <v>45719</v>
      </c>
      <c r="D993" t="inlineStr">
        <is>
          <t>JÄMTLANDS LÄN</t>
        </is>
      </c>
      <c r="E993" t="inlineStr">
        <is>
          <t>HÄRJEDALEN</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23185-2023</t>
        </is>
      </c>
      <c r="B994" s="1" t="n">
        <v>45075</v>
      </c>
      <c r="C994" s="1" t="n">
        <v>45719</v>
      </c>
      <c r="D994" t="inlineStr">
        <is>
          <t>JÄMTLANDS LÄN</t>
        </is>
      </c>
      <c r="E994" t="inlineStr">
        <is>
          <t>HÄRJEDALEN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23356-2023</t>
        </is>
      </c>
      <c r="B995" s="1" t="n">
        <v>45076</v>
      </c>
      <c r="C995" s="1" t="n">
        <v>45719</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23465-2023</t>
        </is>
      </c>
      <c r="B996" s="1" t="n">
        <v>45076</v>
      </c>
      <c r="C996" s="1" t="n">
        <v>45719</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23895-2023</t>
        </is>
      </c>
      <c r="B997" s="1" t="n">
        <v>45078</v>
      </c>
      <c r="C997" s="1" t="n">
        <v>45719</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23908-2023</t>
        </is>
      </c>
      <c r="B998" s="1" t="n">
        <v>45078</v>
      </c>
      <c r="C998" s="1" t="n">
        <v>45719</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24240-2023</t>
        </is>
      </c>
      <c r="B999" s="1" t="n">
        <v>45079</v>
      </c>
      <c r="C999" s="1" t="n">
        <v>45719</v>
      </c>
      <c r="D999" t="inlineStr">
        <is>
          <t>JÄMTLANDS LÄN</t>
        </is>
      </c>
      <c r="E999" t="inlineStr">
        <is>
          <t>HÄRJEDALEN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24238-2023</t>
        </is>
      </c>
      <c r="B1000" s="1" t="n">
        <v>45079</v>
      </c>
      <c r="C1000" s="1" t="n">
        <v>45719</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24255-2023</t>
        </is>
      </c>
      <c r="B1001" s="1" t="n">
        <v>45079</v>
      </c>
      <c r="C1001" s="1" t="n">
        <v>45719</v>
      </c>
      <c r="D1001" t="inlineStr">
        <is>
          <t>JÄMTLANDS LÄN</t>
        </is>
      </c>
      <c r="E1001" t="inlineStr">
        <is>
          <t>HÄRJEDALEN</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24220-2023</t>
        </is>
      </c>
      <c r="B1002" s="1" t="n">
        <v>45079</v>
      </c>
      <c r="C1002" s="1" t="n">
        <v>45719</v>
      </c>
      <c r="D1002" t="inlineStr">
        <is>
          <t>JÄMTLANDS LÄN</t>
        </is>
      </c>
      <c r="E1002" t="inlineStr">
        <is>
          <t>HÄRJEDALEN</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25536-2023</t>
        </is>
      </c>
      <c r="B1003" s="1" t="n">
        <v>45082</v>
      </c>
      <c r="C1003" s="1" t="n">
        <v>45719</v>
      </c>
      <c r="D1003" t="inlineStr">
        <is>
          <t>JÄMTLANDS LÄN</t>
        </is>
      </c>
      <c r="E1003" t="inlineStr">
        <is>
          <t>HÄRJEDALEN</t>
        </is>
      </c>
      <c r="F1003" t="inlineStr">
        <is>
          <t>Bergvik skog väst AB</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25526-2023</t>
        </is>
      </c>
      <c r="B1004" s="1" t="n">
        <v>45082</v>
      </c>
      <c r="C1004" s="1" t="n">
        <v>45719</v>
      </c>
      <c r="D1004" t="inlineStr">
        <is>
          <t>JÄMTLANDS LÄN</t>
        </is>
      </c>
      <c r="E1004" t="inlineStr">
        <is>
          <t>HÄRJEDALEN</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25582-2023</t>
        </is>
      </c>
      <c r="B1005" s="1" t="n">
        <v>45082</v>
      </c>
      <c r="C1005" s="1" t="n">
        <v>45719</v>
      </c>
      <c r="D1005" t="inlineStr">
        <is>
          <t>JÄMTLANDS LÄN</t>
        </is>
      </c>
      <c r="E1005" t="inlineStr">
        <is>
          <t>HÄRJEDALEN</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24834-2023</t>
        </is>
      </c>
      <c r="B1006" s="1" t="n">
        <v>45084</v>
      </c>
      <c r="C1006" s="1" t="n">
        <v>45719</v>
      </c>
      <c r="D1006" t="inlineStr">
        <is>
          <t>JÄMTLANDS LÄN</t>
        </is>
      </c>
      <c r="E1006" t="inlineStr">
        <is>
          <t>HÄRJEDALEN</t>
        </is>
      </c>
      <c r="F1006" t="inlineStr">
        <is>
          <t>SCA</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24835-2023</t>
        </is>
      </c>
      <c r="B1007" s="1" t="n">
        <v>45084</v>
      </c>
      <c r="C1007" s="1" t="n">
        <v>45719</v>
      </c>
      <c r="D1007" t="inlineStr">
        <is>
          <t>JÄMTLANDS LÄN</t>
        </is>
      </c>
      <c r="E1007" t="inlineStr">
        <is>
          <t>HÄRJEDALEN</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25018-2023</t>
        </is>
      </c>
      <c r="B1008" s="1" t="n">
        <v>45085</v>
      </c>
      <c r="C1008" s="1" t="n">
        <v>45719</v>
      </c>
      <c r="D1008" t="inlineStr">
        <is>
          <t>JÄMTLANDS LÄN</t>
        </is>
      </c>
      <c r="E1008" t="inlineStr">
        <is>
          <t>HÄRJEDALEN</t>
        </is>
      </c>
      <c r="F1008" t="inlineStr">
        <is>
          <t>Sveaskog</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24964-2023</t>
        </is>
      </c>
      <c r="B1009" s="1" t="n">
        <v>45085</v>
      </c>
      <c r="C1009" s="1" t="n">
        <v>45719</v>
      </c>
      <c r="D1009" t="inlineStr">
        <is>
          <t>JÄMTLANDS LÄN</t>
        </is>
      </c>
      <c r="E1009" t="inlineStr">
        <is>
          <t>HÄRJEDALEN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25181-2023</t>
        </is>
      </c>
      <c r="B1010" s="1" t="n">
        <v>45086</v>
      </c>
      <c r="C1010" s="1" t="n">
        <v>45719</v>
      </c>
      <c r="D1010" t="inlineStr">
        <is>
          <t>JÄMTLANDS LÄN</t>
        </is>
      </c>
      <c r="E1010" t="inlineStr">
        <is>
          <t>HÄRJEDALEN</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25485-2023</t>
        </is>
      </c>
      <c r="B1011" s="1" t="n">
        <v>45089</v>
      </c>
      <c r="C1011" s="1" t="n">
        <v>45719</v>
      </c>
      <c r="D1011" t="inlineStr">
        <is>
          <t>JÄMTLANDS LÄN</t>
        </is>
      </c>
      <c r="E1011" t="inlineStr">
        <is>
          <t>HÄRJEDALEN</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26411-2023</t>
        </is>
      </c>
      <c r="B1012" s="1" t="n">
        <v>45092</v>
      </c>
      <c r="C1012" s="1" t="n">
        <v>45719</v>
      </c>
      <c r="D1012" t="inlineStr">
        <is>
          <t>JÄMTLANDS LÄN</t>
        </is>
      </c>
      <c r="E1012" t="inlineStr">
        <is>
          <t>HÄRJEDALEN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26701-2023</t>
        </is>
      </c>
      <c r="B1013" s="1" t="n">
        <v>45093</v>
      </c>
      <c r="C1013" s="1" t="n">
        <v>45719</v>
      </c>
      <c r="D1013" t="inlineStr">
        <is>
          <t>JÄMTLANDS LÄN</t>
        </is>
      </c>
      <c r="E1013" t="inlineStr">
        <is>
          <t>HÄRJEDALEN</t>
        </is>
      </c>
      <c r="F1013" t="inlineStr">
        <is>
          <t>Bergvik skog väst AB</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26902-2023</t>
        </is>
      </c>
      <c r="B1014" s="1" t="n">
        <v>45093</v>
      </c>
      <c r="C1014" s="1" t="n">
        <v>45719</v>
      </c>
      <c r="D1014" t="inlineStr">
        <is>
          <t>JÄMTLANDS LÄN</t>
        </is>
      </c>
      <c r="E1014" t="inlineStr">
        <is>
          <t>HÄRJEDALEN</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26905-2023</t>
        </is>
      </c>
      <c r="B1015" s="1" t="n">
        <v>45093</v>
      </c>
      <c r="C1015" s="1" t="n">
        <v>45719</v>
      </c>
      <c r="D1015" t="inlineStr">
        <is>
          <t>JÄMTLANDS LÄN</t>
        </is>
      </c>
      <c r="E1015" t="inlineStr">
        <is>
          <t>HÄRJEDALEN</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27136-2023</t>
        </is>
      </c>
      <c r="B1016" s="1" t="n">
        <v>45096</v>
      </c>
      <c r="C1016" s="1" t="n">
        <v>45719</v>
      </c>
      <c r="D1016" t="inlineStr">
        <is>
          <t>JÄMTLANDS LÄN</t>
        </is>
      </c>
      <c r="E1016" t="inlineStr">
        <is>
          <t>HÄRJEDALEN</t>
        </is>
      </c>
      <c r="F1016" t="inlineStr">
        <is>
          <t>Bergvik skog väst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27261-2023</t>
        </is>
      </c>
      <c r="B1017" s="1" t="n">
        <v>45096</v>
      </c>
      <c r="C1017" s="1" t="n">
        <v>45719</v>
      </c>
      <c r="D1017" t="inlineStr">
        <is>
          <t>JÄMTLANDS LÄN</t>
        </is>
      </c>
      <c r="E1017" t="inlineStr">
        <is>
          <t>HÄRJEDALEN</t>
        </is>
      </c>
      <c r="F1017" t="inlineStr">
        <is>
          <t>Bergvik skog väst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27541-2023</t>
        </is>
      </c>
      <c r="B1018" s="1" t="n">
        <v>45097</v>
      </c>
      <c r="C1018" s="1" t="n">
        <v>45719</v>
      </c>
      <c r="D1018" t="inlineStr">
        <is>
          <t>JÄMTLANDS LÄN</t>
        </is>
      </c>
      <c r="E1018" t="inlineStr">
        <is>
          <t>HÄRJEDALEN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27764-2023</t>
        </is>
      </c>
      <c r="B1019" s="1" t="n">
        <v>45098</v>
      </c>
      <c r="C1019" s="1" t="n">
        <v>45719</v>
      </c>
      <c r="D1019" t="inlineStr">
        <is>
          <t>JÄMTLANDS LÄN</t>
        </is>
      </c>
      <c r="E1019" t="inlineStr">
        <is>
          <t>HÄRJEDALEN</t>
        </is>
      </c>
      <c r="G1019" t="n">
        <v>66.40000000000001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27812-2023</t>
        </is>
      </c>
      <c r="B1020" s="1" t="n">
        <v>45098</v>
      </c>
      <c r="C1020" s="1" t="n">
        <v>45719</v>
      </c>
      <c r="D1020" t="inlineStr">
        <is>
          <t>JÄMTLANDS LÄN</t>
        </is>
      </c>
      <c r="E1020" t="inlineStr">
        <is>
          <t>HÄRJEDALEN</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27940-2023</t>
        </is>
      </c>
      <c r="B1021" s="1" t="n">
        <v>45098</v>
      </c>
      <c r="C1021" s="1" t="n">
        <v>45719</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28078-2023</t>
        </is>
      </c>
      <c r="B1022" s="1" t="n">
        <v>45099</v>
      </c>
      <c r="C1022" s="1" t="n">
        <v>45719</v>
      </c>
      <c r="D1022" t="inlineStr">
        <is>
          <t>JÄMTLANDS LÄN</t>
        </is>
      </c>
      <c r="E1022" t="inlineStr">
        <is>
          <t>HÄRJEDALEN</t>
        </is>
      </c>
      <c r="F1022" t="inlineStr">
        <is>
          <t>Bergvik skog väst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28059-2023</t>
        </is>
      </c>
      <c r="B1023" s="1" t="n">
        <v>45099</v>
      </c>
      <c r="C1023" s="1" t="n">
        <v>45719</v>
      </c>
      <c r="D1023" t="inlineStr">
        <is>
          <t>JÄMTLANDS LÄN</t>
        </is>
      </c>
      <c r="E1023" t="inlineStr">
        <is>
          <t>HÄRJEDALEN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28209-2023</t>
        </is>
      </c>
      <c r="B1024" s="1" t="n">
        <v>45099</v>
      </c>
      <c r="C1024" s="1" t="n">
        <v>45719</v>
      </c>
      <c r="D1024" t="inlineStr">
        <is>
          <t>JÄMTLANDS LÄN</t>
        </is>
      </c>
      <c r="E1024" t="inlineStr">
        <is>
          <t>HÄRJEDALEN</t>
        </is>
      </c>
      <c r="F1024" t="inlineStr">
        <is>
          <t>Bergvik skog väst AB</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28802-2023</t>
        </is>
      </c>
      <c r="B1025" s="1" t="n">
        <v>45104</v>
      </c>
      <c r="C1025" s="1" t="n">
        <v>45719</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29067-2023</t>
        </is>
      </c>
      <c r="B1026" s="1" t="n">
        <v>45104</v>
      </c>
      <c r="C1026" s="1" t="n">
        <v>45719</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29194-2023</t>
        </is>
      </c>
      <c r="B1027" s="1" t="n">
        <v>45105</v>
      </c>
      <c r="C1027" s="1" t="n">
        <v>45719</v>
      </c>
      <c r="D1027" t="inlineStr">
        <is>
          <t>JÄMTLANDS LÄN</t>
        </is>
      </c>
      <c r="E1027" t="inlineStr">
        <is>
          <t>HÄRJEDALEN</t>
        </is>
      </c>
      <c r="F1027" t="inlineStr">
        <is>
          <t>Bergvik skog väst AB</t>
        </is>
      </c>
      <c r="G1027" t="n">
        <v>21.4</v>
      </c>
      <c r="H1027" t="n">
        <v>0</v>
      </c>
      <c r="I1027" t="n">
        <v>0</v>
      </c>
      <c r="J1027" t="n">
        <v>0</v>
      </c>
      <c r="K1027" t="n">
        <v>0</v>
      </c>
      <c r="L1027" t="n">
        <v>0</v>
      </c>
      <c r="M1027" t="n">
        <v>0</v>
      </c>
      <c r="N1027" t="n">
        <v>0</v>
      </c>
      <c r="O1027" t="n">
        <v>0</v>
      </c>
      <c r="P1027" t="n">
        <v>0</v>
      </c>
      <c r="Q1027" t="n">
        <v>0</v>
      </c>
      <c r="R1027" s="2" t="inlineStr"/>
    </row>
    <row r="1028" ht="15" customHeight="1">
      <c r="A1028" t="inlineStr">
        <is>
          <t>A 29094-2023</t>
        </is>
      </c>
      <c r="B1028" s="1" t="n">
        <v>45105</v>
      </c>
      <c r="C1028" s="1" t="n">
        <v>45719</v>
      </c>
      <c r="D1028" t="inlineStr">
        <is>
          <t>JÄMTLANDS LÄN</t>
        </is>
      </c>
      <c r="E1028" t="inlineStr">
        <is>
          <t>HÄRJEDALEN</t>
        </is>
      </c>
      <c r="F1028" t="inlineStr">
        <is>
          <t>Bergvik skog väst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29431-2023</t>
        </is>
      </c>
      <c r="B1029" s="1" t="n">
        <v>45106</v>
      </c>
      <c r="C1029" s="1" t="n">
        <v>45719</v>
      </c>
      <c r="D1029" t="inlineStr">
        <is>
          <t>JÄMTLANDS LÄN</t>
        </is>
      </c>
      <c r="E1029" t="inlineStr">
        <is>
          <t>HÄRJEDALEN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29772-2023</t>
        </is>
      </c>
      <c r="B1030" s="1" t="n">
        <v>45107</v>
      </c>
      <c r="C1030" s="1" t="n">
        <v>45719</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30411-2023</t>
        </is>
      </c>
      <c r="B1031" s="1" t="n">
        <v>45111</v>
      </c>
      <c r="C1031" s="1" t="n">
        <v>45719</v>
      </c>
      <c r="D1031" t="inlineStr">
        <is>
          <t>JÄMTLANDS LÄN</t>
        </is>
      </c>
      <c r="E1031" t="inlineStr">
        <is>
          <t>HÄRJEDALEN</t>
        </is>
      </c>
      <c r="F1031" t="inlineStr">
        <is>
          <t>Bergvik skog väst AB</t>
        </is>
      </c>
      <c r="G1031" t="n">
        <v>28.3</v>
      </c>
      <c r="H1031" t="n">
        <v>0</v>
      </c>
      <c r="I1031" t="n">
        <v>0</v>
      </c>
      <c r="J1031" t="n">
        <v>0</v>
      </c>
      <c r="K1031" t="n">
        <v>0</v>
      </c>
      <c r="L1031" t="n">
        <v>0</v>
      </c>
      <c r="M1031" t="n">
        <v>0</v>
      </c>
      <c r="N1031" t="n">
        <v>0</v>
      </c>
      <c r="O1031" t="n">
        <v>0</v>
      </c>
      <c r="P1031" t="n">
        <v>0</v>
      </c>
      <c r="Q1031" t="n">
        <v>0</v>
      </c>
      <c r="R1031" s="2" t="inlineStr"/>
    </row>
    <row r="1032" ht="15" customHeight="1">
      <c r="A1032" t="inlineStr">
        <is>
          <t>A 30435-2023</t>
        </is>
      </c>
      <c r="B1032" s="1" t="n">
        <v>45111</v>
      </c>
      <c r="C1032" s="1" t="n">
        <v>45719</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30751-2023</t>
        </is>
      </c>
      <c r="B1033" s="1" t="n">
        <v>45112</v>
      </c>
      <c r="C1033" s="1" t="n">
        <v>45719</v>
      </c>
      <c r="D1033" t="inlineStr">
        <is>
          <t>JÄMTLANDS LÄN</t>
        </is>
      </c>
      <c r="E1033" t="inlineStr">
        <is>
          <t>HÄRJEDALEN</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30709-2023</t>
        </is>
      </c>
      <c r="B1034" s="1" t="n">
        <v>45112</v>
      </c>
      <c r="C1034" s="1" t="n">
        <v>45719</v>
      </c>
      <c r="D1034" t="inlineStr">
        <is>
          <t>JÄMTLANDS LÄN</t>
        </is>
      </c>
      <c r="E1034" t="inlineStr">
        <is>
          <t>HÄRJEDALEN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30984-2023</t>
        </is>
      </c>
      <c r="B1035" s="1" t="n">
        <v>45113</v>
      </c>
      <c r="C1035" s="1" t="n">
        <v>45719</v>
      </c>
      <c r="D1035" t="inlineStr">
        <is>
          <t>JÄMTLANDS LÄN</t>
        </is>
      </c>
      <c r="E1035" t="inlineStr">
        <is>
          <t>HÄRJEDALEN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31269-2023</t>
        </is>
      </c>
      <c r="B1036" s="1" t="n">
        <v>45114</v>
      </c>
      <c r="C1036" s="1" t="n">
        <v>45719</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31435-2023</t>
        </is>
      </c>
      <c r="B1037" s="1" t="n">
        <v>45114</v>
      </c>
      <c r="C1037" s="1" t="n">
        <v>45719</v>
      </c>
      <c r="D1037" t="inlineStr">
        <is>
          <t>JÄMTLANDS LÄN</t>
        </is>
      </c>
      <c r="E1037" t="inlineStr">
        <is>
          <t>HÄRJEDALEN</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31778-2023</t>
        </is>
      </c>
      <c r="B1038" s="1" t="n">
        <v>45118</v>
      </c>
      <c r="C1038" s="1" t="n">
        <v>45719</v>
      </c>
      <c r="D1038" t="inlineStr">
        <is>
          <t>JÄMTLANDS LÄN</t>
        </is>
      </c>
      <c r="E1038" t="inlineStr">
        <is>
          <t>HÄRJEDALEN</t>
        </is>
      </c>
      <c r="F1038" t="inlineStr">
        <is>
          <t>Bergvik skog väst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31811-2023</t>
        </is>
      </c>
      <c r="B1039" s="1" t="n">
        <v>45118</v>
      </c>
      <c r="C1039" s="1" t="n">
        <v>45719</v>
      </c>
      <c r="D1039" t="inlineStr">
        <is>
          <t>JÄMTLANDS LÄN</t>
        </is>
      </c>
      <c r="E1039" t="inlineStr">
        <is>
          <t>HÄRJEDALEN</t>
        </is>
      </c>
      <c r="F1039" t="inlineStr">
        <is>
          <t>Bergvik skog väst AB</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31910-2023</t>
        </is>
      </c>
      <c r="B1040" s="1" t="n">
        <v>45118</v>
      </c>
      <c r="C1040" s="1" t="n">
        <v>45719</v>
      </c>
      <c r="D1040" t="inlineStr">
        <is>
          <t>JÄMTLANDS LÄN</t>
        </is>
      </c>
      <c r="E1040" t="inlineStr">
        <is>
          <t>HÄRJEDALEN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v>
      </c>
      <c r="C1041" s="1" t="n">
        <v>45719</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31996-2023</t>
        </is>
      </c>
      <c r="B1042" s="1" t="n">
        <v>45119</v>
      </c>
      <c r="C1042" s="1" t="n">
        <v>45719</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31960-2023</t>
        </is>
      </c>
      <c r="B1043" s="1" t="n">
        <v>45119</v>
      </c>
      <c r="C1043" s="1" t="n">
        <v>45719</v>
      </c>
      <c r="D1043" t="inlineStr">
        <is>
          <t>JÄMTLANDS LÄN</t>
        </is>
      </c>
      <c r="E1043" t="inlineStr">
        <is>
          <t>HÄRJEDALEN</t>
        </is>
      </c>
      <c r="F1043" t="inlineStr">
        <is>
          <t>Bergvik skog väst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31956-2023</t>
        </is>
      </c>
      <c r="B1044" s="1" t="n">
        <v>45119</v>
      </c>
      <c r="C1044" s="1" t="n">
        <v>45719</v>
      </c>
      <c r="D1044" t="inlineStr">
        <is>
          <t>JÄMTLANDS LÄN</t>
        </is>
      </c>
      <c r="E1044" t="inlineStr">
        <is>
          <t>HÄRJEDALEN</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31961-2023</t>
        </is>
      </c>
      <c r="B1045" s="1" t="n">
        <v>45119</v>
      </c>
      <c r="C1045" s="1" t="n">
        <v>45719</v>
      </c>
      <c r="D1045" t="inlineStr">
        <is>
          <t>JÄMTLANDS LÄN</t>
        </is>
      </c>
      <c r="E1045" t="inlineStr">
        <is>
          <t>HÄRJEDALEN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33257-2023</t>
        </is>
      </c>
      <c r="B1046" s="1" t="n">
        <v>45127</v>
      </c>
      <c r="C1046" s="1" t="n">
        <v>45719</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33232-2023</t>
        </is>
      </c>
      <c r="B1047" s="1" t="n">
        <v>45127</v>
      </c>
      <c r="C1047" s="1" t="n">
        <v>45719</v>
      </c>
      <c r="D1047" t="inlineStr">
        <is>
          <t>JÄMTLANDS LÄN</t>
        </is>
      </c>
      <c r="E1047" t="inlineStr">
        <is>
          <t>HÄRJEDALEN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33992-2023</t>
        </is>
      </c>
      <c r="B1048" s="1" t="n">
        <v>45134</v>
      </c>
      <c r="C1048" s="1" t="n">
        <v>45719</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34260-2023</t>
        </is>
      </c>
      <c r="B1049" s="1" t="n">
        <v>45138</v>
      </c>
      <c r="C1049" s="1" t="n">
        <v>45719</v>
      </c>
      <c r="D1049" t="inlineStr">
        <is>
          <t>JÄMTLANDS LÄN</t>
        </is>
      </c>
      <c r="E1049" t="inlineStr">
        <is>
          <t>HÄRJEDALEN</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34313-2023</t>
        </is>
      </c>
      <c r="B1050" s="1" t="n">
        <v>45139</v>
      </c>
      <c r="C1050" s="1" t="n">
        <v>45719</v>
      </c>
      <c r="D1050" t="inlineStr">
        <is>
          <t>JÄMTLANDS LÄN</t>
        </is>
      </c>
      <c r="E1050" t="inlineStr">
        <is>
          <t>HÄRJEDALEN</t>
        </is>
      </c>
      <c r="F1050" t="inlineStr">
        <is>
          <t>SCA</t>
        </is>
      </c>
      <c r="G1050" t="n">
        <v>31.6</v>
      </c>
      <c r="H1050" t="n">
        <v>0</v>
      </c>
      <c r="I1050" t="n">
        <v>0</v>
      </c>
      <c r="J1050" t="n">
        <v>0</v>
      </c>
      <c r="K1050" t="n">
        <v>0</v>
      </c>
      <c r="L1050" t="n">
        <v>0</v>
      </c>
      <c r="M1050" t="n">
        <v>0</v>
      </c>
      <c r="N1050" t="n">
        <v>0</v>
      </c>
      <c r="O1050" t="n">
        <v>0</v>
      </c>
      <c r="P1050" t="n">
        <v>0</v>
      </c>
      <c r="Q1050" t="n">
        <v>0</v>
      </c>
      <c r="R1050" s="2" t="inlineStr"/>
    </row>
    <row r="1051" ht="15" customHeight="1">
      <c r="A1051" t="inlineStr">
        <is>
          <t>A 34314-2023</t>
        </is>
      </c>
      <c r="B1051" s="1" t="n">
        <v>45138</v>
      </c>
      <c r="C1051" s="1" t="n">
        <v>45719</v>
      </c>
      <c r="D1051" t="inlineStr">
        <is>
          <t>JÄMTLANDS LÄN</t>
        </is>
      </c>
      <c r="E1051" t="inlineStr">
        <is>
          <t>HÄRJEDALEN</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35396-2023</t>
        </is>
      </c>
      <c r="B1052" s="1" t="n">
        <v>45146</v>
      </c>
      <c r="C1052" s="1" t="n">
        <v>45719</v>
      </c>
      <c r="D1052" t="inlineStr">
        <is>
          <t>JÄMTLANDS LÄN</t>
        </is>
      </c>
      <c r="E1052" t="inlineStr">
        <is>
          <t>HÄRJEDALEN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35813-2023</t>
        </is>
      </c>
      <c r="B1053" s="1" t="n">
        <v>45147</v>
      </c>
      <c r="C1053" s="1" t="n">
        <v>45719</v>
      </c>
      <c r="D1053" t="inlineStr">
        <is>
          <t>JÄMTLANDS LÄN</t>
        </is>
      </c>
      <c r="E1053" t="inlineStr">
        <is>
          <t>HÄRJEDALEN</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35891-2023</t>
        </is>
      </c>
      <c r="B1054" s="1" t="n">
        <v>45148</v>
      </c>
      <c r="C1054" s="1" t="n">
        <v>45719</v>
      </c>
      <c r="D1054" t="inlineStr">
        <is>
          <t>JÄMTLANDS LÄN</t>
        </is>
      </c>
      <c r="E1054" t="inlineStr">
        <is>
          <t>HÄRJEDALEN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36027-2023</t>
        </is>
      </c>
      <c r="B1055" s="1" t="n">
        <v>45149</v>
      </c>
      <c r="C1055" s="1" t="n">
        <v>45719</v>
      </c>
      <c r="D1055" t="inlineStr">
        <is>
          <t>JÄMTLANDS LÄN</t>
        </is>
      </c>
      <c r="E1055" t="inlineStr">
        <is>
          <t>HÄRJEDALEN</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36111-2023</t>
        </is>
      </c>
      <c r="B1056" s="1" t="n">
        <v>45149</v>
      </c>
      <c r="C1056" s="1" t="n">
        <v>45719</v>
      </c>
      <c r="D1056" t="inlineStr">
        <is>
          <t>JÄMTLANDS LÄN</t>
        </is>
      </c>
      <c r="E1056" t="inlineStr">
        <is>
          <t>HÄRJEDALEN</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36143-2023</t>
        </is>
      </c>
      <c r="B1057" s="1" t="n">
        <v>45149</v>
      </c>
      <c r="C1057" s="1" t="n">
        <v>45719</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36570-2023</t>
        </is>
      </c>
      <c r="B1058" s="1" t="n">
        <v>45153</v>
      </c>
      <c r="C1058" s="1" t="n">
        <v>45719</v>
      </c>
      <c r="D1058" t="inlineStr">
        <is>
          <t>JÄMTLANDS LÄN</t>
        </is>
      </c>
      <c r="E1058" t="inlineStr">
        <is>
          <t>HÄRJEDALEN</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36565-2023</t>
        </is>
      </c>
      <c r="B1059" s="1" t="n">
        <v>45153</v>
      </c>
      <c r="C1059" s="1" t="n">
        <v>45719</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36568-2023</t>
        </is>
      </c>
      <c r="B1060" s="1" t="n">
        <v>45153</v>
      </c>
      <c r="C1060" s="1" t="n">
        <v>45719</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36651-2023</t>
        </is>
      </c>
      <c r="B1061" s="1" t="n">
        <v>45153</v>
      </c>
      <c r="C1061" s="1" t="n">
        <v>45719</v>
      </c>
      <c r="D1061" t="inlineStr">
        <is>
          <t>JÄMTLANDS LÄN</t>
        </is>
      </c>
      <c r="E1061" t="inlineStr">
        <is>
          <t>HÄRJEDALEN</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36720-2023</t>
        </is>
      </c>
      <c r="B1062" s="1" t="n">
        <v>45153</v>
      </c>
      <c r="C1062" s="1" t="n">
        <v>45719</v>
      </c>
      <c r="D1062" t="inlineStr">
        <is>
          <t>JÄMTLANDS LÄN</t>
        </is>
      </c>
      <c r="E1062" t="inlineStr">
        <is>
          <t>HÄRJEDALEN</t>
        </is>
      </c>
      <c r="F1062" t="inlineStr">
        <is>
          <t>Bergvik skog väst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36677-2023</t>
        </is>
      </c>
      <c r="B1063" s="1" t="n">
        <v>45153</v>
      </c>
      <c r="C1063" s="1" t="n">
        <v>45719</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36921-2023</t>
        </is>
      </c>
      <c r="B1064" s="1" t="n">
        <v>45154</v>
      </c>
      <c r="C1064" s="1" t="n">
        <v>45719</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36926-2023</t>
        </is>
      </c>
      <c r="B1065" s="1" t="n">
        <v>45154</v>
      </c>
      <c r="C1065" s="1" t="n">
        <v>45719</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36930-2023</t>
        </is>
      </c>
      <c r="B1066" s="1" t="n">
        <v>45154</v>
      </c>
      <c r="C1066" s="1" t="n">
        <v>45719</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36946-2023</t>
        </is>
      </c>
      <c r="B1067" s="1" t="n">
        <v>45154</v>
      </c>
      <c r="C1067" s="1" t="n">
        <v>45719</v>
      </c>
      <c r="D1067" t="inlineStr">
        <is>
          <t>JÄMTLANDS LÄN</t>
        </is>
      </c>
      <c r="E1067" t="inlineStr">
        <is>
          <t>HÄRJEDALEN</t>
        </is>
      </c>
      <c r="F1067" t="inlineStr">
        <is>
          <t>Kyrkan</t>
        </is>
      </c>
      <c r="G1067" t="n">
        <v>43.1</v>
      </c>
      <c r="H1067" t="n">
        <v>0</v>
      </c>
      <c r="I1067" t="n">
        <v>0</v>
      </c>
      <c r="J1067" t="n">
        <v>0</v>
      </c>
      <c r="K1067" t="n">
        <v>0</v>
      </c>
      <c r="L1067" t="n">
        <v>0</v>
      </c>
      <c r="M1067" t="n">
        <v>0</v>
      </c>
      <c r="N1067" t="n">
        <v>0</v>
      </c>
      <c r="O1067" t="n">
        <v>0</v>
      </c>
      <c r="P1067" t="n">
        <v>0</v>
      </c>
      <c r="Q1067" t="n">
        <v>0</v>
      </c>
      <c r="R1067" s="2" t="inlineStr"/>
    </row>
    <row r="1068" ht="15" customHeight="1">
      <c r="A1068" t="inlineStr">
        <is>
          <t>A 36840-2023</t>
        </is>
      </c>
      <c r="B1068" s="1" t="n">
        <v>45154</v>
      </c>
      <c r="C1068" s="1" t="n">
        <v>45719</v>
      </c>
      <c r="D1068" t="inlineStr">
        <is>
          <t>JÄMTLANDS LÄN</t>
        </is>
      </c>
      <c r="E1068" t="inlineStr">
        <is>
          <t>HÄRJEDALEN</t>
        </is>
      </c>
      <c r="G1068" t="n">
        <v>2.8</v>
      </c>
      <c r="H1068" t="n">
        <v>0</v>
      </c>
      <c r="I1068" t="n">
        <v>0</v>
      </c>
      <c r="J1068" t="n">
        <v>0</v>
      </c>
      <c r="K1068" t="n">
        <v>0</v>
      </c>
      <c r="L1068" t="n">
        <v>0</v>
      </c>
      <c r="M1068" t="n">
        <v>0</v>
      </c>
      <c r="N1068" t="n">
        <v>0</v>
      </c>
      <c r="O1068" t="n">
        <v>0</v>
      </c>
      <c r="P1068" t="n">
        <v>0</v>
      </c>
      <c r="Q1068" t="n">
        <v>0</v>
      </c>
      <c r="R1068" s="2" t="inlineStr"/>
      <c r="U1068">
        <f>HYPERLINK("https://klasma.github.io/Logging_2361/knärot/A 36840-2023 karta knärot.png", "A 36840-2023")</f>
        <v/>
      </c>
      <c r="V1068">
        <f>HYPERLINK("https://klasma.github.io/Logging_2361/klagomål/A 36840-2023 FSC-klagomål.docx", "A 36840-2023")</f>
        <v/>
      </c>
      <c r="W1068">
        <f>HYPERLINK("https://klasma.github.io/Logging_2361/klagomålsmail/A 36840-2023 FSC-klagomål mail.docx", "A 36840-2023")</f>
        <v/>
      </c>
      <c r="X1068">
        <f>HYPERLINK("https://klasma.github.io/Logging_2361/tillsyn/A 36840-2023 tillsynsbegäran.docx", "A 36840-2023")</f>
        <v/>
      </c>
      <c r="Y1068">
        <f>HYPERLINK("https://klasma.github.io/Logging_2361/tillsynsmail/A 36840-2023 tillsynsbegäran mail.docx", "A 36840-2023")</f>
        <v/>
      </c>
    </row>
    <row r="1069" ht="15" customHeight="1">
      <c r="A1069" t="inlineStr">
        <is>
          <t>A 37054-2023</t>
        </is>
      </c>
      <c r="B1069" s="1" t="n">
        <v>45154</v>
      </c>
      <c r="C1069" s="1" t="n">
        <v>45719</v>
      </c>
      <c r="D1069" t="inlineStr">
        <is>
          <t>JÄMTLANDS LÄN</t>
        </is>
      </c>
      <c r="E1069" t="inlineStr">
        <is>
          <t>HÄRJEDALEN</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36931-2023</t>
        </is>
      </c>
      <c r="B1070" s="1" t="n">
        <v>45154</v>
      </c>
      <c r="C1070" s="1" t="n">
        <v>45719</v>
      </c>
      <c r="D1070" t="inlineStr">
        <is>
          <t>JÄMTLANDS LÄN</t>
        </is>
      </c>
      <c r="E1070" t="inlineStr">
        <is>
          <t>HÄRJEDALEN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37315-2023</t>
        </is>
      </c>
      <c r="B1071" s="1" t="n">
        <v>45156</v>
      </c>
      <c r="C1071" s="1" t="n">
        <v>45719</v>
      </c>
      <c r="D1071" t="inlineStr">
        <is>
          <t>JÄMTLANDS LÄN</t>
        </is>
      </c>
      <c r="E1071" t="inlineStr">
        <is>
          <t>HÄRJEDALEN</t>
        </is>
      </c>
      <c r="F1071" t="inlineStr">
        <is>
          <t>Bergvik skog väst AB</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37345-2023</t>
        </is>
      </c>
      <c r="B1072" s="1" t="n">
        <v>45156</v>
      </c>
      <c r="C1072" s="1" t="n">
        <v>45719</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37365-2023</t>
        </is>
      </c>
      <c r="B1073" s="1" t="n">
        <v>45156</v>
      </c>
      <c r="C1073" s="1" t="n">
        <v>45719</v>
      </c>
      <c r="D1073" t="inlineStr">
        <is>
          <t>JÄMTLANDS LÄN</t>
        </is>
      </c>
      <c r="E1073" t="inlineStr">
        <is>
          <t>HÄRJEDALEN</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37363-2023</t>
        </is>
      </c>
      <c r="B1074" s="1" t="n">
        <v>45156</v>
      </c>
      <c r="C1074" s="1" t="n">
        <v>45719</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37638-2023</t>
        </is>
      </c>
      <c r="B1075" s="1" t="n">
        <v>45159</v>
      </c>
      <c r="C1075" s="1" t="n">
        <v>45719</v>
      </c>
      <c r="D1075" t="inlineStr">
        <is>
          <t>JÄMTLANDS LÄN</t>
        </is>
      </c>
      <c r="E1075" t="inlineStr">
        <is>
          <t>HÄRJEDALEN</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37764-2023</t>
        </is>
      </c>
      <c r="B1076" s="1" t="n">
        <v>45159</v>
      </c>
      <c r="C1076" s="1" t="n">
        <v>45719</v>
      </c>
      <c r="D1076" t="inlineStr">
        <is>
          <t>JÄMTLANDS LÄN</t>
        </is>
      </c>
      <c r="E1076" t="inlineStr">
        <is>
          <t>HÄRJEDALEN</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37715-2023</t>
        </is>
      </c>
      <c r="B1077" s="1" t="n">
        <v>45159</v>
      </c>
      <c r="C1077" s="1" t="n">
        <v>45719</v>
      </c>
      <c r="D1077" t="inlineStr">
        <is>
          <t>JÄMTLANDS LÄN</t>
        </is>
      </c>
      <c r="E1077" t="inlineStr">
        <is>
          <t>HÄRJEDALEN</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37719-2023</t>
        </is>
      </c>
      <c r="B1078" s="1" t="n">
        <v>45159</v>
      </c>
      <c r="C1078" s="1" t="n">
        <v>45719</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37747-2023</t>
        </is>
      </c>
      <c r="B1079" s="1" t="n">
        <v>45159</v>
      </c>
      <c r="C1079" s="1" t="n">
        <v>45719</v>
      </c>
      <c r="D1079" t="inlineStr">
        <is>
          <t>JÄMTLANDS LÄN</t>
        </is>
      </c>
      <c r="E1079" t="inlineStr">
        <is>
          <t>HÄRJEDALEN</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37762-2023</t>
        </is>
      </c>
      <c r="B1080" s="1" t="n">
        <v>45159</v>
      </c>
      <c r="C1080" s="1" t="n">
        <v>45719</v>
      </c>
      <c r="D1080" t="inlineStr">
        <is>
          <t>JÄMTLANDS LÄN</t>
        </is>
      </c>
      <c r="E1080" t="inlineStr">
        <is>
          <t>HÄRJEDALEN</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38683-2023</t>
        </is>
      </c>
      <c r="B1081" s="1" t="n">
        <v>45162</v>
      </c>
      <c r="C1081" s="1" t="n">
        <v>45719</v>
      </c>
      <c r="D1081" t="inlineStr">
        <is>
          <t>JÄMTLANDS LÄN</t>
        </is>
      </c>
      <c r="E1081" t="inlineStr">
        <is>
          <t>HÄRJEDALEN</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38929-2023</t>
        </is>
      </c>
      <c r="B1082" s="1" t="n">
        <v>45163</v>
      </c>
      <c r="C1082" s="1" t="n">
        <v>45719</v>
      </c>
      <c r="D1082" t="inlineStr">
        <is>
          <t>JÄMTLANDS LÄN</t>
        </is>
      </c>
      <c r="E1082" t="inlineStr">
        <is>
          <t>HÄRJEDALEN</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39158-2023</t>
        </is>
      </c>
      <c r="B1083" s="1" t="n">
        <v>45166</v>
      </c>
      <c r="C1083" s="1" t="n">
        <v>45719</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39355-2023</t>
        </is>
      </c>
      <c r="B1084" s="1" t="n">
        <v>45166</v>
      </c>
      <c r="C1084" s="1" t="n">
        <v>45719</v>
      </c>
      <c r="D1084" t="inlineStr">
        <is>
          <t>JÄMTLANDS LÄN</t>
        </is>
      </c>
      <c r="E1084" t="inlineStr">
        <is>
          <t>HÄRJEDALEN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39614-2023</t>
        </is>
      </c>
      <c r="B1085" s="1" t="n">
        <v>45167</v>
      </c>
      <c r="C1085" s="1" t="n">
        <v>45719</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39612-2023</t>
        </is>
      </c>
      <c r="B1086" s="1" t="n">
        <v>45167</v>
      </c>
      <c r="C1086" s="1" t="n">
        <v>45719</v>
      </c>
      <c r="D1086" t="inlineStr">
        <is>
          <t>JÄMTLANDS LÄN</t>
        </is>
      </c>
      <c r="E1086" t="inlineStr">
        <is>
          <t>HÄRJEDALEN</t>
        </is>
      </c>
      <c r="F1086" t="inlineStr">
        <is>
          <t>Bergvik skog väst AB</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39649-2023</t>
        </is>
      </c>
      <c r="B1087" s="1" t="n">
        <v>45167</v>
      </c>
      <c r="C1087" s="1" t="n">
        <v>45719</v>
      </c>
      <c r="D1087" t="inlineStr">
        <is>
          <t>JÄMTLANDS LÄN</t>
        </is>
      </c>
      <c r="E1087" t="inlineStr">
        <is>
          <t>HÄRJEDALEN</t>
        </is>
      </c>
      <c r="F1087" t="inlineStr">
        <is>
          <t>Bergvik skog väst AB</t>
        </is>
      </c>
      <c r="G1087" t="n">
        <v>23.6</v>
      </c>
      <c r="H1087" t="n">
        <v>0</v>
      </c>
      <c r="I1087" t="n">
        <v>0</v>
      </c>
      <c r="J1087" t="n">
        <v>0</v>
      </c>
      <c r="K1087" t="n">
        <v>0</v>
      </c>
      <c r="L1087" t="n">
        <v>0</v>
      </c>
      <c r="M1087" t="n">
        <v>0</v>
      </c>
      <c r="N1087" t="n">
        <v>0</v>
      </c>
      <c r="O1087" t="n">
        <v>0</v>
      </c>
      <c r="P1087" t="n">
        <v>0</v>
      </c>
      <c r="Q1087" t="n">
        <v>0</v>
      </c>
      <c r="R1087" s="2" t="inlineStr"/>
      <c r="U1087">
        <f>HYPERLINK("https://klasma.github.io/Logging_2361/knärot/A 39649-2023 karta knärot.png", "A 39649-2023")</f>
        <v/>
      </c>
      <c r="V1087">
        <f>HYPERLINK("https://klasma.github.io/Logging_2361/klagomål/A 39649-2023 FSC-klagomål.docx", "A 39649-2023")</f>
        <v/>
      </c>
      <c r="W1087">
        <f>HYPERLINK("https://klasma.github.io/Logging_2361/klagomålsmail/A 39649-2023 FSC-klagomål mail.docx", "A 39649-2023")</f>
        <v/>
      </c>
      <c r="X1087">
        <f>HYPERLINK("https://klasma.github.io/Logging_2361/tillsyn/A 39649-2023 tillsynsbegäran.docx", "A 39649-2023")</f>
        <v/>
      </c>
      <c r="Y1087">
        <f>HYPERLINK("https://klasma.github.io/Logging_2361/tillsynsmail/A 39649-2023 tillsynsbegäran mail.docx", "A 39649-2023")</f>
        <v/>
      </c>
    </row>
    <row r="1088" ht="15" customHeight="1">
      <c r="A1088" t="inlineStr">
        <is>
          <t>A 40215-2023</t>
        </is>
      </c>
      <c r="B1088" s="1" t="n">
        <v>45169</v>
      </c>
      <c r="C1088" s="1" t="n">
        <v>45719</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40217-2023</t>
        </is>
      </c>
      <c r="B1089" s="1" t="n">
        <v>45169</v>
      </c>
      <c r="C1089" s="1" t="n">
        <v>45719</v>
      </c>
      <c r="D1089" t="inlineStr">
        <is>
          <t>JÄMTLANDS LÄN</t>
        </is>
      </c>
      <c r="E1089" t="inlineStr">
        <is>
          <t>HÄRJEDALEN</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40560-2023</t>
        </is>
      </c>
      <c r="B1090" s="1" t="n">
        <v>45170</v>
      </c>
      <c r="C1090" s="1" t="n">
        <v>45719</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v>
      </c>
      <c r="C1091" s="1" t="n">
        <v>45719</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40578-2023</t>
        </is>
      </c>
      <c r="B1092" s="1" t="n">
        <v>45170</v>
      </c>
      <c r="C1092" s="1" t="n">
        <v>45719</v>
      </c>
      <c r="D1092" t="inlineStr">
        <is>
          <t>JÄMTLANDS LÄN</t>
        </is>
      </c>
      <c r="E1092" t="inlineStr">
        <is>
          <t>HÄRJEDALEN</t>
        </is>
      </c>
      <c r="F1092" t="inlineStr">
        <is>
          <t>Holmen skog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40664-2023</t>
        </is>
      </c>
      <c r="B1093" s="1" t="n">
        <v>45170</v>
      </c>
      <c r="C1093" s="1" t="n">
        <v>45719</v>
      </c>
      <c r="D1093" t="inlineStr">
        <is>
          <t>JÄMTLANDS LÄN</t>
        </is>
      </c>
      <c r="E1093" t="inlineStr">
        <is>
          <t>HÄRJEDALEN</t>
        </is>
      </c>
      <c r="G1093" t="n">
        <v>65.3</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v>
      </c>
      <c r="C1094" s="1" t="n">
        <v>45719</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40573-2023</t>
        </is>
      </c>
      <c r="B1095" s="1" t="n">
        <v>45170</v>
      </c>
      <c r="C1095" s="1" t="n">
        <v>45719</v>
      </c>
      <c r="D1095" t="inlineStr">
        <is>
          <t>JÄMTLANDS LÄN</t>
        </is>
      </c>
      <c r="E1095" t="inlineStr">
        <is>
          <t>HÄRJEDALEN</t>
        </is>
      </c>
      <c r="F1095" t="inlineStr">
        <is>
          <t>Holmen skog AB</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40900-2023</t>
        </is>
      </c>
      <c r="B1096" s="1" t="n">
        <v>45173</v>
      </c>
      <c r="C1096" s="1" t="n">
        <v>45719</v>
      </c>
      <c r="D1096" t="inlineStr">
        <is>
          <t>JÄMTLANDS LÄN</t>
        </is>
      </c>
      <c r="E1096" t="inlineStr">
        <is>
          <t>HÄRJEDALEN</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40904-2023</t>
        </is>
      </c>
      <c r="B1097" s="1" t="n">
        <v>45173</v>
      </c>
      <c r="C1097" s="1" t="n">
        <v>45719</v>
      </c>
      <c r="D1097" t="inlineStr">
        <is>
          <t>JÄMTLANDS LÄN</t>
        </is>
      </c>
      <c r="E1097" t="inlineStr">
        <is>
          <t>HÄRJEDALEN</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41058-2023</t>
        </is>
      </c>
      <c r="B1098" s="1" t="n">
        <v>45173</v>
      </c>
      <c r="C1098" s="1" t="n">
        <v>45719</v>
      </c>
      <c r="D1098" t="inlineStr">
        <is>
          <t>JÄMTLANDS LÄN</t>
        </is>
      </c>
      <c r="E1098" t="inlineStr">
        <is>
          <t>HÄRJEDALEN</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41094-2023</t>
        </is>
      </c>
      <c r="B1099" s="1" t="n">
        <v>45173</v>
      </c>
      <c r="C1099" s="1" t="n">
        <v>45719</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41955-2023</t>
        </is>
      </c>
      <c r="B1100" s="1" t="n">
        <v>45174</v>
      </c>
      <c r="C1100" s="1" t="n">
        <v>45719</v>
      </c>
      <c r="D1100" t="inlineStr">
        <is>
          <t>JÄMTLANDS LÄN</t>
        </is>
      </c>
      <c r="E1100" t="inlineStr">
        <is>
          <t>HÄRJEDALEN</t>
        </is>
      </c>
      <c r="G1100" t="n">
        <v>60.4</v>
      </c>
      <c r="H1100" t="n">
        <v>0</v>
      </c>
      <c r="I1100" t="n">
        <v>0</v>
      </c>
      <c r="J1100" t="n">
        <v>0</v>
      </c>
      <c r="K1100" t="n">
        <v>0</v>
      </c>
      <c r="L1100" t="n">
        <v>0</v>
      </c>
      <c r="M1100" t="n">
        <v>0</v>
      </c>
      <c r="N1100" t="n">
        <v>0</v>
      </c>
      <c r="O1100" t="n">
        <v>0</v>
      </c>
      <c r="P1100" t="n">
        <v>0</v>
      </c>
      <c r="Q1100" t="n">
        <v>0</v>
      </c>
      <c r="R1100" s="2" t="inlineStr"/>
    </row>
    <row r="1101" ht="15" customHeight="1">
      <c r="A1101" t="inlineStr">
        <is>
          <t>A 42146-2023</t>
        </is>
      </c>
      <c r="B1101" s="1" t="n">
        <v>45178</v>
      </c>
      <c r="C1101" s="1" t="n">
        <v>45719</v>
      </c>
      <c r="D1101" t="inlineStr">
        <is>
          <t>JÄMTLANDS LÄN</t>
        </is>
      </c>
      <c r="E1101" t="inlineStr">
        <is>
          <t>HÄRJEDALEN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42143-2023</t>
        </is>
      </c>
      <c r="B1102" s="1" t="n">
        <v>45178</v>
      </c>
      <c r="C1102" s="1" t="n">
        <v>45719</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43192-2023</t>
        </is>
      </c>
      <c r="B1103" s="1" t="n">
        <v>45180</v>
      </c>
      <c r="C1103" s="1" t="n">
        <v>45719</v>
      </c>
      <c r="D1103" t="inlineStr">
        <is>
          <t>JÄMTLANDS LÄN</t>
        </is>
      </c>
      <c r="E1103" t="inlineStr">
        <is>
          <t>HÄRJEDALEN</t>
        </is>
      </c>
      <c r="F1103" t="inlineStr">
        <is>
          <t>Övriga Aktiebolag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43211-2023</t>
        </is>
      </c>
      <c r="B1104" s="1" t="n">
        <v>45180</v>
      </c>
      <c r="C1104" s="1" t="n">
        <v>45719</v>
      </c>
      <c r="D1104" t="inlineStr">
        <is>
          <t>JÄMTLANDS LÄN</t>
        </is>
      </c>
      <c r="E1104" t="inlineStr">
        <is>
          <t>HÄRJEDALEN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42720-2023</t>
        </is>
      </c>
      <c r="B1105" s="1" t="n">
        <v>45181</v>
      </c>
      <c r="C1105" s="1" t="n">
        <v>45719</v>
      </c>
      <c r="D1105" t="inlineStr">
        <is>
          <t>JÄMTLANDS LÄN</t>
        </is>
      </c>
      <c r="E1105" t="inlineStr">
        <is>
          <t>HÄRJEDALEN</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43503-2023</t>
        </is>
      </c>
      <c r="B1106" s="1" t="n">
        <v>45184</v>
      </c>
      <c r="C1106" s="1" t="n">
        <v>45719</v>
      </c>
      <c r="D1106" t="inlineStr">
        <is>
          <t>JÄMTLANDS LÄN</t>
        </is>
      </c>
      <c r="E1106" t="inlineStr">
        <is>
          <t>HÄRJEDALEN</t>
        </is>
      </c>
      <c r="F1106" t="inlineStr">
        <is>
          <t>Bergvik skog väst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43481-2023</t>
        </is>
      </c>
      <c r="B1107" s="1" t="n">
        <v>45184</v>
      </c>
      <c r="C1107" s="1" t="n">
        <v>45719</v>
      </c>
      <c r="D1107" t="inlineStr">
        <is>
          <t>JÄMTLANDS LÄN</t>
        </is>
      </c>
      <c r="E1107" t="inlineStr">
        <is>
          <t>HÄRJEDALEN</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43870-2023</t>
        </is>
      </c>
      <c r="B1108" s="1" t="n">
        <v>45187</v>
      </c>
      <c r="C1108" s="1" t="n">
        <v>45719</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43804-2023</t>
        </is>
      </c>
      <c r="B1109" s="1" t="n">
        <v>45187</v>
      </c>
      <c r="C1109" s="1" t="n">
        <v>45719</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43811-2023</t>
        </is>
      </c>
      <c r="B1110" s="1" t="n">
        <v>45187</v>
      </c>
      <c r="C1110" s="1" t="n">
        <v>45719</v>
      </c>
      <c r="D1110" t="inlineStr">
        <is>
          <t>JÄMTLANDS LÄN</t>
        </is>
      </c>
      <c r="E1110" t="inlineStr">
        <is>
          <t>HÄRJEDALEN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43820-2023</t>
        </is>
      </c>
      <c r="B1111" s="1" t="n">
        <v>45187</v>
      </c>
      <c r="C1111" s="1" t="n">
        <v>45719</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44102-2023</t>
        </is>
      </c>
      <c r="B1112" s="1" t="n">
        <v>45188</v>
      </c>
      <c r="C1112" s="1" t="n">
        <v>45719</v>
      </c>
      <c r="D1112" t="inlineStr">
        <is>
          <t>JÄMTLANDS LÄN</t>
        </is>
      </c>
      <c r="E1112" t="inlineStr">
        <is>
          <t>HÄRJEDALEN</t>
        </is>
      </c>
      <c r="F1112" t="inlineStr">
        <is>
          <t>Bergvik skog väst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44270-2023</t>
        </is>
      </c>
      <c r="B1113" s="1" t="n">
        <v>45188</v>
      </c>
      <c r="C1113" s="1" t="n">
        <v>45719</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45640-2023</t>
        </is>
      </c>
      <c r="B1114" s="1" t="n">
        <v>45188</v>
      </c>
      <c r="C1114" s="1" t="n">
        <v>45719</v>
      </c>
      <c r="D1114" t="inlineStr">
        <is>
          <t>JÄMTLANDS LÄN</t>
        </is>
      </c>
      <c r="E1114" t="inlineStr">
        <is>
          <t>HÄRJEDALEN</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45179-2023</t>
        </is>
      </c>
      <c r="B1115" s="1" t="n">
        <v>45191</v>
      </c>
      <c r="C1115" s="1" t="n">
        <v>45719</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45143-2023</t>
        </is>
      </c>
      <c r="B1116" s="1" t="n">
        <v>45191</v>
      </c>
      <c r="C1116" s="1" t="n">
        <v>45719</v>
      </c>
      <c r="D1116" t="inlineStr">
        <is>
          <t>JÄMTLANDS LÄN</t>
        </is>
      </c>
      <c r="E1116" t="inlineStr">
        <is>
          <t>HÄRJEDALEN</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45274-2023</t>
        </is>
      </c>
      <c r="B1117" s="1" t="n">
        <v>45191</v>
      </c>
      <c r="C1117" s="1" t="n">
        <v>45719</v>
      </c>
      <c r="D1117" t="inlineStr">
        <is>
          <t>JÄMTLANDS LÄN</t>
        </is>
      </c>
      <c r="E1117" t="inlineStr">
        <is>
          <t>HÄRJEDALEN</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45491-2023</t>
        </is>
      </c>
      <c r="B1118" s="1" t="n">
        <v>45194</v>
      </c>
      <c r="C1118" s="1" t="n">
        <v>45719</v>
      </c>
      <c r="D1118" t="inlineStr">
        <is>
          <t>JÄMTLANDS LÄN</t>
        </is>
      </c>
      <c r="E1118" t="inlineStr">
        <is>
          <t>HÄRJEDALEN</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45495-2023</t>
        </is>
      </c>
      <c r="B1119" s="1" t="n">
        <v>45194</v>
      </c>
      <c r="C1119" s="1" t="n">
        <v>45719</v>
      </c>
      <c r="D1119" t="inlineStr">
        <is>
          <t>JÄMTLANDS LÄN</t>
        </is>
      </c>
      <c r="E1119" t="inlineStr">
        <is>
          <t>HÄRJEDALEN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45613-2023</t>
        </is>
      </c>
      <c r="B1120" s="1" t="n">
        <v>45194</v>
      </c>
      <c r="C1120" s="1" t="n">
        <v>45719</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45636-2023</t>
        </is>
      </c>
      <c r="B1121" s="1" t="n">
        <v>45194</v>
      </c>
      <c r="C1121" s="1" t="n">
        <v>45719</v>
      </c>
      <c r="D1121" t="inlineStr">
        <is>
          <t>JÄMTLANDS LÄN</t>
        </is>
      </c>
      <c r="E1121" t="inlineStr">
        <is>
          <t>HÄRJEDALEN</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45616-2023</t>
        </is>
      </c>
      <c r="B1122" s="1" t="n">
        <v>45194</v>
      </c>
      <c r="C1122" s="1" t="n">
        <v>45719</v>
      </c>
      <c r="D1122" t="inlineStr">
        <is>
          <t>JÄMTLANDS LÄN</t>
        </is>
      </c>
      <c r="E1122" t="inlineStr">
        <is>
          <t>HÄRJEDALEN</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45684-2023</t>
        </is>
      </c>
      <c r="B1123" s="1" t="n">
        <v>45195</v>
      </c>
      <c r="C1123" s="1" t="n">
        <v>45719</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45716-2023</t>
        </is>
      </c>
      <c r="B1124" s="1" t="n">
        <v>45195</v>
      </c>
      <c r="C1124" s="1" t="n">
        <v>45719</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45720-2023</t>
        </is>
      </c>
      <c r="B1125" s="1" t="n">
        <v>45195</v>
      </c>
      <c r="C1125" s="1" t="n">
        <v>45719</v>
      </c>
      <c r="D1125" t="inlineStr">
        <is>
          <t>JÄMTLANDS LÄN</t>
        </is>
      </c>
      <c r="E1125" t="inlineStr">
        <is>
          <t>HÄRJEDALEN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45747-2023</t>
        </is>
      </c>
      <c r="B1126" s="1" t="n">
        <v>45195</v>
      </c>
      <c r="C1126" s="1" t="n">
        <v>45719</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45864-2023</t>
        </is>
      </c>
      <c r="B1127" s="1" t="n">
        <v>45195</v>
      </c>
      <c r="C1127" s="1" t="n">
        <v>45719</v>
      </c>
      <c r="D1127" t="inlineStr">
        <is>
          <t>JÄMTLANDS LÄN</t>
        </is>
      </c>
      <c r="E1127" t="inlineStr">
        <is>
          <t>HÄRJEDALEN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45843-2023</t>
        </is>
      </c>
      <c r="B1128" s="1" t="n">
        <v>45195</v>
      </c>
      <c r="C1128" s="1" t="n">
        <v>45719</v>
      </c>
      <c r="D1128" t="inlineStr">
        <is>
          <t>JÄMTLANDS LÄN</t>
        </is>
      </c>
      <c r="E1128" t="inlineStr">
        <is>
          <t>HÄRJEDALEN</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45719</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46383-2023</t>
        </is>
      </c>
      <c r="B1130" s="1" t="n">
        <v>45197</v>
      </c>
      <c r="C1130" s="1" t="n">
        <v>45719</v>
      </c>
      <c r="D1130" t="inlineStr">
        <is>
          <t>JÄMTLANDS LÄN</t>
        </is>
      </c>
      <c r="E1130" t="inlineStr">
        <is>
          <t>HÄRJEDALEN</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46394-2023</t>
        </is>
      </c>
      <c r="B1131" s="1" t="n">
        <v>45197</v>
      </c>
      <c r="C1131" s="1" t="n">
        <v>45719</v>
      </c>
      <c r="D1131" t="inlineStr">
        <is>
          <t>JÄMTLANDS LÄN</t>
        </is>
      </c>
      <c r="E1131" t="inlineStr">
        <is>
          <t>HÄRJEDALEN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46977-2023</t>
        </is>
      </c>
      <c r="B1132" s="1" t="n">
        <v>45201</v>
      </c>
      <c r="C1132" s="1" t="n">
        <v>45719</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46993-2023</t>
        </is>
      </c>
      <c r="B1133" s="1" t="n">
        <v>45201</v>
      </c>
      <c r="C1133" s="1" t="n">
        <v>45719</v>
      </c>
      <c r="D1133" t="inlineStr">
        <is>
          <t>JÄMTLANDS LÄN</t>
        </is>
      </c>
      <c r="E1133" t="inlineStr">
        <is>
          <t>HÄRJEDALEN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47095-2023</t>
        </is>
      </c>
      <c r="B1134" s="1" t="n">
        <v>45201</v>
      </c>
      <c r="C1134" s="1" t="n">
        <v>45719</v>
      </c>
      <c r="D1134" t="inlineStr">
        <is>
          <t>JÄMTLANDS LÄN</t>
        </is>
      </c>
      <c r="E1134" t="inlineStr">
        <is>
          <t>HÄRJEDALEN</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47244-2023</t>
        </is>
      </c>
      <c r="B1135" s="1" t="n">
        <v>45202</v>
      </c>
      <c r="C1135" s="1" t="n">
        <v>45719</v>
      </c>
      <c r="D1135" t="inlineStr">
        <is>
          <t>JÄMTLANDS LÄN</t>
        </is>
      </c>
      <c r="E1135" t="inlineStr">
        <is>
          <t>HÄRJEDALEN</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47546-2023</t>
        </is>
      </c>
      <c r="B1136" s="1" t="n">
        <v>45203</v>
      </c>
      <c r="C1136" s="1" t="n">
        <v>45719</v>
      </c>
      <c r="D1136" t="inlineStr">
        <is>
          <t>JÄMTLANDS LÄN</t>
        </is>
      </c>
      <c r="E1136" t="inlineStr">
        <is>
          <t>HÄRJEDALEN</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47705-2023</t>
        </is>
      </c>
      <c r="B1137" s="1" t="n">
        <v>45203</v>
      </c>
      <c r="C1137" s="1" t="n">
        <v>45719</v>
      </c>
      <c r="D1137" t="inlineStr">
        <is>
          <t>JÄMTLANDS LÄN</t>
        </is>
      </c>
      <c r="E1137" t="inlineStr">
        <is>
          <t>HÄRJEDALEN</t>
        </is>
      </c>
      <c r="F1137" t="inlineStr">
        <is>
          <t>Bergvik skog väst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47510-2023</t>
        </is>
      </c>
      <c r="B1138" s="1" t="n">
        <v>45203</v>
      </c>
      <c r="C1138" s="1" t="n">
        <v>45719</v>
      </c>
      <c r="D1138" t="inlineStr">
        <is>
          <t>JÄMTLANDS LÄN</t>
        </is>
      </c>
      <c r="E1138" t="inlineStr">
        <is>
          <t>HÄRJEDALEN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47795-2023</t>
        </is>
      </c>
      <c r="B1139" s="1" t="n">
        <v>45204</v>
      </c>
      <c r="C1139" s="1" t="n">
        <v>45719</v>
      </c>
      <c r="D1139" t="inlineStr">
        <is>
          <t>JÄMTLANDS LÄN</t>
        </is>
      </c>
      <c r="E1139" t="inlineStr">
        <is>
          <t>HÄRJEDALEN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48669-2023</t>
        </is>
      </c>
      <c r="B1140" s="1" t="n">
        <v>45203</v>
      </c>
      <c r="C1140" s="1" t="n">
        <v>45719</v>
      </c>
      <c r="D1140" t="inlineStr">
        <is>
          <t>JÄMTLANDS LÄN</t>
        </is>
      </c>
      <c r="E1140" t="inlineStr">
        <is>
          <t>HÄRJEDALEN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47955-2023</t>
        </is>
      </c>
      <c r="B1141" s="1" t="n">
        <v>45204</v>
      </c>
      <c r="C1141" s="1" t="n">
        <v>45719</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45719</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48050-2023</t>
        </is>
      </c>
      <c r="B1143" s="1" t="n">
        <v>45204</v>
      </c>
      <c r="C1143" s="1" t="n">
        <v>45719</v>
      </c>
      <c r="D1143" t="inlineStr">
        <is>
          <t>JÄMTLANDS LÄN</t>
        </is>
      </c>
      <c r="E1143" t="inlineStr">
        <is>
          <t>HÄRJEDALEN</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48048-2023</t>
        </is>
      </c>
      <c r="B1144" s="1" t="n">
        <v>45204</v>
      </c>
      <c r="C1144" s="1" t="n">
        <v>45719</v>
      </c>
      <c r="D1144" t="inlineStr">
        <is>
          <t>JÄMTLANDS LÄN</t>
        </is>
      </c>
      <c r="E1144" t="inlineStr">
        <is>
          <t>HÄRJEDALEN</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48100-2023</t>
        </is>
      </c>
      <c r="B1145" s="1" t="n">
        <v>45205</v>
      </c>
      <c r="C1145" s="1" t="n">
        <v>45719</v>
      </c>
      <c r="D1145" t="inlineStr">
        <is>
          <t>JÄMTLANDS LÄN</t>
        </is>
      </c>
      <c r="E1145" t="inlineStr">
        <is>
          <t>HÄRJEDALEN</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48213-2023</t>
        </is>
      </c>
      <c r="B1146" s="1" t="n">
        <v>45205</v>
      </c>
      <c r="C1146" s="1" t="n">
        <v>45719</v>
      </c>
      <c r="D1146" t="inlineStr">
        <is>
          <t>JÄMTLANDS LÄN</t>
        </is>
      </c>
      <c r="E1146" t="inlineStr">
        <is>
          <t>HÄRJEDALEN</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48179-2023</t>
        </is>
      </c>
      <c r="B1147" s="1" t="n">
        <v>45205</v>
      </c>
      <c r="C1147" s="1" t="n">
        <v>45719</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48299-2023</t>
        </is>
      </c>
      <c r="B1148" s="1" t="n">
        <v>45205</v>
      </c>
      <c r="C1148" s="1" t="n">
        <v>45719</v>
      </c>
      <c r="D1148" t="inlineStr">
        <is>
          <t>JÄMTLANDS LÄN</t>
        </is>
      </c>
      <c r="E1148" t="inlineStr">
        <is>
          <t>HÄRJEDALEN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48318-2023</t>
        </is>
      </c>
      <c r="B1149" s="1" t="n">
        <v>45205</v>
      </c>
      <c r="C1149" s="1" t="n">
        <v>45719</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48226-2023</t>
        </is>
      </c>
      <c r="B1150" s="1" t="n">
        <v>45205</v>
      </c>
      <c r="C1150" s="1" t="n">
        <v>45719</v>
      </c>
      <c r="D1150" t="inlineStr">
        <is>
          <t>JÄMTLANDS LÄN</t>
        </is>
      </c>
      <c r="E1150" t="inlineStr">
        <is>
          <t>HÄRJEDALEN</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48364-2023</t>
        </is>
      </c>
      <c r="B1151" s="1" t="n">
        <v>45205</v>
      </c>
      <c r="C1151" s="1" t="n">
        <v>45719</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48438-2023</t>
        </is>
      </c>
      <c r="B1152" s="1" t="n">
        <v>45205</v>
      </c>
      <c r="C1152" s="1" t="n">
        <v>45719</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48201-2023</t>
        </is>
      </c>
      <c r="B1153" s="1" t="n">
        <v>45205</v>
      </c>
      <c r="C1153" s="1" t="n">
        <v>45719</v>
      </c>
      <c r="D1153" t="inlineStr">
        <is>
          <t>JÄMTLANDS LÄN</t>
        </is>
      </c>
      <c r="E1153" t="inlineStr">
        <is>
          <t>HÄRJEDALEN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48485-2023</t>
        </is>
      </c>
      <c r="B1154" s="1" t="n">
        <v>45206</v>
      </c>
      <c r="C1154" s="1" t="n">
        <v>45719</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48583-2023</t>
        </is>
      </c>
      <c r="B1155" s="1" t="n">
        <v>45208</v>
      </c>
      <c r="C1155" s="1" t="n">
        <v>45719</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48675-2023</t>
        </is>
      </c>
      <c r="B1156" s="1" t="n">
        <v>45208</v>
      </c>
      <c r="C1156" s="1" t="n">
        <v>45719</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48689-2023</t>
        </is>
      </c>
      <c r="B1157" s="1" t="n">
        <v>45208</v>
      </c>
      <c r="C1157" s="1" t="n">
        <v>45719</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48708-2023</t>
        </is>
      </c>
      <c r="B1158" s="1" t="n">
        <v>45208</v>
      </c>
      <c r="C1158" s="1" t="n">
        <v>45719</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48854-2023</t>
        </is>
      </c>
      <c r="B1159" s="1" t="n">
        <v>45209</v>
      </c>
      <c r="C1159" s="1" t="n">
        <v>45719</v>
      </c>
      <c r="D1159" t="inlineStr">
        <is>
          <t>JÄMTLANDS LÄN</t>
        </is>
      </c>
      <c r="E1159" t="inlineStr">
        <is>
          <t>HÄRJEDALEN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48867-2023</t>
        </is>
      </c>
      <c r="B1160" s="1" t="n">
        <v>45209</v>
      </c>
      <c r="C1160" s="1" t="n">
        <v>45719</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49120-2023</t>
        </is>
      </c>
      <c r="B1161" s="1" t="n">
        <v>45210</v>
      </c>
      <c r="C1161" s="1" t="n">
        <v>45719</v>
      </c>
      <c r="D1161" t="inlineStr">
        <is>
          <t>JÄMTLANDS LÄN</t>
        </is>
      </c>
      <c r="E1161" t="inlineStr">
        <is>
          <t>HÄRJEDALEN</t>
        </is>
      </c>
      <c r="G1161" t="n">
        <v>38.2</v>
      </c>
      <c r="H1161" t="n">
        <v>0</v>
      </c>
      <c r="I1161" t="n">
        <v>0</v>
      </c>
      <c r="J1161" t="n">
        <v>0</v>
      </c>
      <c r="K1161" t="n">
        <v>0</v>
      </c>
      <c r="L1161" t="n">
        <v>0</v>
      </c>
      <c r="M1161" t="n">
        <v>0</v>
      </c>
      <c r="N1161" t="n">
        <v>0</v>
      </c>
      <c r="O1161" t="n">
        <v>0</v>
      </c>
      <c r="P1161" t="n">
        <v>0</v>
      </c>
      <c r="Q1161" t="n">
        <v>0</v>
      </c>
      <c r="R1161" s="2" t="inlineStr"/>
    </row>
    <row r="1162" ht="15" customHeight="1">
      <c r="A1162" t="inlineStr">
        <is>
          <t>A 49134-2023</t>
        </is>
      </c>
      <c r="B1162" s="1" t="n">
        <v>45210</v>
      </c>
      <c r="C1162" s="1" t="n">
        <v>45719</v>
      </c>
      <c r="D1162" t="inlineStr">
        <is>
          <t>JÄMTLANDS LÄN</t>
        </is>
      </c>
      <c r="E1162" t="inlineStr">
        <is>
          <t>HÄRJEDALEN</t>
        </is>
      </c>
      <c r="G1162" t="n">
        <v>25.8</v>
      </c>
      <c r="H1162" t="n">
        <v>0</v>
      </c>
      <c r="I1162" t="n">
        <v>0</v>
      </c>
      <c r="J1162" t="n">
        <v>0</v>
      </c>
      <c r="K1162" t="n">
        <v>0</v>
      </c>
      <c r="L1162" t="n">
        <v>0</v>
      </c>
      <c r="M1162" t="n">
        <v>0</v>
      </c>
      <c r="N1162" t="n">
        <v>0</v>
      </c>
      <c r="O1162" t="n">
        <v>0</v>
      </c>
      <c r="P1162" t="n">
        <v>0</v>
      </c>
      <c r="Q1162" t="n">
        <v>0</v>
      </c>
      <c r="R1162" s="2" t="inlineStr"/>
    </row>
    <row r="1163" ht="15" customHeight="1">
      <c r="A1163" t="inlineStr">
        <is>
          <t>A 49712-2023</t>
        </is>
      </c>
      <c r="B1163" s="1" t="n">
        <v>45212</v>
      </c>
      <c r="C1163" s="1" t="n">
        <v>45719</v>
      </c>
      <c r="D1163" t="inlineStr">
        <is>
          <t>JÄMTLANDS LÄN</t>
        </is>
      </c>
      <c r="E1163" t="inlineStr">
        <is>
          <t>HÄRJEDALEN</t>
        </is>
      </c>
      <c r="G1163" t="n">
        <v>42.9</v>
      </c>
      <c r="H1163" t="n">
        <v>0</v>
      </c>
      <c r="I1163" t="n">
        <v>0</v>
      </c>
      <c r="J1163" t="n">
        <v>0</v>
      </c>
      <c r="K1163" t="n">
        <v>0</v>
      </c>
      <c r="L1163" t="n">
        <v>0</v>
      </c>
      <c r="M1163" t="n">
        <v>0</v>
      </c>
      <c r="N1163" t="n">
        <v>0</v>
      </c>
      <c r="O1163" t="n">
        <v>0</v>
      </c>
      <c r="P1163" t="n">
        <v>0</v>
      </c>
      <c r="Q1163" t="n">
        <v>0</v>
      </c>
      <c r="R1163" s="2" t="inlineStr"/>
    </row>
    <row r="1164" ht="15" customHeight="1">
      <c r="A1164" t="inlineStr">
        <is>
          <t>A 49792-2023</t>
        </is>
      </c>
      <c r="B1164" s="1" t="n">
        <v>45212</v>
      </c>
      <c r="C1164" s="1" t="n">
        <v>45719</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49969-2023</t>
        </is>
      </c>
      <c r="B1165" s="1" t="n">
        <v>45215</v>
      </c>
      <c r="C1165" s="1" t="n">
        <v>45719</v>
      </c>
      <c r="D1165" t="inlineStr">
        <is>
          <t>JÄMTLANDS LÄN</t>
        </is>
      </c>
      <c r="E1165" t="inlineStr">
        <is>
          <t>HÄRJEDALEN</t>
        </is>
      </c>
      <c r="G1165" t="n">
        <v>43.7</v>
      </c>
      <c r="H1165" t="n">
        <v>0</v>
      </c>
      <c r="I1165" t="n">
        <v>0</v>
      </c>
      <c r="J1165" t="n">
        <v>0</v>
      </c>
      <c r="K1165" t="n">
        <v>0</v>
      </c>
      <c r="L1165" t="n">
        <v>0</v>
      </c>
      <c r="M1165" t="n">
        <v>0</v>
      </c>
      <c r="N1165" t="n">
        <v>0</v>
      </c>
      <c r="O1165" t="n">
        <v>0</v>
      </c>
      <c r="P1165" t="n">
        <v>0</v>
      </c>
      <c r="Q1165" t="n">
        <v>0</v>
      </c>
      <c r="R1165" s="2" t="inlineStr"/>
    </row>
    <row r="1166" ht="15" customHeight="1">
      <c r="A1166" t="inlineStr">
        <is>
          <t>A 50360-2023</t>
        </is>
      </c>
      <c r="B1166" s="1" t="n">
        <v>45216</v>
      </c>
      <c r="C1166" s="1" t="n">
        <v>45719</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50331-2023</t>
        </is>
      </c>
      <c r="B1167" s="1" t="n">
        <v>45216</v>
      </c>
      <c r="C1167" s="1" t="n">
        <v>45719</v>
      </c>
      <c r="D1167" t="inlineStr">
        <is>
          <t>JÄMTLANDS LÄN</t>
        </is>
      </c>
      <c r="E1167" t="inlineStr">
        <is>
          <t>HÄRJEDALEN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50291-2023</t>
        </is>
      </c>
      <c r="B1168" s="1" t="n">
        <v>45216</v>
      </c>
      <c r="C1168" s="1" t="n">
        <v>45719</v>
      </c>
      <c r="D1168" t="inlineStr">
        <is>
          <t>JÄMTLANDS LÄN</t>
        </is>
      </c>
      <c r="E1168" t="inlineStr">
        <is>
          <t>HÄRJEDALEN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50424-2023</t>
        </is>
      </c>
      <c r="B1169" s="1" t="n">
        <v>45216</v>
      </c>
      <c r="C1169" s="1" t="n">
        <v>45719</v>
      </c>
      <c r="D1169" t="inlineStr">
        <is>
          <t>JÄMTLANDS LÄN</t>
        </is>
      </c>
      <c r="E1169" t="inlineStr">
        <is>
          <t>HÄRJEDALEN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50328-2023</t>
        </is>
      </c>
      <c r="B1170" s="1" t="n">
        <v>45216</v>
      </c>
      <c r="C1170" s="1" t="n">
        <v>45719</v>
      </c>
      <c r="D1170" t="inlineStr">
        <is>
          <t>JÄMTLANDS LÄN</t>
        </is>
      </c>
      <c r="E1170" t="inlineStr">
        <is>
          <t>HÄRJEDALEN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50539-2023</t>
        </is>
      </c>
      <c r="B1171" s="1" t="n">
        <v>45217</v>
      </c>
      <c r="C1171" s="1" t="n">
        <v>45719</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51017-2023</t>
        </is>
      </c>
      <c r="B1172" s="1" t="n">
        <v>45218</v>
      </c>
      <c r="C1172" s="1" t="n">
        <v>45719</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51351-2023</t>
        </is>
      </c>
      <c r="B1173" s="1" t="n">
        <v>45219</v>
      </c>
      <c r="C1173" s="1" t="n">
        <v>45719</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51898-2023</t>
        </is>
      </c>
      <c r="B1174" s="1" t="n">
        <v>45223</v>
      </c>
      <c r="C1174" s="1" t="n">
        <v>45719</v>
      </c>
      <c r="D1174" t="inlineStr">
        <is>
          <t>JÄMTLANDS LÄN</t>
        </is>
      </c>
      <c r="E1174" t="inlineStr">
        <is>
          <t>HÄRJEDALEN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52565-2023</t>
        </is>
      </c>
      <c r="B1175" s="1" t="n">
        <v>45225</v>
      </c>
      <c r="C1175" s="1" t="n">
        <v>45719</v>
      </c>
      <c r="D1175" t="inlineStr">
        <is>
          <t>JÄMTLANDS LÄN</t>
        </is>
      </c>
      <c r="E1175" t="inlineStr">
        <is>
          <t>HÄRJEDALEN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52554-2023</t>
        </is>
      </c>
      <c r="B1176" s="1" t="n">
        <v>45225</v>
      </c>
      <c r="C1176" s="1" t="n">
        <v>45719</v>
      </c>
      <c r="D1176" t="inlineStr">
        <is>
          <t>JÄMTLANDS LÄN</t>
        </is>
      </c>
      <c r="E1176" t="inlineStr">
        <is>
          <t>HÄRJEDALEN</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52567-2023</t>
        </is>
      </c>
      <c r="B1177" s="1" t="n">
        <v>45225</v>
      </c>
      <c r="C1177" s="1" t="n">
        <v>45719</v>
      </c>
      <c r="D1177" t="inlineStr">
        <is>
          <t>JÄMTLANDS LÄN</t>
        </is>
      </c>
      <c r="E1177" t="inlineStr">
        <is>
          <t>HÄRJEDALEN</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52683-2023</t>
        </is>
      </c>
      <c r="B1178" s="1" t="n">
        <v>45225</v>
      </c>
      <c r="C1178" s="1" t="n">
        <v>45719</v>
      </c>
      <c r="D1178" t="inlineStr">
        <is>
          <t>JÄMTLANDS LÄN</t>
        </is>
      </c>
      <c r="E1178" t="inlineStr">
        <is>
          <t>HÄRJEDALEN</t>
        </is>
      </c>
      <c r="F1178" t="inlineStr">
        <is>
          <t>Bergvik skog väst AB</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52741-2023</t>
        </is>
      </c>
      <c r="B1179" s="1" t="n">
        <v>45225</v>
      </c>
      <c r="C1179" s="1" t="n">
        <v>45719</v>
      </c>
      <c r="D1179" t="inlineStr">
        <is>
          <t>JÄMTLANDS LÄN</t>
        </is>
      </c>
      <c r="E1179" t="inlineStr">
        <is>
          <t>HÄRJEDALEN</t>
        </is>
      </c>
      <c r="F1179" t="inlineStr">
        <is>
          <t>SCA</t>
        </is>
      </c>
      <c r="G1179" t="n">
        <v>75.40000000000001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53003-2023</t>
        </is>
      </c>
      <c r="B1180" s="1" t="n">
        <v>45226</v>
      </c>
      <c r="C1180" s="1" t="n">
        <v>45719</v>
      </c>
      <c r="D1180" t="inlineStr">
        <is>
          <t>JÄMTLANDS LÄN</t>
        </is>
      </c>
      <c r="E1180" t="inlineStr">
        <is>
          <t>HÄRJEDALEN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53431-2023</t>
        </is>
      </c>
      <c r="B1181" s="1" t="n">
        <v>45229</v>
      </c>
      <c r="C1181" s="1" t="n">
        <v>45719</v>
      </c>
      <c r="D1181" t="inlineStr">
        <is>
          <t>JÄMTLANDS LÄN</t>
        </is>
      </c>
      <c r="E1181" t="inlineStr">
        <is>
          <t>HÄRJEDALEN</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53432-2023</t>
        </is>
      </c>
      <c r="B1182" s="1" t="n">
        <v>45229</v>
      </c>
      <c r="C1182" s="1" t="n">
        <v>45719</v>
      </c>
      <c r="D1182" t="inlineStr">
        <is>
          <t>JÄMTLANDS LÄN</t>
        </is>
      </c>
      <c r="E1182" t="inlineStr">
        <is>
          <t>HÄRJEDALEN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53681-2023</t>
        </is>
      </c>
      <c r="B1183" s="1" t="n">
        <v>45230</v>
      </c>
      <c r="C1183" s="1" t="n">
        <v>45719</v>
      </c>
      <c r="D1183" t="inlineStr">
        <is>
          <t>JÄMTLANDS LÄN</t>
        </is>
      </c>
      <c r="E1183" t="inlineStr">
        <is>
          <t>HÄRJEDALEN</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53804-2023</t>
        </is>
      </c>
      <c r="B1184" s="1" t="n">
        <v>45231</v>
      </c>
      <c r="C1184" s="1" t="n">
        <v>45719</v>
      </c>
      <c r="D1184" t="inlineStr">
        <is>
          <t>JÄMTLANDS LÄN</t>
        </is>
      </c>
      <c r="E1184" t="inlineStr">
        <is>
          <t>HÄRJEDALEN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53993-2023</t>
        </is>
      </c>
      <c r="B1185" s="1" t="n">
        <v>45231</v>
      </c>
      <c r="C1185" s="1" t="n">
        <v>45719</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54382-2023</t>
        </is>
      </c>
      <c r="B1186" s="1" t="n">
        <v>45233</v>
      </c>
      <c r="C1186" s="1" t="n">
        <v>45719</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55127-2023</t>
        </is>
      </c>
      <c r="B1187" s="1" t="n">
        <v>45237</v>
      </c>
      <c r="C1187" s="1" t="n">
        <v>45719</v>
      </c>
      <c r="D1187" t="inlineStr">
        <is>
          <t>JÄMTLANDS LÄN</t>
        </is>
      </c>
      <c r="E1187" t="inlineStr">
        <is>
          <t>HÄRJEDALEN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55150-2023</t>
        </is>
      </c>
      <c r="B1188" s="1" t="n">
        <v>45237</v>
      </c>
      <c r="C1188" s="1" t="n">
        <v>45719</v>
      </c>
      <c r="D1188" t="inlineStr">
        <is>
          <t>JÄMTLANDS LÄN</t>
        </is>
      </c>
      <c r="E1188" t="inlineStr">
        <is>
          <t>HÄRJEDALEN</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55183-2023</t>
        </is>
      </c>
      <c r="B1189" s="1" t="n">
        <v>45237</v>
      </c>
      <c r="C1189" s="1" t="n">
        <v>45719</v>
      </c>
      <c r="D1189" t="inlineStr">
        <is>
          <t>JÄMTLANDS LÄN</t>
        </is>
      </c>
      <c r="E1189" t="inlineStr">
        <is>
          <t>HÄRJEDALEN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55195-2023</t>
        </is>
      </c>
      <c r="B1190" s="1" t="n">
        <v>45237</v>
      </c>
      <c r="C1190" s="1" t="n">
        <v>45719</v>
      </c>
      <c r="D1190" t="inlineStr">
        <is>
          <t>JÄMTLANDS LÄN</t>
        </is>
      </c>
      <c r="E1190" t="inlineStr">
        <is>
          <t>HÄRJEDALEN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55220-2023</t>
        </is>
      </c>
      <c r="B1191" s="1" t="n">
        <v>45237</v>
      </c>
      <c r="C1191" s="1" t="n">
        <v>45719</v>
      </c>
      <c r="D1191" t="inlineStr">
        <is>
          <t>JÄMTLANDS LÄN</t>
        </is>
      </c>
      <c r="E1191" t="inlineStr">
        <is>
          <t>HÄRJEDALEN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55180-2023</t>
        </is>
      </c>
      <c r="B1192" s="1" t="n">
        <v>45237</v>
      </c>
      <c r="C1192" s="1" t="n">
        <v>45719</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55185-2023</t>
        </is>
      </c>
      <c r="B1193" s="1" t="n">
        <v>45237</v>
      </c>
      <c r="C1193" s="1" t="n">
        <v>45719</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55189-2023</t>
        </is>
      </c>
      <c r="B1194" s="1" t="n">
        <v>45237</v>
      </c>
      <c r="C1194" s="1" t="n">
        <v>45719</v>
      </c>
      <c r="D1194" t="inlineStr">
        <is>
          <t>JÄMTLANDS LÄN</t>
        </is>
      </c>
      <c r="E1194" t="inlineStr">
        <is>
          <t>HÄRJEDALEN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55193-2023</t>
        </is>
      </c>
      <c r="B1195" s="1" t="n">
        <v>45237</v>
      </c>
      <c r="C1195" s="1" t="n">
        <v>45719</v>
      </c>
      <c r="D1195" t="inlineStr">
        <is>
          <t>JÄMTLANDS LÄN</t>
        </is>
      </c>
      <c r="E1195" t="inlineStr">
        <is>
          <t>HÄRJEDALEN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55500-2023</t>
        </is>
      </c>
      <c r="B1196" s="1" t="n">
        <v>45238</v>
      </c>
      <c r="C1196" s="1" t="n">
        <v>45719</v>
      </c>
      <c r="D1196" t="inlineStr">
        <is>
          <t>JÄMTLANDS LÄN</t>
        </is>
      </c>
      <c r="E1196" t="inlineStr">
        <is>
          <t>HÄRJEDALEN</t>
        </is>
      </c>
      <c r="F1196" t="inlineStr">
        <is>
          <t>Kyrkan</t>
        </is>
      </c>
      <c r="G1196" t="n">
        <v>81.2</v>
      </c>
      <c r="H1196" t="n">
        <v>0</v>
      </c>
      <c r="I1196" t="n">
        <v>0</v>
      </c>
      <c r="J1196" t="n">
        <v>0</v>
      </c>
      <c r="K1196" t="n">
        <v>0</v>
      </c>
      <c r="L1196" t="n">
        <v>0</v>
      </c>
      <c r="M1196" t="n">
        <v>0</v>
      </c>
      <c r="N1196" t="n">
        <v>0</v>
      </c>
      <c r="O1196" t="n">
        <v>0</v>
      </c>
      <c r="P1196" t="n">
        <v>0</v>
      </c>
      <c r="Q1196" t="n">
        <v>0</v>
      </c>
      <c r="R1196" s="2" t="inlineStr"/>
    </row>
    <row r="1197" ht="15" customHeight="1">
      <c r="A1197" t="inlineStr">
        <is>
          <t>A 55562-2023</t>
        </is>
      </c>
      <c r="B1197" s="1" t="n">
        <v>45238</v>
      </c>
      <c r="C1197" s="1" t="n">
        <v>45719</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v>
      </c>
      <c r="C1198" s="1" t="n">
        <v>45719</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55555-2023</t>
        </is>
      </c>
      <c r="B1199" s="1" t="n">
        <v>45238</v>
      </c>
      <c r="C1199" s="1" t="n">
        <v>45719</v>
      </c>
      <c r="D1199" t="inlineStr">
        <is>
          <t>JÄMTLANDS LÄN</t>
        </is>
      </c>
      <c r="E1199" t="inlineStr">
        <is>
          <t>HÄRJEDALEN</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55566-2023</t>
        </is>
      </c>
      <c r="B1200" s="1" t="n">
        <v>45238</v>
      </c>
      <c r="C1200" s="1" t="n">
        <v>45719</v>
      </c>
      <c r="D1200" t="inlineStr">
        <is>
          <t>JÄMTLANDS LÄN</t>
        </is>
      </c>
      <c r="E1200" t="inlineStr">
        <is>
          <t>HÄRJEDALEN</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55844-2023</t>
        </is>
      </c>
      <c r="B1201" s="1" t="n">
        <v>45239</v>
      </c>
      <c r="C1201" s="1" t="n">
        <v>45719</v>
      </c>
      <c r="D1201" t="inlineStr">
        <is>
          <t>JÄMTLANDS LÄN</t>
        </is>
      </c>
      <c r="E1201" t="inlineStr">
        <is>
          <t>HÄRJEDALEN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55736-2023</t>
        </is>
      </c>
      <c r="B1202" s="1" t="n">
        <v>45239</v>
      </c>
      <c r="C1202" s="1" t="n">
        <v>45719</v>
      </c>
      <c r="D1202" t="inlineStr">
        <is>
          <t>JÄMTLANDS LÄN</t>
        </is>
      </c>
      <c r="E1202" t="inlineStr">
        <is>
          <t>HÄRJEDALEN</t>
        </is>
      </c>
      <c r="F1202" t="inlineStr">
        <is>
          <t>Holmen skog AB</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55766-2023</t>
        </is>
      </c>
      <c r="B1203" s="1" t="n">
        <v>45239</v>
      </c>
      <c r="C1203" s="1" t="n">
        <v>45719</v>
      </c>
      <c r="D1203" t="inlineStr">
        <is>
          <t>JÄMTLANDS LÄN</t>
        </is>
      </c>
      <c r="E1203" t="inlineStr">
        <is>
          <t>HÄRJEDALEN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55834-2023</t>
        </is>
      </c>
      <c r="B1204" s="1" t="n">
        <v>45239</v>
      </c>
      <c r="C1204" s="1" t="n">
        <v>45719</v>
      </c>
      <c r="D1204" t="inlineStr">
        <is>
          <t>JÄMTLANDS LÄN</t>
        </is>
      </c>
      <c r="E1204" t="inlineStr">
        <is>
          <t>HÄRJEDALEN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56013-2023</t>
        </is>
      </c>
      <c r="B1205" s="1" t="n">
        <v>45240</v>
      </c>
      <c r="C1205" s="1" t="n">
        <v>45719</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56512-2023</t>
        </is>
      </c>
      <c r="B1206" s="1" t="n">
        <v>45243</v>
      </c>
      <c r="C1206" s="1" t="n">
        <v>45719</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56587-2023</t>
        </is>
      </c>
      <c r="B1207" s="1" t="n">
        <v>45243</v>
      </c>
      <c r="C1207" s="1" t="n">
        <v>45719</v>
      </c>
      <c r="D1207" t="inlineStr">
        <is>
          <t>JÄMTLANDS LÄN</t>
        </is>
      </c>
      <c r="E1207" t="inlineStr">
        <is>
          <t>HÄRJEDALEN</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56909-2023</t>
        </is>
      </c>
      <c r="B1208" s="1" t="n">
        <v>45244</v>
      </c>
      <c r="C1208" s="1" t="n">
        <v>45719</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56912-2023</t>
        </is>
      </c>
      <c r="B1209" s="1" t="n">
        <v>45244</v>
      </c>
      <c r="C1209" s="1" t="n">
        <v>45719</v>
      </c>
      <c r="D1209" t="inlineStr">
        <is>
          <t>JÄMTLANDS LÄN</t>
        </is>
      </c>
      <c r="E1209" t="inlineStr">
        <is>
          <t>HÄRJEDALEN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56906-2023</t>
        </is>
      </c>
      <c r="B1210" s="1" t="n">
        <v>45244</v>
      </c>
      <c r="C1210" s="1" t="n">
        <v>45719</v>
      </c>
      <c r="D1210" t="inlineStr">
        <is>
          <t>JÄMTLANDS LÄN</t>
        </is>
      </c>
      <c r="E1210" t="inlineStr">
        <is>
          <t>HÄRJEDALEN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57313-2023</t>
        </is>
      </c>
      <c r="B1211" s="1" t="n">
        <v>45245</v>
      </c>
      <c r="C1211" s="1" t="n">
        <v>45719</v>
      </c>
      <c r="D1211" t="inlineStr">
        <is>
          <t>JÄMTLANDS LÄN</t>
        </is>
      </c>
      <c r="E1211" t="inlineStr">
        <is>
          <t>HÄRJEDALEN</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57099-2023</t>
        </is>
      </c>
      <c r="B1212" s="1" t="n">
        <v>45245</v>
      </c>
      <c r="C1212" s="1" t="n">
        <v>45719</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57181-2023</t>
        </is>
      </c>
      <c r="B1213" s="1" t="n">
        <v>45245</v>
      </c>
      <c r="C1213" s="1" t="n">
        <v>45719</v>
      </c>
      <c r="D1213" t="inlineStr">
        <is>
          <t>JÄMTLANDS LÄN</t>
        </is>
      </c>
      <c r="E1213" t="inlineStr">
        <is>
          <t>HÄRJEDALEN</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57202-2023</t>
        </is>
      </c>
      <c r="B1214" s="1" t="n">
        <v>45245</v>
      </c>
      <c r="C1214" s="1" t="n">
        <v>45719</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57140-2023</t>
        </is>
      </c>
      <c r="B1215" s="1" t="n">
        <v>45245</v>
      </c>
      <c r="C1215" s="1" t="n">
        <v>45719</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57281-2023</t>
        </is>
      </c>
      <c r="B1216" s="1" t="n">
        <v>45245</v>
      </c>
      <c r="C1216" s="1" t="n">
        <v>45719</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57661-2023</t>
        </is>
      </c>
      <c r="B1217" s="1" t="n">
        <v>45246</v>
      </c>
      <c r="C1217" s="1" t="n">
        <v>45719</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58146-2023</t>
        </is>
      </c>
      <c r="B1218" s="1" t="n">
        <v>45250</v>
      </c>
      <c r="C1218" s="1" t="n">
        <v>45719</v>
      </c>
      <c r="D1218" t="inlineStr">
        <is>
          <t>JÄMTLANDS LÄN</t>
        </is>
      </c>
      <c r="E1218" t="inlineStr">
        <is>
          <t>HÄRJEDALEN</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58144-2023</t>
        </is>
      </c>
      <c r="B1219" s="1" t="n">
        <v>45250</v>
      </c>
      <c r="C1219" s="1" t="n">
        <v>45719</v>
      </c>
      <c r="D1219" t="inlineStr">
        <is>
          <t>JÄMTLANDS LÄN</t>
        </is>
      </c>
      <c r="E1219" t="inlineStr">
        <is>
          <t>HÄRJEDALEN</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58890-2023</t>
        </is>
      </c>
      <c r="B1220" s="1" t="n">
        <v>45252</v>
      </c>
      <c r="C1220" s="1" t="n">
        <v>45719</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58930-2023</t>
        </is>
      </c>
      <c r="B1221" s="1" t="n">
        <v>45252</v>
      </c>
      <c r="C1221" s="1" t="n">
        <v>45719</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58866-2023</t>
        </is>
      </c>
      <c r="B1222" s="1" t="n">
        <v>45252</v>
      </c>
      <c r="C1222" s="1" t="n">
        <v>45719</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59092-2023</t>
        </is>
      </c>
      <c r="B1223" s="1" t="n">
        <v>45253</v>
      </c>
      <c r="C1223" s="1" t="n">
        <v>45719</v>
      </c>
      <c r="D1223" t="inlineStr">
        <is>
          <t>JÄMTLANDS LÄN</t>
        </is>
      </c>
      <c r="E1223" t="inlineStr">
        <is>
          <t>HÄRJEDALEN</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59279-2023</t>
        </is>
      </c>
      <c r="B1224" s="1" t="n">
        <v>45253</v>
      </c>
      <c r="C1224" s="1" t="n">
        <v>45719</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59424-2023</t>
        </is>
      </c>
      <c r="B1225" s="1" t="n">
        <v>45254</v>
      </c>
      <c r="C1225" s="1" t="n">
        <v>45719</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59577-2023</t>
        </is>
      </c>
      <c r="B1226" s="1" t="n">
        <v>45254</v>
      </c>
      <c r="C1226" s="1" t="n">
        <v>45719</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59594-2023</t>
        </is>
      </c>
      <c r="B1227" s="1" t="n">
        <v>45254</v>
      </c>
      <c r="C1227" s="1" t="n">
        <v>45719</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59620-2023</t>
        </is>
      </c>
      <c r="B1228" s="1" t="n">
        <v>45254</v>
      </c>
      <c r="C1228" s="1" t="n">
        <v>45719</v>
      </c>
      <c r="D1228" t="inlineStr">
        <is>
          <t>JÄMTLANDS LÄN</t>
        </is>
      </c>
      <c r="E1228" t="inlineStr">
        <is>
          <t>HÄRJEDALEN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59738-2023</t>
        </is>
      </c>
      <c r="B1229" s="1" t="n">
        <v>45257</v>
      </c>
      <c r="C1229" s="1" t="n">
        <v>45719</v>
      </c>
      <c r="D1229" t="inlineStr">
        <is>
          <t>JÄMTLANDS LÄN</t>
        </is>
      </c>
      <c r="E1229" t="inlineStr">
        <is>
          <t>HÄRJEDALEN</t>
        </is>
      </c>
      <c r="F1229" t="inlineStr">
        <is>
          <t>Bergvik skog väst AB</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59750-2023</t>
        </is>
      </c>
      <c r="B1230" s="1" t="n">
        <v>45257</v>
      </c>
      <c r="C1230" s="1" t="n">
        <v>45719</v>
      </c>
      <c r="D1230" t="inlineStr">
        <is>
          <t>JÄMTLANDS LÄN</t>
        </is>
      </c>
      <c r="E1230" t="inlineStr">
        <is>
          <t>HÄRJEDALEN</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60062-2023</t>
        </is>
      </c>
      <c r="B1231" s="1" t="n">
        <v>45257</v>
      </c>
      <c r="C1231" s="1" t="n">
        <v>45719</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60611-2023</t>
        </is>
      </c>
      <c r="B1232" s="1" t="n">
        <v>45260</v>
      </c>
      <c r="C1232" s="1" t="n">
        <v>45719</v>
      </c>
      <c r="D1232" t="inlineStr">
        <is>
          <t>JÄMTLANDS LÄN</t>
        </is>
      </c>
      <c r="E1232" t="inlineStr">
        <is>
          <t>HÄRJEDALEN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60749-2023</t>
        </is>
      </c>
      <c r="B1233" s="1" t="n">
        <v>45260</v>
      </c>
      <c r="C1233" s="1" t="n">
        <v>45719</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61465-2023</t>
        </is>
      </c>
      <c r="B1234" s="1" t="n">
        <v>45264</v>
      </c>
      <c r="C1234" s="1" t="n">
        <v>45719</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61751-2023</t>
        </is>
      </c>
      <c r="B1235" s="1" t="n">
        <v>45265</v>
      </c>
      <c r="C1235" s="1" t="n">
        <v>45719</v>
      </c>
      <c r="D1235" t="inlineStr">
        <is>
          <t>JÄMTLANDS LÄN</t>
        </is>
      </c>
      <c r="E1235" t="inlineStr">
        <is>
          <t>HÄRJEDALEN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62482-2023</t>
        </is>
      </c>
      <c r="B1236" s="1" t="n">
        <v>45268</v>
      </c>
      <c r="C1236" s="1" t="n">
        <v>45719</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62784-2023</t>
        </is>
      </c>
      <c r="B1237" s="1" t="n">
        <v>45271</v>
      </c>
      <c r="C1237" s="1" t="n">
        <v>45719</v>
      </c>
      <c r="D1237" t="inlineStr">
        <is>
          <t>JÄMTLANDS LÄN</t>
        </is>
      </c>
      <c r="E1237" t="inlineStr">
        <is>
          <t>HÄRJEDALEN</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63323-2023</t>
        </is>
      </c>
      <c r="B1238" s="1" t="n">
        <v>45274</v>
      </c>
      <c r="C1238" s="1" t="n">
        <v>45719</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63546-2023</t>
        </is>
      </c>
      <c r="B1239" s="1" t="n">
        <v>45275</v>
      </c>
      <c r="C1239" s="1" t="n">
        <v>45719</v>
      </c>
      <c r="D1239" t="inlineStr">
        <is>
          <t>JÄMTLANDS LÄN</t>
        </is>
      </c>
      <c r="E1239" t="inlineStr">
        <is>
          <t>HÄRJEDALEN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63577-2023</t>
        </is>
      </c>
      <c r="B1240" s="1" t="n">
        <v>45275</v>
      </c>
      <c r="C1240" s="1" t="n">
        <v>45719</v>
      </c>
      <c r="D1240" t="inlineStr">
        <is>
          <t>JÄMTLANDS LÄN</t>
        </is>
      </c>
      <c r="E1240" t="inlineStr">
        <is>
          <t>HÄRJEDALEN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63934-2023</t>
        </is>
      </c>
      <c r="B1241" s="1" t="n">
        <v>45278</v>
      </c>
      <c r="C1241" s="1" t="n">
        <v>45719</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63802-2023</t>
        </is>
      </c>
      <c r="B1242" s="1" t="n">
        <v>45278</v>
      </c>
      <c r="C1242" s="1" t="n">
        <v>45719</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64144-2023</t>
        </is>
      </c>
      <c r="B1243" s="1" t="n">
        <v>45279</v>
      </c>
      <c r="C1243" s="1" t="n">
        <v>45719</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64157-2023</t>
        </is>
      </c>
      <c r="B1244" s="1" t="n">
        <v>45279</v>
      </c>
      <c r="C1244" s="1" t="n">
        <v>45719</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64165-2023</t>
        </is>
      </c>
      <c r="B1245" s="1" t="n">
        <v>45279</v>
      </c>
      <c r="C1245" s="1" t="n">
        <v>45719</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64484-2023</t>
        </is>
      </c>
      <c r="B1246" s="1" t="n">
        <v>45280</v>
      </c>
      <c r="C1246" s="1" t="n">
        <v>45719</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64371-2023</t>
        </is>
      </c>
      <c r="B1247" s="1" t="n">
        <v>45280</v>
      </c>
      <c r="C1247" s="1" t="n">
        <v>45719</v>
      </c>
      <c r="D1247" t="inlineStr">
        <is>
          <t>JÄMTLANDS LÄN</t>
        </is>
      </c>
      <c r="E1247" t="inlineStr">
        <is>
          <t>HÄRJEDALEN</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64485-2023</t>
        </is>
      </c>
      <c r="B1248" s="1" t="n">
        <v>45280</v>
      </c>
      <c r="C1248" s="1" t="n">
        <v>45719</v>
      </c>
      <c r="D1248" t="inlineStr">
        <is>
          <t>JÄMTLANDS LÄN</t>
        </is>
      </c>
      <c r="E1248" t="inlineStr">
        <is>
          <t>HÄRJEDALEN</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64630-2023</t>
        </is>
      </c>
      <c r="B1249" s="1" t="n">
        <v>45281</v>
      </c>
      <c r="C1249" s="1" t="n">
        <v>45719</v>
      </c>
      <c r="D1249" t="inlineStr">
        <is>
          <t>JÄMTLANDS LÄN</t>
        </is>
      </c>
      <c r="E1249" t="inlineStr">
        <is>
          <t>HÄRJEDALEN</t>
        </is>
      </c>
      <c r="G1249" t="n">
        <v>82.2</v>
      </c>
      <c r="H1249" t="n">
        <v>0</v>
      </c>
      <c r="I1249" t="n">
        <v>0</v>
      </c>
      <c r="J1249" t="n">
        <v>0</v>
      </c>
      <c r="K1249" t="n">
        <v>0</v>
      </c>
      <c r="L1249" t="n">
        <v>0</v>
      </c>
      <c r="M1249" t="n">
        <v>0</v>
      </c>
      <c r="N1249" t="n">
        <v>0</v>
      </c>
      <c r="O1249" t="n">
        <v>0</v>
      </c>
      <c r="P1249" t="n">
        <v>0</v>
      </c>
      <c r="Q1249" t="n">
        <v>0</v>
      </c>
      <c r="R1249" s="2" t="inlineStr"/>
    </row>
    <row r="1250" ht="15" customHeight="1">
      <c r="A1250" t="inlineStr">
        <is>
          <t>A 64648-2023</t>
        </is>
      </c>
      <c r="B1250" s="1" t="n">
        <v>45281</v>
      </c>
      <c r="C1250" s="1" t="n">
        <v>45719</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64645-2023</t>
        </is>
      </c>
      <c r="B1251" s="1" t="n">
        <v>45281</v>
      </c>
      <c r="C1251" s="1" t="n">
        <v>45719</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64647-2023</t>
        </is>
      </c>
      <c r="B1252" s="1" t="n">
        <v>45281</v>
      </c>
      <c r="C1252" s="1" t="n">
        <v>45719</v>
      </c>
      <c r="D1252" t="inlineStr">
        <is>
          <t>JÄMTLANDS LÄN</t>
        </is>
      </c>
      <c r="E1252" t="inlineStr">
        <is>
          <t>HÄRJEDALEN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64909-2023</t>
        </is>
      </c>
      <c r="B1253" s="1" t="n">
        <v>45282</v>
      </c>
      <c r="C1253" s="1" t="n">
        <v>45719</v>
      </c>
      <c r="D1253" t="inlineStr">
        <is>
          <t>JÄMTLANDS LÄN</t>
        </is>
      </c>
      <c r="E1253" t="inlineStr">
        <is>
          <t>HÄRJEDALEN</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65032-2023</t>
        </is>
      </c>
      <c r="B1254" s="1" t="n">
        <v>45287</v>
      </c>
      <c r="C1254" s="1" t="n">
        <v>45719</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65152-2023</t>
        </is>
      </c>
      <c r="B1255" s="1" t="n">
        <v>45288</v>
      </c>
      <c r="C1255" s="1" t="n">
        <v>45719</v>
      </c>
      <c r="D1255" t="inlineStr">
        <is>
          <t>JÄMTLANDS LÄN</t>
        </is>
      </c>
      <c r="E1255" t="inlineStr">
        <is>
          <t>HÄRJEDALEN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65150-2023</t>
        </is>
      </c>
      <c r="B1256" s="1" t="n">
        <v>45288</v>
      </c>
      <c r="C1256" s="1" t="n">
        <v>45719</v>
      </c>
      <c r="D1256" t="inlineStr">
        <is>
          <t>JÄMTLANDS LÄN</t>
        </is>
      </c>
      <c r="E1256" t="inlineStr">
        <is>
          <t>HÄRJEDALEN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65248-2023</t>
        </is>
      </c>
      <c r="B1257" s="1" t="n">
        <v>45290</v>
      </c>
      <c r="C1257" s="1" t="n">
        <v>45719</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54-2024</t>
        </is>
      </c>
      <c r="B1258" s="1" t="n">
        <v>45293</v>
      </c>
      <c r="C1258" s="1" t="n">
        <v>45719</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40-2024</t>
        </is>
      </c>
      <c r="B1259" s="1" t="n">
        <v>45293</v>
      </c>
      <c r="C1259" s="1" t="n">
        <v>45719</v>
      </c>
      <c r="D1259" t="inlineStr">
        <is>
          <t>JÄMTLANDS LÄN</t>
        </is>
      </c>
      <c r="E1259" t="inlineStr">
        <is>
          <t>HÄRJEDALEN</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1211-2024</t>
        </is>
      </c>
      <c r="B1260" s="1" t="n">
        <v>45302</v>
      </c>
      <c r="C1260" s="1" t="n">
        <v>45719</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1366-2024</t>
        </is>
      </c>
      <c r="B1261" s="1" t="n">
        <v>45303</v>
      </c>
      <c r="C1261" s="1" t="n">
        <v>45719</v>
      </c>
      <c r="D1261" t="inlineStr">
        <is>
          <t>JÄMTLANDS LÄN</t>
        </is>
      </c>
      <c r="E1261" t="inlineStr">
        <is>
          <t>HÄRJEDALEN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1398-2024</t>
        </is>
      </c>
      <c r="B1262" s="1" t="n">
        <v>45303</v>
      </c>
      <c r="C1262" s="1" t="n">
        <v>45719</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1361-2024</t>
        </is>
      </c>
      <c r="B1263" s="1" t="n">
        <v>45303</v>
      </c>
      <c r="C1263" s="1" t="n">
        <v>45719</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1364-2024</t>
        </is>
      </c>
      <c r="B1264" s="1" t="n">
        <v>45303</v>
      </c>
      <c r="C1264" s="1" t="n">
        <v>45719</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1587-2024</t>
        </is>
      </c>
      <c r="B1265" s="1" t="n">
        <v>45306</v>
      </c>
      <c r="C1265" s="1" t="n">
        <v>45719</v>
      </c>
      <c r="D1265" t="inlineStr">
        <is>
          <t>JÄMTLANDS LÄN</t>
        </is>
      </c>
      <c r="E1265" t="inlineStr">
        <is>
          <t>HÄRJEDALEN</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1952-2024</t>
        </is>
      </c>
      <c r="B1266" s="1" t="n">
        <v>45308</v>
      </c>
      <c r="C1266" s="1" t="n">
        <v>45719</v>
      </c>
      <c r="D1266" t="inlineStr">
        <is>
          <t>JÄMTLANDS LÄN</t>
        </is>
      </c>
      <c r="E1266" t="inlineStr">
        <is>
          <t>HÄRJEDALEN</t>
        </is>
      </c>
      <c r="F1266" t="inlineStr">
        <is>
          <t>Kyrkan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2066-2024</t>
        </is>
      </c>
      <c r="B1267" s="1" t="n">
        <v>45308</v>
      </c>
      <c r="C1267" s="1" t="n">
        <v>45719</v>
      </c>
      <c r="D1267" t="inlineStr">
        <is>
          <t>JÄMTLANDS LÄN</t>
        </is>
      </c>
      <c r="E1267" t="inlineStr">
        <is>
          <t>HÄRJEDALEN</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2185-2024</t>
        </is>
      </c>
      <c r="B1268" s="1" t="n">
        <v>45309</v>
      </c>
      <c r="C1268" s="1" t="n">
        <v>45719</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4533-2024</t>
        </is>
      </c>
      <c r="B1269" s="1" t="n">
        <v>45327</v>
      </c>
      <c r="C1269" s="1" t="n">
        <v>45719</v>
      </c>
      <c r="D1269" t="inlineStr">
        <is>
          <t>JÄMTLANDS LÄN</t>
        </is>
      </c>
      <c r="E1269" t="inlineStr">
        <is>
          <t>HÄRJEDALEN</t>
        </is>
      </c>
      <c r="F1269" t="inlineStr">
        <is>
          <t>Övriga statliga verk och myndigheter</t>
        </is>
      </c>
      <c r="G1269" t="n">
        <v>21.1</v>
      </c>
      <c r="H1269" t="n">
        <v>0</v>
      </c>
      <c r="I1269" t="n">
        <v>0</v>
      </c>
      <c r="J1269" t="n">
        <v>0</v>
      </c>
      <c r="K1269" t="n">
        <v>0</v>
      </c>
      <c r="L1269" t="n">
        <v>0</v>
      </c>
      <c r="M1269" t="n">
        <v>0</v>
      </c>
      <c r="N1269" t="n">
        <v>0</v>
      </c>
      <c r="O1269" t="n">
        <v>0</v>
      </c>
      <c r="P1269" t="n">
        <v>0</v>
      </c>
      <c r="Q1269" t="n">
        <v>0</v>
      </c>
      <c r="R1269" s="2" t="inlineStr"/>
    </row>
    <row r="1270" ht="15" customHeight="1">
      <c r="A1270" t="inlineStr">
        <is>
          <t>A 5630-2024</t>
        </is>
      </c>
      <c r="B1270" s="1" t="n">
        <v>45334</v>
      </c>
      <c r="C1270" s="1" t="n">
        <v>45719</v>
      </c>
      <c r="D1270" t="inlineStr">
        <is>
          <t>JÄMTLANDS LÄN</t>
        </is>
      </c>
      <c r="E1270" t="inlineStr">
        <is>
          <t>HÄRJEDALEN</t>
        </is>
      </c>
      <c r="F1270" t="inlineStr">
        <is>
          <t>Övriga statliga verk och myndigheter</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5912-2024</t>
        </is>
      </c>
      <c r="B1271" s="1" t="n">
        <v>45335</v>
      </c>
      <c r="C1271" s="1" t="n">
        <v>45719</v>
      </c>
      <c r="D1271" t="inlineStr">
        <is>
          <t>JÄMTLANDS LÄN</t>
        </is>
      </c>
      <c r="E1271" t="inlineStr">
        <is>
          <t>HÄRJEDALEN</t>
        </is>
      </c>
      <c r="G1271" t="n">
        <v>39.3</v>
      </c>
      <c r="H1271" t="n">
        <v>0</v>
      </c>
      <c r="I1271" t="n">
        <v>0</v>
      </c>
      <c r="J1271" t="n">
        <v>0</v>
      </c>
      <c r="K1271" t="n">
        <v>0</v>
      </c>
      <c r="L1271" t="n">
        <v>0</v>
      </c>
      <c r="M1271" t="n">
        <v>0</v>
      </c>
      <c r="N1271" t="n">
        <v>0</v>
      </c>
      <c r="O1271" t="n">
        <v>0</v>
      </c>
      <c r="P1271" t="n">
        <v>0</v>
      </c>
      <c r="Q1271" t="n">
        <v>0</v>
      </c>
      <c r="R1271" s="2" t="inlineStr"/>
    </row>
    <row r="1272" ht="15" customHeight="1">
      <c r="A1272" t="inlineStr">
        <is>
          <t>A 5913-2024</t>
        </is>
      </c>
      <c r="B1272" s="1" t="n">
        <v>45335</v>
      </c>
      <c r="C1272" s="1" t="n">
        <v>45719</v>
      </c>
      <c r="D1272" t="inlineStr">
        <is>
          <t>JÄMTLANDS LÄN</t>
        </is>
      </c>
      <c r="E1272" t="inlineStr">
        <is>
          <t>HÄRJEDALEN</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6218-2024</t>
        </is>
      </c>
      <c r="B1273" s="1" t="n">
        <v>45337</v>
      </c>
      <c r="C1273" s="1" t="n">
        <v>45719</v>
      </c>
      <c r="D1273" t="inlineStr">
        <is>
          <t>JÄMTLANDS LÄN</t>
        </is>
      </c>
      <c r="E1273" t="inlineStr">
        <is>
          <t>HÄRJEDALEN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6286-2024</t>
        </is>
      </c>
      <c r="B1274" s="1" t="n">
        <v>45337</v>
      </c>
      <c r="C1274" s="1" t="n">
        <v>45719</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6313-2024</t>
        </is>
      </c>
      <c r="B1275" s="1" t="n">
        <v>45338</v>
      </c>
      <c r="C1275" s="1" t="n">
        <v>45719</v>
      </c>
      <c r="D1275" t="inlineStr">
        <is>
          <t>JÄMTLANDS LÄN</t>
        </is>
      </c>
      <c r="E1275" t="inlineStr">
        <is>
          <t>HÄRJEDALEN</t>
        </is>
      </c>
      <c r="F1275" t="inlineStr">
        <is>
          <t>Bergvik skog väst AB</t>
        </is>
      </c>
      <c r="G1275" t="n">
        <v>60.7</v>
      </c>
      <c r="H1275" t="n">
        <v>0</v>
      </c>
      <c r="I1275" t="n">
        <v>0</v>
      </c>
      <c r="J1275" t="n">
        <v>0</v>
      </c>
      <c r="K1275" t="n">
        <v>0</v>
      </c>
      <c r="L1275" t="n">
        <v>0</v>
      </c>
      <c r="M1275" t="n">
        <v>0</v>
      </c>
      <c r="N1275" t="n">
        <v>0</v>
      </c>
      <c r="O1275" t="n">
        <v>0</v>
      </c>
      <c r="P1275" t="n">
        <v>0</v>
      </c>
      <c r="Q1275" t="n">
        <v>0</v>
      </c>
      <c r="R1275" s="2" t="inlineStr"/>
    </row>
    <row r="1276" ht="15" customHeight="1">
      <c r="A1276" t="inlineStr">
        <is>
          <t>A 6304-2024</t>
        </is>
      </c>
      <c r="B1276" s="1" t="n">
        <v>45338</v>
      </c>
      <c r="C1276" s="1" t="n">
        <v>45719</v>
      </c>
      <c r="D1276" t="inlineStr">
        <is>
          <t>JÄMTLANDS LÄN</t>
        </is>
      </c>
      <c r="E1276" t="inlineStr">
        <is>
          <t>HÄRJEDALEN</t>
        </is>
      </c>
      <c r="F1276" t="inlineStr">
        <is>
          <t>Bergvik skog väst AB</t>
        </is>
      </c>
      <c r="G1276" t="n">
        <v>23.5</v>
      </c>
      <c r="H1276" t="n">
        <v>0</v>
      </c>
      <c r="I1276" t="n">
        <v>0</v>
      </c>
      <c r="J1276" t="n">
        <v>0</v>
      </c>
      <c r="K1276" t="n">
        <v>0</v>
      </c>
      <c r="L1276" t="n">
        <v>0</v>
      </c>
      <c r="M1276" t="n">
        <v>0</v>
      </c>
      <c r="N1276" t="n">
        <v>0</v>
      </c>
      <c r="O1276" t="n">
        <v>0</v>
      </c>
      <c r="P1276" t="n">
        <v>0</v>
      </c>
      <c r="Q1276" t="n">
        <v>0</v>
      </c>
      <c r="R1276" s="2" t="inlineStr"/>
    </row>
    <row r="1277" ht="15" customHeight="1">
      <c r="A1277" t="inlineStr">
        <is>
          <t>A 6756-2024</t>
        </is>
      </c>
      <c r="B1277" s="1" t="n">
        <v>45342</v>
      </c>
      <c r="C1277" s="1" t="n">
        <v>45719</v>
      </c>
      <c r="D1277" t="inlineStr">
        <is>
          <t>JÄMTLANDS LÄN</t>
        </is>
      </c>
      <c r="E1277" t="inlineStr">
        <is>
          <t>HÄRJEDALEN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7205-2024</t>
        </is>
      </c>
      <c r="B1278" s="1" t="n">
        <v>45344</v>
      </c>
      <c r="C1278" s="1" t="n">
        <v>45719</v>
      </c>
      <c r="D1278" t="inlineStr">
        <is>
          <t>JÄMTLANDS LÄN</t>
        </is>
      </c>
      <c r="E1278" t="inlineStr">
        <is>
          <t>HÄRJEDALEN</t>
        </is>
      </c>
      <c r="F1278" t="inlineStr">
        <is>
          <t>Holmen skog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7199-2024</t>
        </is>
      </c>
      <c r="B1279" s="1" t="n">
        <v>45344</v>
      </c>
      <c r="C1279" s="1" t="n">
        <v>45719</v>
      </c>
      <c r="D1279" t="inlineStr">
        <is>
          <t>JÄMTLANDS LÄN</t>
        </is>
      </c>
      <c r="E1279" t="inlineStr">
        <is>
          <t>HÄRJEDALEN</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7235-2024</t>
        </is>
      </c>
      <c r="B1280" s="1" t="n">
        <v>45344</v>
      </c>
      <c r="C1280" s="1" t="n">
        <v>45719</v>
      </c>
      <c r="D1280" t="inlineStr">
        <is>
          <t>JÄMTLANDS LÄN</t>
        </is>
      </c>
      <c r="E1280" t="inlineStr">
        <is>
          <t>HÄRJEDALEN</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7239-2024</t>
        </is>
      </c>
      <c r="B1281" s="1" t="n">
        <v>45344</v>
      </c>
      <c r="C1281" s="1" t="n">
        <v>45719</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7243-2024</t>
        </is>
      </c>
      <c r="B1282" s="1" t="n">
        <v>45344</v>
      </c>
      <c r="C1282" s="1" t="n">
        <v>45719</v>
      </c>
      <c r="D1282" t="inlineStr">
        <is>
          <t>JÄMTLANDS LÄN</t>
        </is>
      </c>
      <c r="E1282" t="inlineStr">
        <is>
          <t>HÄRJEDALEN</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7200-2024</t>
        </is>
      </c>
      <c r="B1283" s="1" t="n">
        <v>45344</v>
      </c>
      <c r="C1283" s="1" t="n">
        <v>45719</v>
      </c>
      <c r="D1283" t="inlineStr">
        <is>
          <t>JÄMTLANDS LÄN</t>
        </is>
      </c>
      <c r="E1283" t="inlineStr">
        <is>
          <t>HÄRJEDALEN</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7313-2024</t>
        </is>
      </c>
      <c r="B1284" s="1" t="n">
        <v>45345</v>
      </c>
      <c r="C1284" s="1" t="n">
        <v>45719</v>
      </c>
      <c r="D1284" t="inlineStr">
        <is>
          <t>JÄMTLANDS LÄN</t>
        </is>
      </c>
      <c r="E1284" t="inlineStr">
        <is>
          <t>HÄRJEDALEN</t>
        </is>
      </c>
      <c r="F1284" t="inlineStr">
        <is>
          <t>Holmen skog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7311-2024</t>
        </is>
      </c>
      <c r="B1285" s="1" t="n">
        <v>45345</v>
      </c>
      <c r="C1285" s="1" t="n">
        <v>45719</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7392-2024</t>
        </is>
      </c>
      <c r="B1286" s="1" t="n">
        <v>45345</v>
      </c>
      <c r="C1286" s="1" t="n">
        <v>45719</v>
      </c>
      <c r="D1286" t="inlineStr">
        <is>
          <t>JÄMTLANDS LÄN</t>
        </is>
      </c>
      <c r="E1286" t="inlineStr">
        <is>
          <t>HÄRJEDALEN</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7396-2024</t>
        </is>
      </c>
      <c r="B1287" s="1" t="n">
        <v>45345</v>
      </c>
      <c r="C1287" s="1" t="n">
        <v>45719</v>
      </c>
      <c r="D1287" t="inlineStr">
        <is>
          <t>JÄMTLANDS LÄN</t>
        </is>
      </c>
      <c r="E1287" t="inlineStr">
        <is>
          <t>HÄRJEDALEN</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7368-2024</t>
        </is>
      </c>
      <c r="B1288" s="1" t="n">
        <v>45345</v>
      </c>
      <c r="C1288" s="1" t="n">
        <v>45719</v>
      </c>
      <c r="D1288" t="inlineStr">
        <is>
          <t>JÄMTLANDS LÄN</t>
        </is>
      </c>
      <c r="E1288" t="inlineStr">
        <is>
          <t>HÄRJEDALEN</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7433-2024</t>
        </is>
      </c>
      <c r="B1289" s="1" t="n">
        <v>45345</v>
      </c>
      <c r="C1289" s="1" t="n">
        <v>45719</v>
      </c>
      <c r="D1289" t="inlineStr">
        <is>
          <t>JÄMTLANDS LÄN</t>
        </is>
      </c>
      <c r="E1289" t="inlineStr">
        <is>
          <t>HÄRJEDALEN</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7424-2024</t>
        </is>
      </c>
      <c r="B1290" s="1" t="n">
        <v>45345</v>
      </c>
      <c r="C1290" s="1" t="n">
        <v>45719</v>
      </c>
      <c r="D1290" t="inlineStr">
        <is>
          <t>JÄMTLANDS LÄN</t>
        </is>
      </c>
      <c r="E1290" t="inlineStr">
        <is>
          <t>HÄRJEDALEN</t>
        </is>
      </c>
      <c r="F1290" t="inlineStr">
        <is>
          <t>Holmen skog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7328-2024</t>
        </is>
      </c>
      <c r="B1291" s="1" t="n">
        <v>45345</v>
      </c>
      <c r="C1291" s="1" t="n">
        <v>45719</v>
      </c>
      <c r="D1291" t="inlineStr">
        <is>
          <t>JÄMTLANDS LÄN</t>
        </is>
      </c>
      <c r="E1291" t="inlineStr">
        <is>
          <t>HÄRJEDALEN</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7320-2024</t>
        </is>
      </c>
      <c r="B1292" s="1" t="n">
        <v>45345</v>
      </c>
      <c r="C1292" s="1" t="n">
        <v>45719</v>
      </c>
      <c r="D1292" t="inlineStr">
        <is>
          <t>JÄMTLANDS LÄN</t>
        </is>
      </c>
      <c r="E1292" t="inlineStr">
        <is>
          <t>HÄRJEDALEN</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7402-2024</t>
        </is>
      </c>
      <c r="B1293" s="1" t="n">
        <v>45345</v>
      </c>
      <c r="C1293" s="1" t="n">
        <v>45719</v>
      </c>
      <c r="D1293" t="inlineStr">
        <is>
          <t>JÄMTLANDS LÄN</t>
        </is>
      </c>
      <c r="E1293" t="inlineStr">
        <is>
          <t>HÄRJEDALEN</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7370-2024</t>
        </is>
      </c>
      <c r="B1294" s="1" t="n">
        <v>45345</v>
      </c>
      <c r="C1294" s="1" t="n">
        <v>45719</v>
      </c>
      <c r="D1294" t="inlineStr">
        <is>
          <t>JÄMTLANDS LÄN</t>
        </is>
      </c>
      <c r="E1294" t="inlineStr">
        <is>
          <t>HÄRJEDALEN</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7362-2024</t>
        </is>
      </c>
      <c r="B1295" s="1" t="n">
        <v>45345</v>
      </c>
      <c r="C1295" s="1" t="n">
        <v>45719</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7358-2024</t>
        </is>
      </c>
      <c r="B1296" s="1" t="n">
        <v>45345</v>
      </c>
      <c r="C1296" s="1" t="n">
        <v>45719</v>
      </c>
      <c r="D1296" t="inlineStr">
        <is>
          <t>JÄMTLANDS LÄN</t>
        </is>
      </c>
      <c r="E1296" t="inlineStr">
        <is>
          <t>HÄRJEDALEN</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7318-2024</t>
        </is>
      </c>
      <c r="B1297" s="1" t="n">
        <v>45345</v>
      </c>
      <c r="C1297" s="1" t="n">
        <v>45719</v>
      </c>
      <c r="D1297" t="inlineStr">
        <is>
          <t>JÄMTLANDS LÄN</t>
        </is>
      </c>
      <c r="E1297" t="inlineStr">
        <is>
          <t>HÄRJEDALEN</t>
        </is>
      </c>
      <c r="F1297" t="inlineStr">
        <is>
          <t>Holmen skog AB</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7430-2024</t>
        </is>
      </c>
      <c r="B1298" s="1" t="n">
        <v>45345</v>
      </c>
      <c r="C1298" s="1" t="n">
        <v>45719</v>
      </c>
      <c r="D1298" t="inlineStr">
        <is>
          <t>JÄMTLANDS LÄN</t>
        </is>
      </c>
      <c r="E1298" t="inlineStr">
        <is>
          <t>HÄRJEDALEN</t>
        </is>
      </c>
      <c r="F1298" t="inlineStr">
        <is>
          <t>Holmen skog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7371-2024</t>
        </is>
      </c>
      <c r="B1299" s="1" t="n">
        <v>45345</v>
      </c>
      <c r="C1299" s="1" t="n">
        <v>45719</v>
      </c>
      <c r="D1299" t="inlineStr">
        <is>
          <t>JÄMTLANDS LÄN</t>
        </is>
      </c>
      <c r="E1299" t="inlineStr">
        <is>
          <t>HÄRJEDALEN</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7405-2024</t>
        </is>
      </c>
      <c r="B1300" s="1" t="n">
        <v>45345</v>
      </c>
      <c r="C1300" s="1" t="n">
        <v>45719</v>
      </c>
      <c r="D1300" t="inlineStr">
        <is>
          <t>JÄMTLANDS LÄN</t>
        </is>
      </c>
      <c r="E1300" t="inlineStr">
        <is>
          <t>HÄRJEDALEN</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7349-2024</t>
        </is>
      </c>
      <c r="B1301" s="1" t="n">
        <v>45345</v>
      </c>
      <c r="C1301" s="1" t="n">
        <v>45719</v>
      </c>
      <c r="D1301" t="inlineStr">
        <is>
          <t>JÄMTLANDS LÄN</t>
        </is>
      </c>
      <c r="E1301" t="inlineStr">
        <is>
          <t>HÄRJEDALEN</t>
        </is>
      </c>
      <c r="F1301" t="inlineStr">
        <is>
          <t>Holmen skog AB</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7341-2024</t>
        </is>
      </c>
      <c r="B1302" s="1" t="n">
        <v>45345</v>
      </c>
      <c r="C1302" s="1" t="n">
        <v>45719</v>
      </c>
      <c r="D1302" t="inlineStr">
        <is>
          <t>JÄMTLANDS LÄN</t>
        </is>
      </c>
      <c r="E1302" t="inlineStr">
        <is>
          <t>HÄRJEDALEN</t>
        </is>
      </c>
      <c r="F1302" t="inlineStr">
        <is>
          <t>Holmen skog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7647-2024</t>
        </is>
      </c>
      <c r="B1303" s="1" t="n">
        <v>45348</v>
      </c>
      <c r="C1303" s="1" t="n">
        <v>45719</v>
      </c>
      <c r="D1303" t="inlineStr">
        <is>
          <t>JÄMTLANDS LÄN</t>
        </is>
      </c>
      <c r="E1303" t="inlineStr">
        <is>
          <t>HÄRJEDALEN</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7528-2024</t>
        </is>
      </c>
      <c r="B1304" s="1" t="n">
        <v>45348</v>
      </c>
      <c r="C1304" s="1" t="n">
        <v>45719</v>
      </c>
      <c r="D1304" t="inlineStr">
        <is>
          <t>JÄMTLANDS LÄN</t>
        </is>
      </c>
      <c r="E1304" t="inlineStr">
        <is>
          <t>HÄRJEDALEN</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7530-2024</t>
        </is>
      </c>
      <c r="B1305" s="1" t="n">
        <v>45348</v>
      </c>
      <c r="C1305" s="1" t="n">
        <v>45719</v>
      </c>
      <c r="D1305" t="inlineStr">
        <is>
          <t>JÄMTLANDS LÄN</t>
        </is>
      </c>
      <c r="E1305" t="inlineStr">
        <is>
          <t>HÄRJEDALEN</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7639-2024</t>
        </is>
      </c>
      <c r="B1306" s="1" t="n">
        <v>45348</v>
      </c>
      <c r="C1306" s="1" t="n">
        <v>45719</v>
      </c>
      <c r="D1306" t="inlineStr">
        <is>
          <t>JÄMTLANDS LÄN</t>
        </is>
      </c>
      <c r="E1306" t="inlineStr">
        <is>
          <t>HÄRJEDALEN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7684-2024</t>
        </is>
      </c>
      <c r="B1307" s="1" t="n">
        <v>45348</v>
      </c>
      <c r="C1307" s="1" t="n">
        <v>45719</v>
      </c>
      <c r="D1307" t="inlineStr">
        <is>
          <t>JÄMTLANDS LÄN</t>
        </is>
      </c>
      <c r="E1307" t="inlineStr">
        <is>
          <t>HÄRJEDALEN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7896-2024</t>
        </is>
      </c>
      <c r="B1308" s="1" t="n">
        <v>45350</v>
      </c>
      <c r="C1308" s="1" t="n">
        <v>45719</v>
      </c>
      <c r="D1308" t="inlineStr">
        <is>
          <t>JÄMTLANDS LÄN</t>
        </is>
      </c>
      <c r="E1308" t="inlineStr">
        <is>
          <t>HÄRJEDALEN</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7880-2024</t>
        </is>
      </c>
      <c r="B1309" s="1" t="n">
        <v>45350</v>
      </c>
      <c r="C1309" s="1" t="n">
        <v>45719</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7995-2024</t>
        </is>
      </c>
      <c r="B1310" s="1" t="n">
        <v>45350</v>
      </c>
      <c r="C1310" s="1" t="n">
        <v>45719</v>
      </c>
      <c r="D1310" t="inlineStr">
        <is>
          <t>JÄMTLANDS LÄN</t>
        </is>
      </c>
      <c r="E1310" t="inlineStr">
        <is>
          <t>HÄRJEDALEN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8178-2024</t>
        </is>
      </c>
      <c r="B1311" s="1" t="n">
        <v>45350</v>
      </c>
      <c r="C1311" s="1" t="n">
        <v>45719</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8158-2024</t>
        </is>
      </c>
      <c r="B1312" s="1" t="n">
        <v>45351</v>
      </c>
      <c r="C1312" s="1" t="n">
        <v>45719</v>
      </c>
      <c r="D1312" t="inlineStr">
        <is>
          <t>JÄMTLANDS LÄN</t>
        </is>
      </c>
      <c r="E1312" t="inlineStr">
        <is>
          <t>HÄRJEDALEN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8215-2024</t>
        </is>
      </c>
      <c r="B1313" s="1" t="n">
        <v>45351</v>
      </c>
      <c r="C1313" s="1" t="n">
        <v>45719</v>
      </c>
      <c r="D1313" t="inlineStr">
        <is>
          <t>JÄMTLANDS LÄN</t>
        </is>
      </c>
      <c r="E1313" t="inlineStr">
        <is>
          <t>HÄRJEDALEN</t>
        </is>
      </c>
      <c r="G1313" t="n">
        <v>49.2</v>
      </c>
      <c r="H1313" t="n">
        <v>0</v>
      </c>
      <c r="I1313" t="n">
        <v>0</v>
      </c>
      <c r="J1313" t="n">
        <v>0</v>
      </c>
      <c r="K1313" t="n">
        <v>0</v>
      </c>
      <c r="L1313" t="n">
        <v>0</v>
      </c>
      <c r="M1313" t="n">
        <v>0</v>
      </c>
      <c r="N1313" t="n">
        <v>0</v>
      </c>
      <c r="O1313" t="n">
        <v>0</v>
      </c>
      <c r="P1313" t="n">
        <v>0</v>
      </c>
      <c r="Q1313" t="n">
        <v>0</v>
      </c>
      <c r="R1313" s="2" t="inlineStr"/>
    </row>
    <row r="1314" ht="15" customHeight="1">
      <c r="A1314" t="inlineStr">
        <is>
          <t>A 8136-2024</t>
        </is>
      </c>
      <c r="B1314" s="1" t="n">
        <v>45351</v>
      </c>
      <c r="C1314" s="1" t="n">
        <v>45719</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8376-2024</t>
        </is>
      </c>
      <c r="B1315" s="1" t="n">
        <v>45352</v>
      </c>
      <c r="C1315" s="1" t="n">
        <v>45719</v>
      </c>
      <c r="D1315" t="inlineStr">
        <is>
          <t>JÄMTLANDS LÄN</t>
        </is>
      </c>
      <c r="E1315" t="inlineStr">
        <is>
          <t>HÄRJEDALEN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9013-2024</t>
        </is>
      </c>
      <c r="B1316" s="1" t="n">
        <v>45357</v>
      </c>
      <c r="C1316" s="1" t="n">
        <v>45719</v>
      </c>
      <c r="D1316" t="inlineStr">
        <is>
          <t>JÄMTLANDS LÄN</t>
        </is>
      </c>
      <c r="E1316" t="inlineStr">
        <is>
          <t>HÄRJEDALEN</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9778-2024</t>
        </is>
      </c>
      <c r="B1317" s="1" t="n">
        <v>45362</v>
      </c>
      <c r="C1317" s="1" t="n">
        <v>45719</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9782-2024</t>
        </is>
      </c>
      <c r="B1318" s="1" t="n">
        <v>45362</v>
      </c>
      <c r="C1318" s="1" t="n">
        <v>45719</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9767-2024</t>
        </is>
      </c>
      <c r="B1319" s="1" t="n">
        <v>45362</v>
      </c>
      <c r="C1319" s="1" t="n">
        <v>45719</v>
      </c>
      <c r="D1319" t="inlineStr">
        <is>
          <t>JÄMTLANDS LÄN</t>
        </is>
      </c>
      <c r="E1319" t="inlineStr">
        <is>
          <t>HÄRJEDALEN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9780-2024</t>
        </is>
      </c>
      <c r="B1320" s="1" t="n">
        <v>45362</v>
      </c>
      <c r="C1320" s="1" t="n">
        <v>45719</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9784-2024</t>
        </is>
      </c>
      <c r="B1321" s="1" t="n">
        <v>45362</v>
      </c>
      <c r="C1321" s="1" t="n">
        <v>45719</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9788-2024</t>
        </is>
      </c>
      <c r="B1322" s="1" t="n">
        <v>45362</v>
      </c>
      <c r="C1322" s="1" t="n">
        <v>45719</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9775-2024</t>
        </is>
      </c>
      <c r="B1323" s="1" t="n">
        <v>45362</v>
      </c>
      <c r="C1323" s="1" t="n">
        <v>45719</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10566-2024</t>
        </is>
      </c>
      <c r="B1324" s="1" t="n">
        <v>45366</v>
      </c>
      <c r="C1324" s="1" t="n">
        <v>45719</v>
      </c>
      <c r="D1324" t="inlineStr">
        <is>
          <t>JÄMTLANDS LÄN</t>
        </is>
      </c>
      <c r="E1324" t="inlineStr">
        <is>
          <t>HÄRJEDALEN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10564-2024</t>
        </is>
      </c>
      <c r="B1325" s="1" t="n">
        <v>45366</v>
      </c>
      <c r="C1325" s="1" t="n">
        <v>45719</v>
      </c>
      <c r="D1325" t="inlineStr">
        <is>
          <t>JÄMTLANDS LÄN</t>
        </is>
      </c>
      <c r="E1325" t="inlineStr">
        <is>
          <t>HÄRJEDALEN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10563-2024</t>
        </is>
      </c>
      <c r="B1326" s="1" t="n">
        <v>45366</v>
      </c>
      <c r="C1326" s="1" t="n">
        <v>45719</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11257-2024</t>
        </is>
      </c>
      <c r="B1327" s="1" t="n">
        <v>45371</v>
      </c>
      <c r="C1327" s="1" t="n">
        <v>45719</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11255-2024</t>
        </is>
      </c>
      <c r="B1328" s="1" t="n">
        <v>45371</v>
      </c>
      <c r="C1328" s="1" t="n">
        <v>45719</v>
      </c>
      <c r="D1328" t="inlineStr">
        <is>
          <t>JÄMTLANDS LÄN</t>
        </is>
      </c>
      <c r="E1328" t="inlineStr">
        <is>
          <t>HÄRJEDALEN</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11494-2024</t>
        </is>
      </c>
      <c r="B1329" s="1" t="n">
        <v>45372</v>
      </c>
      <c r="C1329" s="1" t="n">
        <v>45719</v>
      </c>
      <c r="D1329" t="inlineStr">
        <is>
          <t>JÄMTLANDS LÄN</t>
        </is>
      </c>
      <c r="E1329" t="inlineStr">
        <is>
          <t>HÄRJEDALEN</t>
        </is>
      </c>
      <c r="G1329" t="n">
        <v>28.8</v>
      </c>
      <c r="H1329" t="n">
        <v>0</v>
      </c>
      <c r="I1329" t="n">
        <v>0</v>
      </c>
      <c r="J1329" t="n">
        <v>0</v>
      </c>
      <c r="K1329" t="n">
        <v>0</v>
      </c>
      <c r="L1329" t="n">
        <v>0</v>
      </c>
      <c r="M1329" t="n">
        <v>0</v>
      </c>
      <c r="N1329" t="n">
        <v>0</v>
      </c>
      <c r="O1329" t="n">
        <v>0</v>
      </c>
      <c r="P1329" t="n">
        <v>0</v>
      </c>
      <c r="Q1329" t="n">
        <v>0</v>
      </c>
      <c r="R1329" s="2" t="inlineStr"/>
    </row>
    <row r="1330" ht="15" customHeight="1">
      <c r="A1330" t="inlineStr">
        <is>
          <t>A 11624-2024</t>
        </is>
      </c>
      <c r="B1330" s="1" t="n">
        <v>45373</v>
      </c>
      <c r="C1330" s="1" t="n">
        <v>45719</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11612-2024</t>
        </is>
      </c>
      <c r="B1331" s="1" t="n">
        <v>45373</v>
      </c>
      <c r="C1331" s="1" t="n">
        <v>45719</v>
      </c>
      <c r="D1331" t="inlineStr">
        <is>
          <t>JÄMTLANDS LÄN</t>
        </is>
      </c>
      <c r="E1331" t="inlineStr">
        <is>
          <t>HÄRJEDALEN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12043-2024</t>
        </is>
      </c>
      <c r="B1332" s="1" t="n">
        <v>45377</v>
      </c>
      <c r="C1332" s="1" t="n">
        <v>45719</v>
      </c>
      <c r="D1332" t="inlineStr">
        <is>
          <t>JÄMTLANDS LÄN</t>
        </is>
      </c>
      <c r="E1332" t="inlineStr">
        <is>
          <t>HÄRJEDALEN</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12929-2024</t>
        </is>
      </c>
      <c r="B1333" s="1" t="n">
        <v>45385</v>
      </c>
      <c r="C1333" s="1" t="n">
        <v>45719</v>
      </c>
      <c r="D1333" t="inlineStr">
        <is>
          <t>JÄMTLANDS LÄN</t>
        </is>
      </c>
      <c r="E1333" t="inlineStr">
        <is>
          <t>HÄRJEDALEN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13542-2024</t>
        </is>
      </c>
      <c r="B1334" s="1" t="n">
        <v>45387</v>
      </c>
      <c r="C1334" s="1" t="n">
        <v>45719</v>
      </c>
      <c r="D1334" t="inlineStr">
        <is>
          <t>JÄMTLANDS LÄN</t>
        </is>
      </c>
      <c r="E1334" t="inlineStr">
        <is>
          <t>HÄRJEDALEN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13543-2024</t>
        </is>
      </c>
      <c r="B1335" s="1" t="n">
        <v>45387</v>
      </c>
      <c r="C1335" s="1" t="n">
        <v>45719</v>
      </c>
      <c r="D1335" t="inlineStr">
        <is>
          <t>JÄMTLANDS LÄN</t>
        </is>
      </c>
      <c r="E1335" t="inlineStr">
        <is>
          <t>HÄRJEDALEN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13544-2024</t>
        </is>
      </c>
      <c r="B1336" s="1" t="n">
        <v>45387</v>
      </c>
      <c r="C1336" s="1" t="n">
        <v>45719</v>
      </c>
      <c r="D1336" t="inlineStr">
        <is>
          <t>JÄMTLANDS LÄN</t>
        </is>
      </c>
      <c r="E1336" t="inlineStr">
        <is>
          <t>HÄRJEDALEN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13545-2024</t>
        </is>
      </c>
      <c r="B1337" s="1" t="n">
        <v>45387</v>
      </c>
      <c r="C1337" s="1" t="n">
        <v>45719</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13541-2024</t>
        </is>
      </c>
      <c r="B1338" s="1" t="n">
        <v>45387</v>
      </c>
      <c r="C1338" s="1" t="n">
        <v>45719</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13723-2024</t>
        </is>
      </c>
      <c r="B1339" s="1" t="n">
        <v>45390</v>
      </c>
      <c r="C1339" s="1" t="n">
        <v>45719</v>
      </c>
      <c r="D1339" t="inlineStr">
        <is>
          <t>JÄMTLANDS LÄN</t>
        </is>
      </c>
      <c r="E1339" t="inlineStr">
        <is>
          <t>HÄRJEDALEN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14301-2024</t>
        </is>
      </c>
      <c r="B1340" s="1" t="n">
        <v>45393</v>
      </c>
      <c r="C1340" s="1" t="n">
        <v>45719</v>
      </c>
      <c r="D1340" t="inlineStr">
        <is>
          <t>JÄMTLANDS LÄN</t>
        </is>
      </c>
      <c r="E1340" t="inlineStr">
        <is>
          <t>HÄRJEDALEN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14306-2024</t>
        </is>
      </c>
      <c r="B1341" s="1" t="n">
        <v>45393</v>
      </c>
      <c r="C1341" s="1" t="n">
        <v>45719</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14752-2024</t>
        </is>
      </c>
      <c r="B1342" s="1" t="n">
        <v>45397</v>
      </c>
      <c r="C1342" s="1" t="n">
        <v>45719</v>
      </c>
      <c r="D1342" t="inlineStr">
        <is>
          <t>JÄMTLANDS LÄN</t>
        </is>
      </c>
      <c r="E1342" t="inlineStr">
        <is>
          <t>HÄRJEDALEN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15525-2024</t>
        </is>
      </c>
      <c r="B1343" s="1" t="n">
        <v>45401</v>
      </c>
      <c r="C1343" s="1" t="n">
        <v>45719</v>
      </c>
      <c r="D1343" t="inlineStr">
        <is>
          <t>JÄMTLANDS LÄN</t>
        </is>
      </c>
      <c r="E1343" t="inlineStr">
        <is>
          <t>HÄRJEDALEN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16185-2024</t>
        </is>
      </c>
      <c r="B1344" s="1" t="n">
        <v>45406</v>
      </c>
      <c r="C1344" s="1" t="n">
        <v>45719</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16151-2024</t>
        </is>
      </c>
      <c r="B1345" s="1" t="n">
        <v>45406</v>
      </c>
      <c r="C1345" s="1" t="n">
        <v>45719</v>
      </c>
      <c r="D1345" t="inlineStr">
        <is>
          <t>JÄMTLANDS LÄN</t>
        </is>
      </c>
      <c r="E1345" t="inlineStr">
        <is>
          <t>HÄRJEDALEN</t>
        </is>
      </c>
      <c r="F1345" t="inlineStr">
        <is>
          <t>Holmen skog AB</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16175-2024</t>
        </is>
      </c>
      <c r="B1346" s="1" t="n">
        <v>45406</v>
      </c>
      <c r="C1346" s="1" t="n">
        <v>45719</v>
      </c>
      <c r="D1346" t="inlineStr">
        <is>
          <t>JÄMTLANDS LÄN</t>
        </is>
      </c>
      <c r="E1346" t="inlineStr">
        <is>
          <t>HÄRJEDALEN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16176-2024</t>
        </is>
      </c>
      <c r="B1347" s="1" t="n">
        <v>45406</v>
      </c>
      <c r="C1347" s="1" t="n">
        <v>45719</v>
      </c>
      <c r="D1347" t="inlineStr">
        <is>
          <t>JÄMTLANDS LÄN</t>
        </is>
      </c>
      <c r="E1347" t="inlineStr">
        <is>
          <t>HÄRJEDALEN</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16283-2024</t>
        </is>
      </c>
      <c r="B1348" s="1" t="n">
        <v>45407</v>
      </c>
      <c r="C1348" s="1" t="n">
        <v>45719</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16511-2024</t>
        </is>
      </c>
      <c r="B1349" s="1" t="n">
        <v>45408</v>
      </c>
      <c r="C1349" s="1" t="n">
        <v>45719</v>
      </c>
      <c r="D1349" t="inlineStr">
        <is>
          <t>JÄMTLANDS LÄN</t>
        </is>
      </c>
      <c r="E1349" t="inlineStr">
        <is>
          <t>HÄRJEDALEN</t>
        </is>
      </c>
      <c r="G1349" t="n">
        <v>54.2</v>
      </c>
      <c r="H1349" t="n">
        <v>0</v>
      </c>
      <c r="I1349" t="n">
        <v>0</v>
      </c>
      <c r="J1349" t="n">
        <v>0</v>
      </c>
      <c r="K1349" t="n">
        <v>0</v>
      </c>
      <c r="L1349" t="n">
        <v>0</v>
      </c>
      <c r="M1349" t="n">
        <v>0</v>
      </c>
      <c r="N1349" t="n">
        <v>0</v>
      </c>
      <c r="O1349" t="n">
        <v>0</v>
      </c>
      <c r="P1349" t="n">
        <v>0</v>
      </c>
      <c r="Q1349" t="n">
        <v>0</v>
      </c>
      <c r="R1349" s="2" t="inlineStr"/>
    </row>
    <row r="1350" ht="15" customHeight="1">
      <c r="A1350" t="inlineStr">
        <is>
          <t>A 16535-2024</t>
        </is>
      </c>
      <c r="B1350" s="1" t="n">
        <v>45408</v>
      </c>
      <c r="C1350" s="1" t="n">
        <v>45719</v>
      </c>
      <c r="D1350" t="inlineStr">
        <is>
          <t>JÄMTLANDS LÄN</t>
        </is>
      </c>
      <c r="E1350" t="inlineStr">
        <is>
          <t>HÄRJEDALEN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16801-2024</t>
        </is>
      </c>
      <c r="B1351" s="1" t="n">
        <v>45411</v>
      </c>
      <c r="C1351" s="1" t="n">
        <v>45719</v>
      </c>
      <c r="D1351" t="inlineStr">
        <is>
          <t>JÄMTLANDS LÄN</t>
        </is>
      </c>
      <c r="E1351" t="inlineStr">
        <is>
          <t>HÄRJEDALEN</t>
        </is>
      </c>
      <c r="F1351" t="inlineStr">
        <is>
          <t>Bergvik skog väst AB</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17416-2024</t>
        </is>
      </c>
      <c r="B1352" s="1" t="n">
        <v>45415</v>
      </c>
      <c r="C1352" s="1" t="n">
        <v>45719</v>
      </c>
      <c r="D1352" t="inlineStr">
        <is>
          <t>JÄMTLANDS LÄN</t>
        </is>
      </c>
      <c r="E1352" t="inlineStr">
        <is>
          <t>HÄRJEDALEN</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17773-2024</t>
        </is>
      </c>
      <c r="B1353" s="1" t="n">
        <v>45418</v>
      </c>
      <c r="C1353" s="1" t="n">
        <v>45719</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17865-2024</t>
        </is>
      </c>
      <c r="B1354" s="1" t="n">
        <v>45419</v>
      </c>
      <c r="C1354" s="1" t="n">
        <v>45719</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18036-2024</t>
        </is>
      </c>
      <c r="B1355" s="1" t="n">
        <v>45420</v>
      </c>
      <c r="C1355" s="1" t="n">
        <v>45719</v>
      </c>
      <c r="D1355" t="inlineStr">
        <is>
          <t>JÄMTLANDS LÄN</t>
        </is>
      </c>
      <c r="E1355" t="inlineStr">
        <is>
          <t>HÄRJEDALEN</t>
        </is>
      </c>
      <c r="F1355" t="inlineStr">
        <is>
          <t>Holmen skog AB</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18068-2024</t>
        </is>
      </c>
      <c r="B1356" s="1" t="n">
        <v>45420</v>
      </c>
      <c r="C1356" s="1" t="n">
        <v>45719</v>
      </c>
      <c r="D1356" t="inlineStr">
        <is>
          <t>JÄMTLANDS LÄN</t>
        </is>
      </c>
      <c r="E1356" t="inlineStr">
        <is>
          <t>HÄRJEDALEN</t>
        </is>
      </c>
      <c r="F1356" t="inlineStr">
        <is>
          <t>Bergvik skog väst AB</t>
        </is>
      </c>
      <c r="G1356" t="n">
        <v>14.5</v>
      </c>
      <c r="H1356" t="n">
        <v>0</v>
      </c>
      <c r="I1356" t="n">
        <v>0</v>
      </c>
      <c r="J1356" t="n">
        <v>0</v>
      </c>
      <c r="K1356" t="n">
        <v>0</v>
      </c>
      <c r="L1356" t="n">
        <v>0</v>
      </c>
      <c r="M1356" t="n">
        <v>0</v>
      </c>
      <c r="N1356" t="n">
        <v>0</v>
      </c>
      <c r="O1356" t="n">
        <v>0</v>
      </c>
      <c r="P1356" t="n">
        <v>0</v>
      </c>
      <c r="Q1356" t="n">
        <v>0</v>
      </c>
      <c r="R1356" s="2" t="inlineStr"/>
    </row>
    <row r="1357" ht="15" customHeight="1">
      <c r="A1357" t="inlineStr">
        <is>
          <t>A 18076-2024</t>
        </is>
      </c>
      <c r="B1357" s="1" t="n">
        <v>45420</v>
      </c>
      <c r="C1357" s="1" t="n">
        <v>45719</v>
      </c>
      <c r="D1357" t="inlineStr">
        <is>
          <t>JÄMTLANDS LÄN</t>
        </is>
      </c>
      <c r="E1357" t="inlineStr">
        <is>
          <t>HÄRJEDALEN</t>
        </is>
      </c>
      <c r="F1357" t="inlineStr">
        <is>
          <t>Holmen skog AB</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18080-2024</t>
        </is>
      </c>
      <c r="B1358" s="1" t="n">
        <v>45420</v>
      </c>
      <c r="C1358" s="1" t="n">
        <v>45719</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18107-2024</t>
        </is>
      </c>
      <c r="B1359" s="1" t="n">
        <v>45420</v>
      </c>
      <c r="C1359" s="1" t="n">
        <v>45719</v>
      </c>
      <c r="D1359" t="inlineStr">
        <is>
          <t>JÄMTLANDS LÄN</t>
        </is>
      </c>
      <c r="E1359" t="inlineStr">
        <is>
          <t>HÄRJEDALEN</t>
        </is>
      </c>
      <c r="F1359" t="inlineStr">
        <is>
          <t>Holmen skog AB</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18554-2024</t>
        </is>
      </c>
      <c r="B1360" s="1" t="n">
        <v>45425</v>
      </c>
      <c r="C1360" s="1" t="n">
        <v>45719</v>
      </c>
      <c r="D1360" t="inlineStr">
        <is>
          <t>JÄMTLANDS LÄN</t>
        </is>
      </c>
      <c r="E1360" t="inlineStr">
        <is>
          <t>HÄRJEDALEN</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18550-2024</t>
        </is>
      </c>
      <c r="B1361" s="1" t="n">
        <v>45425</v>
      </c>
      <c r="C1361" s="1" t="n">
        <v>45719</v>
      </c>
      <c r="D1361" t="inlineStr">
        <is>
          <t>JÄMTLANDS LÄN</t>
        </is>
      </c>
      <c r="E1361" t="inlineStr">
        <is>
          <t>HÄRJEDALEN</t>
        </is>
      </c>
      <c r="G1361" t="n">
        <v>15.7</v>
      </c>
      <c r="H1361" t="n">
        <v>0</v>
      </c>
      <c r="I1361" t="n">
        <v>0</v>
      </c>
      <c r="J1361" t="n">
        <v>0</v>
      </c>
      <c r="K1361" t="n">
        <v>0</v>
      </c>
      <c r="L1361" t="n">
        <v>0</v>
      </c>
      <c r="M1361" t="n">
        <v>0</v>
      </c>
      <c r="N1361" t="n">
        <v>0</v>
      </c>
      <c r="O1361" t="n">
        <v>0</v>
      </c>
      <c r="P1361" t="n">
        <v>0</v>
      </c>
      <c r="Q1361" t="n">
        <v>0</v>
      </c>
      <c r="R1361" s="2" t="inlineStr"/>
    </row>
    <row r="1362" ht="15" customHeight="1">
      <c r="A1362" t="inlineStr">
        <is>
          <t>A 18644-2024</t>
        </is>
      </c>
      <c r="B1362" s="1" t="n">
        <v>45426</v>
      </c>
      <c r="C1362" s="1" t="n">
        <v>45719</v>
      </c>
      <c r="D1362" t="inlineStr">
        <is>
          <t>JÄMTLANDS LÄN</t>
        </is>
      </c>
      <c r="E1362" t="inlineStr">
        <is>
          <t>HÄRJEDALEN</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18903-2024</t>
        </is>
      </c>
      <c r="B1363" s="1" t="n">
        <v>45427</v>
      </c>
      <c r="C1363" s="1" t="n">
        <v>45719</v>
      </c>
      <c r="D1363" t="inlineStr">
        <is>
          <t>JÄMTLANDS LÄN</t>
        </is>
      </c>
      <c r="E1363" t="inlineStr">
        <is>
          <t>HÄRJEDALEN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19001-2024</t>
        </is>
      </c>
      <c r="B1364" s="1" t="n">
        <v>45427</v>
      </c>
      <c r="C1364" s="1" t="n">
        <v>45719</v>
      </c>
      <c r="D1364" t="inlineStr">
        <is>
          <t>JÄMTLANDS LÄN</t>
        </is>
      </c>
      <c r="E1364" t="inlineStr">
        <is>
          <t>HÄRJEDALEN</t>
        </is>
      </c>
      <c r="G1364" t="n">
        <v>22.6</v>
      </c>
      <c r="H1364" t="n">
        <v>0</v>
      </c>
      <c r="I1364" t="n">
        <v>0</v>
      </c>
      <c r="J1364" t="n">
        <v>0</v>
      </c>
      <c r="K1364" t="n">
        <v>0</v>
      </c>
      <c r="L1364" t="n">
        <v>0</v>
      </c>
      <c r="M1364" t="n">
        <v>0</v>
      </c>
      <c r="N1364" t="n">
        <v>0</v>
      </c>
      <c r="O1364" t="n">
        <v>0</v>
      </c>
      <c r="P1364" t="n">
        <v>0</v>
      </c>
      <c r="Q1364" t="n">
        <v>0</v>
      </c>
      <c r="R1364" s="2" t="inlineStr"/>
    </row>
    <row r="1365" ht="15" customHeight="1">
      <c r="A1365" t="inlineStr">
        <is>
          <t>A 19453-2024</t>
        </is>
      </c>
      <c r="B1365" s="1" t="n">
        <v>45429</v>
      </c>
      <c r="C1365" s="1" t="n">
        <v>45719</v>
      </c>
      <c r="D1365" t="inlineStr">
        <is>
          <t>JÄMTLANDS LÄN</t>
        </is>
      </c>
      <c r="E1365" t="inlineStr">
        <is>
          <t>HÄRJEDALEN</t>
        </is>
      </c>
      <c r="G1365" t="n">
        <v>31.6</v>
      </c>
      <c r="H1365" t="n">
        <v>0</v>
      </c>
      <c r="I1365" t="n">
        <v>0</v>
      </c>
      <c r="J1365" t="n">
        <v>0</v>
      </c>
      <c r="K1365" t="n">
        <v>0</v>
      </c>
      <c r="L1365" t="n">
        <v>0</v>
      </c>
      <c r="M1365" t="n">
        <v>0</v>
      </c>
      <c r="N1365" t="n">
        <v>0</v>
      </c>
      <c r="O1365" t="n">
        <v>0</v>
      </c>
      <c r="P1365" t="n">
        <v>0</v>
      </c>
      <c r="Q1365" t="n">
        <v>0</v>
      </c>
      <c r="R1365" s="2" t="inlineStr"/>
    </row>
    <row r="1366" ht="15" customHeight="1">
      <c r="A1366" t="inlineStr">
        <is>
          <t>A 19488-2024</t>
        </is>
      </c>
      <c r="B1366" s="1" t="n">
        <v>45429</v>
      </c>
      <c r="C1366" s="1" t="n">
        <v>45719</v>
      </c>
      <c r="D1366" t="inlineStr">
        <is>
          <t>JÄMTLANDS LÄN</t>
        </is>
      </c>
      <c r="E1366" t="inlineStr">
        <is>
          <t>HÄRJEDALEN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19492-2024</t>
        </is>
      </c>
      <c r="B1367" s="1" t="n">
        <v>45429</v>
      </c>
      <c r="C1367" s="1" t="n">
        <v>45719</v>
      </c>
      <c r="D1367" t="inlineStr">
        <is>
          <t>JÄMTLANDS LÄN</t>
        </is>
      </c>
      <c r="E1367" t="inlineStr">
        <is>
          <t>HÄRJEDALEN</t>
        </is>
      </c>
      <c r="G1367" t="n">
        <v>58.7</v>
      </c>
      <c r="H1367" t="n">
        <v>0</v>
      </c>
      <c r="I1367" t="n">
        <v>0</v>
      </c>
      <c r="J1367" t="n">
        <v>0</v>
      </c>
      <c r="K1367" t="n">
        <v>0</v>
      </c>
      <c r="L1367" t="n">
        <v>0</v>
      </c>
      <c r="M1367" t="n">
        <v>0</v>
      </c>
      <c r="N1367" t="n">
        <v>0</v>
      </c>
      <c r="O1367" t="n">
        <v>0</v>
      </c>
      <c r="P1367" t="n">
        <v>0</v>
      </c>
      <c r="Q1367" t="n">
        <v>0</v>
      </c>
      <c r="R1367" s="2" t="inlineStr"/>
    </row>
    <row r="1368" ht="15" customHeight="1">
      <c r="A1368" t="inlineStr">
        <is>
          <t>A 19402-2024</t>
        </is>
      </c>
      <c r="B1368" s="1" t="n">
        <v>45429</v>
      </c>
      <c r="C1368" s="1" t="n">
        <v>45719</v>
      </c>
      <c r="D1368" t="inlineStr">
        <is>
          <t>JÄMTLANDS LÄN</t>
        </is>
      </c>
      <c r="E1368" t="inlineStr">
        <is>
          <t>HÄRJEDALEN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19426-2024</t>
        </is>
      </c>
      <c r="B1369" s="1" t="n">
        <v>45429</v>
      </c>
      <c r="C1369" s="1" t="n">
        <v>45719</v>
      </c>
      <c r="D1369" t="inlineStr">
        <is>
          <t>JÄMTLANDS LÄN</t>
        </is>
      </c>
      <c r="E1369" t="inlineStr">
        <is>
          <t>HÄRJEDALEN</t>
        </is>
      </c>
      <c r="G1369" t="n">
        <v>30.6</v>
      </c>
      <c r="H1369" t="n">
        <v>0</v>
      </c>
      <c r="I1369" t="n">
        <v>0</v>
      </c>
      <c r="J1369" t="n">
        <v>0</v>
      </c>
      <c r="K1369" t="n">
        <v>0</v>
      </c>
      <c r="L1369" t="n">
        <v>0</v>
      </c>
      <c r="M1369" t="n">
        <v>0</v>
      </c>
      <c r="N1369" t="n">
        <v>0</v>
      </c>
      <c r="O1369" t="n">
        <v>0</v>
      </c>
      <c r="P1369" t="n">
        <v>0</v>
      </c>
      <c r="Q1369" t="n">
        <v>0</v>
      </c>
      <c r="R1369" s="2" t="inlineStr"/>
    </row>
    <row r="1370" ht="15" customHeight="1">
      <c r="A1370" t="inlineStr">
        <is>
          <t>A 19661-2024</t>
        </is>
      </c>
      <c r="B1370" s="1" t="n">
        <v>45432</v>
      </c>
      <c r="C1370" s="1" t="n">
        <v>45719</v>
      </c>
      <c r="D1370" t="inlineStr">
        <is>
          <t>JÄMTLANDS LÄN</t>
        </is>
      </c>
      <c r="E1370" t="inlineStr">
        <is>
          <t>HÄRJEDALEN</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19677-2024</t>
        </is>
      </c>
      <c r="B1371" s="1" t="n">
        <v>45432</v>
      </c>
      <c r="C1371" s="1" t="n">
        <v>45719</v>
      </c>
      <c r="D1371" t="inlineStr">
        <is>
          <t>JÄMTLANDS LÄN</t>
        </is>
      </c>
      <c r="E1371" t="inlineStr">
        <is>
          <t>HÄRJEDALEN</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20005-2024</t>
        </is>
      </c>
      <c r="B1372" s="1" t="n">
        <v>45434</v>
      </c>
      <c r="C1372" s="1" t="n">
        <v>45719</v>
      </c>
      <c r="D1372" t="inlineStr">
        <is>
          <t>JÄMTLANDS LÄN</t>
        </is>
      </c>
      <c r="E1372" t="inlineStr">
        <is>
          <t>HÄRJEDALEN</t>
        </is>
      </c>
      <c r="F1372" t="inlineStr">
        <is>
          <t>SCA</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20701-2024</t>
        </is>
      </c>
      <c r="B1373" s="1" t="n">
        <v>45436</v>
      </c>
      <c r="C1373" s="1" t="n">
        <v>45719</v>
      </c>
      <c r="D1373" t="inlineStr">
        <is>
          <t>JÄMTLANDS LÄN</t>
        </is>
      </c>
      <c r="E1373" t="inlineStr">
        <is>
          <t>HÄRJEDALEN</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20865-2024</t>
        </is>
      </c>
      <c r="B1374" s="1" t="n">
        <v>45439</v>
      </c>
      <c r="C1374" s="1" t="n">
        <v>45719</v>
      </c>
      <c r="D1374" t="inlineStr">
        <is>
          <t>JÄMTLANDS LÄN</t>
        </is>
      </c>
      <c r="E1374" t="inlineStr">
        <is>
          <t>HÄRJEDALEN</t>
        </is>
      </c>
      <c r="F1374" t="inlineStr">
        <is>
          <t>Holmen skog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21011-2024</t>
        </is>
      </c>
      <c r="B1375" s="1" t="n">
        <v>45439</v>
      </c>
      <c r="C1375" s="1" t="n">
        <v>45719</v>
      </c>
      <c r="D1375" t="inlineStr">
        <is>
          <t>JÄMTLANDS LÄN</t>
        </is>
      </c>
      <c r="E1375" t="inlineStr">
        <is>
          <t>HÄRJEDALEN</t>
        </is>
      </c>
      <c r="G1375" t="n">
        <v>92.40000000000001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20853-2024</t>
        </is>
      </c>
      <c r="B1376" s="1" t="n">
        <v>45439</v>
      </c>
      <c r="C1376" s="1" t="n">
        <v>45719</v>
      </c>
      <c r="D1376" t="inlineStr">
        <is>
          <t>JÄMTLANDS LÄN</t>
        </is>
      </c>
      <c r="E1376" t="inlineStr">
        <is>
          <t>HÄRJEDALEN</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21478-2024</t>
        </is>
      </c>
      <c r="B1377" s="1" t="n">
        <v>45441</v>
      </c>
      <c r="C1377" s="1" t="n">
        <v>45719</v>
      </c>
      <c r="D1377" t="inlineStr">
        <is>
          <t>JÄMTLANDS LÄN</t>
        </is>
      </c>
      <c r="E1377" t="inlineStr">
        <is>
          <t>HÄRJEDALEN</t>
        </is>
      </c>
      <c r="G1377" t="n">
        <v>44.9</v>
      </c>
      <c r="H1377" t="n">
        <v>0</v>
      </c>
      <c r="I1377" t="n">
        <v>0</v>
      </c>
      <c r="J1377" t="n">
        <v>0</v>
      </c>
      <c r="K1377" t="n">
        <v>0</v>
      </c>
      <c r="L1377" t="n">
        <v>0</v>
      </c>
      <c r="M1377" t="n">
        <v>0</v>
      </c>
      <c r="N1377" t="n">
        <v>0</v>
      </c>
      <c r="O1377" t="n">
        <v>0</v>
      </c>
      <c r="P1377" t="n">
        <v>0</v>
      </c>
      <c r="Q1377" t="n">
        <v>0</v>
      </c>
      <c r="R1377" s="2" t="inlineStr"/>
    </row>
    <row r="1378" ht="15" customHeight="1">
      <c r="A1378" t="inlineStr">
        <is>
          <t>A 21621-2024</t>
        </is>
      </c>
      <c r="B1378" s="1" t="n">
        <v>45442</v>
      </c>
      <c r="C1378" s="1" t="n">
        <v>45719</v>
      </c>
      <c r="D1378" t="inlineStr">
        <is>
          <t>JÄMTLANDS LÄN</t>
        </is>
      </c>
      <c r="E1378" t="inlineStr">
        <is>
          <t>HÄRJEDALEN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21624-2024</t>
        </is>
      </c>
      <c r="B1379" s="1" t="n">
        <v>45442</v>
      </c>
      <c r="C1379" s="1" t="n">
        <v>45719</v>
      </c>
      <c r="D1379" t="inlineStr">
        <is>
          <t>JÄMTLANDS LÄN</t>
        </is>
      </c>
      <c r="E1379" t="inlineStr">
        <is>
          <t>HÄRJEDALEN</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21816-2024</t>
        </is>
      </c>
      <c r="B1380" s="1" t="n">
        <v>45442</v>
      </c>
      <c r="C1380" s="1" t="n">
        <v>45719</v>
      </c>
      <c r="D1380" t="inlineStr">
        <is>
          <t>JÄMTLANDS LÄN</t>
        </is>
      </c>
      <c r="E1380" t="inlineStr">
        <is>
          <t>HÄRJEDALEN</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22499-2024</t>
        </is>
      </c>
      <c r="B1381" s="1" t="n">
        <v>45447</v>
      </c>
      <c r="C1381" s="1" t="n">
        <v>45719</v>
      </c>
      <c r="D1381" t="inlineStr">
        <is>
          <t>JÄMTLANDS LÄN</t>
        </is>
      </c>
      <c r="E1381" t="inlineStr">
        <is>
          <t>HÄRJEDALEN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22685-2024</t>
        </is>
      </c>
      <c r="B1382" s="1" t="n">
        <v>45448</v>
      </c>
      <c r="C1382" s="1" t="n">
        <v>45719</v>
      </c>
      <c r="D1382" t="inlineStr">
        <is>
          <t>JÄMTLANDS LÄN</t>
        </is>
      </c>
      <c r="E1382" t="inlineStr">
        <is>
          <t>HÄRJEDALEN</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22706-2024</t>
        </is>
      </c>
      <c r="B1383" s="1" t="n">
        <v>45448</v>
      </c>
      <c r="C1383" s="1" t="n">
        <v>45719</v>
      </c>
      <c r="D1383" t="inlineStr">
        <is>
          <t>JÄMTLANDS LÄN</t>
        </is>
      </c>
      <c r="E1383" t="inlineStr">
        <is>
          <t>HÄRJEDALEN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22838-2024</t>
        </is>
      </c>
      <c r="B1384" s="1" t="n">
        <v>45448</v>
      </c>
      <c r="C1384" s="1" t="n">
        <v>45719</v>
      </c>
      <c r="D1384" t="inlineStr">
        <is>
          <t>JÄMTLANDS LÄN</t>
        </is>
      </c>
      <c r="E1384" t="inlineStr">
        <is>
          <t>HÄRJEDALEN</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23474-2024</t>
        </is>
      </c>
      <c r="B1385" s="1" t="n">
        <v>45453</v>
      </c>
      <c r="C1385" s="1" t="n">
        <v>45719</v>
      </c>
      <c r="D1385" t="inlineStr">
        <is>
          <t>JÄMTLANDS LÄN</t>
        </is>
      </c>
      <c r="E1385" t="inlineStr">
        <is>
          <t>HÄRJEDALEN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23467-2024</t>
        </is>
      </c>
      <c r="B1386" s="1" t="n">
        <v>45453</v>
      </c>
      <c r="C1386" s="1" t="n">
        <v>45719</v>
      </c>
      <c r="D1386" t="inlineStr">
        <is>
          <t>JÄMTLANDS LÄN</t>
        </is>
      </c>
      <c r="E1386" t="inlineStr">
        <is>
          <t>HÄRJEDALEN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23965-2024</t>
        </is>
      </c>
      <c r="B1387" s="1" t="n">
        <v>45456</v>
      </c>
      <c r="C1387" s="1" t="n">
        <v>45719</v>
      </c>
      <c r="D1387" t="inlineStr">
        <is>
          <t>JÄMTLANDS LÄN</t>
        </is>
      </c>
      <c r="E1387" t="inlineStr">
        <is>
          <t>HÄRJEDALEN</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23964-2024</t>
        </is>
      </c>
      <c r="B1388" s="1" t="n">
        <v>45456</v>
      </c>
      <c r="C1388" s="1" t="n">
        <v>45719</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24250-2024</t>
        </is>
      </c>
      <c r="B1389" s="1" t="n">
        <v>45457</v>
      </c>
      <c r="C1389" s="1" t="n">
        <v>45719</v>
      </c>
      <c r="D1389" t="inlineStr">
        <is>
          <t>JÄMTLANDS LÄN</t>
        </is>
      </c>
      <c r="E1389" t="inlineStr">
        <is>
          <t>HÄRJEDALEN</t>
        </is>
      </c>
      <c r="F1389" t="inlineStr">
        <is>
          <t>Sveaskog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24423-2024</t>
        </is>
      </c>
      <c r="B1390" s="1" t="n">
        <v>45458</v>
      </c>
      <c r="C1390" s="1" t="n">
        <v>45719</v>
      </c>
      <c r="D1390" t="inlineStr">
        <is>
          <t>JÄMTLANDS LÄN</t>
        </is>
      </c>
      <c r="E1390" t="inlineStr">
        <is>
          <t>HÄRJEDALEN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24453-2024</t>
        </is>
      </c>
      <c r="B1391" s="1" t="n">
        <v>45458</v>
      </c>
      <c r="C1391" s="1" t="n">
        <v>45719</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24240-2024</t>
        </is>
      </c>
      <c r="B1392" s="1" t="n">
        <v>45457</v>
      </c>
      <c r="C1392" s="1" t="n">
        <v>45719</v>
      </c>
      <c r="D1392" t="inlineStr">
        <is>
          <t>JÄMTLANDS LÄN</t>
        </is>
      </c>
      <c r="E1392" t="inlineStr">
        <is>
          <t>HÄRJEDALEN</t>
        </is>
      </c>
      <c r="F1392" t="inlineStr">
        <is>
          <t>Bergvik skog väst AB</t>
        </is>
      </c>
      <c r="G1392" t="n">
        <v>27.3</v>
      </c>
      <c r="H1392" t="n">
        <v>0</v>
      </c>
      <c r="I1392" t="n">
        <v>0</v>
      </c>
      <c r="J1392" t="n">
        <v>0</v>
      </c>
      <c r="K1392" t="n">
        <v>0</v>
      </c>
      <c r="L1392" t="n">
        <v>0</v>
      </c>
      <c r="M1392" t="n">
        <v>0</v>
      </c>
      <c r="N1392" t="n">
        <v>0</v>
      </c>
      <c r="O1392" t="n">
        <v>0</v>
      </c>
      <c r="P1392" t="n">
        <v>0</v>
      </c>
      <c r="Q1392" t="n">
        <v>0</v>
      </c>
      <c r="R1392" s="2" t="inlineStr"/>
    </row>
    <row r="1393" ht="15" customHeight="1">
      <c r="A1393" t="inlineStr">
        <is>
          <t>A 24421-2024</t>
        </is>
      </c>
      <c r="B1393" s="1" t="n">
        <v>45458</v>
      </c>
      <c r="C1393" s="1" t="n">
        <v>45719</v>
      </c>
      <c r="D1393" t="inlineStr">
        <is>
          <t>JÄMTLANDS LÄN</t>
        </is>
      </c>
      <c r="E1393" t="inlineStr">
        <is>
          <t>HÄRJEDALEN</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24452-2024</t>
        </is>
      </c>
      <c r="B1394" s="1" t="n">
        <v>45458</v>
      </c>
      <c r="C1394" s="1" t="n">
        <v>45719</v>
      </c>
      <c r="D1394" t="inlineStr">
        <is>
          <t>JÄMTLANDS LÄN</t>
        </is>
      </c>
      <c r="E1394" t="inlineStr">
        <is>
          <t>HÄRJEDALEN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24275-2024</t>
        </is>
      </c>
      <c r="B1395" s="1" t="n">
        <v>45457</v>
      </c>
      <c r="C1395" s="1" t="n">
        <v>45719</v>
      </c>
      <c r="D1395" t="inlineStr">
        <is>
          <t>JÄMTLANDS LÄN</t>
        </is>
      </c>
      <c r="E1395" t="inlineStr">
        <is>
          <t>HÄRJEDALEN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24295-2024</t>
        </is>
      </c>
      <c r="B1396" s="1" t="n">
        <v>45457</v>
      </c>
      <c r="C1396" s="1" t="n">
        <v>45719</v>
      </c>
      <c r="D1396" t="inlineStr">
        <is>
          <t>JÄMTLANDS LÄN</t>
        </is>
      </c>
      <c r="E1396" t="inlineStr">
        <is>
          <t>HÄRJEDALEN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24335-2024</t>
        </is>
      </c>
      <c r="B1397" s="1" t="n">
        <v>45457</v>
      </c>
      <c r="C1397" s="1" t="n">
        <v>45719</v>
      </c>
      <c r="D1397" t="inlineStr">
        <is>
          <t>JÄMTLANDS LÄN</t>
        </is>
      </c>
      <c r="E1397" t="inlineStr">
        <is>
          <t>HÄRJEDALEN</t>
        </is>
      </c>
      <c r="F1397" t="inlineStr">
        <is>
          <t>Naturvårdsverket</t>
        </is>
      </c>
      <c r="G1397" t="n">
        <v>20.3</v>
      </c>
      <c r="H1397" t="n">
        <v>0</v>
      </c>
      <c r="I1397" t="n">
        <v>0</v>
      </c>
      <c r="J1397" t="n">
        <v>0</v>
      </c>
      <c r="K1397" t="n">
        <v>0</v>
      </c>
      <c r="L1397" t="n">
        <v>0</v>
      </c>
      <c r="M1397" t="n">
        <v>0</v>
      </c>
      <c r="N1397" t="n">
        <v>0</v>
      </c>
      <c r="O1397" t="n">
        <v>0</v>
      </c>
      <c r="P1397" t="n">
        <v>0</v>
      </c>
      <c r="Q1397" t="n">
        <v>0</v>
      </c>
      <c r="R1397" s="2" t="inlineStr"/>
    </row>
    <row r="1398" ht="15" customHeight="1">
      <c r="A1398" t="inlineStr">
        <is>
          <t>A 24425-2024</t>
        </is>
      </c>
      <c r="B1398" s="1" t="n">
        <v>45458</v>
      </c>
      <c r="C1398" s="1" t="n">
        <v>45719</v>
      </c>
      <c r="D1398" t="inlineStr">
        <is>
          <t>JÄMTLANDS LÄN</t>
        </is>
      </c>
      <c r="E1398" t="inlineStr">
        <is>
          <t>HÄRJEDALEN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24494-2024</t>
        </is>
      </c>
      <c r="B1399" s="1" t="n">
        <v>45459</v>
      </c>
      <c r="C1399" s="1" t="n">
        <v>45719</v>
      </c>
      <c r="D1399" t="inlineStr">
        <is>
          <t>JÄMTLANDS LÄN</t>
        </is>
      </c>
      <c r="E1399" t="inlineStr">
        <is>
          <t>HÄRJEDALEN</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24711-2024</t>
        </is>
      </c>
      <c r="B1400" s="1" t="n">
        <v>45460</v>
      </c>
      <c r="C1400" s="1" t="n">
        <v>45719</v>
      </c>
      <c r="D1400" t="inlineStr">
        <is>
          <t>JÄMTLANDS LÄN</t>
        </is>
      </c>
      <c r="E1400" t="inlineStr">
        <is>
          <t>HÄRJEDALEN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24608-2024</t>
        </is>
      </c>
      <c r="B1401" s="1" t="n">
        <v>45460</v>
      </c>
      <c r="C1401" s="1" t="n">
        <v>45719</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24526-2024</t>
        </is>
      </c>
      <c r="B1402" s="1" t="n">
        <v>45460</v>
      </c>
      <c r="C1402" s="1" t="n">
        <v>45719</v>
      </c>
      <c r="D1402" t="inlineStr">
        <is>
          <t>JÄMTLANDS LÄN</t>
        </is>
      </c>
      <c r="E1402" t="inlineStr">
        <is>
          <t>HÄRJEDALEN</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24613-2024</t>
        </is>
      </c>
      <c r="B1403" s="1" t="n">
        <v>45460</v>
      </c>
      <c r="C1403" s="1" t="n">
        <v>45719</v>
      </c>
      <c r="D1403" t="inlineStr">
        <is>
          <t>JÄMTLANDS LÄN</t>
        </is>
      </c>
      <c r="E1403" t="inlineStr">
        <is>
          <t>HÄRJEDALEN</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25049-2024</t>
        </is>
      </c>
      <c r="B1404" s="1" t="n">
        <v>45462</v>
      </c>
      <c r="C1404" s="1" t="n">
        <v>45719</v>
      </c>
      <c r="D1404" t="inlineStr">
        <is>
          <t>JÄMTLANDS LÄN</t>
        </is>
      </c>
      <c r="E1404" t="inlineStr">
        <is>
          <t>HÄRJEDALEN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25502-2024</t>
        </is>
      </c>
      <c r="B1405" s="1" t="n">
        <v>45463</v>
      </c>
      <c r="C1405" s="1" t="n">
        <v>45719</v>
      </c>
      <c r="D1405" t="inlineStr">
        <is>
          <t>JÄMTLANDS LÄN</t>
        </is>
      </c>
      <c r="E1405" t="inlineStr">
        <is>
          <t>HÄRJEDALEN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25893-2024</t>
        </is>
      </c>
      <c r="B1406" s="1" t="n">
        <v>45467</v>
      </c>
      <c r="C1406" s="1" t="n">
        <v>45719</v>
      </c>
      <c r="D1406" t="inlineStr">
        <is>
          <t>JÄMTLANDS LÄN</t>
        </is>
      </c>
      <c r="E1406" t="inlineStr">
        <is>
          <t>HÄRJEDALEN</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26001-2024</t>
        </is>
      </c>
      <c r="B1407" s="1" t="n">
        <v>45468</v>
      </c>
      <c r="C1407" s="1" t="n">
        <v>45719</v>
      </c>
      <c r="D1407" t="inlineStr">
        <is>
          <t>JÄMTLANDS LÄN</t>
        </is>
      </c>
      <c r="E1407" t="inlineStr">
        <is>
          <t>HÄRJEDALEN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27068-2024</t>
        </is>
      </c>
      <c r="B1408" s="1" t="n">
        <v>45471</v>
      </c>
      <c r="C1408" s="1" t="n">
        <v>45719</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27075-2024</t>
        </is>
      </c>
      <c r="B1409" s="1" t="n">
        <v>45471</v>
      </c>
      <c r="C1409" s="1" t="n">
        <v>45719</v>
      </c>
      <c r="D1409" t="inlineStr">
        <is>
          <t>JÄMTLANDS LÄN</t>
        </is>
      </c>
      <c r="E1409" t="inlineStr">
        <is>
          <t>HÄRJEDALEN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27245-2024</t>
        </is>
      </c>
      <c r="B1410" s="1" t="n">
        <v>45471</v>
      </c>
      <c r="C1410" s="1" t="n">
        <v>45719</v>
      </c>
      <c r="D1410" t="inlineStr">
        <is>
          <t>JÄMTLANDS LÄN</t>
        </is>
      </c>
      <c r="E1410" t="inlineStr">
        <is>
          <t>HÄRJEDALEN</t>
        </is>
      </c>
      <c r="F1410" t="inlineStr">
        <is>
          <t>Bergvik skog väst AB</t>
        </is>
      </c>
      <c r="G1410" t="n">
        <v>31.2</v>
      </c>
      <c r="H1410" t="n">
        <v>0</v>
      </c>
      <c r="I1410" t="n">
        <v>0</v>
      </c>
      <c r="J1410" t="n">
        <v>0</v>
      </c>
      <c r="K1410" t="n">
        <v>0</v>
      </c>
      <c r="L1410" t="n">
        <v>0</v>
      </c>
      <c r="M1410" t="n">
        <v>0</v>
      </c>
      <c r="N1410" t="n">
        <v>0</v>
      </c>
      <c r="O1410" t="n">
        <v>0</v>
      </c>
      <c r="P1410" t="n">
        <v>0</v>
      </c>
      <c r="Q1410" t="n">
        <v>0</v>
      </c>
      <c r="R1410" s="2" t="inlineStr"/>
    </row>
    <row r="1411" ht="15" customHeight="1">
      <c r="A1411" t="inlineStr">
        <is>
          <t>A 27065-2024</t>
        </is>
      </c>
      <c r="B1411" s="1" t="n">
        <v>45471</v>
      </c>
      <c r="C1411" s="1" t="n">
        <v>45719</v>
      </c>
      <c r="D1411" t="inlineStr">
        <is>
          <t>JÄMTLANDS LÄN</t>
        </is>
      </c>
      <c r="E1411" t="inlineStr">
        <is>
          <t>HÄRJEDALEN</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27066-2024</t>
        </is>
      </c>
      <c r="B1412" s="1" t="n">
        <v>45471</v>
      </c>
      <c r="C1412" s="1" t="n">
        <v>45719</v>
      </c>
      <c r="D1412" t="inlineStr">
        <is>
          <t>JÄMTLANDS LÄN</t>
        </is>
      </c>
      <c r="E1412" t="inlineStr">
        <is>
          <t>HÄRJEDALEN</t>
        </is>
      </c>
      <c r="F1412" t="inlineStr">
        <is>
          <t>Bergvik skog väst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27235-2024</t>
        </is>
      </c>
      <c r="B1413" s="1" t="n">
        <v>45471</v>
      </c>
      <c r="C1413" s="1" t="n">
        <v>45719</v>
      </c>
      <c r="D1413" t="inlineStr">
        <is>
          <t>JÄMTLANDS LÄN</t>
        </is>
      </c>
      <c r="E1413" t="inlineStr">
        <is>
          <t>HÄRJEDALEN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27076-2024</t>
        </is>
      </c>
      <c r="B1414" s="1" t="n">
        <v>45471</v>
      </c>
      <c r="C1414" s="1" t="n">
        <v>45719</v>
      </c>
      <c r="D1414" t="inlineStr">
        <is>
          <t>JÄMTLANDS LÄN</t>
        </is>
      </c>
      <c r="E1414" t="inlineStr">
        <is>
          <t>HÄRJEDALEN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27512-2024</t>
        </is>
      </c>
      <c r="B1415" s="1" t="n">
        <v>45474</v>
      </c>
      <c r="C1415" s="1" t="n">
        <v>45719</v>
      </c>
      <c r="D1415" t="inlineStr">
        <is>
          <t>JÄMTLANDS LÄN</t>
        </is>
      </c>
      <c r="E1415" t="inlineStr">
        <is>
          <t>HÄRJEDALEN</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28406-2024</t>
        </is>
      </c>
      <c r="B1416" s="1" t="n">
        <v>45477</v>
      </c>
      <c r="C1416" s="1" t="n">
        <v>45719</v>
      </c>
      <c r="D1416" t="inlineStr">
        <is>
          <t>JÄMTLANDS LÄN</t>
        </is>
      </c>
      <c r="E1416" t="inlineStr">
        <is>
          <t>HÄRJEDALEN</t>
        </is>
      </c>
      <c r="F1416" t="inlineStr">
        <is>
          <t>Holmen skog AB</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28444-2024</t>
        </is>
      </c>
      <c r="B1417" s="1" t="n">
        <v>45477</v>
      </c>
      <c r="C1417" s="1" t="n">
        <v>45719</v>
      </c>
      <c r="D1417" t="inlineStr">
        <is>
          <t>JÄMTLANDS LÄN</t>
        </is>
      </c>
      <c r="E1417" t="inlineStr">
        <is>
          <t>HÄRJEDALEN</t>
        </is>
      </c>
      <c r="F1417" t="inlineStr">
        <is>
          <t>Holmen skog AB</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28408-2024</t>
        </is>
      </c>
      <c r="B1418" s="1" t="n">
        <v>45477</v>
      </c>
      <c r="C1418" s="1" t="n">
        <v>45719</v>
      </c>
      <c r="D1418" t="inlineStr">
        <is>
          <t>JÄMTLANDS LÄN</t>
        </is>
      </c>
      <c r="E1418" t="inlineStr">
        <is>
          <t>HÄRJEDALEN</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28400-2024</t>
        </is>
      </c>
      <c r="B1419" s="1" t="n">
        <v>45477</v>
      </c>
      <c r="C1419" s="1" t="n">
        <v>45719</v>
      </c>
      <c r="D1419" t="inlineStr">
        <is>
          <t>JÄMTLANDS LÄN</t>
        </is>
      </c>
      <c r="E1419" t="inlineStr">
        <is>
          <t>HÄRJEDALEN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28403-2024</t>
        </is>
      </c>
      <c r="B1420" s="1" t="n">
        <v>45477</v>
      </c>
      <c r="C1420" s="1" t="n">
        <v>45719</v>
      </c>
      <c r="D1420" t="inlineStr">
        <is>
          <t>JÄMTLANDS LÄN</t>
        </is>
      </c>
      <c r="E1420" t="inlineStr">
        <is>
          <t>HÄRJEDALEN</t>
        </is>
      </c>
      <c r="F1420" t="inlineStr">
        <is>
          <t>Holmen skog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28426-2024</t>
        </is>
      </c>
      <c r="B1421" s="1" t="n">
        <v>45477</v>
      </c>
      <c r="C1421" s="1" t="n">
        <v>45719</v>
      </c>
      <c r="D1421" t="inlineStr">
        <is>
          <t>JÄMTLANDS LÄN</t>
        </is>
      </c>
      <c r="E1421" t="inlineStr">
        <is>
          <t>HÄRJEDALEN</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28627-2024</t>
        </is>
      </c>
      <c r="B1422" s="1" t="n">
        <v>45478</v>
      </c>
      <c r="C1422" s="1" t="n">
        <v>45719</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28686-2024</t>
        </is>
      </c>
      <c r="B1423" s="1" t="n">
        <v>45478</v>
      </c>
      <c r="C1423" s="1" t="n">
        <v>45719</v>
      </c>
      <c r="D1423" t="inlineStr">
        <is>
          <t>JÄMTLANDS LÄN</t>
        </is>
      </c>
      <c r="E1423" t="inlineStr">
        <is>
          <t>HÄRJEDALEN</t>
        </is>
      </c>
      <c r="F1423" t="inlineStr">
        <is>
          <t>Bergvik skog väst AB</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28930-2024</t>
        </is>
      </c>
      <c r="B1424" s="1" t="n">
        <v>45481</v>
      </c>
      <c r="C1424" s="1" t="n">
        <v>45719</v>
      </c>
      <c r="D1424" t="inlineStr">
        <is>
          <t>JÄMTLANDS LÄN</t>
        </is>
      </c>
      <c r="E1424" t="inlineStr">
        <is>
          <t>HÄRJEDALEN</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29330-2024</t>
        </is>
      </c>
      <c r="B1425" s="1" t="n">
        <v>45483</v>
      </c>
      <c r="C1425" s="1" t="n">
        <v>45719</v>
      </c>
      <c r="D1425" t="inlineStr">
        <is>
          <t>JÄMTLANDS LÄN</t>
        </is>
      </c>
      <c r="E1425" t="inlineStr">
        <is>
          <t>HÄRJEDALEN</t>
        </is>
      </c>
      <c r="G1425" t="n">
        <v>21.4</v>
      </c>
      <c r="H1425" t="n">
        <v>0</v>
      </c>
      <c r="I1425" t="n">
        <v>0</v>
      </c>
      <c r="J1425" t="n">
        <v>0</v>
      </c>
      <c r="K1425" t="n">
        <v>0</v>
      </c>
      <c r="L1425" t="n">
        <v>0</v>
      </c>
      <c r="M1425" t="n">
        <v>0</v>
      </c>
      <c r="N1425" t="n">
        <v>0</v>
      </c>
      <c r="O1425" t="n">
        <v>0</v>
      </c>
      <c r="P1425" t="n">
        <v>0</v>
      </c>
      <c r="Q1425" t="n">
        <v>0</v>
      </c>
      <c r="R1425" s="2" t="inlineStr"/>
    </row>
    <row r="1426" ht="15" customHeight="1">
      <c r="A1426" t="inlineStr">
        <is>
          <t>A 29334-2024</t>
        </is>
      </c>
      <c r="B1426" s="1" t="n">
        <v>45483</v>
      </c>
      <c r="C1426" s="1" t="n">
        <v>45719</v>
      </c>
      <c r="D1426" t="inlineStr">
        <is>
          <t>JÄMTLANDS LÄN</t>
        </is>
      </c>
      <c r="E1426" t="inlineStr">
        <is>
          <t>HÄRJEDALEN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29343-2024</t>
        </is>
      </c>
      <c r="B1427" s="1" t="n">
        <v>45483</v>
      </c>
      <c r="C1427" s="1" t="n">
        <v>45719</v>
      </c>
      <c r="D1427" t="inlineStr">
        <is>
          <t>JÄMTLANDS LÄN</t>
        </is>
      </c>
      <c r="E1427" t="inlineStr">
        <is>
          <t>HÄRJEDALEN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29304-2024</t>
        </is>
      </c>
      <c r="B1428" s="1" t="n">
        <v>45483</v>
      </c>
      <c r="C1428" s="1" t="n">
        <v>45719</v>
      </c>
      <c r="D1428" t="inlineStr">
        <is>
          <t>JÄMTLANDS LÄN</t>
        </is>
      </c>
      <c r="E1428" t="inlineStr">
        <is>
          <t>HÄRJEDALEN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29347-2024</t>
        </is>
      </c>
      <c r="B1429" s="1" t="n">
        <v>45483</v>
      </c>
      <c r="C1429" s="1" t="n">
        <v>45719</v>
      </c>
      <c r="D1429" t="inlineStr">
        <is>
          <t>JÄMTLANDS LÄN</t>
        </is>
      </c>
      <c r="E1429" t="inlineStr">
        <is>
          <t>HÄRJEDALEN</t>
        </is>
      </c>
      <c r="G1429" t="n">
        <v>35.8</v>
      </c>
      <c r="H1429" t="n">
        <v>0</v>
      </c>
      <c r="I1429" t="n">
        <v>0</v>
      </c>
      <c r="J1429" t="n">
        <v>0</v>
      </c>
      <c r="K1429" t="n">
        <v>0</v>
      </c>
      <c r="L1429" t="n">
        <v>0</v>
      </c>
      <c r="M1429" t="n">
        <v>0</v>
      </c>
      <c r="N1429" t="n">
        <v>0</v>
      </c>
      <c r="O1429" t="n">
        <v>0</v>
      </c>
      <c r="P1429" t="n">
        <v>0</v>
      </c>
      <c r="Q1429" t="n">
        <v>0</v>
      </c>
      <c r="R1429" s="2" t="inlineStr"/>
    </row>
    <row r="1430" ht="15" customHeight="1">
      <c r="A1430" t="inlineStr">
        <is>
          <t>A 29536-2024</t>
        </is>
      </c>
      <c r="B1430" s="1" t="n">
        <v>45484</v>
      </c>
      <c r="C1430" s="1" t="n">
        <v>45719</v>
      </c>
      <c r="D1430" t="inlineStr">
        <is>
          <t>JÄMTLANDS LÄN</t>
        </is>
      </c>
      <c r="E1430" t="inlineStr">
        <is>
          <t>HÄRJEDALEN</t>
        </is>
      </c>
      <c r="F1430" t="inlineStr">
        <is>
          <t>Holmen skog AB</t>
        </is>
      </c>
      <c r="G1430" t="n">
        <v>25.2</v>
      </c>
      <c r="H1430" t="n">
        <v>0</v>
      </c>
      <c r="I1430" t="n">
        <v>0</v>
      </c>
      <c r="J1430" t="n">
        <v>0</v>
      </c>
      <c r="K1430" t="n">
        <v>0</v>
      </c>
      <c r="L1430" t="n">
        <v>0</v>
      </c>
      <c r="M1430" t="n">
        <v>0</v>
      </c>
      <c r="N1430" t="n">
        <v>0</v>
      </c>
      <c r="O1430" t="n">
        <v>0</v>
      </c>
      <c r="P1430" t="n">
        <v>0</v>
      </c>
      <c r="Q1430" t="n">
        <v>0</v>
      </c>
      <c r="R1430" s="2" t="inlineStr"/>
    </row>
    <row r="1431" ht="15" customHeight="1">
      <c r="A1431" t="inlineStr">
        <is>
          <t>A 29624-2024</t>
        </is>
      </c>
      <c r="B1431" s="1" t="n">
        <v>45484</v>
      </c>
      <c r="C1431" s="1" t="n">
        <v>45719</v>
      </c>
      <c r="D1431" t="inlineStr">
        <is>
          <t>JÄMTLANDS LÄN</t>
        </is>
      </c>
      <c r="E1431" t="inlineStr">
        <is>
          <t>HÄRJEDALEN</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29584-2024</t>
        </is>
      </c>
      <c r="B1432" s="1" t="n">
        <v>45484</v>
      </c>
      <c r="C1432" s="1" t="n">
        <v>45719</v>
      </c>
      <c r="D1432" t="inlineStr">
        <is>
          <t>JÄMTLANDS LÄN</t>
        </is>
      </c>
      <c r="E1432" t="inlineStr">
        <is>
          <t>HÄRJEDALEN</t>
        </is>
      </c>
      <c r="F1432" t="inlineStr">
        <is>
          <t>Holmen skog AB</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29580-2024</t>
        </is>
      </c>
      <c r="B1433" s="1" t="n">
        <v>45484</v>
      </c>
      <c r="C1433" s="1" t="n">
        <v>45719</v>
      </c>
      <c r="D1433" t="inlineStr">
        <is>
          <t>JÄMTLANDS LÄN</t>
        </is>
      </c>
      <c r="E1433" t="inlineStr">
        <is>
          <t>HÄRJEDALEN</t>
        </is>
      </c>
      <c r="F1433" t="inlineStr">
        <is>
          <t>Holmen skog AB</t>
        </is>
      </c>
      <c r="G1433" t="n">
        <v>38.1</v>
      </c>
      <c r="H1433" t="n">
        <v>0</v>
      </c>
      <c r="I1433" t="n">
        <v>0</v>
      </c>
      <c r="J1433" t="n">
        <v>0</v>
      </c>
      <c r="K1433" t="n">
        <v>0</v>
      </c>
      <c r="L1433" t="n">
        <v>0</v>
      </c>
      <c r="M1433" t="n">
        <v>0</v>
      </c>
      <c r="N1433" t="n">
        <v>0</v>
      </c>
      <c r="O1433" t="n">
        <v>0</v>
      </c>
      <c r="P1433" t="n">
        <v>0</v>
      </c>
      <c r="Q1433" t="n">
        <v>0</v>
      </c>
      <c r="R1433" s="2" t="inlineStr"/>
    </row>
    <row r="1434" ht="15" customHeight="1">
      <c r="A1434" t="inlineStr">
        <is>
          <t>A 29631-2024</t>
        </is>
      </c>
      <c r="B1434" s="1" t="n">
        <v>45484</v>
      </c>
      <c r="C1434" s="1" t="n">
        <v>45719</v>
      </c>
      <c r="D1434" t="inlineStr">
        <is>
          <t>JÄMTLANDS LÄN</t>
        </is>
      </c>
      <c r="E1434" t="inlineStr">
        <is>
          <t>HÄRJEDALEN</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29538-2024</t>
        </is>
      </c>
      <c r="B1435" s="1" t="n">
        <v>45484</v>
      </c>
      <c r="C1435" s="1" t="n">
        <v>45719</v>
      </c>
      <c r="D1435" t="inlineStr">
        <is>
          <t>JÄMTLANDS LÄN</t>
        </is>
      </c>
      <c r="E1435" t="inlineStr">
        <is>
          <t>HÄRJEDALEN</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29626-2024</t>
        </is>
      </c>
      <c r="B1436" s="1" t="n">
        <v>45484</v>
      </c>
      <c r="C1436" s="1" t="n">
        <v>45719</v>
      </c>
      <c r="D1436" t="inlineStr">
        <is>
          <t>JÄMTLANDS LÄN</t>
        </is>
      </c>
      <c r="E1436" t="inlineStr">
        <is>
          <t>HÄRJEDALEN</t>
        </is>
      </c>
      <c r="F1436" t="inlineStr">
        <is>
          <t>Holmen skog AB</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29602-2024</t>
        </is>
      </c>
      <c r="B1437" s="1" t="n">
        <v>45484</v>
      </c>
      <c r="C1437" s="1" t="n">
        <v>45719</v>
      </c>
      <c r="D1437" t="inlineStr">
        <is>
          <t>JÄMTLANDS LÄN</t>
        </is>
      </c>
      <c r="E1437" t="inlineStr">
        <is>
          <t>HÄRJEDALEN</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29594-2024</t>
        </is>
      </c>
      <c r="B1438" s="1" t="n">
        <v>45484</v>
      </c>
      <c r="C1438" s="1" t="n">
        <v>45719</v>
      </c>
      <c r="D1438" t="inlineStr">
        <is>
          <t>JÄMTLANDS LÄN</t>
        </is>
      </c>
      <c r="E1438" t="inlineStr">
        <is>
          <t>HÄRJEDALEN</t>
        </is>
      </c>
      <c r="F1438" t="inlineStr">
        <is>
          <t>Holmen skog AB</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29803-2024</t>
        </is>
      </c>
      <c r="B1439" s="1" t="n">
        <v>45485</v>
      </c>
      <c r="C1439" s="1" t="n">
        <v>45719</v>
      </c>
      <c r="D1439" t="inlineStr">
        <is>
          <t>JÄMTLANDS LÄN</t>
        </is>
      </c>
      <c r="E1439" t="inlineStr">
        <is>
          <t>HÄRJEDALEN</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29791-2024</t>
        </is>
      </c>
      <c r="B1440" s="1" t="n">
        <v>45485</v>
      </c>
      <c r="C1440" s="1" t="n">
        <v>45719</v>
      </c>
      <c r="D1440" t="inlineStr">
        <is>
          <t>JÄMTLANDS LÄN</t>
        </is>
      </c>
      <c r="E1440" t="inlineStr">
        <is>
          <t>HÄRJEDALEN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29706-2024</t>
        </is>
      </c>
      <c r="B1441" s="1" t="n">
        <v>45485</v>
      </c>
      <c r="C1441" s="1" t="n">
        <v>45719</v>
      </c>
      <c r="D1441" t="inlineStr">
        <is>
          <t>JÄMTLANDS LÄN</t>
        </is>
      </c>
      <c r="E1441" t="inlineStr">
        <is>
          <t>HÄRJEDALEN</t>
        </is>
      </c>
      <c r="F1441" t="inlineStr">
        <is>
          <t>Holmen skog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29710-2024</t>
        </is>
      </c>
      <c r="B1442" s="1" t="n">
        <v>45485</v>
      </c>
      <c r="C1442" s="1" t="n">
        <v>45719</v>
      </c>
      <c r="D1442" t="inlineStr">
        <is>
          <t>JÄMTLANDS LÄN</t>
        </is>
      </c>
      <c r="E1442" t="inlineStr">
        <is>
          <t>HÄRJEDALEN</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29766-2024</t>
        </is>
      </c>
      <c r="B1443" s="1" t="n">
        <v>45485</v>
      </c>
      <c r="C1443" s="1" t="n">
        <v>45719</v>
      </c>
      <c r="D1443" t="inlineStr">
        <is>
          <t>JÄMTLANDS LÄN</t>
        </is>
      </c>
      <c r="E1443" t="inlineStr">
        <is>
          <t>HÄRJEDALEN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29774-2024</t>
        </is>
      </c>
      <c r="B1444" s="1" t="n">
        <v>45485</v>
      </c>
      <c r="C1444" s="1" t="n">
        <v>45719</v>
      </c>
      <c r="D1444" t="inlineStr">
        <is>
          <t>JÄMTLANDS LÄN</t>
        </is>
      </c>
      <c r="E1444" t="inlineStr">
        <is>
          <t>HÄRJEDALEN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29712-2024</t>
        </is>
      </c>
      <c r="B1445" s="1" t="n">
        <v>45485</v>
      </c>
      <c r="C1445" s="1" t="n">
        <v>45719</v>
      </c>
      <c r="D1445" t="inlineStr">
        <is>
          <t>JÄMTLANDS LÄN</t>
        </is>
      </c>
      <c r="E1445" t="inlineStr">
        <is>
          <t>HÄRJEDALEN</t>
        </is>
      </c>
      <c r="F1445" t="inlineStr">
        <is>
          <t>Holmen skog AB</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29768-2024</t>
        </is>
      </c>
      <c r="B1446" s="1" t="n">
        <v>45485</v>
      </c>
      <c r="C1446" s="1" t="n">
        <v>45719</v>
      </c>
      <c r="D1446" t="inlineStr">
        <is>
          <t>JÄMTLANDS LÄN</t>
        </is>
      </c>
      <c r="E1446" t="inlineStr">
        <is>
          <t>HÄRJEDALEN</t>
        </is>
      </c>
      <c r="F1446" t="inlineStr">
        <is>
          <t>Holmen skog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29717-2024</t>
        </is>
      </c>
      <c r="B1447" s="1" t="n">
        <v>45485</v>
      </c>
      <c r="C1447" s="1" t="n">
        <v>45719</v>
      </c>
      <c r="D1447" t="inlineStr">
        <is>
          <t>JÄMTLANDS LÄN</t>
        </is>
      </c>
      <c r="E1447" t="inlineStr">
        <is>
          <t>HÄRJEDALEN</t>
        </is>
      </c>
      <c r="F1447" t="inlineStr">
        <is>
          <t>Holmen skog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29729-2024</t>
        </is>
      </c>
      <c r="B1448" s="1" t="n">
        <v>45485</v>
      </c>
      <c r="C1448" s="1" t="n">
        <v>45719</v>
      </c>
      <c r="D1448" t="inlineStr">
        <is>
          <t>JÄMTLANDS LÄN</t>
        </is>
      </c>
      <c r="E1448" t="inlineStr">
        <is>
          <t>HÄRJEDALEN</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29749-2024</t>
        </is>
      </c>
      <c r="B1449" s="1" t="n">
        <v>45485</v>
      </c>
      <c r="C1449" s="1" t="n">
        <v>45719</v>
      </c>
      <c r="D1449" t="inlineStr">
        <is>
          <t>JÄMTLANDS LÄN</t>
        </is>
      </c>
      <c r="E1449" t="inlineStr">
        <is>
          <t>HÄRJEDALEN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29935-2024</t>
        </is>
      </c>
      <c r="B1450" s="1" t="n">
        <v>45488</v>
      </c>
      <c r="C1450" s="1" t="n">
        <v>45719</v>
      </c>
      <c r="D1450" t="inlineStr">
        <is>
          <t>JÄMTLANDS LÄN</t>
        </is>
      </c>
      <c r="E1450" t="inlineStr">
        <is>
          <t>HÄRJEDALEN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30404-2024</t>
        </is>
      </c>
      <c r="B1451" s="1" t="n">
        <v>45491</v>
      </c>
      <c r="C1451" s="1" t="n">
        <v>45719</v>
      </c>
      <c r="D1451" t="inlineStr">
        <is>
          <t>JÄMTLANDS LÄN</t>
        </is>
      </c>
      <c r="E1451" t="inlineStr">
        <is>
          <t>HÄRJEDALEN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30626-2024</t>
        </is>
      </c>
      <c r="B1452" s="1" t="n">
        <v>45495</v>
      </c>
      <c r="C1452" s="1" t="n">
        <v>45719</v>
      </c>
      <c r="D1452" t="inlineStr">
        <is>
          <t>JÄMTLANDS LÄN</t>
        </is>
      </c>
      <c r="E1452" t="inlineStr">
        <is>
          <t>HÄRJEDALEN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30742-2024</t>
        </is>
      </c>
      <c r="B1453" s="1" t="n">
        <v>45496</v>
      </c>
      <c r="C1453" s="1" t="n">
        <v>45719</v>
      </c>
      <c r="D1453" t="inlineStr">
        <is>
          <t>JÄMTLANDS LÄN</t>
        </is>
      </c>
      <c r="E1453" t="inlineStr">
        <is>
          <t>HÄRJEDALEN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30776-2024</t>
        </is>
      </c>
      <c r="B1454" s="1" t="n">
        <v>45497</v>
      </c>
      <c r="C1454" s="1" t="n">
        <v>45719</v>
      </c>
      <c r="D1454" t="inlineStr">
        <is>
          <t>JÄMTLANDS LÄN</t>
        </is>
      </c>
      <c r="E1454" t="inlineStr">
        <is>
          <t>HÄRJEDALEN</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30744-2024</t>
        </is>
      </c>
      <c r="B1455" s="1" t="n">
        <v>45496</v>
      </c>
      <c r="C1455" s="1" t="n">
        <v>45719</v>
      </c>
      <c r="D1455" t="inlineStr">
        <is>
          <t>JÄMTLANDS LÄN</t>
        </is>
      </c>
      <c r="E1455" t="inlineStr">
        <is>
          <t>HÄRJEDALEN</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30781-2024</t>
        </is>
      </c>
      <c r="B1456" s="1" t="n">
        <v>45497</v>
      </c>
      <c r="C1456" s="1" t="n">
        <v>45719</v>
      </c>
      <c r="D1456" t="inlineStr">
        <is>
          <t>JÄMTLANDS LÄN</t>
        </is>
      </c>
      <c r="E1456" t="inlineStr">
        <is>
          <t>HÄRJEDALEN</t>
        </is>
      </c>
      <c r="F1456" t="inlineStr">
        <is>
          <t>SCA</t>
        </is>
      </c>
      <c r="G1456" t="n">
        <v>23.1</v>
      </c>
      <c r="H1456" t="n">
        <v>0</v>
      </c>
      <c r="I1456" t="n">
        <v>0</v>
      </c>
      <c r="J1456" t="n">
        <v>0</v>
      </c>
      <c r="K1456" t="n">
        <v>0</v>
      </c>
      <c r="L1456" t="n">
        <v>0</v>
      </c>
      <c r="M1456" t="n">
        <v>0</v>
      </c>
      <c r="N1456" t="n">
        <v>0</v>
      </c>
      <c r="O1456" t="n">
        <v>0</v>
      </c>
      <c r="P1456" t="n">
        <v>0</v>
      </c>
      <c r="Q1456" t="n">
        <v>0</v>
      </c>
      <c r="R1456" s="2" t="inlineStr"/>
    </row>
    <row r="1457" ht="15" customHeight="1">
      <c r="A1457" t="inlineStr">
        <is>
          <t>A 30777-2024</t>
        </is>
      </c>
      <c r="B1457" s="1" t="n">
        <v>45497</v>
      </c>
      <c r="C1457" s="1" t="n">
        <v>45719</v>
      </c>
      <c r="D1457" t="inlineStr">
        <is>
          <t>JÄMTLANDS LÄN</t>
        </is>
      </c>
      <c r="E1457" t="inlineStr">
        <is>
          <t>HÄRJEDALEN</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30743-2024</t>
        </is>
      </c>
      <c r="B1458" s="1" t="n">
        <v>45496</v>
      </c>
      <c r="C1458" s="1" t="n">
        <v>45719</v>
      </c>
      <c r="D1458" t="inlineStr">
        <is>
          <t>JÄMTLANDS LÄN</t>
        </is>
      </c>
      <c r="E1458" t="inlineStr">
        <is>
          <t>HÄRJEDALEN</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30775-2024</t>
        </is>
      </c>
      <c r="B1459" s="1" t="n">
        <v>45497</v>
      </c>
      <c r="C1459" s="1" t="n">
        <v>45719</v>
      </c>
      <c r="D1459" t="inlineStr">
        <is>
          <t>JÄMTLANDS LÄN</t>
        </is>
      </c>
      <c r="E1459" t="inlineStr">
        <is>
          <t>HÄRJEDALEN</t>
        </is>
      </c>
      <c r="F1459" t="inlineStr">
        <is>
          <t>SCA</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30729-2024</t>
        </is>
      </c>
      <c r="B1460" s="1" t="n">
        <v>45496</v>
      </c>
      <c r="C1460" s="1" t="n">
        <v>45719</v>
      </c>
      <c r="D1460" t="inlineStr">
        <is>
          <t>JÄMTLANDS LÄN</t>
        </is>
      </c>
      <c r="E1460" t="inlineStr">
        <is>
          <t>HÄRJEDALEN</t>
        </is>
      </c>
      <c r="F1460" t="inlineStr">
        <is>
          <t>Bergvik skog väst AB</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31116-2024</t>
        </is>
      </c>
      <c r="B1461" s="1" t="n">
        <v>45502</v>
      </c>
      <c r="C1461" s="1" t="n">
        <v>45719</v>
      </c>
      <c r="D1461" t="inlineStr">
        <is>
          <t>JÄMTLANDS LÄN</t>
        </is>
      </c>
      <c r="E1461" t="inlineStr">
        <is>
          <t>HÄRJEDALEN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31205-2024</t>
        </is>
      </c>
      <c r="B1462" s="1" t="n">
        <v>45503</v>
      </c>
      <c r="C1462" s="1" t="n">
        <v>45719</v>
      </c>
      <c r="D1462" t="inlineStr">
        <is>
          <t>JÄMTLANDS LÄN</t>
        </is>
      </c>
      <c r="E1462" t="inlineStr">
        <is>
          <t>HÄRJEDALEN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31301-2024</t>
        </is>
      </c>
      <c r="B1463" s="1" t="n">
        <v>45504</v>
      </c>
      <c r="C1463" s="1" t="n">
        <v>45719</v>
      </c>
      <c r="D1463" t="inlineStr">
        <is>
          <t>JÄMTLANDS LÄN</t>
        </is>
      </c>
      <c r="E1463" t="inlineStr">
        <is>
          <t>HÄRJEDALEN</t>
        </is>
      </c>
      <c r="G1463" t="n">
        <v>32.9</v>
      </c>
      <c r="H1463" t="n">
        <v>0</v>
      </c>
      <c r="I1463" t="n">
        <v>0</v>
      </c>
      <c r="J1463" t="n">
        <v>0</v>
      </c>
      <c r="K1463" t="n">
        <v>0</v>
      </c>
      <c r="L1463" t="n">
        <v>0</v>
      </c>
      <c r="M1463" t="n">
        <v>0</v>
      </c>
      <c r="N1463" t="n">
        <v>0</v>
      </c>
      <c r="O1463" t="n">
        <v>0</v>
      </c>
      <c r="P1463" t="n">
        <v>0</v>
      </c>
      <c r="Q1463" t="n">
        <v>0</v>
      </c>
      <c r="R1463" s="2" t="inlineStr"/>
    </row>
    <row r="1464" ht="15" customHeight="1">
      <c r="A1464" t="inlineStr">
        <is>
          <t>A 31460-2024</t>
        </is>
      </c>
      <c r="B1464" s="1" t="n">
        <v>45505</v>
      </c>
      <c r="C1464" s="1" t="n">
        <v>45719</v>
      </c>
      <c r="D1464" t="inlineStr">
        <is>
          <t>JÄMTLANDS LÄN</t>
        </is>
      </c>
      <c r="E1464" t="inlineStr">
        <is>
          <t>HÄRJEDALEN</t>
        </is>
      </c>
      <c r="F1464" t="inlineStr">
        <is>
          <t>SCA</t>
        </is>
      </c>
      <c r="G1464" t="n">
        <v>30.3</v>
      </c>
      <c r="H1464" t="n">
        <v>0</v>
      </c>
      <c r="I1464" t="n">
        <v>0</v>
      </c>
      <c r="J1464" t="n">
        <v>0</v>
      </c>
      <c r="K1464" t="n">
        <v>0</v>
      </c>
      <c r="L1464" t="n">
        <v>0</v>
      </c>
      <c r="M1464" t="n">
        <v>0</v>
      </c>
      <c r="N1464" t="n">
        <v>0</v>
      </c>
      <c r="O1464" t="n">
        <v>0</v>
      </c>
      <c r="P1464" t="n">
        <v>0</v>
      </c>
      <c r="Q1464" t="n">
        <v>0</v>
      </c>
      <c r="R1464" s="2" t="inlineStr"/>
    </row>
    <row r="1465" ht="15" customHeight="1">
      <c r="A1465" t="inlineStr">
        <is>
          <t>A 31527-2024</t>
        </is>
      </c>
      <c r="B1465" s="1" t="n">
        <v>45505</v>
      </c>
      <c r="C1465" s="1" t="n">
        <v>45719</v>
      </c>
      <c r="D1465" t="inlineStr">
        <is>
          <t>JÄMTLANDS LÄN</t>
        </is>
      </c>
      <c r="E1465" t="inlineStr">
        <is>
          <t>HÄRJEDALEN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31462-2024</t>
        </is>
      </c>
      <c r="B1466" s="1" t="n">
        <v>45505</v>
      </c>
      <c r="C1466" s="1" t="n">
        <v>45719</v>
      </c>
      <c r="D1466" t="inlineStr">
        <is>
          <t>JÄMTLANDS LÄN</t>
        </is>
      </c>
      <c r="E1466" t="inlineStr">
        <is>
          <t>HÄRJEDALEN</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31473-2024</t>
        </is>
      </c>
      <c r="B1467" s="1" t="n">
        <v>45505</v>
      </c>
      <c r="C1467" s="1" t="n">
        <v>45719</v>
      </c>
      <c r="D1467" t="inlineStr">
        <is>
          <t>JÄMTLANDS LÄN</t>
        </is>
      </c>
      <c r="E1467" t="inlineStr">
        <is>
          <t>HÄRJEDALEN</t>
        </is>
      </c>
      <c r="F1467" t="inlineStr">
        <is>
          <t>SCA</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31459-2024</t>
        </is>
      </c>
      <c r="B1468" s="1" t="n">
        <v>45505</v>
      </c>
      <c r="C1468" s="1" t="n">
        <v>45719</v>
      </c>
      <c r="D1468" t="inlineStr">
        <is>
          <t>JÄMTLANDS LÄN</t>
        </is>
      </c>
      <c r="E1468" t="inlineStr">
        <is>
          <t>HÄRJEDALEN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31672-2024</t>
        </is>
      </c>
      <c r="B1469" s="1" t="n">
        <v>45506</v>
      </c>
      <c r="C1469" s="1" t="n">
        <v>45719</v>
      </c>
      <c r="D1469" t="inlineStr">
        <is>
          <t>JÄMTLANDS LÄN</t>
        </is>
      </c>
      <c r="E1469" t="inlineStr">
        <is>
          <t>HÄRJEDALEN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31581-2024</t>
        </is>
      </c>
      <c r="B1470" s="1" t="n">
        <v>45506</v>
      </c>
      <c r="C1470" s="1" t="n">
        <v>45719</v>
      </c>
      <c r="D1470" t="inlineStr">
        <is>
          <t>JÄMTLANDS LÄN</t>
        </is>
      </c>
      <c r="E1470" t="inlineStr">
        <is>
          <t>HÄRJEDALEN</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31584-2024</t>
        </is>
      </c>
      <c r="B1471" s="1" t="n">
        <v>45506</v>
      </c>
      <c r="C1471" s="1" t="n">
        <v>45719</v>
      </c>
      <c r="D1471" t="inlineStr">
        <is>
          <t>JÄMTLANDS LÄN</t>
        </is>
      </c>
      <c r="E1471" t="inlineStr">
        <is>
          <t>HÄRJEDALEN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31683-2024</t>
        </is>
      </c>
      <c r="B1472" s="1" t="n">
        <v>45506</v>
      </c>
      <c r="C1472" s="1" t="n">
        <v>45719</v>
      </c>
      <c r="D1472" t="inlineStr">
        <is>
          <t>JÄMTLANDS LÄN</t>
        </is>
      </c>
      <c r="E1472" t="inlineStr">
        <is>
          <t>HÄRJEDALEN</t>
        </is>
      </c>
      <c r="F1472" t="inlineStr">
        <is>
          <t>SCA</t>
        </is>
      </c>
      <c r="G1472" t="n">
        <v>37.4</v>
      </c>
      <c r="H1472" t="n">
        <v>0</v>
      </c>
      <c r="I1472" t="n">
        <v>0</v>
      </c>
      <c r="J1472" t="n">
        <v>0</v>
      </c>
      <c r="K1472" t="n">
        <v>0</v>
      </c>
      <c r="L1472" t="n">
        <v>0</v>
      </c>
      <c r="M1472" t="n">
        <v>0</v>
      </c>
      <c r="N1472" t="n">
        <v>0</v>
      </c>
      <c r="O1472" t="n">
        <v>0</v>
      </c>
      <c r="P1472" t="n">
        <v>0</v>
      </c>
      <c r="Q1472" t="n">
        <v>0</v>
      </c>
      <c r="R1472" s="2" t="inlineStr"/>
    </row>
    <row r="1473" ht="15" customHeight="1">
      <c r="A1473" t="inlineStr">
        <is>
          <t>A 31588-2024</t>
        </is>
      </c>
      <c r="B1473" s="1" t="n">
        <v>45506</v>
      </c>
      <c r="C1473" s="1" t="n">
        <v>45719</v>
      </c>
      <c r="D1473" t="inlineStr">
        <is>
          <t>JÄMTLANDS LÄN</t>
        </is>
      </c>
      <c r="E1473" t="inlineStr">
        <is>
          <t>HÄRJEDALEN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31587-2024</t>
        </is>
      </c>
      <c r="B1474" s="1" t="n">
        <v>45506</v>
      </c>
      <c r="C1474" s="1" t="n">
        <v>45719</v>
      </c>
      <c r="D1474" t="inlineStr">
        <is>
          <t>JÄMTLANDS LÄN</t>
        </is>
      </c>
      <c r="E1474" t="inlineStr">
        <is>
          <t>HÄRJEDALEN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31586-2024</t>
        </is>
      </c>
      <c r="B1475" s="1" t="n">
        <v>45506</v>
      </c>
      <c r="C1475" s="1" t="n">
        <v>45719</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31682-2024</t>
        </is>
      </c>
      <c r="B1476" s="1" t="n">
        <v>45506</v>
      </c>
      <c r="C1476" s="1" t="n">
        <v>45719</v>
      </c>
      <c r="D1476" t="inlineStr">
        <is>
          <t>JÄMTLANDS LÄN</t>
        </is>
      </c>
      <c r="E1476" t="inlineStr">
        <is>
          <t>HÄRJEDALEN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31777-2024</t>
        </is>
      </c>
      <c r="B1477" s="1" t="n">
        <v>45509</v>
      </c>
      <c r="C1477" s="1" t="n">
        <v>45719</v>
      </c>
      <c r="D1477" t="inlineStr">
        <is>
          <t>JÄMTLANDS LÄN</t>
        </is>
      </c>
      <c r="E1477" t="inlineStr">
        <is>
          <t>HÄRJEDALEN</t>
        </is>
      </c>
      <c r="F1477" t="inlineStr">
        <is>
          <t>Övriga statliga verk och myndigheter</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31743-2024</t>
        </is>
      </c>
      <c r="B1478" s="1" t="n">
        <v>45509</v>
      </c>
      <c r="C1478" s="1" t="n">
        <v>45719</v>
      </c>
      <c r="D1478" t="inlineStr">
        <is>
          <t>JÄMTLANDS LÄN</t>
        </is>
      </c>
      <c r="E1478" t="inlineStr">
        <is>
          <t>HÄRJEDALEN</t>
        </is>
      </c>
      <c r="F1478" t="inlineStr">
        <is>
          <t>Bergvik skog väst AB</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31747-2024</t>
        </is>
      </c>
      <c r="B1479" s="1" t="n">
        <v>45509</v>
      </c>
      <c r="C1479" s="1" t="n">
        <v>45719</v>
      </c>
      <c r="D1479" t="inlineStr">
        <is>
          <t>JÄMTLANDS LÄN</t>
        </is>
      </c>
      <c r="E1479" t="inlineStr">
        <is>
          <t>HÄRJEDALEN</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31759-2024</t>
        </is>
      </c>
      <c r="B1480" s="1" t="n">
        <v>45509</v>
      </c>
      <c r="C1480" s="1" t="n">
        <v>45719</v>
      </c>
      <c r="D1480" t="inlineStr">
        <is>
          <t>JÄMTLANDS LÄN</t>
        </is>
      </c>
      <c r="E1480" t="inlineStr">
        <is>
          <t>HÄRJEDALEN</t>
        </is>
      </c>
      <c r="F1480" t="inlineStr">
        <is>
          <t>Övriga statliga verk och myndigheter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31783-2024</t>
        </is>
      </c>
      <c r="B1481" s="1" t="n">
        <v>45509</v>
      </c>
      <c r="C1481" s="1" t="n">
        <v>45719</v>
      </c>
      <c r="D1481" t="inlineStr">
        <is>
          <t>JÄMTLANDS LÄN</t>
        </is>
      </c>
      <c r="E1481" t="inlineStr">
        <is>
          <t>HÄRJEDALEN</t>
        </is>
      </c>
      <c r="F1481" t="inlineStr">
        <is>
          <t>Övriga statliga verk och myndigheter</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31791-2024</t>
        </is>
      </c>
      <c r="B1482" s="1" t="n">
        <v>45509</v>
      </c>
      <c r="C1482" s="1" t="n">
        <v>45719</v>
      </c>
      <c r="D1482" t="inlineStr">
        <is>
          <t>JÄMTLANDS LÄN</t>
        </is>
      </c>
      <c r="E1482" t="inlineStr">
        <is>
          <t>HÄRJEDALEN</t>
        </is>
      </c>
      <c r="F1482" t="inlineStr">
        <is>
          <t>Övriga statliga verk och myndigheter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31819-2024</t>
        </is>
      </c>
      <c r="B1483" s="1" t="n">
        <v>45509</v>
      </c>
      <c r="C1483" s="1" t="n">
        <v>45719</v>
      </c>
      <c r="D1483" t="inlineStr">
        <is>
          <t>JÄMTLANDS LÄN</t>
        </is>
      </c>
      <c r="E1483" t="inlineStr">
        <is>
          <t>HÄRJEDALEN</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31816-2024</t>
        </is>
      </c>
      <c r="B1484" s="1" t="n">
        <v>45509</v>
      </c>
      <c r="C1484" s="1" t="n">
        <v>45719</v>
      </c>
      <c r="D1484" t="inlineStr">
        <is>
          <t>JÄMTLANDS LÄN</t>
        </is>
      </c>
      <c r="E1484" t="inlineStr">
        <is>
          <t>HÄRJEDALEN</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31764-2024</t>
        </is>
      </c>
      <c r="B1485" s="1" t="n">
        <v>45509</v>
      </c>
      <c r="C1485" s="1" t="n">
        <v>45719</v>
      </c>
      <c r="D1485" t="inlineStr">
        <is>
          <t>JÄMTLANDS LÄN</t>
        </is>
      </c>
      <c r="E1485" t="inlineStr">
        <is>
          <t>HÄRJEDALEN</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31732-2024</t>
        </is>
      </c>
      <c r="B1486" s="1" t="n">
        <v>45509</v>
      </c>
      <c r="C1486" s="1" t="n">
        <v>45719</v>
      </c>
      <c r="D1486" t="inlineStr">
        <is>
          <t>JÄMTLANDS LÄN</t>
        </is>
      </c>
      <c r="E1486" t="inlineStr">
        <is>
          <t>HÄRJEDALEN</t>
        </is>
      </c>
      <c r="F1486" t="inlineStr">
        <is>
          <t>Bergvik skog väst AB</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31834-2024</t>
        </is>
      </c>
      <c r="B1487" s="1" t="n">
        <v>45509</v>
      </c>
      <c r="C1487" s="1" t="n">
        <v>45719</v>
      </c>
      <c r="D1487" t="inlineStr">
        <is>
          <t>JÄMTLANDS LÄN</t>
        </is>
      </c>
      <c r="E1487" t="inlineStr">
        <is>
          <t>HÄRJEDALEN</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31806-2024</t>
        </is>
      </c>
      <c r="B1488" s="1" t="n">
        <v>45509</v>
      </c>
      <c r="C1488" s="1" t="n">
        <v>45719</v>
      </c>
      <c r="D1488" t="inlineStr">
        <is>
          <t>JÄMTLANDS LÄN</t>
        </is>
      </c>
      <c r="E1488" t="inlineStr">
        <is>
          <t>HÄRJEDALEN</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31891-2024</t>
        </is>
      </c>
      <c r="B1489" s="1" t="n">
        <v>45509</v>
      </c>
      <c r="C1489" s="1" t="n">
        <v>45719</v>
      </c>
      <c r="D1489" t="inlineStr">
        <is>
          <t>JÄMTLANDS LÄN</t>
        </is>
      </c>
      <c r="E1489" t="inlineStr">
        <is>
          <t>HÄRJEDALEN</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32064-2024</t>
        </is>
      </c>
      <c r="B1490" s="1" t="n">
        <v>45510</v>
      </c>
      <c r="C1490" s="1" t="n">
        <v>45719</v>
      </c>
      <c r="D1490" t="inlineStr">
        <is>
          <t>JÄMTLANDS LÄN</t>
        </is>
      </c>
      <c r="E1490" t="inlineStr">
        <is>
          <t>HÄRJEDALEN</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31920-2024</t>
        </is>
      </c>
      <c r="B1491" s="1" t="n">
        <v>45510</v>
      </c>
      <c r="C1491" s="1" t="n">
        <v>45719</v>
      </c>
      <c r="D1491" t="inlineStr">
        <is>
          <t>JÄMTLANDS LÄN</t>
        </is>
      </c>
      <c r="E1491" t="inlineStr">
        <is>
          <t>HÄRJEDALEN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32135-2024</t>
        </is>
      </c>
      <c r="B1492" s="1" t="n">
        <v>45511</v>
      </c>
      <c r="C1492" s="1" t="n">
        <v>45719</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32122-2024</t>
        </is>
      </c>
      <c r="B1493" s="1" t="n">
        <v>45511</v>
      </c>
      <c r="C1493" s="1" t="n">
        <v>45719</v>
      </c>
      <c r="D1493" t="inlineStr">
        <is>
          <t>JÄMTLANDS LÄN</t>
        </is>
      </c>
      <c r="E1493" t="inlineStr">
        <is>
          <t>HÄRJEDALEN</t>
        </is>
      </c>
      <c r="F1493" t="inlineStr">
        <is>
          <t>Bergvik skog väst AB</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32233-2024</t>
        </is>
      </c>
      <c r="B1494" s="1" t="n">
        <v>45512</v>
      </c>
      <c r="C1494" s="1" t="n">
        <v>45719</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32382-2024</t>
        </is>
      </c>
      <c r="B1495" s="1" t="n">
        <v>45512</v>
      </c>
      <c r="C1495" s="1" t="n">
        <v>45719</v>
      </c>
      <c r="D1495" t="inlineStr">
        <is>
          <t>JÄMTLANDS LÄN</t>
        </is>
      </c>
      <c r="E1495" t="inlineStr">
        <is>
          <t>HÄRJEDALEN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32403-2024</t>
        </is>
      </c>
      <c r="B1496" s="1" t="n">
        <v>45512</v>
      </c>
      <c r="C1496" s="1" t="n">
        <v>45719</v>
      </c>
      <c r="D1496" t="inlineStr">
        <is>
          <t>JÄMTLANDS LÄN</t>
        </is>
      </c>
      <c r="E1496" t="inlineStr">
        <is>
          <t>HÄRJEDALEN</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32765-2024</t>
        </is>
      </c>
      <c r="B1497" s="1" t="n">
        <v>45516</v>
      </c>
      <c r="C1497" s="1" t="n">
        <v>45719</v>
      </c>
      <c r="D1497" t="inlineStr">
        <is>
          <t>JÄMTLANDS LÄN</t>
        </is>
      </c>
      <c r="E1497" t="inlineStr">
        <is>
          <t>HÄRJEDALEN</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32735-2024</t>
        </is>
      </c>
      <c r="B1498" s="1" t="n">
        <v>45516</v>
      </c>
      <c r="C1498" s="1" t="n">
        <v>45719</v>
      </c>
      <c r="D1498" t="inlineStr">
        <is>
          <t>JÄMTLANDS LÄN</t>
        </is>
      </c>
      <c r="E1498" t="inlineStr">
        <is>
          <t>HÄRJEDALEN</t>
        </is>
      </c>
      <c r="F1498" t="inlineStr">
        <is>
          <t>Bergvik skog väst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33096-2024</t>
        </is>
      </c>
      <c r="B1499" s="1" t="n">
        <v>45517</v>
      </c>
      <c r="C1499" s="1" t="n">
        <v>45719</v>
      </c>
      <c r="D1499" t="inlineStr">
        <is>
          <t>JÄMTLANDS LÄN</t>
        </is>
      </c>
      <c r="E1499" t="inlineStr">
        <is>
          <t>HÄRJEDALEN</t>
        </is>
      </c>
      <c r="F1499" t="inlineStr">
        <is>
          <t>Övriga Aktiebolag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33123-2024</t>
        </is>
      </c>
      <c r="B1500" s="1" t="n">
        <v>45518</v>
      </c>
      <c r="C1500" s="1" t="n">
        <v>45719</v>
      </c>
      <c r="D1500" t="inlineStr">
        <is>
          <t>JÄMTLANDS LÄN</t>
        </is>
      </c>
      <c r="E1500" t="inlineStr">
        <is>
          <t>HÄRJEDALEN</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33125-2024</t>
        </is>
      </c>
      <c r="B1501" s="1" t="n">
        <v>45518</v>
      </c>
      <c r="C1501" s="1" t="n">
        <v>45719</v>
      </c>
      <c r="D1501" t="inlineStr">
        <is>
          <t>JÄMTLANDS LÄN</t>
        </is>
      </c>
      <c r="E1501" t="inlineStr">
        <is>
          <t>HÄRJEDALEN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32962-2024</t>
        </is>
      </c>
      <c r="B1502" s="1" t="n">
        <v>45517</v>
      </c>
      <c r="C1502" s="1" t="n">
        <v>45719</v>
      </c>
      <c r="D1502" t="inlineStr">
        <is>
          <t>JÄMTLANDS LÄN</t>
        </is>
      </c>
      <c r="E1502" t="inlineStr">
        <is>
          <t>HÄRJEDALEN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32964-2024</t>
        </is>
      </c>
      <c r="B1503" s="1" t="n">
        <v>45517</v>
      </c>
      <c r="C1503" s="1" t="n">
        <v>45719</v>
      </c>
      <c r="D1503" t="inlineStr">
        <is>
          <t>JÄMTLANDS LÄN</t>
        </is>
      </c>
      <c r="E1503" t="inlineStr">
        <is>
          <t>HÄRJEDALEN</t>
        </is>
      </c>
      <c r="F1503" t="inlineStr">
        <is>
          <t>Kommuner</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33124-2024</t>
        </is>
      </c>
      <c r="B1504" s="1" t="n">
        <v>45518</v>
      </c>
      <c r="C1504" s="1" t="n">
        <v>45719</v>
      </c>
      <c r="D1504" t="inlineStr">
        <is>
          <t>JÄMTLANDS LÄN</t>
        </is>
      </c>
      <c r="E1504" t="inlineStr">
        <is>
          <t>HÄRJEDALEN</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33307-2024</t>
        </is>
      </c>
      <c r="B1505" s="1" t="n">
        <v>45519</v>
      </c>
      <c r="C1505" s="1" t="n">
        <v>45719</v>
      </c>
      <c r="D1505" t="inlineStr">
        <is>
          <t>JÄMTLANDS LÄN</t>
        </is>
      </c>
      <c r="E1505" t="inlineStr">
        <is>
          <t>HÄRJEDALEN</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33308-2024</t>
        </is>
      </c>
      <c r="B1506" s="1" t="n">
        <v>45519</v>
      </c>
      <c r="C1506" s="1" t="n">
        <v>45719</v>
      </c>
      <c r="D1506" t="inlineStr">
        <is>
          <t>JÄMTLANDS LÄN</t>
        </is>
      </c>
      <c r="E1506" t="inlineStr">
        <is>
          <t>HÄRJEDALEN</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33502-2024</t>
        </is>
      </c>
      <c r="B1507" s="1" t="n">
        <v>45519</v>
      </c>
      <c r="C1507" s="1" t="n">
        <v>45719</v>
      </c>
      <c r="D1507" t="inlineStr">
        <is>
          <t>JÄMTLANDS LÄN</t>
        </is>
      </c>
      <c r="E1507" t="inlineStr">
        <is>
          <t>HÄRJEDALEN</t>
        </is>
      </c>
      <c r="F1507" t="inlineStr">
        <is>
          <t>SCA</t>
        </is>
      </c>
      <c r="G1507" t="n">
        <v>18.9</v>
      </c>
      <c r="H1507" t="n">
        <v>0</v>
      </c>
      <c r="I1507" t="n">
        <v>0</v>
      </c>
      <c r="J1507" t="n">
        <v>0</v>
      </c>
      <c r="K1507" t="n">
        <v>0</v>
      </c>
      <c r="L1507" t="n">
        <v>0</v>
      </c>
      <c r="M1507" t="n">
        <v>0</v>
      </c>
      <c r="N1507" t="n">
        <v>0</v>
      </c>
      <c r="O1507" t="n">
        <v>0</v>
      </c>
      <c r="P1507" t="n">
        <v>0</v>
      </c>
      <c r="Q1507" t="n">
        <v>0</v>
      </c>
      <c r="R1507" s="2" t="inlineStr"/>
    </row>
    <row r="1508" ht="15" customHeight="1">
      <c r="A1508" t="inlineStr">
        <is>
          <t>A 33523-2024</t>
        </is>
      </c>
      <c r="B1508" s="1" t="n">
        <v>45519</v>
      </c>
      <c r="C1508" s="1" t="n">
        <v>45719</v>
      </c>
      <c r="D1508" t="inlineStr">
        <is>
          <t>JÄMTLANDS LÄN</t>
        </is>
      </c>
      <c r="E1508" t="inlineStr">
        <is>
          <t>HÄRJEDALEN</t>
        </is>
      </c>
      <c r="F1508" t="inlineStr">
        <is>
          <t>SCA</t>
        </is>
      </c>
      <c r="G1508" t="n">
        <v>19.4</v>
      </c>
      <c r="H1508" t="n">
        <v>0</v>
      </c>
      <c r="I1508" t="n">
        <v>0</v>
      </c>
      <c r="J1508" t="n">
        <v>0</v>
      </c>
      <c r="K1508" t="n">
        <v>0</v>
      </c>
      <c r="L1508" t="n">
        <v>0</v>
      </c>
      <c r="M1508" t="n">
        <v>0</v>
      </c>
      <c r="N1508" t="n">
        <v>0</v>
      </c>
      <c r="O1508" t="n">
        <v>0</v>
      </c>
      <c r="P1508" t="n">
        <v>0</v>
      </c>
      <c r="Q1508" t="n">
        <v>0</v>
      </c>
      <c r="R1508" s="2" t="inlineStr"/>
    </row>
    <row r="1509" ht="15" customHeight="1">
      <c r="A1509" t="inlineStr">
        <is>
          <t>A 34291-2024</t>
        </is>
      </c>
      <c r="B1509" s="1" t="n">
        <v>45524</v>
      </c>
      <c r="C1509" s="1" t="n">
        <v>45719</v>
      </c>
      <c r="D1509" t="inlineStr">
        <is>
          <t>JÄMTLANDS LÄN</t>
        </is>
      </c>
      <c r="E1509" t="inlineStr">
        <is>
          <t>HÄRJEDALEN</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34523-2024</t>
        </is>
      </c>
      <c r="B1510" s="1" t="n">
        <v>45525</v>
      </c>
      <c r="C1510" s="1" t="n">
        <v>45719</v>
      </c>
      <c r="D1510" t="inlineStr">
        <is>
          <t>JÄMTLANDS LÄN</t>
        </is>
      </c>
      <c r="E1510" t="inlineStr">
        <is>
          <t>HÄRJEDALEN</t>
        </is>
      </c>
      <c r="G1510" t="n">
        <v>31.5</v>
      </c>
      <c r="H1510" t="n">
        <v>0</v>
      </c>
      <c r="I1510" t="n">
        <v>0</v>
      </c>
      <c r="J1510" t="n">
        <v>0</v>
      </c>
      <c r="K1510" t="n">
        <v>0</v>
      </c>
      <c r="L1510" t="n">
        <v>0</v>
      </c>
      <c r="M1510" t="n">
        <v>0</v>
      </c>
      <c r="N1510" t="n">
        <v>0</v>
      </c>
      <c r="O1510" t="n">
        <v>0</v>
      </c>
      <c r="P1510" t="n">
        <v>0</v>
      </c>
      <c r="Q1510" t="n">
        <v>0</v>
      </c>
      <c r="R1510" s="2" t="inlineStr"/>
    </row>
    <row r="1511" ht="15" customHeight="1">
      <c r="A1511" t="inlineStr">
        <is>
          <t>A 34660-2024</t>
        </is>
      </c>
      <c r="B1511" s="1" t="n">
        <v>45526</v>
      </c>
      <c r="C1511" s="1" t="n">
        <v>45719</v>
      </c>
      <c r="D1511" t="inlineStr">
        <is>
          <t>JÄMTLANDS LÄN</t>
        </is>
      </c>
      <c r="E1511" t="inlineStr">
        <is>
          <t>HÄRJEDALEN</t>
        </is>
      </c>
      <c r="F1511" t="inlineStr">
        <is>
          <t>Bergvik skog väst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34775-2024</t>
        </is>
      </c>
      <c r="B1512" s="1" t="n">
        <v>45526</v>
      </c>
      <c r="C1512" s="1" t="n">
        <v>45719</v>
      </c>
      <c r="D1512" t="inlineStr">
        <is>
          <t>JÄMTLANDS LÄN</t>
        </is>
      </c>
      <c r="E1512" t="inlineStr">
        <is>
          <t>HÄRJEDALEN</t>
        </is>
      </c>
      <c r="F1512" t="inlineStr">
        <is>
          <t>Bergvik skog väst AB</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35015-2024</t>
        </is>
      </c>
      <c r="B1513" s="1" t="n">
        <v>45527</v>
      </c>
      <c r="C1513" s="1" t="n">
        <v>45719</v>
      </c>
      <c r="D1513" t="inlineStr">
        <is>
          <t>JÄMTLANDS LÄN</t>
        </is>
      </c>
      <c r="E1513" t="inlineStr">
        <is>
          <t>HÄRJEDALEN</t>
        </is>
      </c>
      <c r="G1513" t="n">
        <v>23.2</v>
      </c>
      <c r="H1513" t="n">
        <v>0</v>
      </c>
      <c r="I1513" t="n">
        <v>0</v>
      </c>
      <c r="J1513" t="n">
        <v>0</v>
      </c>
      <c r="K1513" t="n">
        <v>0</v>
      </c>
      <c r="L1513" t="n">
        <v>0</v>
      </c>
      <c r="M1513" t="n">
        <v>0</v>
      </c>
      <c r="N1513" t="n">
        <v>0</v>
      </c>
      <c r="O1513" t="n">
        <v>0</v>
      </c>
      <c r="P1513" t="n">
        <v>0</v>
      </c>
      <c r="Q1513" t="n">
        <v>0</v>
      </c>
      <c r="R1513" s="2" t="inlineStr"/>
    </row>
    <row r="1514" ht="15" customHeight="1">
      <c r="A1514" t="inlineStr">
        <is>
          <t>A 35046-2024</t>
        </is>
      </c>
      <c r="B1514" s="1" t="n">
        <v>45527</v>
      </c>
      <c r="C1514" s="1" t="n">
        <v>45719</v>
      </c>
      <c r="D1514" t="inlineStr">
        <is>
          <t>JÄMTLANDS LÄN</t>
        </is>
      </c>
      <c r="E1514" t="inlineStr">
        <is>
          <t>HÄRJEDALEN</t>
        </is>
      </c>
      <c r="F1514" t="inlineStr">
        <is>
          <t>Bergvik skog väst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35454-2024</t>
        </is>
      </c>
      <c r="B1515" s="1" t="n">
        <v>45531</v>
      </c>
      <c r="C1515" s="1" t="n">
        <v>45719</v>
      </c>
      <c r="D1515" t="inlineStr">
        <is>
          <t>JÄMTLANDS LÄN</t>
        </is>
      </c>
      <c r="E1515" t="inlineStr">
        <is>
          <t>HÄRJEDALEN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35457-2024</t>
        </is>
      </c>
      <c r="B1516" s="1" t="n">
        <v>45531</v>
      </c>
      <c r="C1516" s="1" t="n">
        <v>45719</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35599-2024</t>
        </is>
      </c>
      <c r="B1517" s="1" t="n">
        <v>45531</v>
      </c>
      <c r="C1517" s="1" t="n">
        <v>45719</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35635-2024</t>
        </is>
      </c>
      <c r="B1518" s="1" t="n">
        <v>45531</v>
      </c>
      <c r="C1518" s="1" t="n">
        <v>45719</v>
      </c>
      <c r="D1518" t="inlineStr">
        <is>
          <t>JÄMTLANDS LÄN</t>
        </is>
      </c>
      <c r="E1518" t="inlineStr">
        <is>
          <t>HÄRJEDALEN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35726-2024</t>
        </is>
      </c>
      <c r="B1519" s="1" t="n">
        <v>45532</v>
      </c>
      <c r="C1519" s="1" t="n">
        <v>45719</v>
      </c>
      <c r="D1519" t="inlineStr">
        <is>
          <t>JÄMTLANDS LÄN</t>
        </is>
      </c>
      <c r="E1519" t="inlineStr">
        <is>
          <t>HÄRJEDALEN</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35947-2024</t>
        </is>
      </c>
      <c r="B1520" s="1" t="n">
        <v>45533</v>
      </c>
      <c r="C1520" s="1" t="n">
        <v>45719</v>
      </c>
      <c r="D1520" t="inlineStr">
        <is>
          <t>JÄMTLANDS LÄN</t>
        </is>
      </c>
      <c r="E1520" t="inlineStr">
        <is>
          <t>HÄRJEDALEN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35971-2024</t>
        </is>
      </c>
      <c r="B1521" s="1" t="n">
        <v>45533</v>
      </c>
      <c r="C1521" s="1" t="n">
        <v>45719</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36083-2024</t>
        </is>
      </c>
      <c r="B1522" s="1" t="n">
        <v>45533</v>
      </c>
      <c r="C1522" s="1" t="n">
        <v>45719</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36097-2024</t>
        </is>
      </c>
      <c r="B1523" s="1" t="n">
        <v>45533</v>
      </c>
      <c r="C1523" s="1" t="n">
        <v>45719</v>
      </c>
      <c r="D1523" t="inlineStr">
        <is>
          <t>JÄMTLANDS LÄN</t>
        </is>
      </c>
      <c r="E1523" t="inlineStr">
        <is>
          <t>HÄRJEDALEN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36123-2024</t>
        </is>
      </c>
      <c r="B1524" s="1" t="n">
        <v>45534</v>
      </c>
      <c r="C1524" s="1" t="n">
        <v>45719</v>
      </c>
      <c r="D1524" t="inlineStr">
        <is>
          <t>JÄMTLANDS LÄN</t>
        </is>
      </c>
      <c r="E1524" t="inlineStr">
        <is>
          <t>HÄRJEDALEN</t>
        </is>
      </c>
      <c r="F1524" t="inlineStr">
        <is>
          <t>Bergvik skog väst AB</t>
        </is>
      </c>
      <c r="G1524" t="n">
        <v>25.7</v>
      </c>
      <c r="H1524" t="n">
        <v>0</v>
      </c>
      <c r="I1524" t="n">
        <v>0</v>
      </c>
      <c r="J1524" t="n">
        <v>0</v>
      </c>
      <c r="K1524" t="n">
        <v>0</v>
      </c>
      <c r="L1524" t="n">
        <v>0</v>
      </c>
      <c r="M1524" t="n">
        <v>0</v>
      </c>
      <c r="N1524" t="n">
        <v>0</v>
      </c>
      <c r="O1524" t="n">
        <v>0</v>
      </c>
      <c r="P1524" t="n">
        <v>0</v>
      </c>
      <c r="Q1524" t="n">
        <v>0</v>
      </c>
      <c r="R1524" s="2" t="inlineStr"/>
    </row>
    <row r="1525" ht="15" customHeight="1">
      <c r="A1525" t="inlineStr">
        <is>
          <t>A 36239-2024</t>
        </is>
      </c>
      <c r="B1525" s="1" t="n">
        <v>45534</v>
      </c>
      <c r="C1525" s="1" t="n">
        <v>45719</v>
      </c>
      <c r="D1525" t="inlineStr">
        <is>
          <t>JÄMTLANDS LÄN</t>
        </is>
      </c>
      <c r="E1525" t="inlineStr">
        <is>
          <t>HÄRJEDALEN</t>
        </is>
      </c>
      <c r="F1525" t="inlineStr">
        <is>
          <t>Bergvik skog väst AB</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36645-2024</t>
        </is>
      </c>
      <c r="B1526" s="1" t="n">
        <v>45537</v>
      </c>
      <c r="C1526" s="1" t="n">
        <v>45719</v>
      </c>
      <c r="D1526" t="inlineStr">
        <is>
          <t>JÄMTLANDS LÄN</t>
        </is>
      </c>
      <c r="E1526" t="inlineStr">
        <is>
          <t>HÄRJEDALEN</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36911-2024</t>
        </is>
      </c>
      <c r="B1527" s="1" t="n">
        <v>45538</v>
      </c>
      <c r="C1527" s="1" t="n">
        <v>45719</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36941-2024</t>
        </is>
      </c>
      <c r="B1528" s="1" t="n">
        <v>45538</v>
      </c>
      <c r="C1528" s="1" t="n">
        <v>45719</v>
      </c>
      <c r="D1528" t="inlineStr">
        <is>
          <t>JÄMTLANDS LÄN</t>
        </is>
      </c>
      <c r="E1528" t="inlineStr">
        <is>
          <t>HÄRJEDALEN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37054-2024</t>
        </is>
      </c>
      <c r="B1529" s="1" t="n">
        <v>45539</v>
      </c>
      <c r="C1529" s="1" t="n">
        <v>45719</v>
      </c>
      <c r="D1529" t="inlineStr">
        <is>
          <t>JÄMTLANDS LÄN</t>
        </is>
      </c>
      <c r="E1529" t="inlineStr">
        <is>
          <t>HÄRJEDALEN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37281-2024</t>
        </is>
      </c>
      <c r="B1530" s="1" t="n">
        <v>45540</v>
      </c>
      <c r="C1530" s="1" t="n">
        <v>45719</v>
      </c>
      <c r="D1530" t="inlineStr">
        <is>
          <t>JÄMTLANDS LÄN</t>
        </is>
      </c>
      <c r="E1530" t="inlineStr">
        <is>
          <t>HÄRJEDALEN</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38507-2024</t>
        </is>
      </c>
      <c r="B1531" s="1" t="n">
        <v>45546</v>
      </c>
      <c r="C1531" s="1" t="n">
        <v>45719</v>
      </c>
      <c r="D1531" t="inlineStr">
        <is>
          <t>JÄMTLANDS LÄN</t>
        </is>
      </c>
      <c r="E1531" t="inlineStr">
        <is>
          <t>HÄRJEDALEN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38609-2024</t>
        </is>
      </c>
      <c r="B1532" s="1" t="n">
        <v>45546</v>
      </c>
      <c r="C1532" s="1" t="n">
        <v>45719</v>
      </c>
      <c r="D1532" t="inlineStr">
        <is>
          <t>JÄMTLANDS LÄN</t>
        </is>
      </c>
      <c r="E1532" t="inlineStr">
        <is>
          <t>HÄRJEDALEN</t>
        </is>
      </c>
      <c r="F1532" t="inlineStr">
        <is>
          <t>Bergvik skog väst AB</t>
        </is>
      </c>
      <c r="G1532" t="n">
        <v>32.4</v>
      </c>
      <c r="H1532" t="n">
        <v>0</v>
      </c>
      <c r="I1532" t="n">
        <v>0</v>
      </c>
      <c r="J1532" t="n">
        <v>0</v>
      </c>
      <c r="K1532" t="n">
        <v>0</v>
      </c>
      <c r="L1532" t="n">
        <v>0</v>
      </c>
      <c r="M1532" t="n">
        <v>0</v>
      </c>
      <c r="N1532" t="n">
        <v>0</v>
      </c>
      <c r="O1532" t="n">
        <v>0</v>
      </c>
      <c r="P1532" t="n">
        <v>0</v>
      </c>
      <c r="Q1532" t="n">
        <v>0</v>
      </c>
      <c r="R1532" s="2" t="inlineStr"/>
    </row>
    <row r="1533" ht="15" customHeight="1">
      <c r="A1533" t="inlineStr">
        <is>
          <t>A 38841-2024</t>
        </is>
      </c>
      <c r="B1533" s="1" t="n">
        <v>45547</v>
      </c>
      <c r="C1533" s="1" t="n">
        <v>45719</v>
      </c>
      <c r="D1533" t="inlineStr">
        <is>
          <t>JÄMTLANDS LÄN</t>
        </is>
      </c>
      <c r="E1533" t="inlineStr">
        <is>
          <t>HÄRJEDALEN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38827-2024</t>
        </is>
      </c>
      <c r="B1534" s="1" t="n">
        <v>45547</v>
      </c>
      <c r="C1534" s="1" t="n">
        <v>45719</v>
      </c>
      <c r="D1534" t="inlineStr">
        <is>
          <t>JÄMTLANDS LÄN</t>
        </is>
      </c>
      <c r="E1534" t="inlineStr">
        <is>
          <t>HÄRJEDALEN</t>
        </is>
      </c>
      <c r="F1534" t="inlineStr">
        <is>
          <t>Bergvik skog väst AB</t>
        </is>
      </c>
      <c r="G1534" t="n">
        <v>30</v>
      </c>
      <c r="H1534" t="n">
        <v>0</v>
      </c>
      <c r="I1534" t="n">
        <v>0</v>
      </c>
      <c r="J1534" t="n">
        <v>0</v>
      </c>
      <c r="K1534" t="n">
        <v>0</v>
      </c>
      <c r="L1534" t="n">
        <v>0</v>
      </c>
      <c r="M1534" t="n">
        <v>0</v>
      </c>
      <c r="N1534" t="n">
        <v>0</v>
      </c>
      <c r="O1534" t="n">
        <v>0</v>
      </c>
      <c r="P1534" t="n">
        <v>0</v>
      </c>
      <c r="Q1534" t="n">
        <v>0</v>
      </c>
      <c r="R1534" s="2" t="inlineStr"/>
    </row>
    <row r="1535" ht="15" customHeight="1">
      <c r="A1535" t="inlineStr">
        <is>
          <t>A 38851-2024</t>
        </is>
      </c>
      <c r="B1535" s="1" t="n">
        <v>45547</v>
      </c>
      <c r="C1535" s="1" t="n">
        <v>45719</v>
      </c>
      <c r="D1535" t="inlineStr">
        <is>
          <t>JÄMTLANDS LÄN</t>
        </is>
      </c>
      <c r="E1535" t="inlineStr">
        <is>
          <t>HÄRJEDALEN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38840-2024</t>
        </is>
      </c>
      <c r="B1536" s="1" t="n">
        <v>45547</v>
      </c>
      <c r="C1536" s="1" t="n">
        <v>45719</v>
      </c>
      <c r="D1536" t="inlineStr">
        <is>
          <t>JÄMTLANDS LÄN</t>
        </is>
      </c>
      <c r="E1536" t="inlineStr">
        <is>
          <t>HÄRJEDALEN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40037-2024</t>
        </is>
      </c>
      <c r="B1537" s="1" t="n">
        <v>45553</v>
      </c>
      <c r="C1537" s="1" t="n">
        <v>45719</v>
      </c>
      <c r="D1537" t="inlineStr">
        <is>
          <t>JÄMTLANDS LÄN</t>
        </is>
      </c>
      <c r="E1537" t="inlineStr">
        <is>
          <t>HÄRJEDALEN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40114-2024</t>
        </is>
      </c>
      <c r="B1538" s="1" t="n">
        <v>45554</v>
      </c>
      <c r="C1538" s="1" t="n">
        <v>45719</v>
      </c>
      <c r="D1538" t="inlineStr">
        <is>
          <t>JÄMTLANDS LÄN</t>
        </is>
      </c>
      <c r="E1538" t="inlineStr">
        <is>
          <t>HÄRJEDALEN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41259-2024</t>
        </is>
      </c>
      <c r="B1539" s="1" t="n">
        <v>45559</v>
      </c>
      <c r="C1539" s="1" t="n">
        <v>45719</v>
      </c>
      <c r="D1539" t="inlineStr">
        <is>
          <t>JÄMTLANDS LÄN</t>
        </is>
      </c>
      <c r="E1539" t="inlineStr">
        <is>
          <t>HÄRJEDALEN</t>
        </is>
      </c>
      <c r="F1539" t="inlineStr">
        <is>
          <t>Bergvik skog väst AB</t>
        </is>
      </c>
      <c r="G1539" t="n">
        <v>30.7</v>
      </c>
      <c r="H1539" t="n">
        <v>0</v>
      </c>
      <c r="I1539" t="n">
        <v>0</v>
      </c>
      <c r="J1539" t="n">
        <v>0</v>
      </c>
      <c r="K1539" t="n">
        <v>0</v>
      </c>
      <c r="L1539" t="n">
        <v>0</v>
      </c>
      <c r="M1539" t="n">
        <v>0</v>
      </c>
      <c r="N1539" t="n">
        <v>0</v>
      </c>
      <c r="O1539" t="n">
        <v>0</v>
      </c>
      <c r="P1539" t="n">
        <v>0</v>
      </c>
      <c r="Q1539" t="n">
        <v>0</v>
      </c>
      <c r="R1539" s="2" t="inlineStr"/>
    </row>
    <row r="1540" ht="15" customHeight="1">
      <c r="A1540" t="inlineStr">
        <is>
          <t>A 41329-2024</t>
        </is>
      </c>
      <c r="B1540" s="1" t="n">
        <v>45559</v>
      </c>
      <c r="C1540" s="1" t="n">
        <v>45719</v>
      </c>
      <c r="D1540" t="inlineStr">
        <is>
          <t>JÄMTLANDS LÄN</t>
        </is>
      </c>
      <c r="E1540" t="inlineStr">
        <is>
          <t>HÄRJEDALEN</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41101-2024</t>
        </is>
      </c>
      <c r="B1541" s="1" t="n">
        <v>45559</v>
      </c>
      <c r="C1541" s="1" t="n">
        <v>45719</v>
      </c>
      <c r="D1541" t="inlineStr">
        <is>
          <t>JÄMTLANDS LÄN</t>
        </is>
      </c>
      <c r="E1541" t="inlineStr">
        <is>
          <t>HÄRJEDALEN</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41604-2024</t>
        </is>
      </c>
      <c r="B1542" s="1" t="n">
        <v>45560</v>
      </c>
      <c r="C1542" s="1" t="n">
        <v>45719</v>
      </c>
      <c r="D1542" t="inlineStr">
        <is>
          <t>JÄMTLANDS LÄN</t>
        </is>
      </c>
      <c r="E1542" t="inlineStr">
        <is>
          <t>HÄRJEDALEN</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41401-2024</t>
        </is>
      </c>
      <c r="B1543" s="1" t="n">
        <v>45560</v>
      </c>
      <c r="C1543" s="1" t="n">
        <v>45719</v>
      </c>
      <c r="D1543" t="inlineStr">
        <is>
          <t>JÄMTLANDS LÄN</t>
        </is>
      </c>
      <c r="E1543" t="inlineStr">
        <is>
          <t>HÄRJEDALEN</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41615-2024</t>
        </is>
      </c>
      <c r="B1544" s="1" t="n">
        <v>45560</v>
      </c>
      <c r="C1544" s="1" t="n">
        <v>45719</v>
      </c>
      <c r="D1544" t="inlineStr">
        <is>
          <t>JÄMTLANDS LÄN</t>
        </is>
      </c>
      <c r="E1544" t="inlineStr">
        <is>
          <t>HÄRJEDALEN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41647-2024</t>
        </is>
      </c>
      <c r="B1545" s="1" t="n">
        <v>45560</v>
      </c>
      <c r="C1545" s="1" t="n">
        <v>45719</v>
      </c>
      <c r="D1545" t="inlineStr">
        <is>
          <t>JÄMTLANDS LÄN</t>
        </is>
      </c>
      <c r="E1545" t="inlineStr">
        <is>
          <t>HÄRJEDALEN</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41761-2024</t>
        </is>
      </c>
      <c r="B1546" s="1" t="n">
        <v>45561</v>
      </c>
      <c r="C1546" s="1" t="n">
        <v>45719</v>
      </c>
      <c r="D1546" t="inlineStr">
        <is>
          <t>JÄMTLANDS LÄN</t>
        </is>
      </c>
      <c r="E1546" t="inlineStr">
        <is>
          <t>HÄRJEDALEN</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41887-2024</t>
        </is>
      </c>
      <c r="B1547" s="1" t="n">
        <v>45561</v>
      </c>
      <c r="C1547" s="1" t="n">
        <v>45719</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41895-2024</t>
        </is>
      </c>
      <c r="B1548" s="1" t="n">
        <v>45561</v>
      </c>
      <c r="C1548" s="1" t="n">
        <v>45719</v>
      </c>
      <c r="D1548" t="inlineStr">
        <is>
          <t>JÄMTLANDS LÄN</t>
        </is>
      </c>
      <c r="E1548" t="inlineStr">
        <is>
          <t>HÄRJEDALEN</t>
        </is>
      </c>
      <c r="G1548" t="n">
        <v>39.3</v>
      </c>
      <c r="H1548" t="n">
        <v>0</v>
      </c>
      <c r="I1548" t="n">
        <v>0</v>
      </c>
      <c r="J1548" t="n">
        <v>0</v>
      </c>
      <c r="K1548" t="n">
        <v>0</v>
      </c>
      <c r="L1548" t="n">
        <v>0</v>
      </c>
      <c r="M1548" t="n">
        <v>0</v>
      </c>
      <c r="N1548" t="n">
        <v>0</v>
      </c>
      <c r="O1548" t="n">
        <v>0</v>
      </c>
      <c r="P1548" t="n">
        <v>0</v>
      </c>
      <c r="Q1548" t="n">
        <v>0</v>
      </c>
      <c r="R1548" s="2" t="inlineStr"/>
    </row>
    <row r="1549" ht="15" customHeight="1">
      <c r="A1549" t="inlineStr">
        <is>
          <t>A 41885-2024</t>
        </is>
      </c>
      <c r="B1549" s="1" t="n">
        <v>45561</v>
      </c>
      <c r="C1549" s="1" t="n">
        <v>45719</v>
      </c>
      <c r="D1549" t="inlineStr">
        <is>
          <t>JÄMTLANDS LÄN</t>
        </is>
      </c>
      <c r="E1549" t="inlineStr">
        <is>
          <t>HÄRJEDALEN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41785-2024</t>
        </is>
      </c>
      <c r="B1550" s="1" t="n">
        <v>45561</v>
      </c>
      <c r="C1550" s="1" t="n">
        <v>45719</v>
      </c>
      <c r="D1550" t="inlineStr">
        <is>
          <t>JÄMTLANDS LÄN</t>
        </is>
      </c>
      <c r="E1550" t="inlineStr">
        <is>
          <t>HÄRJEDALEN</t>
        </is>
      </c>
      <c r="F1550" t="inlineStr">
        <is>
          <t>SCA</t>
        </is>
      </c>
      <c r="G1550" t="n">
        <v>45.1</v>
      </c>
      <c r="H1550" t="n">
        <v>0</v>
      </c>
      <c r="I1550" t="n">
        <v>0</v>
      </c>
      <c r="J1550" t="n">
        <v>0</v>
      </c>
      <c r="K1550" t="n">
        <v>0</v>
      </c>
      <c r="L1550" t="n">
        <v>0</v>
      </c>
      <c r="M1550" t="n">
        <v>0</v>
      </c>
      <c r="N1550" t="n">
        <v>0</v>
      </c>
      <c r="O1550" t="n">
        <v>0</v>
      </c>
      <c r="P1550" t="n">
        <v>0</v>
      </c>
      <c r="Q1550" t="n">
        <v>0</v>
      </c>
      <c r="R1550" s="2" t="inlineStr"/>
    </row>
    <row r="1551" ht="15" customHeight="1">
      <c r="A1551" t="inlineStr">
        <is>
          <t>A 42332-2024</t>
        </is>
      </c>
      <c r="B1551" s="1" t="n">
        <v>45562</v>
      </c>
      <c r="C1551" s="1" t="n">
        <v>45719</v>
      </c>
      <c r="D1551" t="inlineStr">
        <is>
          <t>JÄMTLANDS LÄN</t>
        </is>
      </c>
      <c r="E1551" t="inlineStr">
        <is>
          <t>HÄRJEDALEN</t>
        </is>
      </c>
      <c r="F1551" t="inlineStr">
        <is>
          <t>Sveaskog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42333-2024</t>
        </is>
      </c>
      <c r="B1552" s="1" t="n">
        <v>45562</v>
      </c>
      <c r="C1552" s="1" t="n">
        <v>45719</v>
      </c>
      <c r="D1552" t="inlineStr">
        <is>
          <t>JÄMTLANDS LÄN</t>
        </is>
      </c>
      <c r="E1552" t="inlineStr">
        <is>
          <t>HÄRJEDALEN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42789-2024</t>
        </is>
      </c>
      <c r="B1553" s="1" t="n">
        <v>45566</v>
      </c>
      <c r="C1553" s="1" t="n">
        <v>45719</v>
      </c>
      <c r="D1553" t="inlineStr">
        <is>
          <t>JÄMTLANDS LÄN</t>
        </is>
      </c>
      <c r="E1553" t="inlineStr">
        <is>
          <t>HÄRJEDALEN</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42803-2024</t>
        </is>
      </c>
      <c r="B1554" s="1" t="n">
        <v>45566</v>
      </c>
      <c r="C1554" s="1" t="n">
        <v>45719</v>
      </c>
      <c r="D1554" t="inlineStr">
        <is>
          <t>JÄMTLANDS LÄN</t>
        </is>
      </c>
      <c r="E1554" t="inlineStr">
        <is>
          <t>HÄRJEDALEN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43036-2024</t>
        </is>
      </c>
      <c r="B1555" s="1" t="n">
        <v>45567</v>
      </c>
      <c r="C1555" s="1" t="n">
        <v>45719</v>
      </c>
      <c r="D1555" t="inlineStr">
        <is>
          <t>JÄMTLANDS LÄN</t>
        </is>
      </c>
      <c r="E1555" t="inlineStr">
        <is>
          <t>HÄRJEDALEN</t>
        </is>
      </c>
      <c r="F1555" t="inlineStr">
        <is>
          <t>Bergvik skog väst AB</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43287-2024</t>
        </is>
      </c>
      <c r="B1556" s="1" t="n">
        <v>45568</v>
      </c>
      <c r="C1556" s="1" t="n">
        <v>45719</v>
      </c>
      <c r="D1556" t="inlineStr">
        <is>
          <t>JÄMTLANDS LÄN</t>
        </is>
      </c>
      <c r="E1556" t="inlineStr">
        <is>
          <t>HÄRJEDALEN</t>
        </is>
      </c>
      <c r="F1556" t="inlineStr">
        <is>
          <t>SCA</t>
        </is>
      </c>
      <c r="G1556" t="n">
        <v>19.7</v>
      </c>
      <c r="H1556" t="n">
        <v>0</v>
      </c>
      <c r="I1556" t="n">
        <v>0</v>
      </c>
      <c r="J1556" t="n">
        <v>0</v>
      </c>
      <c r="K1556" t="n">
        <v>0</v>
      </c>
      <c r="L1556" t="n">
        <v>0</v>
      </c>
      <c r="M1556" t="n">
        <v>0</v>
      </c>
      <c r="N1556" t="n">
        <v>0</v>
      </c>
      <c r="O1556" t="n">
        <v>0</v>
      </c>
      <c r="P1556" t="n">
        <v>0</v>
      </c>
      <c r="Q1556" t="n">
        <v>0</v>
      </c>
      <c r="R1556" s="2" t="inlineStr"/>
    </row>
    <row r="1557" ht="15" customHeight="1">
      <c r="A1557" t="inlineStr">
        <is>
          <t>A 43297-2024</t>
        </is>
      </c>
      <c r="B1557" s="1" t="n">
        <v>45568</v>
      </c>
      <c r="C1557" s="1" t="n">
        <v>45719</v>
      </c>
      <c r="D1557" t="inlineStr">
        <is>
          <t>JÄMTLANDS LÄN</t>
        </is>
      </c>
      <c r="E1557" t="inlineStr">
        <is>
          <t>HÄRJEDALEN</t>
        </is>
      </c>
      <c r="F1557" t="inlineStr">
        <is>
          <t>SCA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43309-2024</t>
        </is>
      </c>
      <c r="B1558" s="1" t="n">
        <v>45568</v>
      </c>
      <c r="C1558" s="1" t="n">
        <v>45719</v>
      </c>
      <c r="D1558" t="inlineStr">
        <is>
          <t>JÄMTLANDS LÄN</t>
        </is>
      </c>
      <c r="E1558" t="inlineStr">
        <is>
          <t>HÄRJEDALEN</t>
        </is>
      </c>
      <c r="F1558" t="inlineStr">
        <is>
          <t>Bergvik skog väst AB</t>
        </is>
      </c>
      <c r="G1558" t="n">
        <v>79.8</v>
      </c>
      <c r="H1558" t="n">
        <v>0</v>
      </c>
      <c r="I1558" t="n">
        <v>0</v>
      </c>
      <c r="J1558" t="n">
        <v>0</v>
      </c>
      <c r="K1558" t="n">
        <v>0</v>
      </c>
      <c r="L1558" t="n">
        <v>0</v>
      </c>
      <c r="M1558" t="n">
        <v>0</v>
      </c>
      <c r="N1558" t="n">
        <v>0</v>
      </c>
      <c r="O1558" t="n">
        <v>0</v>
      </c>
      <c r="P1558" t="n">
        <v>0</v>
      </c>
      <c r="Q1558" t="n">
        <v>0</v>
      </c>
      <c r="R1558" s="2" t="inlineStr"/>
    </row>
    <row r="1559" ht="15" customHeight="1">
      <c r="A1559" t="inlineStr">
        <is>
          <t>A 43390-2024</t>
        </is>
      </c>
      <c r="B1559" s="1" t="n">
        <v>45568</v>
      </c>
      <c r="C1559" s="1" t="n">
        <v>45719</v>
      </c>
      <c r="D1559" t="inlineStr">
        <is>
          <t>JÄMTLANDS LÄN</t>
        </is>
      </c>
      <c r="E1559" t="inlineStr">
        <is>
          <t>HÄRJEDALEN</t>
        </is>
      </c>
      <c r="F1559" t="inlineStr">
        <is>
          <t>Bergvik skog väst AB</t>
        </is>
      </c>
      <c r="G1559" t="n">
        <v>10.9</v>
      </c>
      <c r="H1559" t="n">
        <v>0</v>
      </c>
      <c r="I1559" t="n">
        <v>0</v>
      </c>
      <c r="J1559" t="n">
        <v>0</v>
      </c>
      <c r="K1559" t="n">
        <v>0</v>
      </c>
      <c r="L1559" t="n">
        <v>0</v>
      </c>
      <c r="M1559" t="n">
        <v>0</v>
      </c>
      <c r="N1559" t="n">
        <v>0</v>
      </c>
      <c r="O1559" t="n">
        <v>0</v>
      </c>
      <c r="P1559" t="n">
        <v>0</v>
      </c>
      <c r="Q1559" t="n">
        <v>0</v>
      </c>
      <c r="R1559" s="2" t="inlineStr"/>
    </row>
    <row r="1560" ht="15" customHeight="1">
      <c r="A1560" t="inlineStr">
        <is>
          <t>A 43294-2024</t>
        </is>
      </c>
      <c r="B1560" s="1" t="n">
        <v>45568</v>
      </c>
      <c r="C1560" s="1" t="n">
        <v>45719</v>
      </c>
      <c r="D1560" t="inlineStr">
        <is>
          <t>JÄMTLANDS LÄN</t>
        </is>
      </c>
      <c r="E1560" t="inlineStr">
        <is>
          <t>HÄRJEDALEN</t>
        </is>
      </c>
      <c r="F1560" t="inlineStr">
        <is>
          <t>SCA</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43316-2024</t>
        </is>
      </c>
      <c r="B1561" s="1" t="n">
        <v>45568</v>
      </c>
      <c r="C1561" s="1" t="n">
        <v>45719</v>
      </c>
      <c r="D1561" t="inlineStr">
        <is>
          <t>JÄMTLANDS LÄN</t>
        </is>
      </c>
      <c r="E1561" t="inlineStr">
        <is>
          <t>HÄRJEDALEN</t>
        </is>
      </c>
      <c r="F1561" t="inlineStr">
        <is>
          <t>Bergvik skog väst AB</t>
        </is>
      </c>
      <c r="G1561" t="n">
        <v>79.90000000000001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43623-2024</t>
        </is>
      </c>
      <c r="B1562" s="1" t="n">
        <v>45569</v>
      </c>
      <c r="C1562" s="1" t="n">
        <v>45719</v>
      </c>
      <c r="D1562" t="inlineStr">
        <is>
          <t>JÄMTLANDS LÄN</t>
        </is>
      </c>
      <c r="E1562" t="inlineStr">
        <is>
          <t>HÄRJEDALEN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43555-2024</t>
        </is>
      </c>
      <c r="B1563" s="1" t="n">
        <v>45569</v>
      </c>
      <c r="C1563" s="1" t="n">
        <v>45719</v>
      </c>
      <c r="D1563" t="inlineStr">
        <is>
          <t>JÄMTLANDS LÄN</t>
        </is>
      </c>
      <c r="E1563" t="inlineStr">
        <is>
          <t>HÄRJEDALEN</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43574-2024</t>
        </is>
      </c>
      <c r="B1564" s="1" t="n">
        <v>45569</v>
      </c>
      <c r="C1564" s="1" t="n">
        <v>45719</v>
      </c>
      <c r="D1564" t="inlineStr">
        <is>
          <t>JÄMTLANDS LÄN</t>
        </is>
      </c>
      <c r="E1564" t="inlineStr">
        <is>
          <t>HÄRJEDALEN</t>
        </is>
      </c>
      <c r="F1564" t="inlineStr">
        <is>
          <t>Bergvik skog väst AB</t>
        </is>
      </c>
      <c r="G1564" t="n">
        <v>258.3</v>
      </c>
      <c r="H1564" t="n">
        <v>0</v>
      </c>
      <c r="I1564" t="n">
        <v>0</v>
      </c>
      <c r="J1564" t="n">
        <v>0</v>
      </c>
      <c r="K1564" t="n">
        <v>0</v>
      </c>
      <c r="L1564" t="n">
        <v>0</v>
      </c>
      <c r="M1564" t="n">
        <v>0</v>
      </c>
      <c r="N1564" t="n">
        <v>0</v>
      </c>
      <c r="O1564" t="n">
        <v>0</v>
      </c>
      <c r="P1564" t="n">
        <v>0</v>
      </c>
      <c r="Q1564" t="n">
        <v>0</v>
      </c>
      <c r="R1564" s="2" t="inlineStr"/>
    </row>
    <row r="1565" ht="15" customHeight="1">
      <c r="A1565" t="inlineStr">
        <is>
          <t>A 43586-2024</t>
        </is>
      </c>
      <c r="B1565" s="1" t="n">
        <v>45569</v>
      </c>
      <c r="C1565" s="1" t="n">
        <v>45719</v>
      </c>
      <c r="D1565" t="inlineStr">
        <is>
          <t>JÄMTLANDS LÄN</t>
        </is>
      </c>
      <c r="E1565" t="inlineStr">
        <is>
          <t>HÄRJEDALEN</t>
        </is>
      </c>
      <c r="F1565" t="inlineStr">
        <is>
          <t>Bergvik skog väst AB</t>
        </is>
      </c>
      <c r="G1565" t="n">
        <v>96.2</v>
      </c>
      <c r="H1565" t="n">
        <v>0</v>
      </c>
      <c r="I1565" t="n">
        <v>0</v>
      </c>
      <c r="J1565" t="n">
        <v>0</v>
      </c>
      <c r="K1565" t="n">
        <v>0</v>
      </c>
      <c r="L1565" t="n">
        <v>0</v>
      </c>
      <c r="M1565" t="n">
        <v>0</v>
      </c>
      <c r="N1565" t="n">
        <v>0</v>
      </c>
      <c r="O1565" t="n">
        <v>0</v>
      </c>
      <c r="P1565" t="n">
        <v>0</v>
      </c>
      <c r="Q1565" t="n">
        <v>0</v>
      </c>
      <c r="R1565" s="2" t="inlineStr"/>
    </row>
    <row r="1566" ht="15" customHeight="1">
      <c r="A1566" t="inlineStr">
        <is>
          <t>A 43760-2024</t>
        </is>
      </c>
      <c r="B1566" s="1" t="n">
        <v>45569</v>
      </c>
      <c r="C1566" s="1" t="n">
        <v>45719</v>
      </c>
      <c r="D1566" t="inlineStr">
        <is>
          <t>JÄMTLANDS LÄN</t>
        </is>
      </c>
      <c r="E1566" t="inlineStr">
        <is>
          <t>HÄRJEDALEN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43758-2024</t>
        </is>
      </c>
      <c r="B1567" s="1" t="n">
        <v>45569</v>
      </c>
      <c r="C1567" s="1" t="n">
        <v>45719</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43591-2024</t>
        </is>
      </c>
      <c r="B1568" s="1" t="n">
        <v>45569</v>
      </c>
      <c r="C1568" s="1" t="n">
        <v>45719</v>
      </c>
      <c r="D1568" t="inlineStr">
        <is>
          <t>JÄMTLANDS LÄN</t>
        </is>
      </c>
      <c r="E1568" t="inlineStr">
        <is>
          <t>HÄRJEDALEN</t>
        </is>
      </c>
      <c r="F1568" t="inlineStr">
        <is>
          <t>Bergvik skog väst AB</t>
        </is>
      </c>
      <c r="G1568" t="n">
        <v>50.5</v>
      </c>
      <c r="H1568" t="n">
        <v>0</v>
      </c>
      <c r="I1568" t="n">
        <v>0</v>
      </c>
      <c r="J1568" t="n">
        <v>0</v>
      </c>
      <c r="K1568" t="n">
        <v>0</v>
      </c>
      <c r="L1568" t="n">
        <v>0</v>
      </c>
      <c r="M1568" t="n">
        <v>0</v>
      </c>
      <c r="N1568" t="n">
        <v>0</v>
      </c>
      <c r="O1568" t="n">
        <v>0</v>
      </c>
      <c r="P1568" t="n">
        <v>0</v>
      </c>
      <c r="Q1568" t="n">
        <v>0</v>
      </c>
      <c r="R1568" s="2" t="inlineStr"/>
    </row>
    <row r="1569" ht="15" customHeight="1">
      <c r="A1569" t="inlineStr">
        <is>
          <t>A 43607-2024</t>
        </is>
      </c>
      <c r="B1569" s="1" t="n">
        <v>45569</v>
      </c>
      <c r="C1569" s="1" t="n">
        <v>45719</v>
      </c>
      <c r="D1569" t="inlineStr">
        <is>
          <t>JÄMTLANDS LÄN</t>
        </is>
      </c>
      <c r="E1569" t="inlineStr">
        <is>
          <t>HÄRJEDALEN</t>
        </is>
      </c>
      <c r="F1569" t="inlineStr">
        <is>
          <t>Bergvik skog väst AB</t>
        </is>
      </c>
      <c r="G1569" t="n">
        <v>189.8</v>
      </c>
      <c r="H1569" t="n">
        <v>0</v>
      </c>
      <c r="I1569" t="n">
        <v>0</v>
      </c>
      <c r="J1569" t="n">
        <v>0</v>
      </c>
      <c r="K1569" t="n">
        <v>0</v>
      </c>
      <c r="L1569" t="n">
        <v>0</v>
      </c>
      <c r="M1569" t="n">
        <v>0</v>
      </c>
      <c r="N1569" t="n">
        <v>0</v>
      </c>
      <c r="O1569" t="n">
        <v>0</v>
      </c>
      <c r="P1569" t="n">
        <v>0</v>
      </c>
      <c r="Q1569" t="n">
        <v>0</v>
      </c>
      <c r="R1569" s="2" t="inlineStr"/>
    </row>
    <row r="1570" ht="15" customHeight="1">
      <c r="A1570" t="inlineStr">
        <is>
          <t>A 44056-2024</t>
        </is>
      </c>
      <c r="B1570" s="1" t="n">
        <v>45572</v>
      </c>
      <c r="C1570" s="1" t="n">
        <v>45719</v>
      </c>
      <c r="D1570" t="inlineStr">
        <is>
          <t>JÄMTLANDS LÄN</t>
        </is>
      </c>
      <c r="E1570" t="inlineStr">
        <is>
          <t>HÄRJEDALEN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44060-2024</t>
        </is>
      </c>
      <c r="B1571" s="1" t="n">
        <v>45572</v>
      </c>
      <c r="C1571" s="1" t="n">
        <v>45719</v>
      </c>
      <c r="D1571" t="inlineStr">
        <is>
          <t>JÄMTLANDS LÄN</t>
        </is>
      </c>
      <c r="E1571" t="inlineStr">
        <is>
          <t>HÄRJEDALEN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44222-2024</t>
        </is>
      </c>
      <c r="B1572" s="1" t="n">
        <v>45573</v>
      </c>
      <c r="C1572" s="1" t="n">
        <v>45719</v>
      </c>
      <c r="D1572" t="inlineStr">
        <is>
          <t>JÄMTLANDS LÄN</t>
        </is>
      </c>
      <c r="E1572" t="inlineStr">
        <is>
          <t>HÄRJEDALEN</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44332-2024</t>
        </is>
      </c>
      <c r="B1573" s="1" t="n">
        <v>45573</v>
      </c>
      <c r="C1573" s="1" t="n">
        <v>45719</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44583-2024</t>
        </is>
      </c>
      <c r="B1574" s="1" t="n">
        <v>45574</v>
      </c>
      <c r="C1574" s="1" t="n">
        <v>45719</v>
      </c>
      <c r="D1574" t="inlineStr">
        <is>
          <t>JÄMTLANDS LÄN</t>
        </is>
      </c>
      <c r="E1574" t="inlineStr">
        <is>
          <t>HÄRJEDALEN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44705-2024</t>
        </is>
      </c>
      <c r="B1575" s="1" t="n">
        <v>45574</v>
      </c>
      <c r="C1575" s="1" t="n">
        <v>45719</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44819-2024</t>
        </is>
      </c>
      <c r="B1576" s="1" t="n">
        <v>45574</v>
      </c>
      <c r="C1576" s="1" t="n">
        <v>45719</v>
      </c>
      <c r="D1576" t="inlineStr">
        <is>
          <t>JÄMTLANDS LÄN</t>
        </is>
      </c>
      <c r="E1576" t="inlineStr">
        <is>
          <t>HÄRJEDALEN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44745-2024</t>
        </is>
      </c>
      <c r="B1577" s="1" t="n">
        <v>45574</v>
      </c>
      <c r="C1577" s="1" t="n">
        <v>45719</v>
      </c>
      <c r="D1577" t="inlineStr">
        <is>
          <t>JÄMTLANDS LÄN</t>
        </is>
      </c>
      <c r="E1577" t="inlineStr">
        <is>
          <t>HÄRJEDALEN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44757-2024</t>
        </is>
      </c>
      <c r="B1578" s="1" t="n">
        <v>45574</v>
      </c>
      <c r="C1578" s="1" t="n">
        <v>45719</v>
      </c>
      <c r="D1578" t="inlineStr">
        <is>
          <t>JÄMTLANDS LÄN</t>
        </is>
      </c>
      <c r="E1578" t="inlineStr">
        <is>
          <t>HÄRJEDALEN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44641-2024</t>
        </is>
      </c>
      <c r="B1579" s="1" t="n">
        <v>45574</v>
      </c>
      <c r="C1579" s="1" t="n">
        <v>45719</v>
      </c>
      <c r="D1579" t="inlineStr">
        <is>
          <t>JÄMTLANDS LÄN</t>
        </is>
      </c>
      <c r="E1579" t="inlineStr">
        <is>
          <t>HÄRJEDALEN</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44967-2024</t>
        </is>
      </c>
      <c r="B1580" s="1" t="n">
        <v>45575</v>
      </c>
      <c r="C1580" s="1" t="n">
        <v>45719</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44955-2024</t>
        </is>
      </c>
      <c r="B1581" s="1" t="n">
        <v>45575</v>
      </c>
      <c r="C1581" s="1" t="n">
        <v>45719</v>
      </c>
      <c r="D1581" t="inlineStr">
        <is>
          <t>JÄMTLANDS LÄN</t>
        </is>
      </c>
      <c r="E1581" t="inlineStr">
        <is>
          <t>HÄRJEDALEN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45120-2024</t>
        </is>
      </c>
      <c r="B1582" s="1" t="n">
        <v>45575</v>
      </c>
      <c r="C1582" s="1" t="n">
        <v>45719</v>
      </c>
      <c r="D1582" t="inlineStr">
        <is>
          <t>JÄMTLANDS LÄN</t>
        </is>
      </c>
      <c r="E1582" t="inlineStr">
        <is>
          <t>HÄRJEDALEN</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45119-2024</t>
        </is>
      </c>
      <c r="B1583" s="1" t="n">
        <v>45575</v>
      </c>
      <c r="C1583" s="1" t="n">
        <v>45719</v>
      </c>
      <c r="D1583" t="inlineStr">
        <is>
          <t>JÄMTLANDS LÄN</t>
        </is>
      </c>
      <c r="E1583" t="inlineStr">
        <is>
          <t>HÄRJEDALEN</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45123-2024</t>
        </is>
      </c>
      <c r="B1584" s="1" t="n">
        <v>45575</v>
      </c>
      <c r="C1584" s="1" t="n">
        <v>45719</v>
      </c>
      <c r="D1584" t="inlineStr">
        <is>
          <t>JÄMTLANDS LÄN</t>
        </is>
      </c>
      <c r="E1584" t="inlineStr">
        <is>
          <t>HÄRJEDALEN</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44903-2024</t>
        </is>
      </c>
      <c r="B1585" s="1" t="n">
        <v>45575</v>
      </c>
      <c r="C1585" s="1" t="n">
        <v>45719</v>
      </c>
      <c r="D1585" t="inlineStr">
        <is>
          <t>JÄMTLANDS LÄN</t>
        </is>
      </c>
      <c r="E1585" t="inlineStr">
        <is>
          <t>HÄRJEDALEN</t>
        </is>
      </c>
      <c r="F1585" t="inlineStr">
        <is>
          <t>Sveaskog</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44964-2024</t>
        </is>
      </c>
      <c r="B1586" s="1" t="n">
        <v>45575</v>
      </c>
      <c r="C1586" s="1" t="n">
        <v>45719</v>
      </c>
      <c r="D1586" t="inlineStr">
        <is>
          <t>JÄMTLANDS LÄN</t>
        </is>
      </c>
      <c r="E1586" t="inlineStr">
        <is>
          <t>HÄRJEDALEN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45363-2024</t>
        </is>
      </c>
      <c r="B1587" s="1" t="n">
        <v>45576</v>
      </c>
      <c r="C1587" s="1" t="n">
        <v>45719</v>
      </c>
      <c r="D1587" t="inlineStr">
        <is>
          <t>JÄMTLANDS LÄN</t>
        </is>
      </c>
      <c r="E1587" t="inlineStr">
        <is>
          <t>HÄRJEDALEN</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45731-2024</t>
        </is>
      </c>
      <c r="B1588" s="1" t="n">
        <v>45579</v>
      </c>
      <c r="C1588" s="1" t="n">
        <v>45719</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45705-2024</t>
        </is>
      </c>
      <c r="B1589" s="1" t="n">
        <v>45579</v>
      </c>
      <c r="C1589" s="1" t="n">
        <v>45719</v>
      </c>
      <c r="D1589" t="inlineStr">
        <is>
          <t>JÄMTLANDS LÄN</t>
        </is>
      </c>
      <c r="E1589" t="inlineStr">
        <is>
          <t>HÄRJEDALEN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45570-2024</t>
        </is>
      </c>
      <c r="B1590" s="1" t="n">
        <v>45579</v>
      </c>
      <c r="C1590" s="1" t="n">
        <v>45719</v>
      </c>
      <c r="D1590" t="inlineStr">
        <is>
          <t>JÄMTLANDS LÄN</t>
        </is>
      </c>
      <c r="E1590" t="inlineStr">
        <is>
          <t>HÄRJEDALEN</t>
        </is>
      </c>
      <c r="F1590" t="inlineStr">
        <is>
          <t>Kommuner</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46058-2024</t>
        </is>
      </c>
      <c r="B1591" s="1" t="n">
        <v>45581</v>
      </c>
      <c r="C1591" s="1" t="n">
        <v>45719</v>
      </c>
      <c r="D1591" t="inlineStr">
        <is>
          <t>JÄMTLANDS LÄN</t>
        </is>
      </c>
      <c r="E1591" t="inlineStr">
        <is>
          <t>HÄRJEDALEN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46245-2024</t>
        </is>
      </c>
      <c r="B1592" s="1" t="n">
        <v>45581</v>
      </c>
      <c r="C1592" s="1" t="n">
        <v>45719</v>
      </c>
      <c r="D1592" t="inlineStr">
        <is>
          <t>JÄMTLANDS LÄN</t>
        </is>
      </c>
      <c r="E1592" t="inlineStr">
        <is>
          <t>HÄRJEDALEN</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46447-2024</t>
        </is>
      </c>
      <c r="B1593" s="1" t="n">
        <v>45582</v>
      </c>
      <c r="C1593" s="1" t="n">
        <v>45719</v>
      </c>
      <c r="D1593" t="inlineStr">
        <is>
          <t>JÄMTLANDS LÄN</t>
        </is>
      </c>
      <c r="E1593" t="inlineStr">
        <is>
          <t>HÄRJEDALEN</t>
        </is>
      </c>
      <c r="F1593" t="inlineStr">
        <is>
          <t>Bergvik skog väst AB</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46499-2024</t>
        </is>
      </c>
      <c r="B1594" s="1" t="n">
        <v>45582</v>
      </c>
      <c r="C1594" s="1" t="n">
        <v>45719</v>
      </c>
      <c r="D1594" t="inlineStr">
        <is>
          <t>JÄMTLANDS LÄN</t>
        </is>
      </c>
      <c r="E1594" t="inlineStr">
        <is>
          <t>HÄRJEDALEN</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47353-2024</t>
        </is>
      </c>
      <c r="B1595" s="1" t="n">
        <v>45587</v>
      </c>
      <c r="C1595" s="1" t="n">
        <v>45719</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47368-2024</t>
        </is>
      </c>
      <c r="B1596" s="1" t="n">
        <v>45587</v>
      </c>
      <c r="C1596" s="1" t="n">
        <v>45719</v>
      </c>
      <c r="D1596" t="inlineStr">
        <is>
          <t>JÄMTLANDS LÄN</t>
        </is>
      </c>
      <c r="E1596" t="inlineStr">
        <is>
          <t>HÄRJEDALEN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47765-2024</t>
        </is>
      </c>
      <c r="B1597" s="1" t="n">
        <v>45588</v>
      </c>
      <c r="C1597" s="1" t="n">
        <v>45719</v>
      </c>
      <c r="D1597" t="inlineStr">
        <is>
          <t>JÄMTLANDS LÄN</t>
        </is>
      </c>
      <c r="E1597" t="inlineStr">
        <is>
          <t>HÄRJEDALEN</t>
        </is>
      </c>
      <c r="G1597" t="n">
        <v>57.2</v>
      </c>
      <c r="H1597" t="n">
        <v>0</v>
      </c>
      <c r="I1597" t="n">
        <v>0</v>
      </c>
      <c r="J1597" t="n">
        <v>0</v>
      </c>
      <c r="K1597" t="n">
        <v>0</v>
      </c>
      <c r="L1597" t="n">
        <v>0</v>
      </c>
      <c r="M1597" t="n">
        <v>0</v>
      </c>
      <c r="N1597" t="n">
        <v>0</v>
      </c>
      <c r="O1597" t="n">
        <v>0</v>
      </c>
      <c r="P1597" t="n">
        <v>0</v>
      </c>
      <c r="Q1597" t="n">
        <v>0</v>
      </c>
      <c r="R1597" s="2" t="inlineStr"/>
    </row>
    <row r="1598" ht="15" customHeight="1">
      <c r="A1598" t="inlineStr">
        <is>
          <t>A 48162-2024</t>
        </is>
      </c>
      <c r="B1598" s="1" t="n">
        <v>45589</v>
      </c>
      <c r="C1598" s="1" t="n">
        <v>45719</v>
      </c>
      <c r="D1598" t="inlineStr">
        <is>
          <t>JÄMTLANDS LÄN</t>
        </is>
      </c>
      <c r="E1598" t="inlineStr">
        <is>
          <t>HÄRJEDALEN</t>
        </is>
      </c>
      <c r="F1598" t="inlineStr">
        <is>
          <t>Kyrkan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48092-2024</t>
        </is>
      </c>
      <c r="B1599" s="1" t="n">
        <v>45589</v>
      </c>
      <c r="C1599" s="1" t="n">
        <v>45719</v>
      </c>
      <c r="D1599" t="inlineStr">
        <is>
          <t>JÄMTLANDS LÄN</t>
        </is>
      </c>
      <c r="E1599" t="inlineStr">
        <is>
          <t>HÄRJEDALEN</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48108-2024</t>
        </is>
      </c>
      <c r="B1600" s="1" t="n">
        <v>45589</v>
      </c>
      <c r="C1600" s="1" t="n">
        <v>45719</v>
      </c>
      <c r="D1600" t="inlineStr">
        <is>
          <t>JÄMTLANDS LÄN</t>
        </is>
      </c>
      <c r="E1600" t="inlineStr">
        <is>
          <t>HÄRJEDALEN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48102-2024</t>
        </is>
      </c>
      <c r="B1601" s="1" t="n">
        <v>45589</v>
      </c>
      <c r="C1601" s="1" t="n">
        <v>45719</v>
      </c>
      <c r="D1601" t="inlineStr">
        <is>
          <t>JÄMTLANDS LÄN</t>
        </is>
      </c>
      <c r="E1601" t="inlineStr">
        <is>
          <t>HÄRJEDALEN</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48284-2024</t>
        </is>
      </c>
      <c r="B1602" s="1" t="n">
        <v>45590</v>
      </c>
      <c r="C1602" s="1" t="n">
        <v>45719</v>
      </c>
      <c r="D1602" t="inlineStr">
        <is>
          <t>JÄMTLANDS LÄN</t>
        </is>
      </c>
      <c r="E1602" t="inlineStr">
        <is>
          <t>HÄRJEDALEN</t>
        </is>
      </c>
      <c r="G1602" t="n">
        <v>14.7</v>
      </c>
      <c r="H1602" t="n">
        <v>0</v>
      </c>
      <c r="I1602" t="n">
        <v>0</v>
      </c>
      <c r="J1602" t="n">
        <v>0</v>
      </c>
      <c r="K1602" t="n">
        <v>0</v>
      </c>
      <c r="L1602" t="n">
        <v>0</v>
      </c>
      <c r="M1602" t="n">
        <v>0</v>
      </c>
      <c r="N1602" t="n">
        <v>0</v>
      </c>
      <c r="O1602" t="n">
        <v>0</v>
      </c>
      <c r="P1602" t="n">
        <v>0</v>
      </c>
      <c r="Q1602" t="n">
        <v>0</v>
      </c>
      <c r="R1602" s="2" t="inlineStr"/>
    </row>
    <row r="1603" ht="15" customHeight="1">
      <c r="A1603" t="inlineStr">
        <is>
          <t>A 48285-2024</t>
        </is>
      </c>
      <c r="B1603" s="1" t="n">
        <v>45590</v>
      </c>
      <c r="C1603" s="1" t="n">
        <v>45719</v>
      </c>
      <c r="D1603" t="inlineStr">
        <is>
          <t>JÄMTLANDS LÄN</t>
        </is>
      </c>
      <c r="E1603" t="inlineStr">
        <is>
          <t>HÄRJEDALEN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48286-2024</t>
        </is>
      </c>
      <c r="B1604" s="1" t="n">
        <v>45590</v>
      </c>
      <c r="C1604" s="1" t="n">
        <v>45719</v>
      </c>
      <c r="D1604" t="inlineStr">
        <is>
          <t>JÄMTLANDS LÄN</t>
        </is>
      </c>
      <c r="E1604" t="inlineStr">
        <is>
          <t>HÄRJEDALEN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48287-2024</t>
        </is>
      </c>
      <c r="B1605" s="1" t="n">
        <v>45590</v>
      </c>
      <c r="C1605" s="1" t="n">
        <v>45719</v>
      </c>
      <c r="D1605" t="inlineStr">
        <is>
          <t>JÄMTLANDS LÄN</t>
        </is>
      </c>
      <c r="E1605" t="inlineStr">
        <is>
          <t>HÄRJEDALEN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48198-2024</t>
        </is>
      </c>
      <c r="B1606" s="1" t="n">
        <v>45590</v>
      </c>
      <c r="C1606" s="1" t="n">
        <v>45719</v>
      </c>
      <c r="D1606" t="inlineStr">
        <is>
          <t>JÄMTLANDS LÄN</t>
        </is>
      </c>
      <c r="E1606" t="inlineStr">
        <is>
          <t>HÄRJEDALEN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48822-2024</t>
        </is>
      </c>
      <c r="B1607" s="1" t="n">
        <v>45593</v>
      </c>
      <c r="C1607" s="1" t="n">
        <v>45719</v>
      </c>
      <c r="D1607" t="inlineStr">
        <is>
          <t>JÄMTLANDS LÄN</t>
        </is>
      </c>
      <c r="E1607" t="inlineStr">
        <is>
          <t>HÄRJEDALEN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48818-2024</t>
        </is>
      </c>
      <c r="B1608" s="1" t="n">
        <v>45593</v>
      </c>
      <c r="C1608" s="1" t="n">
        <v>45719</v>
      </c>
      <c r="D1608" t="inlineStr">
        <is>
          <t>JÄMTLANDS LÄN</t>
        </is>
      </c>
      <c r="E1608" t="inlineStr">
        <is>
          <t>HÄRJEDALEN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48823-2024</t>
        </is>
      </c>
      <c r="B1609" s="1" t="n">
        <v>45593</v>
      </c>
      <c r="C1609" s="1" t="n">
        <v>45719</v>
      </c>
      <c r="D1609" t="inlineStr">
        <is>
          <t>JÄMTLANDS LÄN</t>
        </is>
      </c>
      <c r="E1609" t="inlineStr">
        <is>
          <t>HÄRJEDALEN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48935-2024</t>
        </is>
      </c>
      <c r="B1610" s="1" t="n">
        <v>45594</v>
      </c>
      <c r="C1610" s="1" t="n">
        <v>45719</v>
      </c>
      <c r="D1610" t="inlineStr">
        <is>
          <t>JÄMTLANDS LÄN</t>
        </is>
      </c>
      <c r="E1610" t="inlineStr">
        <is>
          <t>HÄRJEDALEN</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49119-2024</t>
        </is>
      </c>
      <c r="B1611" s="1" t="n">
        <v>45594</v>
      </c>
      <c r="C1611" s="1" t="n">
        <v>45719</v>
      </c>
      <c r="D1611" t="inlineStr">
        <is>
          <t>JÄMTLANDS LÄN</t>
        </is>
      </c>
      <c r="E1611" t="inlineStr">
        <is>
          <t>HÄRJEDALEN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49333-2024</t>
        </is>
      </c>
      <c r="B1612" s="1" t="n">
        <v>45595</v>
      </c>
      <c r="C1612" s="1" t="n">
        <v>45719</v>
      </c>
      <c r="D1612" t="inlineStr">
        <is>
          <t>JÄMTLANDS LÄN</t>
        </is>
      </c>
      <c r="E1612" t="inlineStr">
        <is>
          <t>HÄRJEDALEN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49260-2024</t>
        </is>
      </c>
      <c r="B1613" s="1" t="n">
        <v>45595</v>
      </c>
      <c r="C1613" s="1" t="n">
        <v>45719</v>
      </c>
      <c r="D1613" t="inlineStr">
        <is>
          <t>JÄMTLANDS LÄN</t>
        </is>
      </c>
      <c r="E1613" t="inlineStr">
        <is>
          <t>HÄRJEDALEN</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49263-2024</t>
        </is>
      </c>
      <c r="B1614" s="1" t="n">
        <v>45595</v>
      </c>
      <c r="C1614" s="1" t="n">
        <v>45719</v>
      </c>
      <c r="D1614" t="inlineStr">
        <is>
          <t>JÄMTLANDS LÄN</t>
        </is>
      </c>
      <c r="E1614" t="inlineStr">
        <is>
          <t>HÄRJEDALEN</t>
        </is>
      </c>
      <c r="F1614" t="inlineStr">
        <is>
          <t>Bergvik skog väst AB</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49319-2024</t>
        </is>
      </c>
      <c r="B1615" s="1" t="n">
        <v>45595</v>
      </c>
      <c r="C1615" s="1" t="n">
        <v>45719</v>
      </c>
      <c r="D1615" t="inlineStr">
        <is>
          <t>JÄMTLANDS LÄN</t>
        </is>
      </c>
      <c r="E1615" t="inlineStr">
        <is>
          <t>HÄRJEDALEN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49490-2024</t>
        </is>
      </c>
      <c r="B1616" s="1" t="n">
        <v>45596</v>
      </c>
      <c r="C1616" s="1" t="n">
        <v>45719</v>
      </c>
      <c r="D1616" t="inlineStr">
        <is>
          <t>JÄMTLANDS LÄN</t>
        </is>
      </c>
      <c r="E1616" t="inlineStr">
        <is>
          <t>HÄRJEDALEN</t>
        </is>
      </c>
      <c r="F1616" t="inlineStr">
        <is>
          <t>Kommuner</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50544-2024</t>
        </is>
      </c>
      <c r="B1617" s="1" t="n">
        <v>45601</v>
      </c>
      <c r="C1617" s="1" t="n">
        <v>45719</v>
      </c>
      <c r="D1617" t="inlineStr">
        <is>
          <t>JÄMTLANDS LÄN</t>
        </is>
      </c>
      <c r="E1617" t="inlineStr">
        <is>
          <t>HÄRJEDALEN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50437-2024</t>
        </is>
      </c>
      <c r="B1618" s="1" t="n">
        <v>45601</v>
      </c>
      <c r="C1618" s="1" t="n">
        <v>45719</v>
      </c>
      <c r="D1618" t="inlineStr">
        <is>
          <t>JÄMTLANDS LÄN</t>
        </is>
      </c>
      <c r="E1618" t="inlineStr">
        <is>
          <t>HÄRJEDALEN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50537-2024</t>
        </is>
      </c>
      <c r="B1619" s="1" t="n">
        <v>45601</v>
      </c>
      <c r="C1619" s="1" t="n">
        <v>45719</v>
      </c>
      <c r="D1619" t="inlineStr">
        <is>
          <t>JÄMTLANDS LÄN</t>
        </is>
      </c>
      <c r="E1619" t="inlineStr">
        <is>
          <t>HÄRJEDALEN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50835-2024</t>
        </is>
      </c>
      <c r="B1620" s="1" t="n">
        <v>45602</v>
      </c>
      <c r="C1620" s="1" t="n">
        <v>45719</v>
      </c>
      <c r="D1620" t="inlineStr">
        <is>
          <t>JÄMTLANDS LÄN</t>
        </is>
      </c>
      <c r="E1620" t="inlineStr">
        <is>
          <t>HÄRJEDALEN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51198-2024</t>
        </is>
      </c>
      <c r="B1621" s="1" t="n">
        <v>45603</v>
      </c>
      <c r="C1621" s="1" t="n">
        <v>45719</v>
      </c>
      <c r="D1621" t="inlineStr">
        <is>
          <t>JÄMTLANDS LÄN</t>
        </is>
      </c>
      <c r="E1621" t="inlineStr">
        <is>
          <t>HÄRJEDALEN</t>
        </is>
      </c>
      <c r="F1621" t="inlineStr">
        <is>
          <t>Holmen skog AB</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51191-2024</t>
        </is>
      </c>
      <c r="B1622" s="1" t="n">
        <v>45603</v>
      </c>
      <c r="C1622" s="1" t="n">
        <v>45719</v>
      </c>
      <c r="D1622" t="inlineStr">
        <is>
          <t>JÄMTLANDS LÄN</t>
        </is>
      </c>
      <c r="E1622" t="inlineStr">
        <is>
          <t>HÄRJEDALEN</t>
        </is>
      </c>
      <c r="F1622" t="inlineStr">
        <is>
          <t>Holmen skog AB</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51211-2024</t>
        </is>
      </c>
      <c r="B1623" s="1" t="n">
        <v>45603</v>
      </c>
      <c r="C1623" s="1" t="n">
        <v>45719</v>
      </c>
      <c r="D1623" t="inlineStr">
        <is>
          <t>JÄMTLANDS LÄN</t>
        </is>
      </c>
      <c r="E1623" t="inlineStr">
        <is>
          <t>HÄRJEDALEN</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51188-2024</t>
        </is>
      </c>
      <c r="B1624" s="1" t="n">
        <v>45603</v>
      </c>
      <c r="C1624" s="1" t="n">
        <v>45719</v>
      </c>
      <c r="D1624" t="inlineStr">
        <is>
          <t>JÄMTLANDS LÄN</t>
        </is>
      </c>
      <c r="E1624" t="inlineStr">
        <is>
          <t>HÄRJEDALEN</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51204-2024</t>
        </is>
      </c>
      <c r="B1625" s="1" t="n">
        <v>45603</v>
      </c>
      <c r="C1625" s="1" t="n">
        <v>45719</v>
      </c>
      <c r="D1625" t="inlineStr">
        <is>
          <t>JÄMTLANDS LÄN</t>
        </is>
      </c>
      <c r="E1625" t="inlineStr">
        <is>
          <t>HÄRJEDALEN</t>
        </is>
      </c>
      <c r="F1625" t="inlineStr">
        <is>
          <t>Holmen skog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51221-2024</t>
        </is>
      </c>
      <c r="B1626" s="1" t="n">
        <v>45603</v>
      </c>
      <c r="C1626" s="1" t="n">
        <v>45719</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51223-2024</t>
        </is>
      </c>
      <c r="B1627" s="1" t="n">
        <v>45603</v>
      </c>
      <c r="C1627" s="1" t="n">
        <v>45719</v>
      </c>
      <c r="D1627" t="inlineStr">
        <is>
          <t>JÄMTLANDS LÄN</t>
        </is>
      </c>
      <c r="E1627" t="inlineStr">
        <is>
          <t>HÄRJEDALEN</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51133-2024</t>
        </is>
      </c>
      <c r="B1628" s="1" t="n">
        <v>45603</v>
      </c>
      <c r="C1628" s="1" t="n">
        <v>45719</v>
      </c>
      <c r="D1628" t="inlineStr">
        <is>
          <t>JÄMTLANDS LÄN</t>
        </is>
      </c>
      <c r="E1628" t="inlineStr">
        <is>
          <t>HÄRJEDALEN</t>
        </is>
      </c>
      <c r="F1628" t="inlineStr">
        <is>
          <t>SCA</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51311-2024</t>
        </is>
      </c>
      <c r="B1629" s="1" t="n">
        <v>45604</v>
      </c>
      <c r="C1629" s="1" t="n">
        <v>45719</v>
      </c>
      <c r="D1629" t="inlineStr">
        <is>
          <t>JÄMTLANDS LÄN</t>
        </is>
      </c>
      <c r="E1629" t="inlineStr">
        <is>
          <t>HÄRJEDALEN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51315-2024</t>
        </is>
      </c>
      <c r="B1630" s="1" t="n">
        <v>45604</v>
      </c>
      <c r="C1630" s="1" t="n">
        <v>45719</v>
      </c>
      <c r="D1630" t="inlineStr">
        <is>
          <t>JÄMTLANDS LÄN</t>
        </is>
      </c>
      <c r="E1630" t="inlineStr">
        <is>
          <t>HÄRJEDALEN</t>
        </is>
      </c>
      <c r="F1630" t="inlineStr">
        <is>
          <t>Holmen skog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51322-2024</t>
        </is>
      </c>
      <c r="B1631" s="1" t="n">
        <v>45604</v>
      </c>
      <c r="C1631" s="1" t="n">
        <v>45719</v>
      </c>
      <c r="D1631" t="inlineStr">
        <is>
          <t>JÄMTLANDS LÄN</t>
        </is>
      </c>
      <c r="E1631" t="inlineStr">
        <is>
          <t>HÄRJEDALEN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51601-2024</t>
        </is>
      </c>
      <c r="B1632" s="1" t="n">
        <v>45604</v>
      </c>
      <c r="C1632" s="1" t="n">
        <v>45719</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51645-2024</t>
        </is>
      </c>
      <c r="B1633" s="1" t="n">
        <v>45605</v>
      </c>
      <c r="C1633" s="1" t="n">
        <v>45719</v>
      </c>
      <c r="D1633" t="inlineStr">
        <is>
          <t>JÄMTLANDS LÄN</t>
        </is>
      </c>
      <c r="E1633" t="inlineStr">
        <is>
          <t>HÄRJEDALEN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51964-2024</t>
        </is>
      </c>
      <c r="B1634" s="1" t="n">
        <v>45607</v>
      </c>
      <c r="C1634" s="1" t="n">
        <v>45719</v>
      </c>
      <c r="D1634" t="inlineStr">
        <is>
          <t>JÄMTLANDS LÄN</t>
        </is>
      </c>
      <c r="E1634" t="inlineStr">
        <is>
          <t>HÄRJEDALEN</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51957-2024</t>
        </is>
      </c>
      <c r="B1635" s="1" t="n">
        <v>45607</v>
      </c>
      <c r="C1635" s="1" t="n">
        <v>45719</v>
      </c>
      <c r="D1635" t="inlineStr">
        <is>
          <t>JÄMTLANDS LÄN</t>
        </is>
      </c>
      <c r="E1635" t="inlineStr">
        <is>
          <t>HÄRJEDALEN</t>
        </is>
      </c>
      <c r="F1635" t="inlineStr">
        <is>
          <t>Holmen skog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51994-2024</t>
        </is>
      </c>
      <c r="B1636" s="1" t="n">
        <v>45607</v>
      </c>
      <c r="C1636" s="1" t="n">
        <v>45719</v>
      </c>
      <c r="D1636" t="inlineStr">
        <is>
          <t>JÄMTLANDS LÄN</t>
        </is>
      </c>
      <c r="E1636" t="inlineStr">
        <is>
          <t>HÄRJEDALEN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51769-2024</t>
        </is>
      </c>
      <c r="B1637" s="1" t="n">
        <v>45607</v>
      </c>
      <c r="C1637" s="1" t="n">
        <v>45719</v>
      </c>
      <c r="D1637" t="inlineStr">
        <is>
          <t>JÄMTLANDS LÄN</t>
        </is>
      </c>
      <c r="E1637" t="inlineStr">
        <is>
          <t>HÄRJEDALEN</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51770-2024</t>
        </is>
      </c>
      <c r="B1638" s="1" t="n">
        <v>45607</v>
      </c>
      <c r="C1638" s="1" t="n">
        <v>45719</v>
      </c>
      <c r="D1638" t="inlineStr">
        <is>
          <t>JÄMTLANDS LÄN</t>
        </is>
      </c>
      <c r="E1638" t="inlineStr">
        <is>
          <t>HÄRJEDALEN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52075-2024</t>
        </is>
      </c>
      <c r="B1639" s="1" t="n">
        <v>45608</v>
      </c>
      <c r="C1639" s="1" t="n">
        <v>45719</v>
      </c>
      <c r="D1639" t="inlineStr">
        <is>
          <t>JÄMTLANDS LÄN</t>
        </is>
      </c>
      <c r="E1639" t="inlineStr">
        <is>
          <t>HÄRJEDALEN</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52343-2024</t>
        </is>
      </c>
      <c r="B1640" s="1" t="n">
        <v>45609</v>
      </c>
      <c r="C1640" s="1" t="n">
        <v>45719</v>
      </c>
      <c r="D1640" t="inlineStr">
        <is>
          <t>JÄMTLANDS LÄN</t>
        </is>
      </c>
      <c r="E1640" t="inlineStr">
        <is>
          <t>HÄRJEDALEN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52565-2024</t>
        </is>
      </c>
      <c r="B1641" s="1" t="n">
        <v>45609</v>
      </c>
      <c r="C1641" s="1" t="n">
        <v>45719</v>
      </c>
      <c r="D1641" t="inlineStr">
        <is>
          <t>JÄMTLANDS LÄN</t>
        </is>
      </c>
      <c r="E1641" t="inlineStr">
        <is>
          <t>HÄRJEDALEN</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52573-2024</t>
        </is>
      </c>
      <c r="B1642" s="1" t="n">
        <v>45609</v>
      </c>
      <c r="C1642" s="1" t="n">
        <v>45719</v>
      </c>
      <c r="D1642" t="inlineStr">
        <is>
          <t>JÄMTLANDS LÄN</t>
        </is>
      </c>
      <c r="E1642" t="inlineStr">
        <is>
          <t>HÄRJEDALEN</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52856-2024</t>
        </is>
      </c>
      <c r="B1643" s="1" t="n">
        <v>45610</v>
      </c>
      <c r="C1643" s="1" t="n">
        <v>45719</v>
      </c>
      <c r="D1643" t="inlineStr">
        <is>
          <t>JÄMTLANDS LÄN</t>
        </is>
      </c>
      <c r="E1643" t="inlineStr">
        <is>
          <t>HÄRJEDALEN</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52863-2024</t>
        </is>
      </c>
      <c r="B1644" s="1" t="n">
        <v>45610</v>
      </c>
      <c r="C1644" s="1" t="n">
        <v>45719</v>
      </c>
      <c r="D1644" t="inlineStr">
        <is>
          <t>JÄMTLANDS LÄN</t>
        </is>
      </c>
      <c r="E1644" t="inlineStr">
        <is>
          <t>HÄRJEDALEN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52875-2024</t>
        </is>
      </c>
      <c r="B1645" s="1" t="n">
        <v>45610</v>
      </c>
      <c r="C1645" s="1" t="n">
        <v>45719</v>
      </c>
      <c r="D1645" t="inlineStr">
        <is>
          <t>JÄMTLANDS LÄN</t>
        </is>
      </c>
      <c r="E1645" t="inlineStr">
        <is>
          <t>HÄRJEDALEN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52794-2024</t>
        </is>
      </c>
      <c r="B1646" s="1" t="n">
        <v>45610</v>
      </c>
      <c r="C1646" s="1" t="n">
        <v>45719</v>
      </c>
      <c r="D1646" t="inlineStr">
        <is>
          <t>JÄMTLANDS LÄN</t>
        </is>
      </c>
      <c r="E1646" t="inlineStr">
        <is>
          <t>HÄRJEDALEN</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52798-2024</t>
        </is>
      </c>
      <c r="B1647" s="1" t="n">
        <v>45610</v>
      </c>
      <c r="C1647" s="1" t="n">
        <v>45719</v>
      </c>
      <c r="D1647" t="inlineStr">
        <is>
          <t>JÄMTLANDS LÄN</t>
        </is>
      </c>
      <c r="E1647" t="inlineStr">
        <is>
          <t>HÄRJEDALEN</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53010-2024</t>
        </is>
      </c>
      <c r="B1648" s="1" t="n">
        <v>45611</v>
      </c>
      <c r="C1648" s="1" t="n">
        <v>45719</v>
      </c>
      <c r="D1648" t="inlineStr">
        <is>
          <t>JÄMTLANDS LÄN</t>
        </is>
      </c>
      <c r="E1648" t="inlineStr">
        <is>
          <t>HÄRJEDALEN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53002-2024</t>
        </is>
      </c>
      <c r="B1649" s="1" t="n">
        <v>45611</v>
      </c>
      <c r="C1649" s="1" t="n">
        <v>45719</v>
      </c>
      <c r="D1649" t="inlineStr">
        <is>
          <t>JÄMTLANDS LÄN</t>
        </is>
      </c>
      <c r="E1649" t="inlineStr">
        <is>
          <t>HÄRJEDALEN</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53231-2024</t>
        </is>
      </c>
      <c r="B1650" s="1" t="n">
        <v>45613</v>
      </c>
      <c r="C1650" s="1" t="n">
        <v>45719</v>
      </c>
      <c r="D1650" t="inlineStr">
        <is>
          <t>JÄMTLANDS LÄN</t>
        </is>
      </c>
      <c r="E1650" t="inlineStr">
        <is>
          <t>HÄRJEDALEN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53623-2024</t>
        </is>
      </c>
      <c r="B1651" s="1" t="n">
        <v>45614</v>
      </c>
      <c r="C1651" s="1" t="n">
        <v>45719</v>
      </c>
      <c r="D1651" t="inlineStr">
        <is>
          <t>JÄMTLANDS LÄN</t>
        </is>
      </c>
      <c r="E1651" t="inlineStr">
        <is>
          <t>HÄRJEDALEN</t>
        </is>
      </c>
      <c r="F1651" t="inlineStr">
        <is>
          <t>Kyrkan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53249-2024</t>
        </is>
      </c>
      <c r="B1652" s="1" t="n">
        <v>45614</v>
      </c>
      <c r="C1652" s="1" t="n">
        <v>45719</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53451-2024</t>
        </is>
      </c>
      <c r="B1653" s="1" t="n">
        <v>45614</v>
      </c>
      <c r="C1653" s="1" t="n">
        <v>45719</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53386-2024</t>
        </is>
      </c>
      <c r="B1654" s="1" t="n">
        <v>45614</v>
      </c>
      <c r="C1654" s="1" t="n">
        <v>45719</v>
      </c>
      <c r="D1654" t="inlineStr">
        <is>
          <t>JÄMTLANDS LÄN</t>
        </is>
      </c>
      <c r="E1654" t="inlineStr">
        <is>
          <t>HÄRJEDALEN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53354-2024</t>
        </is>
      </c>
      <c r="B1655" s="1" t="n">
        <v>45614</v>
      </c>
      <c r="C1655" s="1" t="n">
        <v>45719</v>
      </c>
      <c r="D1655" t="inlineStr">
        <is>
          <t>JÄMTLANDS LÄN</t>
        </is>
      </c>
      <c r="E1655" t="inlineStr">
        <is>
          <t>HÄRJEDALEN</t>
        </is>
      </c>
      <c r="F1655" t="inlineStr">
        <is>
          <t>Sveaskog</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53537-2024</t>
        </is>
      </c>
      <c r="B1656" s="1" t="n">
        <v>45614</v>
      </c>
      <c r="C1656" s="1" t="n">
        <v>45719</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54079-2024</t>
        </is>
      </c>
      <c r="B1657" s="1" t="n">
        <v>45616</v>
      </c>
      <c r="C1657" s="1" t="n">
        <v>45719</v>
      </c>
      <c r="D1657" t="inlineStr">
        <is>
          <t>JÄMTLANDS LÄN</t>
        </is>
      </c>
      <c r="E1657" t="inlineStr">
        <is>
          <t>HÄRJEDALEN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54294-2024</t>
        </is>
      </c>
      <c r="B1658" s="1" t="n">
        <v>45617</v>
      </c>
      <c r="C1658" s="1" t="n">
        <v>45719</v>
      </c>
      <c r="D1658" t="inlineStr">
        <is>
          <t>JÄMTLANDS LÄN</t>
        </is>
      </c>
      <c r="E1658" t="inlineStr">
        <is>
          <t>HÄRJEDALEN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54502-2024</t>
        </is>
      </c>
      <c r="B1659" s="1" t="n">
        <v>45617</v>
      </c>
      <c r="C1659" s="1" t="n">
        <v>45719</v>
      </c>
      <c r="D1659" t="inlineStr">
        <is>
          <t>JÄMTLANDS LÄN</t>
        </is>
      </c>
      <c r="E1659" t="inlineStr">
        <is>
          <t>HÄRJEDALEN</t>
        </is>
      </c>
      <c r="F1659" t="inlineStr">
        <is>
          <t>Holmen skog AB</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54527-2024</t>
        </is>
      </c>
      <c r="B1660" s="1" t="n">
        <v>45617</v>
      </c>
      <c r="C1660" s="1" t="n">
        <v>45719</v>
      </c>
      <c r="D1660" t="inlineStr">
        <is>
          <t>JÄMTLANDS LÄN</t>
        </is>
      </c>
      <c r="E1660" t="inlineStr">
        <is>
          <t>HÄRJEDALEN</t>
        </is>
      </c>
      <c r="F1660" t="inlineStr">
        <is>
          <t>Holmen skog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54364-2024</t>
        </is>
      </c>
      <c r="B1661" s="1" t="n">
        <v>45617</v>
      </c>
      <c r="C1661" s="1" t="n">
        <v>45719</v>
      </c>
      <c r="D1661" t="inlineStr">
        <is>
          <t>JÄMTLANDS LÄN</t>
        </is>
      </c>
      <c r="E1661" t="inlineStr">
        <is>
          <t>HÄRJEDALEN</t>
        </is>
      </c>
      <c r="F1661" t="inlineStr">
        <is>
          <t>Holmen skog AB</t>
        </is>
      </c>
      <c r="G1661" t="n">
        <v>41.1</v>
      </c>
      <c r="H1661" t="n">
        <v>0</v>
      </c>
      <c r="I1661" t="n">
        <v>0</v>
      </c>
      <c r="J1661" t="n">
        <v>0</v>
      </c>
      <c r="K1661" t="n">
        <v>0</v>
      </c>
      <c r="L1661" t="n">
        <v>0</v>
      </c>
      <c r="M1661" t="n">
        <v>0</v>
      </c>
      <c r="N1661" t="n">
        <v>0</v>
      </c>
      <c r="O1661" t="n">
        <v>0</v>
      </c>
      <c r="P1661" t="n">
        <v>0</v>
      </c>
      <c r="Q1661" t="n">
        <v>0</v>
      </c>
      <c r="R1661" s="2" t="inlineStr"/>
    </row>
    <row r="1662" ht="15" customHeight="1">
      <c r="A1662" t="inlineStr">
        <is>
          <t>A 54640-2024</t>
        </is>
      </c>
      <c r="B1662" s="1" t="n">
        <v>45617</v>
      </c>
      <c r="C1662" s="1" t="n">
        <v>45719</v>
      </c>
      <c r="D1662" t="inlineStr">
        <is>
          <t>JÄMTLANDS LÄN</t>
        </is>
      </c>
      <c r="E1662" t="inlineStr">
        <is>
          <t>HÄRJEDALEN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54682-2024</t>
        </is>
      </c>
      <c r="B1663" s="1" t="n">
        <v>45618</v>
      </c>
      <c r="C1663" s="1" t="n">
        <v>45719</v>
      </c>
      <c r="D1663" t="inlineStr">
        <is>
          <t>JÄMTLANDS LÄN</t>
        </is>
      </c>
      <c r="E1663" t="inlineStr">
        <is>
          <t>HÄRJEDALEN</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54678-2024</t>
        </is>
      </c>
      <c r="B1664" s="1" t="n">
        <v>45618</v>
      </c>
      <c r="C1664" s="1" t="n">
        <v>45719</v>
      </c>
      <c r="D1664" t="inlineStr">
        <is>
          <t>JÄMTLANDS LÄN</t>
        </is>
      </c>
      <c r="E1664" t="inlineStr">
        <is>
          <t>HÄRJEDALEN</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54684-2024</t>
        </is>
      </c>
      <c r="B1665" s="1" t="n">
        <v>45618</v>
      </c>
      <c r="C1665" s="1" t="n">
        <v>45719</v>
      </c>
      <c r="D1665" t="inlineStr">
        <is>
          <t>JÄMTLANDS LÄN</t>
        </is>
      </c>
      <c r="E1665" t="inlineStr">
        <is>
          <t>HÄRJEDALEN</t>
        </is>
      </c>
      <c r="G1665" t="n">
        <v>18.1</v>
      </c>
      <c r="H1665" t="n">
        <v>0</v>
      </c>
      <c r="I1665" t="n">
        <v>0</v>
      </c>
      <c r="J1665" t="n">
        <v>0</v>
      </c>
      <c r="K1665" t="n">
        <v>0</v>
      </c>
      <c r="L1665" t="n">
        <v>0</v>
      </c>
      <c r="M1665" t="n">
        <v>0</v>
      </c>
      <c r="N1665" t="n">
        <v>0</v>
      </c>
      <c r="O1665" t="n">
        <v>0</v>
      </c>
      <c r="P1665" t="n">
        <v>0</v>
      </c>
      <c r="Q1665" t="n">
        <v>0</v>
      </c>
      <c r="R1665" s="2" t="inlineStr"/>
    </row>
    <row r="1666" ht="15" customHeight="1">
      <c r="A1666" t="inlineStr">
        <is>
          <t>A 55246-2024</t>
        </is>
      </c>
      <c r="B1666" s="1" t="n">
        <v>45621</v>
      </c>
      <c r="C1666" s="1" t="n">
        <v>45719</v>
      </c>
      <c r="D1666" t="inlineStr">
        <is>
          <t>JÄMTLANDS LÄN</t>
        </is>
      </c>
      <c r="E1666" t="inlineStr">
        <is>
          <t>HÄRJEDALEN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55228-2024</t>
        </is>
      </c>
      <c r="B1667" s="1" t="n">
        <v>45621</v>
      </c>
      <c r="C1667" s="1" t="n">
        <v>45719</v>
      </c>
      <c r="D1667" t="inlineStr">
        <is>
          <t>JÄMTLANDS LÄN</t>
        </is>
      </c>
      <c r="E1667" t="inlineStr">
        <is>
          <t>HÄRJEDALEN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55115-2024</t>
        </is>
      </c>
      <c r="B1668" s="1" t="n">
        <v>45621</v>
      </c>
      <c r="C1668" s="1" t="n">
        <v>45719</v>
      </c>
      <c r="D1668" t="inlineStr">
        <is>
          <t>JÄMTLANDS LÄN</t>
        </is>
      </c>
      <c r="E1668" t="inlineStr">
        <is>
          <t>HÄRJEDALEN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55318-2024</t>
        </is>
      </c>
      <c r="B1669" s="1" t="n">
        <v>45621</v>
      </c>
      <c r="C1669" s="1" t="n">
        <v>45719</v>
      </c>
      <c r="D1669" t="inlineStr">
        <is>
          <t>JÄMTLANDS LÄN</t>
        </is>
      </c>
      <c r="E1669" t="inlineStr">
        <is>
          <t>HÄRJEDALEN</t>
        </is>
      </c>
      <c r="F1669" t="inlineStr">
        <is>
          <t>Bergvik skog väst AB</t>
        </is>
      </c>
      <c r="G1669" t="n">
        <v>136.1</v>
      </c>
      <c r="H1669" t="n">
        <v>0</v>
      </c>
      <c r="I1669" t="n">
        <v>0</v>
      </c>
      <c r="J1669" t="n">
        <v>0</v>
      </c>
      <c r="K1669" t="n">
        <v>0</v>
      </c>
      <c r="L1669" t="n">
        <v>0</v>
      </c>
      <c r="M1669" t="n">
        <v>0</v>
      </c>
      <c r="N1669" t="n">
        <v>0</v>
      </c>
      <c r="O1669" t="n">
        <v>0</v>
      </c>
      <c r="P1669" t="n">
        <v>0</v>
      </c>
      <c r="Q1669" t="n">
        <v>0</v>
      </c>
      <c r="R1669" s="2" t="inlineStr"/>
    </row>
    <row r="1670" ht="15" customHeight="1">
      <c r="A1670" t="inlineStr">
        <is>
          <t>A 55209-2024</t>
        </is>
      </c>
      <c r="B1670" s="1" t="n">
        <v>45621</v>
      </c>
      <c r="C1670" s="1" t="n">
        <v>45719</v>
      </c>
      <c r="D1670" t="inlineStr">
        <is>
          <t>JÄMTLANDS LÄN</t>
        </is>
      </c>
      <c r="E1670" t="inlineStr">
        <is>
          <t>HÄRJEDALEN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55582-2024</t>
        </is>
      </c>
      <c r="B1671" s="1" t="n">
        <v>45622</v>
      </c>
      <c r="C1671" s="1" t="n">
        <v>45719</v>
      </c>
      <c r="D1671" t="inlineStr">
        <is>
          <t>JÄMTLANDS LÄN</t>
        </is>
      </c>
      <c r="E1671" t="inlineStr">
        <is>
          <t>HÄRJEDALEN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55397-2024</t>
        </is>
      </c>
      <c r="B1672" s="1" t="n">
        <v>45622</v>
      </c>
      <c r="C1672" s="1" t="n">
        <v>45719</v>
      </c>
      <c r="D1672" t="inlineStr">
        <is>
          <t>JÄMTLANDS LÄN</t>
        </is>
      </c>
      <c r="E1672" t="inlineStr">
        <is>
          <t>HÄRJEDALEN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55496-2024</t>
        </is>
      </c>
      <c r="B1673" s="1" t="n">
        <v>45622</v>
      </c>
      <c r="C1673" s="1" t="n">
        <v>45719</v>
      </c>
      <c r="D1673" t="inlineStr">
        <is>
          <t>JÄMTLANDS LÄN</t>
        </is>
      </c>
      <c r="E1673" t="inlineStr">
        <is>
          <t>HÄRJEDALEN</t>
        </is>
      </c>
      <c r="F1673" t="inlineStr">
        <is>
          <t>Bergvik skog väst AB</t>
        </is>
      </c>
      <c r="G1673" t="n">
        <v>19.2</v>
      </c>
      <c r="H1673" t="n">
        <v>0</v>
      </c>
      <c r="I1673" t="n">
        <v>0</v>
      </c>
      <c r="J1673" t="n">
        <v>0</v>
      </c>
      <c r="K1673" t="n">
        <v>0</v>
      </c>
      <c r="L1673" t="n">
        <v>0</v>
      </c>
      <c r="M1673" t="n">
        <v>0</v>
      </c>
      <c r="N1673" t="n">
        <v>0</v>
      </c>
      <c r="O1673" t="n">
        <v>0</v>
      </c>
      <c r="P1673" t="n">
        <v>0</v>
      </c>
      <c r="Q1673" t="n">
        <v>0</v>
      </c>
      <c r="R1673" s="2" t="inlineStr"/>
    </row>
    <row r="1674" ht="15" customHeight="1">
      <c r="A1674" t="inlineStr">
        <is>
          <t>A 55661-2024</t>
        </is>
      </c>
      <c r="B1674" s="1" t="n">
        <v>45622</v>
      </c>
      <c r="C1674" s="1" t="n">
        <v>45719</v>
      </c>
      <c r="D1674" t="inlineStr">
        <is>
          <t>JÄMTLANDS LÄN</t>
        </is>
      </c>
      <c r="E1674" t="inlineStr">
        <is>
          <t>HÄRJEDALEN</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55669-2024</t>
        </is>
      </c>
      <c r="B1675" s="1" t="n">
        <v>45622</v>
      </c>
      <c r="C1675" s="1" t="n">
        <v>45719</v>
      </c>
      <c r="D1675" t="inlineStr">
        <is>
          <t>JÄMTLANDS LÄN</t>
        </is>
      </c>
      <c r="E1675" t="inlineStr">
        <is>
          <t>HÄRJEDALEN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55859-2024</t>
        </is>
      </c>
      <c r="B1676" s="1" t="n">
        <v>45622</v>
      </c>
      <c r="C1676" s="1" t="n">
        <v>45719</v>
      </c>
      <c r="D1676" t="inlineStr">
        <is>
          <t>JÄMTLANDS LÄN</t>
        </is>
      </c>
      <c r="E1676" t="inlineStr">
        <is>
          <t>HÄRJEDALEN</t>
        </is>
      </c>
      <c r="F1676" t="inlineStr">
        <is>
          <t>Bergvik skog väst AB</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55867-2024</t>
        </is>
      </c>
      <c r="B1677" s="1" t="n">
        <v>45622</v>
      </c>
      <c r="C1677" s="1" t="n">
        <v>45719</v>
      </c>
      <c r="D1677" t="inlineStr">
        <is>
          <t>JÄMTLANDS LÄN</t>
        </is>
      </c>
      <c r="E1677" t="inlineStr">
        <is>
          <t>HÄRJEDALEN</t>
        </is>
      </c>
      <c r="F1677" t="inlineStr">
        <is>
          <t>Bergvik skog väst AB</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55889-2024</t>
        </is>
      </c>
      <c r="B1678" s="1" t="n">
        <v>45623</v>
      </c>
      <c r="C1678" s="1" t="n">
        <v>45719</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55967-2024</t>
        </is>
      </c>
      <c r="B1679" s="1" t="n">
        <v>45623</v>
      </c>
      <c r="C1679" s="1" t="n">
        <v>45719</v>
      </c>
      <c r="D1679" t="inlineStr">
        <is>
          <t>JÄMTLANDS LÄN</t>
        </is>
      </c>
      <c r="E1679" t="inlineStr">
        <is>
          <t>HÄRJEDALEN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55979-2024</t>
        </is>
      </c>
      <c r="B1680" s="1" t="n">
        <v>45623</v>
      </c>
      <c r="C1680" s="1" t="n">
        <v>45719</v>
      </c>
      <c r="D1680" t="inlineStr">
        <is>
          <t>JÄMTLANDS LÄN</t>
        </is>
      </c>
      <c r="E1680" t="inlineStr">
        <is>
          <t>HÄRJEDALEN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45719</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45719</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56182-2024</t>
        </is>
      </c>
      <c r="B1683" s="1" t="n">
        <v>45624</v>
      </c>
      <c r="C1683" s="1" t="n">
        <v>45719</v>
      </c>
      <c r="D1683" t="inlineStr">
        <is>
          <t>JÄMTLANDS LÄN</t>
        </is>
      </c>
      <c r="E1683" t="inlineStr">
        <is>
          <t>HÄRJEDALEN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56251-2024</t>
        </is>
      </c>
      <c r="B1684" s="1" t="n">
        <v>45624</v>
      </c>
      <c r="C1684" s="1" t="n">
        <v>45719</v>
      </c>
      <c r="D1684" t="inlineStr">
        <is>
          <t>JÄMTLANDS LÄN</t>
        </is>
      </c>
      <c r="E1684" t="inlineStr">
        <is>
          <t>HÄRJEDALEN</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56061-2024</t>
        </is>
      </c>
      <c r="B1685" s="1" t="n">
        <v>45624</v>
      </c>
      <c r="C1685" s="1" t="n">
        <v>45719</v>
      </c>
      <c r="D1685" t="inlineStr">
        <is>
          <t>JÄMTLANDS LÄN</t>
        </is>
      </c>
      <c r="E1685" t="inlineStr">
        <is>
          <t>HÄRJEDALEN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56234-2024</t>
        </is>
      </c>
      <c r="B1686" s="1" t="n">
        <v>45624</v>
      </c>
      <c r="C1686" s="1" t="n">
        <v>45719</v>
      </c>
      <c r="D1686" t="inlineStr">
        <is>
          <t>JÄMTLANDS LÄN</t>
        </is>
      </c>
      <c r="E1686" t="inlineStr">
        <is>
          <t>HÄRJEDALEN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56086-2024</t>
        </is>
      </c>
      <c r="B1687" s="1" t="n">
        <v>45624</v>
      </c>
      <c r="C1687" s="1" t="n">
        <v>45719</v>
      </c>
      <c r="D1687" t="inlineStr">
        <is>
          <t>JÄMTLANDS LÄN</t>
        </is>
      </c>
      <c r="E1687" t="inlineStr">
        <is>
          <t>HÄRJEDALEN</t>
        </is>
      </c>
      <c r="F1687" t="inlineStr">
        <is>
          <t>Bergvik skog väst AB</t>
        </is>
      </c>
      <c r="G1687" t="n">
        <v>14.5</v>
      </c>
      <c r="H1687" t="n">
        <v>0</v>
      </c>
      <c r="I1687" t="n">
        <v>0</v>
      </c>
      <c r="J1687" t="n">
        <v>0</v>
      </c>
      <c r="K1687" t="n">
        <v>0</v>
      </c>
      <c r="L1687" t="n">
        <v>0</v>
      </c>
      <c r="M1687" t="n">
        <v>0</v>
      </c>
      <c r="N1687" t="n">
        <v>0</v>
      </c>
      <c r="O1687" t="n">
        <v>0</v>
      </c>
      <c r="P1687" t="n">
        <v>0</v>
      </c>
      <c r="Q1687" t="n">
        <v>0</v>
      </c>
      <c r="R1687" s="2" t="inlineStr"/>
    </row>
    <row r="1688" ht="15" customHeight="1">
      <c r="A1688" t="inlineStr">
        <is>
          <t>A 56106-2024</t>
        </is>
      </c>
      <c r="B1688" s="1" t="n">
        <v>45624</v>
      </c>
      <c r="C1688" s="1" t="n">
        <v>45719</v>
      </c>
      <c r="D1688" t="inlineStr">
        <is>
          <t>JÄMTLANDS LÄN</t>
        </is>
      </c>
      <c r="E1688" t="inlineStr">
        <is>
          <t>HÄRJEDALEN</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56178-2024</t>
        </is>
      </c>
      <c r="B1689" s="1" t="n">
        <v>45624</v>
      </c>
      <c r="C1689" s="1" t="n">
        <v>45719</v>
      </c>
      <c r="D1689" t="inlineStr">
        <is>
          <t>JÄMTLANDS LÄN</t>
        </is>
      </c>
      <c r="E1689" t="inlineStr">
        <is>
          <t>HÄRJEDALEN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56499-2024</t>
        </is>
      </c>
      <c r="B1690" s="1" t="n">
        <v>45625</v>
      </c>
      <c r="C1690" s="1" t="n">
        <v>45719</v>
      </c>
      <c r="D1690" t="inlineStr">
        <is>
          <t>JÄMTLANDS LÄN</t>
        </is>
      </c>
      <c r="E1690" t="inlineStr">
        <is>
          <t>HÄRJEDALEN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56547-2024</t>
        </is>
      </c>
      <c r="B1691" s="1" t="n">
        <v>45625</v>
      </c>
      <c r="C1691" s="1" t="n">
        <v>45719</v>
      </c>
      <c r="D1691" t="inlineStr">
        <is>
          <t>JÄMTLANDS LÄN</t>
        </is>
      </c>
      <c r="E1691" t="inlineStr">
        <is>
          <t>HÄRJEDALEN</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57452-2024</t>
        </is>
      </c>
      <c r="B1692" s="1" t="n">
        <v>45630</v>
      </c>
      <c r="C1692" s="1" t="n">
        <v>45719</v>
      </c>
      <c r="D1692" t="inlineStr">
        <is>
          <t>JÄMTLANDS LÄN</t>
        </is>
      </c>
      <c r="E1692" t="inlineStr">
        <is>
          <t>HÄRJEDALEN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57637-2024</t>
        </is>
      </c>
      <c r="B1693" s="1" t="n">
        <v>45630</v>
      </c>
      <c r="C1693" s="1" t="n">
        <v>45719</v>
      </c>
      <c r="D1693" t="inlineStr">
        <is>
          <t>JÄMTLANDS LÄN</t>
        </is>
      </c>
      <c r="E1693" t="inlineStr">
        <is>
          <t>HÄRJEDALEN</t>
        </is>
      </c>
      <c r="F1693" t="inlineStr">
        <is>
          <t>Bergvik skog väst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57668-2024</t>
        </is>
      </c>
      <c r="B1694" s="1" t="n">
        <v>45630</v>
      </c>
      <c r="C1694" s="1" t="n">
        <v>45719</v>
      </c>
      <c r="D1694" t="inlineStr">
        <is>
          <t>JÄMTLANDS LÄN</t>
        </is>
      </c>
      <c r="E1694" t="inlineStr">
        <is>
          <t>HÄRJEDALEN</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57840-2024</t>
        </is>
      </c>
      <c r="B1695" s="1" t="n">
        <v>45631</v>
      </c>
      <c r="C1695" s="1" t="n">
        <v>45719</v>
      </c>
      <c r="D1695" t="inlineStr">
        <is>
          <t>JÄMTLANDS LÄN</t>
        </is>
      </c>
      <c r="E1695" t="inlineStr">
        <is>
          <t>HÄRJEDALEN</t>
        </is>
      </c>
      <c r="F1695" t="inlineStr">
        <is>
          <t>Bergvik skog väst AB</t>
        </is>
      </c>
      <c r="G1695" t="n">
        <v>98.8</v>
      </c>
      <c r="H1695" t="n">
        <v>0</v>
      </c>
      <c r="I1695" t="n">
        <v>0</v>
      </c>
      <c r="J1695" t="n">
        <v>0</v>
      </c>
      <c r="K1695" t="n">
        <v>0</v>
      </c>
      <c r="L1695" t="n">
        <v>0</v>
      </c>
      <c r="M1695" t="n">
        <v>0</v>
      </c>
      <c r="N1695" t="n">
        <v>0</v>
      </c>
      <c r="O1695" t="n">
        <v>0</v>
      </c>
      <c r="P1695" t="n">
        <v>0</v>
      </c>
      <c r="Q1695" t="n">
        <v>0</v>
      </c>
      <c r="R1695" s="2" t="inlineStr"/>
    </row>
    <row r="1696" ht="15" customHeight="1">
      <c r="A1696" t="inlineStr">
        <is>
          <t>A 57995-2024</t>
        </is>
      </c>
      <c r="B1696" s="1" t="n">
        <v>45631</v>
      </c>
      <c r="C1696" s="1" t="n">
        <v>45719</v>
      </c>
      <c r="D1696" t="inlineStr">
        <is>
          <t>JÄMTLANDS LÄN</t>
        </is>
      </c>
      <c r="E1696" t="inlineStr">
        <is>
          <t>HÄRJEDALEN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57836-2024</t>
        </is>
      </c>
      <c r="B1697" s="1" t="n">
        <v>45631</v>
      </c>
      <c r="C1697" s="1" t="n">
        <v>45719</v>
      </c>
      <c r="D1697" t="inlineStr">
        <is>
          <t>JÄMTLANDS LÄN</t>
        </is>
      </c>
      <c r="E1697" t="inlineStr">
        <is>
          <t>HÄRJEDALEN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57849-2024</t>
        </is>
      </c>
      <c r="B1698" s="1" t="n">
        <v>45631</v>
      </c>
      <c r="C1698" s="1" t="n">
        <v>45719</v>
      </c>
      <c r="D1698" t="inlineStr">
        <is>
          <t>JÄMTLANDS LÄN</t>
        </is>
      </c>
      <c r="E1698" t="inlineStr">
        <is>
          <t>HÄRJEDALEN</t>
        </is>
      </c>
      <c r="F1698" t="inlineStr">
        <is>
          <t>Bergvik skog väst AB</t>
        </is>
      </c>
      <c r="G1698" t="n">
        <v>36.7</v>
      </c>
      <c r="H1698" t="n">
        <v>0</v>
      </c>
      <c r="I1698" t="n">
        <v>0</v>
      </c>
      <c r="J1698" t="n">
        <v>0</v>
      </c>
      <c r="K1698" t="n">
        <v>0</v>
      </c>
      <c r="L1698" t="n">
        <v>0</v>
      </c>
      <c r="M1698" t="n">
        <v>0</v>
      </c>
      <c r="N1698" t="n">
        <v>0</v>
      </c>
      <c r="O1698" t="n">
        <v>0</v>
      </c>
      <c r="P1698" t="n">
        <v>0</v>
      </c>
      <c r="Q1698" t="n">
        <v>0</v>
      </c>
      <c r="R1698" s="2" t="inlineStr"/>
    </row>
    <row r="1699" ht="15" customHeight="1">
      <c r="A1699" t="inlineStr">
        <is>
          <t>A 58105-2024</t>
        </is>
      </c>
      <c r="B1699" s="1" t="n">
        <v>45632</v>
      </c>
      <c r="C1699" s="1" t="n">
        <v>45719</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45719</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58106-2024</t>
        </is>
      </c>
      <c r="B1701" s="1" t="n">
        <v>45632</v>
      </c>
      <c r="C1701" s="1" t="n">
        <v>45719</v>
      </c>
      <c r="D1701" t="inlineStr">
        <is>
          <t>JÄMTLANDS LÄN</t>
        </is>
      </c>
      <c r="E1701" t="inlineStr">
        <is>
          <t>HÄRJEDALEN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58110-2024</t>
        </is>
      </c>
      <c r="B1702" s="1" t="n">
        <v>45632</v>
      </c>
      <c r="C1702" s="1" t="n">
        <v>45719</v>
      </c>
      <c r="D1702" t="inlineStr">
        <is>
          <t>JÄMTLANDS LÄN</t>
        </is>
      </c>
      <c r="E1702" t="inlineStr">
        <is>
          <t>HÄRJEDALEN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58118-2024</t>
        </is>
      </c>
      <c r="B1703" s="1" t="n">
        <v>45632</v>
      </c>
      <c r="C1703" s="1" t="n">
        <v>45719</v>
      </c>
      <c r="D1703" t="inlineStr">
        <is>
          <t>JÄMTLANDS LÄN</t>
        </is>
      </c>
      <c r="E1703" t="inlineStr">
        <is>
          <t>HÄRJEDALEN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58352-2024</t>
        </is>
      </c>
      <c r="B1704" s="1" t="n">
        <v>45632</v>
      </c>
      <c r="C1704" s="1" t="n">
        <v>45719</v>
      </c>
      <c r="D1704" t="inlineStr">
        <is>
          <t>JÄMTLANDS LÄN</t>
        </is>
      </c>
      <c r="E1704" t="inlineStr">
        <is>
          <t>HÄRJEDALEN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58347-2024</t>
        </is>
      </c>
      <c r="B1705" s="1" t="n">
        <v>45632</v>
      </c>
      <c r="C1705" s="1" t="n">
        <v>45719</v>
      </c>
      <c r="D1705" t="inlineStr">
        <is>
          <t>JÄMTLANDS LÄN</t>
        </is>
      </c>
      <c r="E1705" t="inlineStr">
        <is>
          <t>HÄRJEDALEN</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58111-2024</t>
        </is>
      </c>
      <c r="B1706" s="1" t="n">
        <v>45632</v>
      </c>
      <c r="C1706" s="1" t="n">
        <v>45719</v>
      </c>
      <c r="D1706" t="inlineStr">
        <is>
          <t>JÄMTLANDS LÄN</t>
        </is>
      </c>
      <c r="E1706" t="inlineStr">
        <is>
          <t>HÄRJEDALEN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58135-2024</t>
        </is>
      </c>
      <c r="B1707" s="1" t="n">
        <v>45632</v>
      </c>
      <c r="C1707" s="1" t="n">
        <v>45719</v>
      </c>
      <c r="D1707" t="inlineStr">
        <is>
          <t>JÄMTLANDS LÄN</t>
        </is>
      </c>
      <c r="E1707" t="inlineStr">
        <is>
          <t>HÄRJEDALEN</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58341-2024</t>
        </is>
      </c>
      <c r="B1708" s="1" t="n">
        <v>45632</v>
      </c>
      <c r="C1708" s="1" t="n">
        <v>45719</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58404-2024</t>
        </is>
      </c>
      <c r="B1709" s="1" t="n">
        <v>45634</v>
      </c>
      <c r="C1709" s="1" t="n">
        <v>45719</v>
      </c>
      <c r="D1709" t="inlineStr">
        <is>
          <t>JÄMTLANDS LÄN</t>
        </is>
      </c>
      <c r="E1709" t="inlineStr">
        <is>
          <t>HÄRJEDALEN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58452-2024</t>
        </is>
      </c>
      <c r="B1710" s="1" t="n">
        <v>45635</v>
      </c>
      <c r="C1710" s="1" t="n">
        <v>45719</v>
      </c>
      <c r="D1710" t="inlineStr">
        <is>
          <t>JÄMTLANDS LÄN</t>
        </is>
      </c>
      <c r="E1710" t="inlineStr">
        <is>
          <t>HÄRJEDALEN</t>
        </is>
      </c>
      <c r="F1710" t="inlineStr">
        <is>
          <t>Bergvik skog väst AB</t>
        </is>
      </c>
      <c r="G1710" t="n">
        <v>15.6</v>
      </c>
      <c r="H1710" t="n">
        <v>0</v>
      </c>
      <c r="I1710" t="n">
        <v>0</v>
      </c>
      <c r="J1710" t="n">
        <v>0</v>
      </c>
      <c r="K1710" t="n">
        <v>0</v>
      </c>
      <c r="L1710" t="n">
        <v>0</v>
      </c>
      <c r="M1710" t="n">
        <v>0</v>
      </c>
      <c r="N1710" t="n">
        <v>0</v>
      </c>
      <c r="O1710" t="n">
        <v>0</v>
      </c>
      <c r="P1710" t="n">
        <v>0</v>
      </c>
      <c r="Q1710" t="n">
        <v>0</v>
      </c>
      <c r="R1710" s="2" t="inlineStr"/>
    </row>
    <row r="1711" ht="15" customHeight="1">
      <c r="A1711" t="inlineStr">
        <is>
          <t>A 58459-2024</t>
        </is>
      </c>
      <c r="B1711" s="1" t="n">
        <v>45635</v>
      </c>
      <c r="C1711" s="1" t="n">
        <v>45719</v>
      </c>
      <c r="D1711" t="inlineStr">
        <is>
          <t>JÄMTLANDS LÄN</t>
        </is>
      </c>
      <c r="E1711" t="inlineStr">
        <is>
          <t>HÄRJEDALEN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58642-2024</t>
        </is>
      </c>
      <c r="B1712" s="1" t="n">
        <v>45635</v>
      </c>
      <c r="C1712" s="1" t="n">
        <v>45719</v>
      </c>
      <c r="D1712" t="inlineStr">
        <is>
          <t>JÄMTLANDS LÄN</t>
        </is>
      </c>
      <c r="E1712" t="inlineStr">
        <is>
          <t>HÄRJEDALEN</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58507-2024</t>
        </is>
      </c>
      <c r="B1713" s="1" t="n">
        <v>45635</v>
      </c>
      <c r="C1713" s="1" t="n">
        <v>45719</v>
      </c>
      <c r="D1713" t="inlineStr">
        <is>
          <t>JÄMTLANDS LÄN</t>
        </is>
      </c>
      <c r="E1713" t="inlineStr">
        <is>
          <t>HÄRJEDALEN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58446-2024</t>
        </is>
      </c>
      <c r="B1714" s="1" t="n">
        <v>45635</v>
      </c>
      <c r="C1714" s="1" t="n">
        <v>45719</v>
      </c>
      <c r="D1714" t="inlineStr">
        <is>
          <t>JÄMTLANDS LÄN</t>
        </is>
      </c>
      <c r="E1714" t="inlineStr">
        <is>
          <t>HÄRJEDALEN</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58581-2024</t>
        </is>
      </c>
      <c r="B1715" s="1" t="n">
        <v>45635</v>
      </c>
      <c r="C1715" s="1" t="n">
        <v>45719</v>
      </c>
      <c r="D1715" t="inlineStr">
        <is>
          <t>JÄMTLANDS LÄN</t>
        </is>
      </c>
      <c r="E1715" t="inlineStr">
        <is>
          <t>HÄRJEDALEN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58715-2024</t>
        </is>
      </c>
      <c r="B1716" s="1" t="n">
        <v>45635</v>
      </c>
      <c r="C1716" s="1" t="n">
        <v>45719</v>
      </c>
      <c r="D1716" t="inlineStr">
        <is>
          <t>JÄMTLANDS LÄN</t>
        </is>
      </c>
      <c r="E1716" t="inlineStr">
        <is>
          <t>HÄRJEDALEN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59050-2024</t>
        </is>
      </c>
      <c r="B1717" s="1" t="n">
        <v>45636</v>
      </c>
      <c r="C1717" s="1" t="n">
        <v>45719</v>
      </c>
      <c r="D1717" t="inlineStr">
        <is>
          <t>JÄMTLANDS LÄN</t>
        </is>
      </c>
      <c r="E1717" t="inlineStr">
        <is>
          <t>HÄRJEDALEN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58832-2024</t>
        </is>
      </c>
      <c r="B1718" s="1" t="n">
        <v>45636</v>
      </c>
      <c r="C1718" s="1" t="n">
        <v>45719</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58857-2024</t>
        </is>
      </c>
      <c r="B1719" s="1" t="n">
        <v>45636</v>
      </c>
      <c r="C1719" s="1" t="n">
        <v>45719</v>
      </c>
      <c r="D1719" t="inlineStr">
        <is>
          <t>JÄMTLANDS LÄN</t>
        </is>
      </c>
      <c r="E1719" t="inlineStr">
        <is>
          <t>HÄRJEDALEN</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59129-2024</t>
        </is>
      </c>
      <c r="B1720" s="1" t="n">
        <v>45637</v>
      </c>
      <c r="C1720" s="1" t="n">
        <v>45719</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59286-2024</t>
        </is>
      </c>
      <c r="B1721" s="1" t="n">
        <v>45637</v>
      </c>
      <c r="C1721" s="1" t="n">
        <v>45719</v>
      </c>
      <c r="D1721" t="inlineStr">
        <is>
          <t>JÄMTLANDS LÄN</t>
        </is>
      </c>
      <c r="E1721" t="inlineStr">
        <is>
          <t>HÄRJEDALEN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59293-2024</t>
        </is>
      </c>
      <c r="B1722" s="1" t="n">
        <v>45637</v>
      </c>
      <c r="C1722" s="1" t="n">
        <v>45719</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59294-2024</t>
        </is>
      </c>
      <c r="B1723" s="1" t="n">
        <v>45637</v>
      </c>
      <c r="C1723" s="1" t="n">
        <v>45719</v>
      </c>
      <c r="D1723" t="inlineStr">
        <is>
          <t>JÄMTLANDS LÄN</t>
        </is>
      </c>
      <c r="E1723" t="inlineStr">
        <is>
          <t>HÄRJEDALEN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59125-2024</t>
        </is>
      </c>
      <c r="B1724" s="1" t="n">
        <v>45637</v>
      </c>
      <c r="C1724" s="1" t="n">
        <v>45719</v>
      </c>
      <c r="D1724" t="inlineStr">
        <is>
          <t>JÄMTLANDS LÄN</t>
        </is>
      </c>
      <c r="E1724" t="inlineStr">
        <is>
          <t>HÄRJEDALEN</t>
        </is>
      </c>
      <c r="F1724" t="inlineStr">
        <is>
          <t>Bergvik skog väst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59555-2024</t>
        </is>
      </c>
      <c r="B1725" s="1" t="n">
        <v>45638</v>
      </c>
      <c r="C1725" s="1" t="n">
        <v>45719</v>
      </c>
      <c r="D1725" t="inlineStr">
        <is>
          <t>JÄMTLANDS LÄN</t>
        </is>
      </c>
      <c r="E1725" t="inlineStr">
        <is>
          <t>HÄRJEDALEN</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59427-2024</t>
        </is>
      </c>
      <c r="B1726" s="1" t="n">
        <v>45638</v>
      </c>
      <c r="C1726" s="1" t="n">
        <v>45719</v>
      </c>
      <c r="D1726" t="inlineStr">
        <is>
          <t>JÄMTLANDS LÄN</t>
        </is>
      </c>
      <c r="E1726" t="inlineStr">
        <is>
          <t>HÄRJEDALEN</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59403-2024</t>
        </is>
      </c>
      <c r="B1727" s="1" t="n">
        <v>45638</v>
      </c>
      <c r="C1727" s="1" t="n">
        <v>45719</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59571-2024</t>
        </is>
      </c>
      <c r="B1728" s="1" t="n">
        <v>45638</v>
      </c>
      <c r="C1728" s="1" t="n">
        <v>45719</v>
      </c>
      <c r="D1728" t="inlineStr">
        <is>
          <t>JÄMTLANDS LÄN</t>
        </is>
      </c>
      <c r="E1728" t="inlineStr">
        <is>
          <t>HÄRJEDALEN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59510-2024</t>
        </is>
      </c>
      <c r="B1729" s="1" t="n">
        <v>45638</v>
      </c>
      <c r="C1729" s="1" t="n">
        <v>45719</v>
      </c>
      <c r="D1729" t="inlineStr">
        <is>
          <t>JÄMTLANDS LÄN</t>
        </is>
      </c>
      <c r="E1729" t="inlineStr">
        <is>
          <t>HÄRJEDALEN</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59405-2024</t>
        </is>
      </c>
      <c r="B1730" s="1" t="n">
        <v>45638</v>
      </c>
      <c r="C1730" s="1" t="n">
        <v>45719</v>
      </c>
      <c r="D1730" t="inlineStr">
        <is>
          <t>JÄMTLANDS LÄN</t>
        </is>
      </c>
      <c r="E1730" t="inlineStr">
        <is>
          <t>HÄRJEDALEN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59462-2024</t>
        </is>
      </c>
      <c r="B1731" s="1" t="n">
        <v>45638</v>
      </c>
      <c r="C1731" s="1" t="n">
        <v>45719</v>
      </c>
      <c r="D1731" t="inlineStr">
        <is>
          <t>JÄMTLANDS LÄN</t>
        </is>
      </c>
      <c r="E1731" t="inlineStr">
        <is>
          <t>HÄRJEDALEN</t>
        </is>
      </c>
      <c r="F1731" t="inlineStr">
        <is>
          <t>Holmen skog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59681-2024</t>
        </is>
      </c>
      <c r="B1732" s="1" t="n">
        <v>45639</v>
      </c>
      <c r="C1732" s="1" t="n">
        <v>45719</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45719</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45719</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60054-2024</t>
        </is>
      </c>
      <c r="B1735" s="1" t="n">
        <v>45642</v>
      </c>
      <c r="C1735" s="1" t="n">
        <v>45719</v>
      </c>
      <c r="D1735" t="inlineStr">
        <is>
          <t>JÄMTLANDS LÄN</t>
        </is>
      </c>
      <c r="E1735" t="inlineStr">
        <is>
          <t>HÄRJEDALEN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60050-2024</t>
        </is>
      </c>
      <c r="B1736" s="1" t="n">
        <v>45642</v>
      </c>
      <c r="C1736" s="1" t="n">
        <v>45719</v>
      </c>
      <c r="D1736" t="inlineStr">
        <is>
          <t>JÄMTLANDS LÄN</t>
        </is>
      </c>
      <c r="E1736" t="inlineStr">
        <is>
          <t>HÄRJEDALEN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60006-2024</t>
        </is>
      </c>
      <c r="B1737" s="1" t="n">
        <v>45642</v>
      </c>
      <c r="C1737" s="1" t="n">
        <v>45719</v>
      </c>
      <c r="D1737" t="inlineStr">
        <is>
          <t>JÄMTLANDS LÄN</t>
        </is>
      </c>
      <c r="E1737" t="inlineStr">
        <is>
          <t>HÄRJEDALEN</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59962-2024</t>
        </is>
      </c>
      <c r="B1738" s="1" t="n">
        <v>45642</v>
      </c>
      <c r="C1738" s="1" t="n">
        <v>45719</v>
      </c>
      <c r="D1738" t="inlineStr">
        <is>
          <t>JÄMTLANDS LÄN</t>
        </is>
      </c>
      <c r="E1738" t="inlineStr">
        <is>
          <t>HÄRJEDALEN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59946-2024</t>
        </is>
      </c>
      <c r="B1739" s="1" t="n">
        <v>45642</v>
      </c>
      <c r="C1739" s="1" t="n">
        <v>45719</v>
      </c>
      <c r="D1739" t="inlineStr">
        <is>
          <t>JÄMTLANDS LÄN</t>
        </is>
      </c>
      <c r="E1739" t="inlineStr">
        <is>
          <t>HÄRJEDALEN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60057-2024</t>
        </is>
      </c>
      <c r="B1740" s="1" t="n">
        <v>45642</v>
      </c>
      <c r="C1740" s="1" t="n">
        <v>45719</v>
      </c>
      <c r="D1740" t="inlineStr">
        <is>
          <t>JÄMTLANDS LÄN</t>
        </is>
      </c>
      <c r="E1740" t="inlineStr">
        <is>
          <t>HÄRJEDALEN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60013-2024</t>
        </is>
      </c>
      <c r="B1741" s="1" t="n">
        <v>45642</v>
      </c>
      <c r="C1741" s="1" t="n">
        <v>45719</v>
      </c>
      <c r="D1741" t="inlineStr">
        <is>
          <t>JÄMTLANDS LÄN</t>
        </is>
      </c>
      <c r="E1741" t="inlineStr">
        <is>
          <t>HÄRJEDALEN</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60497-2024</t>
        </is>
      </c>
      <c r="B1742" s="1" t="n">
        <v>45643</v>
      </c>
      <c r="C1742" s="1" t="n">
        <v>45719</v>
      </c>
      <c r="D1742" t="inlineStr">
        <is>
          <t>JÄMTLANDS LÄN</t>
        </is>
      </c>
      <c r="E1742" t="inlineStr">
        <is>
          <t>HÄRJEDALEN</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60432-2024</t>
        </is>
      </c>
      <c r="B1743" s="1" t="n">
        <v>45643</v>
      </c>
      <c r="C1743" s="1" t="n">
        <v>45719</v>
      </c>
      <c r="D1743" t="inlineStr">
        <is>
          <t>JÄMTLANDS LÄN</t>
        </is>
      </c>
      <c r="E1743" t="inlineStr">
        <is>
          <t>HÄRJEDALEN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60752-2024</t>
        </is>
      </c>
      <c r="B1744" s="1" t="n">
        <v>45644</v>
      </c>
      <c r="C1744" s="1" t="n">
        <v>45719</v>
      </c>
      <c r="D1744" t="inlineStr">
        <is>
          <t>JÄMTLANDS LÄN</t>
        </is>
      </c>
      <c r="E1744" t="inlineStr">
        <is>
          <t>HÄRJEDALEN</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60709-2024</t>
        </is>
      </c>
      <c r="B1745" s="1" t="n">
        <v>45644</v>
      </c>
      <c r="C1745" s="1" t="n">
        <v>45719</v>
      </c>
      <c r="D1745" t="inlineStr">
        <is>
          <t>JÄMTLANDS LÄN</t>
        </is>
      </c>
      <c r="E1745" t="inlineStr">
        <is>
          <t>HÄRJEDALEN</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61140-2024</t>
        </is>
      </c>
      <c r="B1746" s="1" t="n">
        <v>45644</v>
      </c>
      <c r="C1746" s="1" t="n">
        <v>45719</v>
      </c>
      <c r="D1746" t="inlineStr">
        <is>
          <t>JÄMTLANDS LÄN</t>
        </is>
      </c>
      <c r="E1746" t="inlineStr">
        <is>
          <t>HÄRJEDALEN</t>
        </is>
      </c>
      <c r="G1746" t="n">
        <v>29.7</v>
      </c>
      <c r="H1746" t="n">
        <v>0</v>
      </c>
      <c r="I1746" t="n">
        <v>0</v>
      </c>
      <c r="J1746" t="n">
        <v>0</v>
      </c>
      <c r="K1746" t="n">
        <v>0</v>
      </c>
      <c r="L1746" t="n">
        <v>0</v>
      </c>
      <c r="M1746" t="n">
        <v>0</v>
      </c>
      <c r="N1746" t="n">
        <v>0</v>
      </c>
      <c r="O1746" t="n">
        <v>0</v>
      </c>
      <c r="P1746" t="n">
        <v>0</v>
      </c>
      <c r="Q1746" t="n">
        <v>0</v>
      </c>
      <c r="R1746" s="2" t="inlineStr"/>
    </row>
    <row r="1747" ht="15" customHeight="1">
      <c r="A1747" t="inlineStr">
        <is>
          <t>A 60853-2024</t>
        </is>
      </c>
      <c r="B1747" s="1" t="n">
        <v>45644</v>
      </c>
      <c r="C1747" s="1" t="n">
        <v>45719</v>
      </c>
      <c r="D1747" t="inlineStr">
        <is>
          <t>JÄMTLANDS LÄN</t>
        </is>
      </c>
      <c r="E1747" t="inlineStr">
        <is>
          <t>HÄRJEDALEN</t>
        </is>
      </c>
      <c r="F1747" t="inlineStr">
        <is>
          <t>Kyrkan</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60704-2024</t>
        </is>
      </c>
      <c r="B1748" s="1" t="n">
        <v>45644</v>
      </c>
      <c r="C1748" s="1" t="n">
        <v>45719</v>
      </c>
      <c r="D1748" t="inlineStr">
        <is>
          <t>JÄMTLANDS LÄN</t>
        </is>
      </c>
      <c r="E1748" t="inlineStr">
        <is>
          <t>HÄRJEDALEN</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61042-2024</t>
        </is>
      </c>
      <c r="B1749" s="1" t="n">
        <v>45645</v>
      </c>
      <c r="C1749" s="1" t="n">
        <v>45719</v>
      </c>
      <c r="D1749" t="inlineStr">
        <is>
          <t>JÄMTLANDS LÄN</t>
        </is>
      </c>
      <c r="E1749" t="inlineStr">
        <is>
          <t>HÄRJEDALEN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61048-2024</t>
        </is>
      </c>
      <c r="B1750" s="1" t="n">
        <v>45645</v>
      </c>
      <c r="C1750" s="1" t="n">
        <v>45719</v>
      </c>
      <c r="D1750" t="inlineStr">
        <is>
          <t>JÄMTLANDS LÄN</t>
        </is>
      </c>
      <c r="E1750" t="inlineStr">
        <is>
          <t>HÄRJEDALEN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61185-2024</t>
        </is>
      </c>
      <c r="B1751" s="1" t="n">
        <v>45645</v>
      </c>
      <c r="C1751" s="1" t="n">
        <v>45719</v>
      </c>
      <c r="D1751" t="inlineStr">
        <is>
          <t>JÄMTLANDS LÄN</t>
        </is>
      </c>
      <c r="E1751" t="inlineStr">
        <is>
          <t>HÄRJEDALEN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61341-2024</t>
        </is>
      </c>
      <c r="B1752" s="1" t="n">
        <v>45646</v>
      </c>
      <c r="C1752" s="1" t="n">
        <v>45719</v>
      </c>
      <c r="D1752" t="inlineStr">
        <is>
          <t>JÄMTLANDS LÄN</t>
        </is>
      </c>
      <c r="E1752" t="inlineStr">
        <is>
          <t>HÄRJEDALEN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61560-2024</t>
        </is>
      </c>
      <c r="B1753" s="1" t="n">
        <v>45646</v>
      </c>
      <c r="C1753" s="1" t="n">
        <v>45719</v>
      </c>
      <c r="D1753" t="inlineStr">
        <is>
          <t>JÄMTLANDS LÄN</t>
        </is>
      </c>
      <c r="E1753" t="inlineStr">
        <is>
          <t>HÄRJEDALEN</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62134-2024</t>
        </is>
      </c>
      <c r="B1754" s="1" t="n">
        <v>45646</v>
      </c>
      <c r="C1754" s="1" t="n">
        <v>45719</v>
      </c>
      <c r="D1754" t="inlineStr">
        <is>
          <t>JÄMTLANDS LÄN</t>
        </is>
      </c>
      <c r="E1754" t="inlineStr">
        <is>
          <t>HÄRJEDALEN</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62104-2024</t>
        </is>
      </c>
      <c r="B1755" s="1" t="n">
        <v>45656</v>
      </c>
      <c r="C1755" s="1" t="n">
        <v>45719</v>
      </c>
      <c r="D1755" t="inlineStr">
        <is>
          <t>JÄMTLANDS LÄN</t>
        </is>
      </c>
      <c r="E1755" t="inlineStr">
        <is>
          <t>HÄRJEDALEN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136-2025</t>
        </is>
      </c>
      <c r="B1756" s="1" t="n">
        <v>45659</v>
      </c>
      <c r="C1756" s="1" t="n">
        <v>45719</v>
      </c>
      <c r="D1756" t="inlineStr">
        <is>
          <t>JÄMTLANDS LÄN</t>
        </is>
      </c>
      <c r="E1756" t="inlineStr">
        <is>
          <t>HÄRJEDALEN</t>
        </is>
      </c>
      <c r="F1756" t="inlineStr">
        <is>
          <t>Holmen skog AB</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515-2025</t>
        </is>
      </c>
      <c r="B1757" s="1" t="n">
        <v>45664</v>
      </c>
      <c r="C1757" s="1" t="n">
        <v>45719</v>
      </c>
      <c r="D1757" t="inlineStr">
        <is>
          <t>JÄMTLANDS LÄN</t>
        </is>
      </c>
      <c r="E1757" t="inlineStr">
        <is>
          <t>HÄRJEDALEN</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445-2025</t>
        </is>
      </c>
      <c r="B1758" s="1" t="n">
        <v>45664</v>
      </c>
      <c r="C1758" s="1" t="n">
        <v>45719</v>
      </c>
      <c r="D1758" t="inlineStr">
        <is>
          <t>JÄMTLANDS LÄN</t>
        </is>
      </c>
      <c r="E1758" t="inlineStr">
        <is>
          <t>HÄRJEDALEN</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576-2025</t>
        </is>
      </c>
      <c r="B1759" s="1" t="n">
        <v>45664</v>
      </c>
      <c r="C1759" s="1" t="n">
        <v>45719</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523-2025</t>
        </is>
      </c>
      <c r="B1760" s="1" t="n">
        <v>45664</v>
      </c>
      <c r="C1760" s="1" t="n">
        <v>45719</v>
      </c>
      <c r="D1760" t="inlineStr">
        <is>
          <t>JÄMTLANDS LÄN</t>
        </is>
      </c>
      <c r="E1760" t="inlineStr">
        <is>
          <t>HÄRJEDALEN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837-2025</t>
        </is>
      </c>
      <c r="B1761" s="1" t="n">
        <v>45665</v>
      </c>
      <c r="C1761" s="1" t="n">
        <v>45719</v>
      </c>
      <c r="D1761" t="inlineStr">
        <is>
          <t>JÄMTLANDS LÄN</t>
        </is>
      </c>
      <c r="E1761" t="inlineStr">
        <is>
          <t>HÄRJEDALEN</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846-2025</t>
        </is>
      </c>
      <c r="B1762" s="1" t="n">
        <v>45665</v>
      </c>
      <c r="C1762" s="1" t="n">
        <v>45719</v>
      </c>
      <c r="D1762" t="inlineStr">
        <is>
          <t>JÄMTLANDS LÄN</t>
        </is>
      </c>
      <c r="E1762" t="inlineStr">
        <is>
          <t>HÄRJEDALEN</t>
        </is>
      </c>
      <c r="F1762" t="inlineStr">
        <is>
          <t>Bergvik skog väst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816-2025</t>
        </is>
      </c>
      <c r="B1763" s="1" t="n">
        <v>45665</v>
      </c>
      <c r="C1763" s="1" t="n">
        <v>45719</v>
      </c>
      <c r="D1763" t="inlineStr">
        <is>
          <t>JÄMTLANDS LÄN</t>
        </is>
      </c>
      <c r="E1763" t="inlineStr">
        <is>
          <t>HÄRJEDALEN</t>
        </is>
      </c>
      <c r="F1763" t="inlineStr">
        <is>
          <t>Bergvik skog väst AB</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848-2025</t>
        </is>
      </c>
      <c r="B1764" s="1" t="n">
        <v>45665</v>
      </c>
      <c r="C1764" s="1" t="n">
        <v>45719</v>
      </c>
      <c r="D1764" t="inlineStr">
        <is>
          <t>JÄMTLANDS LÄN</t>
        </is>
      </c>
      <c r="E1764" t="inlineStr">
        <is>
          <t>HÄRJEDALEN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999-2025</t>
        </is>
      </c>
      <c r="B1765" s="1" t="n">
        <v>45666</v>
      </c>
      <c r="C1765" s="1" t="n">
        <v>45719</v>
      </c>
      <c r="D1765" t="inlineStr">
        <is>
          <t>JÄMTLANDS LÄN</t>
        </is>
      </c>
      <c r="E1765" t="inlineStr">
        <is>
          <t>HÄRJEDALEN</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1172-2025</t>
        </is>
      </c>
      <c r="B1766" s="1" t="n">
        <v>45667</v>
      </c>
      <c r="C1766" s="1" t="n">
        <v>45719</v>
      </c>
      <c r="D1766" t="inlineStr">
        <is>
          <t>JÄMTLANDS LÄN</t>
        </is>
      </c>
      <c r="E1766" t="inlineStr">
        <is>
          <t>HÄRJEDALEN</t>
        </is>
      </c>
      <c r="F1766" t="inlineStr">
        <is>
          <t>Bergvik skog väst AB</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1394-2025</t>
        </is>
      </c>
      <c r="B1767" s="1" t="n">
        <v>45667</v>
      </c>
      <c r="C1767" s="1" t="n">
        <v>45719</v>
      </c>
      <c r="D1767" t="inlineStr">
        <is>
          <t>JÄMTLANDS LÄN</t>
        </is>
      </c>
      <c r="E1767" t="inlineStr">
        <is>
          <t>HÄRJEDALEN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1242-2025</t>
        </is>
      </c>
      <c r="B1768" s="1" t="n">
        <v>45667</v>
      </c>
      <c r="C1768" s="1" t="n">
        <v>45719</v>
      </c>
      <c r="D1768" t="inlineStr">
        <is>
          <t>JÄMTLANDS LÄN</t>
        </is>
      </c>
      <c r="E1768" t="inlineStr">
        <is>
          <t>HÄRJEDALEN</t>
        </is>
      </c>
      <c r="F1768" t="inlineStr">
        <is>
          <t>Bergvik skog väst AB</t>
        </is>
      </c>
      <c r="G1768" t="n">
        <v>80.5</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45719</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45719</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1515-2025</t>
        </is>
      </c>
      <c r="B1771" s="1" t="n">
        <v>45670</v>
      </c>
      <c r="C1771" s="1" t="n">
        <v>45719</v>
      </c>
      <c r="D1771" t="inlineStr">
        <is>
          <t>JÄMTLANDS LÄN</t>
        </is>
      </c>
      <c r="E1771" t="inlineStr">
        <is>
          <t>HÄRJEDALEN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1459-2025</t>
        </is>
      </c>
      <c r="B1772" s="1" t="n">
        <v>45670</v>
      </c>
      <c r="C1772" s="1" t="n">
        <v>45719</v>
      </c>
      <c r="D1772" t="inlineStr">
        <is>
          <t>JÄMTLANDS LÄN</t>
        </is>
      </c>
      <c r="E1772" t="inlineStr">
        <is>
          <t>HÄRJEDALEN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1754-2025</t>
        </is>
      </c>
      <c r="B1773" s="1" t="n">
        <v>45671</v>
      </c>
      <c r="C1773" s="1" t="n">
        <v>45719</v>
      </c>
      <c r="D1773" t="inlineStr">
        <is>
          <t>JÄMTLANDS LÄN</t>
        </is>
      </c>
      <c r="E1773" t="inlineStr">
        <is>
          <t>HÄRJEDALEN</t>
        </is>
      </c>
      <c r="F1773" t="inlineStr">
        <is>
          <t>Bergvik skog väst AB</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1906-2025</t>
        </is>
      </c>
      <c r="B1774" s="1" t="n">
        <v>45671</v>
      </c>
      <c r="C1774" s="1" t="n">
        <v>45719</v>
      </c>
      <c r="D1774" t="inlineStr">
        <is>
          <t>JÄMTLANDS LÄN</t>
        </is>
      </c>
      <c r="E1774" t="inlineStr">
        <is>
          <t>HÄRJEDALEN</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45719</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45719</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45719</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2003-2025</t>
        </is>
      </c>
      <c r="B1778" s="1" t="n">
        <v>45672</v>
      </c>
      <c r="C1778" s="1" t="n">
        <v>45719</v>
      </c>
      <c r="D1778" t="inlineStr">
        <is>
          <t>JÄMTLANDS LÄN</t>
        </is>
      </c>
      <c r="E1778" t="inlineStr">
        <is>
          <t>HÄRJEDALEN</t>
        </is>
      </c>
      <c r="F1778" t="inlineStr">
        <is>
          <t>SCA</t>
        </is>
      </c>
      <c r="G1778" t="n">
        <v>75.3</v>
      </c>
      <c r="H1778" t="n">
        <v>0</v>
      </c>
      <c r="I1778" t="n">
        <v>0</v>
      </c>
      <c r="J1778" t="n">
        <v>0</v>
      </c>
      <c r="K1778" t="n">
        <v>0</v>
      </c>
      <c r="L1778" t="n">
        <v>0</v>
      </c>
      <c r="M1778" t="n">
        <v>0</v>
      </c>
      <c r="N1778" t="n">
        <v>0</v>
      </c>
      <c r="O1778" t="n">
        <v>0</v>
      </c>
      <c r="P1778" t="n">
        <v>0</v>
      </c>
      <c r="Q1778" t="n">
        <v>0</v>
      </c>
      <c r="R1778" s="2" t="inlineStr"/>
    </row>
    <row r="1779" ht="15" customHeight="1">
      <c r="A1779" t="inlineStr">
        <is>
          <t>A 1999-2025</t>
        </is>
      </c>
      <c r="B1779" s="1" t="n">
        <v>45672</v>
      </c>
      <c r="C1779" s="1" t="n">
        <v>45719</v>
      </c>
      <c r="D1779" t="inlineStr">
        <is>
          <t>JÄMTLANDS LÄN</t>
        </is>
      </c>
      <c r="E1779" t="inlineStr">
        <is>
          <t>HÄRJEDALEN</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1998-2025</t>
        </is>
      </c>
      <c r="B1780" s="1" t="n">
        <v>45672</v>
      </c>
      <c r="C1780" s="1" t="n">
        <v>45719</v>
      </c>
      <c r="D1780" t="inlineStr">
        <is>
          <t>JÄMTLANDS LÄN</t>
        </is>
      </c>
      <c r="E1780" t="inlineStr">
        <is>
          <t>HÄRJEDALEN</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45719</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2281-2025</t>
        </is>
      </c>
      <c r="B1782" s="1" t="n">
        <v>45673</v>
      </c>
      <c r="C1782" s="1" t="n">
        <v>45719</v>
      </c>
      <c r="D1782" t="inlineStr">
        <is>
          <t>JÄMTLANDS LÄN</t>
        </is>
      </c>
      <c r="E1782" t="inlineStr">
        <is>
          <t>HÄRJEDALEN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2336-2025</t>
        </is>
      </c>
      <c r="B1783" s="1" t="n">
        <v>45673</v>
      </c>
      <c r="C1783" s="1" t="n">
        <v>45719</v>
      </c>
      <c r="D1783" t="inlineStr">
        <is>
          <t>JÄMTLANDS LÄN</t>
        </is>
      </c>
      <c r="E1783" t="inlineStr">
        <is>
          <t>HÄRJEDALEN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2312-2025</t>
        </is>
      </c>
      <c r="B1784" s="1" t="n">
        <v>45673</v>
      </c>
      <c r="C1784" s="1" t="n">
        <v>45719</v>
      </c>
      <c r="D1784" t="inlineStr">
        <is>
          <t>JÄMTLANDS LÄN</t>
        </is>
      </c>
      <c r="E1784" t="inlineStr">
        <is>
          <t>HÄRJEDALEN</t>
        </is>
      </c>
      <c r="F1784" t="inlineStr">
        <is>
          <t>Bergvik skog väst AB</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2510-2025</t>
        </is>
      </c>
      <c r="B1785" s="1" t="n">
        <v>45674</v>
      </c>
      <c r="C1785" s="1" t="n">
        <v>45719</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45719</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45719</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2737-2025</t>
        </is>
      </c>
      <c r="B1788" s="1" t="n">
        <v>45677</v>
      </c>
      <c r="C1788" s="1" t="n">
        <v>45719</v>
      </c>
      <c r="D1788" t="inlineStr">
        <is>
          <t>JÄMTLANDS LÄN</t>
        </is>
      </c>
      <c r="E1788" t="inlineStr">
        <is>
          <t>HÄRJEDALEN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2875-2025</t>
        </is>
      </c>
      <c r="B1789" s="1" t="n">
        <v>45677</v>
      </c>
      <c r="C1789" s="1" t="n">
        <v>45719</v>
      </c>
      <c r="D1789" t="inlineStr">
        <is>
          <t>JÄMTLANDS LÄN</t>
        </is>
      </c>
      <c r="E1789" t="inlineStr">
        <is>
          <t>HÄRJEDALEN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2935-2025</t>
        </is>
      </c>
      <c r="B1790" s="1" t="n">
        <v>45678</v>
      </c>
      <c r="C1790" s="1" t="n">
        <v>45719</v>
      </c>
      <c r="D1790" t="inlineStr">
        <is>
          <t>JÄMTLANDS LÄN</t>
        </is>
      </c>
      <c r="E1790" t="inlineStr">
        <is>
          <t>HÄRJEDALEN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3425-2025</t>
        </is>
      </c>
      <c r="B1791" s="1" t="n">
        <v>45680</v>
      </c>
      <c r="C1791" s="1" t="n">
        <v>45719</v>
      </c>
      <c r="D1791" t="inlineStr">
        <is>
          <t>JÄMTLANDS LÄN</t>
        </is>
      </c>
      <c r="E1791" t="inlineStr">
        <is>
          <t>HÄRJEDALEN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3965-2025</t>
        </is>
      </c>
      <c r="B1792" s="1" t="n">
        <v>45684</v>
      </c>
      <c r="C1792" s="1" t="n">
        <v>45719</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45719</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45719</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45719</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4221-2025</t>
        </is>
      </c>
      <c r="B1796" s="1" t="n">
        <v>45685</v>
      </c>
      <c r="C1796" s="1" t="n">
        <v>45719</v>
      </c>
      <c r="D1796" t="inlineStr">
        <is>
          <t>JÄMTLANDS LÄN</t>
        </is>
      </c>
      <c r="E1796" t="inlineStr">
        <is>
          <t>HÄRJEDALEN</t>
        </is>
      </c>
      <c r="F1796" t="inlineStr">
        <is>
          <t>Bergvik skog väst AB</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4225-2025</t>
        </is>
      </c>
      <c r="B1797" s="1" t="n">
        <v>45685</v>
      </c>
      <c r="C1797" s="1" t="n">
        <v>45719</v>
      </c>
      <c r="D1797" t="inlineStr">
        <is>
          <t>JÄMTLANDS LÄN</t>
        </is>
      </c>
      <c r="E1797" t="inlineStr">
        <is>
          <t>HÄRJEDALEN</t>
        </is>
      </c>
      <c r="F1797" t="inlineStr">
        <is>
          <t>Bergvik skog väst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45719</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4593-2025</t>
        </is>
      </c>
      <c r="B1799" s="1" t="n">
        <v>45687</v>
      </c>
      <c r="C1799" s="1" t="n">
        <v>45719</v>
      </c>
      <c r="D1799" t="inlineStr">
        <is>
          <t>JÄMTLANDS LÄN</t>
        </is>
      </c>
      <c r="E1799" t="inlineStr">
        <is>
          <t>HÄRJEDALEN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4590-2025</t>
        </is>
      </c>
      <c r="B1800" s="1" t="n">
        <v>45687</v>
      </c>
      <c r="C1800" s="1" t="n">
        <v>45719</v>
      </c>
      <c r="D1800" t="inlineStr">
        <is>
          <t>JÄMTLANDS LÄN</t>
        </is>
      </c>
      <c r="E1800" t="inlineStr">
        <is>
          <t>HÄRJEDALEN</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45719</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4898-2025</t>
        </is>
      </c>
      <c r="B1802" s="1" t="n">
        <v>45688</v>
      </c>
      <c r="C1802" s="1" t="n">
        <v>45719</v>
      </c>
      <c r="D1802" t="inlineStr">
        <is>
          <t>JÄMTLANDS LÄN</t>
        </is>
      </c>
      <c r="E1802" t="inlineStr">
        <is>
          <t>HÄRJEDALEN</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4837-2025</t>
        </is>
      </c>
      <c r="B1803" s="1" t="n">
        <v>45688</v>
      </c>
      <c r="C1803" s="1" t="n">
        <v>45719</v>
      </c>
      <c r="D1803" t="inlineStr">
        <is>
          <t>JÄMTLANDS LÄN</t>
        </is>
      </c>
      <c r="E1803" t="inlineStr">
        <is>
          <t>HÄRJEDALEN</t>
        </is>
      </c>
      <c r="F1803" t="inlineStr">
        <is>
          <t>SCA</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4749-2025</t>
        </is>
      </c>
      <c r="B1804" s="1" t="n">
        <v>45688</v>
      </c>
      <c r="C1804" s="1" t="n">
        <v>45719</v>
      </c>
      <c r="D1804" t="inlineStr">
        <is>
          <t>JÄMTLANDS LÄN</t>
        </is>
      </c>
      <c r="E1804" t="inlineStr">
        <is>
          <t>HÄRJEDALEN</t>
        </is>
      </c>
      <c r="F1804" t="inlineStr">
        <is>
          <t>Bergvik skog väst AB</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45719</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4879-2025</t>
        </is>
      </c>
      <c r="B1806" s="1" t="n">
        <v>45688</v>
      </c>
      <c r="C1806" s="1" t="n">
        <v>45719</v>
      </c>
      <c r="D1806" t="inlineStr">
        <is>
          <t>JÄMTLANDS LÄN</t>
        </is>
      </c>
      <c r="E1806" t="inlineStr">
        <is>
          <t>HÄRJEDALEN</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4752-2025</t>
        </is>
      </c>
      <c r="B1807" s="1" t="n">
        <v>45688</v>
      </c>
      <c r="C1807" s="1" t="n">
        <v>45719</v>
      </c>
      <c r="D1807" t="inlineStr">
        <is>
          <t>JÄMTLANDS LÄN</t>
        </is>
      </c>
      <c r="E1807" t="inlineStr">
        <is>
          <t>HÄRJEDALEN</t>
        </is>
      </c>
      <c r="F1807" t="inlineStr">
        <is>
          <t>Bergvik skog väst AB</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45719</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45719</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5098-2025</t>
        </is>
      </c>
      <c r="B1810" s="1" t="n">
        <v>45691</v>
      </c>
      <c r="C1810" s="1" t="n">
        <v>45719</v>
      </c>
      <c r="D1810" t="inlineStr">
        <is>
          <t>JÄMTLANDS LÄN</t>
        </is>
      </c>
      <c r="E1810" t="inlineStr">
        <is>
          <t>HÄRJEDALEN</t>
        </is>
      </c>
      <c r="F1810" t="inlineStr">
        <is>
          <t>Holmen skog AB</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5102-2025</t>
        </is>
      </c>
      <c r="B1811" s="1" t="n">
        <v>45691</v>
      </c>
      <c r="C1811" s="1" t="n">
        <v>45719</v>
      </c>
      <c r="D1811" t="inlineStr">
        <is>
          <t>JÄMTLANDS LÄN</t>
        </is>
      </c>
      <c r="E1811" t="inlineStr">
        <is>
          <t>HÄRJEDALEN</t>
        </is>
      </c>
      <c r="F1811" t="inlineStr">
        <is>
          <t>Holmen skog AB</t>
        </is>
      </c>
      <c r="G1811" t="n">
        <v>19.3</v>
      </c>
      <c r="H1811" t="n">
        <v>0</v>
      </c>
      <c r="I1811" t="n">
        <v>0</v>
      </c>
      <c r="J1811" t="n">
        <v>0</v>
      </c>
      <c r="K1811" t="n">
        <v>0</v>
      </c>
      <c r="L1811" t="n">
        <v>0</v>
      </c>
      <c r="M1811" t="n">
        <v>0</v>
      </c>
      <c r="N1811" t="n">
        <v>0</v>
      </c>
      <c r="O1811" t="n">
        <v>0</v>
      </c>
      <c r="P1811" t="n">
        <v>0</v>
      </c>
      <c r="Q1811" t="n">
        <v>0</v>
      </c>
      <c r="R1811" s="2" t="inlineStr"/>
    </row>
    <row r="1812" ht="15" customHeight="1">
      <c r="A1812" t="inlineStr">
        <is>
          <t>A 5781-2025</t>
        </is>
      </c>
      <c r="B1812" s="1" t="n">
        <v>45694</v>
      </c>
      <c r="C1812" s="1" t="n">
        <v>45719</v>
      </c>
      <c r="D1812" t="inlineStr">
        <is>
          <t>JÄMTLANDS LÄN</t>
        </is>
      </c>
      <c r="E1812" t="inlineStr">
        <is>
          <t>HÄRJEDALEN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5780-2025</t>
        </is>
      </c>
      <c r="B1813" s="1" t="n">
        <v>45694</v>
      </c>
      <c r="C1813" s="1" t="n">
        <v>45719</v>
      </c>
      <c r="D1813" t="inlineStr">
        <is>
          <t>JÄMTLANDS LÄN</t>
        </is>
      </c>
      <c r="E1813" t="inlineStr">
        <is>
          <t>HÄRJEDALEN</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6211-2025</t>
        </is>
      </c>
      <c r="B1814" s="1" t="n">
        <v>45698</v>
      </c>
      <c r="C1814" s="1" t="n">
        <v>45719</v>
      </c>
      <c r="D1814" t="inlineStr">
        <is>
          <t>JÄMTLANDS LÄN</t>
        </is>
      </c>
      <c r="E1814" t="inlineStr">
        <is>
          <t>HÄRJEDALEN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45719</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45719</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45719</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45719</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45719</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7379-2025</t>
        </is>
      </c>
      <c r="B1820" s="1" t="n">
        <v>45705</v>
      </c>
      <c r="C1820" s="1" t="n">
        <v>45719</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7384-2025</t>
        </is>
      </c>
      <c r="B1821" s="1" t="n">
        <v>45705</v>
      </c>
      <c r="C1821" s="1" t="n">
        <v>45719</v>
      </c>
      <c r="D1821" t="inlineStr">
        <is>
          <t>JÄMTLANDS LÄN</t>
        </is>
      </c>
      <c r="E1821" t="inlineStr">
        <is>
          <t>HÄRJEDALEN</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45719</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45719</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8095-2025</t>
        </is>
      </c>
      <c r="B1824" s="1" t="n">
        <v>45707</v>
      </c>
      <c r="C1824" s="1" t="n">
        <v>45719</v>
      </c>
      <c r="D1824" t="inlineStr">
        <is>
          <t>JÄMTLANDS LÄN</t>
        </is>
      </c>
      <c r="E1824" t="inlineStr">
        <is>
          <t>HÄRJEDALEN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45719</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45719</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45719</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c r="A1828" t="inlineStr">
        <is>
          <t>A 9785-2025</t>
        </is>
      </c>
      <c r="B1828" s="1" t="n">
        <v>45716</v>
      </c>
      <c r="C1828" s="1" t="n">
        <v>45719</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2025-03-03T20:14:45Z</dcterms:created>
  <dcterms:modified xmlns:dcterms="http://purl.org/dc/terms/" xmlns:xsi="http://www.w3.org/2001/XMLSchema-instance" xsi:type="dcterms:W3CDTF">2025-03-03T20:14:47Z</dcterms:modified>
</cp:coreProperties>
</file>