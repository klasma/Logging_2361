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45802</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45802</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45802</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45802</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45802</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45802</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45802</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45802</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45802</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45802</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45802</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45802</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45802</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45802</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45802</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45802</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45802</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45802</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45802</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45802</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45802</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45802</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45802</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45802</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45802</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45802</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45802</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45802</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45802</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45802</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45802</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45802</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45802</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45802</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45802</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45802</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45802</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45802</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45802</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45802</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45802</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45802</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45802</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45802</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45802</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45802</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45802</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45802</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45802</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45802</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45802</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45802</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45802</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45802</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45802</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45802</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45802</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45802</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45802</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45802</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45802</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45802</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45802</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45802</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45802</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45802</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45802</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45802</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45802</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45802</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45802</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45802</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45802</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45802</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45802</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45802</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45802</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45802</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45802</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45802</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45802</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45802</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45802</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45802</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45802</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45802</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45802</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45802</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45802</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45802</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45802</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45802</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45802</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45802</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45802</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45802</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45802</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45802</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45802</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45802</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45802</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45802</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45802</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45802</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45802</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45802</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45802</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45802</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45802</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45802</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45802</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45802</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45802</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45802</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45802</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45802</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45802</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45802</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45802</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45802</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45802</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45802</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45802</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45802</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45802</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45802</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45802</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45802</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45802</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45802</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25107-2025</t>
        </is>
      </c>
      <c r="B158" s="1" t="n">
        <v>45800</v>
      </c>
      <c r="C158" s="1" t="n">
        <v>45802</v>
      </c>
      <c r="D158" t="inlineStr">
        <is>
          <t>JÄMTLANDS LÄN</t>
        </is>
      </c>
      <c r="E158" t="inlineStr">
        <is>
          <t>HÄRJEDALEN</t>
        </is>
      </c>
      <c r="F158" t="inlineStr">
        <is>
          <t>Holmen skog AB</t>
        </is>
      </c>
      <c r="G158" t="n">
        <v>2</v>
      </c>
      <c r="H158" t="n">
        <v>0</v>
      </c>
      <c r="I158" t="n">
        <v>0</v>
      </c>
      <c r="J158" t="n">
        <v>3</v>
      </c>
      <c r="K158" t="n">
        <v>0</v>
      </c>
      <c r="L158" t="n">
        <v>0</v>
      </c>
      <c r="M158" t="n">
        <v>0</v>
      </c>
      <c r="N158" t="n">
        <v>0</v>
      </c>
      <c r="O158" t="n">
        <v>3</v>
      </c>
      <c r="P158" t="n">
        <v>0</v>
      </c>
      <c r="Q158" t="n">
        <v>3</v>
      </c>
      <c r="R158" s="2" t="inlineStr">
        <is>
          <t>Blanksvart spiklav
Vedflamlav
Vedskivlav</t>
        </is>
      </c>
      <c r="S158">
        <f>HYPERLINK("https://klasma.github.io/Logging_232361/artfynd/A 25107-2025 artfynd.xlsx", "A 25107-2025")</f>
        <v/>
      </c>
      <c r="T158">
        <f>HYPERLINK("https://klasma.github.io/Logging_232361/kartor/A 25107-2025 karta.png", "A 25107-2025")</f>
        <v/>
      </c>
      <c r="V158">
        <f>HYPERLINK("https://klasma.github.io/Logging_232361/klagomål/A 25107-2025 FSC-klagomål.docx", "A 25107-2025")</f>
        <v/>
      </c>
      <c r="W158">
        <f>HYPERLINK("https://klasma.github.io/Logging_232361/klagomålsmail/A 25107-2025 FSC-klagomål mail.docx", "A 25107-2025")</f>
        <v/>
      </c>
      <c r="X158">
        <f>HYPERLINK("https://klasma.github.io/Logging_232361/tillsyn/A 25107-2025 tillsynsbegäran.docx", "A 25107-2025")</f>
        <v/>
      </c>
      <c r="Y158">
        <f>HYPERLINK("https://klasma.github.io/Logging_232361/tillsynsmail/A 25107-2025 tillsynsbegäran mail.docx", "A 25107-2025")</f>
        <v/>
      </c>
    </row>
    <row r="159" ht="15" customHeight="1">
      <c r="A159" t="inlineStr">
        <is>
          <t>A 28321-2019</t>
        </is>
      </c>
      <c r="B159" s="1" t="n">
        <v>43623</v>
      </c>
      <c r="C159" s="1" t="n">
        <v>45802</v>
      </c>
      <c r="D159" t="inlineStr">
        <is>
          <t>JÄMTLANDS LÄN</t>
        </is>
      </c>
      <c r="E159" t="inlineStr">
        <is>
          <t>HÄRJEDALEN</t>
        </is>
      </c>
      <c r="F159" t="inlineStr">
        <is>
          <t>Sveaskog</t>
        </is>
      </c>
      <c r="G159" t="n">
        <v>3.3</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28321-2019 artfynd.xlsx", "A 28321-2019")</f>
        <v/>
      </c>
      <c r="T159">
        <f>HYPERLINK("https://klasma.github.io/Logging_2361/kartor/A 28321-2019 karta.png", "A 28321-2019")</f>
        <v/>
      </c>
      <c r="V159">
        <f>HYPERLINK("https://klasma.github.io/Logging_2361/klagomål/A 28321-2019 FSC-klagomål.docx", "A 28321-2019")</f>
        <v/>
      </c>
      <c r="W159">
        <f>HYPERLINK("https://klasma.github.io/Logging_2361/klagomålsmail/A 28321-2019 FSC-klagomål mail.docx", "A 28321-2019")</f>
        <v/>
      </c>
      <c r="X159">
        <f>HYPERLINK("https://klasma.github.io/Logging_2361/tillsyn/A 28321-2019 tillsynsbegäran.docx", "A 28321-2019")</f>
        <v/>
      </c>
      <c r="Y159">
        <f>HYPERLINK("https://klasma.github.io/Logging_2361/tillsynsmail/A 28321-2019 tillsynsbegäran mail.docx", "A 28321-2019")</f>
        <v/>
      </c>
    </row>
    <row r="160" ht="15" customHeight="1">
      <c r="A160" t="inlineStr">
        <is>
          <t>A 29265-2019</t>
        </is>
      </c>
      <c r="B160" s="1" t="n">
        <v>43629</v>
      </c>
      <c r="C160" s="1" t="n">
        <v>45802</v>
      </c>
      <c r="D160" t="inlineStr">
        <is>
          <t>JÄMTLANDS LÄN</t>
        </is>
      </c>
      <c r="E160" t="inlineStr">
        <is>
          <t>HÄRJEDALEN</t>
        </is>
      </c>
      <c r="F160" t="inlineStr">
        <is>
          <t>Holmen skog AB</t>
        </is>
      </c>
      <c r="G160" t="n">
        <v>2.2</v>
      </c>
      <c r="H160" t="n">
        <v>0</v>
      </c>
      <c r="I160" t="n">
        <v>0</v>
      </c>
      <c r="J160" t="n">
        <v>1</v>
      </c>
      <c r="K160" t="n">
        <v>1</v>
      </c>
      <c r="L160" t="n">
        <v>0</v>
      </c>
      <c r="M160" t="n">
        <v>0</v>
      </c>
      <c r="N160" t="n">
        <v>0</v>
      </c>
      <c r="O160" t="n">
        <v>2</v>
      </c>
      <c r="P160" t="n">
        <v>1</v>
      </c>
      <c r="Q160" t="n">
        <v>2</v>
      </c>
      <c r="R160" s="2" t="inlineStr">
        <is>
          <t>Goliatmusseron
Blå taggsvamp</t>
        </is>
      </c>
      <c r="S160">
        <f>HYPERLINK("https://klasma.github.io/Logging_2361/artfynd/A 29265-2019 artfynd.xlsx", "A 29265-2019")</f>
        <v/>
      </c>
      <c r="T160">
        <f>HYPERLINK("https://klasma.github.io/Logging_2361/kartor/A 29265-2019 karta.png", "A 29265-2019")</f>
        <v/>
      </c>
      <c r="V160">
        <f>HYPERLINK("https://klasma.github.io/Logging_2361/klagomål/A 29265-2019 FSC-klagomål.docx", "A 29265-2019")</f>
        <v/>
      </c>
      <c r="W160">
        <f>HYPERLINK("https://klasma.github.io/Logging_2361/klagomålsmail/A 29265-2019 FSC-klagomål mail.docx", "A 29265-2019")</f>
        <v/>
      </c>
      <c r="X160">
        <f>HYPERLINK("https://klasma.github.io/Logging_2361/tillsyn/A 29265-2019 tillsynsbegäran.docx", "A 29265-2019")</f>
        <v/>
      </c>
      <c r="Y160">
        <f>HYPERLINK("https://klasma.github.io/Logging_2361/tillsynsmail/A 29265-2019 tillsynsbegäran mail.docx", "A 29265-2019")</f>
        <v/>
      </c>
    </row>
    <row r="161" ht="15" customHeight="1">
      <c r="A161" t="inlineStr">
        <is>
          <t>A 32481-2019</t>
        </is>
      </c>
      <c r="B161" s="1" t="n">
        <v>43644</v>
      </c>
      <c r="C161" s="1" t="n">
        <v>45802</v>
      </c>
      <c r="D161" t="inlineStr">
        <is>
          <t>JÄMTLANDS LÄN</t>
        </is>
      </c>
      <c r="E161" t="inlineStr">
        <is>
          <t>HÄRJEDALEN</t>
        </is>
      </c>
      <c r="F161" t="inlineStr">
        <is>
          <t>SCA</t>
        </is>
      </c>
      <c r="G161" t="n">
        <v>2.3</v>
      </c>
      <c r="H161" t="n">
        <v>0</v>
      </c>
      <c r="I161" t="n">
        <v>0</v>
      </c>
      <c r="J161" t="n">
        <v>2</v>
      </c>
      <c r="K161" t="n">
        <v>0</v>
      </c>
      <c r="L161" t="n">
        <v>0</v>
      </c>
      <c r="M161" t="n">
        <v>0</v>
      </c>
      <c r="N161" t="n">
        <v>0</v>
      </c>
      <c r="O161" t="n">
        <v>2</v>
      </c>
      <c r="P161" t="n">
        <v>0</v>
      </c>
      <c r="Q161" t="n">
        <v>2</v>
      </c>
      <c r="R161" s="2" t="inlineStr">
        <is>
          <t>Blågrå svartspik
Mörk kolflarnlav</t>
        </is>
      </c>
      <c r="S161">
        <f>HYPERLINK("https://klasma.github.io/Logging_2361/artfynd/A 32481-2019 artfynd.xlsx", "A 32481-2019")</f>
        <v/>
      </c>
      <c r="T161">
        <f>HYPERLINK("https://klasma.github.io/Logging_2361/kartor/A 32481-2019 karta.png", "A 32481-2019")</f>
        <v/>
      </c>
      <c r="V161">
        <f>HYPERLINK("https://klasma.github.io/Logging_2361/klagomål/A 32481-2019 FSC-klagomål.docx", "A 32481-2019")</f>
        <v/>
      </c>
      <c r="W161">
        <f>HYPERLINK("https://klasma.github.io/Logging_2361/klagomålsmail/A 32481-2019 FSC-klagomål mail.docx", "A 32481-2019")</f>
        <v/>
      </c>
      <c r="X161">
        <f>HYPERLINK("https://klasma.github.io/Logging_2361/tillsyn/A 32481-2019 tillsynsbegäran.docx", "A 32481-2019")</f>
        <v/>
      </c>
      <c r="Y161">
        <f>HYPERLINK("https://klasma.github.io/Logging_2361/tillsynsmail/A 32481-2019 tillsynsbegäran mail.docx", "A 32481-2019")</f>
        <v/>
      </c>
    </row>
    <row r="162" ht="15" customHeight="1">
      <c r="A162" t="inlineStr">
        <is>
          <t>A 34268-2019</t>
        </is>
      </c>
      <c r="B162" s="1" t="n">
        <v>43655</v>
      </c>
      <c r="C162" s="1" t="n">
        <v>45802</v>
      </c>
      <c r="D162" t="inlineStr">
        <is>
          <t>JÄMTLANDS LÄN</t>
        </is>
      </c>
      <c r="E162" t="inlineStr">
        <is>
          <t>HÄRJEDALEN</t>
        </is>
      </c>
      <c r="F162" t="inlineStr">
        <is>
          <t>Bergvik skog väst AB</t>
        </is>
      </c>
      <c r="G162" t="n">
        <v>43.7</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34268-2019 artfynd.xlsx", "A 34268-2019")</f>
        <v/>
      </c>
      <c r="T162">
        <f>HYPERLINK("https://klasma.github.io/Logging_2361/kartor/A 34268-2019 karta.png", "A 34268-2019")</f>
        <v/>
      </c>
      <c r="V162">
        <f>HYPERLINK("https://klasma.github.io/Logging_2361/klagomål/A 34268-2019 FSC-klagomål.docx", "A 34268-2019")</f>
        <v/>
      </c>
      <c r="W162">
        <f>HYPERLINK("https://klasma.github.io/Logging_2361/klagomålsmail/A 34268-2019 FSC-klagomål mail.docx", "A 34268-2019")</f>
        <v/>
      </c>
      <c r="X162">
        <f>HYPERLINK("https://klasma.github.io/Logging_2361/tillsyn/A 34268-2019 tillsynsbegäran.docx", "A 34268-2019")</f>
        <v/>
      </c>
      <c r="Y162">
        <f>HYPERLINK("https://klasma.github.io/Logging_2361/tillsynsmail/A 34268-2019 tillsynsbegäran mail.docx", "A 34268-2019")</f>
        <v/>
      </c>
    </row>
    <row r="163" ht="15" customHeight="1">
      <c r="A163" t="inlineStr">
        <is>
          <t>A 4356-2020</t>
        </is>
      </c>
      <c r="B163" s="1" t="n">
        <v>43857</v>
      </c>
      <c r="C163" s="1" t="n">
        <v>45802</v>
      </c>
      <c r="D163" t="inlineStr">
        <is>
          <t>JÄMTLANDS LÄN</t>
        </is>
      </c>
      <c r="E163" t="inlineStr">
        <is>
          <t>HÄRJEDALEN</t>
        </is>
      </c>
      <c r="F163" t="inlineStr">
        <is>
          <t>Bergvik skog väst AB</t>
        </is>
      </c>
      <c r="G163" t="n">
        <v>51.2</v>
      </c>
      <c r="H163" t="n">
        <v>1</v>
      </c>
      <c r="I163" t="n">
        <v>0</v>
      </c>
      <c r="J163" t="n">
        <v>2</v>
      </c>
      <c r="K163" t="n">
        <v>0</v>
      </c>
      <c r="L163" t="n">
        <v>0</v>
      </c>
      <c r="M163" t="n">
        <v>0</v>
      </c>
      <c r="N163" t="n">
        <v>0</v>
      </c>
      <c r="O163" t="n">
        <v>2</v>
      </c>
      <c r="P163" t="n">
        <v>0</v>
      </c>
      <c r="Q163" t="n">
        <v>2</v>
      </c>
      <c r="R163" s="2" t="inlineStr">
        <is>
          <t>Harticka
Tretåig hackspett</t>
        </is>
      </c>
      <c r="S163">
        <f>HYPERLINK("https://klasma.github.io/Logging_2361/artfynd/A 4356-2020 artfynd.xlsx", "A 4356-2020")</f>
        <v/>
      </c>
      <c r="T163">
        <f>HYPERLINK("https://klasma.github.io/Logging_2361/kartor/A 4356-2020 karta.png", "A 4356-2020")</f>
        <v/>
      </c>
      <c r="V163">
        <f>HYPERLINK("https://klasma.github.io/Logging_2361/klagomål/A 4356-2020 FSC-klagomål.docx", "A 4356-2020")</f>
        <v/>
      </c>
      <c r="W163">
        <f>HYPERLINK("https://klasma.github.io/Logging_2361/klagomålsmail/A 4356-2020 FSC-klagomål mail.docx", "A 4356-2020")</f>
        <v/>
      </c>
      <c r="X163">
        <f>HYPERLINK("https://klasma.github.io/Logging_2361/tillsyn/A 4356-2020 tillsynsbegäran.docx", "A 4356-2020")</f>
        <v/>
      </c>
      <c r="Y163">
        <f>HYPERLINK("https://klasma.github.io/Logging_2361/tillsynsmail/A 4356-2020 tillsynsbegäran mail.docx", "A 4356-2020")</f>
        <v/>
      </c>
      <c r="Z163">
        <f>HYPERLINK("https://klasma.github.io/Logging_2361/fåglar/A 4356-2020 prioriterade fågelarter.docx", "A 4356-2020")</f>
        <v/>
      </c>
    </row>
    <row r="164" ht="15" customHeight="1">
      <c r="A164" t="inlineStr">
        <is>
          <t>A 9510-2020</t>
        </is>
      </c>
      <c r="B164" s="1" t="n">
        <v>43880</v>
      </c>
      <c r="C164" s="1" t="n">
        <v>45802</v>
      </c>
      <c r="D164" t="inlineStr">
        <is>
          <t>JÄMTLANDS LÄN</t>
        </is>
      </c>
      <c r="E164" t="inlineStr">
        <is>
          <t>HÄRJEDALEN</t>
        </is>
      </c>
      <c r="F164" t="inlineStr">
        <is>
          <t>Bergvik skog väst AB</t>
        </is>
      </c>
      <c r="G164" t="n">
        <v>18.7</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HYPERLINK("https://klasma.github.io/Logging_2361/artfynd/A 9510-2020 artfynd.xlsx", "A 9510-2020")</f>
        <v/>
      </c>
      <c r="T164">
        <f>HYPERLINK("https://klasma.github.io/Logging_2361/kartor/A 9510-2020 karta.png", "A 9510-2020")</f>
        <v/>
      </c>
      <c r="V164">
        <f>HYPERLINK("https://klasma.github.io/Logging_2361/klagomål/A 9510-2020 FSC-klagomål.docx", "A 9510-2020")</f>
        <v/>
      </c>
      <c r="W164">
        <f>HYPERLINK("https://klasma.github.io/Logging_2361/klagomålsmail/A 9510-2020 FSC-klagomål mail.docx", "A 9510-2020")</f>
        <v/>
      </c>
      <c r="X164">
        <f>HYPERLINK("https://klasma.github.io/Logging_2361/tillsyn/A 9510-2020 tillsynsbegäran.docx", "A 9510-2020")</f>
        <v/>
      </c>
      <c r="Y164">
        <f>HYPERLINK("https://klasma.github.io/Logging_2361/tillsynsmail/A 9510-2020 tillsynsbegäran mail.docx", "A 9510-2020")</f>
        <v/>
      </c>
      <c r="Z164">
        <f>HYPERLINK("https://klasma.github.io/Logging_2361/fåglar/A 9510-2020 prioriterade fågelarter.docx", "A 9510-2020")</f>
        <v/>
      </c>
    </row>
    <row r="165" ht="15" customHeight="1">
      <c r="A165" t="inlineStr">
        <is>
          <t>A 12954-2020</t>
        </is>
      </c>
      <c r="B165" s="1" t="n">
        <v>43900</v>
      </c>
      <c r="C165" s="1" t="n">
        <v>45802</v>
      </c>
      <c r="D165" t="inlineStr">
        <is>
          <t>JÄMTLANDS LÄN</t>
        </is>
      </c>
      <c r="E165" t="inlineStr">
        <is>
          <t>HÄRJEDALEN</t>
        </is>
      </c>
      <c r="F165" t="inlineStr">
        <is>
          <t>Bergvik skog väst AB</t>
        </is>
      </c>
      <c r="G165" t="n">
        <v>12.1</v>
      </c>
      <c r="H165" t="n">
        <v>0</v>
      </c>
      <c r="I165" t="n">
        <v>2</v>
      </c>
      <c r="J165" t="n">
        <v>0</v>
      </c>
      <c r="K165" t="n">
        <v>0</v>
      </c>
      <c r="L165" t="n">
        <v>0</v>
      </c>
      <c r="M165" t="n">
        <v>0</v>
      </c>
      <c r="N165" t="n">
        <v>0</v>
      </c>
      <c r="O165" t="n">
        <v>0</v>
      </c>
      <c r="P165" t="n">
        <v>0</v>
      </c>
      <c r="Q165" t="n">
        <v>2</v>
      </c>
      <c r="R165" s="2" t="inlineStr">
        <is>
          <t>Blodticka
Vedticka</t>
        </is>
      </c>
      <c r="S165">
        <f>HYPERLINK("https://klasma.github.io/Logging_2361/artfynd/A 12954-2020 artfynd.xlsx", "A 12954-2020")</f>
        <v/>
      </c>
      <c r="T165">
        <f>HYPERLINK("https://klasma.github.io/Logging_2361/kartor/A 12954-2020 karta.png", "A 12954-2020")</f>
        <v/>
      </c>
      <c r="V165">
        <f>HYPERLINK("https://klasma.github.io/Logging_2361/klagomål/A 12954-2020 FSC-klagomål.docx", "A 12954-2020")</f>
        <v/>
      </c>
      <c r="W165">
        <f>HYPERLINK("https://klasma.github.io/Logging_2361/klagomålsmail/A 12954-2020 FSC-klagomål mail.docx", "A 12954-2020")</f>
        <v/>
      </c>
      <c r="X165">
        <f>HYPERLINK("https://klasma.github.io/Logging_2361/tillsyn/A 12954-2020 tillsynsbegäran.docx", "A 12954-2020")</f>
        <v/>
      </c>
      <c r="Y165">
        <f>HYPERLINK("https://klasma.github.io/Logging_2361/tillsynsmail/A 12954-2020 tillsynsbegäran mail.docx", "A 12954-2020")</f>
        <v/>
      </c>
    </row>
    <row r="166" ht="15" customHeight="1">
      <c r="A166" t="inlineStr">
        <is>
          <t>A 34191-2020</t>
        </is>
      </c>
      <c r="B166" s="1" t="n">
        <v>44029</v>
      </c>
      <c r="C166" s="1" t="n">
        <v>45802</v>
      </c>
      <c r="D166" t="inlineStr">
        <is>
          <t>JÄMTLANDS LÄN</t>
        </is>
      </c>
      <c r="E166" t="inlineStr">
        <is>
          <t>HÄRJEDALEN</t>
        </is>
      </c>
      <c r="F166" t="inlineStr">
        <is>
          <t>Holmen skog AB</t>
        </is>
      </c>
      <c r="G166" t="n">
        <v>2.2</v>
      </c>
      <c r="H166" t="n">
        <v>0</v>
      </c>
      <c r="I166" t="n">
        <v>0</v>
      </c>
      <c r="J166" t="n">
        <v>2</v>
      </c>
      <c r="K166" t="n">
        <v>0</v>
      </c>
      <c r="L166" t="n">
        <v>0</v>
      </c>
      <c r="M166" t="n">
        <v>0</v>
      </c>
      <c r="N166" t="n">
        <v>0</v>
      </c>
      <c r="O166" t="n">
        <v>2</v>
      </c>
      <c r="P166" t="n">
        <v>0</v>
      </c>
      <c r="Q166" t="n">
        <v>2</v>
      </c>
      <c r="R166" s="2" t="inlineStr">
        <is>
          <t>Dvärgbägarlav
Lunglav</t>
        </is>
      </c>
      <c r="S166">
        <f>HYPERLINK("https://klasma.github.io/Logging_2361/artfynd/A 34191-2020 artfynd.xlsx", "A 34191-2020")</f>
        <v/>
      </c>
      <c r="T166">
        <f>HYPERLINK("https://klasma.github.io/Logging_2361/kartor/A 34191-2020 karta.png", "A 34191-2020")</f>
        <v/>
      </c>
      <c r="V166">
        <f>HYPERLINK("https://klasma.github.io/Logging_2361/klagomål/A 34191-2020 FSC-klagomål.docx", "A 34191-2020")</f>
        <v/>
      </c>
      <c r="W166">
        <f>HYPERLINK("https://klasma.github.io/Logging_2361/klagomålsmail/A 34191-2020 FSC-klagomål mail.docx", "A 34191-2020")</f>
        <v/>
      </c>
      <c r="X166">
        <f>HYPERLINK("https://klasma.github.io/Logging_2361/tillsyn/A 34191-2020 tillsynsbegäran.docx", "A 34191-2020")</f>
        <v/>
      </c>
      <c r="Y166">
        <f>HYPERLINK("https://klasma.github.io/Logging_2361/tillsynsmail/A 34191-2020 tillsynsbegäran mail.docx", "A 34191-2020")</f>
        <v/>
      </c>
    </row>
    <row r="167" ht="15" customHeight="1">
      <c r="A167" t="inlineStr">
        <is>
          <t>A 35160-2020</t>
        </is>
      </c>
      <c r="B167" s="1" t="n">
        <v>44040</v>
      </c>
      <c r="C167" s="1" t="n">
        <v>45802</v>
      </c>
      <c r="D167" t="inlineStr">
        <is>
          <t>JÄMTLANDS LÄN</t>
        </is>
      </c>
      <c r="E167" t="inlineStr">
        <is>
          <t>HÄRJEDALEN</t>
        </is>
      </c>
      <c r="F167" t="inlineStr">
        <is>
          <t>Bergvik skog väst AB</t>
        </is>
      </c>
      <c r="G167" t="n">
        <v>2.2</v>
      </c>
      <c r="H167" t="n">
        <v>0</v>
      </c>
      <c r="I167" t="n">
        <v>1</v>
      </c>
      <c r="J167" t="n">
        <v>1</v>
      </c>
      <c r="K167" t="n">
        <v>0</v>
      </c>
      <c r="L167" t="n">
        <v>0</v>
      </c>
      <c r="M167" t="n">
        <v>0</v>
      </c>
      <c r="N167" t="n">
        <v>0</v>
      </c>
      <c r="O167" t="n">
        <v>1</v>
      </c>
      <c r="P167" t="n">
        <v>0</v>
      </c>
      <c r="Q167" t="n">
        <v>2</v>
      </c>
      <c r="R167" s="2" t="inlineStr">
        <is>
          <t>Dvärgbägarlav
Dropptaggsvamp</t>
        </is>
      </c>
      <c r="S167">
        <f>HYPERLINK("https://klasma.github.io/Logging_2361/artfynd/A 35160-2020 artfynd.xlsx", "A 35160-2020")</f>
        <v/>
      </c>
      <c r="T167">
        <f>HYPERLINK("https://klasma.github.io/Logging_2361/kartor/A 35160-2020 karta.png", "A 35160-2020")</f>
        <v/>
      </c>
      <c r="V167">
        <f>HYPERLINK("https://klasma.github.io/Logging_2361/klagomål/A 35160-2020 FSC-klagomål.docx", "A 35160-2020")</f>
        <v/>
      </c>
      <c r="W167">
        <f>HYPERLINK("https://klasma.github.io/Logging_2361/klagomålsmail/A 35160-2020 FSC-klagomål mail.docx", "A 35160-2020")</f>
        <v/>
      </c>
      <c r="X167">
        <f>HYPERLINK("https://klasma.github.io/Logging_2361/tillsyn/A 35160-2020 tillsynsbegäran.docx", "A 35160-2020")</f>
        <v/>
      </c>
      <c r="Y167">
        <f>HYPERLINK("https://klasma.github.io/Logging_2361/tillsynsmail/A 35160-2020 tillsynsbegäran mail.docx", "A 35160-2020")</f>
        <v/>
      </c>
    </row>
    <row r="168" ht="15" customHeight="1">
      <c r="A168" t="inlineStr">
        <is>
          <t>A 68856-2020</t>
        </is>
      </c>
      <c r="B168" s="1" t="n">
        <v>44186</v>
      </c>
      <c r="C168" s="1" t="n">
        <v>45802</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68856-2020 artfynd.xlsx", "A 68856-2020")</f>
        <v/>
      </c>
      <c r="T168">
        <f>HYPERLINK("https://klasma.github.io/Logging_2361/kartor/A 68856-2020 karta.png", "A 68856-2020")</f>
        <v/>
      </c>
      <c r="V168">
        <f>HYPERLINK("https://klasma.github.io/Logging_2361/klagomål/A 68856-2020 FSC-klagomål.docx", "A 68856-2020")</f>
        <v/>
      </c>
      <c r="W168">
        <f>HYPERLINK("https://klasma.github.io/Logging_2361/klagomålsmail/A 68856-2020 FSC-klagomål mail.docx", "A 68856-2020")</f>
        <v/>
      </c>
      <c r="X168">
        <f>HYPERLINK("https://klasma.github.io/Logging_2361/tillsyn/A 68856-2020 tillsynsbegäran.docx", "A 68856-2020")</f>
        <v/>
      </c>
      <c r="Y168">
        <f>HYPERLINK("https://klasma.github.io/Logging_2361/tillsynsmail/A 68856-2020 tillsynsbegäran mail.docx", "A 68856-2020")</f>
        <v/>
      </c>
    </row>
    <row r="169" ht="15" customHeight="1">
      <c r="A169" t="inlineStr">
        <is>
          <t>A 3699-2021</t>
        </is>
      </c>
      <c r="B169" s="1" t="n">
        <v>44221</v>
      </c>
      <c r="C169" s="1" t="n">
        <v>45802</v>
      </c>
      <c r="D169" t="inlineStr">
        <is>
          <t>JÄMTLANDS LÄN</t>
        </is>
      </c>
      <c r="E169" t="inlineStr">
        <is>
          <t>HÄRJEDALEN</t>
        </is>
      </c>
      <c r="G169" t="n">
        <v>10.1</v>
      </c>
      <c r="H169" t="n">
        <v>0</v>
      </c>
      <c r="I169" t="n">
        <v>0</v>
      </c>
      <c r="J169" t="n">
        <v>0</v>
      </c>
      <c r="K169" t="n">
        <v>2</v>
      </c>
      <c r="L169" t="n">
        <v>0</v>
      </c>
      <c r="M169" t="n">
        <v>0</v>
      </c>
      <c r="N169" t="n">
        <v>0</v>
      </c>
      <c r="O169" t="n">
        <v>2</v>
      </c>
      <c r="P169" t="n">
        <v>2</v>
      </c>
      <c r="Q169" t="n">
        <v>2</v>
      </c>
      <c r="R169" s="2" t="inlineStr">
        <is>
          <t>Fläckporing
Gräddporing</t>
        </is>
      </c>
      <c r="S169">
        <f>HYPERLINK("https://klasma.github.io/Logging_2361/artfynd/A 3699-2021 artfynd.xlsx", "A 3699-2021")</f>
        <v/>
      </c>
      <c r="T169">
        <f>HYPERLINK("https://klasma.github.io/Logging_2361/kartor/A 3699-2021 karta.png", "A 3699-2021")</f>
        <v/>
      </c>
      <c r="V169">
        <f>HYPERLINK("https://klasma.github.io/Logging_2361/klagomål/A 3699-2021 FSC-klagomål.docx", "A 3699-2021")</f>
        <v/>
      </c>
      <c r="W169">
        <f>HYPERLINK("https://klasma.github.io/Logging_2361/klagomålsmail/A 3699-2021 FSC-klagomål mail.docx", "A 3699-2021")</f>
        <v/>
      </c>
      <c r="X169">
        <f>HYPERLINK("https://klasma.github.io/Logging_2361/tillsyn/A 3699-2021 tillsynsbegäran.docx", "A 3699-2021")</f>
        <v/>
      </c>
      <c r="Y169">
        <f>HYPERLINK("https://klasma.github.io/Logging_2361/tillsynsmail/A 3699-2021 tillsynsbegäran mail.docx", "A 3699-2021")</f>
        <v/>
      </c>
    </row>
    <row r="170" ht="15" customHeight="1">
      <c r="A170" t="inlineStr">
        <is>
          <t>A 15679-2021</t>
        </is>
      </c>
      <c r="B170" s="1" t="n">
        <v>44286</v>
      </c>
      <c r="C170" s="1" t="n">
        <v>45802</v>
      </c>
      <c r="D170" t="inlineStr">
        <is>
          <t>JÄMTLANDS LÄN</t>
        </is>
      </c>
      <c r="E170" t="inlineStr">
        <is>
          <t>HÄRJEDALEN</t>
        </is>
      </c>
      <c r="G170" t="n">
        <v>20.9</v>
      </c>
      <c r="H170" t="n">
        <v>0</v>
      </c>
      <c r="I170" t="n">
        <v>0</v>
      </c>
      <c r="J170" t="n">
        <v>2</v>
      </c>
      <c r="K170" t="n">
        <v>0</v>
      </c>
      <c r="L170" t="n">
        <v>0</v>
      </c>
      <c r="M170" t="n">
        <v>0</v>
      </c>
      <c r="N170" t="n">
        <v>0</v>
      </c>
      <c r="O170" t="n">
        <v>2</v>
      </c>
      <c r="P170" t="n">
        <v>0</v>
      </c>
      <c r="Q170" t="n">
        <v>2</v>
      </c>
      <c r="R170" s="2" t="inlineStr">
        <is>
          <t>Gränsticka
Hornvaxskinn</t>
        </is>
      </c>
      <c r="S170">
        <f>HYPERLINK("https://klasma.github.io/Logging_2361/artfynd/A 15679-2021 artfynd.xlsx", "A 15679-2021")</f>
        <v/>
      </c>
      <c r="T170">
        <f>HYPERLINK("https://klasma.github.io/Logging_2361/kartor/A 15679-2021 karta.png", "A 15679-2021")</f>
        <v/>
      </c>
      <c r="V170">
        <f>HYPERLINK("https://klasma.github.io/Logging_2361/klagomål/A 15679-2021 FSC-klagomål.docx", "A 15679-2021")</f>
        <v/>
      </c>
      <c r="W170">
        <f>HYPERLINK("https://klasma.github.io/Logging_2361/klagomålsmail/A 15679-2021 FSC-klagomål mail.docx", "A 15679-2021")</f>
        <v/>
      </c>
      <c r="X170">
        <f>HYPERLINK("https://klasma.github.io/Logging_2361/tillsyn/A 15679-2021 tillsynsbegäran.docx", "A 15679-2021")</f>
        <v/>
      </c>
      <c r="Y170">
        <f>HYPERLINK("https://klasma.github.io/Logging_2361/tillsynsmail/A 15679-2021 tillsynsbegäran mail.docx", "A 15679-2021")</f>
        <v/>
      </c>
    </row>
    <row r="171" ht="15" customHeight="1">
      <c r="A171" t="inlineStr">
        <is>
          <t>A 33421-2021</t>
        </is>
      </c>
      <c r="B171" s="1" t="n">
        <v>44377</v>
      </c>
      <c r="C171" s="1" t="n">
        <v>45802</v>
      </c>
      <c r="D171" t="inlineStr">
        <is>
          <t>JÄMTLANDS LÄN</t>
        </is>
      </c>
      <c r="E171" t="inlineStr">
        <is>
          <t>HÄRJEDALEN</t>
        </is>
      </c>
      <c r="G171" t="n">
        <v>47.1</v>
      </c>
      <c r="H171" t="n">
        <v>1</v>
      </c>
      <c r="I171" t="n">
        <v>0</v>
      </c>
      <c r="J171" t="n">
        <v>2</v>
      </c>
      <c r="K171" t="n">
        <v>0</v>
      </c>
      <c r="L171" t="n">
        <v>0</v>
      </c>
      <c r="M171" t="n">
        <v>0</v>
      </c>
      <c r="N171" t="n">
        <v>0</v>
      </c>
      <c r="O171" t="n">
        <v>2</v>
      </c>
      <c r="P171" t="n">
        <v>0</v>
      </c>
      <c r="Q171" t="n">
        <v>2</v>
      </c>
      <c r="R171" s="2" t="inlineStr">
        <is>
          <t>Gultoppig fingersvamp
Talltita</t>
        </is>
      </c>
      <c r="S171">
        <f>HYPERLINK("https://klasma.github.io/Logging_2361/artfynd/A 33421-2021 artfynd.xlsx", "A 33421-2021")</f>
        <v/>
      </c>
      <c r="T171">
        <f>HYPERLINK("https://klasma.github.io/Logging_2361/kartor/A 33421-2021 karta.png", "A 33421-2021")</f>
        <v/>
      </c>
      <c r="V171">
        <f>HYPERLINK("https://klasma.github.io/Logging_2361/klagomål/A 33421-2021 FSC-klagomål.docx", "A 33421-2021")</f>
        <v/>
      </c>
      <c r="W171">
        <f>HYPERLINK("https://klasma.github.io/Logging_2361/klagomålsmail/A 33421-2021 FSC-klagomål mail.docx", "A 33421-2021")</f>
        <v/>
      </c>
      <c r="X171">
        <f>HYPERLINK("https://klasma.github.io/Logging_2361/tillsyn/A 33421-2021 tillsynsbegäran.docx", "A 33421-2021")</f>
        <v/>
      </c>
      <c r="Y171">
        <f>HYPERLINK("https://klasma.github.io/Logging_2361/tillsynsmail/A 33421-2021 tillsynsbegäran mail.docx", "A 33421-2021")</f>
        <v/>
      </c>
      <c r="Z171">
        <f>HYPERLINK("https://klasma.github.io/Logging_2361/fåglar/A 33421-2021 prioriterade fågelarter.docx", "A 33421-2021")</f>
        <v/>
      </c>
    </row>
    <row r="172" ht="15" customHeight="1">
      <c r="A172" t="inlineStr">
        <is>
          <t>A 48065-2021</t>
        </is>
      </c>
      <c r="B172" s="1" t="n">
        <v>44449</v>
      </c>
      <c r="C172" s="1" t="n">
        <v>45802</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45802</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45802</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45802</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45802</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45802</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45802</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45802</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45802</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45802</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45802</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45802</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45802</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45802</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45802</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45802</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45802</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45802</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45802</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45802</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45802</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45802</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45802</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45802</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45802</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45802</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45802</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45802</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45802</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45802</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22511-2025</t>
        </is>
      </c>
      <c r="B202" s="1" t="n">
        <v>45786</v>
      </c>
      <c r="C202" s="1" t="n">
        <v>45802</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22511-2025 artfynd.xlsx", "A 22511-2025")</f>
        <v/>
      </c>
      <c r="T202">
        <f>HYPERLINK("https://klasma.github.io/Logging_232361/kartor/A 22511-2025 karta.png", "A 22511-2025")</f>
        <v/>
      </c>
      <c r="V202">
        <f>HYPERLINK("https://klasma.github.io/Logging_232361/klagomål/A 22511-2025 FSC-klagomål.docx", "A 22511-2025")</f>
        <v/>
      </c>
      <c r="W202">
        <f>HYPERLINK("https://klasma.github.io/Logging_232361/klagomålsmail/A 22511-2025 FSC-klagomål mail.docx", "A 22511-2025")</f>
        <v/>
      </c>
      <c r="X202">
        <f>HYPERLINK("https://klasma.github.io/Logging_232361/tillsyn/A 22511-2025 tillsynsbegäran.docx", "A 22511-2025")</f>
        <v/>
      </c>
      <c r="Y202">
        <f>HYPERLINK("https://klasma.github.io/Logging_232361/tillsynsmail/A 22511-2025 tillsynsbegäran mail.docx", "A 22511-2025")</f>
        <v/>
      </c>
    </row>
    <row r="203" ht="15" customHeight="1">
      <c r="A203" t="inlineStr">
        <is>
          <t>A 22513-2025</t>
        </is>
      </c>
      <c r="B203" s="1" t="n">
        <v>45786</v>
      </c>
      <c r="C203" s="1" t="n">
        <v>45802</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22513-2025 artfynd.xlsx", "A 22513-2025")</f>
        <v/>
      </c>
      <c r="T203">
        <f>HYPERLINK("https://klasma.github.io/Logging_232361/kartor/A 22513-2025 karta.png", "A 22513-2025")</f>
        <v/>
      </c>
      <c r="V203">
        <f>HYPERLINK("https://klasma.github.io/Logging_232361/klagomål/A 22513-2025 FSC-klagomål.docx", "A 22513-2025")</f>
        <v/>
      </c>
      <c r="W203">
        <f>HYPERLINK("https://klasma.github.io/Logging_232361/klagomålsmail/A 22513-2025 FSC-klagomål mail.docx", "A 22513-2025")</f>
        <v/>
      </c>
      <c r="X203">
        <f>HYPERLINK("https://klasma.github.io/Logging_232361/tillsyn/A 22513-2025 tillsynsbegäran.docx", "A 22513-2025")</f>
        <v/>
      </c>
      <c r="Y203">
        <f>HYPERLINK("https://klasma.github.io/Logging_232361/tillsynsmail/A 22513-2025 tillsynsbegäran mail.docx", "A 22513-2025")</f>
        <v/>
      </c>
    </row>
    <row r="204" ht="15" customHeight="1">
      <c r="A204" t="inlineStr">
        <is>
          <t>A 22508-2025</t>
        </is>
      </c>
      <c r="B204" s="1" t="n">
        <v>45786</v>
      </c>
      <c r="C204" s="1" t="n">
        <v>45802</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22508-2025 artfynd.xlsx", "A 22508-2025")</f>
        <v/>
      </c>
      <c r="T204">
        <f>HYPERLINK("https://klasma.github.io/Logging_232361/kartor/A 22508-2025 karta.png", "A 22508-2025")</f>
        <v/>
      </c>
      <c r="V204">
        <f>HYPERLINK("https://klasma.github.io/Logging_232361/klagomål/A 22508-2025 FSC-klagomål.docx", "A 22508-2025")</f>
        <v/>
      </c>
      <c r="W204">
        <f>HYPERLINK("https://klasma.github.io/Logging_232361/klagomålsmail/A 22508-2025 FSC-klagomål mail.docx", "A 22508-2025")</f>
        <v/>
      </c>
      <c r="X204">
        <f>HYPERLINK("https://klasma.github.io/Logging_232361/tillsyn/A 22508-2025 tillsynsbegäran.docx", "A 22508-2025")</f>
        <v/>
      </c>
      <c r="Y204">
        <f>HYPERLINK("https://klasma.github.io/Logging_232361/tillsynsmail/A 22508-2025 tillsynsbegäran mail.docx", "A 22508-2025")</f>
        <v/>
      </c>
    </row>
    <row r="205" ht="15" customHeight="1">
      <c r="A205" t="inlineStr">
        <is>
          <t>A 22512-2025</t>
        </is>
      </c>
      <c r="B205" s="1" t="n">
        <v>45786</v>
      </c>
      <c r="C205" s="1" t="n">
        <v>45802</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22494-2025</t>
        </is>
      </c>
      <c r="B206" s="1" t="n">
        <v>45786</v>
      </c>
      <c r="C206" s="1" t="n">
        <v>45802</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22494-2025 artfynd.xlsx", "A 22494-2025")</f>
        <v/>
      </c>
      <c r="T206">
        <f>HYPERLINK("https://klasma.github.io/Logging_232361/kartor/A 22494-2025 karta.png", "A 22494-2025")</f>
        <v/>
      </c>
      <c r="V206">
        <f>HYPERLINK("https://klasma.github.io/Logging_232361/klagomål/A 22494-2025 FSC-klagomål.docx", "A 22494-2025")</f>
        <v/>
      </c>
      <c r="W206">
        <f>HYPERLINK("https://klasma.github.io/Logging_232361/klagomålsmail/A 22494-2025 FSC-klagomål mail.docx", "A 22494-2025")</f>
        <v/>
      </c>
      <c r="X206">
        <f>HYPERLINK("https://klasma.github.io/Logging_232361/tillsyn/A 22494-2025 tillsynsbegäran.docx", "A 22494-2025")</f>
        <v/>
      </c>
      <c r="Y206">
        <f>HYPERLINK("https://klasma.github.io/Logging_232361/tillsynsmail/A 22494-2025 tillsynsbegäran mail.docx", "A 22494-2025")</f>
        <v/>
      </c>
    </row>
    <row r="207" ht="15" customHeight="1">
      <c r="A207" t="inlineStr">
        <is>
          <t>A 22501-2025</t>
        </is>
      </c>
      <c r="B207" s="1" t="n">
        <v>45786</v>
      </c>
      <c r="C207" s="1" t="n">
        <v>45802</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22501-2025 artfynd.xlsx", "A 22501-2025")</f>
        <v/>
      </c>
      <c r="T207">
        <f>HYPERLINK("https://klasma.github.io/Logging_232361/kartor/A 22501-2025 karta.png", "A 22501-2025")</f>
        <v/>
      </c>
      <c r="V207">
        <f>HYPERLINK("https://klasma.github.io/Logging_232361/klagomål/A 22501-2025 FSC-klagomål.docx", "A 22501-2025")</f>
        <v/>
      </c>
      <c r="W207">
        <f>HYPERLINK("https://klasma.github.io/Logging_232361/klagomålsmail/A 22501-2025 FSC-klagomål mail.docx", "A 22501-2025")</f>
        <v/>
      </c>
      <c r="X207">
        <f>HYPERLINK("https://klasma.github.io/Logging_232361/tillsyn/A 22501-2025 tillsynsbegäran.docx", "A 22501-2025")</f>
        <v/>
      </c>
      <c r="Y207">
        <f>HYPERLINK("https://klasma.github.io/Logging_232361/tillsynsmail/A 22501-2025 tillsynsbegäran mail.docx", "A 22501-2025")</f>
        <v/>
      </c>
    </row>
    <row r="208" ht="15" customHeight="1">
      <c r="A208" t="inlineStr">
        <is>
          <t>A 45781-2019</t>
        </is>
      </c>
      <c r="B208" s="1" t="n">
        <v>43717</v>
      </c>
      <c r="C208" s="1" t="n">
        <v>45802</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45802</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45802</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45802</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45802</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45802</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45802</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45802</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45802</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45802</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45802</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45802</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45802</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45802</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45802</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45802</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45802</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45802</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45802</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45802</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45802</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45802</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45802</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45802</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45802</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45802</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45802</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45802</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45802</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45802</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45802</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45802</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45802</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45802</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45802</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45802</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45802</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45802</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45802</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45802</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45802</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45802</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45802</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45802</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45802</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45802</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45802</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45802</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45802</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45802</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45802</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45802</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45802</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45802</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45802</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45802</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45802</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45802</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45802</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45802</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45802</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45802</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45802</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45802</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45802</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45802</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45802</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45802</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45802</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45802</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45802</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45802</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45802</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45802</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45802</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45802</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45802</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45802</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45802</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45802</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45802</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45802</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45802</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45802</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45802</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45802</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45802</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45802</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45802</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45802</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45802</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45802</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45802</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45802</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45802</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45802</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45802</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45802</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45802</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45802</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45802</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45802</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45802</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45802</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45802</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45802</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45802</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45802</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45802</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45802</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45802</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45802</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45802</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45802</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45802</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45802</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45802</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45802</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45802</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45802</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45802</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45802</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45802</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45802</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45802</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45802</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45802</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45802</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45802</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45802</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45802</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45802</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45802</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45802</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45802</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45802</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45802</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45802</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45802</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45802</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45802</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45802</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45802</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45802</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45802</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45802</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45802</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45802</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45802</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45802</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45802</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45802</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45802</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45802</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45802</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45802</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45802</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45802</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45802</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45802</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45802</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45802</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45802</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45802</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45802</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45802</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45802</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45802</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45802</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45802</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45802</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45802</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45802</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45802</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45802</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45802</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45802</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45802</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45802</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45802</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45802</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45802</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45802</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45802</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45802</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45802</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45802</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45802</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45802</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45802</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45802</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45802</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45802</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45802</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45802</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45802</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45802</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45802</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45802</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45802</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45802</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45802</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45802</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45802</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45802</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45802</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45802</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45802</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45802</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45802</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45802</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45802</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45802</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45802</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45802</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45802</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45802</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45802</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45802</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45802</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45802</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45802</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45802</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45802</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45802</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45802</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45802</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45802</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45802</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45802</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45802</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45802</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45802</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45802</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45802</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45802</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45802</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45802</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45802</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45802</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45802</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45802</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45802</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45802</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45802</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45802</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45802</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45802</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45802</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45802</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45802</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45802</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45802</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45802</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45802</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45802</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45802</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45802</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45802</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45802</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45802</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45802</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45802</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45802</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45802</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45802</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45802</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45802</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45802</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45802</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45802</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45802</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45802</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45802</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45802</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45802</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45802</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45802</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45802</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45802</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45802</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45802</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45802</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45802</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45802</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45802</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45802</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45802</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45802</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45802</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45802</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45802</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45802</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45802</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45802</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45802</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45802</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45802</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45802</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45802</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45802</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45802</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45802</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45802</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45802</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45802</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45802</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45802</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45802</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45802</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45802</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45802</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45802</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45802</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45802</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45802</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45802</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45802</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45802</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45802</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45802</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45802</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45802</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45802</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45802</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45802</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45802</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45802</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45802</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45802</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45802</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45802</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45802</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45802</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45802</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45802</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45802</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45802</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45802</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45802</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45802</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45802</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45802</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45802</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45802</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45802</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45802</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45802</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45802</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45802</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45802</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45802</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45802</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45802</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45802</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45802</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45802</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45802</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45802</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45802</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45802</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45802</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45802</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45802</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45802</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45802</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45802</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45802</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45802</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45802</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45802</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45802</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45802</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45802</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45802</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45802</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45802</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45802</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45802</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45802</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45802</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45802</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45802</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45802</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45802</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45802</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45802</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45802</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45802</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45802</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45802</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45802</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45802</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45802</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45802</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45802</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45802</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45802</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45802</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45802</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45802</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45802</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45802</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45802</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45802</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45802</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45802</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45802</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45802</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45802</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45802</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45802</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45802</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45802</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45802</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45802</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45802</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45802</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45802</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45802</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45802</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45802</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45802</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45802</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45802</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45802</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45802</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45802</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45802</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45802</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45802</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45802</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45802</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45802</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45802</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45802</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45802</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45802</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45802</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45802</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45802</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45802</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45802</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45802</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45802</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45802</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45802</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45802</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45802</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45802</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45802</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45802</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45802</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45802</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45802</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45802</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45802</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45802</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45802</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45802</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45802</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45802</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45802</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45802</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45802</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45802</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45802</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45802</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45802</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45802</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45802</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45802</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45802</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45802</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45802</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45802</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45802</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45802</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45802</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45802</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45802</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45802</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45802</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45802</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45802</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45802</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45802</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45802</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45802</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45802</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45802</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45802</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45802</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45802</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45802</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45802</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45802</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45802</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45802</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45802</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45802</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45802</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45802</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45802</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45802</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45802</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45802</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45802</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45802</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45802</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45802</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45802</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45802</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45802</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45802</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45802</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45802</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45802</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45802</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45802</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45802</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45802</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45802</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45802</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45802</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45802</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45802</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45802</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45802</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45802</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45802</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45802</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45802</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45802</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45802</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45802</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45802</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45802</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45802</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45802</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45802</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45802</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45802</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45802</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45802</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45802</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45802</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45802</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45802</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45802</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45802</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45802</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45802</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45802</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45802</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45802</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45802</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45802</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45802</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45802</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45802</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45802</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45802</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45802</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45802</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45802</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45802</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45802</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45802</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45802</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45802</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45802</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45802</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45802</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45802</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45802</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45802</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45802</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45802</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45802</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45802</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45802</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45802</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45802</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45802</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45802</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45802</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45802</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45802</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45802</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45802</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45802</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45802</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45802</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45802</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45802</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45802</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45802</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45802</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45802</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45802</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45802</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45802</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45802</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45802</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45802</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45802</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45802</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45802</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45802</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45802</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45802</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45802</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45802</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45802</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45802</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45802</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45802</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45802</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45802</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45802</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45802</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45802</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45802</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45802</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45802</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45802</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45802</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45802</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45802</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45802</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45802</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45802</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45802</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45802</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45802</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45802</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45802</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45802</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45802</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45802</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45802</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45802</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45802</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45802</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45802</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45802</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45802</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45802</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45802</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45802</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45802</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45802</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45802</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45802</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45802</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45802</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45802</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45802</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45802</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45802</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45802</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45802</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45802</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45802</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45802</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45802</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45802</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45802</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45802</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45802</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45802</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45802</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45802</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45802</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45802</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45802</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45802</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45802</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45802</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45802</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45802</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45802</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45802</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45802</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45802</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45802</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45802</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45802</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45802</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45802</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45802</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45802</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45802</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45802</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45802</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45802</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45802</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45802</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45802</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45802</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45802</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45802</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45802</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45802</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45802</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45802</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45802</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45802</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45802</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45802</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45802</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45802</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45802</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45802</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45802</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45802</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45802</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45802</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45802</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45802</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45802</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45802</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45802</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45802</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45802</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45802</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45802</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45802</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45802</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45802</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45802</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45802</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45802</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45802</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45802</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45802</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45802</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45802</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45802</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45802</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45802</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45802</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45802</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45802</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45802</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45802</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45802</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45802</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45802</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45802</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45802</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45802</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45802</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45802</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45802</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45802</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45802</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45802</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45802</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45802</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45802</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45802</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45802</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45802</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45802</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45802</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45802</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45802</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45802</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45802</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45802</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45802</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45802</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45802</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45802</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45802</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45802</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45802</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45802</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45802</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45802</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45802</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45802</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45802</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45802</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45802</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45802</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45802</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45802</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45802</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45802</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45802</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45802</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45802</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45802</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45802</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45802</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45802</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45802</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45802</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45802</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45802</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45802</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45802</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45802</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45802</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45802</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45802</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45802</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45802</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45802</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45802</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45802</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45802</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45802</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45802</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45802</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45802</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45802</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45802</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45802</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45802</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45802</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45802</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45802</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45802</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45802</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45802</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45802</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45802</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45802</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45802</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45802</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45802</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45802</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45802</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45802</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45802</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45802</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45802</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45802</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45802</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45802</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45802</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45802</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45802</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45802</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45802</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45802</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45802</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45802</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45802</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45802</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45802</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45802</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45802</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45802</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45802</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45802</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45802</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45802</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45802</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45802</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45802</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45802</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45802</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45802</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45802</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45802</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45802</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45802</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45802</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45802</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45802</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45802</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45802</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45802</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45802</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45802</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45802</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45802</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45802</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45802</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45802</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45802</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45802</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45802</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45802</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45802</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45802</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45802</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45802</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45802</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45802</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45802</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45802</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45802</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45802</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45802</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45802</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45802</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45802</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45802</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45802</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45802</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45802</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45802</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45802</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45802</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45802</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45802</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45802</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45802</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45802</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45802</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45802</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45802</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45802</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45802</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45802</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45802</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45802</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45802</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45802</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45802</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45802</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45802</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45802</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45802</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45802</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45802</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45802</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45802</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45802</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45802</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45802</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45802</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45802</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45802</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45802</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45802</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45802</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45802</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45802</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45802</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45802</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45802</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45802</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45802</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45802</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45802</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45802</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45802</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45802</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45802</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45802</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45802</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45802</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45802</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45802</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45802</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45802</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45802</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45802</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45802</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45802</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45802</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45802</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45802</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45802</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45802</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45802</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45802</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45802</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45802</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45802</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45802</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45802</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45802</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45802</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45802</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45802</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45802</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45802</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45802</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45802</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45802</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45802</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45802</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45802</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45802</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45802</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45802</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45802</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45802</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45802</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45802</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45802</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45802</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45802</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45802</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45802</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45802</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45802</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45802</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45802</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45802</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45802</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45802</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45802</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45802</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45802</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45802</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45802</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45802</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45802</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45802</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45802</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45802</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45802</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45802</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45802</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45802</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45802</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45802</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45802</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45802</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45802</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45802</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45802</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45802</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45802</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45802</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45802</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45802</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45802</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45802</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45802</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45802</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45802</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45802</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45802</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45802</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45802</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45802</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45802</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45802</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45802</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45802</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45802</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45802</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45802</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45802</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45802</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45802</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45802</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45802</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45802</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45802</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45802</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45802</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45802</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45802</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45802</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45802</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45802</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45802</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45802</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45802</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45802</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45802</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45802</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45802</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45802</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45802</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45802</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45802</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45802</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45802</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45802</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45802</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45802</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45802</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45802</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45802</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45802</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45802</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45802</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45802</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45802</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45802</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45802</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45802</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45802</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45802</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45802</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45802</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45802</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45802</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45802</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45802</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45802</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45802</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45802</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45802</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45802</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45802</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45802</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45802</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45802</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45802</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45802</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45802</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45802</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45802</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45802</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45802</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45802</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45802</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45802</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45802</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45802</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45802</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45802</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45802</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45802</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45802</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45802</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45802</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45802</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45802</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45802</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45802</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45802</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45802</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45802</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45802</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45802</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45802</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45802</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45802</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45802</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45802</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45802</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45802</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45802</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45802</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45802</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45802</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45802</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45802</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45802</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45802</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45802</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45802</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45802</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45802</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45802</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45802</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45802</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45802</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45802</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45802</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45802</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45802</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45802</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45802</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45802</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45802</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45802</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45802</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45802</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45802</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45802</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45802</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45802</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45802</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45802</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45802</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45802</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45802</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45802</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45802</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45802</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45802</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45802</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45802</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45802</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45802</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45802</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45802</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45802</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45802</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45802</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45802</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45802</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45802</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45802</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45802</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45802</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45802</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45802</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45802</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45802</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45802</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45802</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45802</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45802</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45802</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45802</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45802</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45802</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45802</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45802</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45802</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45802</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45802</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45802</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45802</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45802</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45802</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45802</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45802</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45802</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45802</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45802</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45802</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45802</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45802</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45802</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45802</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45802</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45802</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45802</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45802</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45802</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45802</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45802</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45802</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45802</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45802</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45802</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45802</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45802</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45802</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45802</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45802</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45802</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45802</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45802</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45802</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45802</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45802</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45802</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45802</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45802</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45802</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45802</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45802</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45802</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45802</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45802</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45802</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45802</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45802</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45802</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45802</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45802</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45802</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45802</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45802</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45802</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45802</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45802</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45802</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45802</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45802</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45802</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45802</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45802</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45802</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45802</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45802</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45802</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45802</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45802</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45802</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45802</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45802</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45802</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45802</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45802</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45802</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45802</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45802</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45802</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45802</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45802</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45802</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45802</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45802</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45802</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45802</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45802</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45802</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45802</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45802</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45802</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45802</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45802</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45802</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45802</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45802</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45802</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45802</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45802</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45802</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45802</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45802</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45802</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45802</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45802</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45802</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45802</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45802</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45802</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45802</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45802</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45802</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45802</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45802</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45802</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45802</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45802</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45802</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45802</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45802</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45802</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45802</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45802</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45802</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45802</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45802</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45802</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45802</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45802</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45802</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45802</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45802</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45802</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45802</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45802</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45802</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45802</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45802</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45802</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45802</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45802</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45802</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45802</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45802</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45802</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45802</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45802</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45802</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45802</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45802</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45802</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45802</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45802</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45802</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45802</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45802</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45802</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45802</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45802</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45802</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45802</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45802</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45802</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45802</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45802</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45802</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45802</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45802</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45802</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45802</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45802</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45802</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45802</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45802</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45802</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45802</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45802</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45802</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45802</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45802</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45802</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45802</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45802</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45802</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45802</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45802</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45802</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45802</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45802</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45802</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45802</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45802</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45802</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45802</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45802</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45802</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45802</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45802</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45802</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45802</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45802</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45802</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45802</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45802</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45802</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45802</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45802</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45802</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45802</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45802</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45802</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45802</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45802</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45802</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45802</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45802</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45802</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45802</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45802</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45802</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45802</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45802</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45802</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45802</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45802</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45802</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45802</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45802</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45802</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45802</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45802</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45802</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45802</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45802</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45802</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45802</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45802</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45802</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45802</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45802</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45802</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45802</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45802</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45802</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45802</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45802</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45802</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45802</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45802</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45802</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45802</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45802</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45802</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45802</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45802</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45802</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45802</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45802</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45802</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45802</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45802</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45802</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45802</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45802</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45802</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45802</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45802</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45802</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45802</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45802</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45802</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45802</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45802</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45802</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45802</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45802</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45802</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45802</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45802</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45802</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45802</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45802</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45802</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45802</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45802</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45802</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45802</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45802</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45802</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45802</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45802</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45802</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45802</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45802</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45802</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45802</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45802</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45802</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45802</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45802</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45802</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45802</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45802</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45802</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45802</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45802</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45802</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45802</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45802</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45802</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45802</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45802</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45802</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45802</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45802</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45802</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45802</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45802</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45802</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45802</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45802</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45802</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45802</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45802</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45802</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45802</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45802</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45802</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45802</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45802</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45802</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45802</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45802</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45802</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45802</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45802</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45802</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45802</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45802</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45802</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45802</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45802</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45802</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45802</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45802</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45802</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45802</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45802</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45802</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45802</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45802</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45802</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45802</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45802</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45802</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45802</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45802</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45802</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45802</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45802</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45802</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45802</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45802</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45802</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45802</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45802</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45802</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45802</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45802</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45802</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45802</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45802</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45802</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45802</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45802</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45802</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45802</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45802</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45802</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45802</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45802</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45802</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45802</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45802</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45802</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45802</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45802</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45802</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45802</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45802</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45802</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45802</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45802</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45802</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45802</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45802</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45802</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45802</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45802</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45802</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45802</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45802</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45802</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45802</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45802</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45802</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45802</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45802</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45802</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45802</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45802</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45802</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45802</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45802</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45802</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45802</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45802</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45802</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45802</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45802</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45802</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45802</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45802</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45802</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45802</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45802</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45802</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45802</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45802</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45802</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45802</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45802</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45802</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45802</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45802</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45802</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45802</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45802</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45802</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45802</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45802</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45802</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45802</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45802</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45802</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45802</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45802</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45802</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45802</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45802</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45802</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45802</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45802</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45802</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45802</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45802</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45802</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45802</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45802</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45802</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45802</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45802</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45802</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45802</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45802</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45802</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45802</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45802</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45802</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45802</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45802</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45802</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45802</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45802</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45802</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45802</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45802</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45802</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45802</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45802</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45802</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45802</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45802</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45802</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45802</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45802</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45802</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45802</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45802</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45802</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45802</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45802</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45802</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45802</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45802</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45802</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45802</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45802</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45802</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45802</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45802</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45802</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45802</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45802</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45802</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45802</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45802</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45802</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45802</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45802</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45802</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45802</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45802</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45802</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45802</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45802</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20817-2025</t>
        </is>
      </c>
      <c r="B1942" s="1" t="n">
        <v>45776</v>
      </c>
      <c r="C1942" s="1" t="n">
        <v>45802</v>
      </c>
      <c r="D1942" t="inlineStr">
        <is>
          <t>JÄMTLANDS LÄN</t>
        </is>
      </c>
      <c r="E1942" t="inlineStr">
        <is>
          <t>HÄRJEDALEN</t>
        </is>
      </c>
      <c r="G1942" t="n">
        <v>26.4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45802</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21201-2025</t>
        </is>
      </c>
      <c r="B1944" s="1" t="n">
        <v>45779</v>
      </c>
      <c r="C1944" s="1" t="n">
        <v>45802</v>
      </c>
      <c r="D1944" t="inlineStr">
        <is>
          <t>JÄMTLANDS LÄN</t>
        </is>
      </c>
      <c r="E1944" t="inlineStr">
        <is>
          <t>HÄRJEDALEN</t>
        </is>
      </c>
      <c r="F1944" t="inlineStr">
        <is>
          <t>Holmen skog AB</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21223-2025</t>
        </is>
      </c>
      <c r="B1945" s="1" t="n">
        <v>45779</v>
      </c>
      <c r="C1945" s="1" t="n">
        <v>45802</v>
      </c>
      <c r="D1945" t="inlineStr">
        <is>
          <t>JÄMTLANDS LÄN</t>
        </is>
      </c>
      <c r="E1945" t="inlineStr">
        <is>
          <t>HÄRJEDALEN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21225-2025</t>
        </is>
      </c>
      <c r="B1946" s="1" t="n">
        <v>45779</v>
      </c>
      <c r="C1946" s="1" t="n">
        <v>45802</v>
      </c>
      <c r="D1946" t="inlineStr">
        <is>
          <t>JÄMTLANDS LÄN</t>
        </is>
      </c>
      <c r="E1946" t="inlineStr">
        <is>
          <t>HÄRJEDALEN</t>
        </is>
      </c>
      <c r="F1946" t="inlineStr">
        <is>
          <t>Holmen skog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21208-2025</t>
        </is>
      </c>
      <c r="B1947" s="1" t="n">
        <v>45779</v>
      </c>
      <c r="C1947" s="1" t="n">
        <v>45802</v>
      </c>
      <c r="D1947" t="inlineStr">
        <is>
          <t>JÄMTLANDS LÄN</t>
        </is>
      </c>
      <c r="E1947" t="inlineStr">
        <is>
          <t>HÄRJEDALEN</t>
        </is>
      </c>
      <c r="F1947" t="inlineStr">
        <is>
          <t>Holmen skog AB</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45802</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21226-2025</t>
        </is>
      </c>
      <c r="B1949" s="1" t="n">
        <v>45779</v>
      </c>
      <c r="C1949" s="1" t="n">
        <v>45802</v>
      </c>
      <c r="D1949" t="inlineStr">
        <is>
          <t>JÄMTLANDS LÄN</t>
        </is>
      </c>
      <c r="E1949" t="inlineStr">
        <is>
          <t>HÄRJEDALEN</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21227-2025</t>
        </is>
      </c>
      <c r="B1950" s="1" t="n">
        <v>45779</v>
      </c>
      <c r="C1950" s="1" t="n">
        <v>45802</v>
      </c>
      <c r="D1950" t="inlineStr">
        <is>
          <t>JÄMTLANDS LÄN</t>
        </is>
      </c>
      <c r="E1950" t="inlineStr">
        <is>
          <t>HÄRJEDALEN</t>
        </is>
      </c>
      <c r="F1950" t="inlineStr">
        <is>
          <t>Holmen skog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21221-2025</t>
        </is>
      </c>
      <c r="B1951" s="1" t="n">
        <v>45779</v>
      </c>
      <c r="C1951" s="1" t="n">
        <v>45802</v>
      </c>
      <c r="D1951" t="inlineStr">
        <is>
          <t>JÄMTLANDS LÄN</t>
        </is>
      </c>
      <c r="E1951" t="inlineStr">
        <is>
          <t>HÄRJEDALEN</t>
        </is>
      </c>
      <c r="F1951" t="inlineStr">
        <is>
          <t>Holmen skog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45802</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45802</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45802</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45802</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45802</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22040-2025</t>
        </is>
      </c>
      <c r="B1957" s="1" t="n">
        <v>45785</v>
      </c>
      <c r="C1957" s="1" t="n">
        <v>45802</v>
      </c>
      <c r="D1957" t="inlineStr">
        <is>
          <t>JÄMTLANDS LÄN</t>
        </is>
      </c>
      <c r="E1957" t="inlineStr">
        <is>
          <t>HÄRJEDALEN</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22222-2025</t>
        </is>
      </c>
      <c r="B1958" s="1" t="n">
        <v>45785</v>
      </c>
      <c r="C1958" s="1" t="n">
        <v>45802</v>
      </c>
      <c r="D1958" t="inlineStr">
        <is>
          <t>JÄMTLANDS LÄN</t>
        </is>
      </c>
      <c r="E1958" t="inlineStr">
        <is>
          <t>HÄRJEDALEN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45802</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45802</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45802</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45802</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45802</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45802</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45802</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45802</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45802</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45802</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45802</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45802</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45802</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45802</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45802</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24844-2025</t>
        </is>
      </c>
      <c r="B1974" s="1" t="n">
        <v>45799</v>
      </c>
      <c r="C1974" s="1" t="n">
        <v>45802</v>
      </c>
      <c r="D1974" t="inlineStr">
        <is>
          <t>JÄMTLANDS LÄN</t>
        </is>
      </c>
      <c r="E1974" t="inlineStr">
        <is>
          <t>HÄRJEDALEN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24842-2025</t>
        </is>
      </c>
      <c r="B1975" s="1" t="n">
        <v>45799</v>
      </c>
      <c r="C1975" s="1" t="n">
        <v>45802</v>
      </c>
      <c r="D1975" t="inlineStr">
        <is>
          <t>JÄMTLANDS LÄN</t>
        </is>
      </c>
      <c r="E1975" t="inlineStr">
        <is>
          <t>HÄRJEDALEN</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24853-2025</t>
        </is>
      </c>
      <c r="B1976" s="1" t="n">
        <v>45799</v>
      </c>
      <c r="C1976" s="1" t="n">
        <v>45802</v>
      </c>
      <c r="D1976" t="inlineStr">
        <is>
          <t>JÄMTLANDS LÄN</t>
        </is>
      </c>
      <c r="E1976" t="inlineStr">
        <is>
          <t>HÄRJEDALEN</t>
        </is>
      </c>
      <c r="F1976" t="inlineStr">
        <is>
          <t>Holmen skog AB</t>
        </is>
      </c>
      <c r="G1976" t="n">
        <v>57.7</v>
      </c>
      <c r="H1976" t="n">
        <v>0</v>
      </c>
      <c r="I1976" t="n">
        <v>0</v>
      </c>
      <c r="J1976" t="n">
        <v>0</v>
      </c>
      <c r="K1976" t="n">
        <v>0</v>
      </c>
      <c r="L1976" t="n">
        <v>0</v>
      </c>
      <c r="M1976" t="n">
        <v>0</v>
      </c>
      <c r="N1976" t="n">
        <v>0</v>
      </c>
      <c r="O1976" t="n">
        <v>0</v>
      </c>
      <c r="P1976" t="n">
        <v>0</v>
      </c>
      <c r="Q1976" t="n">
        <v>0</v>
      </c>
      <c r="R1976" s="2" t="inlineStr"/>
    </row>
    <row r="1977" ht="15" customHeight="1">
      <c r="A1977" t="inlineStr">
        <is>
          <t>A 24791-2025</t>
        </is>
      </c>
      <c r="B1977" s="1" t="n">
        <v>45799</v>
      </c>
      <c r="C1977" s="1" t="n">
        <v>45802</v>
      </c>
      <c r="D1977" t="inlineStr">
        <is>
          <t>JÄMTLANDS LÄN</t>
        </is>
      </c>
      <c r="E1977" t="inlineStr">
        <is>
          <t>HÄRJEDALEN</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24796-2025</t>
        </is>
      </c>
      <c r="B1978" s="1" t="n">
        <v>45799</v>
      </c>
      <c r="C1978" s="1" t="n">
        <v>45802</v>
      </c>
      <c r="D1978" t="inlineStr">
        <is>
          <t>JÄMTLANDS LÄN</t>
        </is>
      </c>
      <c r="E1978" t="inlineStr">
        <is>
          <t>HÄRJEDALEN</t>
        </is>
      </c>
      <c r="F1978" t="inlineStr">
        <is>
          <t>Holmen skog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45802</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45802</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45802</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25123-2025</t>
        </is>
      </c>
      <c r="B1982" s="1" t="n">
        <v>45800</v>
      </c>
      <c r="C1982" s="1" t="n">
        <v>45802</v>
      </c>
      <c r="D1982" t="inlineStr">
        <is>
          <t>JÄMTLANDS LÄN</t>
        </is>
      </c>
      <c r="E1982" t="inlineStr">
        <is>
          <t>HÄRJEDALEN</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25127-2025</t>
        </is>
      </c>
      <c r="B1983" s="1" t="n">
        <v>45800</v>
      </c>
      <c r="C1983" s="1" t="n">
        <v>45802</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25232-2025</t>
        </is>
      </c>
      <c r="B1984" s="1" t="n">
        <v>45800</v>
      </c>
      <c r="C1984" s="1" t="n">
        <v>45802</v>
      </c>
      <c r="D1984" t="inlineStr">
        <is>
          <t>JÄMTLANDS LÄN</t>
        </is>
      </c>
      <c r="E1984" t="inlineStr">
        <is>
          <t>HÄRJEDALEN</t>
        </is>
      </c>
      <c r="F1984" t="inlineStr">
        <is>
          <t>Holmen skog AB</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25223-2025</t>
        </is>
      </c>
      <c r="B1985" s="1" t="n">
        <v>45800</v>
      </c>
      <c r="C1985" s="1" t="n">
        <v>45802</v>
      </c>
      <c r="D1985" t="inlineStr">
        <is>
          <t>JÄMTLANDS LÄN</t>
        </is>
      </c>
      <c r="E1985" t="inlineStr">
        <is>
          <t>HÄRJEDALEN</t>
        </is>
      </c>
      <c r="F1985" t="inlineStr">
        <is>
          <t>Holmen skog AB</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25334-2025</t>
        </is>
      </c>
      <c r="B1986" s="1" t="n">
        <v>45800</v>
      </c>
      <c r="C1986" s="1" t="n">
        <v>45802</v>
      </c>
      <c r="D1986" t="inlineStr">
        <is>
          <t>JÄMTLANDS LÄN</t>
        </is>
      </c>
      <c r="E1986" t="inlineStr">
        <is>
          <t>HÄRJEDALEN</t>
        </is>
      </c>
      <c r="F1986" t="inlineStr">
        <is>
          <t>Holmen skog AB</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25178-2025</t>
        </is>
      </c>
      <c r="B1987" s="1" t="n">
        <v>45800</v>
      </c>
      <c r="C1987" s="1" t="n">
        <v>45802</v>
      </c>
      <c r="D1987" t="inlineStr">
        <is>
          <t>JÄMTLANDS LÄN</t>
        </is>
      </c>
      <c r="E1987" t="inlineStr">
        <is>
          <t>HÄRJEDALEN</t>
        </is>
      </c>
      <c r="F1987" t="inlineStr">
        <is>
          <t>Holmen skog AB</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25204-2025</t>
        </is>
      </c>
      <c r="B1988" s="1" t="n">
        <v>45800</v>
      </c>
      <c r="C1988" s="1" t="n">
        <v>45802</v>
      </c>
      <c r="D1988" t="inlineStr">
        <is>
          <t>JÄMTLANDS LÄN</t>
        </is>
      </c>
      <c r="E1988" t="inlineStr">
        <is>
          <t>HÄRJEDALEN</t>
        </is>
      </c>
      <c r="F1988" t="inlineStr">
        <is>
          <t>Holmen skog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25112-2025</t>
        </is>
      </c>
      <c r="B1989" s="1" t="n">
        <v>45800</v>
      </c>
      <c r="C1989" s="1" t="n">
        <v>45802</v>
      </c>
      <c r="D1989" t="inlineStr">
        <is>
          <t>JÄMTLANDS LÄN</t>
        </is>
      </c>
      <c r="E1989" t="inlineStr">
        <is>
          <t>HÄRJEDALEN</t>
        </is>
      </c>
      <c r="F1989" t="inlineStr">
        <is>
          <t>Holmen skog AB</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25198-2025</t>
        </is>
      </c>
      <c r="B1990" s="1" t="n">
        <v>45800</v>
      </c>
      <c r="C1990" s="1" t="n">
        <v>45802</v>
      </c>
      <c r="D1990" t="inlineStr">
        <is>
          <t>JÄMTLANDS LÄN</t>
        </is>
      </c>
      <c r="E1990" t="inlineStr">
        <is>
          <t>HÄRJEDALEN</t>
        </is>
      </c>
      <c r="F1990" t="inlineStr">
        <is>
          <t>Holmen skog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45802</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25253-2025</t>
        </is>
      </c>
      <c r="B1992" s="1" t="n">
        <v>45800</v>
      </c>
      <c r="C1992" s="1" t="n">
        <v>45802</v>
      </c>
      <c r="D1992" t="inlineStr">
        <is>
          <t>JÄMTLANDS LÄN</t>
        </is>
      </c>
      <c r="E1992" t="inlineStr">
        <is>
          <t>HÄRJEDALEN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25286-2025</t>
        </is>
      </c>
      <c r="B1993" s="1" t="n">
        <v>45800</v>
      </c>
      <c r="C1993" s="1" t="n">
        <v>45802</v>
      </c>
      <c r="D1993" t="inlineStr">
        <is>
          <t>JÄMTLANDS LÄN</t>
        </is>
      </c>
      <c r="E1993" t="inlineStr">
        <is>
          <t>HÄRJEDALEN</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25098-2025</t>
        </is>
      </c>
      <c r="B1994" s="1" t="n">
        <v>45800</v>
      </c>
      <c r="C1994" s="1" t="n">
        <v>45802</v>
      </c>
      <c r="D1994" t="inlineStr">
        <is>
          <t>JÄMTLANDS LÄN</t>
        </is>
      </c>
      <c r="E1994" t="inlineStr">
        <is>
          <t>HÄRJEDALEN</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25109-2025</t>
        </is>
      </c>
      <c r="B1995" s="1" t="n">
        <v>45800</v>
      </c>
      <c r="C1995" s="1" t="n">
        <v>45802</v>
      </c>
      <c r="D1995" t="inlineStr">
        <is>
          <t>JÄMTLANDS LÄN</t>
        </is>
      </c>
      <c r="E1995" t="inlineStr">
        <is>
          <t>HÄRJEDALEN</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45802</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25315-2025</t>
        </is>
      </c>
      <c r="B1997" s="1" t="n">
        <v>45800</v>
      </c>
      <c r="C1997" s="1" t="n">
        <v>45802</v>
      </c>
      <c r="D1997" t="inlineStr">
        <is>
          <t>JÄMTLANDS LÄN</t>
        </is>
      </c>
      <c r="E1997" t="inlineStr">
        <is>
          <t>HÄRJEDALEN</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25343-2025</t>
        </is>
      </c>
      <c r="B1998" s="1" t="n">
        <v>45800</v>
      </c>
      <c r="C1998" s="1" t="n">
        <v>45802</v>
      </c>
      <c r="D1998" t="inlineStr">
        <is>
          <t>JÄMTLANDS LÄN</t>
        </is>
      </c>
      <c r="E1998" t="inlineStr">
        <is>
          <t>HÄRJEDALEN</t>
        </is>
      </c>
      <c r="F1998" t="inlineStr">
        <is>
          <t>Holmen skog AB</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45802</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25392-2025</t>
        </is>
      </c>
      <c r="B2000" s="1" t="n">
        <v>45800</v>
      </c>
      <c r="C2000" s="1" t="n">
        <v>45802</v>
      </c>
      <c r="D2000" t="inlineStr">
        <is>
          <t>JÄMTLANDS LÄN</t>
        </is>
      </c>
      <c r="E2000" t="inlineStr">
        <is>
          <t>HÄRJEDALEN</t>
        </is>
      </c>
      <c r="F2000" t="inlineStr">
        <is>
          <t>Holmen skog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25399-2025</t>
        </is>
      </c>
      <c r="B2001" s="1" t="n">
        <v>45800</v>
      </c>
      <c r="C2001" s="1" t="n">
        <v>45802</v>
      </c>
      <c r="D2001" t="inlineStr">
        <is>
          <t>JÄMTLANDS LÄN</t>
        </is>
      </c>
      <c r="E2001" t="inlineStr">
        <is>
          <t>HÄRJEDALEN</t>
        </is>
      </c>
      <c r="F2001" t="inlineStr">
        <is>
          <t>Holmen skog AB</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45802</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25380-2025</t>
        </is>
      </c>
      <c r="B2003" s="1" t="n">
        <v>45800</v>
      </c>
      <c r="C2003" s="1" t="n">
        <v>45802</v>
      </c>
      <c r="D2003" t="inlineStr">
        <is>
          <t>JÄMTLANDS LÄN</t>
        </is>
      </c>
      <c r="E2003" t="inlineStr">
        <is>
          <t>HÄRJEDALEN</t>
        </is>
      </c>
      <c r="F2003" t="inlineStr">
        <is>
          <t>Sveaskog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45802</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25147-2025</t>
        </is>
      </c>
      <c r="B2005" s="1" t="n">
        <v>45800</v>
      </c>
      <c r="C2005" s="1" t="n">
        <v>45802</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25094-2025</t>
        </is>
      </c>
      <c r="B2006" s="1" t="n">
        <v>45800</v>
      </c>
      <c r="C2006" s="1" t="n">
        <v>45802</v>
      </c>
      <c r="D2006" t="inlineStr">
        <is>
          <t>JÄMTLANDS LÄN</t>
        </is>
      </c>
      <c r="E2006" t="inlineStr">
        <is>
          <t>HÄRJEDALEN</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25409-2025</t>
        </is>
      </c>
      <c r="B2007" s="1" t="n">
        <v>45800</v>
      </c>
      <c r="C2007" s="1" t="n">
        <v>45802</v>
      </c>
      <c r="D2007" t="inlineStr">
        <is>
          <t>JÄMTLANDS LÄN</t>
        </is>
      </c>
      <c r="E2007" t="inlineStr">
        <is>
          <t>HÄRJEDALEN</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c r="A2008" t="inlineStr">
        <is>
          <t>A 25158-2025</t>
        </is>
      </c>
      <c r="B2008" s="1" t="n">
        <v>45800</v>
      </c>
      <c r="C2008" s="1" t="n">
        <v>45802</v>
      </c>
      <c r="D2008" t="inlineStr">
        <is>
          <t>JÄMTLANDS LÄN</t>
        </is>
      </c>
      <c r="E2008" t="inlineStr">
        <is>
          <t>HÄRJEDALEN</t>
        </is>
      </c>
      <c r="G2008" t="n">
        <v>8.199999999999999</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2025-05-25T18:09:12Z</dcterms:created>
  <dcterms:modified xmlns:dcterms="http://purl.org/dc/terms/" xmlns:xsi="http://www.w3.org/2001/XMLSchema-instance" xsi:type="dcterms:W3CDTF">2025-05-25T18:09:13Z</dcterms:modified>
</cp:coreProperties>
</file>