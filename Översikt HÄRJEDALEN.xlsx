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45828</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45828</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45828</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45828</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45828</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45828</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45828</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45828</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45828</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45828</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45828</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45828</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45828</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45828</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45828</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45828</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45828</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45828</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45828</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45828</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45828</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45828</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45828</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45828</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45828</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45828</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45828</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45828</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45828</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45828</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45828</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45828</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45828</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45828</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45828</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45828</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45828</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45828</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45828</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45828</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45828</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45828</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45828</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45828</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45828</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45828</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45828</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45828</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45828</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45828</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45828</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45828</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45828</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45828</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45828</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45828</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45828</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45828</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45828</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45828</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45828</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45828</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45828</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45828</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45828</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45828</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45828</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45828</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45828</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45828</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45828</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45828</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45828</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45828</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45828</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45828</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45828</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45828</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45828</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45828</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45828</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45828</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45828</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45828</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45828</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45828</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45828</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45828</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45828</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45828</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45828</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45828</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45828</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45828</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45828</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45828</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45828</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45828</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45828</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45828</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45828</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45828</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45828</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45828</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45828</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45828</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45828</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45828</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45828</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45828</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45828</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45828</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45828</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45828</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45828</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45828</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45828</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45828</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45828</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45828</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45828</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45828</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45828</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45828</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45828</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45828</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45828</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45828</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45828</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45828</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45828</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45828</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45828</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45828</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45828</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45828</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45828</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45828</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45828</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45828</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45828</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45828</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45828</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45828</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45828</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45828</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45828</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45828</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45828</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45828</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45828</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45828</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45828</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45828</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45828</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45828</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45828</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45828</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45828</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45828</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45828</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45828</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45828</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45828</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45828</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45828</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45828</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45828</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45828</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45828</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45828</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45828</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45828</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45828</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45828</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45828</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45828</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45828</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45828</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45828</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45828</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45828</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45828</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45828</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45828</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45828</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45828</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45828</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45828</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45828</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45828</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45828</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45828</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45828</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45828</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45828</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45828</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45828</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45828</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45828</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45828</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45828</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45828</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45828</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45828</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45828</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45828</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45828</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45828</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45828</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45828</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24898-2020</t>
        </is>
      </c>
      <c r="B216" s="1" t="n">
        <v>43979</v>
      </c>
      <c r="C216" s="1" t="n">
        <v>45828</v>
      </c>
      <c r="D216" t="inlineStr">
        <is>
          <t>JÄMTLANDS LÄN</t>
        </is>
      </c>
      <c r="E216" t="inlineStr">
        <is>
          <t>HÄRJEDALEN</t>
        </is>
      </c>
      <c r="F216" t="inlineStr">
        <is>
          <t>Sveaskog</t>
        </is>
      </c>
      <c r="G216" t="n">
        <v>2.9</v>
      </c>
      <c r="H216" t="n">
        <v>0</v>
      </c>
      <c r="I216" t="n">
        <v>0</v>
      </c>
      <c r="J216" t="n">
        <v>1</v>
      </c>
      <c r="K216" t="n">
        <v>0</v>
      </c>
      <c r="L216" t="n">
        <v>0</v>
      </c>
      <c r="M216" t="n">
        <v>0</v>
      </c>
      <c r="N216" t="n">
        <v>0</v>
      </c>
      <c r="O216" t="n">
        <v>1</v>
      </c>
      <c r="P216" t="n">
        <v>0</v>
      </c>
      <c r="Q216" t="n">
        <v>1</v>
      </c>
      <c r="R216" s="2" t="inlineStr">
        <is>
          <t>Brunklöver</t>
        </is>
      </c>
      <c r="S216">
        <f>HYPERLINK("https://klasma.github.io/Logging_2361/artfynd/A 24898-2020 artfynd.xlsx", "A 24898-2020")</f>
        <v/>
      </c>
      <c r="T216">
        <f>HYPERLINK("https://klasma.github.io/Logging_2361/kartor/A 24898-2020 karta.png", "A 24898-2020")</f>
        <v/>
      </c>
      <c r="V216">
        <f>HYPERLINK("https://klasma.github.io/Logging_2361/klagomål/A 24898-2020 FSC-klagomål.docx", "A 24898-2020")</f>
        <v/>
      </c>
      <c r="W216">
        <f>HYPERLINK("https://klasma.github.io/Logging_2361/klagomålsmail/A 24898-2020 FSC-klagomål mail.docx", "A 24898-2020")</f>
        <v/>
      </c>
      <c r="X216">
        <f>HYPERLINK("https://klasma.github.io/Logging_2361/tillsyn/A 24898-2020 tillsynsbegäran.docx", "A 24898-2020")</f>
        <v/>
      </c>
      <c r="Y216">
        <f>HYPERLINK("https://klasma.github.io/Logging_2361/tillsynsmail/A 24898-2020 tillsynsbegäran mail.docx", "A 24898-2020")</f>
        <v/>
      </c>
    </row>
    <row r="217" ht="15" customHeight="1">
      <c r="A217" t="inlineStr">
        <is>
          <t>A 47685-2020</t>
        </is>
      </c>
      <c r="B217" s="1" t="n">
        <v>44096</v>
      </c>
      <c r="C217" s="1" t="n">
        <v>45828</v>
      </c>
      <c r="D217" t="inlineStr">
        <is>
          <t>JÄMTLANDS LÄN</t>
        </is>
      </c>
      <c r="E217" t="inlineStr">
        <is>
          <t>HÄRJEDALEN</t>
        </is>
      </c>
      <c r="F217" t="inlineStr">
        <is>
          <t>Sveaskog</t>
        </is>
      </c>
      <c r="G217" t="n">
        <v>2.3</v>
      </c>
      <c r="H217" t="n">
        <v>0</v>
      </c>
      <c r="I217" t="n">
        <v>0</v>
      </c>
      <c r="J217" t="n">
        <v>1</v>
      </c>
      <c r="K217" t="n">
        <v>0</v>
      </c>
      <c r="L217" t="n">
        <v>0</v>
      </c>
      <c r="M217" t="n">
        <v>0</v>
      </c>
      <c r="N217" t="n">
        <v>0</v>
      </c>
      <c r="O217" t="n">
        <v>1</v>
      </c>
      <c r="P217" t="n">
        <v>0</v>
      </c>
      <c r="Q217" t="n">
        <v>1</v>
      </c>
      <c r="R217" s="2" t="inlineStr">
        <is>
          <t>Lunglav</t>
        </is>
      </c>
      <c r="S217">
        <f>HYPERLINK("https://klasma.github.io/Logging_2361/artfynd/A 47685-2020 artfynd.xlsx", "A 47685-2020")</f>
        <v/>
      </c>
      <c r="T217">
        <f>HYPERLINK("https://klasma.github.io/Logging_2361/kartor/A 47685-2020 karta.png", "A 47685-2020")</f>
        <v/>
      </c>
      <c r="V217">
        <f>HYPERLINK("https://klasma.github.io/Logging_2361/klagomål/A 47685-2020 FSC-klagomål.docx", "A 47685-2020")</f>
        <v/>
      </c>
      <c r="W217">
        <f>HYPERLINK("https://klasma.github.io/Logging_2361/klagomålsmail/A 47685-2020 FSC-klagomål mail.docx", "A 47685-2020")</f>
        <v/>
      </c>
      <c r="X217">
        <f>HYPERLINK("https://klasma.github.io/Logging_2361/tillsyn/A 47685-2020 tillsynsbegäran.docx", "A 47685-2020")</f>
        <v/>
      </c>
      <c r="Y217">
        <f>HYPERLINK("https://klasma.github.io/Logging_2361/tillsynsmail/A 47685-2020 tillsynsbegäran mail.docx", "A 47685-2020")</f>
        <v/>
      </c>
    </row>
    <row r="218" ht="15" customHeight="1">
      <c r="A218" t="inlineStr">
        <is>
          <t>A 49246-2020</t>
        </is>
      </c>
      <c r="B218" s="1" t="n">
        <v>44105</v>
      </c>
      <c r="C218" s="1" t="n">
        <v>45828</v>
      </c>
      <c r="D218" t="inlineStr">
        <is>
          <t>JÄMTLANDS LÄN</t>
        </is>
      </c>
      <c r="E218" t="inlineStr">
        <is>
          <t>HÄRJEDALEN</t>
        </is>
      </c>
      <c r="G218" t="n">
        <v>3.7</v>
      </c>
      <c r="H218" t="n">
        <v>0</v>
      </c>
      <c r="I218" t="n">
        <v>0</v>
      </c>
      <c r="J218" t="n">
        <v>1</v>
      </c>
      <c r="K218" t="n">
        <v>0</v>
      </c>
      <c r="L218" t="n">
        <v>0</v>
      </c>
      <c r="M218" t="n">
        <v>0</v>
      </c>
      <c r="N218" t="n">
        <v>0</v>
      </c>
      <c r="O218" t="n">
        <v>1</v>
      </c>
      <c r="P218" t="n">
        <v>0</v>
      </c>
      <c r="Q218" t="n">
        <v>1</v>
      </c>
      <c r="R218" s="2" t="inlineStr">
        <is>
          <t>Granticka</t>
        </is>
      </c>
      <c r="S218">
        <f>HYPERLINK("https://klasma.github.io/Logging_2361/artfynd/A 49246-2020 artfynd.xlsx", "A 49246-2020")</f>
        <v/>
      </c>
      <c r="T218">
        <f>HYPERLINK("https://klasma.github.io/Logging_2361/kartor/A 49246-2020 karta.png", "A 49246-2020")</f>
        <v/>
      </c>
      <c r="V218">
        <f>HYPERLINK("https://klasma.github.io/Logging_2361/klagomål/A 49246-2020 FSC-klagomål.docx", "A 49246-2020")</f>
        <v/>
      </c>
      <c r="W218">
        <f>HYPERLINK("https://klasma.github.io/Logging_2361/klagomålsmail/A 49246-2020 FSC-klagomål mail.docx", "A 49246-2020")</f>
        <v/>
      </c>
      <c r="X218">
        <f>HYPERLINK("https://klasma.github.io/Logging_2361/tillsyn/A 49246-2020 tillsynsbegäran.docx", "A 49246-2020")</f>
        <v/>
      </c>
      <c r="Y218">
        <f>HYPERLINK("https://klasma.github.io/Logging_2361/tillsynsmail/A 49246-2020 tillsynsbegäran mail.docx", "A 49246-2020")</f>
        <v/>
      </c>
    </row>
    <row r="219" ht="15" customHeight="1">
      <c r="A219" t="inlineStr">
        <is>
          <t>A 51387-2020</t>
        </is>
      </c>
      <c r="B219" s="1" t="n">
        <v>44113</v>
      </c>
      <c r="C219" s="1" t="n">
        <v>45828</v>
      </c>
      <c r="D219" t="inlineStr">
        <is>
          <t>JÄMTLANDS LÄN</t>
        </is>
      </c>
      <c r="E219" t="inlineStr">
        <is>
          <t>HÄRJEDALEN</t>
        </is>
      </c>
      <c r="G219" t="n">
        <v>1</v>
      </c>
      <c r="H219" t="n">
        <v>0</v>
      </c>
      <c r="I219" t="n">
        <v>0</v>
      </c>
      <c r="J219" t="n">
        <v>0</v>
      </c>
      <c r="K219" t="n">
        <v>1</v>
      </c>
      <c r="L219" t="n">
        <v>0</v>
      </c>
      <c r="M219" t="n">
        <v>0</v>
      </c>
      <c r="N219" t="n">
        <v>0</v>
      </c>
      <c r="O219" t="n">
        <v>1</v>
      </c>
      <c r="P219" t="n">
        <v>1</v>
      </c>
      <c r="Q219" t="n">
        <v>1</v>
      </c>
      <c r="R219" s="2" t="inlineStr">
        <is>
          <t>Goliatmusseron</t>
        </is>
      </c>
      <c r="S219">
        <f>HYPERLINK("https://klasma.github.io/Logging_2361/artfynd/A 51387-2020 artfynd.xlsx", "A 51387-2020")</f>
        <v/>
      </c>
      <c r="T219">
        <f>HYPERLINK("https://klasma.github.io/Logging_2361/kartor/A 51387-2020 karta.png", "A 51387-2020")</f>
        <v/>
      </c>
      <c r="V219">
        <f>HYPERLINK("https://klasma.github.io/Logging_2361/klagomål/A 51387-2020 FSC-klagomål.docx", "A 51387-2020")</f>
        <v/>
      </c>
      <c r="W219">
        <f>HYPERLINK("https://klasma.github.io/Logging_2361/klagomålsmail/A 51387-2020 FSC-klagomål mail.docx", "A 51387-2020")</f>
        <v/>
      </c>
      <c r="X219">
        <f>HYPERLINK("https://klasma.github.io/Logging_2361/tillsyn/A 51387-2020 tillsynsbegäran.docx", "A 51387-2020")</f>
        <v/>
      </c>
      <c r="Y219">
        <f>HYPERLINK("https://klasma.github.io/Logging_2361/tillsynsmail/A 51387-2020 tillsynsbegäran mail.docx", "A 51387-2020")</f>
        <v/>
      </c>
    </row>
    <row r="220" ht="15" customHeight="1">
      <c r="A220" t="inlineStr">
        <is>
          <t>A 21572-2021</t>
        </is>
      </c>
      <c r="B220" s="1" t="n">
        <v>44321</v>
      </c>
      <c r="C220" s="1" t="n">
        <v>45828</v>
      </c>
      <c r="D220" t="inlineStr">
        <is>
          <t>JÄMTLANDS LÄN</t>
        </is>
      </c>
      <c r="E220" t="inlineStr">
        <is>
          <t>HÄRJEDALEN</t>
        </is>
      </c>
      <c r="F220" t="inlineStr">
        <is>
          <t>Holmen skog AB</t>
        </is>
      </c>
      <c r="G220" t="n">
        <v>29</v>
      </c>
      <c r="H220" t="n">
        <v>0</v>
      </c>
      <c r="I220" t="n">
        <v>0</v>
      </c>
      <c r="J220" t="n">
        <v>1</v>
      </c>
      <c r="K220" t="n">
        <v>0</v>
      </c>
      <c r="L220" t="n">
        <v>0</v>
      </c>
      <c r="M220" t="n">
        <v>0</v>
      </c>
      <c r="N220" t="n">
        <v>0</v>
      </c>
      <c r="O220" t="n">
        <v>1</v>
      </c>
      <c r="P220" t="n">
        <v>0</v>
      </c>
      <c r="Q220" t="n">
        <v>1</v>
      </c>
      <c r="R220" s="2" t="inlineStr">
        <is>
          <t>Skrovlig taggsvamp</t>
        </is>
      </c>
      <c r="S220">
        <f>HYPERLINK("https://klasma.github.io/Logging_2361/artfynd/A 21572-2021 artfynd.xlsx", "A 21572-2021")</f>
        <v/>
      </c>
      <c r="T220">
        <f>HYPERLINK("https://klasma.github.io/Logging_2361/kartor/A 21572-2021 karta.png", "A 21572-2021")</f>
        <v/>
      </c>
      <c r="V220">
        <f>HYPERLINK("https://klasma.github.io/Logging_2361/klagomål/A 21572-2021 FSC-klagomål.docx", "A 21572-2021")</f>
        <v/>
      </c>
      <c r="W220">
        <f>HYPERLINK("https://klasma.github.io/Logging_2361/klagomålsmail/A 21572-2021 FSC-klagomål mail.docx", "A 21572-2021")</f>
        <v/>
      </c>
      <c r="X220">
        <f>HYPERLINK("https://klasma.github.io/Logging_2361/tillsyn/A 21572-2021 tillsynsbegäran.docx", "A 21572-2021")</f>
        <v/>
      </c>
      <c r="Y220">
        <f>HYPERLINK("https://klasma.github.io/Logging_2361/tillsynsmail/A 21572-2021 tillsynsbegäran mail.docx", "A 21572-2021")</f>
        <v/>
      </c>
    </row>
    <row r="221" ht="15" customHeight="1">
      <c r="A221" t="inlineStr">
        <is>
          <t>A 55223-2021</t>
        </is>
      </c>
      <c r="B221" s="1" t="n">
        <v>44475</v>
      </c>
      <c r="C221" s="1" t="n">
        <v>45828</v>
      </c>
      <c r="D221" t="inlineStr">
        <is>
          <t>JÄMTLANDS LÄN</t>
        </is>
      </c>
      <c r="E221" t="inlineStr">
        <is>
          <t>HÄRJEDALEN</t>
        </is>
      </c>
      <c r="G221" t="n">
        <v>18.2</v>
      </c>
      <c r="H221" t="n">
        <v>1</v>
      </c>
      <c r="I221" t="n">
        <v>0</v>
      </c>
      <c r="J221" t="n">
        <v>1</v>
      </c>
      <c r="K221" t="n">
        <v>0</v>
      </c>
      <c r="L221" t="n">
        <v>0</v>
      </c>
      <c r="M221" t="n">
        <v>0</v>
      </c>
      <c r="N221" t="n">
        <v>0</v>
      </c>
      <c r="O221" t="n">
        <v>1</v>
      </c>
      <c r="P221" t="n">
        <v>0</v>
      </c>
      <c r="Q221" t="n">
        <v>1</v>
      </c>
      <c r="R221" s="2" t="inlineStr">
        <is>
          <t>Varglav</t>
        </is>
      </c>
      <c r="S221">
        <f>HYPERLINK("https://klasma.github.io/Logging_2361/artfynd/A 55223-2021 artfynd.xlsx", "A 55223-2021")</f>
        <v/>
      </c>
      <c r="T221">
        <f>HYPERLINK("https://klasma.github.io/Logging_2361/kartor/A 55223-2021 karta.png", "A 55223-2021")</f>
        <v/>
      </c>
      <c r="V221">
        <f>HYPERLINK("https://klasma.github.io/Logging_2361/klagomål/A 55223-2021 FSC-klagomål.docx", "A 55223-2021")</f>
        <v/>
      </c>
      <c r="W221">
        <f>HYPERLINK("https://klasma.github.io/Logging_2361/klagomålsmail/A 55223-2021 FSC-klagomål mail.docx", "A 55223-2021")</f>
        <v/>
      </c>
      <c r="X221">
        <f>HYPERLINK("https://klasma.github.io/Logging_2361/tillsyn/A 55223-2021 tillsynsbegäran.docx", "A 55223-2021")</f>
        <v/>
      </c>
      <c r="Y221">
        <f>HYPERLINK("https://klasma.github.io/Logging_2361/tillsynsmail/A 55223-2021 tillsynsbegäran mail.docx", "A 55223-2021")</f>
        <v/>
      </c>
    </row>
    <row r="222" ht="15" customHeight="1">
      <c r="A222" t="inlineStr">
        <is>
          <t>A 55222-2021</t>
        </is>
      </c>
      <c r="B222" s="1" t="n">
        <v>44475</v>
      </c>
      <c r="C222" s="1" t="n">
        <v>45828</v>
      </c>
      <c r="D222" t="inlineStr">
        <is>
          <t>JÄMTLANDS LÄN</t>
        </is>
      </c>
      <c r="E222" t="inlineStr">
        <is>
          <t>HÄRJEDALEN</t>
        </is>
      </c>
      <c r="G222" t="n">
        <v>1.1</v>
      </c>
      <c r="H222" t="n">
        <v>1</v>
      </c>
      <c r="I222" t="n">
        <v>0</v>
      </c>
      <c r="J222" t="n">
        <v>1</v>
      </c>
      <c r="K222" t="n">
        <v>0</v>
      </c>
      <c r="L222" t="n">
        <v>0</v>
      </c>
      <c r="M222" t="n">
        <v>0</v>
      </c>
      <c r="N222" t="n">
        <v>0</v>
      </c>
      <c r="O222" t="n">
        <v>1</v>
      </c>
      <c r="P222" t="n">
        <v>0</v>
      </c>
      <c r="Q222" t="n">
        <v>1</v>
      </c>
      <c r="R222" s="2" t="inlineStr">
        <is>
          <t>Varglav</t>
        </is>
      </c>
      <c r="S222">
        <f>HYPERLINK("https://klasma.github.io/Logging_2361/artfynd/A 55222-2021 artfynd.xlsx", "A 55222-2021")</f>
        <v/>
      </c>
      <c r="T222">
        <f>HYPERLINK("https://klasma.github.io/Logging_2361/kartor/A 55222-2021 karta.png", "A 55222-2021")</f>
        <v/>
      </c>
      <c r="V222">
        <f>HYPERLINK("https://klasma.github.io/Logging_2361/klagomål/A 55222-2021 FSC-klagomål.docx", "A 55222-2021")</f>
        <v/>
      </c>
      <c r="W222">
        <f>HYPERLINK("https://klasma.github.io/Logging_2361/klagomålsmail/A 55222-2021 FSC-klagomål mail.docx", "A 55222-2021")</f>
        <v/>
      </c>
      <c r="X222">
        <f>HYPERLINK("https://klasma.github.io/Logging_2361/tillsyn/A 55222-2021 tillsynsbegäran.docx", "A 55222-2021")</f>
        <v/>
      </c>
      <c r="Y222">
        <f>HYPERLINK("https://klasma.github.io/Logging_2361/tillsynsmail/A 55222-2021 tillsynsbegäran mail.docx", "A 55222-2021")</f>
        <v/>
      </c>
    </row>
    <row r="223" ht="15" customHeight="1">
      <c r="A223" t="inlineStr">
        <is>
          <t>A 55221-2021</t>
        </is>
      </c>
      <c r="B223" s="1" t="n">
        <v>44475</v>
      </c>
      <c r="C223" s="1" t="n">
        <v>45828</v>
      </c>
      <c r="D223" t="inlineStr">
        <is>
          <t>JÄMTLANDS LÄN</t>
        </is>
      </c>
      <c r="E223" t="inlineStr">
        <is>
          <t>HÄRJEDALEN</t>
        </is>
      </c>
      <c r="G223" t="n">
        <v>0.2</v>
      </c>
      <c r="H223" t="n">
        <v>1</v>
      </c>
      <c r="I223" t="n">
        <v>0</v>
      </c>
      <c r="J223" t="n">
        <v>1</v>
      </c>
      <c r="K223" t="n">
        <v>0</v>
      </c>
      <c r="L223" t="n">
        <v>0</v>
      </c>
      <c r="M223" t="n">
        <v>0</v>
      </c>
      <c r="N223" t="n">
        <v>0</v>
      </c>
      <c r="O223" t="n">
        <v>1</v>
      </c>
      <c r="P223" t="n">
        <v>0</v>
      </c>
      <c r="Q223" t="n">
        <v>1</v>
      </c>
      <c r="R223" s="2" t="inlineStr">
        <is>
          <t>Varglav</t>
        </is>
      </c>
      <c r="S223">
        <f>HYPERLINK("https://klasma.github.io/Logging_2361/artfynd/A 55221-2021 artfynd.xlsx", "A 55221-2021")</f>
        <v/>
      </c>
      <c r="T223">
        <f>HYPERLINK("https://klasma.github.io/Logging_2361/kartor/A 55221-2021 karta.png", "A 55221-2021")</f>
        <v/>
      </c>
      <c r="V223">
        <f>HYPERLINK("https://klasma.github.io/Logging_2361/klagomål/A 55221-2021 FSC-klagomål.docx", "A 55221-2021")</f>
        <v/>
      </c>
      <c r="W223">
        <f>HYPERLINK("https://klasma.github.io/Logging_2361/klagomålsmail/A 55221-2021 FSC-klagomål mail.docx", "A 55221-2021")</f>
        <v/>
      </c>
      <c r="X223">
        <f>HYPERLINK("https://klasma.github.io/Logging_2361/tillsyn/A 55221-2021 tillsynsbegäran.docx", "A 55221-2021")</f>
        <v/>
      </c>
      <c r="Y223">
        <f>HYPERLINK("https://klasma.github.io/Logging_2361/tillsynsmail/A 55221-2021 tillsynsbegäran mail.docx", "A 55221-2021")</f>
        <v/>
      </c>
    </row>
    <row r="224" ht="15" customHeight="1">
      <c r="A224" t="inlineStr">
        <is>
          <t>A 55245-2021</t>
        </is>
      </c>
      <c r="B224" s="1" t="n">
        <v>44475</v>
      </c>
      <c r="C224" s="1" t="n">
        <v>45828</v>
      </c>
      <c r="D224" t="inlineStr">
        <is>
          <t>JÄMTLANDS LÄN</t>
        </is>
      </c>
      <c r="E224" t="inlineStr">
        <is>
          <t>HÄRJEDALEN</t>
        </is>
      </c>
      <c r="G224" t="n">
        <v>5.1</v>
      </c>
      <c r="H224" t="n">
        <v>0</v>
      </c>
      <c r="I224" t="n">
        <v>0</v>
      </c>
      <c r="J224" t="n">
        <v>1</v>
      </c>
      <c r="K224" t="n">
        <v>0</v>
      </c>
      <c r="L224" t="n">
        <v>0</v>
      </c>
      <c r="M224" t="n">
        <v>0</v>
      </c>
      <c r="N224" t="n">
        <v>0</v>
      </c>
      <c r="O224" t="n">
        <v>1</v>
      </c>
      <c r="P224" t="n">
        <v>0</v>
      </c>
      <c r="Q224" t="n">
        <v>1</v>
      </c>
      <c r="R224" s="2" t="inlineStr">
        <is>
          <t>Blanksvart spiklav</t>
        </is>
      </c>
      <c r="S224">
        <f>HYPERLINK("https://klasma.github.io/Logging_2361/artfynd/A 55245-2021 artfynd.xlsx", "A 55245-2021")</f>
        <v/>
      </c>
      <c r="T224">
        <f>HYPERLINK("https://klasma.github.io/Logging_2361/kartor/A 55245-2021 karta.png", "A 55245-2021")</f>
        <v/>
      </c>
      <c r="V224">
        <f>HYPERLINK("https://klasma.github.io/Logging_2361/klagomål/A 55245-2021 FSC-klagomål.docx", "A 55245-2021")</f>
        <v/>
      </c>
      <c r="W224">
        <f>HYPERLINK("https://klasma.github.io/Logging_2361/klagomålsmail/A 55245-2021 FSC-klagomål mail.docx", "A 55245-2021")</f>
        <v/>
      </c>
      <c r="X224">
        <f>HYPERLINK("https://klasma.github.io/Logging_2361/tillsyn/A 55245-2021 tillsynsbegäran.docx", "A 55245-2021")</f>
        <v/>
      </c>
      <c r="Y224">
        <f>HYPERLINK("https://klasma.github.io/Logging_2361/tillsynsmail/A 55245-2021 tillsynsbegäran mail.docx", "A 55245-2021")</f>
        <v/>
      </c>
    </row>
    <row r="225" ht="15" customHeight="1">
      <c r="A225" t="inlineStr">
        <is>
          <t>A 13982-2022</t>
        </is>
      </c>
      <c r="B225" s="1" t="n">
        <v>44650</v>
      </c>
      <c r="C225" s="1" t="n">
        <v>45828</v>
      </c>
      <c r="D225" t="inlineStr">
        <is>
          <t>JÄMTLANDS LÄN</t>
        </is>
      </c>
      <c r="E225" t="inlineStr">
        <is>
          <t>HÄRJEDALEN</t>
        </is>
      </c>
      <c r="F225" t="inlineStr">
        <is>
          <t>Holmen skog AB</t>
        </is>
      </c>
      <c r="G225" t="n">
        <v>4.4</v>
      </c>
      <c r="H225" t="n">
        <v>0</v>
      </c>
      <c r="I225" t="n">
        <v>0</v>
      </c>
      <c r="J225" t="n">
        <v>1</v>
      </c>
      <c r="K225" t="n">
        <v>0</v>
      </c>
      <c r="L225" t="n">
        <v>0</v>
      </c>
      <c r="M225" t="n">
        <v>0</v>
      </c>
      <c r="N225" t="n">
        <v>0</v>
      </c>
      <c r="O225" t="n">
        <v>1</v>
      </c>
      <c r="P225" t="n">
        <v>0</v>
      </c>
      <c r="Q225" t="n">
        <v>1</v>
      </c>
      <c r="R225" s="2" t="inlineStr">
        <is>
          <t>Garnlav</t>
        </is>
      </c>
      <c r="S225">
        <f>HYPERLINK("https://klasma.github.io/Logging_2361/artfynd/A 13982-2022 artfynd.xlsx", "A 13982-2022")</f>
        <v/>
      </c>
      <c r="T225">
        <f>HYPERLINK("https://klasma.github.io/Logging_2361/kartor/A 13982-2022 karta.png", "A 13982-2022")</f>
        <v/>
      </c>
      <c r="V225">
        <f>HYPERLINK("https://klasma.github.io/Logging_2361/klagomål/A 13982-2022 FSC-klagomål.docx", "A 13982-2022")</f>
        <v/>
      </c>
      <c r="W225">
        <f>HYPERLINK("https://klasma.github.io/Logging_2361/klagomålsmail/A 13982-2022 FSC-klagomål mail.docx", "A 13982-2022")</f>
        <v/>
      </c>
      <c r="X225">
        <f>HYPERLINK("https://klasma.github.io/Logging_2361/tillsyn/A 13982-2022 tillsynsbegäran.docx", "A 13982-2022")</f>
        <v/>
      </c>
      <c r="Y225">
        <f>HYPERLINK("https://klasma.github.io/Logging_2361/tillsynsmail/A 13982-2022 tillsynsbegäran mail.docx", "A 13982-2022")</f>
        <v/>
      </c>
    </row>
    <row r="226" ht="15" customHeight="1">
      <c r="A226" t="inlineStr">
        <is>
          <t>A 15360-2022</t>
        </is>
      </c>
      <c r="B226" s="1" t="n">
        <v>44659</v>
      </c>
      <c r="C226" s="1" t="n">
        <v>45828</v>
      </c>
      <c r="D226" t="inlineStr">
        <is>
          <t>JÄMTLANDS LÄN</t>
        </is>
      </c>
      <c r="E226" t="inlineStr">
        <is>
          <t>HÄRJEDALEN</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15360-2022 artfynd.xlsx", "A 15360-2022")</f>
        <v/>
      </c>
      <c r="T226">
        <f>HYPERLINK("https://klasma.github.io/Logging_2361/kartor/A 15360-2022 karta.png", "A 15360-2022")</f>
        <v/>
      </c>
      <c r="V226">
        <f>HYPERLINK("https://klasma.github.io/Logging_2361/klagomål/A 15360-2022 FSC-klagomål.docx", "A 15360-2022")</f>
        <v/>
      </c>
      <c r="W226">
        <f>HYPERLINK("https://klasma.github.io/Logging_2361/klagomålsmail/A 15360-2022 FSC-klagomål mail.docx", "A 15360-2022")</f>
        <v/>
      </c>
      <c r="X226">
        <f>HYPERLINK("https://klasma.github.io/Logging_2361/tillsyn/A 15360-2022 tillsynsbegäran.docx", "A 15360-2022")</f>
        <v/>
      </c>
      <c r="Y226">
        <f>HYPERLINK("https://klasma.github.io/Logging_2361/tillsynsmail/A 15360-2022 tillsynsbegäran mail.docx", "A 15360-2022")</f>
        <v/>
      </c>
    </row>
    <row r="227" ht="15" customHeight="1">
      <c r="A227" t="inlineStr">
        <is>
          <t>A 31061-2022</t>
        </is>
      </c>
      <c r="B227" s="1" t="n">
        <v>44769</v>
      </c>
      <c r="C227" s="1" t="n">
        <v>45828</v>
      </c>
      <c r="D227" t="inlineStr">
        <is>
          <t>JÄMTLANDS LÄN</t>
        </is>
      </c>
      <c r="E227" t="inlineStr">
        <is>
          <t>HÄRJEDALEN</t>
        </is>
      </c>
      <c r="F227" t="inlineStr">
        <is>
          <t>Bergvik skog väst AB</t>
        </is>
      </c>
      <c r="G227" t="n">
        <v>15.8</v>
      </c>
      <c r="H227" t="n">
        <v>0</v>
      </c>
      <c r="I227" t="n">
        <v>0</v>
      </c>
      <c r="J227" t="n">
        <v>1</v>
      </c>
      <c r="K227" t="n">
        <v>0</v>
      </c>
      <c r="L227" t="n">
        <v>0</v>
      </c>
      <c r="M227" t="n">
        <v>0</v>
      </c>
      <c r="N227" t="n">
        <v>0</v>
      </c>
      <c r="O227" t="n">
        <v>1</v>
      </c>
      <c r="P227" t="n">
        <v>0</v>
      </c>
      <c r="Q227" t="n">
        <v>1</v>
      </c>
      <c r="R227" s="2" t="inlineStr">
        <is>
          <t>Lunglav</t>
        </is>
      </c>
      <c r="S227">
        <f>HYPERLINK("https://klasma.github.io/Logging_2361/artfynd/A 31061-2022 artfynd.xlsx", "A 31061-2022")</f>
        <v/>
      </c>
      <c r="T227">
        <f>HYPERLINK("https://klasma.github.io/Logging_2361/kartor/A 31061-2022 karta.png", "A 31061-2022")</f>
        <v/>
      </c>
      <c r="V227">
        <f>HYPERLINK("https://klasma.github.io/Logging_2361/klagomål/A 31061-2022 FSC-klagomål.docx", "A 31061-2022")</f>
        <v/>
      </c>
      <c r="W227">
        <f>HYPERLINK("https://klasma.github.io/Logging_2361/klagomålsmail/A 31061-2022 FSC-klagomål mail.docx", "A 31061-2022")</f>
        <v/>
      </c>
      <c r="X227">
        <f>HYPERLINK("https://klasma.github.io/Logging_2361/tillsyn/A 31061-2022 tillsynsbegäran.docx", "A 31061-2022")</f>
        <v/>
      </c>
      <c r="Y227">
        <f>HYPERLINK("https://klasma.github.io/Logging_2361/tillsynsmail/A 31061-2022 tillsynsbegäran mail.docx", "A 31061-2022")</f>
        <v/>
      </c>
    </row>
    <row r="228" ht="15" customHeight="1">
      <c r="A228" t="inlineStr">
        <is>
          <t>A 42214-2022</t>
        </is>
      </c>
      <c r="B228" s="1" t="n">
        <v>44830</v>
      </c>
      <c r="C228" s="1" t="n">
        <v>45828</v>
      </c>
      <c r="D228" t="inlineStr">
        <is>
          <t>JÄMTLANDS LÄN</t>
        </is>
      </c>
      <c r="E228" t="inlineStr">
        <is>
          <t>HÄRJEDALEN</t>
        </is>
      </c>
      <c r="F228" t="inlineStr">
        <is>
          <t>Sveaskog</t>
        </is>
      </c>
      <c r="G228" t="n">
        <v>8.800000000000001</v>
      </c>
      <c r="H228" t="n">
        <v>0</v>
      </c>
      <c r="I228" t="n">
        <v>0</v>
      </c>
      <c r="J228" t="n">
        <v>0</v>
      </c>
      <c r="K228" t="n">
        <v>1</v>
      </c>
      <c r="L228" t="n">
        <v>0</v>
      </c>
      <c r="M228" t="n">
        <v>0</v>
      </c>
      <c r="N228" t="n">
        <v>0</v>
      </c>
      <c r="O228" t="n">
        <v>1</v>
      </c>
      <c r="P228" t="n">
        <v>1</v>
      </c>
      <c r="Q228" t="n">
        <v>1</v>
      </c>
      <c r="R228" s="2" t="inlineStr">
        <is>
          <t>Rynkskinn</t>
        </is>
      </c>
      <c r="S228">
        <f>HYPERLINK("https://klasma.github.io/Logging_2361/artfynd/A 42214-2022 artfynd.xlsx", "A 42214-2022")</f>
        <v/>
      </c>
      <c r="T228">
        <f>HYPERLINK("https://klasma.github.io/Logging_2361/kartor/A 42214-2022 karta.png", "A 42214-2022")</f>
        <v/>
      </c>
      <c r="V228">
        <f>HYPERLINK("https://klasma.github.io/Logging_2361/klagomål/A 42214-2022 FSC-klagomål.docx", "A 42214-2022")</f>
        <v/>
      </c>
      <c r="W228">
        <f>HYPERLINK("https://klasma.github.io/Logging_2361/klagomålsmail/A 42214-2022 FSC-klagomål mail.docx", "A 42214-2022")</f>
        <v/>
      </c>
      <c r="X228">
        <f>HYPERLINK("https://klasma.github.io/Logging_2361/tillsyn/A 42214-2022 tillsynsbegäran.docx", "A 42214-2022")</f>
        <v/>
      </c>
      <c r="Y228">
        <f>HYPERLINK("https://klasma.github.io/Logging_2361/tillsynsmail/A 42214-2022 tillsynsbegäran mail.docx", "A 42214-2022")</f>
        <v/>
      </c>
    </row>
    <row r="229" ht="15" customHeight="1">
      <c r="A229" t="inlineStr">
        <is>
          <t>A 52328-2022</t>
        </is>
      </c>
      <c r="B229" s="1" t="n">
        <v>44873</v>
      </c>
      <c r="C229" s="1" t="n">
        <v>45828</v>
      </c>
      <c r="D229" t="inlineStr">
        <is>
          <t>JÄMTLANDS LÄN</t>
        </is>
      </c>
      <c r="E229" t="inlineStr">
        <is>
          <t>HÄRJEDALEN</t>
        </is>
      </c>
      <c r="G229" t="n">
        <v>30.5</v>
      </c>
      <c r="H229" t="n">
        <v>0</v>
      </c>
      <c r="I229" t="n">
        <v>0</v>
      </c>
      <c r="J229" t="n">
        <v>1</v>
      </c>
      <c r="K229" t="n">
        <v>0</v>
      </c>
      <c r="L229" t="n">
        <v>0</v>
      </c>
      <c r="M229" t="n">
        <v>0</v>
      </c>
      <c r="N229" t="n">
        <v>0</v>
      </c>
      <c r="O229" t="n">
        <v>1</v>
      </c>
      <c r="P229" t="n">
        <v>0</v>
      </c>
      <c r="Q229" t="n">
        <v>1</v>
      </c>
      <c r="R229" s="2" t="inlineStr">
        <is>
          <t>Stjärntagging</t>
        </is>
      </c>
      <c r="S229">
        <f>HYPERLINK("https://klasma.github.io/Logging_2361/artfynd/A 52328-2022 artfynd.xlsx", "A 52328-2022")</f>
        <v/>
      </c>
      <c r="T229">
        <f>HYPERLINK("https://klasma.github.io/Logging_2361/kartor/A 52328-2022 karta.png", "A 52328-2022")</f>
        <v/>
      </c>
      <c r="V229">
        <f>HYPERLINK("https://klasma.github.io/Logging_2361/klagomål/A 52328-2022 FSC-klagomål.docx", "A 52328-2022")</f>
        <v/>
      </c>
      <c r="W229">
        <f>HYPERLINK("https://klasma.github.io/Logging_2361/klagomålsmail/A 52328-2022 FSC-klagomål mail.docx", "A 52328-2022")</f>
        <v/>
      </c>
      <c r="X229">
        <f>HYPERLINK("https://klasma.github.io/Logging_2361/tillsyn/A 52328-2022 tillsynsbegäran.docx", "A 52328-2022")</f>
        <v/>
      </c>
      <c r="Y229">
        <f>HYPERLINK("https://klasma.github.io/Logging_2361/tillsynsmail/A 52328-2022 tillsynsbegäran mail.docx", "A 52328-2022")</f>
        <v/>
      </c>
    </row>
    <row r="230" ht="15" customHeight="1">
      <c r="A230" t="inlineStr">
        <is>
          <t>A 56084-2022</t>
        </is>
      </c>
      <c r="B230" s="1" t="n">
        <v>44886</v>
      </c>
      <c r="C230" s="1" t="n">
        <v>45828</v>
      </c>
      <c r="D230" t="inlineStr">
        <is>
          <t>JÄMTLANDS LÄN</t>
        </is>
      </c>
      <c r="E230" t="inlineStr">
        <is>
          <t>HÄRJEDALEN</t>
        </is>
      </c>
      <c r="F230" t="inlineStr">
        <is>
          <t>Övriga statliga verk och myndigheter</t>
        </is>
      </c>
      <c r="G230" t="n">
        <v>18.6</v>
      </c>
      <c r="H230" t="n">
        <v>0</v>
      </c>
      <c r="I230" t="n">
        <v>0</v>
      </c>
      <c r="J230" t="n">
        <v>1</v>
      </c>
      <c r="K230" t="n">
        <v>0</v>
      </c>
      <c r="L230" t="n">
        <v>0</v>
      </c>
      <c r="M230" t="n">
        <v>0</v>
      </c>
      <c r="N230" t="n">
        <v>0</v>
      </c>
      <c r="O230" t="n">
        <v>1</v>
      </c>
      <c r="P230" t="n">
        <v>0</v>
      </c>
      <c r="Q230" t="n">
        <v>1</v>
      </c>
      <c r="R230" s="2" t="inlineStr">
        <is>
          <t>Dvärgbägarlav</t>
        </is>
      </c>
      <c r="S230">
        <f>HYPERLINK("https://klasma.github.io/Logging_2361/artfynd/A 56084-2022 artfynd.xlsx", "A 56084-2022")</f>
        <v/>
      </c>
      <c r="T230">
        <f>HYPERLINK("https://klasma.github.io/Logging_2361/kartor/A 56084-2022 karta.png", "A 56084-2022")</f>
        <v/>
      </c>
      <c r="V230">
        <f>HYPERLINK("https://klasma.github.io/Logging_2361/klagomål/A 56084-2022 FSC-klagomål.docx", "A 56084-2022")</f>
        <v/>
      </c>
      <c r="W230">
        <f>HYPERLINK("https://klasma.github.io/Logging_2361/klagomålsmail/A 56084-2022 FSC-klagomål mail.docx", "A 56084-2022")</f>
        <v/>
      </c>
      <c r="X230">
        <f>HYPERLINK("https://klasma.github.io/Logging_2361/tillsyn/A 56084-2022 tillsynsbegäran.docx", "A 56084-2022")</f>
        <v/>
      </c>
      <c r="Y230">
        <f>HYPERLINK("https://klasma.github.io/Logging_2361/tillsynsmail/A 56084-2022 tillsynsbegäran mail.docx", "A 56084-2022")</f>
        <v/>
      </c>
    </row>
    <row r="231" ht="15" customHeight="1">
      <c r="A231" t="inlineStr">
        <is>
          <t>A 184-2023</t>
        </is>
      </c>
      <c r="B231" s="1" t="n">
        <v>44928</v>
      </c>
      <c r="C231" s="1" t="n">
        <v>45828</v>
      </c>
      <c r="D231" t="inlineStr">
        <is>
          <t>JÄMTLANDS LÄN</t>
        </is>
      </c>
      <c r="E231" t="inlineStr">
        <is>
          <t>HÄRJEDALEN</t>
        </is>
      </c>
      <c r="F231" t="inlineStr">
        <is>
          <t>Holmen skog AB</t>
        </is>
      </c>
      <c r="G231" t="n">
        <v>7.8</v>
      </c>
      <c r="H231" t="n">
        <v>1</v>
      </c>
      <c r="I231" t="n">
        <v>1</v>
      </c>
      <c r="J231" t="n">
        <v>0</v>
      </c>
      <c r="K231" t="n">
        <v>0</v>
      </c>
      <c r="L231" t="n">
        <v>0</v>
      </c>
      <c r="M231" t="n">
        <v>0</v>
      </c>
      <c r="N231" t="n">
        <v>0</v>
      </c>
      <c r="O231" t="n">
        <v>0</v>
      </c>
      <c r="P231" t="n">
        <v>0</v>
      </c>
      <c r="Q231" t="n">
        <v>1</v>
      </c>
      <c r="R231" s="2" t="inlineStr">
        <is>
          <t>Spindelblomster</t>
        </is>
      </c>
      <c r="S231">
        <f>HYPERLINK("https://klasma.github.io/Logging_2361/artfynd/A 184-2023 artfynd.xlsx", "A 184-2023")</f>
        <v/>
      </c>
      <c r="T231">
        <f>HYPERLINK("https://klasma.github.io/Logging_2361/kartor/A 184-2023 karta.png", "A 184-2023")</f>
        <v/>
      </c>
      <c r="U231">
        <f>HYPERLINK("https://klasma.github.io/Logging_2361/knärot/A 184-2023 karta knärot.png", "A 184-2023")</f>
        <v/>
      </c>
      <c r="V231">
        <f>HYPERLINK("https://klasma.github.io/Logging_2361/klagomål/A 184-2023 FSC-klagomål.docx", "A 184-2023")</f>
        <v/>
      </c>
      <c r="W231">
        <f>HYPERLINK("https://klasma.github.io/Logging_2361/klagomålsmail/A 184-2023 FSC-klagomål mail.docx", "A 184-2023")</f>
        <v/>
      </c>
      <c r="X231">
        <f>HYPERLINK("https://klasma.github.io/Logging_2361/tillsyn/A 184-2023 tillsynsbegäran.docx", "A 184-2023")</f>
        <v/>
      </c>
      <c r="Y231">
        <f>HYPERLINK("https://klasma.github.io/Logging_2361/tillsynsmail/A 184-2023 tillsynsbegäran mail.docx", "A 184-2023")</f>
        <v/>
      </c>
    </row>
    <row r="232" ht="15" customHeight="1">
      <c r="A232" t="inlineStr">
        <is>
          <t>A 30330-2023</t>
        </is>
      </c>
      <c r="B232" s="1" t="n">
        <v>45111</v>
      </c>
      <c r="C232" s="1" t="n">
        <v>45828</v>
      </c>
      <c r="D232" t="inlineStr">
        <is>
          <t>JÄMTLANDS LÄN</t>
        </is>
      </c>
      <c r="E232" t="inlineStr">
        <is>
          <t>HÄRJEDALEN</t>
        </is>
      </c>
      <c r="F232" t="inlineStr">
        <is>
          <t>Bergvik skog väst AB</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30330-2023 artfynd.xlsx", "A 30330-2023")</f>
        <v/>
      </c>
      <c r="T232">
        <f>HYPERLINK("https://klasma.github.io/Logging_2361/kartor/A 30330-2023 karta.png", "A 30330-2023")</f>
        <v/>
      </c>
      <c r="V232">
        <f>HYPERLINK("https://klasma.github.io/Logging_2361/klagomål/A 30330-2023 FSC-klagomål.docx", "A 30330-2023")</f>
        <v/>
      </c>
      <c r="W232">
        <f>HYPERLINK("https://klasma.github.io/Logging_2361/klagomålsmail/A 30330-2023 FSC-klagomål mail.docx", "A 30330-2023")</f>
        <v/>
      </c>
      <c r="X232">
        <f>HYPERLINK("https://klasma.github.io/Logging_2361/tillsyn/A 30330-2023 tillsynsbegäran.docx", "A 30330-2023")</f>
        <v/>
      </c>
      <c r="Y232">
        <f>HYPERLINK("https://klasma.github.io/Logging_2361/tillsynsmail/A 30330-2023 tillsynsbegäran mail.docx", "A 30330-2023")</f>
        <v/>
      </c>
    </row>
    <row r="233" ht="15" customHeight="1">
      <c r="A233" t="inlineStr">
        <is>
          <t>A 39524-2023</t>
        </is>
      </c>
      <c r="B233" s="1" t="n">
        <v>45167</v>
      </c>
      <c r="C233" s="1" t="n">
        <v>45828</v>
      </c>
      <c r="D233" t="inlineStr">
        <is>
          <t>JÄMTLANDS LÄN</t>
        </is>
      </c>
      <c r="E233" t="inlineStr">
        <is>
          <t>HÄRJEDALEN</t>
        </is>
      </c>
      <c r="F233" t="inlineStr">
        <is>
          <t>Bergvik skog väst AB</t>
        </is>
      </c>
      <c r="G233" t="n">
        <v>4.1</v>
      </c>
      <c r="H233" t="n">
        <v>1</v>
      </c>
      <c r="I233" t="n">
        <v>0</v>
      </c>
      <c r="J233" t="n">
        <v>1</v>
      </c>
      <c r="K233" t="n">
        <v>0</v>
      </c>
      <c r="L233" t="n">
        <v>0</v>
      </c>
      <c r="M233" t="n">
        <v>0</v>
      </c>
      <c r="N233" t="n">
        <v>0</v>
      </c>
      <c r="O233" t="n">
        <v>1</v>
      </c>
      <c r="P233" t="n">
        <v>0</v>
      </c>
      <c r="Q233" t="n">
        <v>1</v>
      </c>
      <c r="R233" s="2" t="inlineStr">
        <is>
          <t>Tretåig hackspett</t>
        </is>
      </c>
      <c r="S233">
        <f>HYPERLINK("https://klasma.github.io/Logging_2361/artfynd/A 39524-2023 artfynd.xlsx", "A 39524-2023")</f>
        <v/>
      </c>
      <c r="T233">
        <f>HYPERLINK("https://klasma.github.io/Logging_2361/kartor/A 39524-2023 karta.png", "A 39524-2023")</f>
        <v/>
      </c>
      <c r="V233">
        <f>HYPERLINK("https://klasma.github.io/Logging_2361/klagomål/A 39524-2023 FSC-klagomål.docx", "A 39524-2023")</f>
        <v/>
      </c>
      <c r="W233">
        <f>HYPERLINK("https://klasma.github.io/Logging_2361/klagomålsmail/A 39524-2023 FSC-klagomål mail.docx", "A 39524-2023")</f>
        <v/>
      </c>
      <c r="X233">
        <f>HYPERLINK("https://klasma.github.io/Logging_2361/tillsyn/A 39524-2023 tillsynsbegäran.docx", "A 39524-2023")</f>
        <v/>
      </c>
      <c r="Y233">
        <f>HYPERLINK("https://klasma.github.io/Logging_2361/tillsynsmail/A 39524-2023 tillsynsbegäran mail.docx", "A 39524-2023")</f>
        <v/>
      </c>
      <c r="Z233">
        <f>HYPERLINK("https://klasma.github.io/Logging_2361/fåglar/A 39524-2023 prioriterade fågelarter.docx", "A 39524-2023")</f>
        <v/>
      </c>
    </row>
    <row r="234" ht="15" customHeight="1">
      <c r="A234" t="inlineStr">
        <is>
          <t>A 50470-2023</t>
        </is>
      </c>
      <c r="B234" s="1" t="n">
        <v>45216</v>
      </c>
      <c r="C234" s="1" t="n">
        <v>45828</v>
      </c>
      <c r="D234" t="inlineStr">
        <is>
          <t>JÄMTLANDS LÄN</t>
        </is>
      </c>
      <c r="E234" t="inlineStr">
        <is>
          <t>HÄRJEDALEN</t>
        </is>
      </c>
      <c r="F234" t="inlineStr">
        <is>
          <t>Sveaskog</t>
        </is>
      </c>
      <c r="G234" t="n">
        <v>3.5</v>
      </c>
      <c r="H234" t="n">
        <v>0</v>
      </c>
      <c r="I234" t="n">
        <v>0</v>
      </c>
      <c r="J234" t="n">
        <v>0</v>
      </c>
      <c r="K234" t="n">
        <v>1</v>
      </c>
      <c r="L234" t="n">
        <v>0</v>
      </c>
      <c r="M234" t="n">
        <v>0</v>
      </c>
      <c r="N234" t="n">
        <v>0</v>
      </c>
      <c r="O234" t="n">
        <v>1</v>
      </c>
      <c r="P234" t="n">
        <v>1</v>
      </c>
      <c r="Q234" t="n">
        <v>1</v>
      </c>
      <c r="R234" s="2" t="inlineStr">
        <is>
          <t>Gräddporing</t>
        </is>
      </c>
      <c r="S234">
        <f>HYPERLINK("https://klasma.github.io/Logging_2361/artfynd/A 50470-2023 artfynd.xlsx", "A 50470-2023")</f>
        <v/>
      </c>
      <c r="T234">
        <f>HYPERLINK("https://klasma.github.io/Logging_2361/kartor/A 50470-2023 karta.png", "A 50470-2023")</f>
        <v/>
      </c>
      <c r="V234">
        <f>HYPERLINK("https://klasma.github.io/Logging_2361/klagomål/A 50470-2023 FSC-klagomål.docx", "A 50470-2023")</f>
        <v/>
      </c>
      <c r="W234">
        <f>HYPERLINK("https://klasma.github.io/Logging_2361/klagomålsmail/A 50470-2023 FSC-klagomål mail.docx", "A 50470-2023")</f>
        <v/>
      </c>
      <c r="X234">
        <f>HYPERLINK("https://klasma.github.io/Logging_2361/tillsyn/A 50470-2023 tillsynsbegäran.docx", "A 50470-2023")</f>
        <v/>
      </c>
      <c r="Y234">
        <f>HYPERLINK("https://klasma.github.io/Logging_2361/tillsynsmail/A 50470-2023 tillsynsbegäran mail.docx", "A 50470-2023")</f>
        <v/>
      </c>
    </row>
    <row r="235" ht="15" customHeight="1">
      <c r="A235" t="inlineStr">
        <is>
          <t>A 51414-2023</t>
        </is>
      </c>
      <c r="B235" s="1" t="n">
        <v>45219</v>
      </c>
      <c r="C235" s="1" t="n">
        <v>45828</v>
      </c>
      <c r="D235" t="inlineStr">
        <is>
          <t>JÄMTLANDS LÄN</t>
        </is>
      </c>
      <c r="E235" t="inlineStr">
        <is>
          <t>HÄRJEDALEN</t>
        </is>
      </c>
      <c r="F235" t="inlineStr">
        <is>
          <t>Sveaskog</t>
        </is>
      </c>
      <c r="G235" t="n">
        <v>3.9</v>
      </c>
      <c r="H235" t="n">
        <v>0</v>
      </c>
      <c r="I235" t="n">
        <v>0</v>
      </c>
      <c r="J235" t="n">
        <v>1</v>
      </c>
      <c r="K235" t="n">
        <v>0</v>
      </c>
      <c r="L235" t="n">
        <v>0</v>
      </c>
      <c r="M235" t="n">
        <v>0</v>
      </c>
      <c r="N235" t="n">
        <v>0</v>
      </c>
      <c r="O235" t="n">
        <v>1</v>
      </c>
      <c r="P235" t="n">
        <v>0</v>
      </c>
      <c r="Q235" t="n">
        <v>1</v>
      </c>
      <c r="R235" s="2" t="inlineStr">
        <is>
          <t>Lunglav</t>
        </is>
      </c>
      <c r="S235">
        <f>HYPERLINK("https://klasma.github.io/Logging_2361/artfynd/A 51414-2023 artfynd.xlsx", "A 51414-2023")</f>
        <v/>
      </c>
      <c r="T235">
        <f>HYPERLINK("https://klasma.github.io/Logging_2361/kartor/A 51414-2023 karta.png", "A 51414-2023")</f>
        <v/>
      </c>
      <c r="V235">
        <f>HYPERLINK("https://klasma.github.io/Logging_2361/klagomål/A 51414-2023 FSC-klagomål.docx", "A 51414-2023")</f>
        <v/>
      </c>
      <c r="W235">
        <f>HYPERLINK("https://klasma.github.io/Logging_2361/klagomålsmail/A 51414-2023 FSC-klagomål mail.docx", "A 51414-2023")</f>
        <v/>
      </c>
      <c r="X235">
        <f>HYPERLINK("https://klasma.github.io/Logging_2361/tillsyn/A 51414-2023 tillsynsbegäran.docx", "A 51414-2023")</f>
        <v/>
      </c>
      <c r="Y235">
        <f>HYPERLINK("https://klasma.github.io/Logging_2361/tillsynsmail/A 51414-2023 tillsynsbegäran mail.docx", "A 51414-2023")</f>
        <v/>
      </c>
    </row>
    <row r="236" ht="15" customHeight="1">
      <c r="A236" t="inlineStr">
        <is>
          <t>A 62539-2023</t>
        </is>
      </c>
      <c r="B236" s="1" t="n">
        <v>45268</v>
      </c>
      <c r="C236" s="1" t="n">
        <v>45828</v>
      </c>
      <c r="D236" t="inlineStr">
        <is>
          <t>JÄMTLANDS LÄN</t>
        </is>
      </c>
      <c r="E236" t="inlineStr">
        <is>
          <t>HÄRJEDALEN</t>
        </is>
      </c>
      <c r="G236" t="n">
        <v>7.6</v>
      </c>
      <c r="H236" t="n">
        <v>1</v>
      </c>
      <c r="I236" t="n">
        <v>0</v>
      </c>
      <c r="J236" t="n">
        <v>1</v>
      </c>
      <c r="K236" t="n">
        <v>0</v>
      </c>
      <c r="L236" t="n">
        <v>0</v>
      </c>
      <c r="M236" t="n">
        <v>0</v>
      </c>
      <c r="N236" t="n">
        <v>0</v>
      </c>
      <c r="O236" t="n">
        <v>1</v>
      </c>
      <c r="P236" t="n">
        <v>0</v>
      </c>
      <c r="Q236" t="n">
        <v>1</v>
      </c>
      <c r="R236" s="2" t="inlineStr">
        <is>
          <t>Talltita</t>
        </is>
      </c>
      <c r="S236">
        <f>HYPERLINK("https://klasma.github.io/Logging_2361/artfynd/A 62539-2023 artfynd.xlsx", "A 62539-2023")</f>
        <v/>
      </c>
      <c r="T236">
        <f>HYPERLINK("https://klasma.github.io/Logging_2361/kartor/A 62539-2023 karta.png", "A 62539-2023")</f>
        <v/>
      </c>
      <c r="V236">
        <f>HYPERLINK("https://klasma.github.io/Logging_2361/klagomål/A 62539-2023 FSC-klagomål.docx", "A 62539-2023")</f>
        <v/>
      </c>
      <c r="W236">
        <f>HYPERLINK("https://klasma.github.io/Logging_2361/klagomålsmail/A 62539-2023 FSC-klagomål mail.docx", "A 62539-2023")</f>
        <v/>
      </c>
      <c r="X236">
        <f>HYPERLINK("https://klasma.github.io/Logging_2361/tillsyn/A 62539-2023 tillsynsbegäran.docx", "A 62539-2023")</f>
        <v/>
      </c>
      <c r="Y236">
        <f>HYPERLINK("https://klasma.github.io/Logging_2361/tillsynsmail/A 62539-2023 tillsynsbegäran mail.docx", "A 62539-2023")</f>
        <v/>
      </c>
      <c r="Z236">
        <f>HYPERLINK("https://klasma.github.io/Logging_2361/fåglar/A 62539-2023 prioriterade fågelarter.docx", "A 62539-2023")</f>
        <v/>
      </c>
    </row>
    <row r="237" ht="15" customHeight="1">
      <c r="A237" t="inlineStr">
        <is>
          <t>A 63659-2023</t>
        </is>
      </c>
      <c r="B237" s="1" t="n">
        <v>45275</v>
      </c>
      <c r="C237" s="1" t="n">
        <v>45828</v>
      </c>
      <c r="D237" t="inlineStr">
        <is>
          <t>JÄMTLANDS LÄN</t>
        </is>
      </c>
      <c r="E237" t="inlineStr">
        <is>
          <t>HÄRJEDALEN</t>
        </is>
      </c>
      <c r="G237" t="n">
        <v>11.7</v>
      </c>
      <c r="H237" t="n">
        <v>0</v>
      </c>
      <c r="I237" t="n">
        <v>0</v>
      </c>
      <c r="J237" t="n">
        <v>1</v>
      </c>
      <c r="K237" t="n">
        <v>0</v>
      </c>
      <c r="L237" t="n">
        <v>0</v>
      </c>
      <c r="M237" t="n">
        <v>0</v>
      </c>
      <c r="N237" t="n">
        <v>0</v>
      </c>
      <c r="O237" t="n">
        <v>1</v>
      </c>
      <c r="P237" t="n">
        <v>0</v>
      </c>
      <c r="Q237" t="n">
        <v>1</v>
      </c>
      <c r="R237" s="2" t="inlineStr">
        <is>
          <t>Lunglav</t>
        </is>
      </c>
      <c r="S237">
        <f>HYPERLINK("https://klasma.github.io/Logging_2361/artfynd/A 63659-2023 artfynd.xlsx", "A 63659-2023")</f>
        <v/>
      </c>
      <c r="T237">
        <f>HYPERLINK("https://klasma.github.io/Logging_2361/kartor/A 63659-2023 karta.png", "A 63659-2023")</f>
        <v/>
      </c>
      <c r="V237">
        <f>HYPERLINK("https://klasma.github.io/Logging_2361/klagomål/A 63659-2023 FSC-klagomål.docx", "A 63659-2023")</f>
        <v/>
      </c>
      <c r="W237">
        <f>HYPERLINK("https://klasma.github.io/Logging_2361/klagomålsmail/A 63659-2023 FSC-klagomål mail.docx", "A 63659-2023")</f>
        <v/>
      </c>
      <c r="X237">
        <f>HYPERLINK("https://klasma.github.io/Logging_2361/tillsyn/A 63659-2023 tillsynsbegäran.docx", "A 63659-2023")</f>
        <v/>
      </c>
      <c r="Y237">
        <f>HYPERLINK("https://klasma.github.io/Logging_2361/tillsynsmail/A 63659-2023 tillsynsbegäran mail.docx", "A 63659-2023")</f>
        <v/>
      </c>
    </row>
    <row r="238" ht="15" customHeight="1">
      <c r="A238" t="inlineStr">
        <is>
          <t>A 2066-2024</t>
        </is>
      </c>
      <c r="B238" s="1" t="n">
        <v>45308</v>
      </c>
      <c r="C238" s="1" t="n">
        <v>45828</v>
      </c>
      <c r="D238" t="inlineStr">
        <is>
          <t>JÄMTLANDS LÄN</t>
        </is>
      </c>
      <c r="E238" t="inlineStr">
        <is>
          <t>HÄRJEDALEN</t>
        </is>
      </c>
      <c r="G238" t="n">
        <v>23.2</v>
      </c>
      <c r="H238" t="n">
        <v>1</v>
      </c>
      <c r="I238" t="n">
        <v>0</v>
      </c>
      <c r="J238" t="n">
        <v>1</v>
      </c>
      <c r="K238" t="n">
        <v>0</v>
      </c>
      <c r="L238" t="n">
        <v>0</v>
      </c>
      <c r="M238" t="n">
        <v>0</v>
      </c>
      <c r="N238" t="n">
        <v>0</v>
      </c>
      <c r="O238" t="n">
        <v>1</v>
      </c>
      <c r="P238" t="n">
        <v>0</v>
      </c>
      <c r="Q238" t="n">
        <v>1</v>
      </c>
      <c r="R238" s="2" t="inlineStr">
        <is>
          <t>Spillkråka</t>
        </is>
      </c>
      <c r="S238">
        <f>HYPERLINK("https://klasma.github.io/Logging_2361/artfynd/A 2066-2024 artfynd.xlsx", "A 2066-2024")</f>
        <v/>
      </c>
      <c r="T238">
        <f>HYPERLINK("https://klasma.github.io/Logging_2361/kartor/A 2066-2024 karta.png", "A 2066-2024")</f>
        <v/>
      </c>
      <c r="V238">
        <f>HYPERLINK("https://klasma.github.io/Logging_2361/klagomål/A 2066-2024 FSC-klagomål.docx", "A 2066-2024")</f>
        <v/>
      </c>
      <c r="W238">
        <f>HYPERLINK("https://klasma.github.io/Logging_2361/klagomålsmail/A 2066-2024 FSC-klagomål mail.docx", "A 2066-2024")</f>
        <v/>
      </c>
      <c r="X238">
        <f>HYPERLINK("https://klasma.github.io/Logging_2361/tillsyn/A 2066-2024 tillsynsbegäran.docx", "A 2066-2024")</f>
        <v/>
      </c>
      <c r="Y238">
        <f>HYPERLINK("https://klasma.github.io/Logging_2361/tillsynsmail/A 2066-2024 tillsynsbegäran mail.docx", "A 2066-2024")</f>
        <v/>
      </c>
      <c r="Z238">
        <f>HYPERLINK("https://klasma.github.io/Logging_2361/fåglar/A 2066-2024 prioriterade fågelarter.docx", "A 2066-2024")</f>
        <v/>
      </c>
    </row>
    <row r="239" ht="15" customHeight="1">
      <c r="A239" t="inlineStr">
        <is>
          <t>A 3593-2024</t>
        </is>
      </c>
      <c r="B239" s="1" t="n">
        <v>45320</v>
      </c>
      <c r="C239" s="1" t="n">
        <v>45828</v>
      </c>
      <c r="D239" t="inlineStr">
        <is>
          <t>JÄMTLANDS LÄN</t>
        </is>
      </c>
      <c r="E239" t="inlineStr">
        <is>
          <t>HÄRJEDALEN</t>
        </is>
      </c>
      <c r="G239" t="n">
        <v>15.1</v>
      </c>
      <c r="H239" t="n">
        <v>0</v>
      </c>
      <c r="I239" t="n">
        <v>0</v>
      </c>
      <c r="J239" t="n">
        <v>1</v>
      </c>
      <c r="K239" t="n">
        <v>0</v>
      </c>
      <c r="L239" t="n">
        <v>0</v>
      </c>
      <c r="M239" t="n">
        <v>0</v>
      </c>
      <c r="N239" t="n">
        <v>0</v>
      </c>
      <c r="O239" t="n">
        <v>1</v>
      </c>
      <c r="P239" t="n">
        <v>0</v>
      </c>
      <c r="Q239" t="n">
        <v>1</v>
      </c>
      <c r="R239" s="2" t="inlineStr">
        <is>
          <t>Nordtagging</t>
        </is>
      </c>
      <c r="S239">
        <f>HYPERLINK("https://klasma.github.io/Logging_2361/artfynd/A 3593-2024 artfynd.xlsx", "A 3593-2024")</f>
        <v/>
      </c>
      <c r="T239">
        <f>HYPERLINK("https://klasma.github.io/Logging_2361/kartor/A 3593-2024 karta.png", "A 3593-2024")</f>
        <v/>
      </c>
      <c r="V239">
        <f>HYPERLINK("https://klasma.github.io/Logging_2361/klagomål/A 3593-2024 FSC-klagomål.docx", "A 3593-2024")</f>
        <v/>
      </c>
      <c r="W239">
        <f>HYPERLINK("https://klasma.github.io/Logging_2361/klagomålsmail/A 3593-2024 FSC-klagomål mail.docx", "A 3593-2024")</f>
        <v/>
      </c>
      <c r="X239">
        <f>HYPERLINK("https://klasma.github.io/Logging_2361/tillsyn/A 3593-2024 tillsynsbegäran.docx", "A 3593-2024")</f>
        <v/>
      </c>
      <c r="Y239">
        <f>HYPERLINK("https://klasma.github.io/Logging_2361/tillsynsmail/A 3593-2024 tillsynsbegäran mail.docx", "A 3593-2024")</f>
        <v/>
      </c>
    </row>
    <row r="240" ht="15" customHeight="1">
      <c r="A240" t="inlineStr">
        <is>
          <t>A 7327-2024</t>
        </is>
      </c>
      <c r="B240" s="1" t="n">
        <v>45345</v>
      </c>
      <c r="C240" s="1" t="n">
        <v>45828</v>
      </c>
      <c r="D240" t="inlineStr">
        <is>
          <t>JÄMTLANDS LÄN</t>
        </is>
      </c>
      <c r="E240" t="inlineStr">
        <is>
          <t>HÄRJEDALEN</t>
        </is>
      </c>
      <c r="F240" t="inlineStr">
        <is>
          <t>Sveaskog</t>
        </is>
      </c>
      <c r="G240" t="n">
        <v>0.3</v>
      </c>
      <c r="H240" t="n">
        <v>0</v>
      </c>
      <c r="I240" t="n">
        <v>0</v>
      </c>
      <c r="J240" t="n">
        <v>1</v>
      </c>
      <c r="K240" t="n">
        <v>0</v>
      </c>
      <c r="L240" t="n">
        <v>0</v>
      </c>
      <c r="M240" t="n">
        <v>0</v>
      </c>
      <c r="N240" t="n">
        <v>0</v>
      </c>
      <c r="O240" t="n">
        <v>1</v>
      </c>
      <c r="P240" t="n">
        <v>0</v>
      </c>
      <c r="Q240" t="n">
        <v>1</v>
      </c>
      <c r="R240" s="2" t="inlineStr">
        <is>
          <t>Kolflarnlav</t>
        </is>
      </c>
      <c r="S240">
        <f>HYPERLINK("https://klasma.github.io/Logging_2361/artfynd/A 7327-2024 artfynd.xlsx", "A 7327-2024")</f>
        <v/>
      </c>
      <c r="T240">
        <f>HYPERLINK("https://klasma.github.io/Logging_2361/kartor/A 7327-2024 karta.png", "A 7327-2024")</f>
        <v/>
      </c>
      <c r="V240">
        <f>HYPERLINK("https://klasma.github.io/Logging_2361/klagomål/A 7327-2024 FSC-klagomål.docx", "A 7327-2024")</f>
        <v/>
      </c>
      <c r="W240">
        <f>HYPERLINK("https://klasma.github.io/Logging_2361/klagomålsmail/A 7327-2024 FSC-klagomål mail.docx", "A 7327-2024")</f>
        <v/>
      </c>
      <c r="X240">
        <f>HYPERLINK("https://klasma.github.io/Logging_2361/tillsyn/A 7327-2024 tillsynsbegäran.docx", "A 7327-2024")</f>
        <v/>
      </c>
      <c r="Y240">
        <f>HYPERLINK("https://klasma.github.io/Logging_2361/tillsynsmail/A 7327-2024 tillsynsbegäran mail.docx", "A 7327-2024")</f>
        <v/>
      </c>
    </row>
    <row r="241" ht="15" customHeight="1">
      <c r="A241" t="inlineStr">
        <is>
          <t>A 16471-2024</t>
        </is>
      </c>
      <c r="B241" s="1" t="n">
        <v>45408</v>
      </c>
      <c r="C241" s="1" t="n">
        <v>45828</v>
      </c>
      <c r="D241" t="inlineStr">
        <is>
          <t>JÄMTLANDS LÄN</t>
        </is>
      </c>
      <c r="E241" t="inlineStr">
        <is>
          <t>HÄRJEDALEN</t>
        </is>
      </c>
      <c r="G241" t="n">
        <v>31.7</v>
      </c>
      <c r="H241" t="n">
        <v>0</v>
      </c>
      <c r="I241" t="n">
        <v>0</v>
      </c>
      <c r="J241" t="n">
        <v>0</v>
      </c>
      <c r="K241" t="n">
        <v>0</v>
      </c>
      <c r="L241" t="n">
        <v>0</v>
      </c>
      <c r="M241" t="n">
        <v>1</v>
      </c>
      <c r="N241" t="n">
        <v>0</v>
      </c>
      <c r="O241" t="n">
        <v>1</v>
      </c>
      <c r="P241" t="n">
        <v>1</v>
      </c>
      <c r="Q241" t="n">
        <v>1</v>
      </c>
      <c r="R241" s="2" t="inlineStr">
        <is>
          <t>Limbergsfibbla</t>
        </is>
      </c>
      <c r="S241">
        <f>HYPERLINK("https://klasma.github.io/Logging_2361/artfynd/A 16471-2024 artfynd.xlsx", "A 16471-2024")</f>
        <v/>
      </c>
      <c r="T241">
        <f>HYPERLINK("https://klasma.github.io/Logging_2361/kartor/A 16471-2024 karta.png", "A 16471-2024")</f>
        <v/>
      </c>
      <c r="V241">
        <f>HYPERLINK("https://klasma.github.io/Logging_2361/klagomål/A 16471-2024 FSC-klagomål.docx", "A 16471-2024")</f>
        <v/>
      </c>
      <c r="W241">
        <f>HYPERLINK("https://klasma.github.io/Logging_2361/klagomålsmail/A 16471-2024 FSC-klagomål mail.docx", "A 16471-2024")</f>
        <v/>
      </c>
      <c r="X241">
        <f>HYPERLINK("https://klasma.github.io/Logging_2361/tillsyn/A 16471-2024 tillsynsbegäran.docx", "A 16471-2024")</f>
        <v/>
      </c>
      <c r="Y241">
        <f>HYPERLINK("https://klasma.github.io/Logging_2361/tillsynsmail/A 16471-2024 tillsynsbegäran mail.docx", "A 16471-2024")</f>
        <v/>
      </c>
    </row>
    <row r="242" ht="15" customHeight="1">
      <c r="A242" t="inlineStr">
        <is>
          <t>A 23680-2024</t>
        </is>
      </c>
      <c r="B242" s="1" t="n">
        <v>45454</v>
      </c>
      <c r="C242" s="1" t="n">
        <v>45828</v>
      </c>
      <c r="D242" t="inlineStr">
        <is>
          <t>JÄMTLANDS LÄN</t>
        </is>
      </c>
      <c r="E242" t="inlineStr">
        <is>
          <t>HÄRJEDALEN</t>
        </is>
      </c>
      <c r="G242" t="n">
        <v>3.9</v>
      </c>
      <c r="H242" t="n">
        <v>0</v>
      </c>
      <c r="I242" t="n">
        <v>1</v>
      </c>
      <c r="J242" t="n">
        <v>0</v>
      </c>
      <c r="K242" t="n">
        <v>0</v>
      </c>
      <c r="L242" t="n">
        <v>0</v>
      </c>
      <c r="M242" t="n">
        <v>0</v>
      </c>
      <c r="N242" t="n">
        <v>0</v>
      </c>
      <c r="O242" t="n">
        <v>0</v>
      </c>
      <c r="P242" t="n">
        <v>0</v>
      </c>
      <c r="Q242" t="n">
        <v>1</v>
      </c>
      <c r="R242" s="2" t="inlineStr">
        <is>
          <t>Ögonpyrola</t>
        </is>
      </c>
      <c r="S242">
        <f>HYPERLINK("https://klasma.github.io/Logging_2361/artfynd/A 23680-2024 artfynd.xlsx", "A 23680-2024")</f>
        <v/>
      </c>
      <c r="T242">
        <f>HYPERLINK("https://klasma.github.io/Logging_2361/kartor/A 23680-2024 karta.png", "A 23680-2024")</f>
        <v/>
      </c>
      <c r="V242">
        <f>HYPERLINK("https://klasma.github.io/Logging_2361/klagomål/A 23680-2024 FSC-klagomål.docx", "A 23680-2024")</f>
        <v/>
      </c>
      <c r="W242">
        <f>HYPERLINK("https://klasma.github.io/Logging_2361/klagomålsmail/A 23680-2024 FSC-klagomål mail.docx", "A 23680-2024")</f>
        <v/>
      </c>
      <c r="X242">
        <f>HYPERLINK("https://klasma.github.io/Logging_2361/tillsyn/A 23680-2024 tillsynsbegäran.docx", "A 23680-2024")</f>
        <v/>
      </c>
      <c r="Y242">
        <f>HYPERLINK("https://klasma.github.io/Logging_2361/tillsynsmail/A 23680-2024 tillsynsbegäran mail.docx", "A 23680-2024")</f>
        <v/>
      </c>
    </row>
    <row r="243" ht="15" customHeight="1">
      <c r="A243" t="inlineStr">
        <is>
          <t>A 24254-2024</t>
        </is>
      </c>
      <c r="B243" s="1" t="n">
        <v>45457</v>
      </c>
      <c r="C243" s="1" t="n">
        <v>45828</v>
      </c>
      <c r="D243" t="inlineStr">
        <is>
          <t>JÄMTLANDS LÄN</t>
        </is>
      </c>
      <c r="E243" t="inlineStr">
        <is>
          <t>HÄRJEDALEN</t>
        </is>
      </c>
      <c r="F243" t="inlineStr">
        <is>
          <t>Sveaskog</t>
        </is>
      </c>
      <c r="G243" t="n">
        <v>6</v>
      </c>
      <c r="H243" t="n">
        <v>0</v>
      </c>
      <c r="I243" t="n">
        <v>0</v>
      </c>
      <c r="J243" t="n">
        <v>1</v>
      </c>
      <c r="K243" t="n">
        <v>0</v>
      </c>
      <c r="L243" t="n">
        <v>0</v>
      </c>
      <c r="M243" t="n">
        <v>0</v>
      </c>
      <c r="N243" t="n">
        <v>0</v>
      </c>
      <c r="O243" t="n">
        <v>1</v>
      </c>
      <c r="P243" t="n">
        <v>0</v>
      </c>
      <c r="Q243" t="n">
        <v>1</v>
      </c>
      <c r="R243" s="2" t="inlineStr">
        <is>
          <t>Kolflarnlav</t>
        </is>
      </c>
      <c r="S243">
        <f>HYPERLINK("https://klasma.github.io/Logging_2361/artfynd/A 24254-2024 artfynd.xlsx", "A 24254-2024")</f>
        <v/>
      </c>
      <c r="T243">
        <f>HYPERLINK("https://klasma.github.io/Logging_2361/kartor/A 24254-2024 karta.png", "A 24254-2024")</f>
        <v/>
      </c>
      <c r="V243">
        <f>HYPERLINK("https://klasma.github.io/Logging_2361/klagomål/A 24254-2024 FSC-klagomål.docx", "A 24254-2024")</f>
        <v/>
      </c>
      <c r="W243">
        <f>HYPERLINK("https://klasma.github.io/Logging_2361/klagomålsmail/A 24254-2024 FSC-klagomål mail.docx", "A 24254-2024")</f>
        <v/>
      </c>
      <c r="X243">
        <f>HYPERLINK("https://klasma.github.io/Logging_2361/tillsyn/A 24254-2024 tillsynsbegäran.docx", "A 24254-2024")</f>
        <v/>
      </c>
      <c r="Y243">
        <f>HYPERLINK("https://klasma.github.io/Logging_2361/tillsynsmail/A 24254-2024 tillsynsbegäran mail.docx", "A 24254-2024")</f>
        <v/>
      </c>
    </row>
    <row r="244" ht="15" customHeight="1">
      <c r="A244" t="inlineStr">
        <is>
          <t>A 24251-2024</t>
        </is>
      </c>
      <c r="B244" s="1" t="n">
        <v>45457</v>
      </c>
      <c r="C244" s="1" t="n">
        <v>45828</v>
      </c>
      <c r="D244" t="inlineStr">
        <is>
          <t>JÄMTLANDS LÄN</t>
        </is>
      </c>
      <c r="E244" t="inlineStr">
        <is>
          <t>HÄRJEDALEN</t>
        </is>
      </c>
      <c r="F244" t="inlineStr">
        <is>
          <t>Sveaskog</t>
        </is>
      </c>
      <c r="G244" t="n">
        <v>4.7</v>
      </c>
      <c r="H244" t="n">
        <v>0</v>
      </c>
      <c r="I244" t="n">
        <v>0</v>
      </c>
      <c r="J244" t="n">
        <v>1</v>
      </c>
      <c r="K244" t="n">
        <v>0</v>
      </c>
      <c r="L244" t="n">
        <v>0</v>
      </c>
      <c r="M244" t="n">
        <v>0</v>
      </c>
      <c r="N244" t="n">
        <v>0</v>
      </c>
      <c r="O244" t="n">
        <v>1</v>
      </c>
      <c r="P244" t="n">
        <v>0</v>
      </c>
      <c r="Q244" t="n">
        <v>1</v>
      </c>
      <c r="R244" s="2" t="inlineStr">
        <is>
          <t>Garnlav</t>
        </is>
      </c>
      <c r="S244">
        <f>HYPERLINK("https://klasma.github.io/Logging_2361/artfynd/A 24251-2024 artfynd.xlsx", "A 24251-2024")</f>
        <v/>
      </c>
      <c r="T244">
        <f>HYPERLINK("https://klasma.github.io/Logging_2361/kartor/A 24251-2024 karta.png", "A 24251-2024")</f>
        <v/>
      </c>
      <c r="V244">
        <f>HYPERLINK("https://klasma.github.io/Logging_2361/klagomål/A 24251-2024 FSC-klagomål.docx", "A 24251-2024")</f>
        <v/>
      </c>
      <c r="W244">
        <f>HYPERLINK("https://klasma.github.io/Logging_2361/klagomålsmail/A 24251-2024 FSC-klagomål mail.docx", "A 24251-2024")</f>
        <v/>
      </c>
      <c r="X244">
        <f>HYPERLINK("https://klasma.github.io/Logging_2361/tillsyn/A 24251-2024 tillsynsbegäran.docx", "A 24251-2024")</f>
        <v/>
      </c>
      <c r="Y244">
        <f>HYPERLINK("https://klasma.github.io/Logging_2361/tillsynsmail/A 24251-2024 tillsynsbegäran mail.docx", "A 24251-2024")</f>
        <v/>
      </c>
    </row>
    <row r="245" ht="15" customHeight="1">
      <c r="A245" t="inlineStr">
        <is>
          <t>A 25942-2024</t>
        </is>
      </c>
      <c r="B245" s="1" t="n">
        <v>45467</v>
      </c>
      <c r="C245" s="1" t="n">
        <v>45828</v>
      </c>
      <c r="D245" t="inlineStr">
        <is>
          <t>JÄMTLANDS LÄN</t>
        </is>
      </c>
      <c r="E245" t="inlineStr">
        <is>
          <t>HÄRJEDALEN</t>
        </is>
      </c>
      <c r="F245" t="inlineStr">
        <is>
          <t>Sveaskog</t>
        </is>
      </c>
      <c r="G245" t="n">
        <v>6.4</v>
      </c>
      <c r="H245" t="n">
        <v>0</v>
      </c>
      <c r="I245" t="n">
        <v>0</v>
      </c>
      <c r="J245" t="n">
        <v>1</v>
      </c>
      <c r="K245" t="n">
        <v>0</v>
      </c>
      <c r="L245" t="n">
        <v>0</v>
      </c>
      <c r="M245" t="n">
        <v>0</v>
      </c>
      <c r="N245" t="n">
        <v>0</v>
      </c>
      <c r="O245" t="n">
        <v>1</v>
      </c>
      <c r="P245" t="n">
        <v>0</v>
      </c>
      <c r="Q245" t="n">
        <v>1</v>
      </c>
      <c r="R245" s="2" t="inlineStr">
        <is>
          <t>Lunglav</t>
        </is>
      </c>
      <c r="S245">
        <f>HYPERLINK("https://klasma.github.io/Logging_2361/artfynd/A 25942-2024 artfynd.xlsx", "A 25942-2024")</f>
        <v/>
      </c>
      <c r="T245">
        <f>HYPERLINK("https://klasma.github.io/Logging_2361/kartor/A 25942-2024 karta.png", "A 25942-2024")</f>
        <v/>
      </c>
      <c r="V245">
        <f>HYPERLINK("https://klasma.github.io/Logging_2361/klagomål/A 25942-2024 FSC-klagomål.docx", "A 25942-2024")</f>
        <v/>
      </c>
      <c r="W245">
        <f>HYPERLINK("https://klasma.github.io/Logging_2361/klagomålsmail/A 25942-2024 FSC-klagomål mail.docx", "A 25942-2024")</f>
        <v/>
      </c>
      <c r="X245">
        <f>HYPERLINK("https://klasma.github.io/Logging_2361/tillsyn/A 25942-2024 tillsynsbegäran.docx", "A 25942-2024")</f>
        <v/>
      </c>
      <c r="Y245">
        <f>HYPERLINK("https://klasma.github.io/Logging_2361/tillsynsmail/A 25942-2024 tillsynsbegäran mail.docx", "A 25942-2024")</f>
        <v/>
      </c>
    </row>
    <row r="246" ht="15" customHeight="1">
      <c r="A246" t="inlineStr">
        <is>
          <t>A 28629-2024</t>
        </is>
      </c>
      <c r="B246" s="1" t="n">
        <v>45478</v>
      </c>
      <c r="C246" s="1" t="n">
        <v>45828</v>
      </c>
      <c r="D246" t="inlineStr">
        <is>
          <t>JÄMTLANDS LÄN</t>
        </is>
      </c>
      <c r="E246" t="inlineStr">
        <is>
          <t>HÄRJEDALEN</t>
        </is>
      </c>
      <c r="G246" t="n">
        <v>8.699999999999999</v>
      </c>
      <c r="H246" t="n">
        <v>1</v>
      </c>
      <c r="I246" t="n">
        <v>0</v>
      </c>
      <c r="J246" t="n">
        <v>0</v>
      </c>
      <c r="K246" t="n">
        <v>0</v>
      </c>
      <c r="L246" t="n">
        <v>1</v>
      </c>
      <c r="M246" t="n">
        <v>0</v>
      </c>
      <c r="N246" t="n">
        <v>0</v>
      </c>
      <c r="O246" t="n">
        <v>1</v>
      </c>
      <c r="P246" t="n">
        <v>1</v>
      </c>
      <c r="Q246" t="n">
        <v>1</v>
      </c>
      <c r="R246" s="2" t="inlineStr">
        <is>
          <t>Mosippa</t>
        </is>
      </c>
      <c r="S246">
        <f>HYPERLINK("https://klasma.github.io/Logging_2361/artfynd/A 28629-2024 artfynd.xlsx", "A 28629-2024")</f>
        <v/>
      </c>
      <c r="T246">
        <f>HYPERLINK("https://klasma.github.io/Logging_2361/kartor/A 28629-2024 karta.png", "A 28629-2024")</f>
        <v/>
      </c>
      <c r="V246">
        <f>HYPERLINK("https://klasma.github.io/Logging_2361/klagomål/A 28629-2024 FSC-klagomål.docx", "A 28629-2024")</f>
        <v/>
      </c>
      <c r="W246">
        <f>HYPERLINK("https://klasma.github.io/Logging_2361/klagomålsmail/A 28629-2024 FSC-klagomål mail.docx", "A 28629-2024")</f>
        <v/>
      </c>
      <c r="X246">
        <f>HYPERLINK("https://klasma.github.io/Logging_2361/tillsyn/A 28629-2024 tillsynsbegäran.docx", "A 28629-2024")</f>
        <v/>
      </c>
      <c r="Y246">
        <f>HYPERLINK("https://klasma.github.io/Logging_2361/tillsynsmail/A 28629-2024 tillsynsbegäran mail.docx", "A 28629-2024")</f>
        <v/>
      </c>
    </row>
    <row r="247" ht="15" customHeight="1">
      <c r="A247" t="inlineStr">
        <is>
          <t>A 31607-2024</t>
        </is>
      </c>
      <c r="B247" s="1" t="n">
        <v>45506</v>
      </c>
      <c r="C247" s="1" t="n">
        <v>45828</v>
      </c>
      <c r="D247" t="inlineStr">
        <is>
          <t>JÄMTLANDS LÄN</t>
        </is>
      </c>
      <c r="E247" t="inlineStr">
        <is>
          <t>HÄRJEDALEN</t>
        </is>
      </c>
      <c r="F247" t="inlineStr">
        <is>
          <t>Sveaskog</t>
        </is>
      </c>
      <c r="G247" t="n">
        <v>9.1</v>
      </c>
      <c r="H247" t="n">
        <v>0</v>
      </c>
      <c r="I247" t="n">
        <v>1</v>
      </c>
      <c r="J247" t="n">
        <v>0</v>
      </c>
      <c r="K247" t="n">
        <v>0</v>
      </c>
      <c r="L247" t="n">
        <v>0</v>
      </c>
      <c r="M247" t="n">
        <v>0</v>
      </c>
      <c r="N247" t="n">
        <v>0</v>
      </c>
      <c r="O247" t="n">
        <v>0</v>
      </c>
      <c r="P247" t="n">
        <v>0</v>
      </c>
      <c r="Q247" t="n">
        <v>1</v>
      </c>
      <c r="R247" s="2" t="inlineStr">
        <is>
          <t>Dropptaggsvamp</t>
        </is>
      </c>
      <c r="S247">
        <f>HYPERLINK("https://klasma.github.io/Logging_2361/artfynd/A 31607-2024 artfynd.xlsx", "A 31607-2024")</f>
        <v/>
      </c>
      <c r="T247">
        <f>HYPERLINK("https://klasma.github.io/Logging_2361/kartor/A 31607-2024 karta.png", "A 31607-2024")</f>
        <v/>
      </c>
      <c r="V247">
        <f>HYPERLINK("https://klasma.github.io/Logging_2361/klagomål/A 31607-2024 FSC-klagomål.docx", "A 31607-2024")</f>
        <v/>
      </c>
      <c r="W247">
        <f>HYPERLINK("https://klasma.github.io/Logging_2361/klagomålsmail/A 31607-2024 FSC-klagomål mail.docx", "A 31607-2024")</f>
        <v/>
      </c>
      <c r="X247">
        <f>HYPERLINK("https://klasma.github.io/Logging_2361/tillsyn/A 31607-2024 tillsynsbegäran.docx", "A 31607-2024")</f>
        <v/>
      </c>
      <c r="Y247">
        <f>HYPERLINK("https://klasma.github.io/Logging_2361/tillsynsmail/A 31607-2024 tillsynsbegäran mail.docx", "A 31607-2024")</f>
        <v/>
      </c>
    </row>
    <row r="248" ht="15" customHeight="1">
      <c r="A248" t="inlineStr">
        <is>
          <t>A 37451-2024</t>
        </is>
      </c>
      <c r="B248" s="1" t="n">
        <v>45540</v>
      </c>
      <c r="C248" s="1" t="n">
        <v>45828</v>
      </c>
      <c r="D248" t="inlineStr">
        <is>
          <t>JÄMTLANDS LÄN</t>
        </is>
      </c>
      <c r="E248" t="inlineStr">
        <is>
          <t>HÄRJEDALEN</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HYPERLINK("https://klasma.github.io/Logging_2361/artfynd/A 37451-2024 artfynd.xlsx", "A 37451-2024")</f>
        <v/>
      </c>
      <c r="T248">
        <f>HYPERLINK("https://klasma.github.io/Logging_2361/kartor/A 37451-2024 karta.png", "A 37451-2024")</f>
        <v/>
      </c>
      <c r="V248">
        <f>HYPERLINK("https://klasma.github.io/Logging_2361/klagomål/A 37451-2024 FSC-klagomål.docx", "A 37451-2024")</f>
        <v/>
      </c>
      <c r="W248">
        <f>HYPERLINK("https://klasma.github.io/Logging_2361/klagomålsmail/A 37451-2024 FSC-klagomål mail.docx", "A 37451-2024")</f>
        <v/>
      </c>
      <c r="X248">
        <f>HYPERLINK("https://klasma.github.io/Logging_2361/tillsyn/A 37451-2024 tillsynsbegäran.docx", "A 37451-2024")</f>
        <v/>
      </c>
      <c r="Y248">
        <f>HYPERLINK("https://klasma.github.io/Logging_2361/tillsynsmail/A 37451-2024 tillsynsbegäran mail.docx", "A 37451-2024")</f>
        <v/>
      </c>
    </row>
    <row r="249" ht="15" customHeight="1">
      <c r="A249" t="inlineStr">
        <is>
          <t>A 38285-2024</t>
        </is>
      </c>
      <c r="B249" s="1" t="n">
        <v>45545</v>
      </c>
      <c r="C249" s="1" t="n">
        <v>45828</v>
      </c>
      <c r="D249" t="inlineStr">
        <is>
          <t>JÄMTLANDS LÄN</t>
        </is>
      </c>
      <c r="E249" t="inlineStr">
        <is>
          <t>HÄRJEDALEN</t>
        </is>
      </c>
      <c r="F249" t="inlineStr">
        <is>
          <t>Sveaskog</t>
        </is>
      </c>
      <c r="G249" t="n">
        <v>4.9</v>
      </c>
      <c r="H249" t="n">
        <v>0</v>
      </c>
      <c r="I249" t="n">
        <v>0</v>
      </c>
      <c r="J249" t="n">
        <v>1</v>
      </c>
      <c r="K249" t="n">
        <v>0</v>
      </c>
      <c r="L249" t="n">
        <v>0</v>
      </c>
      <c r="M249" t="n">
        <v>0</v>
      </c>
      <c r="N249" t="n">
        <v>0</v>
      </c>
      <c r="O249" t="n">
        <v>1</v>
      </c>
      <c r="P249" t="n">
        <v>0</v>
      </c>
      <c r="Q249" t="n">
        <v>1</v>
      </c>
      <c r="R249" s="2" t="inlineStr">
        <is>
          <t>Lunglav</t>
        </is>
      </c>
      <c r="S249">
        <f>HYPERLINK("https://klasma.github.io/Logging_2361/artfynd/A 38285-2024 artfynd.xlsx", "A 38285-2024")</f>
        <v/>
      </c>
      <c r="T249">
        <f>HYPERLINK("https://klasma.github.io/Logging_2361/kartor/A 38285-2024 karta.png", "A 38285-2024")</f>
        <v/>
      </c>
      <c r="V249">
        <f>HYPERLINK("https://klasma.github.io/Logging_2361/klagomål/A 38285-2024 FSC-klagomål.docx", "A 38285-2024")</f>
        <v/>
      </c>
      <c r="W249">
        <f>HYPERLINK("https://klasma.github.io/Logging_2361/klagomålsmail/A 38285-2024 FSC-klagomål mail.docx", "A 38285-2024")</f>
        <v/>
      </c>
      <c r="X249">
        <f>HYPERLINK("https://klasma.github.io/Logging_2361/tillsyn/A 38285-2024 tillsynsbegäran.docx", "A 38285-2024")</f>
        <v/>
      </c>
      <c r="Y249">
        <f>HYPERLINK("https://klasma.github.io/Logging_2361/tillsynsmail/A 38285-2024 tillsynsbegäran mail.docx", "A 38285-2024")</f>
        <v/>
      </c>
    </row>
    <row r="250" ht="15" customHeight="1">
      <c r="A250" t="inlineStr">
        <is>
          <t>A 43744-2024</t>
        </is>
      </c>
      <c r="B250" s="1" t="n">
        <v>45569</v>
      </c>
      <c r="C250" s="1" t="n">
        <v>45828</v>
      </c>
      <c r="D250" t="inlineStr">
        <is>
          <t>JÄMTLANDS LÄN</t>
        </is>
      </c>
      <c r="E250" t="inlineStr">
        <is>
          <t>HÄRJEDALEN</t>
        </is>
      </c>
      <c r="G250" t="n">
        <v>15.8</v>
      </c>
      <c r="H250" t="n">
        <v>1</v>
      </c>
      <c r="I250" t="n">
        <v>0</v>
      </c>
      <c r="J250" t="n">
        <v>1</v>
      </c>
      <c r="K250" t="n">
        <v>0</v>
      </c>
      <c r="L250" t="n">
        <v>0</v>
      </c>
      <c r="M250" t="n">
        <v>0</v>
      </c>
      <c r="N250" t="n">
        <v>0</v>
      </c>
      <c r="O250" t="n">
        <v>1</v>
      </c>
      <c r="P250" t="n">
        <v>0</v>
      </c>
      <c r="Q250" t="n">
        <v>1</v>
      </c>
      <c r="R250" s="2" t="inlineStr">
        <is>
          <t>Skogsfru</t>
        </is>
      </c>
      <c r="S250">
        <f>HYPERLINK("https://klasma.github.io/Logging_2361/artfynd/A 43744-2024 artfynd.xlsx", "A 43744-2024")</f>
        <v/>
      </c>
      <c r="T250">
        <f>HYPERLINK("https://klasma.github.io/Logging_2361/kartor/A 43744-2024 karta.png", "A 43744-2024")</f>
        <v/>
      </c>
      <c r="V250">
        <f>HYPERLINK("https://klasma.github.io/Logging_2361/klagomål/A 43744-2024 FSC-klagomål.docx", "A 43744-2024")</f>
        <v/>
      </c>
      <c r="W250">
        <f>HYPERLINK("https://klasma.github.io/Logging_2361/klagomålsmail/A 43744-2024 FSC-klagomål mail.docx", "A 43744-2024")</f>
        <v/>
      </c>
      <c r="X250">
        <f>HYPERLINK("https://klasma.github.io/Logging_2361/tillsyn/A 43744-2024 tillsynsbegäran.docx", "A 43744-2024")</f>
        <v/>
      </c>
      <c r="Y250">
        <f>HYPERLINK("https://klasma.github.io/Logging_2361/tillsynsmail/A 43744-2024 tillsynsbegäran mail.docx", "A 43744-2024")</f>
        <v/>
      </c>
    </row>
    <row r="251" ht="15" customHeight="1">
      <c r="A251" t="inlineStr">
        <is>
          <t>A 44222-2024</t>
        </is>
      </c>
      <c r="B251" s="1" t="n">
        <v>45573</v>
      </c>
      <c r="C251" s="1" t="n">
        <v>45828</v>
      </c>
      <c r="D251" t="inlineStr">
        <is>
          <t>JÄMTLANDS LÄN</t>
        </is>
      </c>
      <c r="E251" t="inlineStr">
        <is>
          <t>HÄRJEDALEN</t>
        </is>
      </c>
      <c r="G251" t="n">
        <v>15.3</v>
      </c>
      <c r="H251" t="n">
        <v>1</v>
      </c>
      <c r="I251" t="n">
        <v>0</v>
      </c>
      <c r="J251" t="n">
        <v>0</v>
      </c>
      <c r="K251" t="n">
        <v>1</v>
      </c>
      <c r="L251" t="n">
        <v>0</v>
      </c>
      <c r="M251" t="n">
        <v>0</v>
      </c>
      <c r="N251" t="n">
        <v>0</v>
      </c>
      <c r="O251" t="n">
        <v>1</v>
      </c>
      <c r="P251" t="n">
        <v>1</v>
      </c>
      <c r="Q251" t="n">
        <v>1</v>
      </c>
      <c r="R251" s="2" t="inlineStr">
        <is>
          <t>Knärot</t>
        </is>
      </c>
      <c r="S251">
        <f>HYPERLINK("https://klasma.github.io/Logging_2361/artfynd/A 44222-2024 artfynd.xlsx", "A 44222-2024")</f>
        <v/>
      </c>
      <c r="T251">
        <f>HYPERLINK("https://klasma.github.io/Logging_2361/kartor/A 44222-2024 karta.png", "A 44222-2024")</f>
        <v/>
      </c>
      <c r="U251">
        <f>HYPERLINK("https://klasma.github.io/Logging_2361/knärot/A 44222-2024 karta knärot.png", "A 44222-2024")</f>
        <v/>
      </c>
      <c r="V251">
        <f>HYPERLINK("https://klasma.github.io/Logging_2361/klagomål/A 44222-2024 FSC-klagomål.docx", "A 44222-2024")</f>
        <v/>
      </c>
      <c r="W251">
        <f>HYPERLINK("https://klasma.github.io/Logging_2361/klagomålsmail/A 44222-2024 FSC-klagomål mail.docx", "A 44222-2024")</f>
        <v/>
      </c>
      <c r="X251">
        <f>HYPERLINK("https://klasma.github.io/Logging_2361/tillsyn/A 44222-2024 tillsynsbegäran.docx", "A 44222-2024")</f>
        <v/>
      </c>
      <c r="Y251">
        <f>HYPERLINK("https://klasma.github.io/Logging_2361/tillsynsmail/A 44222-2024 tillsynsbegäran mail.docx", "A 44222-2024")</f>
        <v/>
      </c>
    </row>
    <row r="252" ht="15" customHeight="1">
      <c r="A252" t="inlineStr">
        <is>
          <t>A 51234-2024</t>
        </is>
      </c>
      <c r="B252" s="1" t="n">
        <v>45603</v>
      </c>
      <c r="C252" s="1" t="n">
        <v>45828</v>
      </c>
      <c r="D252" t="inlineStr">
        <is>
          <t>JÄMTLANDS LÄN</t>
        </is>
      </c>
      <c r="E252" t="inlineStr">
        <is>
          <t>HÄRJEDALEN</t>
        </is>
      </c>
      <c r="F252" t="inlineStr">
        <is>
          <t>Holmen skog AB</t>
        </is>
      </c>
      <c r="G252" t="n">
        <v>2.6</v>
      </c>
      <c r="H252" t="n">
        <v>0</v>
      </c>
      <c r="I252" t="n">
        <v>0</v>
      </c>
      <c r="J252" t="n">
        <v>1</v>
      </c>
      <c r="K252" t="n">
        <v>0</v>
      </c>
      <c r="L252" t="n">
        <v>0</v>
      </c>
      <c r="M252" t="n">
        <v>0</v>
      </c>
      <c r="N252" t="n">
        <v>0</v>
      </c>
      <c r="O252" t="n">
        <v>1</v>
      </c>
      <c r="P252" t="n">
        <v>0</v>
      </c>
      <c r="Q252" t="n">
        <v>1</v>
      </c>
      <c r="R252" s="2" t="inlineStr">
        <is>
          <t>Blågrå svartspik</t>
        </is>
      </c>
      <c r="S252">
        <f>HYPERLINK("https://klasma.github.io/Logging_2361/artfynd/A 51234-2024 artfynd.xlsx", "A 51234-2024")</f>
        <v/>
      </c>
      <c r="T252">
        <f>HYPERLINK("https://klasma.github.io/Logging_2361/kartor/A 51234-2024 karta.png", "A 51234-2024")</f>
        <v/>
      </c>
      <c r="V252">
        <f>HYPERLINK("https://klasma.github.io/Logging_2361/klagomål/A 51234-2024 FSC-klagomål.docx", "A 51234-2024")</f>
        <v/>
      </c>
      <c r="W252">
        <f>HYPERLINK("https://klasma.github.io/Logging_2361/klagomålsmail/A 51234-2024 FSC-klagomål mail.docx", "A 51234-2024")</f>
        <v/>
      </c>
      <c r="X252">
        <f>HYPERLINK("https://klasma.github.io/Logging_2361/tillsyn/A 51234-2024 tillsynsbegäran.docx", "A 51234-2024")</f>
        <v/>
      </c>
      <c r="Y252">
        <f>HYPERLINK("https://klasma.github.io/Logging_2361/tillsynsmail/A 51234-2024 tillsynsbegäran mail.docx", "A 51234-2024")</f>
        <v/>
      </c>
    </row>
    <row r="253" ht="15" customHeight="1">
      <c r="A253" t="inlineStr">
        <is>
          <t>A 54520-2024</t>
        </is>
      </c>
      <c r="B253" s="1" t="n">
        <v>45617</v>
      </c>
      <c r="C253" s="1" t="n">
        <v>45828</v>
      </c>
      <c r="D253" t="inlineStr">
        <is>
          <t>JÄMTLANDS LÄN</t>
        </is>
      </c>
      <c r="E253" t="inlineStr">
        <is>
          <t>HÄRJEDALEN</t>
        </is>
      </c>
      <c r="F253" t="inlineStr">
        <is>
          <t>Holmen skog AB</t>
        </is>
      </c>
      <c r="G253" t="n">
        <v>4.6</v>
      </c>
      <c r="H253" t="n">
        <v>1</v>
      </c>
      <c r="I253" t="n">
        <v>0</v>
      </c>
      <c r="J253" t="n">
        <v>1</v>
      </c>
      <c r="K253" t="n">
        <v>0</v>
      </c>
      <c r="L253" t="n">
        <v>0</v>
      </c>
      <c r="M253" t="n">
        <v>0</v>
      </c>
      <c r="N253" t="n">
        <v>0</v>
      </c>
      <c r="O253" t="n">
        <v>1</v>
      </c>
      <c r="P253" t="n">
        <v>0</v>
      </c>
      <c r="Q253" t="n">
        <v>1</v>
      </c>
      <c r="R253" s="2" t="inlineStr">
        <is>
          <t>Talltita</t>
        </is>
      </c>
      <c r="S253">
        <f>HYPERLINK("https://klasma.github.io/Logging_2361/artfynd/A 54520-2024 artfynd.xlsx", "A 54520-2024")</f>
        <v/>
      </c>
      <c r="T253">
        <f>HYPERLINK("https://klasma.github.io/Logging_2361/kartor/A 54520-2024 karta.png", "A 54520-2024")</f>
        <v/>
      </c>
      <c r="V253">
        <f>HYPERLINK("https://klasma.github.io/Logging_2361/klagomål/A 54520-2024 FSC-klagomål.docx", "A 54520-2024")</f>
        <v/>
      </c>
      <c r="W253">
        <f>HYPERLINK("https://klasma.github.io/Logging_2361/klagomålsmail/A 54520-2024 FSC-klagomål mail.docx", "A 54520-2024")</f>
        <v/>
      </c>
      <c r="X253">
        <f>HYPERLINK("https://klasma.github.io/Logging_2361/tillsyn/A 54520-2024 tillsynsbegäran.docx", "A 54520-2024")</f>
        <v/>
      </c>
      <c r="Y253">
        <f>HYPERLINK("https://klasma.github.io/Logging_2361/tillsynsmail/A 54520-2024 tillsynsbegäran mail.docx", "A 54520-2024")</f>
        <v/>
      </c>
      <c r="Z253">
        <f>HYPERLINK("https://klasma.github.io/Logging_2361/fåglar/A 54520-2024 prioriterade fågelarter.docx", "A 54520-2024")</f>
        <v/>
      </c>
    </row>
    <row r="254" ht="15" customHeight="1">
      <c r="A254" t="inlineStr">
        <is>
          <t>A 55135-2024</t>
        </is>
      </c>
      <c r="B254" s="1" t="n">
        <v>45621</v>
      </c>
      <c r="C254" s="1" t="n">
        <v>45828</v>
      </c>
      <c r="D254" t="inlineStr">
        <is>
          <t>JÄMTLANDS LÄN</t>
        </is>
      </c>
      <c r="E254" t="inlineStr">
        <is>
          <t>HÄRJEDALEN</t>
        </is>
      </c>
      <c r="F254" t="inlineStr">
        <is>
          <t>Sveaskog</t>
        </is>
      </c>
      <c r="G254" t="n">
        <v>12.6</v>
      </c>
      <c r="H254" t="n">
        <v>0</v>
      </c>
      <c r="I254" t="n">
        <v>1</v>
      </c>
      <c r="J254" t="n">
        <v>0</v>
      </c>
      <c r="K254" t="n">
        <v>0</v>
      </c>
      <c r="L254" t="n">
        <v>0</v>
      </c>
      <c r="M254" t="n">
        <v>0</v>
      </c>
      <c r="N254" t="n">
        <v>0</v>
      </c>
      <c r="O254" t="n">
        <v>0</v>
      </c>
      <c r="P254" t="n">
        <v>0</v>
      </c>
      <c r="Q254" t="n">
        <v>1</v>
      </c>
      <c r="R254" s="2" t="inlineStr">
        <is>
          <t>Skarp dropptaggsvamp</t>
        </is>
      </c>
      <c r="S254">
        <f>HYPERLINK("https://klasma.github.io/Logging_2361/artfynd/A 55135-2024 artfynd.xlsx", "A 55135-2024")</f>
        <v/>
      </c>
      <c r="T254">
        <f>HYPERLINK("https://klasma.github.io/Logging_2361/kartor/A 55135-2024 karta.png", "A 55135-2024")</f>
        <v/>
      </c>
      <c r="V254">
        <f>HYPERLINK("https://klasma.github.io/Logging_2361/klagomål/A 55135-2024 FSC-klagomål.docx", "A 55135-2024")</f>
        <v/>
      </c>
      <c r="W254">
        <f>HYPERLINK("https://klasma.github.io/Logging_2361/klagomålsmail/A 55135-2024 FSC-klagomål mail.docx", "A 55135-2024")</f>
        <v/>
      </c>
      <c r="X254">
        <f>HYPERLINK("https://klasma.github.io/Logging_2361/tillsyn/A 55135-2024 tillsynsbegäran.docx", "A 55135-2024")</f>
        <v/>
      </c>
      <c r="Y254">
        <f>HYPERLINK("https://klasma.github.io/Logging_2361/tillsynsmail/A 55135-2024 tillsynsbegäran mail.docx", "A 55135-2024")</f>
        <v/>
      </c>
    </row>
    <row r="255" ht="15" customHeight="1">
      <c r="A255" t="inlineStr">
        <is>
          <t>A 55214-2024</t>
        </is>
      </c>
      <c r="B255" s="1" t="n">
        <v>45621</v>
      </c>
      <c r="C255" s="1" t="n">
        <v>45828</v>
      </c>
      <c r="D255" t="inlineStr">
        <is>
          <t>JÄMTLANDS LÄN</t>
        </is>
      </c>
      <c r="E255" t="inlineStr">
        <is>
          <t>HÄRJEDALEN</t>
        </is>
      </c>
      <c r="F255" t="inlineStr">
        <is>
          <t>Sveaskog</t>
        </is>
      </c>
      <c r="G255" t="n">
        <v>1.1</v>
      </c>
      <c r="H255" t="n">
        <v>0</v>
      </c>
      <c r="I255" t="n">
        <v>0</v>
      </c>
      <c r="J255" t="n">
        <v>1</v>
      </c>
      <c r="K255" t="n">
        <v>0</v>
      </c>
      <c r="L255" t="n">
        <v>0</v>
      </c>
      <c r="M255" t="n">
        <v>0</v>
      </c>
      <c r="N255" t="n">
        <v>0</v>
      </c>
      <c r="O255" t="n">
        <v>1</v>
      </c>
      <c r="P255" t="n">
        <v>0</v>
      </c>
      <c r="Q255" t="n">
        <v>1</v>
      </c>
      <c r="R255" s="2" t="inlineStr">
        <is>
          <t>Kolflarnlav</t>
        </is>
      </c>
      <c r="S255">
        <f>HYPERLINK("https://klasma.github.io/Logging_2361/artfynd/A 55214-2024 artfynd.xlsx", "A 55214-2024")</f>
        <v/>
      </c>
      <c r="T255">
        <f>HYPERLINK("https://klasma.github.io/Logging_2361/kartor/A 55214-2024 karta.png", "A 55214-2024")</f>
        <v/>
      </c>
      <c r="V255">
        <f>HYPERLINK("https://klasma.github.io/Logging_2361/klagomål/A 55214-2024 FSC-klagomål.docx", "A 55214-2024")</f>
        <v/>
      </c>
      <c r="W255">
        <f>HYPERLINK("https://klasma.github.io/Logging_2361/klagomålsmail/A 55214-2024 FSC-klagomål mail.docx", "A 55214-2024")</f>
        <v/>
      </c>
      <c r="X255">
        <f>HYPERLINK("https://klasma.github.io/Logging_2361/tillsyn/A 55214-2024 tillsynsbegäran.docx", "A 55214-2024")</f>
        <v/>
      </c>
      <c r="Y255">
        <f>HYPERLINK("https://klasma.github.io/Logging_2361/tillsynsmail/A 55214-2024 tillsynsbegäran mail.docx", "A 55214-2024")</f>
        <v/>
      </c>
    </row>
    <row r="256" ht="15" customHeight="1">
      <c r="A256" t="inlineStr">
        <is>
          <t>A 59367-2024</t>
        </is>
      </c>
      <c r="B256" s="1" t="n">
        <v>45638</v>
      </c>
      <c r="C256" s="1" t="n">
        <v>45828</v>
      </c>
      <c r="D256" t="inlineStr">
        <is>
          <t>JÄMTLANDS LÄN</t>
        </is>
      </c>
      <c r="E256" t="inlineStr">
        <is>
          <t>HÄRJEDALEN</t>
        </is>
      </c>
      <c r="F256" t="inlineStr">
        <is>
          <t>Holmen skog AB</t>
        </is>
      </c>
      <c r="G256" t="n">
        <v>5.9</v>
      </c>
      <c r="H256" t="n">
        <v>0</v>
      </c>
      <c r="I256" t="n">
        <v>0</v>
      </c>
      <c r="J256" t="n">
        <v>1</v>
      </c>
      <c r="K256" t="n">
        <v>0</v>
      </c>
      <c r="L256" t="n">
        <v>0</v>
      </c>
      <c r="M256" t="n">
        <v>0</v>
      </c>
      <c r="N256" t="n">
        <v>0</v>
      </c>
      <c r="O256" t="n">
        <v>1</v>
      </c>
      <c r="P256" t="n">
        <v>0</v>
      </c>
      <c r="Q256" t="n">
        <v>1</v>
      </c>
      <c r="R256" s="2" t="inlineStr">
        <is>
          <t>Vedflamlav</t>
        </is>
      </c>
      <c r="S256">
        <f>HYPERLINK("https://klasma.github.io/Logging_2361/artfynd/A 59367-2024 artfynd.xlsx", "A 59367-2024")</f>
        <v/>
      </c>
      <c r="T256">
        <f>HYPERLINK("https://klasma.github.io/Logging_2361/kartor/A 59367-2024 karta.png", "A 59367-2024")</f>
        <v/>
      </c>
      <c r="V256">
        <f>HYPERLINK("https://klasma.github.io/Logging_2361/klagomål/A 59367-2024 FSC-klagomål.docx", "A 59367-2024")</f>
        <v/>
      </c>
      <c r="W256">
        <f>HYPERLINK("https://klasma.github.io/Logging_2361/klagomålsmail/A 59367-2024 FSC-klagomål mail.docx", "A 59367-2024")</f>
        <v/>
      </c>
      <c r="X256">
        <f>HYPERLINK("https://klasma.github.io/Logging_2361/tillsyn/A 59367-2024 tillsynsbegäran.docx", "A 59367-2024")</f>
        <v/>
      </c>
      <c r="Y256">
        <f>HYPERLINK("https://klasma.github.io/Logging_2361/tillsynsmail/A 59367-2024 tillsynsbegäran mail.docx", "A 59367-2024")</f>
        <v/>
      </c>
    </row>
    <row r="257" ht="15" customHeight="1">
      <c r="A257" t="inlineStr">
        <is>
          <t>A 2041-2025</t>
        </is>
      </c>
      <c r="B257" s="1" t="n">
        <v>45672</v>
      </c>
      <c r="C257" s="1" t="n">
        <v>45828</v>
      </c>
      <c r="D257" t="inlineStr">
        <is>
          <t>JÄMTLANDS LÄN</t>
        </is>
      </c>
      <c r="E257" t="inlineStr">
        <is>
          <t>HÄRJEDALEN</t>
        </is>
      </c>
      <c r="G257" t="n">
        <v>10</v>
      </c>
      <c r="H257" t="n">
        <v>0</v>
      </c>
      <c r="I257" t="n">
        <v>0</v>
      </c>
      <c r="J257" t="n">
        <v>1</v>
      </c>
      <c r="K257" t="n">
        <v>0</v>
      </c>
      <c r="L257" t="n">
        <v>0</v>
      </c>
      <c r="M257" t="n">
        <v>0</v>
      </c>
      <c r="N257" t="n">
        <v>0</v>
      </c>
      <c r="O257" t="n">
        <v>1</v>
      </c>
      <c r="P257" t="n">
        <v>0</v>
      </c>
      <c r="Q257" t="n">
        <v>1</v>
      </c>
      <c r="R257" s="2" t="inlineStr">
        <is>
          <t>Gränsticka</t>
        </is>
      </c>
      <c r="S257">
        <f>HYPERLINK("https://klasma.github.io/Logging_2361/artfynd/A 2041-2025 artfynd.xlsx", "A 2041-2025")</f>
        <v/>
      </c>
      <c r="T257">
        <f>HYPERLINK("https://klasma.github.io/Logging_2361/kartor/A 2041-2025 karta.png", "A 2041-2025")</f>
        <v/>
      </c>
      <c r="V257">
        <f>HYPERLINK("https://klasma.github.io/Logging_2361/klagomål/A 2041-2025 FSC-klagomål.docx", "A 2041-2025")</f>
        <v/>
      </c>
      <c r="W257">
        <f>HYPERLINK("https://klasma.github.io/Logging_2361/klagomålsmail/A 2041-2025 FSC-klagomål mail.docx", "A 2041-2025")</f>
        <v/>
      </c>
      <c r="X257">
        <f>HYPERLINK("https://klasma.github.io/Logging_2361/tillsyn/A 2041-2025 tillsynsbegäran.docx", "A 2041-2025")</f>
        <v/>
      </c>
      <c r="Y257">
        <f>HYPERLINK("https://klasma.github.io/Logging_2361/tillsynsmail/A 2041-2025 tillsynsbegäran mail.docx", "A 2041-2025")</f>
        <v/>
      </c>
    </row>
    <row r="258" ht="15" customHeight="1">
      <c r="A258" t="inlineStr">
        <is>
          <t>A 9233-2025</t>
        </is>
      </c>
      <c r="B258" s="1" t="n">
        <v>45714</v>
      </c>
      <c r="C258" s="1" t="n">
        <v>45828</v>
      </c>
      <c r="D258" t="inlineStr">
        <is>
          <t>JÄMTLANDS LÄN</t>
        </is>
      </c>
      <c r="E258" t="inlineStr">
        <is>
          <t>HÄRJEDALEN</t>
        </is>
      </c>
      <c r="F258" t="inlineStr">
        <is>
          <t>SCA</t>
        </is>
      </c>
      <c r="G258" t="n">
        <v>16.8</v>
      </c>
      <c r="H258" t="n">
        <v>1</v>
      </c>
      <c r="I258" t="n">
        <v>0</v>
      </c>
      <c r="J258" t="n">
        <v>1</v>
      </c>
      <c r="K258" t="n">
        <v>0</v>
      </c>
      <c r="L258" t="n">
        <v>0</v>
      </c>
      <c r="M258" t="n">
        <v>0</v>
      </c>
      <c r="N258" t="n">
        <v>0</v>
      </c>
      <c r="O258" t="n">
        <v>1</v>
      </c>
      <c r="P258" t="n">
        <v>0</v>
      </c>
      <c r="Q258" t="n">
        <v>1</v>
      </c>
      <c r="R258" s="2" t="inlineStr">
        <is>
          <t>Järpe</t>
        </is>
      </c>
      <c r="S258">
        <f>HYPERLINK("https://klasma.github.io/Logging_2361/artfynd/A 9233-2025 artfynd.xlsx", "A 9233-2025")</f>
        <v/>
      </c>
      <c r="T258">
        <f>HYPERLINK("https://klasma.github.io/Logging_2361/kartor/A 9233-2025 karta.png", "A 9233-2025")</f>
        <v/>
      </c>
      <c r="V258">
        <f>HYPERLINK("https://klasma.github.io/Logging_2361/klagomål/A 9233-2025 FSC-klagomål.docx", "A 9233-2025")</f>
        <v/>
      </c>
      <c r="W258">
        <f>HYPERLINK("https://klasma.github.io/Logging_2361/klagomålsmail/A 9233-2025 FSC-klagomål mail.docx", "A 9233-2025")</f>
        <v/>
      </c>
      <c r="X258">
        <f>HYPERLINK("https://klasma.github.io/Logging_2361/tillsyn/A 9233-2025 tillsynsbegäran.docx", "A 9233-2025")</f>
        <v/>
      </c>
      <c r="Y258">
        <f>HYPERLINK("https://klasma.github.io/Logging_2361/tillsynsmail/A 9233-2025 tillsynsbegäran mail.docx", "A 9233-2025")</f>
        <v/>
      </c>
      <c r="Z258">
        <f>HYPERLINK("https://klasma.github.io/Logging_2361/fåglar/A 9233-2025 prioriterade fågelarter.docx", "A 9233-2025")</f>
        <v/>
      </c>
    </row>
    <row r="259" ht="15" customHeight="1">
      <c r="A259" t="inlineStr">
        <is>
          <t>A 12274-2025</t>
        </is>
      </c>
      <c r="B259" s="1" t="n">
        <v>45729</v>
      </c>
      <c r="C259" s="1" t="n">
        <v>45828</v>
      </c>
      <c r="D259" t="inlineStr">
        <is>
          <t>JÄMTLANDS LÄN</t>
        </is>
      </c>
      <c r="E259" t="inlineStr">
        <is>
          <t>HÄRJEDALEN</t>
        </is>
      </c>
      <c r="F259" t="inlineStr">
        <is>
          <t>Holmen skog AB</t>
        </is>
      </c>
      <c r="G259" t="n">
        <v>1</v>
      </c>
      <c r="H259" t="n">
        <v>0</v>
      </c>
      <c r="I259" t="n">
        <v>0</v>
      </c>
      <c r="J259" t="n">
        <v>1</v>
      </c>
      <c r="K259" t="n">
        <v>0</v>
      </c>
      <c r="L259" t="n">
        <v>0</v>
      </c>
      <c r="M259" t="n">
        <v>0</v>
      </c>
      <c r="N259" t="n">
        <v>0</v>
      </c>
      <c r="O259" t="n">
        <v>1</v>
      </c>
      <c r="P259" t="n">
        <v>0</v>
      </c>
      <c r="Q259" t="n">
        <v>1</v>
      </c>
      <c r="R259" s="2" t="inlineStr">
        <is>
          <t>Garnlav</t>
        </is>
      </c>
      <c r="S259">
        <f>HYPERLINK("https://klasma.github.io/Logging_232361/artfynd/A 12274-2025 artfynd.xlsx", "A 12274-2025")</f>
        <v/>
      </c>
      <c r="T259">
        <f>HYPERLINK("https://klasma.github.io/Logging_232361/kartor/A 12274-2025 karta.png", "A 12274-2025")</f>
        <v/>
      </c>
      <c r="V259">
        <f>HYPERLINK("https://klasma.github.io/Logging_232361/klagomål/A 12274-2025 FSC-klagomål.docx", "A 12274-2025")</f>
        <v/>
      </c>
      <c r="W259">
        <f>HYPERLINK("https://klasma.github.io/Logging_232361/klagomålsmail/A 12274-2025 FSC-klagomål mail.docx", "A 12274-2025")</f>
        <v/>
      </c>
      <c r="X259">
        <f>HYPERLINK("https://klasma.github.io/Logging_232361/tillsyn/A 12274-2025 tillsynsbegäran.docx", "A 12274-2025")</f>
        <v/>
      </c>
      <c r="Y259">
        <f>HYPERLINK("https://klasma.github.io/Logging_232361/tillsynsmail/A 12274-2025 tillsynsbegäran mail.docx", "A 12274-2025")</f>
        <v/>
      </c>
    </row>
    <row r="260" ht="15" customHeight="1">
      <c r="A260" t="inlineStr">
        <is>
          <t>A 17902-2025</t>
        </is>
      </c>
      <c r="B260" s="1" t="n">
        <v>45758</v>
      </c>
      <c r="C260" s="1" t="n">
        <v>45828</v>
      </c>
      <c r="D260" t="inlineStr">
        <is>
          <t>JÄMTLANDS LÄN</t>
        </is>
      </c>
      <c r="E260" t="inlineStr">
        <is>
          <t>HÄRJEDALEN</t>
        </is>
      </c>
      <c r="G260" t="n">
        <v>2.4</v>
      </c>
      <c r="H260" t="n">
        <v>0</v>
      </c>
      <c r="I260" t="n">
        <v>0</v>
      </c>
      <c r="J260" t="n">
        <v>1</v>
      </c>
      <c r="K260" t="n">
        <v>0</v>
      </c>
      <c r="L260" t="n">
        <v>0</v>
      </c>
      <c r="M260" t="n">
        <v>0</v>
      </c>
      <c r="N260" t="n">
        <v>0</v>
      </c>
      <c r="O260" t="n">
        <v>1</v>
      </c>
      <c r="P260" t="n">
        <v>0</v>
      </c>
      <c r="Q260" t="n">
        <v>1</v>
      </c>
      <c r="R260" s="2" t="inlineStr">
        <is>
          <t>Motaggsvamp</t>
        </is>
      </c>
      <c r="S260">
        <f>HYPERLINK("https://klasma.github.io/Logging_232361/artfynd/A 17902-2025 artfynd.xlsx", "A 17902-2025")</f>
        <v/>
      </c>
      <c r="T260">
        <f>HYPERLINK("https://klasma.github.io/Logging_232361/kartor/A 17902-2025 karta.png", "A 17902-2025")</f>
        <v/>
      </c>
      <c r="V260">
        <f>HYPERLINK("https://klasma.github.io/Logging_232361/klagomål/A 17902-2025 FSC-klagomål.docx", "A 17902-2025")</f>
        <v/>
      </c>
      <c r="W260">
        <f>HYPERLINK("https://klasma.github.io/Logging_232361/klagomålsmail/A 17902-2025 FSC-klagomål mail.docx", "A 17902-2025")</f>
        <v/>
      </c>
      <c r="X260">
        <f>HYPERLINK("https://klasma.github.io/Logging_232361/tillsyn/A 17902-2025 tillsynsbegäran.docx", "A 17902-2025")</f>
        <v/>
      </c>
      <c r="Y260">
        <f>HYPERLINK("https://klasma.github.io/Logging_232361/tillsynsmail/A 17902-2025 tillsynsbegäran mail.docx", "A 17902-2025")</f>
        <v/>
      </c>
    </row>
    <row r="261" ht="15" customHeight="1">
      <c r="A261" t="inlineStr">
        <is>
          <t>A 23331-2025</t>
        </is>
      </c>
      <c r="B261" s="1" t="n">
        <v>45791</v>
      </c>
      <c r="C261" s="1" t="n">
        <v>45828</v>
      </c>
      <c r="D261" t="inlineStr">
        <is>
          <t>JÄMTLANDS LÄN</t>
        </is>
      </c>
      <c r="E261" t="inlineStr">
        <is>
          <t>HÄRJEDALEN</t>
        </is>
      </c>
      <c r="G261" t="n">
        <v>1.6</v>
      </c>
      <c r="H261" t="n">
        <v>0</v>
      </c>
      <c r="I261" t="n">
        <v>0</v>
      </c>
      <c r="J261" t="n">
        <v>1</v>
      </c>
      <c r="K261" t="n">
        <v>0</v>
      </c>
      <c r="L261" t="n">
        <v>0</v>
      </c>
      <c r="M261" t="n">
        <v>0</v>
      </c>
      <c r="N261" t="n">
        <v>0</v>
      </c>
      <c r="O261" t="n">
        <v>1</v>
      </c>
      <c r="P261" t="n">
        <v>0</v>
      </c>
      <c r="Q261" t="n">
        <v>1</v>
      </c>
      <c r="R261" s="2" t="inlineStr">
        <is>
          <t>Lunglav</t>
        </is>
      </c>
      <c r="S261">
        <f>HYPERLINK("https://klasma.github.io/Logging_232361/artfynd/A 23331-2025 artfynd.xlsx", "A 23331-2025")</f>
        <v/>
      </c>
      <c r="T261">
        <f>HYPERLINK("https://klasma.github.io/Logging_232361/kartor/A 23331-2025 karta.png", "A 23331-2025")</f>
        <v/>
      </c>
      <c r="V261">
        <f>HYPERLINK("https://klasma.github.io/Logging_232361/klagomål/A 23331-2025 FSC-klagomål.docx", "A 23331-2025")</f>
        <v/>
      </c>
      <c r="W261">
        <f>HYPERLINK("https://klasma.github.io/Logging_232361/klagomålsmail/A 23331-2025 FSC-klagomål mail.docx", "A 23331-2025")</f>
        <v/>
      </c>
      <c r="X261">
        <f>HYPERLINK("https://klasma.github.io/Logging_232361/tillsyn/A 23331-2025 tillsynsbegäran.docx", "A 23331-2025")</f>
        <v/>
      </c>
      <c r="Y261">
        <f>HYPERLINK("https://klasma.github.io/Logging_232361/tillsynsmail/A 23331-2025 tillsynsbegäran mail.docx", "A 23331-2025")</f>
        <v/>
      </c>
    </row>
    <row r="262" ht="15" customHeight="1">
      <c r="A262" t="inlineStr">
        <is>
          <t>A 25368-2025</t>
        </is>
      </c>
      <c r="B262" s="1" t="n">
        <v>45800</v>
      </c>
      <c r="C262" s="1" t="n">
        <v>45828</v>
      </c>
      <c r="D262" t="inlineStr">
        <is>
          <t>JÄMTLANDS LÄN</t>
        </is>
      </c>
      <c r="E262" t="inlineStr">
        <is>
          <t>HÄRJEDALEN</t>
        </is>
      </c>
      <c r="F262" t="inlineStr">
        <is>
          <t>Sveaskog</t>
        </is>
      </c>
      <c r="G262" t="n">
        <v>5.8</v>
      </c>
      <c r="H262" t="n">
        <v>1</v>
      </c>
      <c r="I262" t="n">
        <v>0</v>
      </c>
      <c r="J262" t="n">
        <v>0</v>
      </c>
      <c r="K262" t="n">
        <v>1</v>
      </c>
      <c r="L262" t="n">
        <v>0</v>
      </c>
      <c r="M262" t="n">
        <v>0</v>
      </c>
      <c r="N262" t="n">
        <v>0</v>
      </c>
      <c r="O262" t="n">
        <v>1</v>
      </c>
      <c r="P262" t="n">
        <v>1</v>
      </c>
      <c r="Q262" t="n">
        <v>1</v>
      </c>
      <c r="R262" s="2" t="inlineStr">
        <is>
          <t>Knärot</t>
        </is>
      </c>
      <c r="S262">
        <f>HYPERLINK("https://klasma.github.io/Logging_232361/artfynd/A 25368-2025 artfynd.xlsx", "A 25368-2025")</f>
        <v/>
      </c>
      <c r="T262">
        <f>HYPERLINK("https://klasma.github.io/Logging_232361/kartor/A 25368-2025 karta.png", "A 25368-2025")</f>
        <v/>
      </c>
      <c r="U262">
        <f>HYPERLINK("https://klasma.github.io/Logging_232361/knärot/A 25368-2025 karta knärot.png", "A 25368-2025")</f>
        <v/>
      </c>
      <c r="V262">
        <f>HYPERLINK("https://klasma.github.io/Logging_232361/klagomål/A 25368-2025 FSC-klagomål.docx", "A 25368-2025")</f>
        <v/>
      </c>
      <c r="W262">
        <f>HYPERLINK("https://klasma.github.io/Logging_232361/klagomålsmail/A 25368-2025 FSC-klagomål mail.docx", "A 25368-2025")</f>
        <v/>
      </c>
      <c r="X262">
        <f>HYPERLINK("https://klasma.github.io/Logging_232361/tillsyn/A 25368-2025 tillsynsbegäran.docx", "A 25368-2025")</f>
        <v/>
      </c>
      <c r="Y262">
        <f>HYPERLINK("https://klasma.github.io/Logging_232361/tillsynsmail/A 25368-2025 tillsynsbegäran mail.docx", "A 25368-2025")</f>
        <v/>
      </c>
    </row>
    <row r="263" ht="15" customHeight="1">
      <c r="A263" t="inlineStr">
        <is>
          <t>A 26345-2025</t>
        </is>
      </c>
      <c r="B263" s="1" t="n">
        <v>45805</v>
      </c>
      <c r="C263" s="1" t="n">
        <v>45828</v>
      </c>
      <c r="D263" t="inlineStr">
        <is>
          <t>JÄMTLANDS LÄN</t>
        </is>
      </c>
      <c r="E263" t="inlineStr">
        <is>
          <t>HÄRJEDALEN</t>
        </is>
      </c>
      <c r="F263" t="inlineStr">
        <is>
          <t>Sveaskog</t>
        </is>
      </c>
      <c r="G263" t="n">
        <v>1.3</v>
      </c>
      <c r="H263" t="n">
        <v>0</v>
      </c>
      <c r="I263" t="n">
        <v>0</v>
      </c>
      <c r="J263" t="n">
        <v>1</v>
      </c>
      <c r="K263" t="n">
        <v>0</v>
      </c>
      <c r="L263" t="n">
        <v>0</v>
      </c>
      <c r="M263" t="n">
        <v>0</v>
      </c>
      <c r="N263" t="n">
        <v>0</v>
      </c>
      <c r="O263" t="n">
        <v>1</v>
      </c>
      <c r="P263" t="n">
        <v>0</v>
      </c>
      <c r="Q263" t="n">
        <v>1</v>
      </c>
      <c r="R263" s="2" t="inlineStr">
        <is>
          <t>Kolflarnlav</t>
        </is>
      </c>
      <c r="S263">
        <f>HYPERLINK("https://klasma.github.io/Logging_232361/artfynd/A 26345-2025 artfynd.xlsx", "A 26345-2025")</f>
        <v/>
      </c>
      <c r="T263">
        <f>HYPERLINK("https://klasma.github.io/Logging_232361/kartor/A 26345-2025 karta.png", "A 26345-2025")</f>
        <v/>
      </c>
      <c r="V263">
        <f>HYPERLINK("https://klasma.github.io/Logging_232361/klagomål/A 26345-2025 FSC-klagomål.docx", "A 26345-2025")</f>
        <v/>
      </c>
      <c r="W263">
        <f>HYPERLINK("https://klasma.github.io/Logging_232361/klagomålsmail/A 26345-2025 FSC-klagomål mail.docx", "A 26345-2025")</f>
        <v/>
      </c>
      <c r="X263">
        <f>HYPERLINK("https://klasma.github.io/Logging_232361/tillsyn/A 26345-2025 tillsynsbegäran.docx", "A 26345-2025")</f>
        <v/>
      </c>
      <c r="Y263">
        <f>HYPERLINK("https://klasma.github.io/Logging_232361/tillsynsmail/A 26345-2025 tillsynsbegäran mail.docx", "A 26345-2025")</f>
        <v/>
      </c>
    </row>
    <row r="264" ht="15" customHeight="1">
      <c r="A264" t="inlineStr">
        <is>
          <t>A 26346-2025</t>
        </is>
      </c>
      <c r="B264" s="1" t="n">
        <v>45805</v>
      </c>
      <c r="C264" s="1" t="n">
        <v>45828</v>
      </c>
      <c r="D264" t="inlineStr">
        <is>
          <t>JÄMTLANDS LÄN</t>
        </is>
      </c>
      <c r="E264" t="inlineStr">
        <is>
          <t>HÄRJEDALEN</t>
        </is>
      </c>
      <c r="F264" t="inlineStr">
        <is>
          <t>Sveaskog</t>
        </is>
      </c>
      <c r="G264" t="n">
        <v>3.6</v>
      </c>
      <c r="H264" t="n">
        <v>0</v>
      </c>
      <c r="I264" t="n">
        <v>0</v>
      </c>
      <c r="J264" t="n">
        <v>1</v>
      </c>
      <c r="K264" t="n">
        <v>0</v>
      </c>
      <c r="L264" t="n">
        <v>0</v>
      </c>
      <c r="M264" t="n">
        <v>0</v>
      </c>
      <c r="N264" t="n">
        <v>0</v>
      </c>
      <c r="O264" t="n">
        <v>1</v>
      </c>
      <c r="P264" t="n">
        <v>0</v>
      </c>
      <c r="Q264" t="n">
        <v>1</v>
      </c>
      <c r="R264" s="2" t="inlineStr">
        <is>
          <t>Lunglav</t>
        </is>
      </c>
      <c r="S264">
        <f>HYPERLINK("https://klasma.github.io/Logging_232361/artfynd/A 26346-2025 artfynd.xlsx", "A 26346-2025")</f>
        <v/>
      </c>
      <c r="T264">
        <f>HYPERLINK("https://klasma.github.io/Logging_232361/kartor/A 26346-2025 karta.png", "A 26346-2025")</f>
        <v/>
      </c>
      <c r="V264">
        <f>HYPERLINK("https://klasma.github.io/Logging_232361/klagomål/A 26346-2025 FSC-klagomål.docx", "A 26346-2025")</f>
        <v/>
      </c>
      <c r="W264">
        <f>HYPERLINK("https://klasma.github.io/Logging_232361/klagomålsmail/A 26346-2025 FSC-klagomål mail.docx", "A 26346-2025")</f>
        <v/>
      </c>
      <c r="X264">
        <f>HYPERLINK("https://klasma.github.io/Logging_232361/tillsyn/A 26346-2025 tillsynsbegäran.docx", "A 26346-2025")</f>
        <v/>
      </c>
      <c r="Y264">
        <f>HYPERLINK("https://klasma.github.io/Logging_232361/tillsynsmail/A 26346-2025 tillsynsbegäran mail.docx", "A 26346-2025")</f>
        <v/>
      </c>
    </row>
    <row r="265" ht="15" customHeight="1">
      <c r="A265" t="inlineStr">
        <is>
          <t>A 27412-2025</t>
        </is>
      </c>
      <c r="B265" s="1" t="n">
        <v>45812</v>
      </c>
      <c r="C265" s="1" t="n">
        <v>45828</v>
      </c>
      <c r="D265" t="inlineStr">
        <is>
          <t>JÄMTLANDS LÄN</t>
        </is>
      </c>
      <c r="E265" t="inlineStr">
        <is>
          <t>HÄRJEDALEN</t>
        </is>
      </c>
      <c r="F265" t="inlineStr">
        <is>
          <t>Sveaskog</t>
        </is>
      </c>
      <c r="G265" t="n">
        <v>6.2</v>
      </c>
      <c r="H265" t="n">
        <v>0</v>
      </c>
      <c r="I265" t="n">
        <v>0</v>
      </c>
      <c r="J265" t="n">
        <v>1</v>
      </c>
      <c r="K265" t="n">
        <v>0</v>
      </c>
      <c r="L265" t="n">
        <v>0</v>
      </c>
      <c r="M265" t="n">
        <v>0</v>
      </c>
      <c r="N265" t="n">
        <v>0</v>
      </c>
      <c r="O265" t="n">
        <v>1</v>
      </c>
      <c r="P265" t="n">
        <v>0</v>
      </c>
      <c r="Q265" t="n">
        <v>1</v>
      </c>
      <c r="R265" s="2" t="inlineStr">
        <is>
          <t>Kolflarnlav</t>
        </is>
      </c>
      <c r="S265">
        <f>HYPERLINK("https://klasma.github.io/Logging_232361/artfynd/A 27412-2025 artfynd.xlsx", "A 27412-2025")</f>
        <v/>
      </c>
      <c r="T265">
        <f>HYPERLINK("https://klasma.github.io/Logging_232361/kartor/A 27412-2025 karta.png", "A 27412-2025")</f>
        <v/>
      </c>
      <c r="V265">
        <f>HYPERLINK("https://klasma.github.io/Logging_232361/klagomål/A 27412-2025 FSC-klagomål.docx", "A 27412-2025")</f>
        <v/>
      </c>
      <c r="W265">
        <f>HYPERLINK("https://klasma.github.io/Logging_232361/klagomålsmail/A 27412-2025 FSC-klagomål mail.docx", "A 27412-2025")</f>
        <v/>
      </c>
      <c r="X265">
        <f>HYPERLINK("https://klasma.github.io/Logging_232361/tillsyn/A 27412-2025 tillsynsbegäran.docx", "A 27412-2025")</f>
        <v/>
      </c>
      <c r="Y265">
        <f>HYPERLINK("https://klasma.github.io/Logging_232361/tillsynsmail/A 27412-2025 tillsynsbegäran mail.docx", "A 27412-2025")</f>
        <v/>
      </c>
    </row>
    <row r="266" ht="15" customHeight="1">
      <c r="A266" t="inlineStr">
        <is>
          <t>A 17811-2019</t>
        </is>
      </c>
      <c r="B266" s="1" t="n">
        <v>43556</v>
      </c>
      <c r="C266" s="1" t="n">
        <v>45828</v>
      </c>
      <c r="D266" t="inlineStr">
        <is>
          <t>JÄMTLANDS LÄN</t>
        </is>
      </c>
      <c r="E266" t="inlineStr">
        <is>
          <t>HÄRJEDALEN</t>
        </is>
      </c>
      <c r="G266" t="n">
        <v>10.3</v>
      </c>
      <c r="H266" t="n">
        <v>0</v>
      </c>
      <c r="I266" t="n">
        <v>0</v>
      </c>
      <c r="J266" t="n">
        <v>0</v>
      </c>
      <c r="K266" t="n">
        <v>0</v>
      </c>
      <c r="L266" t="n">
        <v>0</v>
      </c>
      <c r="M266" t="n">
        <v>0</v>
      </c>
      <c r="N266" t="n">
        <v>0</v>
      </c>
      <c r="O266" t="n">
        <v>0</v>
      </c>
      <c r="P266" t="n">
        <v>0</v>
      </c>
      <c r="Q266" t="n">
        <v>0</v>
      </c>
      <c r="R266" s="2" t="inlineStr"/>
    </row>
    <row r="267" ht="15" customHeight="1">
      <c r="A267" t="inlineStr">
        <is>
          <t>A 17986-2019</t>
        </is>
      </c>
      <c r="B267" s="1" t="n">
        <v>43557</v>
      </c>
      <c r="C267" s="1" t="n">
        <v>45828</v>
      </c>
      <c r="D267" t="inlineStr">
        <is>
          <t>JÄMTLANDS LÄN</t>
        </is>
      </c>
      <c r="E267" t="inlineStr">
        <is>
          <t>HÄRJEDALEN</t>
        </is>
      </c>
      <c r="F267" t="inlineStr">
        <is>
          <t>Kyrkan</t>
        </is>
      </c>
      <c r="G267" t="n">
        <v>17.5</v>
      </c>
      <c r="H267" t="n">
        <v>0</v>
      </c>
      <c r="I267" t="n">
        <v>0</v>
      </c>
      <c r="J267" t="n">
        <v>0</v>
      </c>
      <c r="K267" t="n">
        <v>0</v>
      </c>
      <c r="L267" t="n">
        <v>0</v>
      </c>
      <c r="M267" t="n">
        <v>0</v>
      </c>
      <c r="N267" t="n">
        <v>0</v>
      </c>
      <c r="O267" t="n">
        <v>0</v>
      </c>
      <c r="P267" t="n">
        <v>0</v>
      </c>
      <c r="Q267" t="n">
        <v>0</v>
      </c>
      <c r="R267" s="2" t="inlineStr"/>
    </row>
    <row r="268" ht="15" customHeight="1">
      <c r="A268" t="inlineStr">
        <is>
          <t>A 17917-2019</t>
        </is>
      </c>
      <c r="B268" s="1" t="n">
        <v>43557</v>
      </c>
      <c r="C268" s="1" t="n">
        <v>45828</v>
      </c>
      <c r="D268" t="inlineStr">
        <is>
          <t>JÄMTLANDS LÄN</t>
        </is>
      </c>
      <c r="E268" t="inlineStr">
        <is>
          <t>HÄRJEDALEN</t>
        </is>
      </c>
      <c r="F268" t="inlineStr">
        <is>
          <t>Bergvik skog väst AB</t>
        </is>
      </c>
      <c r="G268" t="n">
        <v>166.3</v>
      </c>
      <c r="H268" t="n">
        <v>0</v>
      </c>
      <c r="I268" t="n">
        <v>0</v>
      </c>
      <c r="J268" t="n">
        <v>0</v>
      </c>
      <c r="K268" t="n">
        <v>0</v>
      </c>
      <c r="L268" t="n">
        <v>0</v>
      </c>
      <c r="M268" t="n">
        <v>0</v>
      </c>
      <c r="N268" t="n">
        <v>0</v>
      </c>
      <c r="O268" t="n">
        <v>0</v>
      </c>
      <c r="P268" t="n">
        <v>0</v>
      </c>
      <c r="Q268" t="n">
        <v>0</v>
      </c>
      <c r="R268" s="2" t="inlineStr"/>
    </row>
    <row r="269" ht="15" customHeight="1">
      <c r="A269" t="inlineStr">
        <is>
          <t>A 18539-2019</t>
        </is>
      </c>
      <c r="B269" s="1" t="n">
        <v>43559</v>
      </c>
      <c r="C269" s="1" t="n">
        <v>45828</v>
      </c>
      <c r="D269" t="inlineStr">
        <is>
          <t>JÄMTLANDS LÄN</t>
        </is>
      </c>
      <c r="E269" t="inlineStr">
        <is>
          <t>HÄRJEDALEN</t>
        </is>
      </c>
      <c r="G269" t="n">
        <v>1.7</v>
      </c>
      <c r="H269" t="n">
        <v>0</v>
      </c>
      <c r="I269" t="n">
        <v>0</v>
      </c>
      <c r="J269" t="n">
        <v>0</v>
      </c>
      <c r="K269" t="n">
        <v>0</v>
      </c>
      <c r="L269" t="n">
        <v>0</v>
      </c>
      <c r="M269" t="n">
        <v>0</v>
      </c>
      <c r="N269" t="n">
        <v>0</v>
      </c>
      <c r="O269" t="n">
        <v>0</v>
      </c>
      <c r="P269" t="n">
        <v>0</v>
      </c>
      <c r="Q269" t="n">
        <v>0</v>
      </c>
      <c r="R269" s="2" t="inlineStr"/>
    </row>
    <row r="270" ht="15" customHeight="1">
      <c r="A270" t="inlineStr">
        <is>
          <t>A 18648-2019</t>
        </is>
      </c>
      <c r="B270" s="1" t="n">
        <v>43560</v>
      </c>
      <c r="C270" s="1" t="n">
        <v>45828</v>
      </c>
      <c r="D270" t="inlineStr">
        <is>
          <t>JÄMTLANDS LÄN</t>
        </is>
      </c>
      <c r="E270" t="inlineStr">
        <is>
          <t>HÄRJEDALEN</t>
        </is>
      </c>
      <c r="G270" t="n">
        <v>5.5</v>
      </c>
      <c r="H270" t="n">
        <v>0</v>
      </c>
      <c r="I270" t="n">
        <v>0</v>
      </c>
      <c r="J270" t="n">
        <v>0</v>
      </c>
      <c r="K270" t="n">
        <v>0</v>
      </c>
      <c r="L270" t="n">
        <v>0</v>
      </c>
      <c r="M270" t="n">
        <v>0</v>
      </c>
      <c r="N270" t="n">
        <v>0</v>
      </c>
      <c r="O270" t="n">
        <v>0</v>
      </c>
      <c r="P270" t="n">
        <v>0</v>
      </c>
      <c r="Q270" t="n">
        <v>0</v>
      </c>
      <c r="R270" s="2" t="inlineStr"/>
    </row>
    <row r="271" ht="15" customHeight="1">
      <c r="A271" t="inlineStr">
        <is>
          <t>A 19114-2019</t>
        </is>
      </c>
      <c r="B271" s="1" t="n">
        <v>43563</v>
      </c>
      <c r="C271" s="1" t="n">
        <v>45828</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20063-2019</t>
        </is>
      </c>
      <c r="B272" s="1" t="n">
        <v>43567</v>
      </c>
      <c r="C272" s="1" t="n">
        <v>45828</v>
      </c>
      <c r="D272" t="inlineStr">
        <is>
          <t>JÄMTLANDS LÄN</t>
        </is>
      </c>
      <c r="E272" t="inlineStr">
        <is>
          <t>HÄRJEDALEN</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19864-2019</t>
        </is>
      </c>
      <c r="B273" s="1" t="n">
        <v>43567</v>
      </c>
      <c r="C273" s="1" t="n">
        <v>45828</v>
      </c>
      <c r="D273" t="inlineStr">
        <is>
          <t>JÄMTLANDS LÄN</t>
        </is>
      </c>
      <c r="E273" t="inlineStr">
        <is>
          <t>HÄRJEDALEN</t>
        </is>
      </c>
      <c r="G273" t="n">
        <v>2.6</v>
      </c>
      <c r="H273" t="n">
        <v>0</v>
      </c>
      <c r="I273" t="n">
        <v>0</v>
      </c>
      <c r="J273" t="n">
        <v>0</v>
      </c>
      <c r="K273" t="n">
        <v>0</v>
      </c>
      <c r="L273" t="n">
        <v>0</v>
      </c>
      <c r="M273" t="n">
        <v>0</v>
      </c>
      <c r="N273" t="n">
        <v>0</v>
      </c>
      <c r="O273" t="n">
        <v>0</v>
      </c>
      <c r="P273" t="n">
        <v>0</v>
      </c>
      <c r="Q273" t="n">
        <v>0</v>
      </c>
      <c r="R273" s="2" t="inlineStr"/>
    </row>
    <row r="274" ht="15" customHeight="1">
      <c r="A274" t="inlineStr">
        <is>
          <t>A 20403-2019</t>
        </is>
      </c>
      <c r="B274" s="1" t="n">
        <v>43571</v>
      </c>
      <c r="C274" s="1" t="n">
        <v>45828</v>
      </c>
      <c r="D274" t="inlineStr">
        <is>
          <t>JÄMTLANDS LÄN</t>
        </is>
      </c>
      <c r="E274" t="inlineStr">
        <is>
          <t>HÄRJEDALEN</t>
        </is>
      </c>
      <c r="F274" t="inlineStr">
        <is>
          <t>Bergvik skog väst AB</t>
        </is>
      </c>
      <c r="G274" t="n">
        <v>7.8</v>
      </c>
      <c r="H274" t="n">
        <v>0</v>
      </c>
      <c r="I274" t="n">
        <v>0</v>
      </c>
      <c r="J274" t="n">
        <v>0</v>
      </c>
      <c r="K274" t="n">
        <v>0</v>
      </c>
      <c r="L274" t="n">
        <v>0</v>
      </c>
      <c r="M274" t="n">
        <v>0</v>
      </c>
      <c r="N274" t="n">
        <v>0</v>
      </c>
      <c r="O274" t="n">
        <v>0</v>
      </c>
      <c r="P274" t="n">
        <v>0</v>
      </c>
      <c r="Q274" t="n">
        <v>0</v>
      </c>
      <c r="R274" s="2" t="inlineStr"/>
    </row>
    <row r="275" ht="15" customHeight="1">
      <c r="A275" t="inlineStr">
        <is>
          <t>A 20373-2019</t>
        </is>
      </c>
      <c r="B275" s="1" t="n">
        <v>43571</v>
      </c>
      <c r="C275" s="1" t="n">
        <v>45828</v>
      </c>
      <c r="D275" t="inlineStr">
        <is>
          <t>JÄMTLANDS LÄN</t>
        </is>
      </c>
      <c r="E275" t="inlineStr">
        <is>
          <t>HÄRJEDALEN</t>
        </is>
      </c>
      <c r="G275" t="n">
        <v>0.8</v>
      </c>
      <c r="H275" t="n">
        <v>0</v>
      </c>
      <c r="I275" t="n">
        <v>0</v>
      </c>
      <c r="J275" t="n">
        <v>0</v>
      </c>
      <c r="K275" t="n">
        <v>0</v>
      </c>
      <c r="L275" t="n">
        <v>0</v>
      </c>
      <c r="M275" t="n">
        <v>0</v>
      </c>
      <c r="N275" t="n">
        <v>0</v>
      </c>
      <c r="O275" t="n">
        <v>0</v>
      </c>
      <c r="P275" t="n">
        <v>0</v>
      </c>
      <c r="Q275" t="n">
        <v>0</v>
      </c>
      <c r="R275" s="2" t="inlineStr"/>
    </row>
    <row r="276" ht="15" customHeight="1">
      <c r="A276" t="inlineStr">
        <is>
          <t>A 20851-2019</t>
        </is>
      </c>
      <c r="B276" s="1" t="n">
        <v>43577</v>
      </c>
      <c r="C276" s="1" t="n">
        <v>45828</v>
      </c>
      <c r="D276" t="inlineStr">
        <is>
          <t>JÄMTLANDS LÄN</t>
        </is>
      </c>
      <c r="E276" t="inlineStr">
        <is>
          <t>HÄRJEDALEN</t>
        </is>
      </c>
      <c r="F276" t="inlineStr">
        <is>
          <t>Övriga Aktiebolag</t>
        </is>
      </c>
      <c r="G276" t="n">
        <v>7.5</v>
      </c>
      <c r="H276" t="n">
        <v>0</v>
      </c>
      <c r="I276" t="n">
        <v>0</v>
      </c>
      <c r="J276" t="n">
        <v>0</v>
      </c>
      <c r="K276" t="n">
        <v>0</v>
      </c>
      <c r="L276" t="n">
        <v>0</v>
      </c>
      <c r="M276" t="n">
        <v>0</v>
      </c>
      <c r="N276" t="n">
        <v>0</v>
      </c>
      <c r="O276" t="n">
        <v>0</v>
      </c>
      <c r="P276" t="n">
        <v>0</v>
      </c>
      <c r="Q276" t="n">
        <v>0</v>
      </c>
      <c r="R276" s="2" t="inlineStr"/>
    </row>
    <row r="277" ht="15" customHeight="1">
      <c r="A277" t="inlineStr">
        <is>
          <t>A 21040-2019</t>
        </is>
      </c>
      <c r="B277" s="1" t="n">
        <v>43578</v>
      </c>
      <c r="C277" s="1" t="n">
        <v>45828</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21189-2019</t>
        </is>
      </c>
      <c r="B278" s="1" t="n">
        <v>43579</v>
      </c>
      <c r="C278" s="1" t="n">
        <v>45828</v>
      </c>
      <c r="D278" t="inlineStr">
        <is>
          <t>JÄMTLANDS LÄN</t>
        </is>
      </c>
      <c r="E278" t="inlineStr">
        <is>
          <t>HÄRJEDALEN</t>
        </is>
      </c>
      <c r="G278" t="n">
        <v>2.3</v>
      </c>
      <c r="H278" t="n">
        <v>0</v>
      </c>
      <c r="I278" t="n">
        <v>0</v>
      </c>
      <c r="J278" t="n">
        <v>0</v>
      </c>
      <c r="K278" t="n">
        <v>0</v>
      </c>
      <c r="L278" t="n">
        <v>0</v>
      </c>
      <c r="M278" t="n">
        <v>0</v>
      </c>
      <c r="N278" t="n">
        <v>0</v>
      </c>
      <c r="O278" t="n">
        <v>0</v>
      </c>
      <c r="P278" t="n">
        <v>0</v>
      </c>
      <c r="Q278" t="n">
        <v>0</v>
      </c>
      <c r="R278" s="2" t="inlineStr"/>
    </row>
    <row r="279" ht="15" customHeight="1">
      <c r="A279" t="inlineStr">
        <is>
          <t>A 22622-2019</t>
        </is>
      </c>
      <c r="B279" s="1" t="n">
        <v>43588</v>
      </c>
      <c r="C279" s="1" t="n">
        <v>45828</v>
      </c>
      <c r="D279" t="inlineStr">
        <is>
          <t>JÄMTLANDS LÄN</t>
        </is>
      </c>
      <c r="E279" t="inlineStr">
        <is>
          <t>HÄRJEDALEN</t>
        </is>
      </c>
      <c r="G279" t="n">
        <v>1.5</v>
      </c>
      <c r="H279" t="n">
        <v>0</v>
      </c>
      <c r="I279" t="n">
        <v>0</v>
      </c>
      <c r="J279" t="n">
        <v>0</v>
      </c>
      <c r="K279" t="n">
        <v>0</v>
      </c>
      <c r="L279" t="n">
        <v>0</v>
      </c>
      <c r="M279" t="n">
        <v>0</v>
      </c>
      <c r="N279" t="n">
        <v>0</v>
      </c>
      <c r="O279" t="n">
        <v>0</v>
      </c>
      <c r="P279" t="n">
        <v>0</v>
      </c>
      <c r="Q279" t="n">
        <v>0</v>
      </c>
      <c r="R279" s="2" t="inlineStr"/>
    </row>
    <row r="280" ht="15" customHeight="1">
      <c r="A280" t="inlineStr">
        <is>
          <t>A 24030-2019</t>
        </is>
      </c>
      <c r="B280" s="1" t="n">
        <v>43598</v>
      </c>
      <c r="C280" s="1" t="n">
        <v>45828</v>
      </c>
      <c r="D280" t="inlineStr">
        <is>
          <t>JÄMTLANDS LÄN</t>
        </is>
      </c>
      <c r="E280" t="inlineStr">
        <is>
          <t>HÄRJEDALEN</t>
        </is>
      </c>
      <c r="F280" t="inlineStr">
        <is>
          <t>Sveaskog</t>
        </is>
      </c>
      <c r="G280" t="n">
        <v>39.9</v>
      </c>
      <c r="H280" t="n">
        <v>0</v>
      </c>
      <c r="I280" t="n">
        <v>0</v>
      </c>
      <c r="J280" t="n">
        <v>0</v>
      </c>
      <c r="K280" t="n">
        <v>0</v>
      </c>
      <c r="L280" t="n">
        <v>0</v>
      </c>
      <c r="M280" t="n">
        <v>0</v>
      </c>
      <c r="N280" t="n">
        <v>0</v>
      </c>
      <c r="O280" t="n">
        <v>0</v>
      </c>
      <c r="P280" t="n">
        <v>0</v>
      </c>
      <c r="Q280" t="n">
        <v>0</v>
      </c>
      <c r="R280" s="2" t="inlineStr"/>
    </row>
    <row r="281" ht="15" customHeight="1">
      <c r="A281" t="inlineStr">
        <is>
          <t>A 24760-2019</t>
        </is>
      </c>
      <c r="B281" s="1" t="n">
        <v>43601</v>
      </c>
      <c r="C281" s="1" t="n">
        <v>45828</v>
      </c>
      <c r="D281" t="inlineStr">
        <is>
          <t>JÄMTLANDS LÄN</t>
        </is>
      </c>
      <c r="E281" t="inlineStr">
        <is>
          <t>HÄRJEDALEN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25309-2019</t>
        </is>
      </c>
      <c r="B282" s="1" t="n">
        <v>43605</v>
      </c>
      <c r="C282" s="1" t="n">
        <v>45828</v>
      </c>
      <c r="D282" t="inlineStr">
        <is>
          <t>JÄMTLANDS LÄN</t>
        </is>
      </c>
      <c r="E282" t="inlineStr">
        <is>
          <t>HÄRJEDALEN</t>
        </is>
      </c>
      <c r="G282" t="n">
        <v>0.1</v>
      </c>
      <c r="H282" t="n">
        <v>0</v>
      </c>
      <c r="I282" t="n">
        <v>0</v>
      </c>
      <c r="J282" t="n">
        <v>0</v>
      </c>
      <c r="K282" t="n">
        <v>0</v>
      </c>
      <c r="L282" t="n">
        <v>0</v>
      </c>
      <c r="M282" t="n">
        <v>0</v>
      </c>
      <c r="N282" t="n">
        <v>0</v>
      </c>
      <c r="O282" t="n">
        <v>0</v>
      </c>
      <c r="P282" t="n">
        <v>0</v>
      </c>
      <c r="Q282" t="n">
        <v>0</v>
      </c>
      <c r="R282" s="2" t="inlineStr"/>
    </row>
    <row r="283" ht="15" customHeight="1">
      <c r="A283" t="inlineStr">
        <is>
          <t>A 25470-2019</t>
        </is>
      </c>
      <c r="B283" s="1" t="n">
        <v>43606</v>
      </c>
      <c r="C283" s="1" t="n">
        <v>45828</v>
      </c>
      <c r="D283" t="inlineStr">
        <is>
          <t>JÄMTLANDS LÄN</t>
        </is>
      </c>
      <c r="E283" t="inlineStr">
        <is>
          <t>HÄRJEDALEN</t>
        </is>
      </c>
      <c r="G283" t="n">
        <v>36.8</v>
      </c>
      <c r="H283" t="n">
        <v>0</v>
      </c>
      <c r="I283" t="n">
        <v>0</v>
      </c>
      <c r="J283" t="n">
        <v>0</v>
      </c>
      <c r="K283" t="n">
        <v>0</v>
      </c>
      <c r="L283" t="n">
        <v>0</v>
      </c>
      <c r="M283" t="n">
        <v>0</v>
      </c>
      <c r="N283" t="n">
        <v>0</v>
      </c>
      <c r="O283" t="n">
        <v>0</v>
      </c>
      <c r="P283" t="n">
        <v>0</v>
      </c>
      <c r="Q283" t="n">
        <v>0</v>
      </c>
      <c r="R283" s="2" t="inlineStr"/>
    </row>
    <row r="284" ht="15" customHeight="1">
      <c r="A284" t="inlineStr">
        <is>
          <t>A 26166-2019</t>
        </is>
      </c>
      <c r="B284" s="1" t="n">
        <v>43609</v>
      </c>
      <c r="C284" s="1" t="n">
        <v>45828</v>
      </c>
      <c r="D284" t="inlineStr">
        <is>
          <t>JÄMTLANDS LÄN</t>
        </is>
      </c>
      <c r="E284" t="inlineStr">
        <is>
          <t>HÄRJEDALEN</t>
        </is>
      </c>
      <c r="G284" t="n">
        <v>85.2</v>
      </c>
      <c r="H284" t="n">
        <v>0</v>
      </c>
      <c r="I284" t="n">
        <v>0</v>
      </c>
      <c r="J284" t="n">
        <v>0</v>
      </c>
      <c r="K284" t="n">
        <v>0</v>
      </c>
      <c r="L284" t="n">
        <v>0</v>
      </c>
      <c r="M284" t="n">
        <v>0</v>
      </c>
      <c r="N284" t="n">
        <v>0</v>
      </c>
      <c r="O284" t="n">
        <v>0</v>
      </c>
      <c r="P284" t="n">
        <v>0</v>
      </c>
      <c r="Q284" t="n">
        <v>0</v>
      </c>
      <c r="R284" s="2" t="inlineStr"/>
    </row>
    <row r="285" ht="15" customHeight="1">
      <c r="A285" t="inlineStr">
        <is>
          <t>A 26310-2019</t>
        </is>
      </c>
      <c r="B285" s="1" t="n">
        <v>43612</v>
      </c>
      <c r="C285" s="1" t="n">
        <v>45828</v>
      </c>
      <c r="D285" t="inlineStr">
        <is>
          <t>JÄMTLANDS LÄN</t>
        </is>
      </c>
      <c r="E285" t="inlineStr">
        <is>
          <t>HÄRJEDALEN</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26423-2019</t>
        </is>
      </c>
      <c r="B286" s="1" t="n">
        <v>43612</v>
      </c>
      <c r="C286" s="1" t="n">
        <v>45828</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27683-2019</t>
        </is>
      </c>
      <c r="B287" s="1" t="n">
        <v>43619</v>
      </c>
      <c r="C287" s="1" t="n">
        <v>45828</v>
      </c>
      <c r="D287" t="inlineStr">
        <is>
          <t>JÄMTLANDS LÄN</t>
        </is>
      </c>
      <c r="E287" t="inlineStr">
        <is>
          <t>HÄRJEDALEN</t>
        </is>
      </c>
      <c r="G287" t="n">
        <v>5.4</v>
      </c>
      <c r="H287" t="n">
        <v>0</v>
      </c>
      <c r="I287" t="n">
        <v>0</v>
      </c>
      <c r="J287" t="n">
        <v>0</v>
      </c>
      <c r="K287" t="n">
        <v>0</v>
      </c>
      <c r="L287" t="n">
        <v>0</v>
      </c>
      <c r="M287" t="n">
        <v>0</v>
      </c>
      <c r="N287" t="n">
        <v>0</v>
      </c>
      <c r="O287" t="n">
        <v>0</v>
      </c>
      <c r="P287" t="n">
        <v>0</v>
      </c>
      <c r="Q287" t="n">
        <v>0</v>
      </c>
      <c r="R287" s="2" t="inlineStr"/>
    </row>
    <row r="288" ht="15" customHeight="1">
      <c r="A288" t="inlineStr">
        <is>
          <t>A 27903-2019</t>
        </is>
      </c>
      <c r="B288" s="1" t="n">
        <v>43620</v>
      </c>
      <c r="C288" s="1" t="n">
        <v>45828</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28312-2019</t>
        </is>
      </c>
      <c r="B289" s="1" t="n">
        <v>43623</v>
      </c>
      <c r="C289" s="1" t="n">
        <v>45828</v>
      </c>
      <c r="D289" t="inlineStr">
        <is>
          <t>JÄMTLANDS LÄN</t>
        </is>
      </c>
      <c r="E289" t="inlineStr">
        <is>
          <t>HÄRJEDALEN</t>
        </is>
      </c>
      <c r="G289" t="n">
        <v>6.5</v>
      </c>
      <c r="H289" t="n">
        <v>0</v>
      </c>
      <c r="I289" t="n">
        <v>0</v>
      </c>
      <c r="J289" t="n">
        <v>0</v>
      </c>
      <c r="K289" t="n">
        <v>0</v>
      </c>
      <c r="L289" t="n">
        <v>0</v>
      </c>
      <c r="M289" t="n">
        <v>0</v>
      </c>
      <c r="N289" t="n">
        <v>0</v>
      </c>
      <c r="O289" t="n">
        <v>0</v>
      </c>
      <c r="P289" t="n">
        <v>0</v>
      </c>
      <c r="Q289" t="n">
        <v>0</v>
      </c>
      <c r="R289" s="2" t="inlineStr"/>
    </row>
    <row r="290" ht="15" customHeight="1">
      <c r="A290" t="inlineStr">
        <is>
          <t>A 28326-2019</t>
        </is>
      </c>
      <c r="B290" s="1" t="n">
        <v>43623</v>
      </c>
      <c r="C290" s="1" t="n">
        <v>45828</v>
      </c>
      <c r="D290" t="inlineStr">
        <is>
          <t>JÄMTLANDS LÄN</t>
        </is>
      </c>
      <c r="E290" t="inlineStr">
        <is>
          <t>HÄRJEDALEN</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28513-2019</t>
        </is>
      </c>
      <c r="B291" s="1" t="n">
        <v>43626</v>
      </c>
      <c r="C291" s="1" t="n">
        <v>45828</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29263-2019</t>
        </is>
      </c>
      <c r="B292" s="1" t="n">
        <v>43629</v>
      </c>
      <c r="C292" s="1" t="n">
        <v>45828</v>
      </c>
      <c r="D292" t="inlineStr">
        <is>
          <t>JÄMTLANDS LÄN</t>
        </is>
      </c>
      <c r="E292" t="inlineStr">
        <is>
          <t>HÄRJEDALEN</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29822-2019</t>
        </is>
      </c>
      <c r="B293" s="1" t="n">
        <v>43633</v>
      </c>
      <c r="C293" s="1" t="n">
        <v>45828</v>
      </c>
      <c r="D293" t="inlineStr">
        <is>
          <t>JÄMTLANDS LÄN</t>
        </is>
      </c>
      <c r="E293" t="inlineStr">
        <is>
          <t>HÄRJEDALEN</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34618-2019</t>
        </is>
      </c>
      <c r="B294" s="1" t="n">
        <v>43647</v>
      </c>
      <c r="C294" s="1" t="n">
        <v>45828</v>
      </c>
      <c r="D294" t="inlineStr">
        <is>
          <t>JÄMTLANDS LÄN</t>
        </is>
      </c>
      <c r="E294" t="inlineStr">
        <is>
          <t>HÄRJEDALEN</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32878-2019</t>
        </is>
      </c>
      <c r="B295" s="1" t="n">
        <v>43648</v>
      </c>
      <c r="C295" s="1" t="n">
        <v>45828</v>
      </c>
      <c r="D295" t="inlineStr">
        <is>
          <t>JÄMTLANDS LÄN</t>
        </is>
      </c>
      <c r="E295" t="inlineStr">
        <is>
          <t>HÄRJEDALEN</t>
        </is>
      </c>
      <c r="F295" t="inlineStr">
        <is>
          <t>Övriga Aktiebolag</t>
        </is>
      </c>
      <c r="G295" t="n">
        <v>91.8</v>
      </c>
      <c r="H295" t="n">
        <v>0</v>
      </c>
      <c r="I295" t="n">
        <v>0</v>
      </c>
      <c r="J295" t="n">
        <v>0</v>
      </c>
      <c r="K295" t="n">
        <v>0</v>
      </c>
      <c r="L295" t="n">
        <v>0</v>
      </c>
      <c r="M295" t="n">
        <v>0</v>
      </c>
      <c r="N295" t="n">
        <v>0</v>
      </c>
      <c r="O295" t="n">
        <v>0</v>
      </c>
      <c r="P295" t="n">
        <v>0</v>
      </c>
      <c r="Q295" t="n">
        <v>0</v>
      </c>
      <c r="R295" s="2" t="inlineStr"/>
    </row>
    <row r="296" ht="15" customHeight="1">
      <c r="A296" t="inlineStr">
        <is>
          <t>A 33496-2019</t>
        </is>
      </c>
      <c r="B296" s="1" t="n">
        <v>43651</v>
      </c>
      <c r="C296" s="1" t="n">
        <v>45828</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33497-2019</t>
        </is>
      </c>
      <c r="B297" s="1" t="n">
        <v>43651</v>
      </c>
      <c r="C297" s="1" t="n">
        <v>45828</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34688-2019</t>
        </is>
      </c>
      <c r="B298" s="1" t="n">
        <v>43657</v>
      </c>
      <c r="C298" s="1" t="n">
        <v>45828</v>
      </c>
      <c r="D298" t="inlineStr">
        <is>
          <t>JÄMTLANDS LÄN</t>
        </is>
      </c>
      <c r="E298" t="inlineStr">
        <is>
          <t>HÄRJEDALEN</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34805-2019</t>
        </is>
      </c>
      <c r="B299" s="1" t="n">
        <v>43658</v>
      </c>
      <c r="C299" s="1" t="n">
        <v>45828</v>
      </c>
      <c r="D299" t="inlineStr">
        <is>
          <t>JÄMTLANDS LÄN</t>
        </is>
      </c>
      <c r="E299" t="inlineStr">
        <is>
          <t>HÄRJEDALEN</t>
        </is>
      </c>
      <c r="F299" t="inlineStr">
        <is>
          <t>Sveaskog</t>
        </is>
      </c>
      <c r="G299" t="n">
        <v>0.2</v>
      </c>
      <c r="H299" t="n">
        <v>0</v>
      </c>
      <c r="I299" t="n">
        <v>0</v>
      </c>
      <c r="J299" t="n">
        <v>0</v>
      </c>
      <c r="K299" t="n">
        <v>0</v>
      </c>
      <c r="L299" t="n">
        <v>0</v>
      </c>
      <c r="M299" t="n">
        <v>0</v>
      </c>
      <c r="N299" t="n">
        <v>0</v>
      </c>
      <c r="O299" t="n">
        <v>0</v>
      </c>
      <c r="P299" t="n">
        <v>0</v>
      </c>
      <c r="Q299" t="n">
        <v>0</v>
      </c>
      <c r="R299" s="2" t="inlineStr"/>
    </row>
    <row r="300" ht="15" customHeight="1">
      <c r="A300" t="inlineStr">
        <is>
          <t>A 35160-2019</t>
        </is>
      </c>
      <c r="B300" s="1" t="n">
        <v>43661</v>
      </c>
      <c r="C300" s="1" t="n">
        <v>45828</v>
      </c>
      <c r="D300" t="inlineStr">
        <is>
          <t>JÄMTLANDS LÄN</t>
        </is>
      </c>
      <c r="E300" t="inlineStr">
        <is>
          <t>HÄRJEDALEN</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36343-2019</t>
        </is>
      </c>
      <c r="B301" s="1" t="n">
        <v>43662</v>
      </c>
      <c r="C301" s="1" t="n">
        <v>45828</v>
      </c>
      <c r="D301" t="inlineStr">
        <is>
          <t>JÄMTLANDS LÄN</t>
        </is>
      </c>
      <c r="E301" t="inlineStr">
        <is>
          <t>HÄRJEDALEN</t>
        </is>
      </c>
      <c r="G301" t="n">
        <v>8</v>
      </c>
      <c r="H301" t="n">
        <v>0</v>
      </c>
      <c r="I301" t="n">
        <v>0</v>
      </c>
      <c r="J301" t="n">
        <v>0</v>
      </c>
      <c r="K301" t="n">
        <v>0</v>
      </c>
      <c r="L301" t="n">
        <v>0</v>
      </c>
      <c r="M301" t="n">
        <v>0</v>
      </c>
      <c r="N301" t="n">
        <v>0</v>
      </c>
      <c r="O301" t="n">
        <v>0</v>
      </c>
      <c r="P301" t="n">
        <v>0</v>
      </c>
      <c r="Q301" t="n">
        <v>0</v>
      </c>
      <c r="R301" s="2" t="inlineStr"/>
    </row>
    <row r="302" ht="15" customHeight="1">
      <c r="A302" t="inlineStr">
        <is>
          <t>A 38283-2019</t>
        </is>
      </c>
      <c r="B302" s="1" t="n">
        <v>43684</v>
      </c>
      <c r="C302" s="1" t="n">
        <v>45828</v>
      </c>
      <c r="D302" t="inlineStr">
        <is>
          <t>JÄMTLANDS LÄN</t>
        </is>
      </c>
      <c r="E302" t="inlineStr">
        <is>
          <t>HÄRJEDALEN</t>
        </is>
      </c>
      <c r="F302" t="inlineStr">
        <is>
          <t>Bergvik skog väst AB</t>
        </is>
      </c>
      <c r="G302" t="n">
        <v>29.5</v>
      </c>
      <c r="H302" t="n">
        <v>0</v>
      </c>
      <c r="I302" t="n">
        <v>0</v>
      </c>
      <c r="J302" t="n">
        <v>0</v>
      </c>
      <c r="K302" t="n">
        <v>0</v>
      </c>
      <c r="L302" t="n">
        <v>0</v>
      </c>
      <c r="M302" t="n">
        <v>0</v>
      </c>
      <c r="N302" t="n">
        <v>0</v>
      </c>
      <c r="O302" t="n">
        <v>0</v>
      </c>
      <c r="P302" t="n">
        <v>0</v>
      </c>
      <c r="Q302" t="n">
        <v>0</v>
      </c>
      <c r="R302" s="2" t="inlineStr"/>
    </row>
    <row r="303" ht="15" customHeight="1">
      <c r="A303" t="inlineStr">
        <is>
          <t>A 38859-2019</t>
        </is>
      </c>
      <c r="B303" s="1" t="n">
        <v>43689</v>
      </c>
      <c r="C303" s="1" t="n">
        <v>45828</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38884-2019</t>
        </is>
      </c>
      <c r="B304" s="1" t="n">
        <v>43689</v>
      </c>
      <c r="C304" s="1" t="n">
        <v>45828</v>
      </c>
      <c r="D304" t="inlineStr">
        <is>
          <t>JÄMTLANDS LÄN</t>
        </is>
      </c>
      <c r="E304" t="inlineStr">
        <is>
          <t>HÄRJEDALEN</t>
        </is>
      </c>
      <c r="G304" t="n">
        <v>2.5</v>
      </c>
      <c r="H304" t="n">
        <v>0</v>
      </c>
      <c r="I304" t="n">
        <v>0</v>
      </c>
      <c r="J304" t="n">
        <v>0</v>
      </c>
      <c r="K304" t="n">
        <v>0</v>
      </c>
      <c r="L304" t="n">
        <v>0</v>
      </c>
      <c r="M304" t="n">
        <v>0</v>
      </c>
      <c r="N304" t="n">
        <v>0</v>
      </c>
      <c r="O304" t="n">
        <v>0</v>
      </c>
      <c r="P304" t="n">
        <v>0</v>
      </c>
      <c r="Q304" t="n">
        <v>0</v>
      </c>
      <c r="R304" s="2" t="inlineStr"/>
    </row>
    <row r="305" ht="15" customHeight="1">
      <c r="A305" t="inlineStr">
        <is>
          <t>A 40244-2019</t>
        </is>
      </c>
      <c r="B305" s="1" t="n">
        <v>43694</v>
      </c>
      <c r="C305" s="1" t="n">
        <v>45828</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42123-2019</t>
        </is>
      </c>
      <c r="B306" s="1" t="n">
        <v>43703</v>
      </c>
      <c r="C306" s="1" t="n">
        <v>45828</v>
      </c>
      <c r="D306" t="inlineStr">
        <is>
          <t>JÄMTLANDS LÄN</t>
        </is>
      </c>
      <c r="E306" t="inlineStr">
        <is>
          <t>HÄRJEDALEN</t>
        </is>
      </c>
      <c r="G306" t="n">
        <v>1.8</v>
      </c>
      <c r="H306" t="n">
        <v>0</v>
      </c>
      <c r="I306" t="n">
        <v>0</v>
      </c>
      <c r="J306" t="n">
        <v>0</v>
      </c>
      <c r="K306" t="n">
        <v>0</v>
      </c>
      <c r="L306" t="n">
        <v>0</v>
      </c>
      <c r="M306" t="n">
        <v>0</v>
      </c>
      <c r="N306" t="n">
        <v>0</v>
      </c>
      <c r="O306" t="n">
        <v>0</v>
      </c>
      <c r="P306" t="n">
        <v>0</v>
      </c>
      <c r="Q306" t="n">
        <v>0</v>
      </c>
      <c r="R306" s="2" t="inlineStr"/>
    </row>
    <row r="307" ht="15" customHeight="1">
      <c r="A307" t="inlineStr">
        <is>
          <t>A 43103-2019</t>
        </is>
      </c>
      <c r="B307" s="1" t="n">
        <v>43705</v>
      </c>
      <c r="C307" s="1" t="n">
        <v>45828</v>
      </c>
      <c r="D307" t="inlineStr">
        <is>
          <t>JÄMTLANDS LÄN</t>
        </is>
      </c>
      <c r="E307" t="inlineStr">
        <is>
          <t>HÄRJEDALEN</t>
        </is>
      </c>
      <c r="G307" t="n">
        <v>38.6</v>
      </c>
      <c r="H307" t="n">
        <v>0</v>
      </c>
      <c r="I307" t="n">
        <v>0</v>
      </c>
      <c r="J307" t="n">
        <v>0</v>
      </c>
      <c r="K307" t="n">
        <v>0</v>
      </c>
      <c r="L307" t="n">
        <v>0</v>
      </c>
      <c r="M307" t="n">
        <v>0</v>
      </c>
      <c r="N307" t="n">
        <v>0</v>
      </c>
      <c r="O307" t="n">
        <v>0</v>
      </c>
      <c r="P307" t="n">
        <v>0</v>
      </c>
      <c r="Q307" t="n">
        <v>0</v>
      </c>
      <c r="R307" s="2" t="inlineStr"/>
    </row>
    <row r="308" ht="15" customHeight="1">
      <c r="A308" t="inlineStr">
        <is>
          <t>A 43142-2019</t>
        </is>
      </c>
      <c r="B308" s="1" t="n">
        <v>43705</v>
      </c>
      <c r="C308" s="1" t="n">
        <v>45828</v>
      </c>
      <c r="D308" t="inlineStr">
        <is>
          <t>JÄMTLANDS LÄN</t>
        </is>
      </c>
      <c r="E308" t="inlineStr">
        <is>
          <t>HÄRJEDALEN</t>
        </is>
      </c>
      <c r="G308" t="n">
        <v>3.2</v>
      </c>
      <c r="H308" t="n">
        <v>0</v>
      </c>
      <c r="I308" t="n">
        <v>0</v>
      </c>
      <c r="J308" t="n">
        <v>0</v>
      </c>
      <c r="K308" t="n">
        <v>0</v>
      </c>
      <c r="L308" t="n">
        <v>0</v>
      </c>
      <c r="M308" t="n">
        <v>0</v>
      </c>
      <c r="N308" t="n">
        <v>0</v>
      </c>
      <c r="O308" t="n">
        <v>0</v>
      </c>
      <c r="P308" t="n">
        <v>0</v>
      </c>
      <c r="Q308" t="n">
        <v>0</v>
      </c>
      <c r="R308" s="2" t="inlineStr"/>
    </row>
    <row r="309" ht="15" customHeight="1">
      <c r="A309" t="inlineStr">
        <is>
          <t>A 43649-2019</t>
        </is>
      </c>
      <c r="B309" s="1" t="n">
        <v>43707</v>
      </c>
      <c r="C309" s="1" t="n">
        <v>45828</v>
      </c>
      <c r="D309" t="inlineStr">
        <is>
          <t>JÄMTLANDS LÄN</t>
        </is>
      </c>
      <c r="E309" t="inlineStr">
        <is>
          <t>HÄRJEDALEN</t>
        </is>
      </c>
      <c r="F309" t="inlineStr">
        <is>
          <t>Sveaskog</t>
        </is>
      </c>
      <c r="G309" t="n">
        <v>6.7</v>
      </c>
      <c r="H309" t="n">
        <v>0</v>
      </c>
      <c r="I309" t="n">
        <v>0</v>
      </c>
      <c r="J309" t="n">
        <v>0</v>
      </c>
      <c r="K309" t="n">
        <v>0</v>
      </c>
      <c r="L309" t="n">
        <v>0</v>
      </c>
      <c r="M309" t="n">
        <v>0</v>
      </c>
      <c r="N309" t="n">
        <v>0</v>
      </c>
      <c r="O309" t="n">
        <v>0</v>
      </c>
      <c r="P309" t="n">
        <v>0</v>
      </c>
      <c r="Q309" t="n">
        <v>0</v>
      </c>
      <c r="R309" s="2" t="inlineStr"/>
    </row>
    <row r="310" ht="15" customHeight="1">
      <c r="A310" t="inlineStr">
        <is>
          <t>A 43896-2019</t>
        </is>
      </c>
      <c r="B310" s="1" t="n">
        <v>43707</v>
      </c>
      <c r="C310" s="1" t="n">
        <v>45828</v>
      </c>
      <c r="D310" t="inlineStr">
        <is>
          <t>JÄMTLANDS LÄN</t>
        </is>
      </c>
      <c r="E310" t="inlineStr">
        <is>
          <t>HÄRJEDALEN</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45167-2019</t>
        </is>
      </c>
      <c r="B311" s="1" t="n">
        <v>43713</v>
      </c>
      <c r="C311" s="1" t="n">
        <v>45828</v>
      </c>
      <c r="D311" t="inlineStr">
        <is>
          <t>JÄMTLANDS LÄN</t>
        </is>
      </c>
      <c r="E311" t="inlineStr">
        <is>
          <t>HÄRJEDALEN</t>
        </is>
      </c>
      <c r="F311" t="inlineStr">
        <is>
          <t>Holmen skog AB</t>
        </is>
      </c>
      <c r="G311" t="n">
        <v>15.9</v>
      </c>
      <c r="H311" t="n">
        <v>0</v>
      </c>
      <c r="I311" t="n">
        <v>0</v>
      </c>
      <c r="J311" t="n">
        <v>0</v>
      </c>
      <c r="K311" t="n">
        <v>0</v>
      </c>
      <c r="L311" t="n">
        <v>0</v>
      </c>
      <c r="M311" t="n">
        <v>0</v>
      </c>
      <c r="N311" t="n">
        <v>0</v>
      </c>
      <c r="O311" t="n">
        <v>0</v>
      </c>
      <c r="P311" t="n">
        <v>0</v>
      </c>
      <c r="Q311" t="n">
        <v>0</v>
      </c>
      <c r="R311" s="2" t="inlineStr"/>
    </row>
    <row r="312" ht="15" customHeight="1">
      <c r="A312" t="inlineStr">
        <is>
          <t>A 44939-2019</t>
        </is>
      </c>
      <c r="B312" s="1" t="n">
        <v>43713</v>
      </c>
      <c r="C312" s="1" t="n">
        <v>45828</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46156-2019</t>
        </is>
      </c>
      <c r="B313" s="1" t="n">
        <v>43718</v>
      </c>
      <c r="C313" s="1" t="n">
        <v>45828</v>
      </c>
      <c r="D313" t="inlineStr">
        <is>
          <t>JÄMTLANDS LÄN</t>
        </is>
      </c>
      <c r="E313" t="inlineStr">
        <is>
          <t>HÄRJEDALEN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46133-2019</t>
        </is>
      </c>
      <c r="B314" s="1" t="n">
        <v>43718</v>
      </c>
      <c r="C314" s="1" t="n">
        <v>45828</v>
      </c>
      <c r="D314" t="inlineStr">
        <is>
          <t>JÄMTLANDS LÄN</t>
        </is>
      </c>
      <c r="E314" t="inlineStr">
        <is>
          <t>HÄRJEDALEN</t>
        </is>
      </c>
      <c r="G314" t="n">
        <v>17.6</v>
      </c>
      <c r="H314" t="n">
        <v>0</v>
      </c>
      <c r="I314" t="n">
        <v>0</v>
      </c>
      <c r="J314" t="n">
        <v>0</v>
      </c>
      <c r="K314" t="n">
        <v>0</v>
      </c>
      <c r="L314" t="n">
        <v>0</v>
      </c>
      <c r="M314" t="n">
        <v>0</v>
      </c>
      <c r="N314" t="n">
        <v>0</v>
      </c>
      <c r="O314" t="n">
        <v>0</v>
      </c>
      <c r="P314" t="n">
        <v>0</v>
      </c>
      <c r="Q314" t="n">
        <v>0</v>
      </c>
      <c r="R314" s="2" t="inlineStr"/>
    </row>
    <row r="315" ht="15" customHeight="1">
      <c r="A315" t="inlineStr">
        <is>
          <t>A 46163-2019</t>
        </is>
      </c>
      <c r="B315" s="1" t="n">
        <v>43718</v>
      </c>
      <c r="C315" s="1" t="n">
        <v>45828</v>
      </c>
      <c r="D315" t="inlineStr">
        <is>
          <t>JÄMTLANDS LÄN</t>
        </is>
      </c>
      <c r="E315" t="inlineStr">
        <is>
          <t>HÄRJEDALEN</t>
        </is>
      </c>
      <c r="G315" t="n">
        <v>28.9</v>
      </c>
      <c r="H315" t="n">
        <v>0</v>
      </c>
      <c r="I315" t="n">
        <v>0</v>
      </c>
      <c r="J315" t="n">
        <v>0</v>
      </c>
      <c r="K315" t="n">
        <v>0</v>
      </c>
      <c r="L315" t="n">
        <v>0</v>
      </c>
      <c r="M315" t="n">
        <v>0</v>
      </c>
      <c r="N315" t="n">
        <v>0</v>
      </c>
      <c r="O315" t="n">
        <v>0</v>
      </c>
      <c r="P315" t="n">
        <v>0</v>
      </c>
      <c r="Q315" t="n">
        <v>0</v>
      </c>
      <c r="R315" s="2" t="inlineStr"/>
    </row>
    <row r="316" ht="15" customHeight="1">
      <c r="A316" t="inlineStr">
        <is>
          <t>A 47004-2019</t>
        </is>
      </c>
      <c r="B316" s="1" t="n">
        <v>43720</v>
      </c>
      <c r="C316" s="1" t="n">
        <v>45828</v>
      </c>
      <c r="D316" t="inlineStr">
        <is>
          <t>JÄMTLANDS LÄN</t>
        </is>
      </c>
      <c r="E316" t="inlineStr">
        <is>
          <t>HÄRJEDALEN</t>
        </is>
      </c>
      <c r="F316" t="inlineStr">
        <is>
          <t>Bergvik skog väst AB</t>
        </is>
      </c>
      <c r="G316" t="n">
        <v>13.7</v>
      </c>
      <c r="H316" t="n">
        <v>0</v>
      </c>
      <c r="I316" t="n">
        <v>0</v>
      </c>
      <c r="J316" t="n">
        <v>0</v>
      </c>
      <c r="K316" t="n">
        <v>0</v>
      </c>
      <c r="L316" t="n">
        <v>0</v>
      </c>
      <c r="M316" t="n">
        <v>0</v>
      </c>
      <c r="N316" t="n">
        <v>0</v>
      </c>
      <c r="O316" t="n">
        <v>0</v>
      </c>
      <c r="P316" t="n">
        <v>0</v>
      </c>
      <c r="Q316" t="n">
        <v>0</v>
      </c>
      <c r="R316" s="2" t="inlineStr"/>
    </row>
    <row r="317" ht="15" customHeight="1">
      <c r="A317" t="inlineStr">
        <is>
          <t>A 49328-2019</t>
        </is>
      </c>
      <c r="B317" s="1" t="n">
        <v>43731</v>
      </c>
      <c r="C317" s="1" t="n">
        <v>45828</v>
      </c>
      <c r="D317" t="inlineStr">
        <is>
          <t>JÄMTLANDS LÄN</t>
        </is>
      </c>
      <c r="E317" t="inlineStr">
        <is>
          <t>HÄRJEDALEN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49336-2019</t>
        </is>
      </c>
      <c r="B318" s="1" t="n">
        <v>43731</v>
      </c>
      <c r="C318" s="1" t="n">
        <v>45828</v>
      </c>
      <c r="D318" t="inlineStr">
        <is>
          <t>JÄMTLANDS LÄN</t>
        </is>
      </c>
      <c r="E318" t="inlineStr">
        <is>
          <t>HÄRJEDALEN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50310-2019</t>
        </is>
      </c>
      <c r="B319" s="1" t="n">
        <v>43735</v>
      </c>
      <c r="C319" s="1" t="n">
        <v>45828</v>
      </c>
      <c r="D319" t="inlineStr">
        <is>
          <t>JÄMTLANDS LÄN</t>
        </is>
      </c>
      <c r="E319" t="inlineStr">
        <is>
          <t>HÄRJEDALEN</t>
        </is>
      </c>
      <c r="G319" t="n">
        <v>9.1</v>
      </c>
      <c r="H319" t="n">
        <v>0</v>
      </c>
      <c r="I319" t="n">
        <v>0</v>
      </c>
      <c r="J319" t="n">
        <v>0</v>
      </c>
      <c r="K319" t="n">
        <v>0</v>
      </c>
      <c r="L319" t="n">
        <v>0</v>
      </c>
      <c r="M319" t="n">
        <v>0</v>
      </c>
      <c r="N319" t="n">
        <v>0</v>
      </c>
      <c r="O319" t="n">
        <v>0</v>
      </c>
      <c r="P319" t="n">
        <v>0</v>
      </c>
      <c r="Q319" t="n">
        <v>0</v>
      </c>
      <c r="R319" s="2" t="inlineStr"/>
    </row>
    <row r="320" ht="15" customHeight="1">
      <c r="A320" t="inlineStr">
        <is>
          <t>A 50411-2019</t>
        </is>
      </c>
      <c r="B320" s="1" t="n">
        <v>43735</v>
      </c>
      <c r="C320" s="1" t="n">
        <v>45828</v>
      </c>
      <c r="D320" t="inlineStr">
        <is>
          <t>JÄMTLANDS LÄN</t>
        </is>
      </c>
      <c r="E320" t="inlineStr">
        <is>
          <t>HÄRJEDALEN</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50519-2019</t>
        </is>
      </c>
      <c r="B321" s="1" t="n">
        <v>43735</v>
      </c>
      <c r="C321" s="1" t="n">
        <v>45828</v>
      </c>
      <c r="D321" t="inlineStr">
        <is>
          <t>JÄMTLANDS LÄN</t>
        </is>
      </c>
      <c r="E321" t="inlineStr">
        <is>
          <t>HÄRJEDALEN</t>
        </is>
      </c>
      <c r="G321" t="n">
        <v>4.2</v>
      </c>
      <c r="H321" t="n">
        <v>0</v>
      </c>
      <c r="I321" t="n">
        <v>0</v>
      </c>
      <c r="J321" t="n">
        <v>0</v>
      </c>
      <c r="K321" t="n">
        <v>0</v>
      </c>
      <c r="L321" t="n">
        <v>0</v>
      </c>
      <c r="M321" t="n">
        <v>0</v>
      </c>
      <c r="N321" t="n">
        <v>0</v>
      </c>
      <c r="O321" t="n">
        <v>0</v>
      </c>
      <c r="P321" t="n">
        <v>0</v>
      </c>
      <c r="Q321" t="n">
        <v>0</v>
      </c>
      <c r="R321" s="2" t="inlineStr"/>
    </row>
    <row r="322" ht="15" customHeight="1">
      <c r="A322" t="inlineStr">
        <is>
          <t>A 50624-2019</t>
        </is>
      </c>
      <c r="B322" s="1" t="n">
        <v>43736</v>
      </c>
      <c r="C322" s="1" t="n">
        <v>45828</v>
      </c>
      <c r="D322" t="inlineStr">
        <is>
          <t>JÄMTLANDS LÄN</t>
        </is>
      </c>
      <c r="E322" t="inlineStr">
        <is>
          <t>HÄRJEDALEN</t>
        </is>
      </c>
      <c r="G322" t="n">
        <v>2.4</v>
      </c>
      <c r="H322" t="n">
        <v>0</v>
      </c>
      <c r="I322" t="n">
        <v>0</v>
      </c>
      <c r="J322" t="n">
        <v>0</v>
      </c>
      <c r="K322" t="n">
        <v>0</v>
      </c>
      <c r="L322" t="n">
        <v>0</v>
      </c>
      <c r="M322" t="n">
        <v>0</v>
      </c>
      <c r="N322" t="n">
        <v>0</v>
      </c>
      <c r="O322" t="n">
        <v>0</v>
      </c>
      <c r="P322" t="n">
        <v>0</v>
      </c>
      <c r="Q322" t="n">
        <v>0</v>
      </c>
      <c r="R322" s="2" t="inlineStr"/>
    </row>
    <row r="323" ht="15" customHeight="1">
      <c r="A323" t="inlineStr">
        <is>
          <t>A 51108-2019</t>
        </is>
      </c>
      <c r="B323" s="1" t="n">
        <v>43739</v>
      </c>
      <c r="C323" s="1" t="n">
        <v>45828</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51118-2019</t>
        </is>
      </c>
      <c r="B324" s="1" t="n">
        <v>43739</v>
      </c>
      <c r="C324" s="1" t="n">
        <v>45828</v>
      </c>
      <c r="D324" t="inlineStr">
        <is>
          <t>JÄMTLANDS LÄN</t>
        </is>
      </c>
      <c r="E324" t="inlineStr">
        <is>
          <t>HÄRJEDALEN</t>
        </is>
      </c>
      <c r="G324" t="n">
        <v>12.5</v>
      </c>
      <c r="H324" t="n">
        <v>0</v>
      </c>
      <c r="I324" t="n">
        <v>0</v>
      </c>
      <c r="J324" t="n">
        <v>0</v>
      </c>
      <c r="K324" t="n">
        <v>0</v>
      </c>
      <c r="L324" t="n">
        <v>0</v>
      </c>
      <c r="M324" t="n">
        <v>0</v>
      </c>
      <c r="N324" t="n">
        <v>0</v>
      </c>
      <c r="O324" t="n">
        <v>0</v>
      </c>
      <c r="P324" t="n">
        <v>0</v>
      </c>
      <c r="Q324" t="n">
        <v>0</v>
      </c>
      <c r="R324" s="2" t="inlineStr"/>
    </row>
    <row r="325" ht="15" customHeight="1">
      <c r="A325" t="inlineStr">
        <is>
          <t>A 51123-2019</t>
        </is>
      </c>
      <c r="B325" s="1" t="n">
        <v>43739</v>
      </c>
      <c r="C325" s="1" t="n">
        <v>45828</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51105-2019</t>
        </is>
      </c>
      <c r="B326" s="1" t="n">
        <v>43739</v>
      </c>
      <c r="C326" s="1" t="n">
        <v>45828</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51111-2019</t>
        </is>
      </c>
      <c r="B327" s="1" t="n">
        <v>43739</v>
      </c>
      <c r="C327" s="1" t="n">
        <v>45828</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52304-2019</t>
        </is>
      </c>
      <c r="B328" s="1" t="n">
        <v>43745</v>
      </c>
      <c r="C328" s="1" t="n">
        <v>45828</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52709-2019</t>
        </is>
      </c>
      <c r="B329" s="1" t="n">
        <v>43746</v>
      </c>
      <c r="C329" s="1" t="n">
        <v>45828</v>
      </c>
      <c r="D329" t="inlineStr">
        <is>
          <t>JÄMTLANDS LÄN</t>
        </is>
      </c>
      <c r="E329" t="inlineStr">
        <is>
          <t>HÄRJEDALEN</t>
        </is>
      </c>
      <c r="G329" t="n">
        <v>10.6</v>
      </c>
      <c r="H329" t="n">
        <v>0</v>
      </c>
      <c r="I329" t="n">
        <v>0</v>
      </c>
      <c r="J329" t="n">
        <v>0</v>
      </c>
      <c r="K329" t="n">
        <v>0</v>
      </c>
      <c r="L329" t="n">
        <v>0</v>
      </c>
      <c r="M329" t="n">
        <v>0</v>
      </c>
      <c r="N329" t="n">
        <v>0</v>
      </c>
      <c r="O329" t="n">
        <v>0</v>
      </c>
      <c r="P329" t="n">
        <v>0</v>
      </c>
      <c r="Q329" t="n">
        <v>0</v>
      </c>
      <c r="R329" s="2" t="inlineStr"/>
    </row>
    <row r="330" ht="15" customHeight="1">
      <c r="A330" t="inlineStr">
        <is>
          <t>A 52992-2019</t>
        </is>
      </c>
      <c r="B330" s="1" t="n">
        <v>43747</v>
      </c>
      <c r="C330" s="1" t="n">
        <v>45828</v>
      </c>
      <c r="D330" t="inlineStr">
        <is>
          <t>JÄMTLANDS LÄN</t>
        </is>
      </c>
      <c r="E330" t="inlineStr">
        <is>
          <t>HÄRJEDALEN</t>
        </is>
      </c>
      <c r="F330" t="inlineStr">
        <is>
          <t>Sveaskog</t>
        </is>
      </c>
      <c r="G330" t="n">
        <v>3.5</v>
      </c>
      <c r="H330" t="n">
        <v>0</v>
      </c>
      <c r="I330" t="n">
        <v>0</v>
      </c>
      <c r="J330" t="n">
        <v>0</v>
      </c>
      <c r="K330" t="n">
        <v>0</v>
      </c>
      <c r="L330" t="n">
        <v>0</v>
      </c>
      <c r="M330" t="n">
        <v>0</v>
      </c>
      <c r="N330" t="n">
        <v>0</v>
      </c>
      <c r="O330" t="n">
        <v>0</v>
      </c>
      <c r="P330" t="n">
        <v>0</v>
      </c>
      <c r="Q330" t="n">
        <v>0</v>
      </c>
      <c r="R330" s="2" t="inlineStr"/>
    </row>
    <row r="331" ht="15" customHeight="1">
      <c r="A331" t="inlineStr">
        <is>
          <t>A 52991-2019</t>
        </is>
      </c>
      <c r="B331" s="1" t="n">
        <v>43747</v>
      </c>
      <c r="C331" s="1" t="n">
        <v>45828</v>
      </c>
      <c r="D331" t="inlineStr">
        <is>
          <t>JÄMTLANDS LÄN</t>
        </is>
      </c>
      <c r="E331" t="inlineStr">
        <is>
          <t>HÄRJEDALEN</t>
        </is>
      </c>
      <c r="F331" t="inlineStr">
        <is>
          <t>Sveaskog</t>
        </is>
      </c>
      <c r="G331" t="n">
        <v>13.6</v>
      </c>
      <c r="H331" t="n">
        <v>0</v>
      </c>
      <c r="I331" t="n">
        <v>0</v>
      </c>
      <c r="J331" t="n">
        <v>0</v>
      </c>
      <c r="K331" t="n">
        <v>0</v>
      </c>
      <c r="L331" t="n">
        <v>0</v>
      </c>
      <c r="M331" t="n">
        <v>0</v>
      </c>
      <c r="N331" t="n">
        <v>0</v>
      </c>
      <c r="O331" t="n">
        <v>0</v>
      </c>
      <c r="P331" t="n">
        <v>0</v>
      </c>
      <c r="Q331" t="n">
        <v>0</v>
      </c>
      <c r="R331" s="2" t="inlineStr"/>
    </row>
    <row r="332" ht="15" customHeight="1">
      <c r="A332" t="inlineStr">
        <is>
          <t>A 53418-2019</t>
        </is>
      </c>
      <c r="B332" s="1" t="n">
        <v>43748</v>
      </c>
      <c r="C332" s="1" t="n">
        <v>45828</v>
      </c>
      <c r="D332" t="inlineStr">
        <is>
          <t>JÄMTLANDS LÄN</t>
        </is>
      </c>
      <c r="E332" t="inlineStr">
        <is>
          <t>HÄRJEDALEN</t>
        </is>
      </c>
      <c r="G332" t="n">
        <v>0.4</v>
      </c>
      <c r="H332" t="n">
        <v>0</v>
      </c>
      <c r="I332" t="n">
        <v>0</v>
      </c>
      <c r="J332" t="n">
        <v>0</v>
      </c>
      <c r="K332" t="n">
        <v>0</v>
      </c>
      <c r="L332" t="n">
        <v>0</v>
      </c>
      <c r="M332" t="n">
        <v>0</v>
      </c>
      <c r="N332" t="n">
        <v>0</v>
      </c>
      <c r="O332" t="n">
        <v>0</v>
      </c>
      <c r="P332" t="n">
        <v>0</v>
      </c>
      <c r="Q332" t="n">
        <v>0</v>
      </c>
      <c r="R332" s="2" t="inlineStr"/>
    </row>
    <row r="333" ht="15" customHeight="1">
      <c r="A333" t="inlineStr">
        <is>
          <t>A 53952-2019</t>
        </is>
      </c>
      <c r="B333" s="1" t="n">
        <v>43752</v>
      </c>
      <c r="C333" s="1" t="n">
        <v>45828</v>
      </c>
      <c r="D333" t="inlineStr">
        <is>
          <t>JÄMTLANDS LÄN</t>
        </is>
      </c>
      <c r="E333" t="inlineStr">
        <is>
          <t>HÄRJEDALEN</t>
        </is>
      </c>
      <c r="G333" t="n">
        <v>8.6</v>
      </c>
      <c r="H333" t="n">
        <v>0</v>
      </c>
      <c r="I333" t="n">
        <v>0</v>
      </c>
      <c r="J333" t="n">
        <v>0</v>
      </c>
      <c r="K333" t="n">
        <v>0</v>
      </c>
      <c r="L333" t="n">
        <v>0</v>
      </c>
      <c r="M333" t="n">
        <v>0</v>
      </c>
      <c r="N333" t="n">
        <v>0</v>
      </c>
      <c r="O333" t="n">
        <v>0</v>
      </c>
      <c r="P333" t="n">
        <v>0</v>
      </c>
      <c r="Q333" t="n">
        <v>0</v>
      </c>
      <c r="R333" s="2" t="inlineStr"/>
    </row>
    <row r="334" ht="15" customHeight="1">
      <c r="A334" t="inlineStr">
        <is>
          <t>A 53962-2019</t>
        </is>
      </c>
      <c r="B334" s="1" t="n">
        <v>43752</v>
      </c>
      <c r="C334" s="1" t="n">
        <v>45828</v>
      </c>
      <c r="D334" t="inlineStr">
        <is>
          <t>JÄMTLANDS LÄN</t>
        </is>
      </c>
      <c r="E334" t="inlineStr">
        <is>
          <t>HÄRJEDALEN</t>
        </is>
      </c>
      <c r="G334" t="n">
        <v>19.4</v>
      </c>
      <c r="H334" t="n">
        <v>0</v>
      </c>
      <c r="I334" t="n">
        <v>0</v>
      </c>
      <c r="J334" t="n">
        <v>0</v>
      </c>
      <c r="K334" t="n">
        <v>0</v>
      </c>
      <c r="L334" t="n">
        <v>0</v>
      </c>
      <c r="M334" t="n">
        <v>0</v>
      </c>
      <c r="N334" t="n">
        <v>0</v>
      </c>
      <c r="O334" t="n">
        <v>0</v>
      </c>
      <c r="P334" t="n">
        <v>0</v>
      </c>
      <c r="Q334" t="n">
        <v>0</v>
      </c>
      <c r="R334" s="2" t="inlineStr"/>
    </row>
    <row r="335" ht="15" customHeight="1">
      <c r="A335" t="inlineStr">
        <is>
          <t>A 54905-2019</t>
        </is>
      </c>
      <c r="B335" s="1" t="n">
        <v>43755</v>
      </c>
      <c r="C335" s="1" t="n">
        <v>45828</v>
      </c>
      <c r="D335" t="inlineStr">
        <is>
          <t>JÄMTLANDS LÄN</t>
        </is>
      </c>
      <c r="E335" t="inlineStr">
        <is>
          <t>HÄRJEDALEN</t>
        </is>
      </c>
      <c r="G335" t="n">
        <v>2</v>
      </c>
      <c r="H335" t="n">
        <v>0</v>
      </c>
      <c r="I335" t="n">
        <v>0</v>
      </c>
      <c r="J335" t="n">
        <v>0</v>
      </c>
      <c r="K335" t="n">
        <v>0</v>
      </c>
      <c r="L335" t="n">
        <v>0</v>
      </c>
      <c r="M335" t="n">
        <v>0</v>
      </c>
      <c r="N335" t="n">
        <v>0</v>
      </c>
      <c r="O335" t="n">
        <v>0</v>
      </c>
      <c r="P335" t="n">
        <v>0</v>
      </c>
      <c r="Q335" t="n">
        <v>0</v>
      </c>
      <c r="R335" s="2" t="inlineStr"/>
    </row>
    <row r="336" ht="15" customHeight="1">
      <c r="A336" t="inlineStr">
        <is>
          <t>A 55197-2019</t>
        </is>
      </c>
      <c r="B336" s="1" t="n">
        <v>43756</v>
      </c>
      <c r="C336" s="1" t="n">
        <v>45828</v>
      </c>
      <c r="D336" t="inlineStr">
        <is>
          <t>JÄMTLANDS LÄN</t>
        </is>
      </c>
      <c r="E336" t="inlineStr">
        <is>
          <t>HÄRJEDALEN</t>
        </is>
      </c>
      <c r="F336" t="inlineStr">
        <is>
          <t>Sveaskog</t>
        </is>
      </c>
      <c r="G336" t="n">
        <v>9</v>
      </c>
      <c r="H336" t="n">
        <v>0</v>
      </c>
      <c r="I336" t="n">
        <v>0</v>
      </c>
      <c r="J336" t="n">
        <v>0</v>
      </c>
      <c r="K336" t="n">
        <v>0</v>
      </c>
      <c r="L336" t="n">
        <v>0</v>
      </c>
      <c r="M336" t="n">
        <v>0</v>
      </c>
      <c r="N336" t="n">
        <v>0</v>
      </c>
      <c r="O336" t="n">
        <v>0</v>
      </c>
      <c r="P336" t="n">
        <v>0</v>
      </c>
      <c r="Q336" t="n">
        <v>0</v>
      </c>
      <c r="R336" s="2" t="inlineStr"/>
    </row>
    <row r="337" ht="15" customHeight="1">
      <c r="A337" t="inlineStr">
        <is>
          <t>A 55241-2019</t>
        </is>
      </c>
      <c r="B337" s="1" t="n">
        <v>43756</v>
      </c>
      <c r="C337" s="1" t="n">
        <v>45828</v>
      </c>
      <c r="D337" t="inlineStr">
        <is>
          <t>JÄMTLANDS LÄN</t>
        </is>
      </c>
      <c r="E337" t="inlineStr">
        <is>
          <t>HÄRJEDALEN</t>
        </is>
      </c>
      <c r="G337" t="n">
        <v>0.9</v>
      </c>
      <c r="H337" t="n">
        <v>0</v>
      </c>
      <c r="I337" t="n">
        <v>0</v>
      </c>
      <c r="J337" t="n">
        <v>0</v>
      </c>
      <c r="K337" t="n">
        <v>0</v>
      </c>
      <c r="L337" t="n">
        <v>0</v>
      </c>
      <c r="M337" t="n">
        <v>0</v>
      </c>
      <c r="N337" t="n">
        <v>0</v>
      </c>
      <c r="O337" t="n">
        <v>0</v>
      </c>
      <c r="P337" t="n">
        <v>0</v>
      </c>
      <c r="Q337" t="n">
        <v>0</v>
      </c>
      <c r="R337" s="2" t="inlineStr"/>
    </row>
    <row r="338" ht="15" customHeight="1">
      <c r="A338" t="inlineStr">
        <is>
          <t>A 55193-2019</t>
        </is>
      </c>
      <c r="B338" s="1" t="n">
        <v>43756</v>
      </c>
      <c r="C338" s="1" t="n">
        <v>45828</v>
      </c>
      <c r="D338" t="inlineStr">
        <is>
          <t>JÄMTLANDS LÄN</t>
        </is>
      </c>
      <c r="E338" t="inlineStr">
        <is>
          <t>HÄRJEDALEN</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55238-2019</t>
        </is>
      </c>
      <c r="B339" s="1" t="n">
        <v>43756</v>
      </c>
      <c r="C339" s="1" t="n">
        <v>45828</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55801-2019</t>
        </is>
      </c>
      <c r="B340" s="1" t="n">
        <v>43759</v>
      </c>
      <c r="C340" s="1" t="n">
        <v>45828</v>
      </c>
      <c r="D340" t="inlineStr">
        <is>
          <t>JÄMTLANDS LÄN</t>
        </is>
      </c>
      <c r="E340" t="inlineStr">
        <is>
          <t>HÄRJEDALEN</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55554-2019</t>
        </is>
      </c>
      <c r="B341" s="1" t="n">
        <v>43759</v>
      </c>
      <c r="C341" s="1" t="n">
        <v>45828</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57281-2019</t>
        </is>
      </c>
      <c r="B342" s="1" t="n">
        <v>43759</v>
      </c>
      <c r="C342" s="1" t="n">
        <v>45828</v>
      </c>
      <c r="D342" t="inlineStr">
        <is>
          <t>JÄMTLANDS LÄN</t>
        </is>
      </c>
      <c r="E342" t="inlineStr">
        <is>
          <t>HÄRJEDALEN</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55578-2019</t>
        </is>
      </c>
      <c r="B343" s="1" t="n">
        <v>43760</v>
      </c>
      <c r="C343" s="1" t="n">
        <v>45828</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55607-2019</t>
        </is>
      </c>
      <c r="B344" s="1" t="n">
        <v>43760</v>
      </c>
      <c r="C344" s="1" t="n">
        <v>45828</v>
      </c>
      <c r="D344" t="inlineStr">
        <is>
          <t>JÄMTLANDS LÄN</t>
        </is>
      </c>
      <c r="E344" t="inlineStr">
        <is>
          <t>HÄRJEDALEN</t>
        </is>
      </c>
      <c r="G344" t="n">
        <v>3.7</v>
      </c>
      <c r="H344" t="n">
        <v>0</v>
      </c>
      <c r="I344" t="n">
        <v>0</v>
      </c>
      <c r="J344" t="n">
        <v>0</v>
      </c>
      <c r="K344" t="n">
        <v>0</v>
      </c>
      <c r="L344" t="n">
        <v>0</v>
      </c>
      <c r="M344" t="n">
        <v>0</v>
      </c>
      <c r="N344" t="n">
        <v>0</v>
      </c>
      <c r="O344" t="n">
        <v>0</v>
      </c>
      <c r="P344" t="n">
        <v>0</v>
      </c>
      <c r="Q344" t="n">
        <v>0</v>
      </c>
      <c r="R344" s="2" t="inlineStr"/>
    </row>
    <row r="345" ht="15" customHeight="1">
      <c r="A345" t="inlineStr">
        <is>
          <t>A 56217-2019</t>
        </is>
      </c>
      <c r="B345" s="1" t="n">
        <v>43762</v>
      </c>
      <c r="C345" s="1" t="n">
        <v>45828</v>
      </c>
      <c r="D345" t="inlineStr">
        <is>
          <t>JÄMTLANDS LÄN</t>
        </is>
      </c>
      <c r="E345" t="inlineStr">
        <is>
          <t>HÄRJEDALEN</t>
        </is>
      </c>
      <c r="G345" t="n">
        <v>43.2</v>
      </c>
      <c r="H345" t="n">
        <v>0</v>
      </c>
      <c r="I345" t="n">
        <v>0</v>
      </c>
      <c r="J345" t="n">
        <v>0</v>
      </c>
      <c r="K345" t="n">
        <v>0</v>
      </c>
      <c r="L345" t="n">
        <v>0</v>
      </c>
      <c r="M345" t="n">
        <v>0</v>
      </c>
      <c r="N345" t="n">
        <v>0</v>
      </c>
      <c r="O345" t="n">
        <v>0</v>
      </c>
      <c r="P345" t="n">
        <v>0</v>
      </c>
      <c r="Q345" t="n">
        <v>0</v>
      </c>
      <c r="R345" s="2" t="inlineStr"/>
    </row>
    <row r="346" ht="15" customHeight="1">
      <c r="A346" t="inlineStr">
        <is>
          <t>A 58175-2019</t>
        </is>
      </c>
      <c r="B346" s="1" t="n">
        <v>43769</v>
      </c>
      <c r="C346" s="1" t="n">
        <v>45828</v>
      </c>
      <c r="D346" t="inlineStr">
        <is>
          <t>JÄMTLANDS LÄN</t>
        </is>
      </c>
      <c r="E346" t="inlineStr">
        <is>
          <t>HÄRJEDALEN</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59347-2019</t>
        </is>
      </c>
      <c r="B347" s="1" t="n">
        <v>43770</v>
      </c>
      <c r="C347" s="1" t="n">
        <v>45828</v>
      </c>
      <c r="D347" t="inlineStr">
        <is>
          <t>JÄMTLANDS LÄN</t>
        </is>
      </c>
      <c r="E347" t="inlineStr">
        <is>
          <t>HÄRJEDALEN</t>
        </is>
      </c>
      <c r="G347" t="n">
        <v>2.3</v>
      </c>
      <c r="H347" t="n">
        <v>0</v>
      </c>
      <c r="I347" t="n">
        <v>0</v>
      </c>
      <c r="J347" t="n">
        <v>0</v>
      </c>
      <c r="K347" t="n">
        <v>0</v>
      </c>
      <c r="L347" t="n">
        <v>0</v>
      </c>
      <c r="M347" t="n">
        <v>0</v>
      </c>
      <c r="N347" t="n">
        <v>0</v>
      </c>
      <c r="O347" t="n">
        <v>0</v>
      </c>
      <c r="P347" t="n">
        <v>0</v>
      </c>
      <c r="Q347" t="n">
        <v>0</v>
      </c>
      <c r="R347" s="2" t="inlineStr"/>
    </row>
    <row r="348" ht="15" customHeight="1">
      <c r="A348" t="inlineStr">
        <is>
          <t>A 58742-2019</t>
        </is>
      </c>
      <c r="B348" s="1" t="n">
        <v>43773</v>
      </c>
      <c r="C348" s="1" t="n">
        <v>45828</v>
      </c>
      <c r="D348" t="inlineStr">
        <is>
          <t>JÄMTLANDS LÄN</t>
        </is>
      </c>
      <c r="E348" t="inlineStr">
        <is>
          <t>HÄRJEDALEN</t>
        </is>
      </c>
      <c r="G348" t="n">
        <v>4</v>
      </c>
      <c r="H348" t="n">
        <v>0</v>
      </c>
      <c r="I348" t="n">
        <v>0</v>
      </c>
      <c r="J348" t="n">
        <v>0</v>
      </c>
      <c r="K348" t="n">
        <v>0</v>
      </c>
      <c r="L348" t="n">
        <v>0</v>
      </c>
      <c r="M348" t="n">
        <v>0</v>
      </c>
      <c r="N348" t="n">
        <v>0</v>
      </c>
      <c r="O348" t="n">
        <v>0</v>
      </c>
      <c r="P348" t="n">
        <v>0</v>
      </c>
      <c r="Q348" t="n">
        <v>0</v>
      </c>
      <c r="R348" s="2" t="inlineStr"/>
    </row>
    <row r="349" ht="15" customHeight="1">
      <c r="A349" t="inlineStr">
        <is>
          <t>A 59984-2019</t>
        </is>
      </c>
      <c r="B349" s="1" t="n">
        <v>43775</v>
      </c>
      <c r="C349" s="1" t="n">
        <v>45828</v>
      </c>
      <c r="D349" t="inlineStr">
        <is>
          <t>JÄMTLANDS LÄN</t>
        </is>
      </c>
      <c r="E349" t="inlineStr">
        <is>
          <t>HÄRJEDALEN</t>
        </is>
      </c>
      <c r="G349" t="n">
        <v>20.4</v>
      </c>
      <c r="H349" t="n">
        <v>0</v>
      </c>
      <c r="I349" t="n">
        <v>0</v>
      </c>
      <c r="J349" t="n">
        <v>0</v>
      </c>
      <c r="K349" t="n">
        <v>0</v>
      </c>
      <c r="L349" t="n">
        <v>0</v>
      </c>
      <c r="M349" t="n">
        <v>0</v>
      </c>
      <c r="N349" t="n">
        <v>0</v>
      </c>
      <c r="O349" t="n">
        <v>0</v>
      </c>
      <c r="P349" t="n">
        <v>0</v>
      </c>
      <c r="Q349" t="n">
        <v>0</v>
      </c>
      <c r="R349" s="2" t="inlineStr"/>
    </row>
    <row r="350" ht="15" customHeight="1">
      <c r="A350" t="inlineStr">
        <is>
          <t>A 59733-2019</t>
        </is>
      </c>
      <c r="B350" s="1" t="n">
        <v>43776</v>
      </c>
      <c r="C350" s="1" t="n">
        <v>45828</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62342-2019</t>
        </is>
      </c>
      <c r="B351" s="1" t="n">
        <v>43782</v>
      </c>
      <c r="C351" s="1" t="n">
        <v>45828</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60919-2019</t>
        </is>
      </c>
      <c r="B352" s="1" t="n">
        <v>43782</v>
      </c>
      <c r="C352" s="1" t="n">
        <v>45828</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62115-2019</t>
        </is>
      </c>
      <c r="B353" s="1" t="n">
        <v>43787</v>
      </c>
      <c r="C353" s="1" t="n">
        <v>45828</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62451-2019</t>
        </is>
      </c>
      <c r="B354" s="1" t="n">
        <v>43788</v>
      </c>
      <c r="C354" s="1" t="n">
        <v>45828</v>
      </c>
      <c r="D354" t="inlineStr">
        <is>
          <t>JÄMTLANDS LÄN</t>
        </is>
      </c>
      <c r="E354" t="inlineStr">
        <is>
          <t>HÄRJEDALEN</t>
        </is>
      </c>
      <c r="F354" t="inlineStr">
        <is>
          <t>Bergvik skog väst AB</t>
        </is>
      </c>
      <c r="G354" t="n">
        <v>22.2</v>
      </c>
      <c r="H354" t="n">
        <v>0</v>
      </c>
      <c r="I354" t="n">
        <v>0</v>
      </c>
      <c r="J354" t="n">
        <v>0</v>
      </c>
      <c r="K354" t="n">
        <v>0</v>
      </c>
      <c r="L354" t="n">
        <v>0</v>
      </c>
      <c r="M354" t="n">
        <v>0</v>
      </c>
      <c r="N354" t="n">
        <v>0</v>
      </c>
      <c r="O354" t="n">
        <v>0</v>
      </c>
      <c r="P354" t="n">
        <v>0</v>
      </c>
      <c r="Q354" t="n">
        <v>0</v>
      </c>
      <c r="R354" s="2" t="inlineStr"/>
    </row>
    <row r="355" ht="15" customHeight="1">
      <c r="A355" t="inlineStr">
        <is>
          <t>A 62971-2019</t>
        </is>
      </c>
      <c r="B355" s="1" t="n">
        <v>43790</v>
      </c>
      <c r="C355" s="1" t="n">
        <v>45828</v>
      </c>
      <c r="D355" t="inlineStr">
        <is>
          <t>JÄMTLANDS LÄN</t>
        </is>
      </c>
      <c r="E355" t="inlineStr">
        <is>
          <t>HÄRJEDALEN</t>
        </is>
      </c>
      <c r="F355" t="inlineStr">
        <is>
          <t>Bergvik skog väst AB</t>
        </is>
      </c>
      <c r="G355" t="n">
        <v>18.2</v>
      </c>
      <c r="H355" t="n">
        <v>0</v>
      </c>
      <c r="I355" t="n">
        <v>0</v>
      </c>
      <c r="J355" t="n">
        <v>0</v>
      </c>
      <c r="K355" t="n">
        <v>0</v>
      </c>
      <c r="L355" t="n">
        <v>0</v>
      </c>
      <c r="M355" t="n">
        <v>0</v>
      </c>
      <c r="N355" t="n">
        <v>0</v>
      </c>
      <c r="O355" t="n">
        <v>0</v>
      </c>
      <c r="P355" t="n">
        <v>0</v>
      </c>
      <c r="Q355" t="n">
        <v>0</v>
      </c>
      <c r="R355" s="2" t="inlineStr"/>
    </row>
    <row r="356" ht="15" customHeight="1">
      <c r="A356" t="inlineStr">
        <is>
          <t>A 64417-2019</t>
        </is>
      </c>
      <c r="B356" s="1" t="n">
        <v>43794</v>
      </c>
      <c r="C356" s="1" t="n">
        <v>45828</v>
      </c>
      <c r="D356" t="inlineStr">
        <is>
          <t>JÄMTLANDS LÄN</t>
        </is>
      </c>
      <c r="E356" t="inlineStr">
        <is>
          <t>HÄRJEDALEN</t>
        </is>
      </c>
      <c r="G356" t="n">
        <v>6.9</v>
      </c>
      <c r="H356" t="n">
        <v>0</v>
      </c>
      <c r="I356" t="n">
        <v>0</v>
      </c>
      <c r="J356" t="n">
        <v>0</v>
      </c>
      <c r="K356" t="n">
        <v>0</v>
      </c>
      <c r="L356" t="n">
        <v>0</v>
      </c>
      <c r="M356" t="n">
        <v>0</v>
      </c>
      <c r="N356" t="n">
        <v>0</v>
      </c>
      <c r="O356" t="n">
        <v>0</v>
      </c>
      <c r="P356" t="n">
        <v>0</v>
      </c>
      <c r="Q356" t="n">
        <v>0</v>
      </c>
      <c r="R356" s="2" t="inlineStr"/>
    </row>
    <row r="357" ht="15" customHeight="1">
      <c r="A357" t="inlineStr">
        <is>
          <t>A 64229-2019</t>
        </is>
      </c>
      <c r="B357" s="1" t="n">
        <v>43797</v>
      </c>
      <c r="C357" s="1" t="n">
        <v>45828</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64689-2019</t>
        </is>
      </c>
      <c r="B358" s="1" t="n">
        <v>43798</v>
      </c>
      <c r="C358" s="1" t="n">
        <v>45828</v>
      </c>
      <c r="D358" t="inlineStr">
        <is>
          <t>JÄMTLANDS LÄN</t>
        </is>
      </c>
      <c r="E358" t="inlineStr">
        <is>
          <t>HÄRJEDALEN</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65759-2019</t>
        </is>
      </c>
      <c r="B359" s="1" t="n">
        <v>43804</v>
      </c>
      <c r="C359" s="1" t="n">
        <v>45828</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66255-2019</t>
        </is>
      </c>
      <c r="B360" s="1" t="n">
        <v>43808</v>
      </c>
      <c r="C360" s="1" t="n">
        <v>45828</v>
      </c>
      <c r="D360" t="inlineStr">
        <is>
          <t>JÄMTLANDS LÄN</t>
        </is>
      </c>
      <c r="E360" t="inlineStr">
        <is>
          <t>HÄRJEDALEN</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66735-2019</t>
        </is>
      </c>
      <c r="B361" s="1" t="n">
        <v>43810</v>
      </c>
      <c r="C361" s="1" t="n">
        <v>45828</v>
      </c>
      <c r="D361" t="inlineStr">
        <is>
          <t>JÄMTLANDS LÄN</t>
        </is>
      </c>
      <c r="E361" t="inlineStr">
        <is>
          <t>HÄRJEDALEN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67619-2019</t>
        </is>
      </c>
      <c r="B362" s="1" t="n">
        <v>43815</v>
      </c>
      <c r="C362" s="1" t="n">
        <v>45828</v>
      </c>
      <c r="D362" t="inlineStr">
        <is>
          <t>JÄMTLANDS LÄN</t>
        </is>
      </c>
      <c r="E362" t="inlineStr">
        <is>
          <t>HÄRJEDALEN</t>
        </is>
      </c>
      <c r="F362" t="inlineStr">
        <is>
          <t>Holmen skog AB</t>
        </is>
      </c>
      <c r="G362" t="n">
        <v>6.4</v>
      </c>
      <c r="H362" t="n">
        <v>0</v>
      </c>
      <c r="I362" t="n">
        <v>0</v>
      </c>
      <c r="J362" t="n">
        <v>0</v>
      </c>
      <c r="K362" t="n">
        <v>0</v>
      </c>
      <c r="L362" t="n">
        <v>0</v>
      </c>
      <c r="M362" t="n">
        <v>0</v>
      </c>
      <c r="N362" t="n">
        <v>0</v>
      </c>
      <c r="O362" t="n">
        <v>0</v>
      </c>
      <c r="P362" t="n">
        <v>0</v>
      </c>
      <c r="Q362" t="n">
        <v>0</v>
      </c>
      <c r="R362" s="2" t="inlineStr"/>
    </row>
    <row r="363" ht="15" customHeight="1">
      <c r="A363" t="inlineStr">
        <is>
          <t>A 67693-2019</t>
        </is>
      </c>
      <c r="B363" s="1" t="n">
        <v>43815</v>
      </c>
      <c r="C363" s="1" t="n">
        <v>45828</v>
      </c>
      <c r="D363" t="inlineStr">
        <is>
          <t>JÄMTLANDS LÄN</t>
        </is>
      </c>
      <c r="E363" t="inlineStr">
        <is>
          <t>HÄRJEDALEN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67500-2019</t>
        </is>
      </c>
      <c r="B364" s="1" t="n">
        <v>43815</v>
      </c>
      <c r="C364" s="1" t="n">
        <v>45828</v>
      </c>
      <c r="D364" t="inlineStr">
        <is>
          <t>JÄMTLANDS LÄN</t>
        </is>
      </c>
      <c r="E364" t="inlineStr">
        <is>
          <t>HÄRJEDALEN</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67695-2019</t>
        </is>
      </c>
      <c r="B365" s="1" t="n">
        <v>43815</v>
      </c>
      <c r="C365" s="1" t="n">
        <v>45828</v>
      </c>
      <c r="D365" t="inlineStr">
        <is>
          <t>JÄMTLANDS LÄN</t>
        </is>
      </c>
      <c r="E365" t="inlineStr">
        <is>
          <t>HÄRJEDALEN</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67757-2019</t>
        </is>
      </c>
      <c r="B366" s="1" t="n">
        <v>43815</v>
      </c>
      <c r="C366" s="1" t="n">
        <v>45828</v>
      </c>
      <c r="D366" t="inlineStr">
        <is>
          <t>JÄMTLANDS LÄN</t>
        </is>
      </c>
      <c r="E366" t="inlineStr">
        <is>
          <t>HÄRJEDALEN</t>
        </is>
      </c>
      <c r="F366" t="inlineStr">
        <is>
          <t>Holmen skog AB</t>
        </is>
      </c>
      <c r="G366" t="n">
        <v>4</v>
      </c>
      <c r="H366" t="n">
        <v>0</v>
      </c>
      <c r="I366" t="n">
        <v>0</v>
      </c>
      <c r="J366" t="n">
        <v>0</v>
      </c>
      <c r="K366" t="n">
        <v>0</v>
      </c>
      <c r="L366" t="n">
        <v>0</v>
      </c>
      <c r="M366" t="n">
        <v>0</v>
      </c>
      <c r="N366" t="n">
        <v>0</v>
      </c>
      <c r="O366" t="n">
        <v>0</v>
      </c>
      <c r="P366" t="n">
        <v>0</v>
      </c>
      <c r="Q366" t="n">
        <v>0</v>
      </c>
      <c r="R366" s="2" t="inlineStr"/>
    </row>
    <row r="367" ht="15" customHeight="1">
      <c r="A367" t="inlineStr">
        <is>
          <t>A 67688-2019</t>
        </is>
      </c>
      <c r="B367" s="1" t="n">
        <v>43815</v>
      </c>
      <c r="C367" s="1" t="n">
        <v>45828</v>
      </c>
      <c r="D367" t="inlineStr">
        <is>
          <t>JÄMTLANDS LÄN</t>
        </is>
      </c>
      <c r="E367" t="inlineStr">
        <is>
          <t>HÄRJEDALEN</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67738-2019</t>
        </is>
      </c>
      <c r="B368" s="1" t="n">
        <v>43815</v>
      </c>
      <c r="C368" s="1" t="n">
        <v>45828</v>
      </c>
      <c r="D368" t="inlineStr">
        <is>
          <t>JÄMTLANDS LÄN</t>
        </is>
      </c>
      <c r="E368" t="inlineStr">
        <is>
          <t>HÄRJEDALEN</t>
        </is>
      </c>
      <c r="F368" t="inlineStr">
        <is>
          <t>Holmen skog AB</t>
        </is>
      </c>
      <c r="G368" t="n">
        <v>15.9</v>
      </c>
      <c r="H368" t="n">
        <v>0</v>
      </c>
      <c r="I368" t="n">
        <v>0</v>
      </c>
      <c r="J368" t="n">
        <v>0</v>
      </c>
      <c r="K368" t="n">
        <v>0</v>
      </c>
      <c r="L368" t="n">
        <v>0</v>
      </c>
      <c r="M368" t="n">
        <v>0</v>
      </c>
      <c r="N368" t="n">
        <v>0</v>
      </c>
      <c r="O368" t="n">
        <v>0</v>
      </c>
      <c r="P368" t="n">
        <v>0</v>
      </c>
      <c r="Q368" t="n">
        <v>0</v>
      </c>
      <c r="R368" s="2" t="inlineStr"/>
    </row>
    <row r="369" ht="15" customHeight="1">
      <c r="A369" t="inlineStr">
        <is>
          <t>A 67506-2019</t>
        </is>
      </c>
      <c r="B369" s="1" t="n">
        <v>43815</v>
      </c>
      <c r="C369" s="1" t="n">
        <v>45828</v>
      </c>
      <c r="D369" t="inlineStr">
        <is>
          <t>JÄMTLANDS LÄN</t>
        </is>
      </c>
      <c r="E369" t="inlineStr">
        <is>
          <t>HÄRJEDALEN</t>
        </is>
      </c>
      <c r="F369" t="inlineStr">
        <is>
          <t>Holmen skog AB</t>
        </is>
      </c>
      <c r="G369" t="n">
        <v>27</v>
      </c>
      <c r="H369" t="n">
        <v>0</v>
      </c>
      <c r="I369" t="n">
        <v>0</v>
      </c>
      <c r="J369" t="n">
        <v>0</v>
      </c>
      <c r="K369" t="n">
        <v>0</v>
      </c>
      <c r="L369" t="n">
        <v>0</v>
      </c>
      <c r="M369" t="n">
        <v>0</v>
      </c>
      <c r="N369" t="n">
        <v>0</v>
      </c>
      <c r="O369" t="n">
        <v>0</v>
      </c>
      <c r="P369" t="n">
        <v>0</v>
      </c>
      <c r="Q369" t="n">
        <v>0</v>
      </c>
      <c r="R369" s="2" t="inlineStr"/>
    </row>
    <row r="370" ht="15" customHeight="1">
      <c r="A370" t="inlineStr">
        <is>
          <t>A 67692-2019</t>
        </is>
      </c>
      <c r="B370" s="1" t="n">
        <v>43815</v>
      </c>
      <c r="C370" s="1" t="n">
        <v>45828</v>
      </c>
      <c r="D370" t="inlineStr">
        <is>
          <t>JÄMTLANDS LÄN</t>
        </is>
      </c>
      <c r="E370" t="inlineStr">
        <is>
          <t>HÄRJEDALEN</t>
        </is>
      </c>
      <c r="F370" t="inlineStr">
        <is>
          <t>Holmen skog AB</t>
        </is>
      </c>
      <c r="G370" t="n">
        <v>12.9</v>
      </c>
      <c r="H370" t="n">
        <v>0</v>
      </c>
      <c r="I370" t="n">
        <v>0</v>
      </c>
      <c r="J370" t="n">
        <v>0</v>
      </c>
      <c r="K370" t="n">
        <v>0</v>
      </c>
      <c r="L370" t="n">
        <v>0</v>
      </c>
      <c r="M370" t="n">
        <v>0</v>
      </c>
      <c r="N370" t="n">
        <v>0</v>
      </c>
      <c r="O370" t="n">
        <v>0</v>
      </c>
      <c r="P370" t="n">
        <v>0</v>
      </c>
      <c r="Q370" t="n">
        <v>0</v>
      </c>
      <c r="R370" s="2" t="inlineStr"/>
    </row>
    <row r="371" ht="15" customHeight="1">
      <c r="A371" t="inlineStr">
        <is>
          <t>A 67733-2019</t>
        </is>
      </c>
      <c r="B371" s="1" t="n">
        <v>43815</v>
      </c>
      <c r="C371" s="1" t="n">
        <v>45828</v>
      </c>
      <c r="D371" t="inlineStr">
        <is>
          <t>JÄMTLANDS LÄN</t>
        </is>
      </c>
      <c r="E371" t="inlineStr">
        <is>
          <t>HÄRJEDALEN</t>
        </is>
      </c>
      <c r="F371" t="inlineStr">
        <is>
          <t>Holmen skog AB</t>
        </is>
      </c>
      <c r="G371" t="n">
        <v>15.5</v>
      </c>
      <c r="H371" t="n">
        <v>0</v>
      </c>
      <c r="I371" t="n">
        <v>0</v>
      </c>
      <c r="J371" t="n">
        <v>0</v>
      </c>
      <c r="K371" t="n">
        <v>0</v>
      </c>
      <c r="L371" t="n">
        <v>0</v>
      </c>
      <c r="M371" t="n">
        <v>0</v>
      </c>
      <c r="N371" t="n">
        <v>0</v>
      </c>
      <c r="O371" t="n">
        <v>0</v>
      </c>
      <c r="P371" t="n">
        <v>0</v>
      </c>
      <c r="Q371" t="n">
        <v>0</v>
      </c>
      <c r="R371" s="2" t="inlineStr"/>
    </row>
    <row r="372" ht="15" customHeight="1">
      <c r="A372" t="inlineStr">
        <is>
          <t>A 67593-2019</t>
        </is>
      </c>
      <c r="B372" s="1" t="n">
        <v>43815</v>
      </c>
      <c r="C372" s="1" t="n">
        <v>45828</v>
      </c>
      <c r="D372" t="inlineStr">
        <is>
          <t>JÄMTLANDS LÄN</t>
        </is>
      </c>
      <c r="E372" t="inlineStr">
        <is>
          <t>HÄRJEDALEN</t>
        </is>
      </c>
      <c r="F372" t="inlineStr">
        <is>
          <t>Holmen skog AB</t>
        </is>
      </c>
      <c r="G372" t="n">
        <v>7.9</v>
      </c>
      <c r="H372" t="n">
        <v>0</v>
      </c>
      <c r="I372" t="n">
        <v>0</v>
      </c>
      <c r="J372" t="n">
        <v>0</v>
      </c>
      <c r="K372" t="n">
        <v>0</v>
      </c>
      <c r="L372" t="n">
        <v>0</v>
      </c>
      <c r="M372" t="n">
        <v>0</v>
      </c>
      <c r="N372" t="n">
        <v>0</v>
      </c>
      <c r="O372" t="n">
        <v>0</v>
      </c>
      <c r="P372" t="n">
        <v>0</v>
      </c>
      <c r="Q372" t="n">
        <v>0</v>
      </c>
      <c r="R372" s="2" t="inlineStr"/>
    </row>
    <row r="373" ht="15" customHeight="1">
      <c r="A373" t="inlineStr">
        <is>
          <t>A 67535-2019</t>
        </is>
      </c>
      <c r="B373" s="1" t="n">
        <v>43815</v>
      </c>
      <c r="C373" s="1" t="n">
        <v>45828</v>
      </c>
      <c r="D373" t="inlineStr">
        <is>
          <t>JÄMTLANDS LÄN</t>
        </is>
      </c>
      <c r="E373" t="inlineStr">
        <is>
          <t>HÄRJEDALEN</t>
        </is>
      </c>
      <c r="F373" t="inlineStr">
        <is>
          <t>Holmen skog AB</t>
        </is>
      </c>
      <c r="G373" t="n">
        <v>34.3</v>
      </c>
      <c r="H373" t="n">
        <v>0</v>
      </c>
      <c r="I373" t="n">
        <v>0</v>
      </c>
      <c r="J373" t="n">
        <v>0</v>
      </c>
      <c r="K373" t="n">
        <v>0</v>
      </c>
      <c r="L373" t="n">
        <v>0</v>
      </c>
      <c r="M373" t="n">
        <v>0</v>
      </c>
      <c r="N373" t="n">
        <v>0</v>
      </c>
      <c r="O373" t="n">
        <v>0</v>
      </c>
      <c r="P373" t="n">
        <v>0</v>
      </c>
      <c r="Q373" t="n">
        <v>0</v>
      </c>
      <c r="R373" s="2" t="inlineStr"/>
    </row>
    <row r="374" ht="15" customHeight="1">
      <c r="A374" t="inlineStr">
        <is>
          <t>A 67972-2019</t>
        </is>
      </c>
      <c r="B374" s="1" t="n">
        <v>43816</v>
      </c>
      <c r="C374" s="1" t="n">
        <v>45828</v>
      </c>
      <c r="D374" t="inlineStr">
        <is>
          <t>JÄMTLANDS LÄN</t>
        </is>
      </c>
      <c r="E374" t="inlineStr">
        <is>
          <t>HÄRJEDALEN</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642-2020</t>
        </is>
      </c>
      <c r="B375" s="1" t="n">
        <v>43817</v>
      </c>
      <c r="C375" s="1" t="n">
        <v>45828</v>
      </c>
      <c r="D375" t="inlineStr">
        <is>
          <t>JÄMTLANDS LÄN</t>
        </is>
      </c>
      <c r="E375" t="inlineStr">
        <is>
          <t>HÄRJEDALEN</t>
        </is>
      </c>
      <c r="G375" t="n">
        <v>15.5</v>
      </c>
      <c r="H375" t="n">
        <v>0</v>
      </c>
      <c r="I375" t="n">
        <v>0</v>
      </c>
      <c r="J375" t="n">
        <v>0</v>
      </c>
      <c r="K375" t="n">
        <v>0</v>
      </c>
      <c r="L375" t="n">
        <v>0</v>
      </c>
      <c r="M375" t="n">
        <v>0</v>
      </c>
      <c r="N375" t="n">
        <v>0</v>
      </c>
      <c r="O375" t="n">
        <v>0</v>
      </c>
      <c r="P375" t="n">
        <v>0</v>
      </c>
      <c r="Q375" t="n">
        <v>0</v>
      </c>
      <c r="R375" s="2" t="inlineStr"/>
    </row>
    <row r="376" ht="15" customHeight="1">
      <c r="A376" t="inlineStr">
        <is>
          <t>A 159-2020</t>
        </is>
      </c>
      <c r="B376" s="1" t="n">
        <v>43833</v>
      </c>
      <c r="C376" s="1" t="n">
        <v>45828</v>
      </c>
      <c r="D376" t="inlineStr">
        <is>
          <t>JÄMTLANDS LÄN</t>
        </is>
      </c>
      <c r="E376" t="inlineStr">
        <is>
          <t>HÄRJEDALEN</t>
        </is>
      </c>
      <c r="G376" t="n">
        <v>1.4</v>
      </c>
      <c r="H376" t="n">
        <v>0</v>
      </c>
      <c r="I376" t="n">
        <v>0</v>
      </c>
      <c r="J376" t="n">
        <v>0</v>
      </c>
      <c r="K376" t="n">
        <v>0</v>
      </c>
      <c r="L376" t="n">
        <v>0</v>
      </c>
      <c r="M376" t="n">
        <v>0</v>
      </c>
      <c r="N376" t="n">
        <v>0</v>
      </c>
      <c r="O376" t="n">
        <v>0</v>
      </c>
      <c r="P376" t="n">
        <v>0</v>
      </c>
      <c r="Q376" t="n">
        <v>0</v>
      </c>
      <c r="R376" s="2" t="inlineStr"/>
    </row>
    <row r="377" ht="15" customHeight="1">
      <c r="A377" t="inlineStr">
        <is>
          <t>A 2320-2020</t>
        </is>
      </c>
      <c r="B377" s="1" t="n">
        <v>43846</v>
      </c>
      <c r="C377" s="1" t="n">
        <v>45828</v>
      </c>
      <c r="D377" t="inlineStr">
        <is>
          <t>JÄMTLANDS LÄN</t>
        </is>
      </c>
      <c r="E377" t="inlineStr">
        <is>
          <t>HÄRJEDALEN</t>
        </is>
      </c>
      <c r="F377" t="inlineStr">
        <is>
          <t>Bergvik skog väst AB</t>
        </is>
      </c>
      <c r="G377" t="n">
        <v>3.3</v>
      </c>
      <c r="H377" t="n">
        <v>0</v>
      </c>
      <c r="I377" t="n">
        <v>0</v>
      </c>
      <c r="J377" t="n">
        <v>0</v>
      </c>
      <c r="K377" t="n">
        <v>0</v>
      </c>
      <c r="L377" t="n">
        <v>0</v>
      </c>
      <c r="M377" t="n">
        <v>0</v>
      </c>
      <c r="N377" t="n">
        <v>0</v>
      </c>
      <c r="O377" t="n">
        <v>0</v>
      </c>
      <c r="P377" t="n">
        <v>0</v>
      </c>
      <c r="Q377" t="n">
        <v>0</v>
      </c>
      <c r="R377" s="2" t="inlineStr"/>
    </row>
    <row r="378" ht="15" customHeight="1">
      <c r="A378" t="inlineStr">
        <is>
          <t>A 4663-2020</t>
        </is>
      </c>
      <c r="B378" s="1" t="n">
        <v>43858</v>
      </c>
      <c r="C378" s="1" t="n">
        <v>45828</v>
      </c>
      <c r="D378" t="inlineStr">
        <is>
          <t>JÄMTLANDS LÄN</t>
        </is>
      </c>
      <c r="E378" t="inlineStr">
        <is>
          <t>HÄRJEDALEN</t>
        </is>
      </c>
      <c r="G378" t="n">
        <v>10.2</v>
      </c>
      <c r="H378" t="n">
        <v>0</v>
      </c>
      <c r="I378" t="n">
        <v>0</v>
      </c>
      <c r="J378" t="n">
        <v>0</v>
      </c>
      <c r="K378" t="n">
        <v>0</v>
      </c>
      <c r="L378" t="n">
        <v>0</v>
      </c>
      <c r="M378" t="n">
        <v>0</v>
      </c>
      <c r="N378" t="n">
        <v>0</v>
      </c>
      <c r="O378" t="n">
        <v>0</v>
      </c>
      <c r="P378" t="n">
        <v>0</v>
      </c>
      <c r="Q378" t="n">
        <v>0</v>
      </c>
      <c r="R378" s="2" t="inlineStr"/>
    </row>
    <row r="379" ht="15" customHeight="1">
      <c r="A379" t="inlineStr">
        <is>
          <t>A 6719-2020</t>
        </is>
      </c>
      <c r="B379" s="1" t="n">
        <v>43866</v>
      </c>
      <c r="C379" s="1" t="n">
        <v>45828</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6715-2020</t>
        </is>
      </c>
      <c r="B380" s="1" t="n">
        <v>43866</v>
      </c>
      <c r="C380" s="1" t="n">
        <v>45828</v>
      </c>
      <c r="D380" t="inlineStr">
        <is>
          <t>JÄMTLANDS LÄN</t>
        </is>
      </c>
      <c r="E380" t="inlineStr">
        <is>
          <t>HÄRJEDALEN</t>
        </is>
      </c>
      <c r="G380" t="n">
        <v>7.5</v>
      </c>
      <c r="H380" t="n">
        <v>0</v>
      </c>
      <c r="I380" t="n">
        <v>0</v>
      </c>
      <c r="J380" t="n">
        <v>0</v>
      </c>
      <c r="K380" t="n">
        <v>0</v>
      </c>
      <c r="L380" t="n">
        <v>0</v>
      </c>
      <c r="M380" t="n">
        <v>0</v>
      </c>
      <c r="N380" t="n">
        <v>0</v>
      </c>
      <c r="O380" t="n">
        <v>0</v>
      </c>
      <c r="P380" t="n">
        <v>0</v>
      </c>
      <c r="Q380" t="n">
        <v>0</v>
      </c>
      <c r="R380" s="2" t="inlineStr"/>
    </row>
    <row r="381" ht="15" customHeight="1">
      <c r="A381" t="inlineStr">
        <is>
          <t>A 6675-2020</t>
        </is>
      </c>
      <c r="B381" s="1" t="n">
        <v>43866</v>
      </c>
      <c r="C381" s="1" t="n">
        <v>45828</v>
      </c>
      <c r="D381" t="inlineStr">
        <is>
          <t>JÄMTLANDS LÄN</t>
        </is>
      </c>
      <c r="E381" t="inlineStr">
        <is>
          <t>HÄRJEDALEN</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6584-2020</t>
        </is>
      </c>
      <c r="B382" s="1" t="n">
        <v>43867</v>
      </c>
      <c r="C382" s="1" t="n">
        <v>45828</v>
      </c>
      <c r="D382" t="inlineStr">
        <is>
          <t>JÄMTLANDS LÄN</t>
        </is>
      </c>
      <c r="E382" t="inlineStr">
        <is>
          <t>HÄRJEDALEN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6903-2020</t>
        </is>
      </c>
      <c r="B383" s="1" t="n">
        <v>43867</v>
      </c>
      <c r="C383" s="1" t="n">
        <v>45828</v>
      </c>
      <c r="D383" t="inlineStr">
        <is>
          <t>JÄMTLANDS LÄN</t>
        </is>
      </c>
      <c r="E383" t="inlineStr">
        <is>
          <t>HÄRJEDALEN</t>
        </is>
      </c>
      <c r="G383" t="n">
        <v>10.5</v>
      </c>
      <c r="H383" t="n">
        <v>0</v>
      </c>
      <c r="I383" t="n">
        <v>0</v>
      </c>
      <c r="J383" t="n">
        <v>0</v>
      </c>
      <c r="K383" t="n">
        <v>0</v>
      </c>
      <c r="L383" t="n">
        <v>0</v>
      </c>
      <c r="M383" t="n">
        <v>0</v>
      </c>
      <c r="N383" t="n">
        <v>0</v>
      </c>
      <c r="O383" t="n">
        <v>0</v>
      </c>
      <c r="P383" t="n">
        <v>0</v>
      </c>
      <c r="Q383" t="n">
        <v>0</v>
      </c>
      <c r="R383" s="2" t="inlineStr"/>
    </row>
    <row r="384" ht="15" customHeight="1">
      <c r="A384" t="inlineStr">
        <is>
          <t>A 7184-2020</t>
        </is>
      </c>
      <c r="B384" s="1" t="n">
        <v>43871</v>
      </c>
      <c r="C384" s="1" t="n">
        <v>45828</v>
      </c>
      <c r="D384" t="inlineStr">
        <is>
          <t>JÄMTLANDS LÄN</t>
        </is>
      </c>
      <c r="E384" t="inlineStr">
        <is>
          <t>HÄRJEDALEN</t>
        </is>
      </c>
      <c r="G384" t="n">
        <v>41.4</v>
      </c>
      <c r="H384" t="n">
        <v>0</v>
      </c>
      <c r="I384" t="n">
        <v>0</v>
      </c>
      <c r="J384" t="n">
        <v>0</v>
      </c>
      <c r="K384" t="n">
        <v>0</v>
      </c>
      <c r="L384" t="n">
        <v>0</v>
      </c>
      <c r="M384" t="n">
        <v>0</v>
      </c>
      <c r="N384" t="n">
        <v>0</v>
      </c>
      <c r="O384" t="n">
        <v>0</v>
      </c>
      <c r="P384" t="n">
        <v>0</v>
      </c>
      <c r="Q384" t="n">
        <v>0</v>
      </c>
      <c r="R384" s="2" t="inlineStr"/>
    </row>
    <row r="385" ht="15" customHeight="1">
      <c r="A385" t="inlineStr">
        <is>
          <t>A 8111-2020</t>
        </is>
      </c>
      <c r="B385" s="1" t="n">
        <v>43874</v>
      </c>
      <c r="C385" s="1" t="n">
        <v>45828</v>
      </c>
      <c r="D385" t="inlineStr">
        <is>
          <t>JÄMTLANDS LÄN</t>
        </is>
      </c>
      <c r="E385" t="inlineStr">
        <is>
          <t>HÄRJEDALEN</t>
        </is>
      </c>
      <c r="G385" t="n">
        <v>15.4</v>
      </c>
      <c r="H385" t="n">
        <v>0</v>
      </c>
      <c r="I385" t="n">
        <v>0</v>
      </c>
      <c r="J385" t="n">
        <v>0</v>
      </c>
      <c r="K385" t="n">
        <v>0</v>
      </c>
      <c r="L385" t="n">
        <v>0</v>
      </c>
      <c r="M385" t="n">
        <v>0</v>
      </c>
      <c r="N385" t="n">
        <v>0</v>
      </c>
      <c r="O385" t="n">
        <v>0</v>
      </c>
      <c r="P385" t="n">
        <v>0</v>
      </c>
      <c r="Q385" t="n">
        <v>0</v>
      </c>
      <c r="R385" s="2" t="inlineStr"/>
    </row>
    <row r="386" ht="15" customHeight="1">
      <c r="A386" t="inlineStr">
        <is>
          <t>A 8762-2020</t>
        </is>
      </c>
      <c r="B386" s="1" t="n">
        <v>43875</v>
      </c>
      <c r="C386" s="1" t="n">
        <v>45828</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8908-2020</t>
        </is>
      </c>
      <c r="B387" s="1" t="n">
        <v>43878</v>
      </c>
      <c r="C387" s="1" t="n">
        <v>45828</v>
      </c>
      <c r="D387" t="inlineStr">
        <is>
          <t>JÄMTLANDS LÄN</t>
        </is>
      </c>
      <c r="E387" t="inlineStr">
        <is>
          <t>HÄRJEDALEN</t>
        </is>
      </c>
      <c r="G387" t="n">
        <v>18.1</v>
      </c>
      <c r="H387" t="n">
        <v>0</v>
      </c>
      <c r="I387" t="n">
        <v>0</v>
      </c>
      <c r="J387" t="n">
        <v>0</v>
      </c>
      <c r="K387" t="n">
        <v>0</v>
      </c>
      <c r="L387" t="n">
        <v>0</v>
      </c>
      <c r="M387" t="n">
        <v>0</v>
      </c>
      <c r="N387" t="n">
        <v>0</v>
      </c>
      <c r="O387" t="n">
        <v>0</v>
      </c>
      <c r="P387" t="n">
        <v>0</v>
      </c>
      <c r="Q387" t="n">
        <v>0</v>
      </c>
      <c r="R387" s="2" t="inlineStr"/>
    </row>
    <row r="388" ht="15" customHeight="1">
      <c r="A388" t="inlineStr">
        <is>
          <t>A 9034-2020</t>
        </is>
      </c>
      <c r="B388" s="1" t="n">
        <v>43879</v>
      </c>
      <c r="C388" s="1" t="n">
        <v>45828</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9591-2020</t>
        </is>
      </c>
      <c r="B389" s="1" t="n">
        <v>43881</v>
      </c>
      <c r="C389" s="1" t="n">
        <v>45828</v>
      </c>
      <c r="D389" t="inlineStr">
        <is>
          <t>JÄMTLANDS LÄN</t>
        </is>
      </c>
      <c r="E389" t="inlineStr">
        <is>
          <t>HÄRJEDALEN</t>
        </is>
      </c>
      <c r="G389" t="n">
        <v>6.4</v>
      </c>
      <c r="H389" t="n">
        <v>0</v>
      </c>
      <c r="I389" t="n">
        <v>0</v>
      </c>
      <c r="J389" t="n">
        <v>0</v>
      </c>
      <c r="K389" t="n">
        <v>0</v>
      </c>
      <c r="L389" t="n">
        <v>0</v>
      </c>
      <c r="M389" t="n">
        <v>0</v>
      </c>
      <c r="N389" t="n">
        <v>0</v>
      </c>
      <c r="O389" t="n">
        <v>0</v>
      </c>
      <c r="P389" t="n">
        <v>0</v>
      </c>
      <c r="Q389" t="n">
        <v>0</v>
      </c>
      <c r="R389" s="2" t="inlineStr"/>
    </row>
    <row r="390" ht="15" customHeight="1">
      <c r="A390" t="inlineStr">
        <is>
          <t>A 11731-2020</t>
        </is>
      </c>
      <c r="B390" s="1" t="n">
        <v>43894</v>
      </c>
      <c r="C390" s="1" t="n">
        <v>45828</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11816-2020</t>
        </is>
      </c>
      <c r="B391" s="1" t="n">
        <v>43894</v>
      </c>
      <c r="C391" s="1" t="n">
        <v>45828</v>
      </c>
      <c r="D391" t="inlineStr">
        <is>
          <t>JÄMTLANDS LÄN</t>
        </is>
      </c>
      <c r="E391" t="inlineStr">
        <is>
          <t>HÄRJEDALEN</t>
        </is>
      </c>
      <c r="F391" t="inlineStr">
        <is>
          <t>Holmen skog AB</t>
        </is>
      </c>
      <c r="G391" t="n">
        <v>20.4</v>
      </c>
      <c r="H391" t="n">
        <v>0</v>
      </c>
      <c r="I391" t="n">
        <v>0</v>
      </c>
      <c r="J391" t="n">
        <v>0</v>
      </c>
      <c r="K391" t="n">
        <v>0</v>
      </c>
      <c r="L391" t="n">
        <v>0</v>
      </c>
      <c r="M391" t="n">
        <v>0</v>
      </c>
      <c r="N391" t="n">
        <v>0</v>
      </c>
      <c r="O391" t="n">
        <v>0</v>
      </c>
      <c r="P391" t="n">
        <v>0</v>
      </c>
      <c r="Q391" t="n">
        <v>0</v>
      </c>
      <c r="R391" s="2" t="inlineStr"/>
    </row>
    <row r="392" ht="15" customHeight="1">
      <c r="A392" t="inlineStr">
        <is>
          <t>A 11818-2020</t>
        </is>
      </c>
      <c r="B392" s="1" t="n">
        <v>43894</v>
      </c>
      <c r="C392" s="1" t="n">
        <v>45828</v>
      </c>
      <c r="D392" t="inlineStr">
        <is>
          <t>JÄMTLANDS LÄN</t>
        </is>
      </c>
      <c r="E392" t="inlineStr">
        <is>
          <t>HÄRJEDALEN</t>
        </is>
      </c>
      <c r="F392" t="inlineStr">
        <is>
          <t>Holmen skog AB</t>
        </is>
      </c>
      <c r="G392" t="n">
        <v>6</v>
      </c>
      <c r="H392" t="n">
        <v>0</v>
      </c>
      <c r="I392" t="n">
        <v>0</v>
      </c>
      <c r="J392" t="n">
        <v>0</v>
      </c>
      <c r="K392" t="n">
        <v>0</v>
      </c>
      <c r="L392" t="n">
        <v>0</v>
      </c>
      <c r="M392" t="n">
        <v>0</v>
      </c>
      <c r="N392" t="n">
        <v>0</v>
      </c>
      <c r="O392" t="n">
        <v>0</v>
      </c>
      <c r="P392" t="n">
        <v>0</v>
      </c>
      <c r="Q392" t="n">
        <v>0</v>
      </c>
      <c r="R392" s="2" t="inlineStr"/>
    </row>
    <row r="393" ht="15" customHeight="1">
      <c r="A393" t="inlineStr">
        <is>
          <t>A 11885-2020</t>
        </is>
      </c>
      <c r="B393" s="1" t="n">
        <v>43894</v>
      </c>
      <c r="C393" s="1" t="n">
        <v>45828</v>
      </c>
      <c r="D393" t="inlineStr">
        <is>
          <t>JÄMTLANDS LÄN</t>
        </is>
      </c>
      <c r="E393" t="inlineStr">
        <is>
          <t>HÄRJEDALEN</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11828-2020</t>
        </is>
      </c>
      <c r="B394" s="1" t="n">
        <v>43894</v>
      </c>
      <c r="C394" s="1" t="n">
        <v>45828</v>
      </c>
      <c r="D394" t="inlineStr">
        <is>
          <t>JÄMTLANDS LÄN</t>
        </is>
      </c>
      <c r="E394" t="inlineStr">
        <is>
          <t>HÄRJEDALEN</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11905-2020</t>
        </is>
      </c>
      <c r="B395" s="1" t="n">
        <v>43894</v>
      </c>
      <c r="C395" s="1" t="n">
        <v>45828</v>
      </c>
      <c r="D395" t="inlineStr">
        <is>
          <t>JÄMTLANDS LÄN</t>
        </is>
      </c>
      <c r="E395" t="inlineStr">
        <is>
          <t>HÄRJEDALEN</t>
        </is>
      </c>
      <c r="F395" t="inlineStr">
        <is>
          <t>Holmen skog AB</t>
        </is>
      </c>
      <c r="G395" t="n">
        <v>10.3</v>
      </c>
      <c r="H395" t="n">
        <v>0</v>
      </c>
      <c r="I395" t="n">
        <v>0</v>
      </c>
      <c r="J395" t="n">
        <v>0</v>
      </c>
      <c r="K395" t="n">
        <v>0</v>
      </c>
      <c r="L395" t="n">
        <v>0</v>
      </c>
      <c r="M395" t="n">
        <v>0</v>
      </c>
      <c r="N395" t="n">
        <v>0</v>
      </c>
      <c r="O395" t="n">
        <v>0</v>
      </c>
      <c r="P395" t="n">
        <v>0</v>
      </c>
      <c r="Q395" t="n">
        <v>0</v>
      </c>
      <c r="R395" s="2" t="inlineStr"/>
    </row>
    <row r="396" ht="15" customHeight="1">
      <c r="A396" t="inlineStr">
        <is>
          <t>A 13604-2020</t>
        </is>
      </c>
      <c r="B396" s="1" t="n">
        <v>43895</v>
      </c>
      <c r="C396" s="1" t="n">
        <v>45828</v>
      </c>
      <c r="D396" t="inlineStr">
        <is>
          <t>JÄMTLANDS LÄN</t>
        </is>
      </c>
      <c r="E396" t="inlineStr">
        <is>
          <t>HÄRJEDALEN</t>
        </is>
      </c>
      <c r="G396" t="n">
        <v>0.6</v>
      </c>
      <c r="H396" t="n">
        <v>0</v>
      </c>
      <c r="I396" t="n">
        <v>0</v>
      </c>
      <c r="J396" t="n">
        <v>0</v>
      </c>
      <c r="K396" t="n">
        <v>0</v>
      </c>
      <c r="L396" t="n">
        <v>0</v>
      </c>
      <c r="M396" t="n">
        <v>0</v>
      </c>
      <c r="N396" t="n">
        <v>0</v>
      </c>
      <c r="O396" t="n">
        <v>0</v>
      </c>
      <c r="P396" t="n">
        <v>0</v>
      </c>
      <c r="Q396" t="n">
        <v>0</v>
      </c>
      <c r="R396" s="2" t="inlineStr"/>
    </row>
    <row r="397" ht="15" customHeight="1">
      <c r="A397" t="inlineStr">
        <is>
          <t>A 12398-2020</t>
        </is>
      </c>
      <c r="B397" s="1" t="n">
        <v>43896</v>
      </c>
      <c r="C397" s="1" t="n">
        <v>45828</v>
      </c>
      <c r="D397" t="inlineStr">
        <is>
          <t>JÄMTLANDS LÄN</t>
        </is>
      </c>
      <c r="E397" t="inlineStr">
        <is>
          <t>HÄRJEDALEN</t>
        </is>
      </c>
      <c r="G397" t="n">
        <v>12.3</v>
      </c>
      <c r="H397" t="n">
        <v>0</v>
      </c>
      <c r="I397" t="n">
        <v>0</v>
      </c>
      <c r="J397" t="n">
        <v>0</v>
      </c>
      <c r="K397" t="n">
        <v>0</v>
      </c>
      <c r="L397" t="n">
        <v>0</v>
      </c>
      <c r="M397" t="n">
        <v>0</v>
      </c>
      <c r="N397" t="n">
        <v>0</v>
      </c>
      <c r="O397" t="n">
        <v>0</v>
      </c>
      <c r="P397" t="n">
        <v>0</v>
      </c>
      <c r="Q397" t="n">
        <v>0</v>
      </c>
      <c r="R397" s="2" t="inlineStr"/>
    </row>
    <row r="398" ht="15" customHeight="1">
      <c r="A398" t="inlineStr">
        <is>
          <t>A 12410-2020</t>
        </is>
      </c>
      <c r="B398" s="1" t="n">
        <v>43896</v>
      </c>
      <c r="C398" s="1" t="n">
        <v>45828</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13588-2020</t>
        </is>
      </c>
      <c r="B399" s="1" t="n">
        <v>43896</v>
      </c>
      <c r="C399" s="1" t="n">
        <v>45828</v>
      </c>
      <c r="D399" t="inlineStr">
        <is>
          <t>JÄMTLANDS LÄN</t>
        </is>
      </c>
      <c r="E399" t="inlineStr">
        <is>
          <t>HÄRJEDALEN</t>
        </is>
      </c>
      <c r="G399" t="n">
        <v>0.6</v>
      </c>
      <c r="H399" t="n">
        <v>0</v>
      </c>
      <c r="I399" t="n">
        <v>0</v>
      </c>
      <c r="J399" t="n">
        <v>0</v>
      </c>
      <c r="K399" t="n">
        <v>0</v>
      </c>
      <c r="L399" t="n">
        <v>0</v>
      </c>
      <c r="M399" t="n">
        <v>0</v>
      </c>
      <c r="N399" t="n">
        <v>0</v>
      </c>
      <c r="O399" t="n">
        <v>0</v>
      </c>
      <c r="P399" t="n">
        <v>0</v>
      </c>
      <c r="Q399" t="n">
        <v>0</v>
      </c>
      <c r="R399" s="2" t="inlineStr"/>
    </row>
    <row r="400" ht="15" customHeight="1">
      <c r="A400" t="inlineStr">
        <is>
          <t>A 12898-2020</t>
        </is>
      </c>
      <c r="B400" s="1" t="n">
        <v>43900</v>
      </c>
      <c r="C400" s="1" t="n">
        <v>45828</v>
      </c>
      <c r="D400" t="inlineStr">
        <is>
          <t>JÄMTLANDS LÄN</t>
        </is>
      </c>
      <c r="E400" t="inlineStr">
        <is>
          <t>HÄRJEDALEN</t>
        </is>
      </c>
      <c r="G400" t="n">
        <v>2.6</v>
      </c>
      <c r="H400" t="n">
        <v>0</v>
      </c>
      <c r="I400" t="n">
        <v>0</v>
      </c>
      <c r="J400" t="n">
        <v>0</v>
      </c>
      <c r="K400" t="n">
        <v>0</v>
      </c>
      <c r="L400" t="n">
        <v>0</v>
      </c>
      <c r="M400" t="n">
        <v>0</v>
      </c>
      <c r="N400" t="n">
        <v>0</v>
      </c>
      <c r="O400" t="n">
        <v>0</v>
      </c>
      <c r="P400" t="n">
        <v>0</v>
      </c>
      <c r="Q400" t="n">
        <v>0</v>
      </c>
      <c r="R400" s="2" t="inlineStr"/>
    </row>
    <row r="401" ht="15" customHeight="1">
      <c r="A401" t="inlineStr">
        <is>
          <t>A 15020-2020</t>
        </is>
      </c>
      <c r="B401" s="1" t="n">
        <v>43907</v>
      </c>
      <c r="C401" s="1" t="n">
        <v>45828</v>
      </c>
      <c r="D401" t="inlineStr">
        <is>
          <t>JÄMTLANDS LÄN</t>
        </is>
      </c>
      <c r="E401" t="inlineStr">
        <is>
          <t>HÄRJEDALEN</t>
        </is>
      </c>
      <c r="F401" t="inlineStr">
        <is>
          <t>Sveaskog</t>
        </is>
      </c>
      <c r="G401" t="n">
        <v>7.7</v>
      </c>
      <c r="H401" t="n">
        <v>0</v>
      </c>
      <c r="I401" t="n">
        <v>0</v>
      </c>
      <c r="J401" t="n">
        <v>0</v>
      </c>
      <c r="K401" t="n">
        <v>0</v>
      </c>
      <c r="L401" t="n">
        <v>0</v>
      </c>
      <c r="M401" t="n">
        <v>0</v>
      </c>
      <c r="N401" t="n">
        <v>0</v>
      </c>
      <c r="O401" t="n">
        <v>0</v>
      </c>
      <c r="P401" t="n">
        <v>0</v>
      </c>
      <c r="Q401" t="n">
        <v>0</v>
      </c>
      <c r="R401" s="2" t="inlineStr"/>
    </row>
    <row r="402" ht="15" customHeight="1">
      <c r="A402" t="inlineStr">
        <is>
          <t>A 15576-2020</t>
        </is>
      </c>
      <c r="B402" s="1" t="n">
        <v>43914</v>
      </c>
      <c r="C402" s="1" t="n">
        <v>45828</v>
      </c>
      <c r="D402" t="inlineStr">
        <is>
          <t>JÄMTLANDS LÄN</t>
        </is>
      </c>
      <c r="E402" t="inlineStr">
        <is>
          <t>HÄRJEDALEN</t>
        </is>
      </c>
      <c r="F402" t="inlineStr">
        <is>
          <t>Kyrkan</t>
        </is>
      </c>
      <c r="G402" t="n">
        <v>8.1</v>
      </c>
      <c r="H402" t="n">
        <v>0</v>
      </c>
      <c r="I402" t="n">
        <v>0</v>
      </c>
      <c r="J402" t="n">
        <v>0</v>
      </c>
      <c r="K402" t="n">
        <v>0</v>
      </c>
      <c r="L402" t="n">
        <v>0</v>
      </c>
      <c r="M402" t="n">
        <v>0</v>
      </c>
      <c r="N402" t="n">
        <v>0</v>
      </c>
      <c r="O402" t="n">
        <v>0</v>
      </c>
      <c r="P402" t="n">
        <v>0</v>
      </c>
      <c r="Q402" t="n">
        <v>0</v>
      </c>
      <c r="R402" s="2" t="inlineStr"/>
    </row>
    <row r="403" ht="15" customHeight="1">
      <c r="A403" t="inlineStr">
        <is>
          <t>A 17515-2020</t>
        </is>
      </c>
      <c r="B403" s="1" t="n">
        <v>43920</v>
      </c>
      <c r="C403" s="1" t="n">
        <v>45828</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17024-2020</t>
        </is>
      </c>
      <c r="B404" s="1" t="n">
        <v>43921</v>
      </c>
      <c r="C404" s="1" t="n">
        <v>45828</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17676-2020</t>
        </is>
      </c>
      <c r="B405" s="1" t="n">
        <v>43924</v>
      </c>
      <c r="C405" s="1" t="n">
        <v>45828</v>
      </c>
      <c r="D405" t="inlineStr">
        <is>
          <t>JÄMTLANDS LÄN</t>
        </is>
      </c>
      <c r="E405" t="inlineStr">
        <is>
          <t>HÄRJEDALEN</t>
        </is>
      </c>
      <c r="G405" t="n">
        <v>1</v>
      </c>
      <c r="H405" t="n">
        <v>0</v>
      </c>
      <c r="I405" t="n">
        <v>0</v>
      </c>
      <c r="J405" t="n">
        <v>0</v>
      </c>
      <c r="K405" t="n">
        <v>0</v>
      </c>
      <c r="L405" t="n">
        <v>0</v>
      </c>
      <c r="M405" t="n">
        <v>0</v>
      </c>
      <c r="N405" t="n">
        <v>0</v>
      </c>
      <c r="O405" t="n">
        <v>0</v>
      </c>
      <c r="P405" t="n">
        <v>0</v>
      </c>
      <c r="Q405" t="n">
        <v>0</v>
      </c>
      <c r="R405" s="2" t="inlineStr"/>
    </row>
    <row r="406" ht="15" customHeight="1">
      <c r="A406" t="inlineStr">
        <is>
          <t>A 18038-2020</t>
        </is>
      </c>
      <c r="B406" s="1" t="n">
        <v>43927</v>
      </c>
      <c r="C406" s="1" t="n">
        <v>45828</v>
      </c>
      <c r="D406" t="inlineStr">
        <is>
          <t>JÄMTLANDS LÄN</t>
        </is>
      </c>
      <c r="E406" t="inlineStr">
        <is>
          <t>HÄRJEDALEN</t>
        </is>
      </c>
      <c r="G406" t="n">
        <v>13.5</v>
      </c>
      <c r="H406" t="n">
        <v>0</v>
      </c>
      <c r="I406" t="n">
        <v>0</v>
      </c>
      <c r="J406" t="n">
        <v>0</v>
      </c>
      <c r="K406" t="n">
        <v>0</v>
      </c>
      <c r="L406" t="n">
        <v>0</v>
      </c>
      <c r="M406" t="n">
        <v>0</v>
      </c>
      <c r="N406" t="n">
        <v>0</v>
      </c>
      <c r="O406" t="n">
        <v>0</v>
      </c>
      <c r="P406" t="n">
        <v>0</v>
      </c>
      <c r="Q406" t="n">
        <v>0</v>
      </c>
      <c r="R406" s="2" t="inlineStr"/>
    </row>
    <row r="407" ht="15" customHeight="1">
      <c r="A407" t="inlineStr">
        <is>
          <t>A 18761-2020</t>
        </is>
      </c>
      <c r="B407" s="1" t="n">
        <v>43930</v>
      </c>
      <c r="C407" s="1" t="n">
        <v>45828</v>
      </c>
      <c r="D407" t="inlineStr">
        <is>
          <t>JÄMTLANDS LÄN</t>
        </is>
      </c>
      <c r="E407" t="inlineStr">
        <is>
          <t>HÄRJEDALEN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18760-2020</t>
        </is>
      </c>
      <c r="B408" s="1" t="n">
        <v>43930</v>
      </c>
      <c r="C408" s="1" t="n">
        <v>45828</v>
      </c>
      <c r="D408" t="inlineStr">
        <is>
          <t>JÄMTLANDS LÄN</t>
        </is>
      </c>
      <c r="E408" t="inlineStr">
        <is>
          <t>HÄRJEDALEN</t>
        </is>
      </c>
      <c r="F408" t="inlineStr">
        <is>
          <t>Sveaskog</t>
        </is>
      </c>
      <c r="G408" t="n">
        <v>16.1</v>
      </c>
      <c r="H408" t="n">
        <v>0</v>
      </c>
      <c r="I408" t="n">
        <v>0</v>
      </c>
      <c r="J408" t="n">
        <v>0</v>
      </c>
      <c r="K408" t="n">
        <v>0</v>
      </c>
      <c r="L408" t="n">
        <v>0</v>
      </c>
      <c r="M408" t="n">
        <v>0</v>
      </c>
      <c r="N408" t="n">
        <v>0</v>
      </c>
      <c r="O408" t="n">
        <v>0</v>
      </c>
      <c r="P408" t="n">
        <v>0</v>
      </c>
      <c r="Q408" t="n">
        <v>0</v>
      </c>
      <c r="R408" s="2" t="inlineStr"/>
    </row>
    <row r="409" ht="15" customHeight="1">
      <c r="A409" t="inlineStr">
        <is>
          <t>A 18759-2020</t>
        </is>
      </c>
      <c r="B409" s="1" t="n">
        <v>43930</v>
      </c>
      <c r="C409" s="1" t="n">
        <v>45828</v>
      </c>
      <c r="D409" t="inlineStr">
        <is>
          <t>JÄMTLANDS LÄN</t>
        </is>
      </c>
      <c r="E409" t="inlineStr">
        <is>
          <t>HÄRJEDALEN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18877-2020</t>
        </is>
      </c>
      <c r="B410" s="1" t="n">
        <v>43935</v>
      </c>
      <c r="C410" s="1" t="n">
        <v>45828</v>
      </c>
      <c r="D410" t="inlineStr">
        <is>
          <t>JÄMTLANDS LÄN</t>
        </is>
      </c>
      <c r="E410" t="inlineStr">
        <is>
          <t>HÄRJEDALEN</t>
        </is>
      </c>
      <c r="G410" t="n">
        <v>7</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45828</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45828</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45828</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45828</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45828</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45828</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45828</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45828</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45828</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45828</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45828</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45828</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45828</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45828</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45828</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45828</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45828</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45828</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45828</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45828</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45828</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45828</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45828</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45828</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45828</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45828</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45828</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45828</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45828</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45828</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45828</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45828</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45828</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45828</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45828</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45828</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45828</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45828</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45828</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45828</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45828</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45828</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45828</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45828</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45828</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45828</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45828</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45828</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45828</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45828</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45828</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45828</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45828</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45828</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45828</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45828</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45828</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45828</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45828</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45828</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45828</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45828</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45828</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45828</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45828</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45828</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45828</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45828</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45828</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45828</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45828</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45828</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45828</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45828</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45828</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45828</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45828</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45828</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45828</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45828</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45828</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45828</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45828</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45828</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45828</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45828</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45828</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45828</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45828</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45828</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45828</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45828</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45828</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45828</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45828</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45828</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45828</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45828</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45828</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45828</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45828</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45828</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45828</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45828</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45828</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45828</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45828</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45828</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45828</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45828</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45828</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45828</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45828</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45828</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45828</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45828</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45828</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45828</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45828</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45828</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45828</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45828</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45828</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45828</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45828</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45828</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45828</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45828</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45828</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45828</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45828</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45828</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45828</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45828</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45828</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45828</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45828</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45828</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45828</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45828</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45828</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45828</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45828</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45828</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45828</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45828</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45828</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45828</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45828</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45828</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45828</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45828</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45828</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45828</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45828</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45828</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45828</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45828</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45828</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45828</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45828</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45828</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45828</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45828</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45828</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45828</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45828</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45828</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45828</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45828</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45828</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45828</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45828</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45828</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45828</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45828</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45828</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45828</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45828</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45828</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45828</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45828</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45828</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45828</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45828</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45828</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45828</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45828</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45828</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45828</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45828</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45828</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45828</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45828</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45828</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45828</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45828</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45828</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45828</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45828</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45828</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45828</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45828</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45828</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45828</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45828</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45828</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45828</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45828</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45828</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45828</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45828</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45828</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45828</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45828</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45828</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45828</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45828</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45828</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45828</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45828</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45828</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45828</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45828</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45828</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45828</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45828</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45828</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45828</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45828</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45828</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45828</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45828</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45828</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45828</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45828</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45828</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45828</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45828</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45828</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45828</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45828</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45828</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45828</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45828</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45828</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45828</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45828</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45828</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45828</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45828</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45828</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45828</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45828</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45828</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45828</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45828</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45828</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45828</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45828</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45828</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45828</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45828</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45828</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45828</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45828</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45828</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45828</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45828</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45828</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45828</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45828</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45828</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45828</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45828</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45828</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45828</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45828</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45828</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45828</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45828</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45828</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45828</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45828</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45828</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45828</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45828</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45828</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45828</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45828</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45828</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45828</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45828</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45828</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45828</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45828</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45828</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45828</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45828</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45828</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45828</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45828</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45828</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45828</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45828</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45828</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45828</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45828</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45828</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45828</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45828</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45828</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45828</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45828</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45828</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45828</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45828</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45828</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45828</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45828</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45828</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45828</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45828</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45828</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45828</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45828</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45828</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45828</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45828</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45828</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45828</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45828</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45828</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45828</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45828</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45828</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45828</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45828</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45828</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45828</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45828</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45828</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45828</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45828</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45828</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45828</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45828</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45828</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45828</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45828</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45828</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45828</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45828</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45828</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45828</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45828</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45828</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45828</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45828</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45828</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45828</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45828</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45828</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45828</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45828</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45828</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45828</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45828</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45828</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45828</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45828</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45828</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45828</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45828</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45828</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45828</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45828</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45828</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45828</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45828</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45828</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45828</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45828</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45828</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45828</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45828</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45828</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45828</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45828</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45828</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45828</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45828</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45828</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45828</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45828</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45828</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45828</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45828</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45828</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45828</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45828</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45828</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45828</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45828</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45828</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45828</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45828</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45828</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45828</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45828</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45828</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45828</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45828</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45828</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45828</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45828</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45828</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45828</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45828</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45828</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45828</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45828</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45828</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45828</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45828</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45828</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45828</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45828</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45828</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45828</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45828</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45828</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45828</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45828</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45828</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45828</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45828</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45828</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45828</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45828</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45828</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45828</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45828</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45828</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45828</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45828</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45828</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45828</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45828</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45828</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45828</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45828</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45828</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45828</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45828</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45828</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45828</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45828</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45828</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45828</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45828</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45828</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45828</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45828</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45828</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45828</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45828</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45828</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45828</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45828</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45828</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45828</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45828</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45828</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45828</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45828</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45828</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45828</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45828</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45828</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45828</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45828</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45828</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45828</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45828</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45828</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45828</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45828</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45828</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45828</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45828</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45828</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45828</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45828</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45828</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45828</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45828</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45828</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45828</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45828</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45828</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45828</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45828</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45828</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45828</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45828</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45828</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45828</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45828</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45828</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45828</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45828</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45828</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45828</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45828</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45828</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45828</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45828</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45828</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45828</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45828</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45828</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45828</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45828</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45828</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45828</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45828</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45828</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45828</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45828</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45828</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45828</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45828</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45828</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45828</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45828</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45828</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45828</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45828</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45828</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45828</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45828</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45828</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45828</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45828</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45828</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45828</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45828</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45828</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45828</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45828</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45828</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45828</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45828</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45828</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45828</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45828</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45828</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45828</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45828</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45828</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45828</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45828</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45828</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45828</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45828</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45828</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45828</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45828</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45828</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45828</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45828</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45828</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45828</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45828</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45828</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45828</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45828</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45828</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45828</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45828</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45828</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45828</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45828</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45828</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45828</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45828</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45828</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45828</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45828</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45828</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45828</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45828</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45828</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45828</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45828</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45828</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45828</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45828</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45828</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45828</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45828</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45828</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45828</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45828</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45828</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45828</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45828</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45828</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45828</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45828</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45828</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45828</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45828</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45828</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45828</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45828</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45828</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45828</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45828</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45828</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45828</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45828</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45828</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45828</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45828</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45828</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45828</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45828</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45828</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45828</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45828</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45828</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45828</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45828</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45828</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45828</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45828</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45828</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45828</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45828</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45828</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45828</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45828</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45828</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45828</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45828</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45828</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45828</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45828</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45828</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45828</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45828</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45828</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45828</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45828</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45828</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45828</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45828</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45828</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45828</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45828</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45828</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45828</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45828</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45828</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45828</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45828</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45828</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45828</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45828</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45828</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45828</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45828</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45828</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45828</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45828</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45828</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45828</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45828</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45828</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45828</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45828</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45828</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45828</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45828</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45828</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45828</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45828</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45828</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45828</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45828</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45828</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45828</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45828</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45828</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45828</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45828</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45828</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45828</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45828</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45828</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45828</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45828</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45828</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45828</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45828</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45828</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45828</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45828</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45828</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45828</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45828</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45828</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45828</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45828</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45828</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45828</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45828</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45828</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45828</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45828</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45828</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45828</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45828</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45828</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45828</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45828</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45828</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45828</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45828</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45828</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45828</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45828</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45828</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45828</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45828</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45828</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45828</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45828</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45828</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45828</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45828</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45828</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45828</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45828</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45828</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45828</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45828</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45828</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45828</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45828</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45828</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45828</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45828</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45828</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45828</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45828</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45828</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45828</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45828</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45828</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45828</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45828</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45828</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45828</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45828</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45828</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45828</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45828</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45828</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45828</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45828</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45828</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45828</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45828</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45828</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45828</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45828</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45828</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45828</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45828</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45828</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45828</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45828</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45828</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45828</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45828</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45828</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45828</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45828</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45828</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45828</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45828</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45828</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45828</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45828</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45828</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45828</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45828</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45828</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45828</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45828</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45828</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45828</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45828</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45828</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45828</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45828</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45828</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45828</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45828</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45828</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45828</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45828</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45828</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45828</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45828</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45828</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45828</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45828</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45828</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45828</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45828</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45828</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45828</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45828</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45828</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45828</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45828</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45828</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45828</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45828</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45828</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45828</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45828</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45828</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45828</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45828</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45828</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45828</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45828</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45828</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45828</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45828</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45828</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45828</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45828</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45828</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45828</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45828</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45828</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45828</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45828</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45828</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45828</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45828</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45828</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45828</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45828</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45828</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45828</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45828</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45828</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45828</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45828</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45828</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45828</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45828</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45828</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45828</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45828</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45828</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45828</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45828</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45828</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45828</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45828</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45828</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45828</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45828</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45828</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45828</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45828</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45828</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45828</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45828</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45828</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45828</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45828</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45828</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45828</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45828</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45828</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45828</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45828</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45828</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45828</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45828</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45828</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45828</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45828</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45828</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45828</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45828</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45828</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45828</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45828</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45828</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45828</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45828</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45828</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45828</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45828</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45828</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45828</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45828</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45828</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45828</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45828</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45828</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45828</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45828</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45828</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45828</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45828</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45828</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45828</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45828</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45828</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45828</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45828</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45828</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45828</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45828</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45828</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45828</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45828</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45828</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45828</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45828</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45828</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45828</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45828</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45828</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45828</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45828</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45828</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45828</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45828</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45828</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45828</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45828</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45828</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45828</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45828</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45828</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45828</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45828</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45828</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45828</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45828</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45828</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45828</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45828</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45828</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45828</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45828</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45828</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45828</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45828</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45828</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45828</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45828</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45828</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45828</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45828</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45828</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45828</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45828</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45828</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45828</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45828</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45828</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45828</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45828</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45828</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45828</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45828</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45828</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45828</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45828</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45828</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45828</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45828</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45828</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45828</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45828</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45828</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45828</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45828</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45828</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45828</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45828</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45828</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45828</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45828</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45828</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45828</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45828</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45828</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45828</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45828</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45828</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45828</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45828</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45828</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45828</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45828</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45828</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45828</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45828</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45828</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45828</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45828</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45828</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45828</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45828</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45828</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45828</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45828</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45828</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45828</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45828</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45828</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45828</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45828</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45828</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45828</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45828</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45828</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45828</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45828</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45828</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45828</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45828</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45828</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45828</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45828</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45828</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45828</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45828</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45828</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45828</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45828</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45828</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45828</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45828</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45828</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45828</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45828</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45828</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45828</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45828</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45828</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45828</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45828</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45828</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45828</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45828</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45828</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45828</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45828</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45828</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45828</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45828</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45828</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45828</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45828</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45828</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45828</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45828</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45828</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45828</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45828</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45828</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45828</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45828</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45828</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45828</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45828</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45828</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45828</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45828</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45828</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45828</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45828</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45828</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45828</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45828</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45828</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45828</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45828</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45828</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45828</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45828</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45828</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45828</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45828</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45828</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45828</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45828</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45828</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45828</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45828</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45828</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45828</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45828</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45828</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45828</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45828</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45828</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45828</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45828</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45828</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45828</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45828</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45828</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45828</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45828</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45828</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45828</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45828</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45828</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45828</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45828</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45828</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45828</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45828</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45828</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45828</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45828</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45828</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45828</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45828</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45828</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45828</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45828</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45828</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45828</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45828</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45828</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45828</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45828</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45828</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45828</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45828</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45828</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45828</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45828</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45828</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45828</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45828</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45828</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45828</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45828</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45828</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45828</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45828</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45828</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45828</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45828</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45828</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45828</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45828</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45828</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45828</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45828</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45828</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45828</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45828</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45828</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45828</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45828</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45828</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45828</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45828</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45828</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45828</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45828</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45828</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45828</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45828</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45828</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45828</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45828</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45828</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45828</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45828</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45828</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45828</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45828</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45828</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45828</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45828</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45828</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45828</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45828</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45828</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45828</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45828</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45828</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45828</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45828</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45828</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45828</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45828</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45828</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45828</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45828</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45828</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45828</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45828</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45828</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45828</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45828</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45828</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45828</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45828</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45828</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45828</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45828</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45828</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45828</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45828</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45828</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45828</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45828</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45828</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45828</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45828</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45828</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45828</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45828</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45828</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45828</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45828</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45828</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45828</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45828</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45828</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45828</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45828</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45828</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45828</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45828</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45828</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45828</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45828</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45828</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45828</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45828</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45828</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45828</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45828</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45828</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45828</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45828</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45828</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45828</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45828</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45828</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45828</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45828</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45828</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45828</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45828</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45828</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45828</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45828</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45828</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45828</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45828</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45828</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45828</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45828</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45828</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45828</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45828</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45828</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45828</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45828</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45828</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45828</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45828</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45828</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45828</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45828</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45828</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45828</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45828</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45828</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45828</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45828</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45828</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45828</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45828</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45828</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45828</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45828</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45828</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45828</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45828</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45828</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45828</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45828</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45828</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45828</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45828</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45828</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45828</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45828</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45828</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45828</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45828</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45828</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45828</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45828</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45828</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45828</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45828</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45828</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45828</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45828</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45828</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45828</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45828</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45828</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45828</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45828</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45828</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45828</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45828</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45828</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45828</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45828</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45828</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45828</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45828</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45828</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45828</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45828</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45828</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45828</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45828</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45828</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45828</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45828</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45828</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45828</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45828</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45828</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45828</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45828</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45828</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45828</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45828</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45828</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45828</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45828</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45828</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45828</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45828</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45828</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45828</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45828</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45828</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45828</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45828</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45828</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45828</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45828</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45828</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45828</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45828</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45828</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45828</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45828</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45828</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45828</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45828</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45828</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45828</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45828</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45828</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45828</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45828</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45828</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45828</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45828</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45828</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45828</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45828</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45828</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45828</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45828</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45828</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45828</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45828</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45828</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45828</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45828</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45828</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45828</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45828</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45828</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45828</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45828</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45828</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45828</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45828</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45828</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45828</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45828</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45828</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45828</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45828</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45828</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45828</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45828</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45828</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45828</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45828</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45828</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45828</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45828</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45828</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45828</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45828</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45828</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45828</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45828</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45828</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45828</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45828</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45828</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45828</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45828</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45828</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45828</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45828</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45828</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45828</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45828</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45828</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45828</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45828</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45828</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45828</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45828</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45828</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45828</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45828</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45828</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45828</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45828</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45828</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45828</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45828</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45828</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45828</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45828</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45828</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45828</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45828</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45828</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45828</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45828</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45828</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45828</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45828</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45828</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45828</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45828</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45828</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45828</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45828</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45828</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45828</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45828</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45828</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45828</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45828</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45828</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45828</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45828</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45828</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45828</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45828</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45828</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45828</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45828</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45828</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45828</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45828</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45828</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45828</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45828</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45828</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45828</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45828</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45828</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45828</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45828</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45828</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45828</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45828</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45828</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45828</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45828</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45828</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45828</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45828</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45828</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45828</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45828</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45828</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45828</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45828</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45828</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45828</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45828</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45828</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45828</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45828</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45828</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45828</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45828</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45828</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45828</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45828</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45828</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45828</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45828</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45828</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45828</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45828</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45828</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45828</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45828</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45828</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45828</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45828</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45828</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45828</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45828</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45828</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45828</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45828</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45828</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45828</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45828</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45828</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45828</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45828</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45828</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45828</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24842-2025</t>
        </is>
      </c>
      <c r="B1978" s="1" t="n">
        <v>45799</v>
      </c>
      <c r="C1978" s="1" t="n">
        <v>45828</v>
      </c>
      <c r="D1978" t="inlineStr">
        <is>
          <t>JÄMTLANDS LÄN</t>
        </is>
      </c>
      <c r="E1978" t="inlineStr">
        <is>
          <t>HÄRJEDALEN</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24828-2025</t>
        </is>
      </c>
      <c r="B1979" s="1" t="n">
        <v>45799</v>
      </c>
      <c r="C1979" s="1" t="n">
        <v>45828</v>
      </c>
      <c r="D1979" t="inlineStr">
        <is>
          <t>JÄMTLANDS LÄN</t>
        </is>
      </c>
      <c r="E1979" t="inlineStr">
        <is>
          <t>HÄRJEDALEN</t>
        </is>
      </c>
      <c r="F1979" t="inlineStr">
        <is>
          <t>Holmen skog AB</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24853-2025</t>
        </is>
      </c>
      <c r="B1980" s="1" t="n">
        <v>45799</v>
      </c>
      <c r="C1980" s="1" t="n">
        <v>45828</v>
      </c>
      <c r="D1980" t="inlineStr">
        <is>
          <t>JÄMTLANDS LÄN</t>
        </is>
      </c>
      <c r="E1980" t="inlineStr">
        <is>
          <t>HÄRJEDALEN</t>
        </is>
      </c>
      <c r="F1980" t="inlineStr">
        <is>
          <t>Holmen skog AB</t>
        </is>
      </c>
      <c r="G1980" t="n">
        <v>57.7</v>
      </c>
      <c r="H1980" t="n">
        <v>0</v>
      </c>
      <c r="I1980" t="n">
        <v>0</v>
      </c>
      <c r="J1980" t="n">
        <v>0</v>
      </c>
      <c r="K1980" t="n">
        <v>0</v>
      </c>
      <c r="L1980" t="n">
        <v>0</v>
      </c>
      <c r="M1980" t="n">
        <v>0</v>
      </c>
      <c r="N1980" t="n">
        <v>0</v>
      </c>
      <c r="O1980" t="n">
        <v>0</v>
      </c>
      <c r="P1980" t="n">
        <v>0</v>
      </c>
      <c r="Q1980" t="n">
        <v>0</v>
      </c>
      <c r="R1980" s="2" t="inlineStr"/>
    </row>
    <row r="1981" ht="15" customHeight="1">
      <c r="A1981" t="inlineStr">
        <is>
          <t>A 25024-2025</t>
        </is>
      </c>
      <c r="B1981" s="1" t="n">
        <v>45799</v>
      </c>
      <c r="C1981" s="1" t="n">
        <v>45828</v>
      </c>
      <c r="D1981" t="inlineStr">
        <is>
          <t>JÄMTLANDS LÄN</t>
        </is>
      </c>
      <c r="E1981" t="inlineStr">
        <is>
          <t>HÄRJEDALEN</t>
        </is>
      </c>
      <c r="F1981" t="inlineStr">
        <is>
          <t>Bergvik skog väst AB</t>
        </is>
      </c>
      <c r="G1981" t="n">
        <v>31.2</v>
      </c>
      <c r="H1981" t="n">
        <v>0</v>
      </c>
      <c r="I1981" t="n">
        <v>0</v>
      </c>
      <c r="J1981" t="n">
        <v>0</v>
      </c>
      <c r="K1981" t="n">
        <v>0</v>
      </c>
      <c r="L1981" t="n">
        <v>0</v>
      </c>
      <c r="M1981" t="n">
        <v>0</v>
      </c>
      <c r="N1981" t="n">
        <v>0</v>
      </c>
      <c r="O1981" t="n">
        <v>0</v>
      </c>
      <c r="P1981" t="n">
        <v>0</v>
      </c>
      <c r="Q1981" t="n">
        <v>0</v>
      </c>
      <c r="R1981" s="2" t="inlineStr"/>
    </row>
    <row r="1982" ht="15" customHeight="1">
      <c r="A1982" t="inlineStr">
        <is>
          <t>A 24791-2025</t>
        </is>
      </c>
      <c r="B1982" s="1" t="n">
        <v>45799</v>
      </c>
      <c r="C1982" s="1" t="n">
        <v>45828</v>
      </c>
      <c r="D1982" t="inlineStr">
        <is>
          <t>JÄMTLANDS LÄN</t>
        </is>
      </c>
      <c r="E1982" t="inlineStr">
        <is>
          <t>HÄRJEDALEN</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24844-2025</t>
        </is>
      </c>
      <c r="B1983" s="1" t="n">
        <v>45799</v>
      </c>
      <c r="C1983" s="1" t="n">
        <v>45828</v>
      </c>
      <c r="D1983" t="inlineStr">
        <is>
          <t>JÄMTLANDS LÄN</t>
        </is>
      </c>
      <c r="E1983" t="inlineStr">
        <is>
          <t>HÄRJEDALEN</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24963-2025</t>
        </is>
      </c>
      <c r="B1984" s="1" t="n">
        <v>45799</v>
      </c>
      <c r="C1984" s="1" t="n">
        <v>45828</v>
      </c>
      <c r="D1984" t="inlineStr">
        <is>
          <t>JÄMTLANDS LÄN</t>
        </is>
      </c>
      <c r="E1984" t="inlineStr">
        <is>
          <t>HÄRJEDALEN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45828</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25253-2025</t>
        </is>
      </c>
      <c r="B1986" s="1" t="n">
        <v>45800</v>
      </c>
      <c r="C1986" s="1" t="n">
        <v>45828</v>
      </c>
      <c r="D1986" t="inlineStr">
        <is>
          <t>JÄMTLANDS LÄN</t>
        </is>
      </c>
      <c r="E1986" t="inlineStr">
        <is>
          <t>HÄRJEDALEN</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25178-2025</t>
        </is>
      </c>
      <c r="B1987" s="1" t="n">
        <v>45800</v>
      </c>
      <c r="C1987" s="1" t="n">
        <v>45828</v>
      </c>
      <c r="D1987" t="inlineStr">
        <is>
          <t>JÄMTLANDS LÄN</t>
        </is>
      </c>
      <c r="E1987" t="inlineStr">
        <is>
          <t>HÄRJEDALEN</t>
        </is>
      </c>
      <c r="F1987" t="inlineStr">
        <is>
          <t>Holmen skog AB</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25399-2025</t>
        </is>
      </c>
      <c r="B1988" s="1" t="n">
        <v>45800</v>
      </c>
      <c r="C1988" s="1" t="n">
        <v>45828</v>
      </c>
      <c r="D1988" t="inlineStr">
        <is>
          <t>JÄMTLANDS LÄN</t>
        </is>
      </c>
      <c r="E1988" t="inlineStr">
        <is>
          <t>HÄRJEDALEN</t>
        </is>
      </c>
      <c r="F1988" t="inlineStr">
        <is>
          <t>Holmen skog AB</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25286-2025</t>
        </is>
      </c>
      <c r="B1989" s="1" t="n">
        <v>45800</v>
      </c>
      <c r="C1989" s="1" t="n">
        <v>45828</v>
      </c>
      <c r="D1989" t="inlineStr">
        <is>
          <t>JÄMTLANDS LÄN</t>
        </is>
      </c>
      <c r="E1989" t="inlineStr">
        <is>
          <t>HÄRJEDALEN</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25392-2025</t>
        </is>
      </c>
      <c r="B1990" s="1" t="n">
        <v>45800</v>
      </c>
      <c r="C1990" s="1" t="n">
        <v>45828</v>
      </c>
      <c r="D1990" t="inlineStr">
        <is>
          <t>JÄMTLANDS LÄN</t>
        </is>
      </c>
      <c r="E1990" t="inlineStr">
        <is>
          <t>HÄRJEDALEN</t>
        </is>
      </c>
      <c r="F1990" t="inlineStr">
        <is>
          <t>Holmen skog AB</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25098-2025</t>
        </is>
      </c>
      <c r="B1991" s="1" t="n">
        <v>45800</v>
      </c>
      <c r="C1991" s="1" t="n">
        <v>45828</v>
      </c>
      <c r="D1991" t="inlineStr">
        <is>
          <t>JÄMTLANDS LÄN</t>
        </is>
      </c>
      <c r="E1991" t="inlineStr">
        <is>
          <t>HÄRJEDALEN</t>
        </is>
      </c>
      <c r="F1991" t="inlineStr">
        <is>
          <t>Holmen skog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25409-2025</t>
        </is>
      </c>
      <c r="B1992" s="1" t="n">
        <v>45800</v>
      </c>
      <c r="C1992" s="1" t="n">
        <v>45828</v>
      </c>
      <c r="D1992" t="inlineStr">
        <is>
          <t>JÄMTLANDS LÄN</t>
        </is>
      </c>
      <c r="E1992" t="inlineStr">
        <is>
          <t>HÄRJEDALEN</t>
        </is>
      </c>
      <c r="F1992" t="inlineStr">
        <is>
          <t>Holmen skog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25094-2025</t>
        </is>
      </c>
      <c r="B1993" s="1" t="n">
        <v>45800</v>
      </c>
      <c r="C1993" s="1" t="n">
        <v>45828</v>
      </c>
      <c r="D1993" t="inlineStr">
        <is>
          <t>JÄMTLANDS LÄN</t>
        </is>
      </c>
      <c r="E1993" t="inlineStr">
        <is>
          <t>HÄRJEDALEN</t>
        </is>
      </c>
      <c r="F1993" t="inlineStr">
        <is>
          <t>Holmen skog AB</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25127-2025</t>
        </is>
      </c>
      <c r="B1994" s="1" t="n">
        <v>45800</v>
      </c>
      <c r="C1994" s="1" t="n">
        <v>45828</v>
      </c>
      <c r="D1994" t="inlineStr">
        <is>
          <t>JÄMTLANDS LÄN</t>
        </is>
      </c>
      <c r="E1994" t="inlineStr">
        <is>
          <t>HÄRJEDALEN</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25204-2025</t>
        </is>
      </c>
      <c r="B1995" s="1" t="n">
        <v>45800</v>
      </c>
      <c r="C1995" s="1" t="n">
        <v>45828</v>
      </c>
      <c r="D1995" t="inlineStr">
        <is>
          <t>JÄMTLANDS LÄN</t>
        </is>
      </c>
      <c r="E1995" t="inlineStr">
        <is>
          <t>HÄRJEDALEN</t>
        </is>
      </c>
      <c r="F1995" t="inlineStr">
        <is>
          <t>Holmen skog AB</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25171-2025</t>
        </is>
      </c>
      <c r="B1996" s="1" t="n">
        <v>45800</v>
      </c>
      <c r="C1996" s="1" t="n">
        <v>45828</v>
      </c>
      <c r="D1996" t="inlineStr">
        <is>
          <t>JÄMTLANDS LÄN</t>
        </is>
      </c>
      <c r="E1996" t="inlineStr">
        <is>
          <t>HÄRJEDALEN</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25198-2025</t>
        </is>
      </c>
      <c r="B1997" s="1" t="n">
        <v>45800</v>
      </c>
      <c r="C1997" s="1" t="n">
        <v>45828</v>
      </c>
      <c r="D1997" t="inlineStr">
        <is>
          <t>JÄMTLANDS LÄN</t>
        </is>
      </c>
      <c r="E1997" t="inlineStr">
        <is>
          <t>HÄRJEDALEN</t>
        </is>
      </c>
      <c r="F1997" t="inlineStr">
        <is>
          <t>Holmen skog AB</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25380-2025</t>
        </is>
      </c>
      <c r="B1998" s="1" t="n">
        <v>45800</v>
      </c>
      <c r="C1998" s="1" t="n">
        <v>45828</v>
      </c>
      <c r="D1998" t="inlineStr">
        <is>
          <t>JÄMTLANDS LÄN</t>
        </is>
      </c>
      <c r="E1998" t="inlineStr">
        <is>
          <t>HÄRJEDALEN</t>
        </is>
      </c>
      <c r="F1998" t="inlineStr">
        <is>
          <t>Sveaskog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25325-2025</t>
        </is>
      </c>
      <c r="B1999" s="1" t="n">
        <v>45800</v>
      </c>
      <c r="C1999" s="1" t="n">
        <v>45828</v>
      </c>
      <c r="D1999" t="inlineStr">
        <is>
          <t>JÄMTLANDS LÄN</t>
        </is>
      </c>
      <c r="E1999" t="inlineStr">
        <is>
          <t>HÄRJEDALEN</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25334-2025</t>
        </is>
      </c>
      <c r="B2000" s="1" t="n">
        <v>45800</v>
      </c>
      <c r="C2000" s="1" t="n">
        <v>45828</v>
      </c>
      <c r="D2000" t="inlineStr">
        <is>
          <t>JÄMTLANDS LÄN</t>
        </is>
      </c>
      <c r="E2000" t="inlineStr">
        <is>
          <t>HÄRJEDALEN</t>
        </is>
      </c>
      <c r="F2000" t="inlineStr">
        <is>
          <t>Holmen skog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25383-2025</t>
        </is>
      </c>
      <c r="B2001" s="1" t="n">
        <v>45800</v>
      </c>
      <c r="C2001" s="1" t="n">
        <v>45828</v>
      </c>
      <c r="D2001" t="inlineStr">
        <is>
          <t>JÄMTLANDS LÄN</t>
        </is>
      </c>
      <c r="E2001" t="inlineStr">
        <is>
          <t>HÄRJEDALEN</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25147-2025</t>
        </is>
      </c>
      <c r="B2002" s="1" t="n">
        <v>45800</v>
      </c>
      <c r="C2002" s="1" t="n">
        <v>45828</v>
      </c>
      <c r="D2002" t="inlineStr">
        <is>
          <t>JÄMTLANDS LÄN</t>
        </is>
      </c>
      <c r="E2002" t="inlineStr">
        <is>
          <t>HÄRJEDALEN</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25288-2025</t>
        </is>
      </c>
      <c r="B2003" s="1" t="n">
        <v>45800</v>
      </c>
      <c r="C2003" s="1" t="n">
        <v>45828</v>
      </c>
      <c r="D2003" t="inlineStr">
        <is>
          <t>JÄMTLANDS LÄN</t>
        </is>
      </c>
      <c r="E2003" t="inlineStr">
        <is>
          <t>HÄRJEDALEN</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25298-2025</t>
        </is>
      </c>
      <c r="B2004" s="1" t="n">
        <v>45800</v>
      </c>
      <c r="C2004" s="1" t="n">
        <v>45828</v>
      </c>
      <c r="D2004" t="inlineStr">
        <is>
          <t>JÄMTLANDS LÄN</t>
        </is>
      </c>
      <c r="E2004" t="inlineStr">
        <is>
          <t>HÄRJEDALEN</t>
        </is>
      </c>
      <c r="F2004" t="inlineStr">
        <is>
          <t>Holmen skog AB</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25158-2025</t>
        </is>
      </c>
      <c r="B2005" s="1" t="n">
        <v>45800</v>
      </c>
      <c r="C2005" s="1" t="n">
        <v>45828</v>
      </c>
      <c r="D2005" t="inlineStr">
        <is>
          <t>JÄMTLANDS LÄN</t>
        </is>
      </c>
      <c r="E2005" t="inlineStr">
        <is>
          <t>HÄRJEDALEN</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25109-2025</t>
        </is>
      </c>
      <c r="B2006" s="1" t="n">
        <v>45800</v>
      </c>
      <c r="C2006" s="1" t="n">
        <v>45828</v>
      </c>
      <c r="D2006" t="inlineStr">
        <is>
          <t>JÄMTLANDS LÄN</t>
        </is>
      </c>
      <c r="E2006" t="inlineStr">
        <is>
          <t>HÄRJEDALEN</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25112-2025</t>
        </is>
      </c>
      <c r="B2007" s="1" t="n">
        <v>45800</v>
      </c>
      <c r="C2007" s="1" t="n">
        <v>45828</v>
      </c>
      <c r="D2007" t="inlineStr">
        <is>
          <t>JÄMTLANDS LÄN</t>
        </is>
      </c>
      <c r="E2007" t="inlineStr">
        <is>
          <t>HÄRJEDALEN</t>
        </is>
      </c>
      <c r="F2007" t="inlineStr">
        <is>
          <t>Holmen skog AB</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25232-2025</t>
        </is>
      </c>
      <c r="B2008" s="1" t="n">
        <v>45800</v>
      </c>
      <c r="C2008" s="1" t="n">
        <v>45828</v>
      </c>
      <c r="D2008" t="inlineStr">
        <is>
          <t>JÄMTLANDS LÄN</t>
        </is>
      </c>
      <c r="E2008" t="inlineStr">
        <is>
          <t>HÄRJEDALEN</t>
        </is>
      </c>
      <c r="F2008" t="inlineStr">
        <is>
          <t>Holmen skog AB</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25315-2025</t>
        </is>
      </c>
      <c r="B2009" s="1" t="n">
        <v>45800</v>
      </c>
      <c r="C2009" s="1" t="n">
        <v>45828</v>
      </c>
      <c r="D2009" t="inlineStr">
        <is>
          <t>JÄMTLANDS LÄN</t>
        </is>
      </c>
      <c r="E2009" t="inlineStr">
        <is>
          <t>HÄRJEDALEN</t>
        </is>
      </c>
      <c r="F2009" t="inlineStr">
        <is>
          <t>Holmen skog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25123-2025</t>
        </is>
      </c>
      <c r="B2010" s="1" t="n">
        <v>45800</v>
      </c>
      <c r="C2010" s="1" t="n">
        <v>45828</v>
      </c>
      <c r="D2010" t="inlineStr">
        <is>
          <t>JÄMTLANDS LÄN</t>
        </is>
      </c>
      <c r="E2010" t="inlineStr">
        <is>
          <t>HÄRJEDALEN</t>
        </is>
      </c>
      <c r="F2010" t="inlineStr">
        <is>
          <t>Holmen skog AB</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25223-2025</t>
        </is>
      </c>
      <c r="B2011" s="1" t="n">
        <v>45800</v>
      </c>
      <c r="C2011" s="1" t="n">
        <v>45828</v>
      </c>
      <c r="D2011" t="inlineStr">
        <is>
          <t>JÄMTLANDS LÄN</t>
        </is>
      </c>
      <c r="E2011" t="inlineStr">
        <is>
          <t>HÄRJEDALEN</t>
        </is>
      </c>
      <c r="F2011" t="inlineStr">
        <is>
          <t>Holmen skog AB</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25343-2025</t>
        </is>
      </c>
      <c r="B2012" s="1" t="n">
        <v>45800</v>
      </c>
      <c r="C2012" s="1" t="n">
        <v>45828</v>
      </c>
      <c r="D2012" t="inlineStr">
        <is>
          <t>JÄMTLANDS LÄN</t>
        </is>
      </c>
      <c r="E2012" t="inlineStr">
        <is>
          <t>HÄRJEDALEN</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25515-2025</t>
        </is>
      </c>
      <c r="B2013" s="1" t="n">
        <v>45803</v>
      </c>
      <c r="C2013" s="1" t="n">
        <v>45828</v>
      </c>
      <c r="D2013" t="inlineStr">
        <is>
          <t>JÄMTLANDS LÄN</t>
        </is>
      </c>
      <c r="E2013" t="inlineStr">
        <is>
          <t>HÄRJEDALEN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25516-2025</t>
        </is>
      </c>
      <c r="B2014" s="1" t="n">
        <v>45803</v>
      </c>
      <c r="C2014" s="1" t="n">
        <v>45828</v>
      </c>
      <c r="D2014" t="inlineStr">
        <is>
          <t>JÄMTLANDS LÄN</t>
        </is>
      </c>
      <c r="E2014" t="inlineStr">
        <is>
          <t>HÄRJEDALEN</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45828</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45828</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26325-2025</t>
        </is>
      </c>
      <c r="B2017" s="1" t="n">
        <v>45805</v>
      </c>
      <c r="C2017" s="1" t="n">
        <v>45828</v>
      </c>
      <c r="D2017" t="inlineStr">
        <is>
          <t>JÄMTLANDS LÄN</t>
        </is>
      </c>
      <c r="E2017" t="inlineStr">
        <is>
          <t>HÄRJEDALEN</t>
        </is>
      </c>
      <c r="F2017" t="inlineStr">
        <is>
          <t>Övriga Aktiebolag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26209-2025</t>
        </is>
      </c>
      <c r="B2018" s="1" t="n">
        <v>45805</v>
      </c>
      <c r="C2018" s="1" t="n">
        <v>45828</v>
      </c>
      <c r="D2018" t="inlineStr">
        <is>
          <t>JÄMTLANDS LÄN</t>
        </is>
      </c>
      <c r="E2018" t="inlineStr">
        <is>
          <t>HÄRJEDALEN</t>
        </is>
      </c>
      <c r="F2018" t="inlineStr">
        <is>
          <t>Bergvik skog väst AB</t>
        </is>
      </c>
      <c r="G2018" t="n">
        <v>27.3</v>
      </c>
      <c r="H2018" t="n">
        <v>0</v>
      </c>
      <c r="I2018" t="n">
        <v>0</v>
      </c>
      <c r="J2018" t="n">
        <v>0</v>
      </c>
      <c r="K2018" t="n">
        <v>0</v>
      </c>
      <c r="L2018" t="n">
        <v>0</v>
      </c>
      <c r="M2018" t="n">
        <v>0</v>
      </c>
      <c r="N2018" t="n">
        <v>0</v>
      </c>
      <c r="O2018" t="n">
        <v>0</v>
      </c>
      <c r="P2018" t="n">
        <v>0</v>
      </c>
      <c r="Q2018" t="n">
        <v>0</v>
      </c>
      <c r="R2018" s="2" t="inlineStr"/>
    </row>
    <row r="2019" ht="15" customHeight="1">
      <c r="A2019" t="inlineStr">
        <is>
          <t>A 26404-2025</t>
        </is>
      </c>
      <c r="B2019" s="1" t="n">
        <v>45807</v>
      </c>
      <c r="C2019" s="1" t="n">
        <v>45828</v>
      </c>
      <c r="D2019" t="inlineStr">
        <is>
          <t>JÄMTLANDS LÄN</t>
        </is>
      </c>
      <c r="E2019" t="inlineStr">
        <is>
          <t>HÄRJEDALEN</t>
        </is>
      </c>
      <c r="F2019" t="inlineStr">
        <is>
          <t>Holmen skog AB</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26464-2025</t>
        </is>
      </c>
      <c r="B2020" s="1" t="n">
        <v>45807</v>
      </c>
      <c r="C2020" s="1" t="n">
        <v>45828</v>
      </c>
      <c r="D2020" t="inlineStr">
        <is>
          <t>JÄMTLANDS LÄN</t>
        </is>
      </c>
      <c r="E2020" t="inlineStr">
        <is>
          <t>HÄRJEDALEN</t>
        </is>
      </c>
      <c r="F2020" t="inlineStr">
        <is>
          <t>Holmen skog AB</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26518-2025</t>
        </is>
      </c>
      <c r="B2021" s="1" t="n">
        <v>45807</v>
      </c>
      <c r="C2021" s="1" t="n">
        <v>45828</v>
      </c>
      <c r="D2021" t="inlineStr">
        <is>
          <t>JÄMTLANDS LÄN</t>
        </is>
      </c>
      <c r="E2021" t="inlineStr">
        <is>
          <t>HÄRJEDALEN</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26523-2025</t>
        </is>
      </c>
      <c r="B2022" s="1" t="n">
        <v>45807</v>
      </c>
      <c r="C2022" s="1" t="n">
        <v>45828</v>
      </c>
      <c r="D2022" t="inlineStr">
        <is>
          <t>JÄMTLANDS LÄN</t>
        </is>
      </c>
      <c r="E2022" t="inlineStr">
        <is>
          <t>HÄRJEDALEN</t>
        </is>
      </c>
      <c r="F2022" t="inlineStr">
        <is>
          <t>Holmen skog AB</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26448-2025</t>
        </is>
      </c>
      <c r="B2023" s="1" t="n">
        <v>45807</v>
      </c>
      <c r="C2023" s="1" t="n">
        <v>45828</v>
      </c>
      <c r="D2023" t="inlineStr">
        <is>
          <t>JÄMTLANDS LÄN</t>
        </is>
      </c>
      <c r="E2023" t="inlineStr">
        <is>
          <t>HÄRJEDALEN</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26486-2025</t>
        </is>
      </c>
      <c r="B2024" s="1" t="n">
        <v>45807</v>
      </c>
      <c r="C2024" s="1" t="n">
        <v>45828</v>
      </c>
      <c r="D2024" t="inlineStr">
        <is>
          <t>JÄMTLANDS LÄN</t>
        </is>
      </c>
      <c r="E2024" t="inlineStr">
        <is>
          <t>HÄRJEDALEN</t>
        </is>
      </c>
      <c r="F2024" t="inlineStr">
        <is>
          <t>Holmen skog AB</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26561-2025</t>
        </is>
      </c>
      <c r="B2025" s="1" t="n">
        <v>45807</v>
      </c>
      <c r="C2025" s="1" t="n">
        <v>45828</v>
      </c>
      <c r="D2025" t="inlineStr">
        <is>
          <t>JÄMTLANDS LÄN</t>
        </is>
      </c>
      <c r="E2025" t="inlineStr">
        <is>
          <t>HÄRJEDALEN</t>
        </is>
      </c>
      <c r="F2025" t="inlineStr">
        <is>
          <t>Holmen skog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26495-2025</t>
        </is>
      </c>
      <c r="B2026" s="1" t="n">
        <v>45807</v>
      </c>
      <c r="C2026" s="1" t="n">
        <v>45828</v>
      </c>
      <c r="D2026" t="inlineStr">
        <is>
          <t>JÄMTLANDS LÄN</t>
        </is>
      </c>
      <c r="E2026" t="inlineStr">
        <is>
          <t>HÄRJEDALEN</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26543-2025</t>
        </is>
      </c>
      <c r="B2027" s="1" t="n">
        <v>45807</v>
      </c>
      <c r="C2027" s="1" t="n">
        <v>45828</v>
      </c>
      <c r="D2027" t="inlineStr">
        <is>
          <t>JÄMTLANDS LÄN</t>
        </is>
      </c>
      <c r="E2027" t="inlineStr">
        <is>
          <t>HÄRJEDALEN</t>
        </is>
      </c>
      <c r="F2027" t="inlineStr">
        <is>
          <t>Holmen skog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26417-2025</t>
        </is>
      </c>
      <c r="B2028" s="1" t="n">
        <v>45807</v>
      </c>
      <c r="C2028" s="1" t="n">
        <v>45828</v>
      </c>
      <c r="D2028" t="inlineStr">
        <is>
          <t>JÄMTLANDS LÄN</t>
        </is>
      </c>
      <c r="E2028" t="inlineStr">
        <is>
          <t>HÄRJEDALEN</t>
        </is>
      </c>
      <c r="F2028" t="inlineStr">
        <is>
          <t>Holmen skog AB</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26551-2025</t>
        </is>
      </c>
      <c r="B2029" s="1" t="n">
        <v>45807</v>
      </c>
      <c r="C2029" s="1" t="n">
        <v>45828</v>
      </c>
      <c r="D2029" t="inlineStr">
        <is>
          <t>JÄMTLANDS LÄN</t>
        </is>
      </c>
      <c r="E2029" t="inlineStr">
        <is>
          <t>HÄRJEDALEN</t>
        </is>
      </c>
      <c r="F2029" t="inlineStr">
        <is>
          <t>Holmen skog AB</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26558-2025</t>
        </is>
      </c>
      <c r="B2030" s="1" t="n">
        <v>45807</v>
      </c>
      <c r="C2030" s="1" t="n">
        <v>45828</v>
      </c>
      <c r="D2030" t="inlineStr">
        <is>
          <t>JÄMTLANDS LÄN</t>
        </is>
      </c>
      <c r="E2030" t="inlineStr">
        <is>
          <t>HÄRJEDALEN</t>
        </is>
      </c>
      <c r="F2030" t="inlineStr">
        <is>
          <t>Holmen skog AB</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26548-2025</t>
        </is>
      </c>
      <c r="B2031" s="1" t="n">
        <v>45807</v>
      </c>
      <c r="C2031" s="1" t="n">
        <v>45828</v>
      </c>
      <c r="D2031" t="inlineStr">
        <is>
          <t>JÄMTLANDS LÄN</t>
        </is>
      </c>
      <c r="E2031" t="inlineStr">
        <is>
          <t>HÄRJEDALEN</t>
        </is>
      </c>
      <c r="F2031" t="inlineStr">
        <is>
          <t>Holmen skog AB</t>
        </is>
      </c>
      <c r="G2031" t="n">
        <v>10.5</v>
      </c>
      <c r="H2031" t="n">
        <v>0</v>
      </c>
      <c r="I2031" t="n">
        <v>0</v>
      </c>
      <c r="J2031" t="n">
        <v>0</v>
      </c>
      <c r="K2031" t="n">
        <v>0</v>
      </c>
      <c r="L2031" t="n">
        <v>0</v>
      </c>
      <c r="M2031" t="n">
        <v>0</v>
      </c>
      <c r="N2031" t="n">
        <v>0</v>
      </c>
      <c r="O2031" t="n">
        <v>0</v>
      </c>
      <c r="P2031" t="n">
        <v>0</v>
      </c>
      <c r="Q2031" t="n">
        <v>0</v>
      </c>
      <c r="R2031" s="2" t="inlineStr"/>
    </row>
    <row r="2032" ht="15" customHeight="1">
      <c r="A2032" t="inlineStr">
        <is>
          <t>A 26528-2025</t>
        </is>
      </c>
      <c r="B2032" s="1" t="n">
        <v>45807</v>
      </c>
      <c r="C2032" s="1" t="n">
        <v>45828</v>
      </c>
      <c r="D2032" t="inlineStr">
        <is>
          <t>JÄMTLANDS LÄN</t>
        </is>
      </c>
      <c r="E2032" t="inlineStr">
        <is>
          <t>HÄRJEDALEN</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26540-2025</t>
        </is>
      </c>
      <c r="B2033" s="1" t="n">
        <v>45807</v>
      </c>
      <c r="C2033" s="1" t="n">
        <v>45828</v>
      </c>
      <c r="D2033" t="inlineStr">
        <is>
          <t>JÄMTLANDS LÄN</t>
        </is>
      </c>
      <c r="E2033" t="inlineStr">
        <is>
          <t>HÄRJEDALEN</t>
        </is>
      </c>
      <c r="F2033" t="inlineStr">
        <is>
          <t>Holmen skog AB</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26443-2025</t>
        </is>
      </c>
      <c r="B2034" s="1" t="n">
        <v>45807</v>
      </c>
      <c r="C2034" s="1" t="n">
        <v>45828</v>
      </c>
      <c r="D2034" t="inlineStr">
        <is>
          <t>JÄMTLANDS LÄN</t>
        </is>
      </c>
      <c r="E2034" t="inlineStr">
        <is>
          <t>HÄRJEDALEN</t>
        </is>
      </c>
      <c r="F2034" t="inlineStr">
        <is>
          <t>Holmen skog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26451-2025</t>
        </is>
      </c>
      <c r="B2035" s="1" t="n">
        <v>45807</v>
      </c>
      <c r="C2035" s="1" t="n">
        <v>45828</v>
      </c>
      <c r="D2035" t="inlineStr">
        <is>
          <t>JÄMTLANDS LÄN</t>
        </is>
      </c>
      <c r="E2035" t="inlineStr">
        <is>
          <t>HÄRJEDALEN</t>
        </is>
      </c>
      <c r="F2035" t="inlineStr">
        <is>
          <t>Holmen skog AB</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26468-2025</t>
        </is>
      </c>
      <c r="B2036" s="1" t="n">
        <v>45807</v>
      </c>
      <c r="C2036" s="1" t="n">
        <v>45828</v>
      </c>
      <c r="D2036" t="inlineStr">
        <is>
          <t>JÄMTLANDS LÄN</t>
        </is>
      </c>
      <c r="E2036" t="inlineStr">
        <is>
          <t>HÄRJEDALEN</t>
        </is>
      </c>
      <c r="F2036" t="inlineStr">
        <is>
          <t>Holmen skog AB</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26462-2025</t>
        </is>
      </c>
      <c r="B2037" s="1" t="n">
        <v>45807</v>
      </c>
      <c r="C2037" s="1" t="n">
        <v>45828</v>
      </c>
      <c r="D2037" t="inlineStr">
        <is>
          <t>JÄMTLANDS LÄN</t>
        </is>
      </c>
      <c r="E2037" t="inlineStr">
        <is>
          <t>HÄRJEDALEN</t>
        </is>
      </c>
      <c r="F2037" t="inlineStr">
        <is>
          <t>Holmen skog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26493-2025</t>
        </is>
      </c>
      <c r="B2038" s="1" t="n">
        <v>45807</v>
      </c>
      <c r="C2038" s="1" t="n">
        <v>45828</v>
      </c>
      <c r="D2038" t="inlineStr">
        <is>
          <t>JÄMTLANDS LÄN</t>
        </is>
      </c>
      <c r="E2038" t="inlineStr">
        <is>
          <t>HÄRJEDALEN</t>
        </is>
      </c>
      <c r="F2038" t="inlineStr">
        <is>
          <t>Holmen skog AB</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26496-2025</t>
        </is>
      </c>
      <c r="B2039" s="1" t="n">
        <v>45807</v>
      </c>
      <c r="C2039" s="1" t="n">
        <v>45828</v>
      </c>
      <c r="D2039" t="inlineStr">
        <is>
          <t>JÄMTLANDS LÄN</t>
        </is>
      </c>
      <c r="E2039" t="inlineStr">
        <is>
          <t>HÄRJEDALEN</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26466-2025</t>
        </is>
      </c>
      <c r="B2040" s="1" t="n">
        <v>45807</v>
      </c>
      <c r="C2040" s="1" t="n">
        <v>45828</v>
      </c>
      <c r="D2040" t="inlineStr">
        <is>
          <t>JÄMTLANDS LÄN</t>
        </is>
      </c>
      <c r="E2040" t="inlineStr">
        <is>
          <t>HÄRJEDALEN</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26411-2025</t>
        </is>
      </c>
      <c r="B2041" s="1" t="n">
        <v>45807</v>
      </c>
      <c r="C2041" s="1" t="n">
        <v>45828</v>
      </c>
      <c r="D2041" t="inlineStr">
        <is>
          <t>JÄMTLANDS LÄN</t>
        </is>
      </c>
      <c r="E2041" t="inlineStr">
        <is>
          <t>HÄRJEDALEN</t>
        </is>
      </c>
      <c r="F2041" t="inlineStr">
        <is>
          <t>Holmen skog AB</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45828</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45828</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45828</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27679-2025</t>
        </is>
      </c>
      <c r="B2045" s="1" t="n">
        <v>45813</v>
      </c>
      <c r="C2045" s="1" t="n">
        <v>45828</v>
      </c>
      <c r="D2045" t="inlineStr">
        <is>
          <t>JÄMTLANDS LÄN</t>
        </is>
      </c>
      <c r="E2045" t="inlineStr">
        <is>
          <t>HÄRJEDALEN</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45828</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27565-2025</t>
        </is>
      </c>
      <c r="B2047" s="1" t="n">
        <v>45813</v>
      </c>
      <c r="C2047" s="1" t="n">
        <v>45828</v>
      </c>
      <c r="D2047" t="inlineStr">
        <is>
          <t>JÄMTLANDS LÄN</t>
        </is>
      </c>
      <c r="E2047" t="inlineStr">
        <is>
          <t>HÄRJEDALEN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27820-2025</t>
        </is>
      </c>
      <c r="B2048" s="1" t="n">
        <v>45817</v>
      </c>
      <c r="C2048" s="1" t="n">
        <v>45828</v>
      </c>
      <c r="D2048" t="inlineStr">
        <is>
          <t>JÄMTLANDS LÄN</t>
        </is>
      </c>
      <c r="E2048" t="inlineStr">
        <is>
          <t>HÄRJEDALEN</t>
        </is>
      </c>
      <c r="F2048" t="inlineStr">
        <is>
          <t>Övriga statliga verk och myndigheter</t>
        </is>
      </c>
      <c r="G2048" t="n">
        <v>42.8</v>
      </c>
      <c r="H2048" t="n">
        <v>0</v>
      </c>
      <c r="I2048" t="n">
        <v>0</v>
      </c>
      <c r="J2048" t="n">
        <v>0</v>
      </c>
      <c r="K2048" t="n">
        <v>0</v>
      </c>
      <c r="L2048" t="n">
        <v>0</v>
      </c>
      <c r="M2048" t="n">
        <v>0</v>
      </c>
      <c r="N2048" t="n">
        <v>0</v>
      </c>
      <c r="O2048" t="n">
        <v>0</v>
      </c>
      <c r="P2048" t="n">
        <v>0</v>
      </c>
      <c r="Q2048" t="n">
        <v>0</v>
      </c>
      <c r="R2048" s="2" t="inlineStr"/>
    </row>
    <row r="2049" ht="15" customHeight="1">
      <c r="A2049" t="inlineStr">
        <is>
          <t>A 27996-2025</t>
        </is>
      </c>
      <c r="B2049" s="1" t="n">
        <v>45817</v>
      </c>
      <c r="C2049" s="1" t="n">
        <v>45828</v>
      </c>
      <c r="D2049" t="inlineStr">
        <is>
          <t>JÄMTLANDS LÄN</t>
        </is>
      </c>
      <c r="E2049" t="inlineStr">
        <is>
          <t>HÄRJEDALEN</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28026-2025</t>
        </is>
      </c>
      <c r="B2050" s="1" t="n">
        <v>45817</v>
      </c>
      <c r="C2050" s="1" t="n">
        <v>45828</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45828</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29102-2025</t>
        </is>
      </c>
      <c r="B2052" s="1" t="n">
        <v>45821</v>
      </c>
      <c r="C2052" s="1" t="n">
        <v>45828</v>
      </c>
      <c r="D2052" t="inlineStr">
        <is>
          <t>JÄMTLANDS LÄN</t>
        </is>
      </c>
      <c r="E2052" t="inlineStr">
        <is>
          <t>HÄRJEDALEN</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29187-2025</t>
        </is>
      </c>
      <c r="B2053" s="1" t="n">
        <v>45821</v>
      </c>
      <c r="C2053" s="1" t="n">
        <v>45828</v>
      </c>
      <c r="D2053" t="inlineStr">
        <is>
          <t>JÄMTLANDS LÄN</t>
        </is>
      </c>
      <c r="E2053" t="inlineStr">
        <is>
          <t>HÄRJEDALEN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29927-2025</t>
        </is>
      </c>
      <c r="B2054" s="1" t="n">
        <v>45826</v>
      </c>
      <c r="C2054" s="1" t="n">
        <v>45828</v>
      </c>
      <c r="D2054" t="inlineStr">
        <is>
          <t>JÄMTLANDS LÄN</t>
        </is>
      </c>
      <c r="E2054" t="inlineStr">
        <is>
          <t>HÄRJEDALEN</t>
        </is>
      </c>
      <c r="F2054" t="inlineStr">
        <is>
          <t>Bergvik skog väst AB</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30255-2025</t>
        </is>
      </c>
      <c r="B2055" s="1" t="n">
        <v>45827</v>
      </c>
      <c r="C2055" s="1" t="n">
        <v>45828</v>
      </c>
      <c r="D2055" t="inlineStr">
        <is>
          <t>JÄMTLANDS LÄN</t>
        </is>
      </c>
      <c r="E2055" t="inlineStr">
        <is>
          <t>HÄRJEDALEN</t>
        </is>
      </c>
      <c r="F2055" t="inlineStr">
        <is>
          <t>Holmen skog AB</t>
        </is>
      </c>
      <c r="G2055" t="n">
        <v>2.3</v>
      </c>
      <c r="H2055" t="n">
        <v>0</v>
      </c>
      <c r="I2055" t="n">
        <v>0</v>
      </c>
      <c r="J2055" t="n">
        <v>0</v>
      </c>
      <c r="K2055" t="n">
        <v>0</v>
      </c>
      <c r="L2055" t="n">
        <v>0</v>
      </c>
      <c r="M2055" t="n">
        <v>0</v>
      </c>
      <c r="N2055" t="n">
        <v>0</v>
      </c>
      <c r="O2055" t="n">
        <v>0</v>
      </c>
      <c r="P2055" t="n">
        <v>0</v>
      </c>
      <c r="Q2055" t="n">
        <v>0</v>
      </c>
      <c r="R2055" s="2" t="inlineStr"/>
    </row>
    <row r="2056">
      <c r="A2056" t="inlineStr">
        <is>
          <t>A 30251-2025</t>
        </is>
      </c>
      <c r="B2056" s="1" t="n">
        <v>45827</v>
      </c>
      <c r="C2056" s="1" t="n">
        <v>45828</v>
      </c>
      <c r="D2056" t="inlineStr">
        <is>
          <t>JÄMTLANDS LÄN</t>
        </is>
      </c>
      <c r="E2056" t="inlineStr">
        <is>
          <t>HÄRJEDALEN</t>
        </is>
      </c>
      <c r="F2056" t="inlineStr">
        <is>
          <t>Bergvik skog väst AB</t>
        </is>
      </c>
      <c r="G2056" t="n">
        <v>32.1</v>
      </c>
      <c r="H2056" t="n">
        <v>0</v>
      </c>
      <c r="I2056" t="n">
        <v>0</v>
      </c>
      <c r="J2056" t="n">
        <v>0</v>
      </c>
      <c r="K2056" t="n">
        <v>0</v>
      </c>
      <c r="L2056" t="n">
        <v>0</v>
      </c>
      <c r="M2056" t="n">
        <v>0</v>
      </c>
      <c r="N2056" t="n">
        <v>0</v>
      </c>
      <c r="O2056" t="n">
        <v>0</v>
      </c>
      <c r="P2056" t="n">
        <v>0</v>
      </c>
      <c r="Q2056" t="n">
        <v>0</v>
      </c>
      <c r="R2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2025-06-20T19:15:19Z</dcterms:created>
  <dcterms:modified xmlns:dcterms="http://purl.org/dc/terms/" xmlns:xsi="http://www.w3.org/2001/XMLSchema-instance" xsi:type="dcterms:W3CDTF">2025-06-20T19:15:20Z</dcterms:modified>
</cp:coreProperties>
</file>