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45354</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45354</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45354</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45354</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45354</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45354</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45354</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45354</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45354</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45354</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45354</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45354</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45354</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45354</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45354</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45354</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45354</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45354</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45354</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45354</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45354</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45354</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45354</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45354</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45354</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45354</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45354</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45354</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45354</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45354</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45354</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45354</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45354</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45354</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45354</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45354</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45354</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45354</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45354</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45354</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45354</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45354</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45354</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45354</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45354</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45354</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45354</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45354</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45354</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45354</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45354</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45354</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45354</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45354</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45354</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45354</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45354</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45354</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45354</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45354</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45354</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45354</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45354</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45354</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45354</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45354</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45354</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45354</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45354</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45354</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45354</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45354</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45354</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45354</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45354</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45354</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45354</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45354</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45354</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45354</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45354</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45354</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45354</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45354</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45354</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45354</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45354</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45354</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45354</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45354</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45354</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45354</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45354</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45354</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45354</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45354</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45354</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45354</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45354</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45354</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45354</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45354</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45354</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45354</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45354</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45354</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45354</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45354</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45354</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45354</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45354</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45354</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45354</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45354</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45354</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45354</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45354</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45354</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45354</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45354</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45354</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45354</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45354</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45354</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45354</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45354</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45354</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45354</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45354</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45354</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45354</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45354</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45354</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45354</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45354</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45354</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45354</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45354</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45354</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45354</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45354</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45354</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45354</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45354</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45354</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45354</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7327-2024</t>
        </is>
      </c>
      <c r="B148" s="1" t="n">
        <v>45345</v>
      </c>
      <c r="C148" s="1" t="n">
        <v>45354</v>
      </c>
      <c r="D148" t="inlineStr">
        <is>
          <t>JÄMTLANDS LÄN</t>
        </is>
      </c>
      <c r="E148" t="inlineStr">
        <is>
          <t>HÄRJEDALEN</t>
        </is>
      </c>
      <c r="F148" t="inlineStr">
        <is>
          <t>Sveaskog</t>
        </is>
      </c>
      <c r="G148" t="n">
        <v>0.3</v>
      </c>
      <c r="H148" t="n">
        <v>0</v>
      </c>
      <c r="I148" t="n">
        <v>0</v>
      </c>
      <c r="J148" t="n">
        <v>1</v>
      </c>
      <c r="K148" t="n">
        <v>0</v>
      </c>
      <c r="L148" t="n">
        <v>0</v>
      </c>
      <c r="M148" t="n">
        <v>0</v>
      </c>
      <c r="N148" t="n">
        <v>0</v>
      </c>
      <c r="O148" t="n">
        <v>1</v>
      </c>
      <c r="P148" t="n">
        <v>0</v>
      </c>
      <c r="Q148" t="n">
        <v>1</v>
      </c>
      <c r="R148" s="2" t="inlineStr">
        <is>
          <t>Kolflarnlav</t>
        </is>
      </c>
      <c r="S148">
        <f>HYPERLINK("https://klasma.github.io/Logging_2361/artfynd/A 7327-2024 artfynd.xlsx", "A 7327-2024")</f>
        <v/>
      </c>
      <c r="T148">
        <f>HYPERLINK("https://klasma.github.io/Logging_2361/kartor/A 7327-2024 karta.png", "A 7327-2024")</f>
        <v/>
      </c>
      <c r="V148">
        <f>HYPERLINK("https://klasma.github.io/Logging_2361/klagomål/A 7327-2024 FSC-klagomål.docx", "A 7327-2024")</f>
        <v/>
      </c>
      <c r="W148">
        <f>HYPERLINK("https://klasma.github.io/Logging_2361/klagomålsmail/A 7327-2024 FSC-klagomål mail.docx", "A 7327-2024")</f>
        <v/>
      </c>
      <c r="X148">
        <f>HYPERLINK("https://klasma.github.io/Logging_2361/tillsyn/A 7327-2024 tillsynsbegäran.docx", "A 7327-2024")</f>
        <v/>
      </c>
      <c r="Y148">
        <f>HYPERLINK("https://klasma.github.io/Logging_2361/tillsynsmail/A 7327-2024 tillsynsbegäran mail.docx", "A 7327-2024")</f>
        <v/>
      </c>
    </row>
    <row r="149" ht="15" customHeight="1">
      <c r="A149" t="inlineStr">
        <is>
          <t>A 38754-2018</t>
        </is>
      </c>
      <c r="B149" s="1" t="n">
        <v>43340</v>
      </c>
      <c r="C149" s="1" t="n">
        <v>45354</v>
      </c>
      <c r="D149" t="inlineStr">
        <is>
          <t>JÄMTLANDS LÄN</t>
        </is>
      </c>
      <c r="E149" t="inlineStr">
        <is>
          <t>HÄRJEDALEN</t>
        </is>
      </c>
      <c r="G149" t="n">
        <v>4.2</v>
      </c>
      <c r="H149" t="n">
        <v>0</v>
      </c>
      <c r="I149" t="n">
        <v>0</v>
      </c>
      <c r="J149" t="n">
        <v>0</v>
      </c>
      <c r="K149" t="n">
        <v>0</v>
      </c>
      <c r="L149" t="n">
        <v>0</v>
      </c>
      <c r="M149" t="n">
        <v>0</v>
      </c>
      <c r="N149" t="n">
        <v>0</v>
      </c>
      <c r="O149" t="n">
        <v>0</v>
      </c>
      <c r="P149" t="n">
        <v>0</v>
      </c>
      <c r="Q149" t="n">
        <v>0</v>
      </c>
      <c r="R149" s="2" t="inlineStr"/>
    </row>
    <row r="150" ht="15" customHeight="1">
      <c r="A150" t="inlineStr">
        <is>
          <t>A 38753-2018</t>
        </is>
      </c>
      <c r="B150" s="1" t="n">
        <v>43340</v>
      </c>
      <c r="C150" s="1" t="n">
        <v>45354</v>
      </c>
      <c r="D150" t="inlineStr">
        <is>
          <t>JÄMTLANDS LÄN</t>
        </is>
      </c>
      <c r="E150" t="inlineStr">
        <is>
          <t>HÄRJEDALEN</t>
        </is>
      </c>
      <c r="G150" t="n">
        <v>3.6</v>
      </c>
      <c r="H150" t="n">
        <v>0</v>
      </c>
      <c r="I150" t="n">
        <v>0</v>
      </c>
      <c r="J150" t="n">
        <v>0</v>
      </c>
      <c r="K150" t="n">
        <v>0</v>
      </c>
      <c r="L150" t="n">
        <v>0</v>
      </c>
      <c r="M150" t="n">
        <v>0</v>
      </c>
      <c r="N150" t="n">
        <v>0</v>
      </c>
      <c r="O150" t="n">
        <v>0</v>
      </c>
      <c r="P150" t="n">
        <v>0</v>
      </c>
      <c r="Q150" t="n">
        <v>0</v>
      </c>
      <c r="R150" s="2" t="inlineStr"/>
    </row>
    <row r="151" ht="15" customHeight="1">
      <c r="A151" t="inlineStr">
        <is>
          <t>A 41979-2018</t>
        </is>
      </c>
      <c r="B151" s="1" t="n">
        <v>43350</v>
      </c>
      <c r="C151" s="1" t="n">
        <v>45354</v>
      </c>
      <c r="D151" t="inlineStr">
        <is>
          <t>JÄMTLANDS LÄN</t>
        </is>
      </c>
      <c r="E151" t="inlineStr">
        <is>
          <t>HÄRJEDALEN</t>
        </is>
      </c>
      <c r="G151" t="n">
        <v>50</v>
      </c>
      <c r="H151" t="n">
        <v>0</v>
      </c>
      <c r="I151" t="n">
        <v>0</v>
      </c>
      <c r="J151" t="n">
        <v>0</v>
      </c>
      <c r="K151" t="n">
        <v>0</v>
      </c>
      <c r="L151" t="n">
        <v>0</v>
      </c>
      <c r="M151" t="n">
        <v>0</v>
      </c>
      <c r="N151" t="n">
        <v>0</v>
      </c>
      <c r="O151" t="n">
        <v>0</v>
      </c>
      <c r="P151" t="n">
        <v>0</v>
      </c>
      <c r="Q151" t="n">
        <v>0</v>
      </c>
      <c r="R151" s="2" t="inlineStr"/>
    </row>
    <row r="152" ht="15" customHeight="1">
      <c r="A152" t="inlineStr">
        <is>
          <t>A 44222-2018</t>
        </is>
      </c>
      <c r="B152" s="1" t="n">
        <v>43360</v>
      </c>
      <c r="C152" s="1" t="n">
        <v>45354</v>
      </c>
      <c r="D152" t="inlineStr">
        <is>
          <t>JÄMTLANDS LÄN</t>
        </is>
      </c>
      <c r="E152" t="inlineStr">
        <is>
          <t>HÄRJEDALEN</t>
        </is>
      </c>
      <c r="G152" t="n">
        <v>0.7</v>
      </c>
      <c r="H152" t="n">
        <v>0</v>
      </c>
      <c r="I152" t="n">
        <v>0</v>
      </c>
      <c r="J152" t="n">
        <v>0</v>
      </c>
      <c r="K152" t="n">
        <v>0</v>
      </c>
      <c r="L152" t="n">
        <v>0</v>
      </c>
      <c r="M152" t="n">
        <v>0</v>
      </c>
      <c r="N152" t="n">
        <v>0</v>
      </c>
      <c r="O152" t="n">
        <v>0</v>
      </c>
      <c r="P152" t="n">
        <v>0</v>
      </c>
      <c r="Q152" t="n">
        <v>0</v>
      </c>
      <c r="R152" s="2" t="inlineStr"/>
    </row>
    <row r="153" ht="15" customHeight="1">
      <c r="A153" t="inlineStr">
        <is>
          <t>A 46202-2018</t>
        </is>
      </c>
      <c r="B153" s="1" t="n">
        <v>43364</v>
      </c>
      <c r="C153" s="1" t="n">
        <v>45354</v>
      </c>
      <c r="D153" t="inlineStr">
        <is>
          <t>JÄMTLANDS LÄN</t>
        </is>
      </c>
      <c r="E153" t="inlineStr">
        <is>
          <t>HÄRJEDALEN</t>
        </is>
      </c>
      <c r="G153" t="n">
        <v>2.4</v>
      </c>
      <c r="H153" t="n">
        <v>0</v>
      </c>
      <c r="I153" t="n">
        <v>0</v>
      </c>
      <c r="J153" t="n">
        <v>0</v>
      </c>
      <c r="K153" t="n">
        <v>0</v>
      </c>
      <c r="L153" t="n">
        <v>0</v>
      </c>
      <c r="M153" t="n">
        <v>0</v>
      </c>
      <c r="N153" t="n">
        <v>0</v>
      </c>
      <c r="O153" t="n">
        <v>0</v>
      </c>
      <c r="P153" t="n">
        <v>0</v>
      </c>
      <c r="Q153" t="n">
        <v>0</v>
      </c>
      <c r="R153" s="2" t="inlineStr"/>
    </row>
    <row r="154" ht="15" customHeight="1">
      <c r="A154" t="inlineStr">
        <is>
          <t>A 47412-2018</t>
        </is>
      </c>
      <c r="B154" s="1" t="n">
        <v>43369</v>
      </c>
      <c r="C154" s="1" t="n">
        <v>45354</v>
      </c>
      <c r="D154" t="inlineStr">
        <is>
          <t>JÄMTLANDS LÄN</t>
        </is>
      </c>
      <c r="E154" t="inlineStr">
        <is>
          <t>HÄRJEDALEN</t>
        </is>
      </c>
      <c r="G154" t="n">
        <v>20.4</v>
      </c>
      <c r="H154" t="n">
        <v>0</v>
      </c>
      <c r="I154" t="n">
        <v>0</v>
      </c>
      <c r="J154" t="n">
        <v>0</v>
      </c>
      <c r="K154" t="n">
        <v>0</v>
      </c>
      <c r="L154" t="n">
        <v>0</v>
      </c>
      <c r="M154" t="n">
        <v>0</v>
      </c>
      <c r="N154" t="n">
        <v>0</v>
      </c>
      <c r="O154" t="n">
        <v>0</v>
      </c>
      <c r="P154" t="n">
        <v>0</v>
      </c>
      <c r="Q154" t="n">
        <v>0</v>
      </c>
      <c r="R154" s="2" t="inlineStr"/>
    </row>
    <row r="155" ht="15" customHeight="1">
      <c r="A155" t="inlineStr">
        <is>
          <t>A 48245-2018</t>
        </is>
      </c>
      <c r="B155" s="1" t="n">
        <v>43371</v>
      </c>
      <c r="C155" s="1" t="n">
        <v>45354</v>
      </c>
      <c r="D155" t="inlineStr">
        <is>
          <t>JÄMTLANDS LÄN</t>
        </is>
      </c>
      <c r="E155" t="inlineStr">
        <is>
          <t>HÄRJEDALEN</t>
        </is>
      </c>
      <c r="G155" t="n">
        <v>0.4</v>
      </c>
      <c r="H155" t="n">
        <v>0</v>
      </c>
      <c r="I155" t="n">
        <v>0</v>
      </c>
      <c r="J155" t="n">
        <v>0</v>
      </c>
      <c r="K155" t="n">
        <v>0</v>
      </c>
      <c r="L155" t="n">
        <v>0</v>
      </c>
      <c r="M155" t="n">
        <v>0</v>
      </c>
      <c r="N155" t="n">
        <v>0</v>
      </c>
      <c r="O155" t="n">
        <v>0</v>
      </c>
      <c r="P155" t="n">
        <v>0</v>
      </c>
      <c r="Q155" t="n">
        <v>0</v>
      </c>
      <c r="R155" s="2" t="inlineStr"/>
    </row>
    <row r="156" ht="15" customHeight="1">
      <c r="A156" t="inlineStr">
        <is>
          <t>A 49130-2018</t>
        </is>
      </c>
      <c r="B156" s="1" t="n">
        <v>43375</v>
      </c>
      <c r="C156" s="1" t="n">
        <v>45354</v>
      </c>
      <c r="D156" t="inlineStr">
        <is>
          <t>JÄMTLANDS LÄN</t>
        </is>
      </c>
      <c r="E156" t="inlineStr">
        <is>
          <t>HÄRJEDALEN</t>
        </is>
      </c>
      <c r="G156" t="n">
        <v>6.6</v>
      </c>
      <c r="H156" t="n">
        <v>0</v>
      </c>
      <c r="I156" t="n">
        <v>0</v>
      </c>
      <c r="J156" t="n">
        <v>0</v>
      </c>
      <c r="K156" t="n">
        <v>0</v>
      </c>
      <c r="L156" t="n">
        <v>0</v>
      </c>
      <c r="M156" t="n">
        <v>0</v>
      </c>
      <c r="N156" t="n">
        <v>0</v>
      </c>
      <c r="O156" t="n">
        <v>0</v>
      </c>
      <c r="P156" t="n">
        <v>0</v>
      </c>
      <c r="Q156" t="n">
        <v>0</v>
      </c>
      <c r="R156" s="2" t="inlineStr"/>
    </row>
    <row r="157" ht="15" customHeight="1">
      <c r="A157" t="inlineStr">
        <is>
          <t>A 51450-2018</t>
        </is>
      </c>
      <c r="B157" s="1" t="n">
        <v>43383</v>
      </c>
      <c r="C157" s="1" t="n">
        <v>45354</v>
      </c>
      <c r="D157" t="inlineStr">
        <is>
          <t>JÄMTLANDS LÄN</t>
        </is>
      </c>
      <c r="E157" t="inlineStr">
        <is>
          <t>HÄRJEDALEN</t>
        </is>
      </c>
      <c r="G157" t="n">
        <v>16.3</v>
      </c>
      <c r="H157" t="n">
        <v>0</v>
      </c>
      <c r="I157" t="n">
        <v>0</v>
      </c>
      <c r="J157" t="n">
        <v>0</v>
      </c>
      <c r="K157" t="n">
        <v>0</v>
      </c>
      <c r="L157" t="n">
        <v>0</v>
      </c>
      <c r="M157" t="n">
        <v>0</v>
      </c>
      <c r="N157" t="n">
        <v>0</v>
      </c>
      <c r="O157" t="n">
        <v>0</v>
      </c>
      <c r="P157" t="n">
        <v>0</v>
      </c>
      <c r="Q157" t="n">
        <v>0</v>
      </c>
      <c r="R157" s="2" t="inlineStr"/>
    </row>
    <row r="158" ht="15" customHeight="1">
      <c r="A158" t="inlineStr">
        <is>
          <t>A 54581-2018</t>
        </is>
      </c>
      <c r="B158" s="1" t="n">
        <v>43389</v>
      </c>
      <c r="C158" s="1" t="n">
        <v>45354</v>
      </c>
      <c r="D158" t="inlineStr">
        <is>
          <t>JÄMTLANDS LÄN</t>
        </is>
      </c>
      <c r="E158" t="inlineStr">
        <is>
          <t>HÄRJEDALEN</t>
        </is>
      </c>
      <c r="F158" t="inlineStr">
        <is>
          <t>Övriga statliga verk och myndigheter</t>
        </is>
      </c>
      <c r="G158" t="n">
        <v>58.9</v>
      </c>
      <c r="H158" t="n">
        <v>0</v>
      </c>
      <c r="I158" t="n">
        <v>0</v>
      </c>
      <c r="J158" t="n">
        <v>0</v>
      </c>
      <c r="K158" t="n">
        <v>0</v>
      </c>
      <c r="L158" t="n">
        <v>0</v>
      </c>
      <c r="M158" t="n">
        <v>0</v>
      </c>
      <c r="N158" t="n">
        <v>0</v>
      </c>
      <c r="O158" t="n">
        <v>0</v>
      </c>
      <c r="P158" t="n">
        <v>0</v>
      </c>
      <c r="Q158" t="n">
        <v>0</v>
      </c>
      <c r="R158" s="2" t="inlineStr"/>
    </row>
    <row r="159" ht="15" customHeight="1">
      <c r="A159" t="inlineStr">
        <is>
          <t>A 54538-2018</t>
        </is>
      </c>
      <c r="B159" s="1" t="n">
        <v>43390</v>
      </c>
      <c r="C159" s="1" t="n">
        <v>45354</v>
      </c>
      <c r="D159" t="inlineStr">
        <is>
          <t>JÄMTLANDS LÄN</t>
        </is>
      </c>
      <c r="E159" t="inlineStr">
        <is>
          <t>HÄRJEDALEN</t>
        </is>
      </c>
      <c r="G159" t="n">
        <v>1</v>
      </c>
      <c r="H159" t="n">
        <v>0</v>
      </c>
      <c r="I159" t="n">
        <v>0</v>
      </c>
      <c r="J159" t="n">
        <v>0</v>
      </c>
      <c r="K159" t="n">
        <v>0</v>
      </c>
      <c r="L159" t="n">
        <v>0</v>
      </c>
      <c r="M159" t="n">
        <v>0</v>
      </c>
      <c r="N159" t="n">
        <v>0</v>
      </c>
      <c r="O159" t="n">
        <v>0</v>
      </c>
      <c r="P159" t="n">
        <v>0</v>
      </c>
      <c r="Q159" t="n">
        <v>0</v>
      </c>
      <c r="R159" s="2" t="inlineStr"/>
    </row>
    <row r="160" ht="15" customHeight="1">
      <c r="A160" t="inlineStr">
        <is>
          <t>A 54602-2018</t>
        </is>
      </c>
      <c r="B160" s="1" t="n">
        <v>43390</v>
      </c>
      <c r="C160" s="1" t="n">
        <v>45354</v>
      </c>
      <c r="D160" t="inlineStr">
        <is>
          <t>JÄMTLANDS LÄN</t>
        </is>
      </c>
      <c r="E160" t="inlineStr">
        <is>
          <t>HÄRJEDALEN</t>
        </is>
      </c>
      <c r="G160" t="n">
        <v>2.3</v>
      </c>
      <c r="H160" t="n">
        <v>0</v>
      </c>
      <c r="I160" t="n">
        <v>0</v>
      </c>
      <c r="J160" t="n">
        <v>0</v>
      </c>
      <c r="K160" t="n">
        <v>0</v>
      </c>
      <c r="L160" t="n">
        <v>0</v>
      </c>
      <c r="M160" t="n">
        <v>0</v>
      </c>
      <c r="N160" t="n">
        <v>0</v>
      </c>
      <c r="O160" t="n">
        <v>0</v>
      </c>
      <c r="P160" t="n">
        <v>0</v>
      </c>
      <c r="Q160" t="n">
        <v>0</v>
      </c>
      <c r="R160" s="2" t="inlineStr"/>
    </row>
    <row r="161" ht="15" customHeight="1">
      <c r="A161" t="inlineStr">
        <is>
          <t>A 54050-2018</t>
        </is>
      </c>
      <c r="B161" s="1" t="n">
        <v>43392</v>
      </c>
      <c r="C161" s="1" t="n">
        <v>45354</v>
      </c>
      <c r="D161" t="inlineStr">
        <is>
          <t>JÄMTLANDS LÄN</t>
        </is>
      </c>
      <c r="E161" t="inlineStr">
        <is>
          <t>HÄRJEDALEN</t>
        </is>
      </c>
      <c r="F161" t="inlineStr">
        <is>
          <t>Bergvik skog väst AB</t>
        </is>
      </c>
      <c r="G161" t="n">
        <v>8.1</v>
      </c>
      <c r="H161" t="n">
        <v>0</v>
      </c>
      <c r="I161" t="n">
        <v>0</v>
      </c>
      <c r="J161" t="n">
        <v>0</v>
      </c>
      <c r="K161" t="n">
        <v>0</v>
      </c>
      <c r="L161" t="n">
        <v>0</v>
      </c>
      <c r="M161" t="n">
        <v>0</v>
      </c>
      <c r="N161" t="n">
        <v>0</v>
      </c>
      <c r="O161" t="n">
        <v>0</v>
      </c>
      <c r="P161" t="n">
        <v>0</v>
      </c>
      <c r="Q161" t="n">
        <v>0</v>
      </c>
      <c r="R161" s="2" t="inlineStr"/>
    </row>
    <row r="162" ht="15" customHeight="1">
      <c r="A162" t="inlineStr">
        <is>
          <t>A 55215-2018</t>
        </is>
      </c>
      <c r="B162" s="1" t="n">
        <v>43396</v>
      </c>
      <c r="C162" s="1" t="n">
        <v>45354</v>
      </c>
      <c r="D162" t="inlineStr">
        <is>
          <t>JÄMTLANDS LÄN</t>
        </is>
      </c>
      <c r="E162" t="inlineStr">
        <is>
          <t>HÄRJEDALEN</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56473-2018</t>
        </is>
      </c>
      <c r="B163" s="1" t="n">
        <v>43399</v>
      </c>
      <c r="C163" s="1" t="n">
        <v>45354</v>
      </c>
      <c r="D163" t="inlineStr">
        <is>
          <t>JÄMTLANDS LÄN</t>
        </is>
      </c>
      <c r="E163" t="inlineStr">
        <is>
          <t>HÄRJEDALEN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56693-2018</t>
        </is>
      </c>
      <c r="B164" s="1" t="n">
        <v>43402</v>
      </c>
      <c r="C164" s="1" t="n">
        <v>45354</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57667-2018</t>
        </is>
      </c>
      <c r="B165" s="1" t="n">
        <v>43404</v>
      </c>
      <c r="C165" s="1" t="n">
        <v>45354</v>
      </c>
      <c r="D165" t="inlineStr">
        <is>
          <t>JÄMTLANDS LÄN</t>
        </is>
      </c>
      <c r="E165" t="inlineStr">
        <is>
          <t>HÄRJEDALEN</t>
        </is>
      </c>
      <c r="G165" t="n">
        <v>46.5</v>
      </c>
      <c r="H165" t="n">
        <v>0</v>
      </c>
      <c r="I165" t="n">
        <v>0</v>
      </c>
      <c r="J165" t="n">
        <v>0</v>
      </c>
      <c r="K165" t="n">
        <v>0</v>
      </c>
      <c r="L165" t="n">
        <v>0</v>
      </c>
      <c r="M165" t="n">
        <v>0</v>
      </c>
      <c r="N165" t="n">
        <v>0</v>
      </c>
      <c r="O165" t="n">
        <v>0</v>
      </c>
      <c r="P165" t="n">
        <v>0</v>
      </c>
      <c r="Q165" t="n">
        <v>0</v>
      </c>
      <c r="R165" s="2" t="inlineStr"/>
    </row>
    <row r="166" ht="15" customHeight="1">
      <c r="A166" t="inlineStr">
        <is>
          <t>A 58088-2018</t>
        </is>
      </c>
      <c r="B166" s="1" t="n">
        <v>43406</v>
      </c>
      <c r="C166" s="1" t="n">
        <v>45354</v>
      </c>
      <c r="D166" t="inlineStr">
        <is>
          <t>JÄMTLANDS LÄN</t>
        </is>
      </c>
      <c r="E166" t="inlineStr">
        <is>
          <t>HÄRJEDALEN</t>
        </is>
      </c>
      <c r="G166" t="n">
        <v>6.6</v>
      </c>
      <c r="H166" t="n">
        <v>0</v>
      </c>
      <c r="I166" t="n">
        <v>0</v>
      </c>
      <c r="J166" t="n">
        <v>0</v>
      </c>
      <c r="K166" t="n">
        <v>0</v>
      </c>
      <c r="L166" t="n">
        <v>0</v>
      </c>
      <c r="M166" t="n">
        <v>0</v>
      </c>
      <c r="N166" t="n">
        <v>0</v>
      </c>
      <c r="O166" t="n">
        <v>0</v>
      </c>
      <c r="P166" t="n">
        <v>0</v>
      </c>
      <c r="Q166" t="n">
        <v>0</v>
      </c>
      <c r="R166" s="2" t="inlineStr"/>
    </row>
    <row r="167" ht="15" customHeight="1">
      <c r="A167" t="inlineStr">
        <is>
          <t>A 62016-2018</t>
        </is>
      </c>
      <c r="B167" s="1" t="n">
        <v>43416</v>
      </c>
      <c r="C167" s="1" t="n">
        <v>45354</v>
      </c>
      <c r="D167" t="inlineStr">
        <is>
          <t>JÄMTLANDS LÄN</t>
        </is>
      </c>
      <c r="E167" t="inlineStr">
        <is>
          <t>HÄRJEDALEN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59398-2018</t>
        </is>
      </c>
      <c r="B168" s="1" t="n">
        <v>43418</v>
      </c>
      <c r="C168" s="1" t="n">
        <v>45354</v>
      </c>
      <c r="D168" t="inlineStr">
        <is>
          <t>JÄMTLANDS LÄN</t>
        </is>
      </c>
      <c r="E168" t="inlineStr">
        <is>
          <t>HÄRJEDALEN</t>
        </is>
      </c>
      <c r="G168" t="n">
        <v>1.9</v>
      </c>
      <c r="H168" t="n">
        <v>0</v>
      </c>
      <c r="I168" t="n">
        <v>0</v>
      </c>
      <c r="J168" t="n">
        <v>0</v>
      </c>
      <c r="K168" t="n">
        <v>0</v>
      </c>
      <c r="L168" t="n">
        <v>0</v>
      </c>
      <c r="M168" t="n">
        <v>0</v>
      </c>
      <c r="N168" t="n">
        <v>0</v>
      </c>
      <c r="O168" t="n">
        <v>0</v>
      </c>
      <c r="P168" t="n">
        <v>0</v>
      </c>
      <c r="Q168" t="n">
        <v>0</v>
      </c>
      <c r="R168" s="2" t="inlineStr"/>
    </row>
    <row r="169" ht="15" customHeight="1">
      <c r="A169" t="inlineStr">
        <is>
          <t>A 59396-2018</t>
        </is>
      </c>
      <c r="B169" s="1" t="n">
        <v>43418</v>
      </c>
      <c r="C169" s="1" t="n">
        <v>45354</v>
      </c>
      <c r="D169" t="inlineStr">
        <is>
          <t>JÄMTLANDS LÄN</t>
        </is>
      </c>
      <c r="E169" t="inlineStr">
        <is>
          <t>HÄRJEDALEN</t>
        </is>
      </c>
      <c r="G169" t="n">
        <v>2.2</v>
      </c>
      <c r="H169" t="n">
        <v>0</v>
      </c>
      <c r="I169" t="n">
        <v>0</v>
      </c>
      <c r="J169" t="n">
        <v>0</v>
      </c>
      <c r="K169" t="n">
        <v>0</v>
      </c>
      <c r="L169" t="n">
        <v>0</v>
      </c>
      <c r="M169" t="n">
        <v>0</v>
      </c>
      <c r="N169" t="n">
        <v>0</v>
      </c>
      <c r="O169" t="n">
        <v>0</v>
      </c>
      <c r="P169" t="n">
        <v>0</v>
      </c>
      <c r="Q169" t="n">
        <v>0</v>
      </c>
      <c r="R169" s="2" t="inlineStr"/>
    </row>
    <row r="170" ht="15" customHeight="1">
      <c r="A170" t="inlineStr">
        <is>
          <t>A 63160-2018</t>
        </is>
      </c>
      <c r="B170" s="1" t="n">
        <v>43418</v>
      </c>
      <c r="C170" s="1" t="n">
        <v>45354</v>
      </c>
      <c r="D170" t="inlineStr">
        <is>
          <t>JÄMTLANDS LÄN</t>
        </is>
      </c>
      <c r="E170" t="inlineStr">
        <is>
          <t>HÄRJEDALEN</t>
        </is>
      </c>
      <c r="G170" t="n">
        <v>22.6</v>
      </c>
      <c r="H170" t="n">
        <v>0</v>
      </c>
      <c r="I170" t="n">
        <v>0</v>
      </c>
      <c r="J170" t="n">
        <v>0</v>
      </c>
      <c r="K170" t="n">
        <v>0</v>
      </c>
      <c r="L170" t="n">
        <v>0</v>
      </c>
      <c r="M170" t="n">
        <v>0</v>
      </c>
      <c r="N170" t="n">
        <v>0</v>
      </c>
      <c r="O170" t="n">
        <v>0</v>
      </c>
      <c r="P170" t="n">
        <v>0</v>
      </c>
      <c r="Q170" t="n">
        <v>0</v>
      </c>
      <c r="R170" s="2" t="inlineStr"/>
    </row>
    <row r="171" ht="15" customHeight="1">
      <c r="A171" t="inlineStr">
        <is>
          <t>A 59358-2018</t>
        </is>
      </c>
      <c r="B171" s="1" t="n">
        <v>43418</v>
      </c>
      <c r="C171" s="1" t="n">
        <v>45354</v>
      </c>
      <c r="D171" t="inlineStr">
        <is>
          <t>JÄMTLANDS LÄN</t>
        </is>
      </c>
      <c r="E171" t="inlineStr">
        <is>
          <t>HÄRJEDALEN</t>
        </is>
      </c>
      <c r="G171" t="n">
        <v>6.2</v>
      </c>
      <c r="H171" t="n">
        <v>0</v>
      </c>
      <c r="I171" t="n">
        <v>0</v>
      </c>
      <c r="J171" t="n">
        <v>0</v>
      </c>
      <c r="K171" t="n">
        <v>0</v>
      </c>
      <c r="L171" t="n">
        <v>0</v>
      </c>
      <c r="M171" t="n">
        <v>0</v>
      </c>
      <c r="N171" t="n">
        <v>0</v>
      </c>
      <c r="O171" t="n">
        <v>0</v>
      </c>
      <c r="P171" t="n">
        <v>0</v>
      </c>
      <c r="Q171" t="n">
        <v>0</v>
      </c>
      <c r="R171" s="2" t="inlineStr"/>
    </row>
    <row r="172" ht="15" customHeight="1">
      <c r="A172" t="inlineStr">
        <is>
          <t>A 59751-2018</t>
        </is>
      </c>
      <c r="B172" s="1" t="n">
        <v>43419</v>
      </c>
      <c r="C172" s="1" t="n">
        <v>45354</v>
      </c>
      <c r="D172" t="inlineStr">
        <is>
          <t>JÄMTLANDS LÄN</t>
        </is>
      </c>
      <c r="E172" t="inlineStr">
        <is>
          <t>HÄRJEDALEN</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59683-2018</t>
        </is>
      </c>
      <c r="B173" s="1" t="n">
        <v>43419</v>
      </c>
      <c r="C173" s="1" t="n">
        <v>45354</v>
      </c>
      <c r="D173" t="inlineStr">
        <is>
          <t>JÄMTLANDS LÄN</t>
        </is>
      </c>
      <c r="E173" t="inlineStr">
        <is>
          <t>HÄRJEDALEN</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60348-2018</t>
        </is>
      </c>
      <c r="B174" s="1" t="n">
        <v>43420</v>
      </c>
      <c r="C174" s="1" t="n">
        <v>45354</v>
      </c>
      <c r="D174" t="inlineStr">
        <is>
          <t>JÄMTLANDS LÄN</t>
        </is>
      </c>
      <c r="E174" t="inlineStr">
        <is>
          <t>HÄRJEDALEN</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60086-2018</t>
        </is>
      </c>
      <c r="B175" s="1" t="n">
        <v>43420</v>
      </c>
      <c r="C175" s="1" t="n">
        <v>45354</v>
      </c>
      <c r="D175" t="inlineStr">
        <is>
          <t>JÄMTLANDS LÄN</t>
        </is>
      </c>
      <c r="E175" t="inlineStr">
        <is>
          <t>HÄRJEDALEN</t>
        </is>
      </c>
      <c r="F175" t="inlineStr">
        <is>
          <t>Bergvik skog väst AB</t>
        </is>
      </c>
      <c r="G175" t="n">
        <v>25.8</v>
      </c>
      <c r="H175" t="n">
        <v>0</v>
      </c>
      <c r="I175" t="n">
        <v>0</v>
      </c>
      <c r="J175" t="n">
        <v>0</v>
      </c>
      <c r="K175" t="n">
        <v>0</v>
      </c>
      <c r="L175" t="n">
        <v>0</v>
      </c>
      <c r="M175" t="n">
        <v>0</v>
      </c>
      <c r="N175" t="n">
        <v>0</v>
      </c>
      <c r="O175" t="n">
        <v>0</v>
      </c>
      <c r="P175" t="n">
        <v>0</v>
      </c>
      <c r="Q175" t="n">
        <v>0</v>
      </c>
      <c r="R175" s="2" t="inlineStr"/>
    </row>
    <row r="176" ht="15" customHeight="1">
      <c r="A176" t="inlineStr">
        <is>
          <t>A 61016-2018</t>
        </is>
      </c>
      <c r="B176" s="1" t="n">
        <v>43423</v>
      </c>
      <c r="C176" s="1" t="n">
        <v>45354</v>
      </c>
      <c r="D176" t="inlineStr">
        <is>
          <t>JÄMTLANDS LÄN</t>
        </is>
      </c>
      <c r="E176" t="inlineStr">
        <is>
          <t>HÄRJEDALEN</t>
        </is>
      </c>
      <c r="G176" t="n">
        <v>4.2</v>
      </c>
      <c r="H176" t="n">
        <v>0</v>
      </c>
      <c r="I176" t="n">
        <v>0</v>
      </c>
      <c r="J176" t="n">
        <v>0</v>
      </c>
      <c r="K176" t="n">
        <v>0</v>
      </c>
      <c r="L176" t="n">
        <v>0</v>
      </c>
      <c r="M176" t="n">
        <v>0</v>
      </c>
      <c r="N176" t="n">
        <v>0</v>
      </c>
      <c r="O176" t="n">
        <v>0</v>
      </c>
      <c r="P176" t="n">
        <v>0</v>
      </c>
      <c r="Q176" t="n">
        <v>0</v>
      </c>
      <c r="R176" s="2" t="inlineStr"/>
    </row>
    <row r="177" ht="15" customHeight="1">
      <c r="A177" t="inlineStr">
        <is>
          <t>A 63207-2018</t>
        </is>
      </c>
      <c r="B177" s="1" t="n">
        <v>43426</v>
      </c>
      <c r="C177" s="1" t="n">
        <v>45354</v>
      </c>
      <c r="D177" t="inlineStr">
        <is>
          <t>JÄMTLANDS LÄN</t>
        </is>
      </c>
      <c r="E177" t="inlineStr">
        <is>
          <t>HÄRJEDALEN</t>
        </is>
      </c>
      <c r="G177" t="n">
        <v>0.9</v>
      </c>
      <c r="H177" t="n">
        <v>0</v>
      </c>
      <c r="I177" t="n">
        <v>0</v>
      </c>
      <c r="J177" t="n">
        <v>0</v>
      </c>
      <c r="K177" t="n">
        <v>0</v>
      </c>
      <c r="L177" t="n">
        <v>0</v>
      </c>
      <c r="M177" t="n">
        <v>0</v>
      </c>
      <c r="N177" t="n">
        <v>0</v>
      </c>
      <c r="O177" t="n">
        <v>0</v>
      </c>
      <c r="P177" t="n">
        <v>0</v>
      </c>
      <c r="Q177" t="n">
        <v>0</v>
      </c>
      <c r="R177" s="2" t="inlineStr"/>
    </row>
    <row r="178" ht="15" customHeight="1">
      <c r="A178" t="inlineStr">
        <is>
          <t>A 62889-2018</t>
        </is>
      </c>
      <c r="B178" s="1" t="n">
        <v>43426</v>
      </c>
      <c r="C178" s="1" t="n">
        <v>45354</v>
      </c>
      <c r="D178" t="inlineStr">
        <is>
          <t>JÄMTLANDS LÄN</t>
        </is>
      </c>
      <c r="E178" t="inlineStr">
        <is>
          <t>HÄRJEDALEN</t>
        </is>
      </c>
      <c r="G178" t="n">
        <v>4.6</v>
      </c>
      <c r="H178" t="n">
        <v>0</v>
      </c>
      <c r="I178" t="n">
        <v>0</v>
      </c>
      <c r="J178" t="n">
        <v>0</v>
      </c>
      <c r="K178" t="n">
        <v>0</v>
      </c>
      <c r="L178" t="n">
        <v>0</v>
      </c>
      <c r="M178" t="n">
        <v>0</v>
      </c>
      <c r="N178" t="n">
        <v>0</v>
      </c>
      <c r="O178" t="n">
        <v>0</v>
      </c>
      <c r="P178" t="n">
        <v>0</v>
      </c>
      <c r="Q178" t="n">
        <v>0</v>
      </c>
      <c r="R178" s="2" t="inlineStr"/>
    </row>
    <row r="179" ht="15" customHeight="1">
      <c r="A179" t="inlineStr">
        <is>
          <t>A 63265-2018</t>
        </is>
      </c>
      <c r="B179" s="1" t="n">
        <v>43426</v>
      </c>
      <c r="C179" s="1" t="n">
        <v>45354</v>
      </c>
      <c r="D179" t="inlineStr">
        <is>
          <t>JÄMTLANDS LÄN</t>
        </is>
      </c>
      <c r="E179" t="inlineStr">
        <is>
          <t>HÄRJEDALEN</t>
        </is>
      </c>
      <c r="G179" t="n">
        <v>45</v>
      </c>
      <c r="H179" t="n">
        <v>0</v>
      </c>
      <c r="I179" t="n">
        <v>0</v>
      </c>
      <c r="J179" t="n">
        <v>0</v>
      </c>
      <c r="K179" t="n">
        <v>0</v>
      </c>
      <c r="L179" t="n">
        <v>0</v>
      </c>
      <c r="M179" t="n">
        <v>0</v>
      </c>
      <c r="N179" t="n">
        <v>0</v>
      </c>
      <c r="O179" t="n">
        <v>0</v>
      </c>
      <c r="P179" t="n">
        <v>0</v>
      </c>
      <c r="Q179" t="n">
        <v>0</v>
      </c>
      <c r="R179" s="2" t="inlineStr"/>
    </row>
    <row r="180" ht="15" customHeight="1">
      <c r="A180" t="inlineStr">
        <is>
          <t>A 63355-2018</t>
        </is>
      </c>
      <c r="B180" s="1" t="n">
        <v>43427</v>
      </c>
      <c r="C180" s="1" t="n">
        <v>45354</v>
      </c>
      <c r="D180" t="inlineStr">
        <is>
          <t>JÄMTLANDS LÄN</t>
        </is>
      </c>
      <c r="E180" t="inlineStr">
        <is>
          <t>HÄRJEDALEN</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64493-2018</t>
        </is>
      </c>
      <c r="B181" s="1" t="n">
        <v>43431</v>
      </c>
      <c r="C181" s="1" t="n">
        <v>45354</v>
      </c>
      <c r="D181" t="inlineStr">
        <is>
          <t>JÄMTLANDS LÄN</t>
        </is>
      </c>
      <c r="E181" t="inlineStr">
        <is>
          <t>HÄRJEDALEN</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65832-2018</t>
        </is>
      </c>
      <c r="B182" s="1" t="n">
        <v>43433</v>
      </c>
      <c r="C182" s="1" t="n">
        <v>45354</v>
      </c>
      <c r="D182" t="inlineStr">
        <is>
          <t>JÄMTLANDS LÄN</t>
        </is>
      </c>
      <c r="E182" t="inlineStr">
        <is>
          <t>HÄRJEDALEN</t>
        </is>
      </c>
      <c r="F182" t="inlineStr">
        <is>
          <t>Sveaskog</t>
        </is>
      </c>
      <c r="G182" t="n">
        <v>30.2</v>
      </c>
      <c r="H182" t="n">
        <v>0</v>
      </c>
      <c r="I182" t="n">
        <v>0</v>
      </c>
      <c r="J182" t="n">
        <v>0</v>
      </c>
      <c r="K182" t="n">
        <v>0</v>
      </c>
      <c r="L182" t="n">
        <v>0</v>
      </c>
      <c r="M182" t="n">
        <v>0</v>
      </c>
      <c r="N182" t="n">
        <v>0</v>
      </c>
      <c r="O182" t="n">
        <v>0</v>
      </c>
      <c r="P182" t="n">
        <v>0</v>
      </c>
      <c r="Q182" t="n">
        <v>0</v>
      </c>
      <c r="R182" s="2" t="inlineStr"/>
    </row>
    <row r="183" ht="15" customHeight="1">
      <c r="A183" t="inlineStr">
        <is>
          <t>A 66771-2018</t>
        </is>
      </c>
      <c r="B183" s="1" t="n">
        <v>43437</v>
      </c>
      <c r="C183" s="1" t="n">
        <v>45354</v>
      </c>
      <c r="D183" t="inlineStr">
        <is>
          <t>JÄMTLANDS LÄN</t>
        </is>
      </c>
      <c r="E183" t="inlineStr">
        <is>
          <t>HÄRJEDALEN</t>
        </is>
      </c>
      <c r="G183" t="n">
        <v>2</v>
      </c>
      <c r="H183" t="n">
        <v>0</v>
      </c>
      <c r="I183" t="n">
        <v>0</v>
      </c>
      <c r="J183" t="n">
        <v>0</v>
      </c>
      <c r="K183" t="n">
        <v>0</v>
      </c>
      <c r="L183" t="n">
        <v>0</v>
      </c>
      <c r="M183" t="n">
        <v>0</v>
      </c>
      <c r="N183" t="n">
        <v>0</v>
      </c>
      <c r="O183" t="n">
        <v>0</v>
      </c>
      <c r="P183" t="n">
        <v>0</v>
      </c>
      <c r="Q183" t="n">
        <v>0</v>
      </c>
      <c r="R183" s="2" t="inlineStr"/>
    </row>
    <row r="184" ht="15" customHeight="1">
      <c r="A184" t="inlineStr">
        <is>
          <t>A 66753-2018</t>
        </is>
      </c>
      <c r="B184" s="1" t="n">
        <v>43438</v>
      </c>
      <c r="C184" s="1" t="n">
        <v>45354</v>
      </c>
      <c r="D184" t="inlineStr">
        <is>
          <t>JÄMTLANDS LÄN</t>
        </is>
      </c>
      <c r="E184" t="inlineStr">
        <is>
          <t>HÄRJEDALEN</t>
        </is>
      </c>
      <c r="G184" t="n">
        <v>0.2</v>
      </c>
      <c r="H184" t="n">
        <v>0</v>
      </c>
      <c r="I184" t="n">
        <v>0</v>
      </c>
      <c r="J184" t="n">
        <v>0</v>
      </c>
      <c r="K184" t="n">
        <v>0</v>
      </c>
      <c r="L184" t="n">
        <v>0</v>
      </c>
      <c r="M184" t="n">
        <v>0</v>
      </c>
      <c r="N184" t="n">
        <v>0</v>
      </c>
      <c r="O184" t="n">
        <v>0</v>
      </c>
      <c r="P184" t="n">
        <v>0</v>
      </c>
      <c r="Q184" t="n">
        <v>0</v>
      </c>
      <c r="R184" s="2" t="inlineStr"/>
    </row>
    <row r="185" ht="15" customHeight="1">
      <c r="A185" t="inlineStr">
        <is>
          <t>A 67377-2018</t>
        </is>
      </c>
      <c r="B185" s="1" t="n">
        <v>43439</v>
      </c>
      <c r="C185" s="1" t="n">
        <v>45354</v>
      </c>
      <c r="D185" t="inlineStr">
        <is>
          <t>JÄMTLANDS LÄN</t>
        </is>
      </c>
      <c r="E185" t="inlineStr">
        <is>
          <t>HÄRJEDALEN</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67690-2018</t>
        </is>
      </c>
      <c r="B186" s="1" t="n">
        <v>43440</v>
      </c>
      <c r="C186" s="1" t="n">
        <v>45354</v>
      </c>
      <c r="D186" t="inlineStr">
        <is>
          <t>JÄMTLANDS LÄN</t>
        </is>
      </c>
      <c r="E186" t="inlineStr">
        <is>
          <t>HÄRJEDALEN</t>
        </is>
      </c>
      <c r="G186" t="n">
        <v>5.2</v>
      </c>
      <c r="H186" t="n">
        <v>0</v>
      </c>
      <c r="I186" t="n">
        <v>0</v>
      </c>
      <c r="J186" t="n">
        <v>0</v>
      </c>
      <c r="K186" t="n">
        <v>0</v>
      </c>
      <c r="L186" t="n">
        <v>0</v>
      </c>
      <c r="M186" t="n">
        <v>0</v>
      </c>
      <c r="N186" t="n">
        <v>0</v>
      </c>
      <c r="O186" t="n">
        <v>0</v>
      </c>
      <c r="P186" t="n">
        <v>0</v>
      </c>
      <c r="Q186" t="n">
        <v>0</v>
      </c>
      <c r="R186" s="2" t="inlineStr"/>
    </row>
    <row r="187" ht="15" customHeight="1">
      <c r="A187" t="inlineStr">
        <is>
          <t>A 69217-2018</t>
        </is>
      </c>
      <c r="B187" s="1" t="n">
        <v>43445</v>
      </c>
      <c r="C187" s="1" t="n">
        <v>45354</v>
      </c>
      <c r="D187" t="inlineStr">
        <is>
          <t>JÄMTLANDS LÄN</t>
        </is>
      </c>
      <c r="E187" t="inlineStr">
        <is>
          <t>HÄRJEDALEN</t>
        </is>
      </c>
      <c r="G187" t="n">
        <v>0.5</v>
      </c>
      <c r="H187" t="n">
        <v>0</v>
      </c>
      <c r="I187" t="n">
        <v>0</v>
      </c>
      <c r="J187" t="n">
        <v>0</v>
      </c>
      <c r="K187" t="n">
        <v>0</v>
      </c>
      <c r="L187" t="n">
        <v>0</v>
      </c>
      <c r="M187" t="n">
        <v>0</v>
      </c>
      <c r="N187" t="n">
        <v>0</v>
      </c>
      <c r="O187" t="n">
        <v>0</v>
      </c>
      <c r="P187" t="n">
        <v>0</v>
      </c>
      <c r="Q187" t="n">
        <v>0</v>
      </c>
      <c r="R187" s="2" t="inlineStr"/>
    </row>
    <row r="188" ht="15" customHeight="1">
      <c r="A188" t="inlineStr">
        <is>
          <t>A 69220-2018</t>
        </is>
      </c>
      <c r="B188" s="1" t="n">
        <v>43445</v>
      </c>
      <c r="C188" s="1" t="n">
        <v>45354</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69218-2018</t>
        </is>
      </c>
      <c r="B189" s="1" t="n">
        <v>43445</v>
      </c>
      <c r="C189" s="1" t="n">
        <v>45354</v>
      </c>
      <c r="D189" t="inlineStr">
        <is>
          <t>JÄMTLANDS LÄN</t>
        </is>
      </c>
      <c r="E189" t="inlineStr">
        <is>
          <t>HÄRJEDALEN</t>
        </is>
      </c>
      <c r="G189" t="n">
        <v>0.2</v>
      </c>
      <c r="H189" t="n">
        <v>0</v>
      </c>
      <c r="I189" t="n">
        <v>0</v>
      </c>
      <c r="J189" t="n">
        <v>0</v>
      </c>
      <c r="K189" t="n">
        <v>0</v>
      </c>
      <c r="L189" t="n">
        <v>0</v>
      </c>
      <c r="M189" t="n">
        <v>0</v>
      </c>
      <c r="N189" t="n">
        <v>0</v>
      </c>
      <c r="O189" t="n">
        <v>0</v>
      </c>
      <c r="P189" t="n">
        <v>0</v>
      </c>
      <c r="Q189" t="n">
        <v>0</v>
      </c>
      <c r="R189" s="2" t="inlineStr"/>
    </row>
    <row r="190" ht="15" customHeight="1">
      <c r="A190" t="inlineStr">
        <is>
          <t>A 69219-2018</t>
        </is>
      </c>
      <c r="B190" s="1" t="n">
        <v>43445</v>
      </c>
      <c r="C190" s="1" t="n">
        <v>45354</v>
      </c>
      <c r="D190" t="inlineStr">
        <is>
          <t>JÄMTLANDS LÄN</t>
        </is>
      </c>
      <c r="E190" t="inlineStr">
        <is>
          <t>HÄRJEDALEN</t>
        </is>
      </c>
      <c r="G190" t="n">
        <v>0.1</v>
      </c>
      <c r="H190" t="n">
        <v>0</v>
      </c>
      <c r="I190" t="n">
        <v>0</v>
      </c>
      <c r="J190" t="n">
        <v>0</v>
      </c>
      <c r="K190" t="n">
        <v>0</v>
      </c>
      <c r="L190" t="n">
        <v>0</v>
      </c>
      <c r="M190" t="n">
        <v>0</v>
      </c>
      <c r="N190" t="n">
        <v>0</v>
      </c>
      <c r="O190" t="n">
        <v>0</v>
      </c>
      <c r="P190" t="n">
        <v>0</v>
      </c>
      <c r="Q190" t="n">
        <v>0</v>
      </c>
      <c r="R190" s="2" t="inlineStr"/>
    </row>
    <row r="191" ht="15" customHeight="1">
      <c r="A191" t="inlineStr">
        <is>
          <t>A 69190-2018</t>
        </is>
      </c>
      <c r="B191" s="1" t="n">
        <v>43445</v>
      </c>
      <c r="C191" s="1" t="n">
        <v>45354</v>
      </c>
      <c r="D191" t="inlineStr">
        <is>
          <t>JÄMTLANDS LÄN</t>
        </is>
      </c>
      <c r="E191" t="inlineStr">
        <is>
          <t>HÄRJEDALEN</t>
        </is>
      </c>
      <c r="G191" t="n">
        <v>0.8</v>
      </c>
      <c r="H191" t="n">
        <v>0</v>
      </c>
      <c r="I191" t="n">
        <v>0</v>
      </c>
      <c r="J191" t="n">
        <v>0</v>
      </c>
      <c r="K191" t="n">
        <v>0</v>
      </c>
      <c r="L191" t="n">
        <v>0</v>
      </c>
      <c r="M191" t="n">
        <v>0</v>
      </c>
      <c r="N191" t="n">
        <v>0</v>
      </c>
      <c r="O191" t="n">
        <v>0</v>
      </c>
      <c r="P191" t="n">
        <v>0</v>
      </c>
      <c r="Q191" t="n">
        <v>0</v>
      </c>
      <c r="R191" s="2" t="inlineStr"/>
    </row>
    <row r="192" ht="15" customHeight="1">
      <c r="A192" t="inlineStr">
        <is>
          <t>A 70674-2018</t>
        </is>
      </c>
      <c r="B192" s="1" t="n">
        <v>43451</v>
      </c>
      <c r="C192" s="1" t="n">
        <v>45354</v>
      </c>
      <c r="D192" t="inlineStr">
        <is>
          <t>JÄMTLANDS LÄN</t>
        </is>
      </c>
      <c r="E192" t="inlineStr">
        <is>
          <t>HÄRJEDALEN</t>
        </is>
      </c>
      <c r="G192" t="n">
        <v>11.9</v>
      </c>
      <c r="H192" t="n">
        <v>0</v>
      </c>
      <c r="I192" t="n">
        <v>0</v>
      </c>
      <c r="J192" t="n">
        <v>0</v>
      </c>
      <c r="K192" t="n">
        <v>0</v>
      </c>
      <c r="L192" t="n">
        <v>0</v>
      </c>
      <c r="M192" t="n">
        <v>0</v>
      </c>
      <c r="N192" t="n">
        <v>0</v>
      </c>
      <c r="O192" t="n">
        <v>0</v>
      </c>
      <c r="P192" t="n">
        <v>0</v>
      </c>
      <c r="Q192" t="n">
        <v>0</v>
      </c>
      <c r="R192" s="2" t="inlineStr"/>
    </row>
    <row r="193" ht="15" customHeight="1">
      <c r="A193" t="inlineStr">
        <is>
          <t>A 71199-2018</t>
        </is>
      </c>
      <c r="B193" s="1" t="n">
        <v>43453</v>
      </c>
      <c r="C193" s="1" t="n">
        <v>45354</v>
      </c>
      <c r="D193" t="inlineStr">
        <is>
          <t>JÄMTLANDS LÄN</t>
        </is>
      </c>
      <c r="E193" t="inlineStr">
        <is>
          <t>HÄRJEDALEN</t>
        </is>
      </c>
      <c r="F193" t="inlineStr">
        <is>
          <t>Sveaskog</t>
        </is>
      </c>
      <c r="G193" t="n">
        <v>6.1</v>
      </c>
      <c r="H193" t="n">
        <v>0</v>
      </c>
      <c r="I193" t="n">
        <v>0</v>
      </c>
      <c r="J193" t="n">
        <v>0</v>
      </c>
      <c r="K193" t="n">
        <v>0</v>
      </c>
      <c r="L193" t="n">
        <v>0</v>
      </c>
      <c r="M193" t="n">
        <v>0</v>
      </c>
      <c r="N193" t="n">
        <v>0</v>
      </c>
      <c r="O193" t="n">
        <v>0</v>
      </c>
      <c r="P193" t="n">
        <v>0</v>
      </c>
      <c r="Q193" t="n">
        <v>0</v>
      </c>
      <c r="R193" s="2" t="inlineStr"/>
    </row>
    <row r="194" ht="15" customHeight="1">
      <c r="A194" t="inlineStr">
        <is>
          <t>A 71185-2018</t>
        </is>
      </c>
      <c r="B194" s="1" t="n">
        <v>43453</v>
      </c>
      <c r="C194" s="1" t="n">
        <v>45354</v>
      </c>
      <c r="D194" t="inlineStr">
        <is>
          <t>JÄMTLANDS LÄN</t>
        </is>
      </c>
      <c r="E194" t="inlineStr">
        <is>
          <t>HÄRJEDALEN</t>
        </is>
      </c>
      <c r="F194" t="inlineStr">
        <is>
          <t>Sveaskog</t>
        </is>
      </c>
      <c r="G194" t="n">
        <v>24.8</v>
      </c>
      <c r="H194" t="n">
        <v>0</v>
      </c>
      <c r="I194" t="n">
        <v>0</v>
      </c>
      <c r="J194" t="n">
        <v>0</v>
      </c>
      <c r="K194" t="n">
        <v>0</v>
      </c>
      <c r="L194" t="n">
        <v>0</v>
      </c>
      <c r="M194" t="n">
        <v>0</v>
      </c>
      <c r="N194" t="n">
        <v>0</v>
      </c>
      <c r="O194" t="n">
        <v>0</v>
      </c>
      <c r="P194" t="n">
        <v>0</v>
      </c>
      <c r="Q194" t="n">
        <v>0</v>
      </c>
      <c r="R194" s="2" t="inlineStr"/>
    </row>
    <row r="195" ht="15" customHeight="1">
      <c r="A195" t="inlineStr">
        <is>
          <t>A 71624-2018</t>
        </is>
      </c>
      <c r="B195" s="1" t="n">
        <v>43454</v>
      </c>
      <c r="C195" s="1" t="n">
        <v>45354</v>
      </c>
      <c r="D195" t="inlineStr">
        <is>
          <t>JÄMTLANDS LÄN</t>
        </is>
      </c>
      <c r="E195" t="inlineStr">
        <is>
          <t>HÄRJEDALEN</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71676-2018</t>
        </is>
      </c>
      <c r="B196" s="1" t="n">
        <v>43454</v>
      </c>
      <c r="C196" s="1" t="n">
        <v>45354</v>
      </c>
      <c r="D196" t="inlineStr">
        <is>
          <t>JÄMTLANDS LÄN</t>
        </is>
      </c>
      <c r="E196" t="inlineStr">
        <is>
          <t>HÄRJEDALEN</t>
        </is>
      </c>
      <c r="G196" t="n">
        <v>11.9</v>
      </c>
      <c r="H196" t="n">
        <v>0</v>
      </c>
      <c r="I196" t="n">
        <v>0</v>
      </c>
      <c r="J196" t="n">
        <v>0</v>
      </c>
      <c r="K196" t="n">
        <v>0</v>
      </c>
      <c r="L196" t="n">
        <v>0</v>
      </c>
      <c r="M196" t="n">
        <v>0</v>
      </c>
      <c r="N196" t="n">
        <v>0</v>
      </c>
      <c r="O196" t="n">
        <v>0</v>
      </c>
      <c r="P196" t="n">
        <v>0</v>
      </c>
      <c r="Q196" t="n">
        <v>0</v>
      </c>
      <c r="R196" s="2" t="inlineStr"/>
    </row>
    <row r="197" ht="15" customHeight="1">
      <c r="A197" t="inlineStr">
        <is>
          <t>A 71680-2018</t>
        </is>
      </c>
      <c r="B197" s="1" t="n">
        <v>43454</v>
      </c>
      <c r="C197" s="1" t="n">
        <v>45354</v>
      </c>
      <c r="D197" t="inlineStr">
        <is>
          <t>JÄMTLANDS LÄN</t>
        </is>
      </c>
      <c r="E197" t="inlineStr">
        <is>
          <t>HÄRJEDALEN</t>
        </is>
      </c>
      <c r="G197" t="n">
        <v>19.7</v>
      </c>
      <c r="H197" t="n">
        <v>0</v>
      </c>
      <c r="I197" t="n">
        <v>0</v>
      </c>
      <c r="J197" t="n">
        <v>0</v>
      </c>
      <c r="K197" t="n">
        <v>0</v>
      </c>
      <c r="L197" t="n">
        <v>0</v>
      </c>
      <c r="M197" t="n">
        <v>0</v>
      </c>
      <c r="N197" t="n">
        <v>0</v>
      </c>
      <c r="O197" t="n">
        <v>0</v>
      </c>
      <c r="P197" t="n">
        <v>0</v>
      </c>
      <c r="Q197" t="n">
        <v>0</v>
      </c>
      <c r="R197" s="2" t="inlineStr"/>
    </row>
    <row r="198" ht="15" customHeight="1">
      <c r="A198" t="inlineStr">
        <is>
          <t>A 1409-2019</t>
        </is>
      </c>
      <c r="B198" s="1" t="n">
        <v>43461</v>
      </c>
      <c r="C198" s="1" t="n">
        <v>45354</v>
      </c>
      <c r="D198" t="inlineStr">
        <is>
          <t>JÄMTLANDS LÄN</t>
        </is>
      </c>
      <c r="E198" t="inlineStr">
        <is>
          <t>HÄRJEDALEN</t>
        </is>
      </c>
      <c r="G198" t="n">
        <v>43.3</v>
      </c>
      <c r="H198" t="n">
        <v>0</v>
      </c>
      <c r="I198" t="n">
        <v>0</v>
      </c>
      <c r="J198" t="n">
        <v>0</v>
      </c>
      <c r="K198" t="n">
        <v>0</v>
      </c>
      <c r="L198" t="n">
        <v>0</v>
      </c>
      <c r="M198" t="n">
        <v>0</v>
      </c>
      <c r="N198" t="n">
        <v>0</v>
      </c>
      <c r="O198" t="n">
        <v>0</v>
      </c>
      <c r="P198" t="n">
        <v>0</v>
      </c>
      <c r="Q198" t="n">
        <v>0</v>
      </c>
      <c r="R198" s="2" t="inlineStr"/>
    </row>
    <row r="199" ht="15" customHeight="1">
      <c r="A199" t="inlineStr">
        <is>
          <t>A 556-2019</t>
        </is>
      </c>
      <c r="B199" s="1" t="n">
        <v>43469</v>
      </c>
      <c r="C199" s="1" t="n">
        <v>45354</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1750-2019</t>
        </is>
      </c>
      <c r="B200" s="1" t="n">
        <v>43474</v>
      </c>
      <c r="C200" s="1" t="n">
        <v>45354</v>
      </c>
      <c r="D200" t="inlineStr">
        <is>
          <t>JÄMTLANDS LÄN</t>
        </is>
      </c>
      <c r="E200" t="inlineStr">
        <is>
          <t>HÄRJEDALEN</t>
        </is>
      </c>
      <c r="G200" t="n">
        <v>6.4</v>
      </c>
      <c r="H200" t="n">
        <v>0</v>
      </c>
      <c r="I200" t="n">
        <v>0</v>
      </c>
      <c r="J200" t="n">
        <v>0</v>
      </c>
      <c r="K200" t="n">
        <v>0</v>
      </c>
      <c r="L200" t="n">
        <v>0</v>
      </c>
      <c r="M200" t="n">
        <v>0</v>
      </c>
      <c r="N200" t="n">
        <v>0</v>
      </c>
      <c r="O200" t="n">
        <v>0</v>
      </c>
      <c r="P200" t="n">
        <v>0</v>
      </c>
      <c r="Q200" t="n">
        <v>0</v>
      </c>
      <c r="R200" s="2" t="inlineStr"/>
    </row>
    <row r="201" ht="15" customHeight="1">
      <c r="A201" t="inlineStr">
        <is>
          <t>A 6025-2019</t>
        </is>
      </c>
      <c r="B201" s="1" t="n">
        <v>43474</v>
      </c>
      <c r="C201" s="1" t="n">
        <v>45354</v>
      </c>
      <c r="D201" t="inlineStr">
        <is>
          <t>JÄMTLANDS LÄN</t>
        </is>
      </c>
      <c r="E201" t="inlineStr">
        <is>
          <t>HÄRJEDALEN</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3328-2019</t>
        </is>
      </c>
      <c r="B202" s="1" t="n">
        <v>43474</v>
      </c>
      <c r="C202" s="1" t="n">
        <v>45354</v>
      </c>
      <c r="D202" t="inlineStr">
        <is>
          <t>JÄMTLANDS LÄN</t>
        </is>
      </c>
      <c r="E202" t="inlineStr">
        <is>
          <t>HÄRJEDALEN</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1835-2019</t>
        </is>
      </c>
      <c r="B203" s="1" t="n">
        <v>43474</v>
      </c>
      <c r="C203" s="1" t="n">
        <v>45354</v>
      </c>
      <c r="D203" t="inlineStr">
        <is>
          <t>JÄMTLANDS LÄN</t>
        </is>
      </c>
      <c r="E203" t="inlineStr">
        <is>
          <t>HÄRJEDALEN</t>
        </is>
      </c>
      <c r="G203" t="n">
        <v>4.9</v>
      </c>
      <c r="H203" t="n">
        <v>0</v>
      </c>
      <c r="I203" t="n">
        <v>0</v>
      </c>
      <c r="J203" t="n">
        <v>0</v>
      </c>
      <c r="K203" t="n">
        <v>0</v>
      </c>
      <c r="L203" t="n">
        <v>0</v>
      </c>
      <c r="M203" t="n">
        <v>0</v>
      </c>
      <c r="N203" t="n">
        <v>0</v>
      </c>
      <c r="O203" t="n">
        <v>0</v>
      </c>
      <c r="P203" t="n">
        <v>0</v>
      </c>
      <c r="Q203" t="n">
        <v>0</v>
      </c>
      <c r="R203" s="2" t="inlineStr"/>
    </row>
    <row r="204" ht="15" customHeight="1">
      <c r="A204" t="inlineStr">
        <is>
          <t>A 6127-2019</t>
        </is>
      </c>
      <c r="B204" s="1" t="n">
        <v>43474</v>
      </c>
      <c r="C204" s="1" t="n">
        <v>45354</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2135-2019</t>
        </is>
      </c>
      <c r="B205" s="1" t="n">
        <v>43475</v>
      </c>
      <c r="C205" s="1" t="n">
        <v>45354</v>
      </c>
      <c r="D205" t="inlineStr">
        <is>
          <t>JÄMTLANDS LÄN</t>
        </is>
      </c>
      <c r="E205" t="inlineStr">
        <is>
          <t>HÄRJEDALEN</t>
        </is>
      </c>
      <c r="G205" t="n">
        <v>0.1</v>
      </c>
      <c r="H205" t="n">
        <v>0</v>
      </c>
      <c r="I205" t="n">
        <v>0</v>
      </c>
      <c r="J205" t="n">
        <v>0</v>
      </c>
      <c r="K205" t="n">
        <v>0</v>
      </c>
      <c r="L205" t="n">
        <v>0</v>
      </c>
      <c r="M205" t="n">
        <v>0</v>
      </c>
      <c r="N205" t="n">
        <v>0</v>
      </c>
      <c r="O205" t="n">
        <v>0</v>
      </c>
      <c r="P205" t="n">
        <v>0</v>
      </c>
      <c r="Q205" t="n">
        <v>0</v>
      </c>
      <c r="R205" s="2" t="inlineStr"/>
    </row>
    <row r="206" ht="15" customHeight="1">
      <c r="A206" t="inlineStr">
        <is>
          <t>A 3014-2019</t>
        </is>
      </c>
      <c r="B206" s="1" t="n">
        <v>43479</v>
      </c>
      <c r="C206" s="1" t="n">
        <v>45354</v>
      </c>
      <c r="D206" t="inlineStr">
        <is>
          <t>JÄMTLANDS LÄN</t>
        </is>
      </c>
      <c r="E206" t="inlineStr">
        <is>
          <t>HÄRJEDALEN</t>
        </is>
      </c>
      <c r="G206" t="n">
        <v>1.8</v>
      </c>
      <c r="H206" t="n">
        <v>0</v>
      </c>
      <c r="I206" t="n">
        <v>0</v>
      </c>
      <c r="J206" t="n">
        <v>0</v>
      </c>
      <c r="K206" t="n">
        <v>0</v>
      </c>
      <c r="L206" t="n">
        <v>0</v>
      </c>
      <c r="M206" t="n">
        <v>0</v>
      </c>
      <c r="N206" t="n">
        <v>0</v>
      </c>
      <c r="O206" t="n">
        <v>0</v>
      </c>
      <c r="P206" t="n">
        <v>0</v>
      </c>
      <c r="Q206" t="n">
        <v>0</v>
      </c>
      <c r="R206" s="2" t="inlineStr"/>
    </row>
    <row r="207" ht="15" customHeight="1">
      <c r="A207" t="inlineStr">
        <is>
          <t>A 3531-2019</t>
        </is>
      </c>
      <c r="B207" s="1" t="n">
        <v>43481</v>
      </c>
      <c r="C207" s="1" t="n">
        <v>45354</v>
      </c>
      <c r="D207" t="inlineStr">
        <is>
          <t>JÄMTLANDS LÄN</t>
        </is>
      </c>
      <c r="E207" t="inlineStr">
        <is>
          <t>HÄRJEDALEN</t>
        </is>
      </c>
      <c r="F207" t="inlineStr">
        <is>
          <t>Holmen skog AB</t>
        </is>
      </c>
      <c r="G207" t="n">
        <v>23.2</v>
      </c>
      <c r="H207" t="n">
        <v>0</v>
      </c>
      <c r="I207" t="n">
        <v>0</v>
      </c>
      <c r="J207" t="n">
        <v>0</v>
      </c>
      <c r="K207" t="n">
        <v>0</v>
      </c>
      <c r="L207" t="n">
        <v>0</v>
      </c>
      <c r="M207" t="n">
        <v>0</v>
      </c>
      <c r="N207" t="n">
        <v>0</v>
      </c>
      <c r="O207" t="n">
        <v>0</v>
      </c>
      <c r="P207" t="n">
        <v>0</v>
      </c>
      <c r="Q207" t="n">
        <v>0</v>
      </c>
      <c r="R207" s="2" t="inlineStr"/>
    </row>
    <row r="208" ht="15" customHeight="1">
      <c r="A208" t="inlineStr">
        <is>
          <t>A 3571-2019</t>
        </is>
      </c>
      <c r="B208" s="1" t="n">
        <v>43481</v>
      </c>
      <c r="C208" s="1" t="n">
        <v>45354</v>
      </c>
      <c r="D208" t="inlineStr">
        <is>
          <t>JÄMTLANDS LÄN</t>
        </is>
      </c>
      <c r="E208" t="inlineStr">
        <is>
          <t>HÄRJEDALEN</t>
        </is>
      </c>
      <c r="G208" t="n">
        <v>1.4</v>
      </c>
      <c r="H208" t="n">
        <v>0</v>
      </c>
      <c r="I208" t="n">
        <v>0</v>
      </c>
      <c r="J208" t="n">
        <v>0</v>
      </c>
      <c r="K208" t="n">
        <v>0</v>
      </c>
      <c r="L208" t="n">
        <v>0</v>
      </c>
      <c r="M208" t="n">
        <v>0</v>
      </c>
      <c r="N208" t="n">
        <v>0</v>
      </c>
      <c r="O208" t="n">
        <v>0</v>
      </c>
      <c r="P208" t="n">
        <v>0</v>
      </c>
      <c r="Q208" t="n">
        <v>0</v>
      </c>
      <c r="R208" s="2" t="inlineStr"/>
    </row>
    <row r="209" ht="15" customHeight="1">
      <c r="A209" t="inlineStr">
        <is>
          <t>A 3624-2019</t>
        </is>
      </c>
      <c r="B209" s="1" t="n">
        <v>43481</v>
      </c>
      <c r="C209" s="1" t="n">
        <v>45354</v>
      </c>
      <c r="D209" t="inlineStr">
        <is>
          <t>JÄMTLANDS LÄN</t>
        </is>
      </c>
      <c r="E209" t="inlineStr">
        <is>
          <t>HÄRJEDALEN</t>
        </is>
      </c>
      <c r="F209" t="inlineStr">
        <is>
          <t>Holmen skog AB</t>
        </is>
      </c>
      <c r="G209" t="n">
        <v>6.5</v>
      </c>
      <c r="H209" t="n">
        <v>0</v>
      </c>
      <c r="I209" t="n">
        <v>0</v>
      </c>
      <c r="J209" t="n">
        <v>0</v>
      </c>
      <c r="K209" t="n">
        <v>0</v>
      </c>
      <c r="L209" t="n">
        <v>0</v>
      </c>
      <c r="M209" t="n">
        <v>0</v>
      </c>
      <c r="N209" t="n">
        <v>0</v>
      </c>
      <c r="O209" t="n">
        <v>0</v>
      </c>
      <c r="P209" t="n">
        <v>0</v>
      </c>
      <c r="Q209" t="n">
        <v>0</v>
      </c>
      <c r="R209" s="2" t="inlineStr"/>
    </row>
    <row r="210" ht="15" customHeight="1">
      <c r="A210" t="inlineStr">
        <is>
          <t>A 3785-2019</t>
        </is>
      </c>
      <c r="B210" s="1" t="n">
        <v>43482</v>
      </c>
      <c r="C210" s="1" t="n">
        <v>45354</v>
      </c>
      <c r="D210" t="inlineStr">
        <is>
          <t>JÄMTLANDS LÄN</t>
        </is>
      </c>
      <c r="E210" t="inlineStr">
        <is>
          <t>HÄRJEDALEN</t>
        </is>
      </c>
      <c r="G210" t="n">
        <v>8.1</v>
      </c>
      <c r="H210" t="n">
        <v>0</v>
      </c>
      <c r="I210" t="n">
        <v>0</v>
      </c>
      <c r="J210" t="n">
        <v>0</v>
      </c>
      <c r="K210" t="n">
        <v>0</v>
      </c>
      <c r="L210" t="n">
        <v>0</v>
      </c>
      <c r="M210" t="n">
        <v>0</v>
      </c>
      <c r="N210" t="n">
        <v>0</v>
      </c>
      <c r="O210" t="n">
        <v>0</v>
      </c>
      <c r="P210" t="n">
        <v>0</v>
      </c>
      <c r="Q210" t="n">
        <v>0</v>
      </c>
      <c r="R210" s="2" t="inlineStr"/>
    </row>
    <row r="211" ht="15" customHeight="1">
      <c r="A211" t="inlineStr">
        <is>
          <t>A 3788-2019</t>
        </is>
      </c>
      <c r="B211" s="1" t="n">
        <v>43482</v>
      </c>
      <c r="C211" s="1" t="n">
        <v>45354</v>
      </c>
      <c r="D211" t="inlineStr">
        <is>
          <t>JÄMTLANDS LÄN</t>
        </is>
      </c>
      <c r="E211" t="inlineStr">
        <is>
          <t>HÄRJEDALEN</t>
        </is>
      </c>
      <c r="G211" t="n">
        <v>5.2</v>
      </c>
      <c r="H211" t="n">
        <v>0</v>
      </c>
      <c r="I211" t="n">
        <v>0</v>
      </c>
      <c r="J211" t="n">
        <v>0</v>
      </c>
      <c r="K211" t="n">
        <v>0</v>
      </c>
      <c r="L211" t="n">
        <v>0</v>
      </c>
      <c r="M211" t="n">
        <v>0</v>
      </c>
      <c r="N211" t="n">
        <v>0</v>
      </c>
      <c r="O211" t="n">
        <v>0</v>
      </c>
      <c r="P211" t="n">
        <v>0</v>
      </c>
      <c r="Q211" t="n">
        <v>0</v>
      </c>
      <c r="R211" s="2" t="inlineStr"/>
    </row>
    <row r="212" ht="15" customHeight="1">
      <c r="A212" t="inlineStr">
        <is>
          <t>A 3787-2019</t>
        </is>
      </c>
      <c r="B212" s="1" t="n">
        <v>43482</v>
      </c>
      <c r="C212" s="1" t="n">
        <v>45354</v>
      </c>
      <c r="D212" t="inlineStr">
        <is>
          <t>JÄMTLANDS LÄN</t>
        </is>
      </c>
      <c r="E212" t="inlineStr">
        <is>
          <t>HÄRJEDALEN</t>
        </is>
      </c>
      <c r="G212" t="n">
        <v>7.1</v>
      </c>
      <c r="H212" t="n">
        <v>0</v>
      </c>
      <c r="I212" t="n">
        <v>0</v>
      </c>
      <c r="J212" t="n">
        <v>0</v>
      </c>
      <c r="K212" t="n">
        <v>0</v>
      </c>
      <c r="L212" t="n">
        <v>0</v>
      </c>
      <c r="M212" t="n">
        <v>0</v>
      </c>
      <c r="N212" t="n">
        <v>0</v>
      </c>
      <c r="O212" t="n">
        <v>0</v>
      </c>
      <c r="P212" t="n">
        <v>0</v>
      </c>
      <c r="Q212" t="n">
        <v>0</v>
      </c>
      <c r="R212" s="2" t="inlineStr"/>
    </row>
    <row r="213" ht="15" customHeight="1">
      <c r="A213" t="inlineStr">
        <is>
          <t>A 4359-2019</t>
        </is>
      </c>
      <c r="B213" s="1" t="n">
        <v>43483</v>
      </c>
      <c r="C213" s="1" t="n">
        <v>45354</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4617-2019</t>
        </is>
      </c>
      <c r="B214" s="1" t="n">
        <v>43486</v>
      </c>
      <c r="C214" s="1" t="n">
        <v>45354</v>
      </c>
      <c r="D214" t="inlineStr">
        <is>
          <t>JÄMTLANDS LÄN</t>
        </is>
      </c>
      <c r="E214" t="inlineStr">
        <is>
          <t>HÄRJEDALEN</t>
        </is>
      </c>
      <c r="G214" t="n">
        <v>2.1</v>
      </c>
      <c r="H214" t="n">
        <v>0</v>
      </c>
      <c r="I214" t="n">
        <v>0</v>
      </c>
      <c r="J214" t="n">
        <v>0</v>
      </c>
      <c r="K214" t="n">
        <v>0</v>
      </c>
      <c r="L214" t="n">
        <v>0</v>
      </c>
      <c r="M214" t="n">
        <v>0</v>
      </c>
      <c r="N214" t="n">
        <v>0</v>
      </c>
      <c r="O214" t="n">
        <v>0</v>
      </c>
      <c r="P214" t="n">
        <v>0</v>
      </c>
      <c r="Q214" t="n">
        <v>0</v>
      </c>
      <c r="R214" s="2" t="inlineStr"/>
    </row>
    <row r="215" ht="15" customHeight="1">
      <c r="A215" t="inlineStr">
        <is>
          <t>A 6418-2019</t>
        </is>
      </c>
      <c r="B215" s="1" t="n">
        <v>43486</v>
      </c>
      <c r="C215" s="1" t="n">
        <v>45354</v>
      </c>
      <c r="D215" t="inlineStr">
        <is>
          <t>JÄMTLANDS LÄN</t>
        </is>
      </c>
      <c r="E215" t="inlineStr">
        <is>
          <t>HÄRJEDALEN</t>
        </is>
      </c>
      <c r="F215" t="inlineStr">
        <is>
          <t>Övriga statliga verk och myndigheter</t>
        </is>
      </c>
      <c r="G215" t="n">
        <v>0.3</v>
      </c>
      <c r="H215" t="n">
        <v>0</v>
      </c>
      <c r="I215" t="n">
        <v>0</v>
      </c>
      <c r="J215" t="n">
        <v>0</v>
      </c>
      <c r="K215" t="n">
        <v>0</v>
      </c>
      <c r="L215" t="n">
        <v>0</v>
      </c>
      <c r="M215" t="n">
        <v>0</v>
      </c>
      <c r="N215" t="n">
        <v>0</v>
      </c>
      <c r="O215" t="n">
        <v>0</v>
      </c>
      <c r="P215" t="n">
        <v>0</v>
      </c>
      <c r="Q215" t="n">
        <v>0</v>
      </c>
      <c r="R215" s="2" t="inlineStr"/>
    </row>
    <row r="216" ht="15" customHeight="1">
      <c r="A216" t="inlineStr">
        <is>
          <t>A 5327-2019</t>
        </is>
      </c>
      <c r="B216" s="1" t="n">
        <v>43488</v>
      </c>
      <c r="C216" s="1" t="n">
        <v>45354</v>
      </c>
      <c r="D216" t="inlineStr">
        <is>
          <t>JÄMTLANDS LÄN</t>
        </is>
      </c>
      <c r="E216" t="inlineStr">
        <is>
          <t>HÄRJEDALEN</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5663-2019</t>
        </is>
      </c>
      <c r="B217" s="1" t="n">
        <v>43489</v>
      </c>
      <c r="C217" s="1" t="n">
        <v>45354</v>
      </c>
      <c r="D217" t="inlineStr">
        <is>
          <t>JÄMTLANDS LÄN</t>
        </is>
      </c>
      <c r="E217" t="inlineStr">
        <is>
          <t>HÄRJEDALEN</t>
        </is>
      </c>
      <c r="G217" t="n">
        <v>3.2</v>
      </c>
      <c r="H217" t="n">
        <v>0</v>
      </c>
      <c r="I217" t="n">
        <v>0</v>
      </c>
      <c r="J217" t="n">
        <v>0</v>
      </c>
      <c r="K217" t="n">
        <v>0</v>
      </c>
      <c r="L217" t="n">
        <v>0</v>
      </c>
      <c r="M217" t="n">
        <v>0</v>
      </c>
      <c r="N217" t="n">
        <v>0</v>
      </c>
      <c r="O217" t="n">
        <v>0</v>
      </c>
      <c r="P217" t="n">
        <v>0</v>
      </c>
      <c r="Q217" t="n">
        <v>0</v>
      </c>
      <c r="R217" s="2" t="inlineStr"/>
    </row>
    <row r="218" ht="15" customHeight="1">
      <c r="A218" t="inlineStr">
        <is>
          <t>A 5805-2019</t>
        </is>
      </c>
      <c r="B218" s="1" t="n">
        <v>43490</v>
      </c>
      <c r="C218" s="1" t="n">
        <v>45354</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5790-2019</t>
        </is>
      </c>
      <c r="B219" s="1" t="n">
        <v>43490</v>
      </c>
      <c r="C219" s="1" t="n">
        <v>45354</v>
      </c>
      <c r="D219" t="inlineStr">
        <is>
          <t>JÄMTLANDS LÄN</t>
        </is>
      </c>
      <c r="E219" t="inlineStr">
        <is>
          <t>HÄRJEDALEN</t>
        </is>
      </c>
      <c r="G219" t="n">
        <v>1</v>
      </c>
      <c r="H219" t="n">
        <v>0</v>
      </c>
      <c r="I219" t="n">
        <v>0</v>
      </c>
      <c r="J219" t="n">
        <v>0</v>
      </c>
      <c r="K219" t="n">
        <v>0</v>
      </c>
      <c r="L219" t="n">
        <v>0</v>
      </c>
      <c r="M219" t="n">
        <v>0</v>
      </c>
      <c r="N219" t="n">
        <v>0</v>
      </c>
      <c r="O219" t="n">
        <v>0</v>
      </c>
      <c r="P219" t="n">
        <v>0</v>
      </c>
      <c r="Q219" t="n">
        <v>0</v>
      </c>
      <c r="R219" s="2" t="inlineStr"/>
    </row>
    <row r="220" ht="15" customHeight="1">
      <c r="A220" t="inlineStr">
        <is>
          <t>A 5779-2019</t>
        </is>
      </c>
      <c r="B220" s="1" t="n">
        <v>43490</v>
      </c>
      <c r="C220" s="1" t="n">
        <v>45354</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8155-2019</t>
        </is>
      </c>
      <c r="B221" s="1" t="n">
        <v>43495</v>
      </c>
      <c r="C221" s="1" t="n">
        <v>45354</v>
      </c>
      <c r="D221" t="inlineStr">
        <is>
          <t>JÄMTLANDS LÄN</t>
        </is>
      </c>
      <c r="E221" t="inlineStr">
        <is>
          <t>HÄRJEDALEN</t>
        </is>
      </c>
      <c r="G221" t="n">
        <v>16.9</v>
      </c>
      <c r="H221" t="n">
        <v>0</v>
      </c>
      <c r="I221" t="n">
        <v>0</v>
      </c>
      <c r="J221" t="n">
        <v>0</v>
      </c>
      <c r="K221" t="n">
        <v>0</v>
      </c>
      <c r="L221" t="n">
        <v>0</v>
      </c>
      <c r="M221" t="n">
        <v>0</v>
      </c>
      <c r="N221" t="n">
        <v>0</v>
      </c>
      <c r="O221" t="n">
        <v>0</v>
      </c>
      <c r="P221" t="n">
        <v>0</v>
      </c>
      <c r="Q221" t="n">
        <v>0</v>
      </c>
      <c r="R221" s="2" t="inlineStr"/>
    </row>
    <row r="222" ht="15" customHeight="1">
      <c r="A222" t="inlineStr">
        <is>
          <t>A 6886-2019</t>
        </is>
      </c>
      <c r="B222" s="1" t="n">
        <v>43495</v>
      </c>
      <c r="C222" s="1" t="n">
        <v>45354</v>
      </c>
      <c r="D222" t="inlineStr">
        <is>
          <t>JÄMTLANDS LÄN</t>
        </is>
      </c>
      <c r="E222" t="inlineStr">
        <is>
          <t>HÄRJEDALEN</t>
        </is>
      </c>
      <c r="G222" t="n">
        <v>10.4</v>
      </c>
      <c r="H222" t="n">
        <v>0</v>
      </c>
      <c r="I222" t="n">
        <v>0</v>
      </c>
      <c r="J222" t="n">
        <v>0</v>
      </c>
      <c r="K222" t="n">
        <v>0</v>
      </c>
      <c r="L222" t="n">
        <v>0</v>
      </c>
      <c r="M222" t="n">
        <v>0</v>
      </c>
      <c r="N222" t="n">
        <v>0</v>
      </c>
      <c r="O222" t="n">
        <v>0</v>
      </c>
      <c r="P222" t="n">
        <v>0</v>
      </c>
      <c r="Q222" t="n">
        <v>0</v>
      </c>
      <c r="R222" s="2" t="inlineStr"/>
    </row>
    <row r="223" ht="15" customHeight="1">
      <c r="A223" t="inlineStr">
        <is>
          <t>A 7478-2019</t>
        </is>
      </c>
      <c r="B223" s="1" t="n">
        <v>43497</v>
      </c>
      <c r="C223" s="1" t="n">
        <v>45354</v>
      </c>
      <c r="D223" t="inlineStr">
        <is>
          <t>JÄMTLANDS LÄN</t>
        </is>
      </c>
      <c r="E223" t="inlineStr">
        <is>
          <t>HÄRJEDALEN</t>
        </is>
      </c>
      <c r="G223" t="n">
        <v>2.1</v>
      </c>
      <c r="H223" t="n">
        <v>0</v>
      </c>
      <c r="I223" t="n">
        <v>0</v>
      </c>
      <c r="J223" t="n">
        <v>0</v>
      </c>
      <c r="K223" t="n">
        <v>0</v>
      </c>
      <c r="L223" t="n">
        <v>0</v>
      </c>
      <c r="M223" t="n">
        <v>0</v>
      </c>
      <c r="N223" t="n">
        <v>0</v>
      </c>
      <c r="O223" t="n">
        <v>0</v>
      </c>
      <c r="P223" t="n">
        <v>0</v>
      </c>
      <c r="Q223" t="n">
        <v>0</v>
      </c>
      <c r="R223" s="2" t="inlineStr"/>
    </row>
    <row r="224" ht="15" customHeight="1">
      <c r="A224" t="inlineStr">
        <is>
          <t>A 7793-2019</t>
        </is>
      </c>
      <c r="B224" s="1" t="n">
        <v>43500</v>
      </c>
      <c r="C224" s="1" t="n">
        <v>45354</v>
      </c>
      <c r="D224" t="inlineStr">
        <is>
          <t>JÄMTLANDS LÄN</t>
        </is>
      </c>
      <c r="E224" t="inlineStr">
        <is>
          <t>HÄRJEDALEN</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7839-2019</t>
        </is>
      </c>
      <c r="B225" s="1" t="n">
        <v>43500</v>
      </c>
      <c r="C225" s="1" t="n">
        <v>45354</v>
      </c>
      <c r="D225" t="inlineStr">
        <is>
          <t>JÄMTLANDS LÄN</t>
        </is>
      </c>
      <c r="E225" t="inlineStr">
        <is>
          <t>HÄRJEDALEN</t>
        </is>
      </c>
      <c r="F225" t="inlineStr">
        <is>
          <t>Holmen skog AB</t>
        </is>
      </c>
      <c r="G225" t="n">
        <v>43</v>
      </c>
      <c r="H225" t="n">
        <v>0</v>
      </c>
      <c r="I225" t="n">
        <v>0</v>
      </c>
      <c r="J225" t="n">
        <v>0</v>
      </c>
      <c r="K225" t="n">
        <v>0</v>
      </c>
      <c r="L225" t="n">
        <v>0</v>
      </c>
      <c r="M225" t="n">
        <v>0</v>
      </c>
      <c r="N225" t="n">
        <v>0</v>
      </c>
      <c r="O225" t="n">
        <v>0</v>
      </c>
      <c r="P225" t="n">
        <v>0</v>
      </c>
      <c r="Q225" t="n">
        <v>0</v>
      </c>
      <c r="R225" s="2" t="inlineStr"/>
    </row>
    <row r="226" ht="15" customHeight="1">
      <c r="A226" t="inlineStr">
        <is>
          <t>A 7791-2019</t>
        </is>
      </c>
      <c r="B226" s="1" t="n">
        <v>43500</v>
      </c>
      <c r="C226" s="1" t="n">
        <v>45354</v>
      </c>
      <c r="D226" t="inlineStr">
        <is>
          <t>JÄMTLANDS LÄN</t>
        </is>
      </c>
      <c r="E226" t="inlineStr">
        <is>
          <t>HÄRJEDALEN</t>
        </is>
      </c>
      <c r="F226" t="inlineStr">
        <is>
          <t>Holmen skog AB</t>
        </is>
      </c>
      <c r="G226" t="n">
        <v>18.3</v>
      </c>
      <c r="H226" t="n">
        <v>0</v>
      </c>
      <c r="I226" t="n">
        <v>0</v>
      </c>
      <c r="J226" t="n">
        <v>0</v>
      </c>
      <c r="K226" t="n">
        <v>0</v>
      </c>
      <c r="L226" t="n">
        <v>0</v>
      </c>
      <c r="M226" t="n">
        <v>0</v>
      </c>
      <c r="N226" t="n">
        <v>0</v>
      </c>
      <c r="O226" t="n">
        <v>0</v>
      </c>
      <c r="P226" t="n">
        <v>0</v>
      </c>
      <c r="Q226" t="n">
        <v>0</v>
      </c>
      <c r="R226" s="2" t="inlineStr"/>
    </row>
    <row r="227" ht="15" customHeight="1">
      <c r="A227" t="inlineStr">
        <is>
          <t>A 7840-2019</t>
        </is>
      </c>
      <c r="B227" s="1" t="n">
        <v>43500</v>
      </c>
      <c r="C227" s="1" t="n">
        <v>45354</v>
      </c>
      <c r="D227" t="inlineStr">
        <is>
          <t>JÄMTLANDS LÄN</t>
        </is>
      </c>
      <c r="E227" t="inlineStr">
        <is>
          <t>HÄRJEDALEN</t>
        </is>
      </c>
      <c r="F227" t="inlineStr">
        <is>
          <t>Holmen skog AB</t>
        </is>
      </c>
      <c r="G227" t="n">
        <v>0.5</v>
      </c>
      <c r="H227" t="n">
        <v>0</v>
      </c>
      <c r="I227" t="n">
        <v>0</v>
      </c>
      <c r="J227" t="n">
        <v>0</v>
      </c>
      <c r="K227" t="n">
        <v>0</v>
      </c>
      <c r="L227" t="n">
        <v>0</v>
      </c>
      <c r="M227" t="n">
        <v>0</v>
      </c>
      <c r="N227" t="n">
        <v>0</v>
      </c>
      <c r="O227" t="n">
        <v>0</v>
      </c>
      <c r="P227" t="n">
        <v>0</v>
      </c>
      <c r="Q227" t="n">
        <v>0</v>
      </c>
      <c r="R227" s="2" t="inlineStr"/>
    </row>
    <row r="228" ht="15" customHeight="1">
      <c r="A228" t="inlineStr">
        <is>
          <t>A 7790-2019</t>
        </is>
      </c>
      <c r="B228" s="1" t="n">
        <v>43500</v>
      </c>
      <c r="C228" s="1" t="n">
        <v>45354</v>
      </c>
      <c r="D228" t="inlineStr">
        <is>
          <t>JÄMTLANDS LÄN</t>
        </is>
      </c>
      <c r="E228" t="inlineStr">
        <is>
          <t>HÄRJEDALEN</t>
        </is>
      </c>
      <c r="F228" t="inlineStr">
        <is>
          <t>Holmen skog AB</t>
        </is>
      </c>
      <c r="G228" t="n">
        <v>7.9</v>
      </c>
      <c r="H228" t="n">
        <v>0</v>
      </c>
      <c r="I228" t="n">
        <v>0</v>
      </c>
      <c r="J228" t="n">
        <v>0</v>
      </c>
      <c r="K228" t="n">
        <v>0</v>
      </c>
      <c r="L228" t="n">
        <v>0</v>
      </c>
      <c r="M228" t="n">
        <v>0</v>
      </c>
      <c r="N228" t="n">
        <v>0</v>
      </c>
      <c r="O228" t="n">
        <v>0</v>
      </c>
      <c r="P228" t="n">
        <v>0</v>
      </c>
      <c r="Q228" t="n">
        <v>0</v>
      </c>
      <c r="R228" s="2" t="inlineStr"/>
    </row>
    <row r="229" ht="15" customHeight="1">
      <c r="A229" t="inlineStr">
        <is>
          <t>A 7853-2019</t>
        </is>
      </c>
      <c r="B229" s="1" t="n">
        <v>43500</v>
      </c>
      <c r="C229" s="1" t="n">
        <v>45354</v>
      </c>
      <c r="D229" t="inlineStr">
        <is>
          <t>JÄMTLANDS LÄN</t>
        </is>
      </c>
      <c r="E229" t="inlineStr">
        <is>
          <t>HÄRJEDALEN</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9236-2019</t>
        </is>
      </c>
      <c r="B230" s="1" t="n">
        <v>43507</v>
      </c>
      <c r="C230" s="1" t="n">
        <v>45354</v>
      </c>
      <c r="D230" t="inlineStr">
        <is>
          <t>JÄMTLANDS LÄN</t>
        </is>
      </c>
      <c r="E230" t="inlineStr">
        <is>
          <t>HÄRJEDALEN</t>
        </is>
      </c>
      <c r="F230" t="inlineStr">
        <is>
          <t>Bergvik skog väst AB</t>
        </is>
      </c>
      <c r="G230" t="n">
        <v>23.2</v>
      </c>
      <c r="H230" t="n">
        <v>0</v>
      </c>
      <c r="I230" t="n">
        <v>0</v>
      </c>
      <c r="J230" t="n">
        <v>0</v>
      </c>
      <c r="K230" t="n">
        <v>0</v>
      </c>
      <c r="L230" t="n">
        <v>0</v>
      </c>
      <c r="M230" t="n">
        <v>0</v>
      </c>
      <c r="N230" t="n">
        <v>0</v>
      </c>
      <c r="O230" t="n">
        <v>0</v>
      </c>
      <c r="P230" t="n">
        <v>0</v>
      </c>
      <c r="Q230" t="n">
        <v>0</v>
      </c>
      <c r="R230" s="2" t="inlineStr"/>
    </row>
    <row r="231" ht="15" customHeight="1">
      <c r="A231" t="inlineStr">
        <is>
          <t>A 9670-2019</t>
        </is>
      </c>
      <c r="B231" s="1" t="n">
        <v>43508</v>
      </c>
      <c r="C231" s="1" t="n">
        <v>45354</v>
      </c>
      <c r="D231" t="inlineStr">
        <is>
          <t>JÄMTLANDS LÄN</t>
        </is>
      </c>
      <c r="E231" t="inlineStr">
        <is>
          <t>HÄRJEDALEN</t>
        </is>
      </c>
      <c r="G231" t="n">
        <v>34.2</v>
      </c>
      <c r="H231" t="n">
        <v>0</v>
      </c>
      <c r="I231" t="n">
        <v>0</v>
      </c>
      <c r="J231" t="n">
        <v>0</v>
      </c>
      <c r="K231" t="n">
        <v>0</v>
      </c>
      <c r="L231" t="n">
        <v>0</v>
      </c>
      <c r="M231" t="n">
        <v>0</v>
      </c>
      <c r="N231" t="n">
        <v>0</v>
      </c>
      <c r="O231" t="n">
        <v>0</v>
      </c>
      <c r="P231" t="n">
        <v>0</v>
      </c>
      <c r="Q231" t="n">
        <v>0</v>
      </c>
      <c r="R231" s="2" t="inlineStr"/>
    </row>
    <row r="232" ht="15" customHeight="1">
      <c r="A232" t="inlineStr">
        <is>
          <t>A 10139-2019</t>
        </is>
      </c>
      <c r="B232" s="1" t="n">
        <v>43510</v>
      </c>
      <c r="C232" s="1" t="n">
        <v>45354</v>
      </c>
      <c r="D232" t="inlineStr">
        <is>
          <t>JÄMTLANDS LÄN</t>
        </is>
      </c>
      <c r="E232" t="inlineStr">
        <is>
          <t>HÄRJEDALEN</t>
        </is>
      </c>
      <c r="G232" t="n">
        <v>2.4</v>
      </c>
      <c r="H232" t="n">
        <v>0</v>
      </c>
      <c r="I232" t="n">
        <v>0</v>
      </c>
      <c r="J232" t="n">
        <v>0</v>
      </c>
      <c r="K232" t="n">
        <v>0</v>
      </c>
      <c r="L232" t="n">
        <v>0</v>
      </c>
      <c r="M232" t="n">
        <v>0</v>
      </c>
      <c r="N232" t="n">
        <v>0</v>
      </c>
      <c r="O232" t="n">
        <v>0</v>
      </c>
      <c r="P232" t="n">
        <v>0</v>
      </c>
      <c r="Q232" t="n">
        <v>0</v>
      </c>
      <c r="R232" s="2" t="inlineStr"/>
    </row>
    <row r="233" ht="15" customHeight="1">
      <c r="A233" t="inlineStr">
        <is>
          <t>A 12151-2019</t>
        </is>
      </c>
      <c r="B233" s="1" t="n">
        <v>43522</v>
      </c>
      <c r="C233" s="1" t="n">
        <v>45354</v>
      </c>
      <c r="D233" t="inlineStr">
        <is>
          <t>JÄMTLANDS LÄN</t>
        </is>
      </c>
      <c r="E233" t="inlineStr">
        <is>
          <t>HÄRJEDALEN</t>
        </is>
      </c>
      <c r="G233" t="n">
        <v>5.6</v>
      </c>
      <c r="H233" t="n">
        <v>0</v>
      </c>
      <c r="I233" t="n">
        <v>0</v>
      </c>
      <c r="J233" t="n">
        <v>0</v>
      </c>
      <c r="K233" t="n">
        <v>0</v>
      </c>
      <c r="L233" t="n">
        <v>0</v>
      </c>
      <c r="M233" t="n">
        <v>0</v>
      </c>
      <c r="N233" t="n">
        <v>0</v>
      </c>
      <c r="O233" t="n">
        <v>0</v>
      </c>
      <c r="P233" t="n">
        <v>0</v>
      </c>
      <c r="Q233" t="n">
        <v>0</v>
      </c>
      <c r="R233" s="2" t="inlineStr"/>
    </row>
    <row r="234" ht="15" customHeight="1">
      <c r="A234" t="inlineStr">
        <is>
          <t>A 12149-2019</t>
        </is>
      </c>
      <c r="B234" s="1" t="n">
        <v>43522</v>
      </c>
      <c r="C234" s="1" t="n">
        <v>45354</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12822-2019</t>
        </is>
      </c>
      <c r="B235" s="1" t="n">
        <v>43525</v>
      </c>
      <c r="C235" s="1" t="n">
        <v>45354</v>
      </c>
      <c r="D235" t="inlineStr">
        <is>
          <t>JÄMTLANDS LÄN</t>
        </is>
      </c>
      <c r="E235" t="inlineStr">
        <is>
          <t>HÄRJEDALEN</t>
        </is>
      </c>
      <c r="G235" t="n">
        <v>17.1</v>
      </c>
      <c r="H235" t="n">
        <v>0</v>
      </c>
      <c r="I235" t="n">
        <v>0</v>
      </c>
      <c r="J235" t="n">
        <v>0</v>
      </c>
      <c r="K235" t="n">
        <v>0</v>
      </c>
      <c r="L235" t="n">
        <v>0</v>
      </c>
      <c r="M235" t="n">
        <v>0</v>
      </c>
      <c r="N235" t="n">
        <v>0</v>
      </c>
      <c r="O235" t="n">
        <v>0</v>
      </c>
      <c r="P235" t="n">
        <v>0</v>
      </c>
      <c r="Q235" t="n">
        <v>0</v>
      </c>
      <c r="R235" s="2" t="inlineStr"/>
    </row>
    <row r="236" ht="15" customHeight="1">
      <c r="A236" t="inlineStr">
        <is>
          <t>A 12829-2019</t>
        </is>
      </c>
      <c r="B236" s="1" t="n">
        <v>43525</v>
      </c>
      <c r="C236" s="1" t="n">
        <v>45354</v>
      </c>
      <c r="D236" t="inlineStr">
        <is>
          <t>JÄMTLANDS LÄN</t>
        </is>
      </c>
      <c r="E236" t="inlineStr">
        <is>
          <t>HÄRJEDALEN</t>
        </is>
      </c>
      <c r="G236" t="n">
        <v>20.6</v>
      </c>
      <c r="H236" t="n">
        <v>0</v>
      </c>
      <c r="I236" t="n">
        <v>0</v>
      </c>
      <c r="J236" t="n">
        <v>0</v>
      </c>
      <c r="K236" t="n">
        <v>0</v>
      </c>
      <c r="L236" t="n">
        <v>0</v>
      </c>
      <c r="M236" t="n">
        <v>0</v>
      </c>
      <c r="N236" t="n">
        <v>0</v>
      </c>
      <c r="O236" t="n">
        <v>0</v>
      </c>
      <c r="P236" t="n">
        <v>0</v>
      </c>
      <c r="Q236" t="n">
        <v>0</v>
      </c>
      <c r="R236" s="2" t="inlineStr"/>
    </row>
    <row r="237" ht="15" customHeight="1">
      <c r="A237" t="inlineStr">
        <is>
          <t>A 12825-2019</t>
        </is>
      </c>
      <c r="B237" s="1" t="n">
        <v>43525</v>
      </c>
      <c r="C237" s="1" t="n">
        <v>45354</v>
      </c>
      <c r="D237" t="inlineStr">
        <is>
          <t>JÄMTLANDS LÄN</t>
        </is>
      </c>
      <c r="E237" t="inlineStr">
        <is>
          <t>HÄRJEDALEN</t>
        </is>
      </c>
      <c r="G237" t="n">
        <v>19.6</v>
      </c>
      <c r="H237" t="n">
        <v>0</v>
      </c>
      <c r="I237" t="n">
        <v>0</v>
      </c>
      <c r="J237" t="n">
        <v>0</v>
      </c>
      <c r="K237" t="n">
        <v>0</v>
      </c>
      <c r="L237" t="n">
        <v>0</v>
      </c>
      <c r="M237" t="n">
        <v>0</v>
      </c>
      <c r="N237" t="n">
        <v>0</v>
      </c>
      <c r="O237" t="n">
        <v>0</v>
      </c>
      <c r="P237" t="n">
        <v>0</v>
      </c>
      <c r="Q237" t="n">
        <v>0</v>
      </c>
      <c r="R237" s="2" t="inlineStr"/>
    </row>
    <row r="238" ht="15" customHeight="1">
      <c r="A238" t="inlineStr">
        <is>
          <t>A 12764-2019</t>
        </is>
      </c>
      <c r="B238" s="1" t="n">
        <v>43525</v>
      </c>
      <c r="C238" s="1" t="n">
        <v>45354</v>
      </c>
      <c r="D238" t="inlineStr">
        <is>
          <t>JÄMTLANDS LÄN</t>
        </is>
      </c>
      <c r="E238" t="inlineStr">
        <is>
          <t>HÄRJEDALEN</t>
        </is>
      </c>
      <c r="F238" t="inlineStr">
        <is>
          <t>Kyrkan</t>
        </is>
      </c>
      <c r="G238" t="n">
        <v>19.2</v>
      </c>
      <c r="H238" t="n">
        <v>0</v>
      </c>
      <c r="I238" t="n">
        <v>0</v>
      </c>
      <c r="J238" t="n">
        <v>0</v>
      </c>
      <c r="K238" t="n">
        <v>0</v>
      </c>
      <c r="L238" t="n">
        <v>0</v>
      </c>
      <c r="M238" t="n">
        <v>0</v>
      </c>
      <c r="N238" t="n">
        <v>0</v>
      </c>
      <c r="O238" t="n">
        <v>0</v>
      </c>
      <c r="P238" t="n">
        <v>0</v>
      </c>
      <c r="Q238" t="n">
        <v>0</v>
      </c>
      <c r="R238" s="2" t="inlineStr"/>
    </row>
    <row r="239" ht="15" customHeight="1">
      <c r="A239" t="inlineStr">
        <is>
          <t>A 13202-2019</t>
        </is>
      </c>
      <c r="B239" s="1" t="n">
        <v>43528</v>
      </c>
      <c r="C239" s="1" t="n">
        <v>45354</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13182-2019</t>
        </is>
      </c>
      <c r="B240" s="1" t="n">
        <v>43528</v>
      </c>
      <c r="C240" s="1" t="n">
        <v>45354</v>
      </c>
      <c r="D240" t="inlineStr">
        <is>
          <t>JÄMTLANDS LÄN</t>
        </is>
      </c>
      <c r="E240" t="inlineStr">
        <is>
          <t>HÄRJEDALEN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14268-2019</t>
        </is>
      </c>
      <c r="B241" s="1" t="n">
        <v>43535</v>
      </c>
      <c r="C241" s="1" t="n">
        <v>45354</v>
      </c>
      <c r="D241" t="inlineStr">
        <is>
          <t>JÄMTLANDS LÄN</t>
        </is>
      </c>
      <c r="E241" t="inlineStr">
        <is>
          <t>HÄRJEDALEN</t>
        </is>
      </c>
      <c r="G241" t="n">
        <v>20.2</v>
      </c>
      <c r="H241" t="n">
        <v>0</v>
      </c>
      <c r="I241" t="n">
        <v>0</v>
      </c>
      <c r="J241" t="n">
        <v>0</v>
      </c>
      <c r="K241" t="n">
        <v>0</v>
      </c>
      <c r="L241" t="n">
        <v>0</v>
      </c>
      <c r="M241" t="n">
        <v>0</v>
      </c>
      <c r="N241" t="n">
        <v>0</v>
      </c>
      <c r="O241" t="n">
        <v>0</v>
      </c>
      <c r="P241" t="n">
        <v>0</v>
      </c>
      <c r="Q241" t="n">
        <v>0</v>
      </c>
      <c r="R241" s="2" t="inlineStr"/>
    </row>
    <row r="242" ht="15" customHeight="1">
      <c r="A242" t="inlineStr">
        <is>
          <t>A 15617-2019</t>
        </is>
      </c>
      <c r="B242" s="1" t="n">
        <v>43539</v>
      </c>
      <c r="C242" s="1" t="n">
        <v>45354</v>
      </c>
      <c r="D242" t="inlineStr">
        <is>
          <t>JÄMTLANDS LÄN</t>
        </is>
      </c>
      <c r="E242" t="inlineStr">
        <is>
          <t>HÄRJEDALEN</t>
        </is>
      </c>
      <c r="G242" t="n">
        <v>1.7</v>
      </c>
      <c r="H242" t="n">
        <v>0</v>
      </c>
      <c r="I242" t="n">
        <v>0</v>
      </c>
      <c r="J242" t="n">
        <v>0</v>
      </c>
      <c r="K242" t="n">
        <v>0</v>
      </c>
      <c r="L242" t="n">
        <v>0</v>
      </c>
      <c r="M242" t="n">
        <v>0</v>
      </c>
      <c r="N242" t="n">
        <v>0</v>
      </c>
      <c r="O242" t="n">
        <v>0</v>
      </c>
      <c r="P242" t="n">
        <v>0</v>
      </c>
      <c r="Q242" t="n">
        <v>0</v>
      </c>
      <c r="R242" s="2" t="inlineStr"/>
    </row>
    <row r="243" ht="15" customHeight="1">
      <c r="A243" t="inlineStr">
        <is>
          <t>A 15557-2019</t>
        </is>
      </c>
      <c r="B243" s="1" t="n">
        <v>43542</v>
      </c>
      <c r="C243" s="1" t="n">
        <v>45354</v>
      </c>
      <c r="D243" t="inlineStr">
        <is>
          <t>JÄMTLANDS LÄN</t>
        </is>
      </c>
      <c r="E243" t="inlineStr">
        <is>
          <t>HÄRJEDALEN</t>
        </is>
      </c>
      <c r="G243" t="n">
        <v>5.9</v>
      </c>
      <c r="H243" t="n">
        <v>0</v>
      </c>
      <c r="I243" t="n">
        <v>0</v>
      </c>
      <c r="J243" t="n">
        <v>0</v>
      </c>
      <c r="K243" t="n">
        <v>0</v>
      </c>
      <c r="L243" t="n">
        <v>0</v>
      </c>
      <c r="M243" t="n">
        <v>0</v>
      </c>
      <c r="N243" t="n">
        <v>0</v>
      </c>
      <c r="O243" t="n">
        <v>0</v>
      </c>
      <c r="P243" t="n">
        <v>0</v>
      </c>
      <c r="Q243" t="n">
        <v>0</v>
      </c>
      <c r="R243" s="2" t="inlineStr"/>
    </row>
    <row r="244" ht="15" customHeight="1">
      <c r="A244" t="inlineStr">
        <is>
          <t>A 16004-2019</t>
        </is>
      </c>
      <c r="B244" s="1" t="n">
        <v>43543</v>
      </c>
      <c r="C244" s="1" t="n">
        <v>45354</v>
      </c>
      <c r="D244" t="inlineStr">
        <is>
          <t>JÄMTLANDS LÄN</t>
        </is>
      </c>
      <c r="E244" t="inlineStr">
        <is>
          <t>HÄRJEDALEN</t>
        </is>
      </c>
      <c r="G244" t="n">
        <v>19.7</v>
      </c>
      <c r="H244" t="n">
        <v>0</v>
      </c>
      <c r="I244" t="n">
        <v>0</v>
      </c>
      <c r="J244" t="n">
        <v>0</v>
      </c>
      <c r="K244" t="n">
        <v>0</v>
      </c>
      <c r="L244" t="n">
        <v>0</v>
      </c>
      <c r="M244" t="n">
        <v>0</v>
      </c>
      <c r="N244" t="n">
        <v>0</v>
      </c>
      <c r="O244" t="n">
        <v>0</v>
      </c>
      <c r="P244" t="n">
        <v>0</v>
      </c>
      <c r="Q244" t="n">
        <v>0</v>
      </c>
      <c r="R244" s="2" t="inlineStr"/>
    </row>
    <row r="245" ht="15" customHeight="1">
      <c r="A245" t="inlineStr">
        <is>
          <t>A 16062-2019</t>
        </is>
      </c>
      <c r="B245" s="1" t="n">
        <v>43544</v>
      </c>
      <c r="C245" s="1" t="n">
        <v>45354</v>
      </c>
      <c r="D245" t="inlineStr">
        <is>
          <t>JÄMTLANDS LÄN</t>
        </is>
      </c>
      <c r="E245" t="inlineStr">
        <is>
          <t>HÄRJEDALEN</t>
        </is>
      </c>
      <c r="G245" t="n">
        <v>18.4</v>
      </c>
      <c r="H245" t="n">
        <v>0</v>
      </c>
      <c r="I245" t="n">
        <v>0</v>
      </c>
      <c r="J245" t="n">
        <v>0</v>
      </c>
      <c r="K245" t="n">
        <v>0</v>
      </c>
      <c r="L245" t="n">
        <v>0</v>
      </c>
      <c r="M245" t="n">
        <v>0</v>
      </c>
      <c r="N245" t="n">
        <v>0</v>
      </c>
      <c r="O245" t="n">
        <v>0</v>
      </c>
      <c r="P245" t="n">
        <v>0</v>
      </c>
      <c r="Q245" t="n">
        <v>0</v>
      </c>
      <c r="R245" s="2" t="inlineStr"/>
    </row>
    <row r="246" ht="15" customHeight="1">
      <c r="A246" t="inlineStr">
        <is>
          <t>A 17528-2019</t>
        </is>
      </c>
      <c r="B246" s="1" t="n">
        <v>43553</v>
      </c>
      <c r="C246" s="1" t="n">
        <v>45354</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17811-2019</t>
        </is>
      </c>
      <c r="B247" s="1" t="n">
        <v>43556</v>
      </c>
      <c r="C247" s="1" t="n">
        <v>45354</v>
      </c>
      <c r="D247" t="inlineStr">
        <is>
          <t>JÄMTLANDS LÄN</t>
        </is>
      </c>
      <c r="E247" t="inlineStr">
        <is>
          <t>HÄRJEDALEN</t>
        </is>
      </c>
      <c r="G247" t="n">
        <v>10.3</v>
      </c>
      <c r="H247" t="n">
        <v>0</v>
      </c>
      <c r="I247" t="n">
        <v>0</v>
      </c>
      <c r="J247" t="n">
        <v>0</v>
      </c>
      <c r="K247" t="n">
        <v>0</v>
      </c>
      <c r="L247" t="n">
        <v>0</v>
      </c>
      <c r="M247" t="n">
        <v>0</v>
      </c>
      <c r="N247" t="n">
        <v>0</v>
      </c>
      <c r="O247" t="n">
        <v>0</v>
      </c>
      <c r="P247" t="n">
        <v>0</v>
      </c>
      <c r="Q247" t="n">
        <v>0</v>
      </c>
      <c r="R247" s="2" t="inlineStr"/>
    </row>
    <row r="248" ht="15" customHeight="1">
      <c r="A248" t="inlineStr">
        <is>
          <t>A 17986-2019</t>
        </is>
      </c>
      <c r="B248" s="1" t="n">
        <v>43557</v>
      </c>
      <c r="C248" s="1" t="n">
        <v>45354</v>
      </c>
      <c r="D248" t="inlineStr">
        <is>
          <t>JÄMTLANDS LÄN</t>
        </is>
      </c>
      <c r="E248" t="inlineStr">
        <is>
          <t>HÄRJEDALEN</t>
        </is>
      </c>
      <c r="F248" t="inlineStr">
        <is>
          <t>Kyrkan</t>
        </is>
      </c>
      <c r="G248" t="n">
        <v>17.5</v>
      </c>
      <c r="H248" t="n">
        <v>0</v>
      </c>
      <c r="I248" t="n">
        <v>0</v>
      </c>
      <c r="J248" t="n">
        <v>0</v>
      </c>
      <c r="K248" t="n">
        <v>0</v>
      </c>
      <c r="L248" t="n">
        <v>0</v>
      </c>
      <c r="M248" t="n">
        <v>0</v>
      </c>
      <c r="N248" t="n">
        <v>0</v>
      </c>
      <c r="O248" t="n">
        <v>0</v>
      </c>
      <c r="P248" t="n">
        <v>0</v>
      </c>
      <c r="Q248" t="n">
        <v>0</v>
      </c>
      <c r="R248" s="2" t="inlineStr"/>
    </row>
    <row r="249" ht="15" customHeight="1">
      <c r="A249" t="inlineStr">
        <is>
          <t>A 17917-2019</t>
        </is>
      </c>
      <c r="B249" s="1" t="n">
        <v>43557</v>
      </c>
      <c r="C249" s="1" t="n">
        <v>45354</v>
      </c>
      <c r="D249" t="inlineStr">
        <is>
          <t>JÄMTLANDS LÄN</t>
        </is>
      </c>
      <c r="E249" t="inlineStr">
        <is>
          <t>HÄRJEDALEN</t>
        </is>
      </c>
      <c r="F249" t="inlineStr">
        <is>
          <t>Bergvik skog väst AB</t>
        </is>
      </c>
      <c r="G249" t="n">
        <v>166.3</v>
      </c>
      <c r="H249" t="n">
        <v>0</v>
      </c>
      <c r="I249" t="n">
        <v>0</v>
      </c>
      <c r="J249" t="n">
        <v>0</v>
      </c>
      <c r="K249" t="n">
        <v>0</v>
      </c>
      <c r="L249" t="n">
        <v>0</v>
      </c>
      <c r="M249" t="n">
        <v>0</v>
      </c>
      <c r="N249" t="n">
        <v>0</v>
      </c>
      <c r="O249" t="n">
        <v>0</v>
      </c>
      <c r="P249" t="n">
        <v>0</v>
      </c>
      <c r="Q249" t="n">
        <v>0</v>
      </c>
      <c r="R249" s="2" t="inlineStr"/>
    </row>
    <row r="250" ht="15" customHeight="1">
      <c r="A250" t="inlineStr">
        <is>
          <t>A 18539-2019</t>
        </is>
      </c>
      <c r="B250" s="1" t="n">
        <v>43559</v>
      </c>
      <c r="C250" s="1" t="n">
        <v>45354</v>
      </c>
      <c r="D250" t="inlineStr">
        <is>
          <t>JÄMTLANDS LÄN</t>
        </is>
      </c>
      <c r="E250" t="inlineStr">
        <is>
          <t>HÄRJEDALEN</t>
        </is>
      </c>
      <c r="G250" t="n">
        <v>1.7</v>
      </c>
      <c r="H250" t="n">
        <v>0</v>
      </c>
      <c r="I250" t="n">
        <v>0</v>
      </c>
      <c r="J250" t="n">
        <v>0</v>
      </c>
      <c r="K250" t="n">
        <v>0</v>
      </c>
      <c r="L250" t="n">
        <v>0</v>
      </c>
      <c r="M250" t="n">
        <v>0</v>
      </c>
      <c r="N250" t="n">
        <v>0</v>
      </c>
      <c r="O250" t="n">
        <v>0</v>
      </c>
      <c r="P250" t="n">
        <v>0</v>
      </c>
      <c r="Q250" t="n">
        <v>0</v>
      </c>
      <c r="R250" s="2" t="inlineStr"/>
    </row>
    <row r="251" ht="15" customHeight="1">
      <c r="A251" t="inlineStr">
        <is>
          <t>A 18648-2019</t>
        </is>
      </c>
      <c r="B251" s="1" t="n">
        <v>43560</v>
      </c>
      <c r="C251" s="1" t="n">
        <v>45354</v>
      </c>
      <c r="D251" t="inlineStr">
        <is>
          <t>JÄMTLANDS LÄN</t>
        </is>
      </c>
      <c r="E251" t="inlineStr">
        <is>
          <t>HÄRJEDALEN</t>
        </is>
      </c>
      <c r="G251" t="n">
        <v>5.5</v>
      </c>
      <c r="H251" t="n">
        <v>0</v>
      </c>
      <c r="I251" t="n">
        <v>0</v>
      </c>
      <c r="J251" t="n">
        <v>0</v>
      </c>
      <c r="K251" t="n">
        <v>0</v>
      </c>
      <c r="L251" t="n">
        <v>0</v>
      </c>
      <c r="M251" t="n">
        <v>0</v>
      </c>
      <c r="N251" t="n">
        <v>0</v>
      </c>
      <c r="O251" t="n">
        <v>0</v>
      </c>
      <c r="P251" t="n">
        <v>0</v>
      </c>
      <c r="Q251" t="n">
        <v>0</v>
      </c>
      <c r="R251" s="2" t="inlineStr"/>
    </row>
    <row r="252" ht="15" customHeight="1">
      <c r="A252" t="inlineStr">
        <is>
          <t>A 19114-2019</t>
        </is>
      </c>
      <c r="B252" s="1" t="n">
        <v>43563</v>
      </c>
      <c r="C252" s="1" t="n">
        <v>45354</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20063-2019</t>
        </is>
      </c>
      <c r="B253" s="1" t="n">
        <v>43567</v>
      </c>
      <c r="C253" s="1" t="n">
        <v>45354</v>
      </c>
      <c r="D253" t="inlineStr">
        <is>
          <t>JÄMTLANDS LÄN</t>
        </is>
      </c>
      <c r="E253" t="inlineStr">
        <is>
          <t>HÄRJEDALEN</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19864-2019</t>
        </is>
      </c>
      <c r="B254" s="1" t="n">
        <v>43567</v>
      </c>
      <c r="C254" s="1" t="n">
        <v>45354</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20403-2019</t>
        </is>
      </c>
      <c r="B255" s="1" t="n">
        <v>43571</v>
      </c>
      <c r="C255" s="1" t="n">
        <v>45354</v>
      </c>
      <c r="D255" t="inlineStr">
        <is>
          <t>JÄMTLANDS LÄN</t>
        </is>
      </c>
      <c r="E255" t="inlineStr">
        <is>
          <t>HÄRJEDALEN</t>
        </is>
      </c>
      <c r="F255" t="inlineStr">
        <is>
          <t>Bergvik skog väst AB</t>
        </is>
      </c>
      <c r="G255" t="n">
        <v>7.8</v>
      </c>
      <c r="H255" t="n">
        <v>0</v>
      </c>
      <c r="I255" t="n">
        <v>0</v>
      </c>
      <c r="J255" t="n">
        <v>0</v>
      </c>
      <c r="K255" t="n">
        <v>0</v>
      </c>
      <c r="L255" t="n">
        <v>0</v>
      </c>
      <c r="M255" t="n">
        <v>0</v>
      </c>
      <c r="N255" t="n">
        <v>0</v>
      </c>
      <c r="O255" t="n">
        <v>0</v>
      </c>
      <c r="P255" t="n">
        <v>0</v>
      </c>
      <c r="Q255" t="n">
        <v>0</v>
      </c>
      <c r="R255" s="2" t="inlineStr"/>
    </row>
    <row r="256" ht="15" customHeight="1">
      <c r="A256" t="inlineStr">
        <is>
          <t>A 20373-2019</t>
        </is>
      </c>
      <c r="B256" s="1" t="n">
        <v>43571</v>
      </c>
      <c r="C256" s="1" t="n">
        <v>45354</v>
      </c>
      <c r="D256" t="inlineStr">
        <is>
          <t>JÄMTLANDS LÄN</t>
        </is>
      </c>
      <c r="E256" t="inlineStr">
        <is>
          <t>HÄRJEDALEN</t>
        </is>
      </c>
      <c r="G256" t="n">
        <v>0.8</v>
      </c>
      <c r="H256" t="n">
        <v>0</v>
      </c>
      <c r="I256" t="n">
        <v>0</v>
      </c>
      <c r="J256" t="n">
        <v>0</v>
      </c>
      <c r="K256" t="n">
        <v>0</v>
      </c>
      <c r="L256" t="n">
        <v>0</v>
      </c>
      <c r="M256" t="n">
        <v>0</v>
      </c>
      <c r="N256" t="n">
        <v>0</v>
      </c>
      <c r="O256" t="n">
        <v>0</v>
      </c>
      <c r="P256" t="n">
        <v>0</v>
      </c>
      <c r="Q256" t="n">
        <v>0</v>
      </c>
      <c r="R256" s="2" t="inlineStr"/>
    </row>
    <row r="257" ht="15" customHeight="1">
      <c r="A257" t="inlineStr">
        <is>
          <t>A 20851-2019</t>
        </is>
      </c>
      <c r="B257" s="1" t="n">
        <v>43577</v>
      </c>
      <c r="C257" s="1" t="n">
        <v>45354</v>
      </c>
      <c r="D257" t="inlineStr">
        <is>
          <t>JÄMTLANDS LÄN</t>
        </is>
      </c>
      <c r="E257" t="inlineStr">
        <is>
          <t>HÄRJEDALEN</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21040-2019</t>
        </is>
      </c>
      <c r="B258" s="1" t="n">
        <v>43578</v>
      </c>
      <c r="C258" s="1" t="n">
        <v>45354</v>
      </c>
      <c r="D258" t="inlineStr">
        <is>
          <t>JÄMTLANDS LÄN</t>
        </is>
      </c>
      <c r="E258" t="inlineStr">
        <is>
          <t>HÄRJEDALEN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21189-2019</t>
        </is>
      </c>
      <c r="B259" s="1" t="n">
        <v>43579</v>
      </c>
      <c r="C259" s="1" t="n">
        <v>45354</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22622-2019</t>
        </is>
      </c>
      <c r="B260" s="1" t="n">
        <v>43588</v>
      </c>
      <c r="C260" s="1" t="n">
        <v>45354</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24030-2019</t>
        </is>
      </c>
      <c r="B261" s="1" t="n">
        <v>43598</v>
      </c>
      <c r="C261" s="1" t="n">
        <v>45354</v>
      </c>
      <c r="D261" t="inlineStr">
        <is>
          <t>JÄMTLANDS LÄN</t>
        </is>
      </c>
      <c r="E261" t="inlineStr">
        <is>
          <t>HÄRJEDALEN</t>
        </is>
      </c>
      <c r="F261" t="inlineStr">
        <is>
          <t>Sveaskog</t>
        </is>
      </c>
      <c r="G261" t="n">
        <v>39.9</v>
      </c>
      <c r="H261" t="n">
        <v>0</v>
      </c>
      <c r="I261" t="n">
        <v>0</v>
      </c>
      <c r="J261" t="n">
        <v>0</v>
      </c>
      <c r="K261" t="n">
        <v>0</v>
      </c>
      <c r="L261" t="n">
        <v>0</v>
      </c>
      <c r="M261" t="n">
        <v>0</v>
      </c>
      <c r="N261" t="n">
        <v>0</v>
      </c>
      <c r="O261" t="n">
        <v>0</v>
      </c>
      <c r="P261" t="n">
        <v>0</v>
      </c>
      <c r="Q261" t="n">
        <v>0</v>
      </c>
      <c r="R261" s="2" t="inlineStr"/>
    </row>
    <row r="262" ht="15" customHeight="1">
      <c r="A262" t="inlineStr">
        <is>
          <t>A 24760-2019</t>
        </is>
      </c>
      <c r="B262" s="1" t="n">
        <v>43601</v>
      </c>
      <c r="C262" s="1" t="n">
        <v>45354</v>
      </c>
      <c r="D262" t="inlineStr">
        <is>
          <t>JÄMTLANDS LÄN</t>
        </is>
      </c>
      <c r="E262" t="inlineStr">
        <is>
          <t>HÄRJEDALEN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25309-2019</t>
        </is>
      </c>
      <c r="B263" s="1" t="n">
        <v>43605</v>
      </c>
      <c r="C263" s="1" t="n">
        <v>45354</v>
      </c>
      <c r="D263" t="inlineStr">
        <is>
          <t>JÄMTLANDS LÄN</t>
        </is>
      </c>
      <c r="E263" t="inlineStr">
        <is>
          <t>HÄRJEDALEN</t>
        </is>
      </c>
      <c r="G263" t="n">
        <v>0.1</v>
      </c>
      <c r="H263" t="n">
        <v>0</v>
      </c>
      <c r="I263" t="n">
        <v>0</v>
      </c>
      <c r="J263" t="n">
        <v>0</v>
      </c>
      <c r="K263" t="n">
        <v>0</v>
      </c>
      <c r="L263" t="n">
        <v>0</v>
      </c>
      <c r="M263" t="n">
        <v>0</v>
      </c>
      <c r="N263" t="n">
        <v>0</v>
      </c>
      <c r="O263" t="n">
        <v>0</v>
      </c>
      <c r="P263" t="n">
        <v>0</v>
      </c>
      <c r="Q263" t="n">
        <v>0</v>
      </c>
      <c r="R263" s="2" t="inlineStr"/>
    </row>
    <row r="264" ht="15" customHeight="1">
      <c r="A264" t="inlineStr">
        <is>
          <t>A 25470-2019</t>
        </is>
      </c>
      <c r="B264" s="1" t="n">
        <v>43606</v>
      </c>
      <c r="C264" s="1" t="n">
        <v>45354</v>
      </c>
      <c r="D264" t="inlineStr">
        <is>
          <t>JÄMTLANDS LÄN</t>
        </is>
      </c>
      <c r="E264" t="inlineStr">
        <is>
          <t>HÄRJEDALEN</t>
        </is>
      </c>
      <c r="G264" t="n">
        <v>36.8</v>
      </c>
      <c r="H264" t="n">
        <v>0</v>
      </c>
      <c r="I264" t="n">
        <v>0</v>
      </c>
      <c r="J264" t="n">
        <v>0</v>
      </c>
      <c r="K264" t="n">
        <v>0</v>
      </c>
      <c r="L264" t="n">
        <v>0</v>
      </c>
      <c r="M264" t="n">
        <v>0</v>
      </c>
      <c r="N264" t="n">
        <v>0</v>
      </c>
      <c r="O264" t="n">
        <v>0</v>
      </c>
      <c r="P264" t="n">
        <v>0</v>
      </c>
      <c r="Q264" t="n">
        <v>0</v>
      </c>
      <c r="R264" s="2" t="inlineStr"/>
    </row>
    <row r="265" ht="15" customHeight="1">
      <c r="A265" t="inlineStr">
        <is>
          <t>A 26166-2019</t>
        </is>
      </c>
      <c r="B265" s="1" t="n">
        <v>43609</v>
      </c>
      <c r="C265" s="1" t="n">
        <v>45354</v>
      </c>
      <c r="D265" t="inlineStr">
        <is>
          <t>JÄMTLANDS LÄN</t>
        </is>
      </c>
      <c r="E265" t="inlineStr">
        <is>
          <t>HÄRJEDALEN</t>
        </is>
      </c>
      <c r="G265" t="n">
        <v>85.2</v>
      </c>
      <c r="H265" t="n">
        <v>0</v>
      </c>
      <c r="I265" t="n">
        <v>0</v>
      </c>
      <c r="J265" t="n">
        <v>0</v>
      </c>
      <c r="K265" t="n">
        <v>0</v>
      </c>
      <c r="L265" t="n">
        <v>0</v>
      </c>
      <c r="M265" t="n">
        <v>0</v>
      </c>
      <c r="N265" t="n">
        <v>0</v>
      </c>
      <c r="O265" t="n">
        <v>0</v>
      </c>
      <c r="P265" t="n">
        <v>0</v>
      </c>
      <c r="Q265" t="n">
        <v>0</v>
      </c>
      <c r="R265" s="2" t="inlineStr"/>
    </row>
    <row r="266" ht="15" customHeight="1">
      <c r="A266" t="inlineStr">
        <is>
          <t>A 26310-2019</t>
        </is>
      </c>
      <c r="B266" s="1" t="n">
        <v>43612</v>
      </c>
      <c r="C266" s="1" t="n">
        <v>45354</v>
      </c>
      <c r="D266" t="inlineStr">
        <is>
          <t>JÄMTLANDS LÄN</t>
        </is>
      </c>
      <c r="E266" t="inlineStr">
        <is>
          <t>HÄRJEDALEN</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26423-2019</t>
        </is>
      </c>
      <c r="B267" s="1" t="n">
        <v>43612</v>
      </c>
      <c r="C267" s="1" t="n">
        <v>45354</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27683-2019</t>
        </is>
      </c>
      <c r="B268" s="1" t="n">
        <v>43619</v>
      </c>
      <c r="C268" s="1" t="n">
        <v>45354</v>
      </c>
      <c r="D268" t="inlineStr">
        <is>
          <t>JÄMTLANDS LÄN</t>
        </is>
      </c>
      <c r="E268" t="inlineStr">
        <is>
          <t>HÄRJEDALEN</t>
        </is>
      </c>
      <c r="G268" t="n">
        <v>5.4</v>
      </c>
      <c r="H268" t="n">
        <v>0</v>
      </c>
      <c r="I268" t="n">
        <v>0</v>
      </c>
      <c r="J268" t="n">
        <v>0</v>
      </c>
      <c r="K268" t="n">
        <v>0</v>
      </c>
      <c r="L268" t="n">
        <v>0</v>
      </c>
      <c r="M268" t="n">
        <v>0</v>
      </c>
      <c r="N268" t="n">
        <v>0</v>
      </c>
      <c r="O268" t="n">
        <v>0</v>
      </c>
      <c r="P268" t="n">
        <v>0</v>
      </c>
      <c r="Q268" t="n">
        <v>0</v>
      </c>
      <c r="R268" s="2" t="inlineStr"/>
    </row>
    <row r="269" ht="15" customHeight="1">
      <c r="A269" t="inlineStr">
        <is>
          <t>A 27903-2019</t>
        </is>
      </c>
      <c r="B269" s="1" t="n">
        <v>43620</v>
      </c>
      <c r="C269" s="1" t="n">
        <v>45354</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28312-2019</t>
        </is>
      </c>
      <c r="B270" s="1" t="n">
        <v>43623</v>
      </c>
      <c r="C270" s="1" t="n">
        <v>45354</v>
      </c>
      <c r="D270" t="inlineStr">
        <is>
          <t>JÄMTLANDS LÄN</t>
        </is>
      </c>
      <c r="E270" t="inlineStr">
        <is>
          <t>HÄRJEDALEN</t>
        </is>
      </c>
      <c r="G270" t="n">
        <v>6.5</v>
      </c>
      <c r="H270" t="n">
        <v>0</v>
      </c>
      <c r="I270" t="n">
        <v>0</v>
      </c>
      <c r="J270" t="n">
        <v>0</v>
      </c>
      <c r="K270" t="n">
        <v>0</v>
      </c>
      <c r="L270" t="n">
        <v>0</v>
      </c>
      <c r="M270" t="n">
        <v>0</v>
      </c>
      <c r="N270" t="n">
        <v>0</v>
      </c>
      <c r="O270" t="n">
        <v>0</v>
      </c>
      <c r="P270" t="n">
        <v>0</v>
      </c>
      <c r="Q270" t="n">
        <v>0</v>
      </c>
      <c r="R270" s="2" t="inlineStr"/>
    </row>
    <row r="271" ht="15" customHeight="1">
      <c r="A271" t="inlineStr">
        <is>
          <t>A 28326-2019</t>
        </is>
      </c>
      <c r="B271" s="1" t="n">
        <v>43623</v>
      </c>
      <c r="C271" s="1" t="n">
        <v>45354</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28513-2019</t>
        </is>
      </c>
      <c r="B272" s="1" t="n">
        <v>43626</v>
      </c>
      <c r="C272" s="1" t="n">
        <v>45354</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29263-2019</t>
        </is>
      </c>
      <c r="B273" s="1" t="n">
        <v>43629</v>
      </c>
      <c r="C273" s="1" t="n">
        <v>45354</v>
      </c>
      <c r="D273" t="inlineStr">
        <is>
          <t>JÄMTLANDS LÄN</t>
        </is>
      </c>
      <c r="E273" t="inlineStr">
        <is>
          <t>HÄRJEDALEN</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29822-2019</t>
        </is>
      </c>
      <c r="B274" s="1" t="n">
        <v>43633</v>
      </c>
      <c r="C274" s="1" t="n">
        <v>45354</v>
      </c>
      <c r="D274" t="inlineStr">
        <is>
          <t>JÄMTLANDS LÄN</t>
        </is>
      </c>
      <c r="E274" t="inlineStr">
        <is>
          <t>HÄRJEDALEN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34618-2019</t>
        </is>
      </c>
      <c r="B275" s="1" t="n">
        <v>43647</v>
      </c>
      <c r="C275" s="1" t="n">
        <v>45354</v>
      </c>
      <c r="D275" t="inlineStr">
        <is>
          <t>JÄMTLANDS LÄN</t>
        </is>
      </c>
      <c r="E275" t="inlineStr">
        <is>
          <t>HÄRJEDALEN</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32878-2019</t>
        </is>
      </c>
      <c r="B276" s="1" t="n">
        <v>43648</v>
      </c>
      <c r="C276" s="1" t="n">
        <v>45354</v>
      </c>
      <c r="D276" t="inlineStr">
        <is>
          <t>JÄMTLANDS LÄN</t>
        </is>
      </c>
      <c r="E276" t="inlineStr">
        <is>
          <t>HÄRJEDALEN</t>
        </is>
      </c>
      <c r="F276" t="inlineStr">
        <is>
          <t>Övriga Aktiebolag</t>
        </is>
      </c>
      <c r="G276" t="n">
        <v>91.8</v>
      </c>
      <c r="H276" t="n">
        <v>0</v>
      </c>
      <c r="I276" t="n">
        <v>0</v>
      </c>
      <c r="J276" t="n">
        <v>0</v>
      </c>
      <c r="K276" t="n">
        <v>0</v>
      </c>
      <c r="L276" t="n">
        <v>0</v>
      </c>
      <c r="M276" t="n">
        <v>0</v>
      </c>
      <c r="N276" t="n">
        <v>0</v>
      </c>
      <c r="O276" t="n">
        <v>0</v>
      </c>
      <c r="P276" t="n">
        <v>0</v>
      </c>
      <c r="Q276" t="n">
        <v>0</v>
      </c>
      <c r="R276" s="2" t="inlineStr"/>
    </row>
    <row r="277" ht="15" customHeight="1">
      <c r="A277" t="inlineStr">
        <is>
          <t>A 33496-2019</t>
        </is>
      </c>
      <c r="B277" s="1" t="n">
        <v>43651</v>
      </c>
      <c r="C277" s="1" t="n">
        <v>45354</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33497-2019</t>
        </is>
      </c>
      <c r="B278" s="1" t="n">
        <v>43651</v>
      </c>
      <c r="C278" s="1" t="n">
        <v>45354</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34688-2019</t>
        </is>
      </c>
      <c r="B279" s="1" t="n">
        <v>43657</v>
      </c>
      <c r="C279" s="1" t="n">
        <v>45354</v>
      </c>
      <c r="D279" t="inlineStr">
        <is>
          <t>JÄMTLANDS LÄN</t>
        </is>
      </c>
      <c r="E279" t="inlineStr">
        <is>
          <t>HÄRJEDALEN</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34805-2019</t>
        </is>
      </c>
      <c r="B280" s="1" t="n">
        <v>43658</v>
      </c>
      <c r="C280" s="1" t="n">
        <v>45354</v>
      </c>
      <c r="D280" t="inlineStr">
        <is>
          <t>JÄMTLANDS LÄN</t>
        </is>
      </c>
      <c r="E280" t="inlineStr">
        <is>
          <t>HÄRJEDALEN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35160-2019</t>
        </is>
      </c>
      <c r="B281" s="1" t="n">
        <v>43661</v>
      </c>
      <c r="C281" s="1" t="n">
        <v>45354</v>
      </c>
      <c r="D281" t="inlineStr">
        <is>
          <t>JÄMTLANDS LÄN</t>
        </is>
      </c>
      <c r="E281" t="inlineStr">
        <is>
          <t>HÄRJEDALEN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36343-2019</t>
        </is>
      </c>
      <c r="B282" s="1" t="n">
        <v>43662</v>
      </c>
      <c r="C282" s="1" t="n">
        <v>45354</v>
      </c>
      <c r="D282" t="inlineStr">
        <is>
          <t>JÄMTLANDS LÄN</t>
        </is>
      </c>
      <c r="E282" t="inlineStr">
        <is>
          <t>HÄRJEDALEN</t>
        </is>
      </c>
      <c r="G282" t="n">
        <v>8</v>
      </c>
      <c r="H282" t="n">
        <v>0</v>
      </c>
      <c r="I282" t="n">
        <v>0</v>
      </c>
      <c r="J282" t="n">
        <v>0</v>
      </c>
      <c r="K282" t="n">
        <v>0</v>
      </c>
      <c r="L282" t="n">
        <v>0</v>
      </c>
      <c r="M282" t="n">
        <v>0</v>
      </c>
      <c r="N282" t="n">
        <v>0</v>
      </c>
      <c r="O282" t="n">
        <v>0</v>
      </c>
      <c r="P282" t="n">
        <v>0</v>
      </c>
      <c r="Q282" t="n">
        <v>0</v>
      </c>
      <c r="R282" s="2" t="inlineStr"/>
    </row>
    <row r="283" ht="15" customHeight="1">
      <c r="A283" t="inlineStr">
        <is>
          <t>A 38283-2019</t>
        </is>
      </c>
      <c r="B283" s="1" t="n">
        <v>43684</v>
      </c>
      <c r="C283" s="1" t="n">
        <v>45354</v>
      </c>
      <c r="D283" t="inlineStr">
        <is>
          <t>JÄMTLANDS LÄN</t>
        </is>
      </c>
      <c r="E283" t="inlineStr">
        <is>
          <t>HÄRJEDALEN</t>
        </is>
      </c>
      <c r="F283" t="inlineStr">
        <is>
          <t>Bergvik skog väst AB</t>
        </is>
      </c>
      <c r="G283" t="n">
        <v>29.5</v>
      </c>
      <c r="H283" t="n">
        <v>0</v>
      </c>
      <c r="I283" t="n">
        <v>0</v>
      </c>
      <c r="J283" t="n">
        <v>0</v>
      </c>
      <c r="K283" t="n">
        <v>0</v>
      </c>
      <c r="L283" t="n">
        <v>0</v>
      </c>
      <c r="M283" t="n">
        <v>0</v>
      </c>
      <c r="N283" t="n">
        <v>0</v>
      </c>
      <c r="O283" t="n">
        <v>0</v>
      </c>
      <c r="P283" t="n">
        <v>0</v>
      </c>
      <c r="Q283" t="n">
        <v>0</v>
      </c>
      <c r="R283" s="2" t="inlineStr"/>
    </row>
    <row r="284" ht="15" customHeight="1">
      <c r="A284" t="inlineStr">
        <is>
          <t>A 38859-2019</t>
        </is>
      </c>
      <c r="B284" s="1" t="n">
        <v>43689</v>
      </c>
      <c r="C284" s="1" t="n">
        <v>45354</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38884-2019</t>
        </is>
      </c>
      <c r="B285" s="1" t="n">
        <v>43689</v>
      </c>
      <c r="C285" s="1" t="n">
        <v>45354</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40244-2019</t>
        </is>
      </c>
      <c r="B286" s="1" t="n">
        <v>43694</v>
      </c>
      <c r="C286" s="1" t="n">
        <v>45354</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42123-2019</t>
        </is>
      </c>
      <c r="B287" s="1" t="n">
        <v>43703</v>
      </c>
      <c r="C287" s="1" t="n">
        <v>45354</v>
      </c>
      <c r="D287" t="inlineStr">
        <is>
          <t>JÄMTLANDS LÄN</t>
        </is>
      </c>
      <c r="E287" t="inlineStr">
        <is>
          <t>HÄRJEDALEN</t>
        </is>
      </c>
      <c r="G287" t="n">
        <v>1.8</v>
      </c>
      <c r="H287" t="n">
        <v>0</v>
      </c>
      <c r="I287" t="n">
        <v>0</v>
      </c>
      <c r="J287" t="n">
        <v>0</v>
      </c>
      <c r="K287" t="n">
        <v>0</v>
      </c>
      <c r="L287" t="n">
        <v>0</v>
      </c>
      <c r="M287" t="n">
        <v>0</v>
      </c>
      <c r="N287" t="n">
        <v>0</v>
      </c>
      <c r="O287" t="n">
        <v>0</v>
      </c>
      <c r="P287" t="n">
        <v>0</v>
      </c>
      <c r="Q287" t="n">
        <v>0</v>
      </c>
      <c r="R287" s="2" t="inlineStr"/>
    </row>
    <row r="288" ht="15" customHeight="1">
      <c r="A288" t="inlineStr">
        <is>
          <t>A 43103-2019</t>
        </is>
      </c>
      <c r="B288" s="1" t="n">
        <v>43705</v>
      </c>
      <c r="C288" s="1" t="n">
        <v>45354</v>
      </c>
      <c r="D288" t="inlineStr">
        <is>
          <t>JÄMTLANDS LÄN</t>
        </is>
      </c>
      <c r="E288" t="inlineStr">
        <is>
          <t>HÄRJEDALEN</t>
        </is>
      </c>
      <c r="G288" t="n">
        <v>38.6</v>
      </c>
      <c r="H288" t="n">
        <v>0</v>
      </c>
      <c r="I288" t="n">
        <v>0</v>
      </c>
      <c r="J288" t="n">
        <v>0</v>
      </c>
      <c r="K288" t="n">
        <v>0</v>
      </c>
      <c r="L288" t="n">
        <v>0</v>
      </c>
      <c r="M288" t="n">
        <v>0</v>
      </c>
      <c r="N288" t="n">
        <v>0</v>
      </c>
      <c r="O288" t="n">
        <v>0</v>
      </c>
      <c r="P288" t="n">
        <v>0</v>
      </c>
      <c r="Q288" t="n">
        <v>0</v>
      </c>
      <c r="R288" s="2" t="inlineStr"/>
    </row>
    <row r="289" ht="15" customHeight="1">
      <c r="A289" t="inlineStr">
        <is>
          <t>A 43142-2019</t>
        </is>
      </c>
      <c r="B289" s="1" t="n">
        <v>43705</v>
      </c>
      <c r="C289" s="1" t="n">
        <v>45354</v>
      </c>
      <c r="D289" t="inlineStr">
        <is>
          <t>JÄMTLANDS LÄN</t>
        </is>
      </c>
      <c r="E289" t="inlineStr">
        <is>
          <t>HÄRJEDALEN</t>
        </is>
      </c>
      <c r="G289" t="n">
        <v>3.2</v>
      </c>
      <c r="H289" t="n">
        <v>0</v>
      </c>
      <c r="I289" t="n">
        <v>0</v>
      </c>
      <c r="J289" t="n">
        <v>0</v>
      </c>
      <c r="K289" t="n">
        <v>0</v>
      </c>
      <c r="L289" t="n">
        <v>0</v>
      </c>
      <c r="M289" t="n">
        <v>0</v>
      </c>
      <c r="N289" t="n">
        <v>0</v>
      </c>
      <c r="O289" t="n">
        <v>0</v>
      </c>
      <c r="P289" t="n">
        <v>0</v>
      </c>
      <c r="Q289" t="n">
        <v>0</v>
      </c>
      <c r="R289" s="2" t="inlineStr"/>
    </row>
    <row r="290" ht="15" customHeight="1">
      <c r="A290" t="inlineStr">
        <is>
          <t>A 43649-2019</t>
        </is>
      </c>
      <c r="B290" s="1" t="n">
        <v>43707</v>
      </c>
      <c r="C290" s="1" t="n">
        <v>45354</v>
      </c>
      <c r="D290" t="inlineStr">
        <is>
          <t>JÄMTLANDS LÄN</t>
        </is>
      </c>
      <c r="E290" t="inlineStr">
        <is>
          <t>HÄRJEDALEN</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43896-2019</t>
        </is>
      </c>
      <c r="B291" s="1" t="n">
        <v>43707</v>
      </c>
      <c r="C291" s="1" t="n">
        <v>45354</v>
      </c>
      <c r="D291" t="inlineStr">
        <is>
          <t>JÄMTLANDS LÄN</t>
        </is>
      </c>
      <c r="E291" t="inlineStr">
        <is>
          <t>HÄRJEDALEN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45167-2019</t>
        </is>
      </c>
      <c r="B292" s="1" t="n">
        <v>43713</v>
      </c>
      <c r="C292" s="1" t="n">
        <v>45354</v>
      </c>
      <c r="D292" t="inlineStr">
        <is>
          <t>JÄMTLANDS LÄN</t>
        </is>
      </c>
      <c r="E292" t="inlineStr">
        <is>
          <t>HÄRJEDALEN</t>
        </is>
      </c>
      <c r="F292" t="inlineStr">
        <is>
          <t>Holmen skog AB</t>
        </is>
      </c>
      <c r="G292" t="n">
        <v>15.9</v>
      </c>
      <c r="H292" t="n">
        <v>0</v>
      </c>
      <c r="I292" t="n">
        <v>0</v>
      </c>
      <c r="J292" t="n">
        <v>0</v>
      </c>
      <c r="K292" t="n">
        <v>0</v>
      </c>
      <c r="L292" t="n">
        <v>0</v>
      </c>
      <c r="M292" t="n">
        <v>0</v>
      </c>
      <c r="N292" t="n">
        <v>0</v>
      </c>
      <c r="O292" t="n">
        <v>0</v>
      </c>
      <c r="P292" t="n">
        <v>0</v>
      </c>
      <c r="Q292" t="n">
        <v>0</v>
      </c>
      <c r="R292" s="2" t="inlineStr"/>
    </row>
    <row r="293" ht="15" customHeight="1">
      <c r="A293" t="inlineStr">
        <is>
          <t>A 44939-2019</t>
        </is>
      </c>
      <c r="B293" s="1" t="n">
        <v>43713</v>
      </c>
      <c r="C293" s="1" t="n">
        <v>45354</v>
      </c>
      <c r="D293" t="inlineStr">
        <is>
          <t>JÄMTLANDS LÄN</t>
        </is>
      </c>
      <c r="E293" t="inlineStr">
        <is>
          <t>HÄRJEDALEN</t>
        </is>
      </c>
      <c r="G293" t="n">
        <v>1.2</v>
      </c>
      <c r="H293" t="n">
        <v>0</v>
      </c>
      <c r="I293" t="n">
        <v>0</v>
      </c>
      <c r="J293" t="n">
        <v>0</v>
      </c>
      <c r="K293" t="n">
        <v>0</v>
      </c>
      <c r="L293" t="n">
        <v>0</v>
      </c>
      <c r="M293" t="n">
        <v>0</v>
      </c>
      <c r="N293" t="n">
        <v>0</v>
      </c>
      <c r="O293" t="n">
        <v>0</v>
      </c>
      <c r="P293" t="n">
        <v>0</v>
      </c>
      <c r="Q293" t="n">
        <v>0</v>
      </c>
      <c r="R293" s="2" t="inlineStr"/>
    </row>
    <row r="294" ht="15" customHeight="1">
      <c r="A294" t="inlineStr">
        <is>
          <t>A 45858-2019</t>
        </is>
      </c>
      <c r="B294" s="1" t="n">
        <v>43717</v>
      </c>
      <c r="C294" s="1" t="n">
        <v>45354</v>
      </c>
      <c r="D294" t="inlineStr">
        <is>
          <t>JÄMTLANDS LÄN</t>
        </is>
      </c>
      <c r="E294" t="inlineStr">
        <is>
          <t>HÄRJEDALEN</t>
        </is>
      </c>
      <c r="F294" t="inlineStr">
        <is>
          <t>Holmen skog AB</t>
        </is>
      </c>
      <c r="G294" t="n">
        <v>3.9</v>
      </c>
      <c r="H294" t="n">
        <v>0</v>
      </c>
      <c r="I294" t="n">
        <v>0</v>
      </c>
      <c r="J294" t="n">
        <v>0</v>
      </c>
      <c r="K294" t="n">
        <v>0</v>
      </c>
      <c r="L294" t="n">
        <v>0</v>
      </c>
      <c r="M294" t="n">
        <v>0</v>
      </c>
      <c r="N294" t="n">
        <v>0</v>
      </c>
      <c r="O294" t="n">
        <v>0</v>
      </c>
      <c r="P294" t="n">
        <v>0</v>
      </c>
      <c r="Q294" t="n">
        <v>0</v>
      </c>
      <c r="R294" s="2" t="inlineStr"/>
    </row>
    <row r="295" ht="15" customHeight="1">
      <c r="A295" t="inlineStr">
        <is>
          <t>A 45781-2019</t>
        </is>
      </c>
      <c r="B295" s="1" t="n">
        <v>43717</v>
      </c>
      <c r="C295" s="1" t="n">
        <v>45354</v>
      </c>
      <c r="D295" t="inlineStr">
        <is>
          <t>JÄMTLANDS LÄN</t>
        </is>
      </c>
      <c r="E295" t="inlineStr">
        <is>
          <t>HÄRJEDALEN</t>
        </is>
      </c>
      <c r="F295" t="inlineStr">
        <is>
          <t>Holmen skog AB</t>
        </is>
      </c>
      <c r="G295" t="n">
        <v>13.8</v>
      </c>
      <c r="H295" t="n">
        <v>0</v>
      </c>
      <c r="I295" t="n">
        <v>0</v>
      </c>
      <c r="J295" t="n">
        <v>0</v>
      </c>
      <c r="K295" t="n">
        <v>0</v>
      </c>
      <c r="L295" t="n">
        <v>0</v>
      </c>
      <c r="M295" t="n">
        <v>0</v>
      </c>
      <c r="N295" t="n">
        <v>0</v>
      </c>
      <c r="O295" t="n">
        <v>0</v>
      </c>
      <c r="P295" t="n">
        <v>0</v>
      </c>
      <c r="Q295" t="n">
        <v>0</v>
      </c>
      <c r="R295" s="2" t="inlineStr"/>
    </row>
    <row r="296" ht="15" customHeight="1">
      <c r="A296" t="inlineStr">
        <is>
          <t>A 46156-2019</t>
        </is>
      </c>
      <c r="B296" s="1" t="n">
        <v>43718</v>
      </c>
      <c r="C296" s="1" t="n">
        <v>45354</v>
      </c>
      <c r="D296" t="inlineStr">
        <is>
          <t>JÄMTLANDS LÄN</t>
        </is>
      </c>
      <c r="E296" t="inlineStr">
        <is>
          <t>HÄRJEDALEN</t>
        </is>
      </c>
      <c r="G296" t="n">
        <v>3.9</v>
      </c>
      <c r="H296" t="n">
        <v>0</v>
      </c>
      <c r="I296" t="n">
        <v>0</v>
      </c>
      <c r="J296" t="n">
        <v>0</v>
      </c>
      <c r="K296" t="n">
        <v>0</v>
      </c>
      <c r="L296" t="n">
        <v>0</v>
      </c>
      <c r="M296" t="n">
        <v>0</v>
      </c>
      <c r="N296" t="n">
        <v>0</v>
      </c>
      <c r="O296" t="n">
        <v>0</v>
      </c>
      <c r="P296" t="n">
        <v>0</v>
      </c>
      <c r="Q296" t="n">
        <v>0</v>
      </c>
      <c r="R296" s="2" t="inlineStr"/>
    </row>
    <row r="297" ht="15" customHeight="1">
      <c r="A297" t="inlineStr">
        <is>
          <t>A 46133-2019</t>
        </is>
      </c>
      <c r="B297" s="1" t="n">
        <v>43718</v>
      </c>
      <c r="C297" s="1" t="n">
        <v>45354</v>
      </c>
      <c r="D297" t="inlineStr">
        <is>
          <t>JÄMTLANDS LÄN</t>
        </is>
      </c>
      <c r="E297" t="inlineStr">
        <is>
          <t>HÄRJEDALEN</t>
        </is>
      </c>
      <c r="G297" t="n">
        <v>17.6</v>
      </c>
      <c r="H297" t="n">
        <v>0</v>
      </c>
      <c r="I297" t="n">
        <v>0</v>
      </c>
      <c r="J297" t="n">
        <v>0</v>
      </c>
      <c r="K297" t="n">
        <v>0</v>
      </c>
      <c r="L297" t="n">
        <v>0</v>
      </c>
      <c r="M297" t="n">
        <v>0</v>
      </c>
      <c r="N297" t="n">
        <v>0</v>
      </c>
      <c r="O297" t="n">
        <v>0</v>
      </c>
      <c r="P297" t="n">
        <v>0</v>
      </c>
      <c r="Q297" t="n">
        <v>0</v>
      </c>
      <c r="R297" s="2" t="inlineStr"/>
    </row>
    <row r="298" ht="15" customHeight="1">
      <c r="A298" t="inlineStr">
        <is>
          <t>A 46163-2019</t>
        </is>
      </c>
      <c r="B298" s="1" t="n">
        <v>43718</v>
      </c>
      <c r="C298" s="1" t="n">
        <v>45354</v>
      </c>
      <c r="D298" t="inlineStr">
        <is>
          <t>JÄMTLANDS LÄN</t>
        </is>
      </c>
      <c r="E298" t="inlineStr">
        <is>
          <t>HÄRJEDALEN</t>
        </is>
      </c>
      <c r="G298" t="n">
        <v>28.9</v>
      </c>
      <c r="H298" t="n">
        <v>0</v>
      </c>
      <c r="I298" t="n">
        <v>0</v>
      </c>
      <c r="J298" t="n">
        <v>0</v>
      </c>
      <c r="K298" t="n">
        <v>0</v>
      </c>
      <c r="L298" t="n">
        <v>0</v>
      </c>
      <c r="M298" t="n">
        <v>0</v>
      </c>
      <c r="N298" t="n">
        <v>0</v>
      </c>
      <c r="O298" t="n">
        <v>0</v>
      </c>
      <c r="P298" t="n">
        <v>0</v>
      </c>
      <c r="Q298" t="n">
        <v>0</v>
      </c>
      <c r="R298" s="2" t="inlineStr"/>
    </row>
    <row r="299" ht="15" customHeight="1">
      <c r="A299" t="inlineStr">
        <is>
          <t>A 47004-2019</t>
        </is>
      </c>
      <c r="B299" s="1" t="n">
        <v>43720</v>
      </c>
      <c r="C299" s="1" t="n">
        <v>45354</v>
      </c>
      <c r="D299" t="inlineStr">
        <is>
          <t>JÄMTLANDS LÄN</t>
        </is>
      </c>
      <c r="E299" t="inlineStr">
        <is>
          <t>HÄRJEDALEN</t>
        </is>
      </c>
      <c r="F299" t="inlineStr">
        <is>
          <t>Bergvik skog väst AB</t>
        </is>
      </c>
      <c r="G299" t="n">
        <v>13.7</v>
      </c>
      <c r="H299" t="n">
        <v>0</v>
      </c>
      <c r="I299" t="n">
        <v>0</v>
      </c>
      <c r="J299" t="n">
        <v>0</v>
      </c>
      <c r="K299" t="n">
        <v>0</v>
      </c>
      <c r="L299" t="n">
        <v>0</v>
      </c>
      <c r="M299" t="n">
        <v>0</v>
      </c>
      <c r="N299" t="n">
        <v>0</v>
      </c>
      <c r="O299" t="n">
        <v>0</v>
      </c>
      <c r="P299" t="n">
        <v>0</v>
      </c>
      <c r="Q299" t="n">
        <v>0</v>
      </c>
      <c r="R299" s="2" t="inlineStr"/>
    </row>
    <row r="300" ht="15" customHeight="1">
      <c r="A300" t="inlineStr">
        <is>
          <t>A 49328-2019</t>
        </is>
      </c>
      <c r="B300" s="1" t="n">
        <v>43731</v>
      </c>
      <c r="C300" s="1" t="n">
        <v>45354</v>
      </c>
      <c r="D300" t="inlineStr">
        <is>
          <t>JÄMTLANDS LÄN</t>
        </is>
      </c>
      <c r="E300" t="inlineStr">
        <is>
          <t>HÄRJEDALEN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49336-2019</t>
        </is>
      </c>
      <c r="B301" s="1" t="n">
        <v>43731</v>
      </c>
      <c r="C301" s="1" t="n">
        <v>45354</v>
      </c>
      <c r="D301" t="inlineStr">
        <is>
          <t>JÄMTLANDS LÄN</t>
        </is>
      </c>
      <c r="E301" t="inlineStr">
        <is>
          <t>HÄRJEDALEN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50310-2019</t>
        </is>
      </c>
      <c r="B302" s="1" t="n">
        <v>43735</v>
      </c>
      <c r="C302" s="1" t="n">
        <v>45354</v>
      </c>
      <c r="D302" t="inlineStr">
        <is>
          <t>JÄMTLANDS LÄN</t>
        </is>
      </c>
      <c r="E302" t="inlineStr">
        <is>
          <t>HÄRJEDALEN</t>
        </is>
      </c>
      <c r="G302" t="n">
        <v>9.1</v>
      </c>
      <c r="H302" t="n">
        <v>0</v>
      </c>
      <c r="I302" t="n">
        <v>0</v>
      </c>
      <c r="J302" t="n">
        <v>0</v>
      </c>
      <c r="K302" t="n">
        <v>0</v>
      </c>
      <c r="L302" t="n">
        <v>0</v>
      </c>
      <c r="M302" t="n">
        <v>0</v>
      </c>
      <c r="N302" t="n">
        <v>0</v>
      </c>
      <c r="O302" t="n">
        <v>0</v>
      </c>
      <c r="P302" t="n">
        <v>0</v>
      </c>
      <c r="Q302" t="n">
        <v>0</v>
      </c>
      <c r="R302" s="2" t="inlineStr"/>
    </row>
    <row r="303" ht="15" customHeight="1">
      <c r="A303" t="inlineStr">
        <is>
          <t>A 50411-2019</t>
        </is>
      </c>
      <c r="B303" s="1" t="n">
        <v>43735</v>
      </c>
      <c r="C303" s="1" t="n">
        <v>45354</v>
      </c>
      <c r="D303" t="inlineStr">
        <is>
          <t>JÄMTLANDS LÄN</t>
        </is>
      </c>
      <c r="E303" t="inlineStr">
        <is>
          <t>HÄRJEDALEN</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50519-2019</t>
        </is>
      </c>
      <c r="B304" s="1" t="n">
        <v>43735</v>
      </c>
      <c r="C304" s="1" t="n">
        <v>45354</v>
      </c>
      <c r="D304" t="inlineStr">
        <is>
          <t>JÄMTLANDS LÄN</t>
        </is>
      </c>
      <c r="E304" t="inlineStr">
        <is>
          <t>HÄRJEDALEN</t>
        </is>
      </c>
      <c r="G304" t="n">
        <v>4.2</v>
      </c>
      <c r="H304" t="n">
        <v>0</v>
      </c>
      <c r="I304" t="n">
        <v>0</v>
      </c>
      <c r="J304" t="n">
        <v>0</v>
      </c>
      <c r="K304" t="n">
        <v>0</v>
      </c>
      <c r="L304" t="n">
        <v>0</v>
      </c>
      <c r="M304" t="n">
        <v>0</v>
      </c>
      <c r="N304" t="n">
        <v>0</v>
      </c>
      <c r="O304" t="n">
        <v>0</v>
      </c>
      <c r="P304" t="n">
        <v>0</v>
      </c>
      <c r="Q304" t="n">
        <v>0</v>
      </c>
      <c r="R304" s="2" t="inlineStr"/>
    </row>
    <row r="305" ht="15" customHeight="1">
      <c r="A305" t="inlineStr">
        <is>
          <t>A 50624-2019</t>
        </is>
      </c>
      <c r="B305" s="1" t="n">
        <v>43736</v>
      </c>
      <c r="C305" s="1" t="n">
        <v>45354</v>
      </c>
      <c r="D305" t="inlineStr">
        <is>
          <t>JÄMTLANDS LÄN</t>
        </is>
      </c>
      <c r="E305" t="inlineStr">
        <is>
          <t>HÄRJEDALEN</t>
        </is>
      </c>
      <c r="G305" t="n">
        <v>2.4</v>
      </c>
      <c r="H305" t="n">
        <v>0</v>
      </c>
      <c r="I305" t="n">
        <v>0</v>
      </c>
      <c r="J305" t="n">
        <v>0</v>
      </c>
      <c r="K305" t="n">
        <v>0</v>
      </c>
      <c r="L305" t="n">
        <v>0</v>
      </c>
      <c r="M305" t="n">
        <v>0</v>
      </c>
      <c r="N305" t="n">
        <v>0</v>
      </c>
      <c r="O305" t="n">
        <v>0</v>
      </c>
      <c r="P305" t="n">
        <v>0</v>
      </c>
      <c r="Q305" t="n">
        <v>0</v>
      </c>
      <c r="R305" s="2" t="inlineStr"/>
    </row>
    <row r="306" ht="15" customHeight="1">
      <c r="A306" t="inlineStr">
        <is>
          <t>A 51108-2019</t>
        </is>
      </c>
      <c r="B306" s="1" t="n">
        <v>43739</v>
      </c>
      <c r="C306" s="1" t="n">
        <v>45354</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51118-2019</t>
        </is>
      </c>
      <c r="B307" s="1" t="n">
        <v>43739</v>
      </c>
      <c r="C307" s="1" t="n">
        <v>45354</v>
      </c>
      <c r="D307" t="inlineStr">
        <is>
          <t>JÄMTLANDS LÄN</t>
        </is>
      </c>
      <c r="E307" t="inlineStr">
        <is>
          <t>HÄRJEDALEN</t>
        </is>
      </c>
      <c r="G307" t="n">
        <v>12.5</v>
      </c>
      <c r="H307" t="n">
        <v>0</v>
      </c>
      <c r="I307" t="n">
        <v>0</v>
      </c>
      <c r="J307" t="n">
        <v>0</v>
      </c>
      <c r="K307" t="n">
        <v>0</v>
      </c>
      <c r="L307" t="n">
        <v>0</v>
      </c>
      <c r="M307" t="n">
        <v>0</v>
      </c>
      <c r="N307" t="n">
        <v>0</v>
      </c>
      <c r="O307" t="n">
        <v>0</v>
      </c>
      <c r="P307" t="n">
        <v>0</v>
      </c>
      <c r="Q307" t="n">
        <v>0</v>
      </c>
      <c r="R307" s="2" t="inlineStr"/>
    </row>
    <row r="308" ht="15" customHeight="1">
      <c r="A308" t="inlineStr">
        <is>
          <t>A 51123-2019</t>
        </is>
      </c>
      <c r="B308" s="1" t="n">
        <v>43739</v>
      </c>
      <c r="C308" s="1" t="n">
        <v>45354</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51105-2019</t>
        </is>
      </c>
      <c r="B309" s="1" t="n">
        <v>43739</v>
      </c>
      <c r="C309" s="1" t="n">
        <v>45354</v>
      </c>
      <c r="D309" t="inlineStr">
        <is>
          <t>JÄMTLANDS LÄN</t>
        </is>
      </c>
      <c r="E309" t="inlineStr">
        <is>
          <t>HÄRJEDALEN</t>
        </is>
      </c>
      <c r="G309" t="n">
        <v>2</v>
      </c>
      <c r="H309" t="n">
        <v>0</v>
      </c>
      <c r="I309" t="n">
        <v>0</v>
      </c>
      <c r="J309" t="n">
        <v>0</v>
      </c>
      <c r="K309" t="n">
        <v>0</v>
      </c>
      <c r="L309" t="n">
        <v>0</v>
      </c>
      <c r="M309" t="n">
        <v>0</v>
      </c>
      <c r="N309" t="n">
        <v>0</v>
      </c>
      <c r="O309" t="n">
        <v>0</v>
      </c>
      <c r="P309" t="n">
        <v>0</v>
      </c>
      <c r="Q309" t="n">
        <v>0</v>
      </c>
      <c r="R309" s="2" t="inlineStr"/>
    </row>
    <row r="310" ht="15" customHeight="1">
      <c r="A310" t="inlineStr">
        <is>
          <t>A 51111-2019</t>
        </is>
      </c>
      <c r="B310" s="1" t="n">
        <v>43739</v>
      </c>
      <c r="C310" s="1" t="n">
        <v>45354</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52304-2019</t>
        </is>
      </c>
      <c r="B311" s="1" t="n">
        <v>43745</v>
      </c>
      <c r="C311" s="1" t="n">
        <v>45354</v>
      </c>
      <c r="D311" t="inlineStr">
        <is>
          <t>JÄMTLANDS LÄN</t>
        </is>
      </c>
      <c r="E311" t="inlineStr">
        <is>
          <t>HÄRJEDALEN</t>
        </is>
      </c>
      <c r="G311" t="n">
        <v>4.8</v>
      </c>
      <c r="H311" t="n">
        <v>0</v>
      </c>
      <c r="I311" t="n">
        <v>0</v>
      </c>
      <c r="J311" t="n">
        <v>0</v>
      </c>
      <c r="K311" t="n">
        <v>0</v>
      </c>
      <c r="L311" t="n">
        <v>0</v>
      </c>
      <c r="M311" t="n">
        <v>0</v>
      </c>
      <c r="N311" t="n">
        <v>0</v>
      </c>
      <c r="O311" t="n">
        <v>0</v>
      </c>
      <c r="P311" t="n">
        <v>0</v>
      </c>
      <c r="Q311" t="n">
        <v>0</v>
      </c>
      <c r="R311" s="2" t="inlineStr"/>
    </row>
    <row r="312" ht="15" customHeight="1">
      <c r="A312" t="inlineStr">
        <is>
          <t>A 52709-2019</t>
        </is>
      </c>
      <c r="B312" s="1" t="n">
        <v>43746</v>
      </c>
      <c r="C312" s="1" t="n">
        <v>45354</v>
      </c>
      <c r="D312" t="inlineStr">
        <is>
          <t>JÄMTLANDS LÄN</t>
        </is>
      </c>
      <c r="E312" t="inlineStr">
        <is>
          <t>HÄRJEDALEN</t>
        </is>
      </c>
      <c r="G312" t="n">
        <v>10.6</v>
      </c>
      <c r="H312" t="n">
        <v>0</v>
      </c>
      <c r="I312" t="n">
        <v>0</v>
      </c>
      <c r="J312" t="n">
        <v>0</v>
      </c>
      <c r="K312" t="n">
        <v>0</v>
      </c>
      <c r="L312" t="n">
        <v>0</v>
      </c>
      <c r="M312" t="n">
        <v>0</v>
      </c>
      <c r="N312" t="n">
        <v>0</v>
      </c>
      <c r="O312" t="n">
        <v>0</v>
      </c>
      <c r="P312" t="n">
        <v>0</v>
      </c>
      <c r="Q312" t="n">
        <v>0</v>
      </c>
      <c r="R312" s="2" t="inlineStr"/>
    </row>
    <row r="313" ht="15" customHeight="1">
      <c r="A313" t="inlineStr">
        <is>
          <t>A 52992-2019</t>
        </is>
      </c>
      <c r="B313" s="1" t="n">
        <v>43747</v>
      </c>
      <c r="C313" s="1" t="n">
        <v>45354</v>
      </c>
      <c r="D313" t="inlineStr">
        <is>
          <t>JÄMTLANDS LÄN</t>
        </is>
      </c>
      <c r="E313" t="inlineStr">
        <is>
          <t>HÄRJEDALEN</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52991-2019</t>
        </is>
      </c>
      <c r="B314" s="1" t="n">
        <v>43747</v>
      </c>
      <c r="C314" s="1" t="n">
        <v>45354</v>
      </c>
      <c r="D314" t="inlineStr">
        <is>
          <t>JÄMTLANDS LÄN</t>
        </is>
      </c>
      <c r="E314" t="inlineStr">
        <is>
          <t>HÄRJEDALEN</t>
        </is>
      </c>
      <c r="F314" t="inlineStr">
        <is>
          <t>Sveaskog</t>
        </is>
      </c>
      <c r="G314" t="n">
        <v>13.6</v>
      </c>
      <c r="H314" t="n">
        <v>0</v>
      </c>
      <c r="I314" t="n">
        <v>0</v>
      </c>
      <c r="J314" t="n">
        <v>0</v>
      </c>
      <c r="K314" t="n">
        <v>0</v>
      </c>
      <c r="L314" t="n">
        <v>0</v>
      </c>
      <c r="M314" t="n">
        <v>0</v>
      </c>
      <c r="N314" t="n">
        <v>0</v>
      </c>
      <c r="O314" t="n">
        <v>0</v>
      </c>
      <c r="P314" t="n">
        <v>0</v>
      </c>
      <c r="Q314" t="n">
        <v>0</v>
      </c>
      <c r="R314" s="2" t="inlineStr"/>
    </row>
    <row r="315" ht="15" customHeight="1">
      <c r="A315" t="inlineStr">
        <is>
          <t>A 53418-2019</t>
        </is>
      </c>
      <c r="B315" s="1" t="n">
        <v>43748</v>
      </c>
      <c r="C315" s="1" t="n">
        <v>45354</v>
      </c>
      <c r="D315" t="inlineStr">
        <is>
          <t>JÄMTLANDS LÄN</t>
        </is>
      </c>
      <c r="E315" t="inlineStr">
        <is>
          <t>HÄRJEDALEN</t>
        </is>
      </c>
      <c r="G315" t="n">
        <v>0.4</v>
      </c>
      <c r="H315" t="n">
        <v>0</v>
      </c>
      <c r="I315" t="n">
        <v>0</v>
      </c>
      <c r="J315" t="n">
        <v>0</v>
      </c>
      <c r="K315" t="n">
        <v>0</v>
      </c>
      <c r="L315" t="n">
        <v>0</v>
      </c>
      <c r="M315" t="n">
        <v>0</v>
      </c>
      <c r="N315" t="n">
        <v>0</v>
      </c>
      <c r="O315" t="n">
        <v>0</v>
      </c>
      <c r="P315" t="n">
        <v>0</v>
      </c>
      <c r="Q315" t="n">
        <v>0</v>
      </c>
      <c r="R315" s="2" t="inlineStr"/>
    </row>
    <row r="316" ht="15" customHeight="1">
      <c r="A316" t="inlineStr">
        <is>
          <t>A 53952-2019</t>
        </is>
      </c>
      <c r="B316" s="1" t="n">
        <v>43752</v>
      </c>
      <c r="C316" s="1" t="n">
        <v>45354</v>
      </c>
      <c r="D316" t="inlineStr">
        <is>
          <t>JÄMTLANDS LÄN</t>
        </is>
      </c>
      <c r="E316" t="inlineStr">
        <is>
          <t>HÄRJEDALEN</t>
        </is>
      </c>
      <c r="G316" t="n">
        <v>8.6</v>
      </c>
      <c r="H316" t="n">
        <v>0</v>
      </c>
      <c r="I316" t="n">
        <v>0</v>
      </c>
      <c r="J316" t="n">
        <v>0</v>
      </c>
      <c r="K316" t="n">
        <v>0</v>
      </c>
      <c r="L316" t="n">
        <v>0</v>
      </c>
      <c r="M316" t="n">
        <v>0</v>
      </c>
      <c r="N316" t="n">
        <v>0</v>
      </c>
      <c r="O316" t="n">
        <v>0</v>
      </c>
      <c r="P316" t="n">
        <v>0</v>
      </c>
      <c r="Q316" t="n">
        <v>0</v>
      </c>
      <c r="R316" s="2" t="inlineStr"/>
    </row>
    <row r="317" ht="15" customHeight="1">
      <c r="A317" t="inlineStr">
        <is>
          <t>A 53962-2019</t>
        </is>
      </c>
      <c r="B317" s="1" t="n">
        <v>43752</v>
      </c>
      <c r="C317" s="1" t="n">
        <v>45354</v>
      </c>
      <c r="D317" t="inlineStr">
        <is>
          <t>JÄMTLANDS LÄN</t>
        </is>
      </c>
      <c r="E317" t="inlineStr">
        <is>
          <t>HÄRJEDALEN</t>
        </is>
      </c>
      <c r="G317" t="n">
        <v>19.4</v>
      </c>
      <c r="H317" t="n">
        <v>0</v>
      </c>
      <c r="I317" t="n">
        <v>0</v>
      </c>
      <c r="J317" t="n">
        <v>0</v>
      </c>
      <c r="K317" t="n">
        <v>0</v>
      </c>
      <c r="L317" t="n">
        <v>0</v>
      </c>
      <c r="M317" t="n">
        <v>0</v>
      </c>
      <c r="N317" t="n">
        <v>0</v>
      </c>
      <c r="O317" t="n">
        <v>0</v>
      </c>
      <c r="P317" t="n">
        <v>0</v>
      </c>
      <c r="Q317" t="n">
        <v>0</v>
      </c>
      <c r="R317" s="2" t="inlineStr"/>
    </row>
    <row r="318" ht="15" customHeight="1">
      <c r="A318" t="inlineStr">
        <is>
          <t>A 54905-2019</t>
        </is>
      </c>
      <c r="B318" s="1" t="n">
        <v>43755</v>
      </c>
      <c r="C318" s="1" t="n">
        <v>45354</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55197-2019</t>
        </is>
      </c>
      <c r="B319" s="1" t="n">
        <v>43756</v>
      </c>
      <c r="C319" s="1" t="n">
        <v>45354</v>
      </c>
      <c r="D319" t="inlineStr">
        <is>
          <t>JÄMTLANDS LÄN</t>
        </is>
      </c>
      <c r="E319" t="inlineStr">
        <is>
          <t>HÄRJEDALEN</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55241-2019</t>
        </is>
      </c>
      <c r="B320" s="1" t="n">
        <v>43756</v>
      </c>
      <c r="C320" s="1" t="n">
        <v>45354</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55193-2019</t>
        </is>
      </c>
      <c r="B321" s="1" t="n">
        <v>43756</v>
      </c>
      <c r="C321" s="1" t="n">
        <v>45354</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55238-2019</t>
        </is>
      </c>
      <c r="B322" s="1" t="n">
        <v>43756</v>
      </c>
      <c r="C322" s="1" t="n">
        <v>45354</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55801-2019</t>
        </is>
      </c>
      <c r="B323" s="1" t="n">
        <v>43759</v>
      </c>
      <c r="C323" s="1" t="n">
        <v>45354</v>
      </c>
      <c r="D323" t="inlineStr">
        <is>
          <t>JÄMTLANDS LÄN</t>
        </is>
      </c>
      <c r="E323" t="inlineStr">
        <is>
          <t>HÄRJEDALEN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55554-2019</t>
        </is>
      </c>
      <c r="B324" s="1" t="n">
        <v>43759</v>
      </c>
      <c r="C324" s="1" t="n">
        <v>45354</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57281-2019</t>
        </is>
      </c>
      <c r="B325" s="1" t="n">
        <v>43759</v>
      </c>
      <c r="C325" s="1" t="n">
        <v>45354</v>
      </c>
      <c r="D325" t="inlineStr">
        <is>
          <t>JÄMTLANDS LÄN</t>
        </is>
      </c>
      <c r="E325" t="inlineStr">
        <is>
          <t>HÄRJEDALEN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55578-2019</t>
        </is>
      </c>
      <c r="B326" s="1" t="n">
        <v>43760</v>
      </c>
      <c r="C326" s="1" t="n">
        <v>45354</v>
      </c>
      <c r="D326" t="inlineStr">
        <is>
          <t>JÄMTLANDS LÄN</t>
        </is>
      </c>
      <c r="E326" t="inlineStr">
        <is>
          <t>HÄRJEDALEN</t>
        </is>
      </c>
      <c r="G326" t="n">
        <v>3.6</v>
      </c>
      <c r="H326" t="n">
        <v>0</v>
      </c>
      <c r="I326" t="n">
        <v>0</v>
      </c>
      <c r="J326" t="n">
        <v>0</v>
      </c>
      <c r="K326" t="n">
        <v>0</v>
      </c>
      <c r="L326" t="n">
        <v>0</v>
      </c>
      <c r="M326" t="n">
        <v>0</v>
      </c>
      <c r="N326" t="n">
        <v>0</v>
      </c>
      <c r="O326" t="n">
        <v>0</v>
      </c>
      <c r="P326" t="n">
        <v>0</v>
      </c>
      <c r="Q326" t="n">
        <v>0</v>
      </c>
      <c r="R326" s="2" t="inlineStr"/>
    </row>
    <row r="327" ht="15" customHeight="1">
      <c r="A327" t="inlineStr">
        <is>
          <t>A 55607-2019</t>
        </is>
      </c>
      <c r="B327" s="1" t="n">
        <v>43760</v>
      </c>
      <c r="C327" s="1" t="n">
        <v>45354</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56217-2019</t>
        </is>
      </c>
      <c r="B328" s="1" t="n">
        <v>43762</v>
      </c>
      <c r="C328" s="1" t="n">
        <v>45354</v>
      </c>
      <c r="D328" t="inlineStr">
        <is>
          <t>JÄMTLANDS LÄN</t>
        </is>
      </c>
      <c r="E328" t="inlineStr">
        <is>
          <t>HÄRJEDALEN</t>
        </is>
      </c>
      <c r="G328" t="n">
        <v>43.2</v>
      </c>
      <c r="H328" t="n">
        <v>0</v>
      </c>
      <c r="I328" t="n">
        <v>0</v>
      </c>
      <c r="J328" t="n">
        <v>0</v>
      </c>
      <c r="K328" t="n">
        <v>0</v>
      </c>
      <c r="L328" t="n">
        <v>0</v>
      </c>
      <c r="M328" t="n">
        <v>0</v>
      </c>
      <c r="N328" t="n">
        <v>0</v>
      </c>
      <c r="O328" t="n">
        <v>0</v>
      </c>
      <c r="P328" t="n">
        <v>0</v>
      </c>
      <c r="Q328" t="n">
        <v>0</v>
      </c>
      <c r="R328" s="2" t="inlineStr"/>
    </row>
    <row r="329" ht="15" customHeight="1">
      <c r="A329" t="inlineStr">
        <is>
          <t>A 58175-2019</t>
        </is>
      </c>
      <c r="B329" s="1" t="n">
        <v>43769</v>
      </c>
      <c r="C329" s="1" t="n">
        <v>45354</v>
      </c>
      <c r="D329" t="inlineStr">
        <is>
          <t>JÄMTLANDS LÄN</t>
        </is>
      </c>
      <c r="E329" t="inlineStr">
        <is>
          <t>HÄRJEDALEN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59347-2019</t>
        </is>
      </c>
      <c r="B330" s="1" t="n">
        <v>43770</v>
      </c>
      <c r="C330" s="1" t="n">
        <v>45354</v>
      </c>
      <c r="D330" t="inlineStr">
        <is>
          <t>JÄMTLANDS LÄN</t>
        </is>
      </c>
      <c r="E330" t="inlineStr">
        <is>
          <t>HÄRJEDALEN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58742-2019</t>
        </is>
      </c>
      <c r="B331" s="1" t="n">
        <v>43773</v>
      </c>
      <c r="C331" s="1" t="n">
        <v>45354</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59984-2019</t>
        </is>
      </c>
      <c r="B332" s="1" t="n">
        <v>43775</v>
      </c>
      <c r="C332" s="1" t="n">
        <v>45354</v>
      </c>
      <c r="D332" t="inlineStr">
        <is>
          <t>JÄMTLANDS LÄN</t>
        </is>
      </c>
      <c r="E332" t="inlineStr">
        <is>
          <t>HÄRJEDALEN</t>
        </is>
      </c>
      <c r="G332" t="n">
        <v>20.4</v>
      </c>
      <c r="H332" t="n">
        <v>0</v>
      </c>
      <c r="I332" t="n">
        <v>0</v>
      </c>
      <c r="J332" t="n">
        <v>0</v>
      </c>
      <c r="K332" t="n">
        <v>0</v>
      </c>
      <c r="L332" t="n">
        <v>0</v>
      </c>
      <c r="M332" t="n">
        <v>0</v>
      </c>
      <c r="N332" t="n">
        <v>0</v>
      </c>
      <c r="O332" t="n">
        <v>0</v>
      </c>
      <c r="P332" t="n">
        <v>0</v>
      </c>
      <c r="Q332" t="n">
        <v>0</v>
      </c>
      <c r="R332" s="2" t="inlineStr"/>
    </row>
    <row r="333" ht="15" customHeight="1">
      <c r="A333" t="inlineStr">
        <is>
          <t>A 59733-2019</t>
        </is>
      </c>
      <c r="B333" s="1" t="n">
        <v>43776</v>
      </c>
      <c r="C333" s="1" t="n">
        <v>45354</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60213-2019</t>
        </is>
      </c>
      <c r="B334" s="1" t="n">
        <v>43780</v>
      </c>
      <c r="C334" s="1" t="n">
        <v>45354</v>
      </c>
      <c r="D334" t="inlineStr">
        <is>
          <t>JÄMTLANDS LÄN</t>
        </is>
      </c>
      <c r="E334" t="inlineStr">
        <is>
          <t>HÄRJEDALEN</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62342-2019</t>
        </is>
      </c>
      <c r="B335" s="1" t="n">
        <v>43782</v>
      </c>
      <c r="C335" s="1" t="n">
        <v>45354</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60919-2019</t>
        </is>
      </c>
      <c r="B336" s="1" t="n">
        <v>43782</v>
      </c>
      <c r="C336" s="1" t="n">
        <v>45354</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62115-2019</t>
        </is>
      </c>
      <c r="B337" s="1" t="n">
        <v>43787</v>
      </c>
      <c r="C337" s="1" t="n">
        <v>45354</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62451-2019</t>
        </is>
      </c>
      <c r="B338" s="1" t="n">
        <v>43788</v>
      </c>
      <c r="C338" s="1" t="n">
        <v>45354</v>
      </c>
      <c r="D338" t="inlineStr">
        <is>
          <t>JÄMTLANDS LÄN</t>
        </is>
      </c>
      <c r="E338" t="inlineStr">
        <is>
          <t>HÄRJEDALEN</t>
        </is>
      </c>
      <c r="F338" t="inlineStr">
        <is>
          <t>Bergvik skog väst AB</t>
        </is>
      </c>
      <c r="G338" t="n">
        <v>22.2</v>
      </c>
      <c r="H338" t="n">
        <v>0</v>
      </c>
      <c r="I338" t="n">
        <v>0</v>
      </c>
      <c r="J338" t="n">
        <v>0</v>
      </c>
      <c r="K338" t="n">
        <v>0</v>
      </c>
      <c r="L338" t="n">
        <v>0</v>
      </c>
      <c r="M338" t="n">
        <v>0</v>
      </c>
      <c r="N338" t="n">
        <v>0</v>
      </c>
      <c r="O338" t="n">
        <v>0</v>
      </c>
      <c r="P338" t="n">
        <v>0</v>
      </c>
      <c r="Q338" t="n">
        <v>0</v>
      </c>
      <c r="R338" s="2" t="inlineStr"/>
    </row>
    <row r="339" ht="15" customHeight="1">
      <c r="A339" t="inlineStr">
        <is>
          <t>A 62971-2019</t>
        </is>
      </c>
      <c r="B339" s="1" t="n">
        <v>43790</v>
      </c>
      <c r="C339" s="1" t="n">
        <v>45354</v>
      </c>
      <c r="D339" t="inlineStr">
        <is>
          <t>JÄMTLANDS LÄN</t>
        </is>
      </c>
      <c r="E339" t="inlineStr">
        <is>
          <t>HÄRJEDALEN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64417-2019</t>
        </is>
      </c>
      <c r="B340" s="1" t="n">
        <v>43794</v>
      </c>
      <c r="C340" s="1" t="n">
        <v>45354</v>
      </c>
      <c r="D340" t="inlineStr">
        <is>
          <t>JÄMTLANDS LÄN</t>
        </is>
      </c>
      <c r="E340" t="inlineStr">
        <is>
          <t>HÄRJEDALEN</t>
        </is>
      </c>
      <c r="G340" t="n">
        <v>6.9</v>
      </c>
      <c r="H340" t="n">
        <v>0</v>
      </c>
      <c r="I340" t="n">
        <v>0</v>
      </c>
      <c r="J340" t="n">
        <v>0</v>
      </c>
      <c r="K340" t="n">
        <v>0</v>
      </c>
      <c r="L340" t="n">
        <v>0</v>
      </c>
      <c r="M340" t="n">
        <v>0</v>
      </c>
      <c r="N340" t="n">
        <v>0</v>
      </c>
      <c r="O340" t="n">
        <v>0</v>
      </c>
      <c r="P340" t="n">
        <v>0</v>
      </c>
      <c r="Q340" t="n">
        <v>0</v>
      </c>
      <c r="R340" s="2" t="inlineStr"/>
    </row>
    <row r="341" ht="15" customHeight="1">
      <c r="A341" t="inlineStr">
        <is>
          <t>A 64229-2019</t>
        </is>
      </c>
      <c r="B341" s="1" t="n">
        <v>43797</v>
      </c>
      <c r="C341" s="1" t="n">
        <v>45354</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64689-2019</t>
        </is>
      </c>
      <c r="B342" s="1" t="n">
        <v>43798</v>
      </c>
      <c r="C342" s="1" t="n">
        <v>45354</v>
      </c>
      <c r="D342" t="inlineStr">
        <is>
          <t>JÄMTLANDS LÄN</t>
        </is>
      </c>
      <c r="E342" t="inlineStr">
        <is>
          <t>HÄRJEDALEN</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65759-2019</t>
        </is>
      </c>
      <c r="B343" s="1" t="n">
        <v>43804</v>
      </c>
      <c r="C343" s="1" t="n">
        <v>45354</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66255-2019</t>
        </is>
      </c>
      <c r="B344" s="1" t="n">
        <v>43808</v>
      </c>
      <c r="C344" s="1" t="n">
        <v>45354</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66735-2019</t>
        </is>
      </c>
      <c r="B345" s="1" t="n">
        <v>43810</v>
      </c>
      <c r="C345" s="1" t="n">
        <v>45354</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67619-2019</t>
        </is>
      </c>
      <c r="B346" s="1" t="n">
        <v>43815</v>
      </c>
      <c r="C346" s="1" t="n">
        <v>45354</v>
      </c>
      <c r="D346" t="inlineStr">
        <is>
          <t>JÄMTLANDS LÄN</t>
        </is>
      </c>
      <c r="E346" t="inlineStr">
        <is>
          <t>HÄRJEDALEN</t>
        </is>
      </c>
      <c r="F346" t="inlineStr">
        <is>
          <t>Holmen skog AB</t>
        </is>
      </c>
      <c r="G346" t="n">
        <v>6.4</v>
      </c>
      <c r="H346" t="n">
        <v>0</v>
      </c>
      <c r="I346" t="n">
        <v>0</v>
      </c>
      <c r="J346" t="n">
        <v>0</v>
      </c>
      <c r="K346" t="n">
        <v>0</v>
      </c>
      <c r="L346" t="n">
        <v>0</v>
      </c>
      <c r="M346" t="n">
        <v>0</v>
      </c>
      <c r="N346" t="n">
        <v>0</v>
      </c>
      <c r="O346" t="n">
        <v>0</v>
      </c>
      <c r="P346" t="n">
        <v>0</v>
      </c>
      <c r="Q346" t="n">
        <v>0</v>
      </c>
      <c r="R346" s="2" t="inlineStr"/>
    </row>
    <row r="347" ht="15" customHeight="1">
      <c r="A347" t="inlineStr">
        <is>
          <t>A 67693-2019</t>
        </is>
      </c>
      <c r="B347" s="1" t="n">
        <v>43815</v>
      </c>
      <c r="C347" s="1" t="n">
        <v>45354</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67500-2019</t>
        </is>
      </c>
      <c r="B348" s="1" t="n">
        <v>43815</v>
      </c>
      <c r="C348" s="1" t="n">
        <v>45354</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67695-2019</t>
        </is>
      </c>
      <c r="B349" s="1" t="n">
        <v>43815</v>
      </c>
      <c r="C349" s="1" t="n">
        <v>45354</v>
      </c>
      <c r="D349" t="inlineStr">
        <is>
          <t>JÄMTLANDS LÄN</t>
        </is>
      </c>
      <c r="E349" t="inlineStr">
        <is>
          <t>HÄRJEDALEN</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67757-2019</t>
        </is>
      </c>
      <c r="B350" s="1" t="n">
        <v>43815</v>
      </c>
      <c r="C350" s="1" t="n">
        <v>45354</v>
      </c>
      <c r="D350" t="inlineStr">
        <is>
          <t>JÄMTLANDS LÄN</t>
        </is>
      </c>
      <c r="E350" t="inlineStr">
        <is>
          <t>HÄRJEDALEN</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67688-2019</t>
        </is>
      </c>
      <c r="B351" s="1" t="n">
        <v>43815</v>
      </c>
      <c r="C351" s="1" t="n">
        <v>45354</v>
      </c>
      <c r="D351" t="inlineStr">
        <is>
          <t>JÄMTLANDS LÄN</t>
        </is>
      </c>
      <c r="E351" t="inlineStr">
        <is>
          <t>HÄRJEDALEN</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67738-2019</t>
        </is>
      </c>
      <c r="B352" s="1" t="n">
        <v>43815</v>
      </c>
      <c r="C352" s="1" t="n">
        <v>45354</v>
      </c>
      <c r="D352" t="inlineStr">
        <is>
          <t>JÄMTLANDS LÄN</t>
        </is>
      </c>
      <c r="E352" t="inlineStr">
        <is>
          <t>HÄRJEDALEN</t>
        </is>
      </c>
      <c r="F352" t="inlineStr">
        <is>
          <t>Holmen skog AB</t>
        </is>
      </c>
      <c r="G352" t="n">
        <v>15.9</v>
      </c>
      <c r="H352" t="n">
        <v>0</v>
      </c>
      <c r="I352" t="n">
        <v>0</v>
      </c>
      <c r="J352" t="n">
        <v>0</v>
      </c>
      <c r="K352" t="n">
        <v>0</v>
      </c>
      <c r="L352" t="n">
        <v>0</v>
      </c>
      <c r="M352" t="n">
        <v>0</v>
      </c>
      <c r="N352" t="n">
        <v>0</v>
      </c>
      <c r="O352" t="n">
        <v>0</v>
      </c>
      <c r="P352" t="n">
        <v>0</v>
      </c>
      <c r="Q352" t="n">
        <v>0</v>
      </c>
      <c r="R352" s="2" t="inlineStr"/>
    </row>
    <row r="353" ht="15" customHeight="1">
      <c r="A353" t="inlineStr">
        <is>
          <t>A 67506-2019</t>
        </is>
      </c>
      <c r="B353" s="1" t="n">
        <v>43815</v>
      </c>
      <c r="C353" s="1" t="n">
        <v>45354</v>
      </c>
      <c r="D353" t="inlineStr">
        <is>
          <t>JÄMTLANDS LÄN</t>
        </is>
      </c>
      <c r="E353" t="inlineStr">
        <is>
          <t>HÄRJEDALEN</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67692-2019</t>
        </is>
      </c>
      <c r="B354" s="1" t="n">
        <v>43815</v>
      </c>
      <c r="C354" s="1" t="n">
        <v>45354</v>
      </c>
      <c r="D354" t="inlineStr">
        <is>
          <t>JÄMTLANDS LÄN</t>
        </is>
      </c>
      <c r="E354" t="inlineStr">
        <is>
          <t>HÄRJEDALEN</t>
        </is>
      </c>
      <c r="F354" t="inlineStr">
        <is>
          <t>Holmen skog AB</t>
        </is>
      </c>
      <c r="G354" t="n">
        <v>12.9</v>
      </c>
      <c r="H354" t="n">
        <v>0</v>
      </c>
      <c r="I354" t="n">
        <v>0</v>
      </c>
      <c r="J354" t="n">
        <v>0</v>
      </c>
      <c r="K354" t="n">
        <v>0</v>
      </c>
      <c r="L354" t="n">
        <v>0</v>
      </c>
      <c r="M354" t="n">
        <v>0</v>
      </c>
      <c r="N354" t="n">
        <v>0</v>
      </c>
      <c r="O354" t="n">
        <v>0</v>
      </c>
      <c r="P354" t="n">
        <v>0</v>
      </c>
      <c r="Q354" t="n">
        <v>0</v>
      </c>
      <c r="R354" s="2" t="inlineStr"/>
    </row>
    <row r="355" ht="15" customHeight="1">
      <c r="A355" t="inlineStr">
        <is>
          <t>A 67733-2019</t>
        </is>
      </c>
      <c r="B355" s="1" t="n">
        <v>43815</v>
      </c>
      <c r="C355" s="1" t="n">
        <v>45354</v>
      </c>
      <c r="D355" t="inlineStr">
        <is>
          <t>JÄMTLANDS LÄN</t>
        </is>
      </c>
      <c r="E355" t="inlineStr">
        <is>
          <t>HÄRJEDALEN</t>
        </is>
      </c>
      <c r="F355" t="inlineStr">
        <is>
          <t>Holmen skog AB</t>
        </is>
      </c>
      <c r="G355" t="n">
        <v>15.5</v>
      </c>
      <c r="H355" t="n">
        <v>0</v>
      </c>
      <c r="I355" t="n">
        <v>0</v>
      </c>
      <c r="J355" t="n">
        <v>0</v>
      </c>
      <c r="K355" t="n">
        <v>0</v>
      </c>
      <c r="L355" t="n">
        <v>0</v>
      </c>
      <c r="M355" t="n">
        <v>0</v>
      </c>
      <c r="N355" t="n">
        <v>0</v>
      </c>
      <c r="O355" t="n">
        <v>0</v>
      </c>
      <c r="P355" t="n">
        <v>0</v>
      </c>
      <c r="Q355" t="n">
        <v>0</v>
      </c>
      <c r="R355" s="2" t="inlineStr"/>
    </row>
    <row r="356" ht="15" customHeight="1">
      <c r="A356" t="inlineStr">
        <is>
          <t>A 67593-2019</t>
        </is>
      </c>
      <c r="B356" s="1" t="n">
        <v>43815</v>
      </c>
      <c r="C356" s="1" t="n">
        <v>45354</v>
      </c>
      <c r="D356" t="inlineStr">
        <is>
          <t>JÄMTLANDS LÄN</t>
        </is>
      </c>
      <c r="E356" t="inlineStr">
        <is>
          <t>HÄRJEDALEN</t>
        </is>
      </c>
      <c r="F356" t="inlineStr">
        <is>
          <t>Holmen skog AB</t>
        </is>
      </c>
      <c r="G356" t="n">
        <v>7.9</v>
      </c>
      <c r="H356" t="n">
        <v>0</v>
      </c>
      <c r="I356" t="n">
        <v>0</v>
      </c>
      <c r="J356" t="n">
        <v>0</v>
      </c>
      <c r="K356" t="n">
        <v>0</v>
      </c>
      <c r="L356" t="n">
        <v>0</v>
      </c>
      <c r="M356" t="n">
        <v>0</v>
      </c>
      <c r="N356" t="n">
        <v>0</v>
      </c>
      <c r="O356" t="n">
        <v>0</v>
      </c>
      <c r="P356" t="n">
        <v>0</v>
      </c>
      <c r="Q356" t="n">
        <v>0</v>
      </c>
      <c r="R356" s="2" t="inlineStr"/>
    </row>
    <row r="357" ht="15" customHeight="1">
      <c r="A357" t="inlineStr">
        <is>
          <t>A 67535-2019</t>
        </is>
      </c>
      <c r="B357" s="1" t="n">
        <v>43815</v>
      </c>
      <c r="C357" s="1" t="n">
        <v>45354</v>
      </c>
      <c r="D357" t="inlineStr">
        <is>
          <t>JÄMTLANDS LÄN</t>
        </is>
      </c>
      <c r="E357" t="inlineStr">
        <is>
          <t>HÄRJEDALEN</t>
        </is>
      </c>
      <c r="F357" t="inlineStr">
        <is>
          <t>Holmen skog AB</t>
        </is>
      </c>
      <c r="G357" t="n">
        <v>34.3</v>
      </c>
      <c r="H357" t="n">
        <v>0</v>
      </c>
      <c r="I357" t="n">
        <v>0</v>
      </c>
      <c r="J357" t="n">
        <v>0</v>
      </c>
      <c r="K357" t="n">
        <v>0</v>
      </c>
      <c r="L357" t="n">
        <v>0</v>
      </c>
      <c r="M357" t="n">
        <v>0</v>
      </c>
      <c r="N357" t="n">
        <v>0</v>
      </c>
      <c r="O357" t="n">
        <v>0</v>
      </c>
      <c r="P357" t="n">
        <v>0</v>
      </c>
      <c r="Q357" t="n">
        <v>0</v>
      </c>
      <c r="R357" s="2" t="inlineStr"/>
    </row>
    <row r="358" ht="15" customHeight="1">
      <c r="A358" t="inlineStr">
        <is>
          <t>A 67972-2019</t>
        </is>
      </c>
      <c r="B358" s="1" t="n">
        <v>43816</v>
      </c>
      <c r="C358" s="1" t="n">
        <v>45354</v>
      </c>
      <c r="D358" t="inlineStr">
        <is>
          <t>JÄMTLANDS LÄN</t>
        </is>
      </c>
      <c r="E358" t="inlineStr">
        <is>
          <t>HÄRJEDALEN</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642-2020</t>
        </is>
      </c>
      <c r="B359" s="1" t="n">
        <v>43817</v>
      </c>
      <c r="C359" s="1" t="n">
        <v>45354</v>
      </c>
      <c r="D359" t="inlineStr">
        <is>
          <t>JÄMTLANDS LÄN</t>
        </is>
      </c>
      <c r="E359" t="inlineStr">
        <is>
          <t>HÄRJEDALEN</t>
        </is>
      </c>
      <c r="G359" t="n">
        <v>15.5</v>
      </c>
      <c r="H359" t="n">
        <v>0</v>
      </c>
      <c r="I359" t="n">
        <v>0</v>
      </c>
      <c r="J359" t="n">
        <v>0</v>
      </c>
      <c r="K359" t="n">
        <v>0</v>
      </c>
      <c r="L359" t="n">
        <v>0</v>
      </c>
      <c r="M359" t="n">
        <v>0</v>
      </c>
      <c r="N359" t="n">
        <v>0</v>
      </c>
      <c r="O359" t="n">
        <v>0</v>
      </c>
      <c r="P359" t="n">
        <v>0</v>
      </c>
      <c r="Q359" t="n">
        <v>0</v>
      </c>
      <c r="R359" s="2" t="inlineStr"/>
    </row>
    <row r="360" ht="15" customHeight="1">
      <c r="A360" t="inlineStr">
        <is>
          <t>A 159-2020</t>
        </is>
      </c>
      <c r="B360" s="1" t="n">
        <v>43833</v>
      </c>
      <c r="C360" s="1" t="n">
        <v>45354</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2320-2020</t>
        </is>
      </c>
      <c r="B361" s="1" t="n">
        <v>43846</v>
      </c>
      <c r="C361" s="1" t="n">
        <v>45354</v>
      </c>
      <c r="D361" t="inlineStr">
        <is>
          <t>JÄMTLANDS LÄN</t>
        </is>
      </c>
      <c r="E361" t="inlineStr">
        <is>
          <t>HÄRJEDALEN</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4663-2020</t>
        </is>
      </c>
      <c r="B362" s="1" t="n">
        <v>43858</v>
      </c>
      <c r="C362" s="1" t="n">
        <v>45354</v>
      </c>
      <c r="D362" t="inlineStr">
        <is>
          <t>JÄMTLANDS LÄN</t>
        </is>
      </c>
      <c r="E362" t="inlineStr">
        <is>
          <t>HÄRJEDALEN</t>
        </is>
      </c>
      <c r="G362" t="n">
        <v>10.2</v>
      </c>
      <c r="H362" t="n">
        <v>0</v>
      </c>
      <c r="I362" t="n">
        <v>0</v>
      </c>
      <c r="J362" t="n">
        <v>0</v>
      </c>
      <c r="K362" t="n">
        <v>0</v>
      </c>
      <c r="L362" t="n">
        <v>0</v>
      </c>
      <c r="M362" t="n">
        <v>0</v>
      </c>
      <c r="N362" t="n">
        <v>0</v>
      </c>
      <c r="O362" t="n">
        <v>0</v>
      </c>
      <c r="P362" t="n">
        <v>0</v>
      </c>
      <c r="Q362" t="n">
        <v>0</v>
      </c>
      <c r="R362" s="2" t="inlineStr"/>
    </row>
    <row r="363" ht="15" customHeight="1">
      <c r="A363" t="inlineStr">
        <is>
          <t>A 6719-2020</t>
        </is>
      </c>
      <c r="B363" s="1" t="n">
        <v>43866</v>
      </c>
      <c r="C363" s="1" t="n">
        <v>45354</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6715-2020</t>
        </is>
      </c>
      <c r="B364" s="1" t="n">
        <v>43866</v>
      </c>
      <c r="C364" s="1" t="n">
        <v>45354</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6675-2020</t>
        </is>
      </c>
      <c r="B365" s="1" t="n">
        <v>43866</v>
      </c>
      <c r="C365" s="1" t="n">
        <v>45354</v>
      </c>
      <c r="D365" t="inlineStr">
        <is>
          <t>JÄMTLANDS LÄN</t>
        </is>
      </c>
      <c r="E365" t="inlineStr">
        <is>
          <t>HÄRJEDALEN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6584-2020</t>
        </is>
      </c>
      <c r="B366" s="1" t="n">
        <v>43867</v>
      </c>
      <c r="C366" s="1" t="n">
        <v>45354</v>
      </c>
      <c r="D366" t="inlineStr">
        <is>
          <t>JÄMTLANDS LÄN</t>
        </is>
      </c>
      <c r="E366" t="inlineStr">
        <is>
          <t>HÄRJEDALEN</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6903-2020</t>
        </is>
      </c>
      <c r="B367" s="1" t="n">
        <v>43867</v>
      </c>
      <c r="C367" s="1" t="n">
        <v>45354</v>
      </c>
      <c r="D367" t="inlineStr">
        <is>
          <t>JÄMTLANDS LÄN</t>
        </is>
      </c>
      <c r="E367" t="inlineStr">
        <is>
          <t>HÄRJEDALEN</t>
        </is>
      </c>
      <c r="G367" t="n">
        <v>10.5</v>
      </c>
      <c r="H367" t="n">
        <v>0</v>
      </c>
      <c r="I367" t="n">
        <v>0</v>
      </c>
      <c r="J367" t="n">
        <v>0</v>
      </c>
      <c r="K367" t="n">
        <v>0</v>
      </c>
      <c r="L367" t="n">
        <v>0</v>
      </c>
      <c r="M367" t="n">
        <v>0</v>
      </c>
      <c r="N367" t="n">
        <v>0</v>
      </c>
      <c r="O367" t="n">
        <v>0</v>
      </c>
      <c r="P367" t="n">
        <v>0</v>
      </c>
      <c r="Q367" t="n">
        <v>0</v>
      </c>
      <c r="R367" s="2" t="inlineStr"/>
    </row>
    <row r="368" ht="15" customHeight="1">
      <c r="A368" t="inlineStr">
        <is>
          <t>A 7184-2020</t>
        </is>
      </c>
      <c r="B368" s="1" t="n">
        <v>43871</v>
      </c>
      <c r="C368" s="1" t="n">
        <v>45354</v>
      </c>
      <c r="D368" t="inlineStr">
        <is>
          <t>JÄMTLANDS LÄN</t>
        </is>
      </c>
      <c r="E368" t="inlineStr">
        <is>
          <t>HÄRJEDALEN</t>
        </is>
      </c>
      <c r="G368" t="n">
        <v>41.4</v>
      </c>
      <c r="H368" t="n">
        <v>0</v>
      </c>
      <c r="I368" t="n">
        <v>0</v>
      </c>
      <c r="J368" t="n">
        <v>0</v>
      </c>
      <c r="K368" t="n">
        <v>0</v>
      </c>
      <c r="L368" t="n">
        <v>0</v>
      </c>
      <c r="M368" t="n">
        <v>0</v>
      </c>
      <c r="N368" t="n">
        <v>0</v>
      </c>
      <c r="O368" t="n">
        <v>0</v>
      </c>
      <c r="P368" t="n">
        <v>0</v>
      </c>
      <c r="Q368" t="n">
        <v>0</v>
      </c>
      <c r="R368" s="2" t="inlineStr"/>
    </row>
    <row r="369" ht="15" customHeight="1">
      <c r="A369" t="inlineStr">
        <is>
          <t>A 8111-2020</t>
        </is>
      </c>
      <c r="B369" s="1" t="n">
        <v>43874</v>
      </c>
      <c r="C369" s="1" t="n">
        <v>45354</v>
      </c>
      <c r="D369" t="inlineStr">
        <is>
          <t>JÄMTLANDS LÄN</t>
        </is>
      </c>
      <c r="E369" t="inlineStr">
        <is>
          <t>HÄRJEDALEN</t>
        </is>
      </c>
      <c r="G369" t="n">
        <v>15.4</v>
      </c>
      <c r="H369" t="n">
        <v>0</v>
      </c>
      <c r="I369" t="n">
        <v>0</v>
      </c>
      <c r="J369" t="n">
        <v>0</v>
      </c>
      <c r="K369" t="n">
        <v>0</v>
      </c>
      <c r="L369" t="n">
        <v>0</v>
      </c>
      <c r="M369" t="n">
        <v>0</v>
      </c>
      <c r="N369" t="n">
        <v>0</v>
      </c>
      <c r="O369" t="n">
        <v>0</v>
      </c>
      <c r="P369" t="n">
        <v>0</v>
      </c>
      <c r="Q369" t="n">
        <v>0</v>
      </c>
      <c r="R369" s="2" t="inlineStr"/>
    </row>
    <row r="370" ht="15" customHeight="1">
      <c r="A370" t="inlineStr">
        <is>
          <t>A 8762-2020</t>
        </is>
      </c>
      <c r="B370" s="1" t="n">
        <v>43875</v>
      </c>
      <c r="C370" s="1" t="n">
        <v>45354</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8908-2020</t>
        </is>
      </c>
      <c r="B371" s="1" t="n">
        <v>43878</v>
      </c>
      <c r="C371" s="1" t="n">
        <v>45354</v>
      </c>
      <c r="D371" t="inlineStr">
        <is>
          <t>JÄMTLANDS LÄN</t>
        </is>
      </c>
      <c r="E371" t="inlineStr">
        <is>
          <t>HÄRJEDALEN</t>
        </is>
      </c>
      <c r="G371" t="n">
        <v>18.1</v>
      </c>
      <c r="H371" t="n">
        <v>0</v>
      </c>
      <c r="I371" t="n">
        <v>0</v>
      </c>
      <c r="J371" t="n">
        <v>0</v>
      </c>
      <c r="K371" t="n">
        <v>0</v>
      </c>
      <c r="L371" t="n">
        <v>0</v>
      </c>
      <c r="M371" t="n">
        <v>0</v>
      </c>
      <c r="N371" t="n">
        <v>0</v>
      </c>
      <c r="O371" t="n">
        <v>0</v>
      </c>
      <c r="P371" t="n">
        <v>0</v>
      </c>
      <c r="Q371" t="n">
        <v>0</v>
      </c>
      <c r="R371" s="2" t="inlineStr"/>
    </row>
    <row r="372" ht="15" customHeight="1">
      <c r="A372" t="inlineStr">
        <is>
          <t>A 9034-2020</t>
        </is>
      </c>
      <c r="B372" s="1" t="n">
        <v>43879</v>
      </c>
      <c r="C372" s="1" t="n">
        <v>45354</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9591-2020</t>
        </is>
      </c>
      <c r="B373" s="1" t="n">
        <v>43881</v>
      </c>
      <c r="C373" s="1" t="n">
        <v>45354</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11731-2020</t>
        </is>
      </c>
      <c r="B374" s="1" t="n">
        <v>43894</v>
      </c>
      <c r="C374" s="1" t="n">
        <v>45354</v>
      </c>
      <c r="D374" t="inlineStr">
        <is>
          <t>JÄMTLANDS LÄN</t>
        </is>
      </c>
      <c r="E374" t="inlineStr">
        <is>
          <t>HÄRJEDALEN</t>
        </is>
      </c>
      <c r="F374" t="inlineStr">
        <is>
          <t>Holmen skog AB</t>
        </is>
      </c>
      <c r="G374" t="n">
        <v>0.4</v>
      </c>
      <c r="H374" t="n">
        <v>0</v>
      </c>
      <c r="I374" t="n">
        <v>0</v>
      </c>
      <c r="J374" t="n">
        <v>0</v>
      </c>
      <c r="K374" t="n">
        <v>0</v>
      </c>
      <c r="L374" t="n">
        <v>0</v>
      </c>
      <c r="M374" t="n">
        <v>0</v>
      </c>
      <c r="N374" t="n">
        <v>0</v>
      </c>
      <c r="O374" t="n">
        <v>0</v>
      </c>
      <c r="P374" t="n">
        <v>0</v>
      </c>
      <c r="Q374" t="n">
        <v>0</v>
      </c>
      <c r="R374" s="2" t="inlineStr"/>
    </row>
    <row r="375" ht="15" customHeight="1">
      <c r="A375" t="inlineStr">
        <is>
          <t>A 11816-2020</t>
        </is>
      </c>
      <c r="B375" s="1" t="n">
        <v>43894</v>
      </c>
      <c r="C375" s="1" t="n">
        <v>45354</v>
      </c>
      <c r="D375" t="inlineStr">
        <is>
          <t>JÄMTLANDS LÄN</t>
        </is>
      </c>
      <c r="E375" t="inlineStr">
        <is>
          <t>HÄRJEDALEN</t>
        </is>
      </c>
      <c r="F375" t="inlineStr">
        <is>
          <t>Holmen skog AB</t>
        </is>
      </c>
      <c r="G375" t="n">
        <v>20.4</v>
      </c>
      <c r="H375" t="n">
        <v>0</v>
      </c>
      <c r="I375" t="n">
        <v>0</v>
      </c>
      <c r="J375" t="n">
        <v>0</v>
      </c>
      <c r="K375" t="n">
        <v>0</v>
      </c>
      <c r="L375" t="n">
        <v>0</v>
      </c>
      <c r="M375" t="n">
        <v>0</v>
      </c>
      <c r="N375" t="n">
        <v>0</v>
      </c>
      <c r="O375" t="n">
        <v>0</v>
      </c>
      <c r="P375" t="n">
        <v>0</v>
      </c>
      <c r="Q375" t="n">
        <v>0</v>
      </c>
      <c r="R375" s="2" t="inlineStr"/>
    </row>
    <row r="376" ht="15" customHeight="1">
      <c r="A376" t="inlineStr">
        <is>
          <t>A 11818-2020</t>
        </is>
      </c>
      <c r="B376" s="1" t="n">
        <v>43894</v>
      </c>
      <c r="C376" s="1" t="n">
        <v>45354</v>
      </c>
      <c r="D376" t="inlineStr">
        <is>
          <t>JÄMTLANDS LÄN</t>
        </is>
      </c>
      <c r="E376" t="inlineStr">
        <is>
          <t>HÄRJEDALEN</t>
        </is>
      </c>
      <c r="F376" t="inlineStr">
        <is>
          <t>Holmen skog AB</t>
        </is>
      </c>
      <c r="G376" t="n">
        <v>6</v>
      </c>
      <c r="H376" t="n">
        <v>0</v>
      </c>
      <c r="I376" t="n">
        <v>0</v>
      </c>
      <c r="J376" t="n">
        <v>0</v>
      </c>
      <c r="K376" t="n">
        <v>0</v>
      </c>
      <c r="L376" t="n">
        <v>0</v>
      </c>
      <c r="M376" t="n">
        <v>0</v>
      </c>
      <c r="N376" t="n">
        <v>0</v>
      </c>
      <c r="O376" t="n">
        <v>0</v>
      </c>
      <c r="P376" t="n">
        <v>0</v>
      </c>
      <c r="Q376" t="n">
        <v>0</v>
      </c>
      <c r="R376" s="2" t="inlineStr"/>
    </row>
    <row r="377" ht="15" customHeight="1">
      <c r="A377" t="inlineStr">
        <is>
          <t>A 11885-2020</t>
        </is>
      </c>
      <c r="B377" s="1" t="n">
        <v>43894</v>
      </c>
      <c r="C377" s="1" t="n">
        <v>45354</v>
      </c>
      <c r="D377" t="inlineStr">
        <is>
          <t>JÄMTLANDS LÄN</t>
        </is>
      </c>
      <c r="E377" t="inlineStr">
        <is>
          <t>HÄRJEDALEN</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11828-2020</t>
        </is>
      </c>
      <c r="B378" s="1" t="n">
        <v>43894</v>
      </c>
      <c r="C378" s="1" t="n">
        <v>45354</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11905-2020</t>
        </is>
      </c>
      <c r="B379" s="1" t="n">
        <v>43894</v>
      </c>
      <c r="C379" s="1" t="n">
        <v>45354</v>
      </c>
      <c r="D379" t="inlineStr">
        <is>
          <t>JÄMTLANDS LÄN</t>
        </is>
      </c>
      <c r="E379" t="inlineStr">
        <is>
          <t>HÄRJEDALEN</t>
        </is>
      </c>
      <c r="F379" t="inlineStr">
        <is>
          <t>Holmen skog AB</t>
        </is>
      </c>
      <c r="G379" t="n">
        <v>10.3</v>
      </c>
      <c r="H379" t="n">
        <v>0</v>
      </c>
      <c r="I379" t="n">
        <v>0</v>
      </c>
      <c r="J379" t="n">
        <v>0</v>
      </c>
      <c r="K379" t="n">
        <v>0</v>
      </c>
      <c r="L379" t="n">
        <v>0</v>
      </c>
      <c r="M379" t="n">
        <v>0</v>
      </c>
      <c r="N379" t="n">
        <v>0</v>
      </c>
      <c r="O379" t="n">
        <v>0</v>
      </c>
      <c r="P379" t="n">
        <v>0</v>
      </c>
      <c r="Q379" t="n">
        <v>0</v>
      </c>
      <c r="R379" s="2" t="inlineStr"/>
    </row>
    <row r="380" ht="15" customHeight="1">
      <c r="A380" t="inlineStr">
        <is>
          <t>A 13604-2020</t>
        </is>
      </c>
      <c r="B380" s="1" t="n">
        <v>43895</v>
      </c>
      <c r="C380" s="1" t="n">
        <v>45354</v>
      </c>
      <c r="D380" t="inlineStr">
        <is>
          <t>JÄMTLANDS LÄN</t>
        </is>
      </c>
      <c r="E380" t="inlineStr">
        <is>
          <t>HÄRJEDALEN</t>
        </is>
      </c>
      <c r="G380" t="n">
        <v>0.6</v>
      </c>
      <c r="H380" t="n">
        <v>0</v>
      </c>
      <c r="I380" t="n">
        <v>0</v>
      </c>
      <c r="J380" t="n">
        <v>0</v>
      </c>
      <c r="K380" t="n">
        <v>0</v>
      </c>
      <c r="L380" t="n">
        <v>0</v>
      </c>
      <c r="M380" t="n">
        <v>0</v>
      </c>
      <c r="N380" t="n">
        <v>0</v>
      </c>
      <c r="O380" t="n">
        <v>0</v>
      </c>
      <c r="P380" t="n">
        <v>0</v>
      </c>
      <c r="Q380" t="n">
        <v>0</v>
      </c>
      <c r="R380" s="2" t="inlineStr"/>
    </row>
    <row r="381" ht="15" customHeight="1">
      <c r="A381" t="inlineStr">
        <is>
          <t>A 12398-2020</t>
        </is>
      </c>
      <c r="B381" s="1" t="n">
        <v>43896</v>
      </c>
      <c r="C381" s="1" t="n">
        <v>45354</v>
      </c>
      <c r="D381" t="inlineStr">
        <is>
          <t>JÄMTLANDS LÄN</t>
        </is>
      </c>
      <c r="E381" t="inlineStr">
        <is>
          <t>HÄRJEDALEN</t>
        </is>
      </c>
      <c r="G381" t="n">
        <v>12.3</v>
      </c>
      <c r="H381" t="n">
        <v>0</v>
      </c>
      <c r="I381" t="n">
        <v>0</v>
      </c>
      <c r="J381" t="n">
        <v>0</v>
      </c>
      <c r="K381" t="n">
        <v>0</v>
      </c>
      <c r="L381" t="n">
        <v>0</v>
      </c>
      <c r="M381" t="n">
        <v>0</v>
      </c>
      <c r="N381" t="n">
        <v>0</v>
      </c>
      <c r="O381" t="n">
        <v>0</v>
      </c>
      <c r="P381" t="n">
        <v>0</v>
      </c>
      <c r="Q381" t="n">
        <v>0</v>
      </c>
      <c r="R381" s="2" t="inlineStr"/>
    </row>
    <row r="382" ht="15" customHeight="1">
      <c r="A382" t="inlineStr">
        <is>
          <t>A 12410-2020</t>
        </is>
      </c>
      <c r="B382" s="1" t="n">
        <v>43896</v>
      </c>
      <c r="C382" s="1" t="n">
        <v>45354</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13588-2020</t>
        </is>
      </c>
      <c r="B383" s="1" t="n">
        <v>43896</v>
      </c>
      <c r="C383" s="1" t="n">
        <v>45354</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12898-2020</t>
        </is>
      </c>
      <c r="B384" s="1" t="n">
        <v>43900</v>
      </c>
      <c r="C384" s="1" t="n">
        <v>45354</v>
      </c>
      <c r="D384" t="inlineStr">
        <is>
          <t>JÄMTLANDS LÄN</t>
        </is>
      </c>
      <c r="E384" t="inlineStr">
        <is>
          <t>HÄRJEDALEN</t>
        </is>
      </c>
      <c r="G384" t="n">
        <v>2.6</v>
      </c>
      <c r="H384" t="n">
        <v>0</v>
      </c>
      <c r="I384" t="n">
        <v>0</v>
      </c>
      <c r="J384" t="n">
        <v>0</v>
      </c>
      <c r="K384" t="n">
        <v>0</v>
      </c>
      <c r="L384" t="n">
        <v>0</v>
      </c>
      <c r="M384" t="n">
        <v>0</v>
      </c>
      <c r="N384" t="n">
        <v>0</v>
      </c>
      <c r="O384" t="n">
        <v>0</v>
      </c>
      <c r="P384" t="n">
        <v>0</v>
      </c>
      <c r="Q384" t="n">
        <v>0</v>
      </c>
      <c r="R384" s="2" t="inlineStr"/>
    </row>
    <row r="385" ht="15" customHeight="1">
      <c r="A385" t="inlineStr">
        <is>
          <t>A 15020-2020</t>
        </is>
      </c>
      <c r="B385" s="1" t="n">
        <v>43907</v>
      </c>
      <c r="C385" s="1" t="n">
        <v>45354</v>
      </c>
      <c r="D385" t="inlineStr">
        <is>
          <t>JÄMTLANDS LÄN</t>
        </is>
      </c>
      <c r="E385" t="inlineStr">
        <is>
          <t>HÄRJEDALEN</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15576-2020</t>
        </is>
      </c>
      <c r="B386" s="1" t="n">
        <v>43914</v>
      </c>
      <c r="C386" s="1" t="n">
        <v>45354</v>
      </c>
      <c r="D386" t="inlineStr">
        <is>
          <t>JÄMTLANDS LÄN</t>
        </is>
      </c>
      <c r="E386" t="inlineStr">
        <is>
          <t>HÄRJEDALEN</t>
        </is>
      </c>
      <c r="F386" t="inlineStr">
        <is>
          <t>Kyrkan</t>
        </is>
      </c>
      <c r="G386" t="n">
        <v>8.1</v>
      </c>
      <c r="H386" t="n">
        <v>0</v>
      </c>
      <c r="I386" t="n">
        <v>0</v>
      </c>
      <c r="J386" t="n">
        <v>0</v>
      </c>
      <c r="K386" t="n">
        <v>0</v>
      </c>
      <c r="L386" t="n">
        <v>0</v>
      </c>
      <c r="M386" t="n">
        <v>0</v>
      </c>
      <c r="N386" t="n">
        <v>0</v>
      </c>
      <c r="O386" t="n">
        <v>0</v>
      </c>
      <c r="P386" t="n">
        <v>0</v>
      </c>
      <c r="Q386" t="n">
        <v>0</v>
      </c>
      <c r="R386" s="2" t="inlineStr"/>
    </row>
    <row r="387" ht="15" customHeight="1">
      <c r="A387" t="inlineStr">
        <is>
          <t>A 17515-2020</t>
        </is>
      </c>
      <c r="B387" s="1" t="n">
        <v>43920</v>
      </c>
      <c r="C387" s="1" t="n">
        <v>45354</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17024-2020</t>
        </is>
      </c>
      <c r="B388" s="1" t="n">
        <v>43921</v>
      </c>
      <c r="C388" s="1" t="n">
        <v>45354</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17676-2020</t>
        </is>
      </c>
      <c r="B389" s="1" t="n">
        <v>43924</v>
      </c>
      <c r="C389" s="1" t="n">
        <v>45354</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18038-2020</t>
        </is>
      </c>
      <c r="B390" s="1" t="n">
        <v>43927</v>
      </c>
      <c r="C390" s="1" t="n">
        <v>45354</v>
      </c>
      <c r="D390" t="inlineStr">
        <is>
          <t>JÄMTLANDS LÄN</t>
        </is>
      </c>
      <c r="E390" t="inlineStr">
        <is>
          <t>HÄRJEDALEN</t>
        </is>
      </c>
      <c r="G390" t="n">
        <v>13.5</v>
      </c>
      <c r="H390" t="n">
        <v>0</v>
      </c>
      <c r="I390" t="n">
        <v>0</v>
      </c>
      <c r="J390" t="n">
        <v>0</v>
      </c>
      <c r="K390" t="n">
        <v>0</v>
      </c>
      <c r="L390" t="n">
        <v>0</v>
      </c>
      <c r="M390" t="n">
        <v>0</v>
      </c>
      <c r="N390" t="n">
        <v>0</v>
      </c>
      <c r="O390" t="n">
        <v>0</v>
      </c>
      <c r="P390" t="n">
        <v>0</v>
      </c>
      <c r="Q390" t="n">
        <v>0</v>
      </c>
      <c r="R390" s="2" t="inlineStr"/>
    </row>
    <row r="391" ht="15" customHeight="1">
      <c r="A391" t="inlineStr">
        <is>
          <t>A 18761-2020</t>
        </is>
      </c>
      <c r="B391" s="1" t="n">
        <v>43930</v>
      </c>
      <c r="C391" s="1" t="n">
        <v>45354</v>
      </c>
      <c r="D391" t="inlineStr">
        <is>
          <t>JÄMTLANDS LÄN</t>
        </is>
      </c>
      <c r="E391" t="inlineStr">
        <is>
          <t>HÄRJEDALEN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18760-2020</t>
        </is>
      </c>
      <c r="B392" s="1" t="n">
        <v>43930</v>
      </c>
      <c r="C392" s="1" t="n">
        <v>45354</v>
      </c>
      <c r="D392" t="inlineStr">
        <is>
          <t>JÄMTLANDS LÄN</t>
        </is>
      </c>
      <c r="E392" t="inlineStr">
        <is>
          <t>HÄRJEDALEN</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18759-2020</t>
        </is>
      </c>
      <c r="B393" s="1" t="n">
        <v>43930</v>
      </c>
      <c r="C393" s="1" t="n">
        <v>45354</v>
      </c>
      <c r="D393" t="inlineStr">
        <is>
          <t>JÄMTLANDS LÄN</t>
        </is>
      </c>
      <c r="E393" t="inlineStr">
        <is>
          <t>HÄRJEDALEN</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18877-2020</t>
        </is>
      </c>
      <c r="B394" s="1" t="n">
        <v>43935</v>
      </c>
      <c r="C394" s="1" t="n">
        <v>45354</v>
      </c>
      <c r="D394" t="inlineStr">
        <is>
          <t>JÄMTLANDS LÄN</t>
        </is>
      </c>
      <c r="E394" t="inlineStr">
        <is>
          <t>HÄRJEDALEN</t>
        </is>
      </c>
      <c r="G394" t="n">
        <v>7</v>
      </c>
      <c r="H394" t="n">
        <v>0</v>
      </c>
      <c r="I394" t="n">
        <v>0</v>
      </c>
      <c r="J394" t="n">
        <v>0</v>
      </c>
      <c r="K394" t="n">
        <v>0</v>
      </c>
      <c r="L394" t="n">
        <v>0</v>
      </c>
      <c r="M394" t="n">
        <v>0</v>
      </c>
      <c r="N394" t="n">
        <v>0</v>
      </c>
      <c r="O394" t="n">
        <v>0</v>
      </c>
      <c r="P394" t="n">
        <v>0</v>
      </c>
      <c r="Q394" t="n">
        <v>0</v>
      </c>
      <c r="R394" s="2" t="inlineStr"/>
    </row>
    <row r="395" ht="15" customHeight="1">
      <c r="A395" t="inlineStr">
        <is>
          <t>A 18879-2020</t>
        </is>
      </c>
      <c r="B395" s="1" t="n">
        <v>43935</v>
      </c>
      <c r="C395" s="1" t="n">
        <v>45354</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19304-2020</t>
        </is>
      </c>
      <c r="B396" s="1" t="n">
        <v>43937</v>
      </c>
      <c r="C396" s="1" t="n">
        <v>45354</v>
      </c>
      <c r="D396" t="inlineStr">
        <is>
          <t>JÄMTLANDS LÄN</t>
        </is>
      </c>
      <c r="E396" t="inlineStr">
        <is>
          <t>HÄRJEDALEN</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19506-2020</t>
        </is>
      </c>
      <c r="B397" s="1" t="n">
        <v>43938</v>
      </c>
      <c r="C397" s="1" t="n">
        <v>45354</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20781-2020</t>
        </is>
      </c>
      <c r="B398" s="1" t="n">
        <v>43949</v>
      </c>
      <c r="C398" s="1" t="n">
        <v>45354</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21537-2020</t>
        </is>
      </c>
      <c r="B399" s="1" t="n">
        <v>43956</v>
      </c>
      <c r="C399" s="1" t="n">
        <v>45354</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23082-2020</t>
        </is>
      </c>
      <c r="B400" s="1" t="n">
        <v>43964</v>
      </c>
      <c r="C400" s="1" t="n">
        <v>45354</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23310-2020</t>
        </is>
      </c>
      <c r="B401" s="1" t="n">
        <v>43966</v>
      </c>
      <c r="C401" s="1" t="n">
        <v>45354</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23174-2020</t>
        </is>
      </c>
      <c r="B402" s="1" t="n">
        <v>43966</v>
      </c>
      <c r="C402" s="1" t="n">
        <v>45354</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23560-2020</t>
        </is>
      </c>
      <c r="B403" s="1" t="n">
        <v>43969</v>
      </c>
      <c r="C403" s="1" t="n">
        <v>45354</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24077-2020</t>
        </is>
      </c>
      <c r="B404" s="1" t="n">
        <v>43972</v>
      </c>
      <c r="C404" s="1" t="n">
        <v>45354</v>
      </c>
      <c r="D404" t="inlineStr">
        <is>
          <t>JÄMTLANDS LÄN</t>
        </is>
      </c>
      <c r="E404" t="inlineStr">
        <is>
          <t>HÄRJEDALEN</t>
        </is>
      </c>
      <c r="F404" t="inlineStr">
        <is>
          <t>Sveaskog</t>
        </is>
      </c>
      <c r="G404" t="n">
        <v>9.6</v>
      </c>
      <c r="H404" t="n">
        <v>0</v>
      </c>
      <c r="I404" t="n">
        <v>0</v>
      </c>
      <c r="J404" t="n">
        <v>0</v>
      </c>
      <c r="K404" t="n">
        <v>0</v>
      </c>
      <c r="L404" t="n">
        <v>0</v>
      </c>
      <c r="M404" t="n">
        <v>0</v>
      </c>
      <c r="N404" t="n">
        <v>0</v>
      </c>
      <c r="O404" t="n">
        <v>0</v>
      </c>
      <c r="P404" t="n">
        <v>0</v>
      </c>
      <c r="Q404" t="n">
        <v>0</v>
      </c>
      <c r="R404" s="2" t="inlineStr"/>
    </row>
    <row r="405" ht="15" customHeight="1">
      <c r="A405" t="inlineStr">
        <is>
          <t>A 24127-2020</t>
        </is>
      </c>
      <c r="B405" s="1" t="n">
        <v>43973</v>
      </c>
      <c r="C405" s="1" t="n">
        <v>45354</v>
      </c>
      <c r="D405" t="inlineStr">
        <is>
          <t>JÄMTLANDS LÄN</t>
        </is>
      </c>
      <c r="E405" t="inlineStr">
        <is>
          <t>HÄRJEDALEN</t>
        </is>
      </c>
      <c r="G405" t="n">
        <v>4.6</v>
      </c>
      <c r="H405" t="n">
        <v>0</v>
      </c>
      <c r="I405" t="n">
        <v>0</v>
      </c>
      <c r="J405" t="n">
        <v>0</v>
      </c>
      <c r="K405" t="n">
        <v>0</v>
      </c>
      <c r="L405" t="n">
        <v>0</v>
      </c>
      <c r="M405" t="n">
        <v>0</v>
      </c>
      <c r="N405" t="n">
        <v>0</v>
      </c>
      <c r="O405" t="n">
        <v>0</v>
      </c>
      <c r="P405" t="n">
        <v>0</v>
      </c>
      <c r="Q405" t="n">
        <v>0</v>
      </c>
      <c r="R405" s="2" t="inlineStr"/>
    </row>
    <row r="406" ht="15" customHeight="1">
      <c r="A406" t="inlineStr">
        <is>
          <t>A 25240-2020</t>
        </is>
      </c>
      <c r="B406" s="1" t="n">
        <v>43980</v>
      </c>
      <c r="C406" s="1" t="n">
        <v>45354</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25341-2020</t>
        </is>
      </c>
      <c r="B407" s="1" t="n">
        <v>43980</v>
      </c>
      <c r="C407" s="1" t="n">
        <v>45354</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25232-2020</t>
        </is>
      </c>
      <c r="B408" s="1" t="n">
        <v>43980</v>
      </c>
      <c r="C408" s="1" t="n">
        <v>45354</v>
      </c>
      <c r="D408" t="inlineStr">
        <is>
          <t>JÄMTLANDS LÄN</t>
        </is>
      </c>
      <c r="E408" t="inlineStr">
        <is>
          <t>HÄRJEDALEN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25238-2020</t>
        </is>
      </c>
      <c r="B409" s="1" t="n">
        <v>43980</v>
      </c>
      <c r="C409" s="1" t="n">
        <v>45354</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25236-2020</t>
        </is>
      </c>
      <c r="B410" s="1" t="n">
        <v>43980</v>
      </c>
      <c r="C410" s="1" t="n">
        <v>45354</v>
      </c>
      <c r="D410" t="inlineStr">
        <is>
          <t>JÄMTLANDS LÄN</t>
        </is>
      </c>
      <c r="E410" t="inlineStr">
        <is>
          <t>HÄRJEDALEN</t>
        </is>
      </c>
      <c r="G410" t="n">
        <v>2.2</v>
      </c>
      <c r="H410" t="n">
        <v>0</v>
      </c>
      <c r="I410" t="n">
        <v>0</v>
      </c>
      <c r="J410" t="n">
        <v>0</v>
      </c>
      <c r="K410" t="n">
        <v>0</v>
      </c>
      <c r="L410" t="n">
        <v>0</v>
      </c>
      <c r="M410" t="n">
        <v>0</v>
      </c>
      <c r="N410" t="n">
        <v>0</v>
      </c>
      <c r="O410" t="n">
        <v>0</v>
      </c>
      <c r="P410" t="n">
        <v>0</v>
      </c>
      <c r="Q410" t="n">
        <v>0</v>
      </c>
      <c r="R410" s="2" t="inlineStr"/>
    </row>
    <row r="411" ht="15" customHeight="1">
      <c r="A411" t="inlineStr">
        <is>
          <t>A 25779-2020</t>
        </is>
      </c>
      <c r="B411" s="1" t="n">
        <v>43984</v>
      </c>
      <c r="C411" s="1" t="n">
        <v>45354</v>
      </c>
      <c r="D411" t="inlineStr">
        <is>
          <t>JÄMTLANDS LÄN</t>
        </is>
      </c>
      <c r="E411" t="inlineStr">
        <is>
          <t>HÄRJEDALEN</t>
        </is>
      </c>
      <c r="G411" t="n">
        <v>22.2</v>
      </c>
      <c r="H411" t="n">
        <v>0</v>
      </c>
      <c r="I411" t="n">
        <v>0</v>
      </c>
      <c r="J411" t="n">
        <v>0</v>
      </c>
      <c r="K411" t="n">
        <v>0</v>
      </c>
      <c r="L411" t="n">
        <v>0</v>
      </c>
      <c r="M411" t="n">
        <v>0</v>
      </c>
      <c r="N411" t="n">
        <v>0</v>
      </c>
      <c r="O411" t="n">
        <v>0</v>
      </c>
      <c r="P411" t="n">
        <v>0</v>
      </c>
      <c r="Q411" t="n">
        <v>0</v>
      </c>
      <c r="R411" s="2" t="inlineStr"/>
    </row>
    <row r="412" ht="15" customHeight="1">
      <c r="A412" t="inlineStr">
        <is>
          <t>A 26056-2020</t>
        </is>
      </c>
      <c r="B412" s="1" t="n">
        <v>43984</v>
      </c>
      <c r="C412" s="1" t="n">
        <v>45354</v>
      </c>
      <c r="D412" t="inlineStr">
        <is>
          <t>JÄMTLANDS LÄN</t>
        </is>
      </c>
      <c r="E412" t="inlineStr">
        <is>
          <t>HÄRJEDALEN</t>
        </is>
      </c>
      <c r="G412" t="n">
        <v>53.1</v>
      </c>
      <c r="H412" t="n">
        <v>0</v>
      </c>
      <c r="I412" t="n">
        <v>0</v>
      </c>
      <c r="J412" t="n">
        <v>0</v>
      </c>
      <c r="K412" t="n">
        <v>0</v>
      </c>
      <c r="L412" t="n">
        <v>0</v>
      </c>
      <c r="M412" t="n">
        <v>0</v>
      </c>
      <c r="N412" t="n">
        <v>0</v>
      </c>
      <c r="O412" t="n">
        <v>0</v>
      </c>
      <c r="P412" t="n">
        <v>0</v>
      </c>
      <c r="Q412" t="n">
        <v>0</v>
      </c>
      <c r="R412" s="2" t="inlineStr"/>
    </row>
    <row r="413" ht="15" customHeight="1">
      <c r="A413" t="inlineStr">
        <is>
          <t>A 27854-2020</t>
        </is>
      </c>
      <c r="B413" s="1" t="n">
        <v>43994</v>
      </c>
      <c r="C413" s="1" t="n">
        <v>45354</v>
      </c>
      <c r="D413" t="inlineStr">
        <is>
          <t>JÄMTLANDS LÄN</t>
        </is>
      </c>
      <c r="E413" t="inlineStr">
        <is>
          <t>HÄRJEDALEN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28543-2020</t>
        </is>
      </c>
      <c r="B414" s="1" t="n">
        <v>43999</v>
      </c>
      <c r="C414" s="1" t="n">
        <v>45354</v>
      </c>
      <c r="D414" t="inlineStr">
        <is>
          <t>JÄMTLANDS LÄN</t>
        </is>
      </c>
      <c r="E414" t="inlineStr">
        <is>
          <t>HÄRJEDALEN</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29158-2020</t>
        </is>
      </c>
      <c r="B415" s="1" t="n">
        <v>44004</v>
      </c>
      <c r="C415" s="1" t="n">
        <v>45354</v>
      </c>
      <c r="D415" t="inlineStr">
        <is>
          <t>JÄMTLANDS LÄN</t>
        </is>
      </c>
      <c r="E415" t="inlineStr">
        <is>
          <t>HÄRJEDALEN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29154-2020</t>
        </is>
      </c>
      <c r="B416" s="1" t="n">
        <v>44004</v>
      </c>
      <c r="C416" s="1" t="n">
        <v>45354</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30963-2020</t>
        </is>
      </c>
      <c r="B417" s="1" t="n">
        <v>44011</v>
      </c>
      <c r="C417" s="1" t="n">
        <v>45354</v>
      </c>
      <c r="D417" t="inlineStr">
        <is>
          <t>JÄMTLANDS LÄN</t>
        </is>
      </c>
      <c r="E417" t="inlineStr">
        <is>
          <t>HÄRJEDALEN</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30936-2020</t>
        </is>
      </c>
      <c r="B418" s="1" t="n">
        <v>44011</v>
      </c>
      <c r="C418" s="1" t="n">
        <v>45354</v>
      </c>
      <c r="D418" t="inlineStr">
        <is>
          <t>JÄMTLANDS LÄN</t>
        </is>
      </c>
      <c r="E418" t="inlineStr">
        <is>
          <t>HÄRJEDALEN</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30940-2020</t>
        </is>
      </c>
      <c r="B419" s="1" t="n">
        <v>44011</v>
      </c>
      <c r="C419" s="1" t="n">
        <v>45354</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31264-2020</t>
        </is>
      </c>
      <c r="B420" s="1" t="n">
        <v>44012</v>
      </c>
      <c r="C420" s="1" t="n">
        <v>45354</v>
      </c>
      <c r="D420" t="inlineStr">
        <is>
          <t>JÄMTLANDS LÄN</t>
        </is>
      </c>
      <c r="E420" t="inlineStr">
        <is>
          <t>HÄRJEDALEN</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31872-2020</t>
        </is>
      </c>
      <c r="B421" s="1" t="n">
        <v>44014</v>
      </c>
      <c r="C421" s="1" t="n">
        <v>45354</v>
      </c>
      <c r="D421" t="inlineStr">
        <is>
          <t>JÄMTLANDS LÄN</t>
        </is>
      </c>
      <c r="E421" t="inlineStr">
        <is>
          <t>HÄRJEDALEN</t>
        </is>
      </c>
      <c r="G421" t="n">
        <v>21.4</v>
      </c>
      <c r="H421" t="n">
        <v>0</v>
      </c>
      <c r="I421" t="n">
        <v>0</v>
      </c>
      <c r="J421" t="n">
        <v>0</v>
      </c>
      <c r="K421" t="n">
        <v>0</v>
      </c>
      <c r="L421" t="n">
        <v>0</v>
      </c>
      <c r="M421" t="n">
        <v>0</v>
      </c>
      <c r="N421" t="n">
        <v>0</v>
      </c>
      <c r="O421" t="n">
        <v>0</v>
      </c>
      <c r="P421" t="n">
        <v>0</v>
      </c>
      <c r="Q421" t="n">
        <v>0</v>
      </c>
      <c r="R421" s="2" t="inlineStr"/>
    </row>
    <row r="422" ht="15" customHeight="1">
      <c r="A422" t="inlineStr">
        <is>
          <t>A 31920-2020</t>
        </is>
      </c>
      <c r="B422" s="1" t="n">
        <v>44014</v>
      </c>
      <c r="C422" s="1" t="n">
        <v>45354</v>
      </c>
      <c r="D422" t="inlineStr">
        <is>
          <t>JÄMTLANDS LÄN</t>
        </is>
      </c>
      <c r="E422" t="inlineStr">
        <is>
          <t>HÄRJEDALEN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33020-2020</t>
        </is>
      </c>
      <c r="B423" s="1" t="n">
        <v>44021</v>
      </c>
      <c r="C423" s="1" t="n">
        <v>45354</v>
      </c>
      <c r="D423" t="inlineStr">
        <is>
          <t>JÄMTLANDS LÄN</t>
        </is>
      </c>
      <c r="E423" t="inlineStr">
        <is>
          <t>HÄRJEDALEN</t>
        </is>
      </c>
      <c r="G423" t="n">
        <v>1.7</v>
      </c>
      <c r="H423" t="n">
        <v>0</v>
      </c>
      <c r="I423" t="n">
        <v>0</v>
      </c>
      <c r="J423" t="n">
        <v>0</v>
      </c>
      <c r="K423" t="n">
        <v>0</v>
      </c>
      <c r="L423" t="n">
        <v>0</v>
      </c>
      <c r="M423" t="n">
        <v>0</v>
      </c>
      <c r="N423" t="n">
        <v>0</v>
      </c>
      <c r="O423" t="n">
        <v>0</v>
      </c>
      <c r="P423" t="n">
        <v>0</v>
      </c>
      <c r="Q423" t="n">
        <v>0</v>
      </c>
      <c r="R423" s="2" t="inlineStr"/>
    </row>
    <row r="424" ht="15" customHeight="1">
      <c r="A424" t="inlineStr">
        <is>
          <t>A 33812-2020</t>
        </is>
      </c>
      <c r="B424" s="1" t="n">
        <v>44025</v>
      </c>
      <c r="C424" s="1" t="n">
        <v>45354</v>
      </c>
      <c r="D424" t="inlineStr">
        <is>
          <t>JÄMTLANDS LÄN</t>
        </is>
      </c>
      <c r="E424" t="inlineStr">
        <is>
          <t>HÄRJEDALEN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33513-2020</t>
        </is>
      </c>
      <c r="B425" s="1" t="n">
        <v>44025</v>
      </c>
      <c r="C425" s="1" t="n">
        <v>45354</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33701-2020</t>
        </is>
      </c>
      <c r="B426" s="1" t="n">
        <v>44026</v>
      </c>
      <c r="C426" s="1" t="n">
        <v>45354</v>
      </c>
      <c r="D426" t="inlineStr">
        <is>
          <t>JÄMTLANDS LÄN</t>
        </is>
      </c>
      <c r="E426" t="inlineStr">
        <is>
          <t>HÄRJEDALEN</t>
        </is>
      </c>
      <c r="F426" t="inlineStr">
        <is>
          <t>Bergvik skog väst AB</t>
        </is>
      </c>
      <c r="G426" t="n">
        <v>7.2</v>
      </c>
      <c r="H426" t="n">
        <v>0</v>
      </c>
      <c r="I426" t="n">
        <v>0</v>
      </c>
      <c r="J426" t="n">
        <v>0</v>
      </c>
      <c r="K426" t="n">
        <v>0</v>
      </c>
      <c r="L426" t="n">
        <v>0</v>
      </c>
      <c r="M426" t="n">
        <v>0</v>
      </c>
      <c r="N426" t="n">
        <v>0</v>
      </c>
      <c r="O426" t="n">
        <v>0</v>
      </c>
      <c r="P426" t="n">
        <v>0</v>
      </c>
      <c r="Q426" t="n">
        <v>0</v>
      </c>
      <c r="R426" s="2" t="inlineStr"/>
    </row>
    <row r="427" ht="15" customHeight="1">
      <c r="A427" t="inlineStr">
        <is>
          <t>A 33942-2020</t>
        </is>
      </c>
      <c r="B427" s="1" t="n">
        <v>44028</v>
      </c>
      <c r="C427" s="1" t="n">
        <v>45354</v>
      </c>
      <c r="D427" t="inlineStr">
        <is>
          <t>JÄMTLANDS LÄN</t>
        </is>
      </c>
      <c r="E427" t="inlineStr">
        <is>
          <t>HÄRJEDALEN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34191-2020</t>
        </is>
      </c>
      <c r="B428" s="1" t="n">
        <v>44029</v>
      </c>
      <c r="C428" s="1" t="n">
        <v>45354</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45354</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45354</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45354</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45354</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35160-2020</t>
        </is>
      </c>
      <c r="B433" s="1" t="n">
        <v>44040</v>
      </c>
      <c r="C433" s="1" t="n">
        <v>45354</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45354</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45354</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45354</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45354</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45354</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45354</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45354</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45354</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45354</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45354</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45354</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45354</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45354</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45354</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45354</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45354</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45354</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47685-2020</t>
        </is>
      </c>
      <c r="B451" s="1" t="n">
        <v>44096</v>
      </c>
      <c r="C451" s="1" t="n">
        <v>45354</v>
      </c>
      <c r="D451" t="inlineStr">
        <is>
          <t>JÄMTLANDS LÄN</t>
        </is>
      </c>
      <c r="E451" t="inlineStr">
        <is>
          <t>HÄRJEDALEN</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45354</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45354</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45354</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49246-2020</t>
        </is>
      </c>
      <c r="B455" s="1" t="n">
        <v>44105</v>
      </c>
      <c r="C455" s="1" t="n">
        <v>45354</v>
      </c>
      <c r="D455" t="inlineStr">
        <is>
          <t>JÄMTLANDS LÄN</t>
        </is>
      </c>
      <c r="E455" t="inlineStr">
        <is>
          <t>HÄRJEDALEN</t>
        </is>
      </c>
      <c r="G455" t="n">
        <v>3.7</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45354</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45354</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45354</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45354</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45354</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45354</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45354</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45354</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45354</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45354</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45354</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45354</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45354</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45354</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45354</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45354</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45354</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45354</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45354</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45354</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45354</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45354</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45354</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45354</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45354</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45354</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45354</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45354</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45354</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45354</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45354</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45354</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45354</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45354</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45354</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45354</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45354</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45354</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45354</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45354</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45354</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45354</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45354</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45354</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45354</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45354</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45354</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45354</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45354</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45354</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45354</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45354</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45354</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45354</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45354</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45354</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45354</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45354</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45354</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45354</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45354</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45354</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45354</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45354</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45354</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45354</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45354</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45354</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45354</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45354</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45354</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45354</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45354</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45354</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45354</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45354</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45354</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45354</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45354</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45354</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45354</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45354</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45354</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45354</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45354</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45354</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45354</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45354</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45354</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45354</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45354</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45354</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45354</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45354</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45354</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45354</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45354</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45354</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45354</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45354</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45354</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45354</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45354</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45354</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45354</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45354</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45354</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45354</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45354</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45354</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45354</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45354</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45354</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45354</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45354</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45354</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45354</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45354</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45354</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45354</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45354</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45354</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45354</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45354</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45354</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45354</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45354</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45354</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45354</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45354</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45354</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45354</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45354</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45354</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45354</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45354</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45354</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45354</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45354</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45354</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45354</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45354</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45354</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45354</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45354</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45354</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45354</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45354</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45354</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45354</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45354</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45354</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45354</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45354</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45354</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45354</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45354</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45354</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45354</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45354</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45354</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45354</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45354</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45354</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45354</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45354</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45354</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45354</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45354</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45354</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45354</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45354</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45354</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45354</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45354</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45354</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45557-2021</t>
        </is>
      </c>
      <c r="B632" s="1" t="n">
        <v>44440</v>
      </c>
      <c r="C632" s="1" t="n">
        <v>45354</v>
      </c>
      <c r="D632" t="inlineStr">
        <is>
          <t>JÄMTLANDS LÄN</t>
        </is>
      </c>
      <c r="E632" t="inlineStr">
        <is>
          <t>HÄRJEDALEN</t>
        </is>
      </c>
      <c r="G632" t="n">
        <v>11.4</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45354</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45717-2021</t>
        </is>
      </c>
      <c r="B634" s="1" t="n">
        <v>44441</v>
      </c>
      <c r="C634" s="1" t="n">
        <v>45354</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45744-2021</t>
        </is>
      </c>
      <c r="B635" s="1" t="n">
        <v>44441</v>
      </c>
      <c r="C635" s="1" t="n">
        <v>45354</v>
      </c>
      <c r="D635" t="inlineStr">
        <is>
          <t>JÄMTLANDS LÄN</t>
        </is>
      </c>
      <c r="E635" t="inlineStr">
        <is>
          <t>HÄRJEDALEN</t>
        </is>
      </c>
      <c r="F635" t="inlineStr">
        <is>
          <t>Holmen skog AB</t>
        </is>
      </c>
      <c r="G635" t="n">
        <v>6.9</v>
      </c>
      <c r="H635" t="n">
        <v>0</v>
      </c>
      <c r="I635" t="n">
        <v>0</v>
      </c>
      <c r="J635" t="n">
        <v>0</v>
      </c>
      <c r="K635" t="n">
        <v>0</v>
      </c>
      <c r="L635" t="n">
        <v>0</v>
      </c>
      <c r="M635" t="n">
        <v>0</v>
      </c>
      <c r="N635" t="n">
        <v>0</v>
      </c>
      <c r="O635" t="n">
        <v>0</v>
      </c>
      <c r="P635" t="n">
        <v>0</v>
      </c>
      <c r="Q635" t="n">
        <v>0</v>
      </c>
      <c r="R635" s="2" t="inlineStr"/>
    </row>
    <row r="636" ht="15" customHeight="1">
      <c r="A636" t="inlineStr">
        <is>
          <t>A 46352-2021</t>
        </is>
      </c>
      <c r="B636" s="1" t="n">
        <v>44442</v>
      </c>
      <c r="C636" s="1" t="n">
        <v>45354</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47289-2021</t>
        </is>
      </c>
      <c r="B637" s="1" t="n">
        <v>44447</v>
      </c>
      <c r="C637" s="1" t="n">
        <v>45354</v>
      </c>
      <c r="D637" t="inlineStr">
        <is>
          <t>JÄMTLANDS LÄN</t>
        </is>
      </c>
      <c r="E637" t="inlineStr">
        <is>
          <t>HÄRJEDALEN</t>
        </is>
      </c>
      <c r="F637" t="inlineStr">
        <is>
          <t>Holmen skog AB</t>
        </is>
      </c>
      <c r="G637" t="n">
        <v>31.7</v>
      </c>
      <c r="H637" t="n">
        <v>0</v>
      </c>
      <c r="I637" t="n">
        <v>0</v>
      </c>
      <c r="J637" t="n">
        <v>0</v>
      </c>
      <c r="K637" t="n">
        <v>0</v>
      </c>
      <c r="L637" t="n">
        <v>0</v>
      </c>
      <c r="M637" t="n">
        <v>0</v>
      </c>
      <c r="N637" t="n">
        <v>0</v>
      </c>
      <c r="O637" t="n">
        <v>0</v>
      </c>
      <c r="P637" t="n">
        <v>0</v>
      </c>
      <c r="Q637" t="n">
        <v>0</v>
      </c>
      <c r="R637" s="2" t="inlineStr"/>
    </row>
    <row r="638" ht="15" customHeight="1">
      <c r="A638" t="inlineStr">
        <is>
          <t>A 48065-2021</t>
        </is>
      </c>
      <c r="B638" s="1" t="n">
        <v>44449</v>
      </c>
      <c r="C638" s="1" t="n">
        <v>45354</v>
      </c>
      <c r="D638" t="inlineStr">
        <is>
          <t>JÄMTLANDS LÄN</t>
        </is>
      </c>
      <c r="E638" t="inlineStr">
        <is>
          <t>HÄRJEDALEN</t>
        </is>
      </c>
      <c r="G638" t="n">
        <v>24.8</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45354</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45354</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45354</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45354</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45354</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45354</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45354</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45354</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45354</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45354</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45354</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45354</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54420-2021</t>
        </is>
      </c>
      <c r="B651" s="1" t="n">
        <v>44473</v>
      </c>
      <c r="C651" s="1" t="n">
        <v>45354</v>
      </c>
      <c r="D651" t="inlineStr">
        <is>
          <t>JÄMTLANDS LÄN</t>
        </is>
      </c>
      <c r="E651" t="inlineStr">
        <is>
          <t>HÄRJEDALEN</t>
        </is>
      </c>
      <c r="F651" t="inlineStr">
        <is>
          <t>Bergvik skog väst AB</t>
        </is>
      </c>
      <c r="G651" t="n">
        <v>18.5</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45354</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45354</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45354</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45354</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45354</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45354</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45354</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45354</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45354</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45354</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45354</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45354</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45354</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45354</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45354</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45354</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45354</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45354</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45354</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45354</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45354</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45354</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45354</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45354</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45354</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45354</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45354</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45354</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45354</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45354</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45354</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45354</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45354</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61561-2021</t>
        </is>
      </c>
      <c r="B685" s="1" t="n">
        <v>44501</v>
      </c>
      <c r="C685" s="1" t="n">
        <v>45354</v>
      </c>
      <c r="D685" t="inlineStr">
        <is>
          <t>JÄMTLANDS LÄN</t>
        </is>
      </c>
      <c r="E685" t="inlineStr">
        <is>
          <t>HÄRJEDALEN</t>
        </is>
      </c>
      <c r="F685" t="inlineStr">
        <is>
          <t>Bergvik skog väst AB</t>
        </is>
      </c>
      <c r="G685" t="n">
        <v>16.2</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45354</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45354</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45354</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45354</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45354</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45354</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45354</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45354</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45354</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45354</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45354</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45354</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45354</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45354</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45354</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45354</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45354</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45354</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45354</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45354</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45354</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45354</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45354</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45354</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45354</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45354</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45354</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45354</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45354</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45354</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45354</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45354</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45354</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45354</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45354</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45354</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45354</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45354</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45354</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45354</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45354</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45354</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45354</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45354</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45354</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45354</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45354</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45354</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45354</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45354</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45354</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45354</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45354</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45354</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45354</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45354</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45354</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45354</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45354</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45354</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45354</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45354</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45354</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45354</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45354</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45354</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45354</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45354</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14648-2022</t>
        </is>
      </c>
      <c r="B754" s="1" t="n">
        <v>44655</v>
      </c>
      <c r="C754" s="1" t="n">
        <v>45354</v>
      </c>
      <c r="D754" t="inlineStr">
        <is>
          <t>JÄMTLANDS LÄN</t>
        </is>
      </c>
      <c r="E754" t="inlineStr">
        <is>
          <t>HÄRJEDALEN</t>
        </is>
      </c>
      <c r="G754" t="n">
        <v>4.8</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45354</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45354</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45354</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45354</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45354</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45354</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45354</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45354</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45354</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45354</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45354</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45354</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45354</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45354</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45354</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45354</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45354</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45354</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45354</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45354</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45354</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45354</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45354</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45354</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45354</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45354</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45354</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45354</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45354</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45354</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45354</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45354</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45354</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45354</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45354</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45354</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45354</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45354</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45354</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45354</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45354</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45354</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45354</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45354</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45354</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45354</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31061-2022</t>
        </is>
      </c>
      <c r="B801" s="1" t="n">
        <v>44769</v>
      </c>
      <c r="C801" s="1" t="n">
        <v>45354</v>
      </c>
      <c r="D801" t="inlineStr">
        <is>
          <t>JÄMTLANDS LÄN</t>
        </is>
      </c>
      <c r="E801" t="inlineStr">
        <is>
          <t>HÄRJEDALEN</t>
        </is>
      </c>
      <c r="F801" t="inlineStr">
        <is>
          <t>Bergvik skog väst AB</t>
        </is>
      </c>
      <c r="G801" t="n">
        <v>15.8</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45354</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45354</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45354</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45354</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45354</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45354</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45354</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45354</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45354</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45354</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45354</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45354</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45354</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45354</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45354</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45354</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45354</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45354</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45354</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45354</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45354</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45354</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45354</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45354</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45354</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45354</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45354</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45354</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45354</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45354</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45354</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45354</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45354</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45354</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45354</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45354</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45354</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45354</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45354</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45354</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45354</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45354</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45354</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42576-2022</t>
        </is>
      </c>
      <c r="B845" s="1" t="n">
        <v>44831</v>
      </c>
      <c r="C845" s="1" t="n">
        <v>45354</v>
      </c>
      <c r="D845" t="inlineStr">
        <is>
          <t>JÄMTLANDS LÄN</t>
        </is>
      </c>
      <c r="E845" t="inlineStr">
        <is>
          <t>HÄRJEDALEN</t>
        </is>
      </c>
      <c r="F845" t="inlineStr">
        <is>
          <t>Sveaskog</t>
        </is>
      </c>
      <c r="G845" t="n">
        <v>24.4</v>
      </c>
      <c r="H845" t="n">
        <v>0</v>
      </c>
      <c r="I845" t="n">
        <v>0</v>
      </c>
      <c r="J845" t="n">
        <v>0</v>
      </c>
      <c r="K845" t="n">
        <v>0</v>
      </c>
      <c r="L845" t="n">
        <v>0</v>
      </c>
      <c r="M845" t="n">
        <v>0</v>
      </c>
      <c r="N845" t="n">
        <v>0</v>
      </c>
      <c r="O845" t="n">
        <v>0</v>
      </c>
      <c r="P845" t="n">
        <v>0</v>
      </c>
      <c r="Q845" t="n">
        <v>0</v>
      </c>
      <c r="R845" s="2" t="inlineStr"/>
    </row>
    <row r="846" ht="15" customHeight="1">
      <c r="A846" t="inlineStr">
        <is>
          <t>A 42673-2022</t>
        </is>
      </c>
      <c r="B846" s="1" t="n">
        <v>44832</v>
      </c>
      <c r="C846" s="1" t="n">
        <v>45354</v>
      </c>
      <c r="D846" t="inlineStr">
        <is>
          <t>JÄMTLANDS LÄN</t>
        </is>
      </c>
      <c r="E846" t="inlineStr">
        <is>
          <t>HÄRJEDALEN</t>
        </is>
      </c>
      <c r="F846" t="inlineStr">
        <is>
          <t>Bergvik skog väst AB</t>
        </is>
      </c>
      <c r="G846" t="n">
        <v>18.6</v>
      </c>
      <c r="H846" t="n">
        <v>0</v>
      </c>
      <c r="I846" t="n">
        <v>0</v>
      </c>
      <c r="J846" t="n">
        <v>0</v>
      </c>
      <c r="K846" t="n">
        <v>0</v>
      </c>
      <c r="L846" t="n">
        <v>0</v>
      </c>
      <c r="M846" t="n">
        <v>0</v>
      </c>
      <c r="N846" t="n">
        <v>0</v>
      </c>
      <c r="O846" t="n">
        <v>0</v>
      </c>
      <c r="P846" t="n">
        <v>0</v>
      </c>
      <c r="Q846" t="n">
        <v>0</v>
      </c>
      <c r="R846" s="2" t="inlineStr"/>
    </row>
    <row r="847" ht="15" customHeight="1">
      <c r="A847" t="inlineStr">
        <is>
          <t>A 42916-2022</t>
        </is>
      </c>
      <c r="B847" s="1" t="n">
        <v>44833</v>
      </c>
      <c r="C847" s="1" t="n">
        <v>45354</v>
      </c>
      <c r="D847" t="inlineStr">
        <is>
          <t>JÄMTLANDS LÄN</t>
        </is>
      </c>
      <c r="E847" t="inlineStr">
        <is>
          <t>HÄRJEDALEN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43293-2022</t>
        </is>
      </c>
      <c r="B848" s="1" t="n">
        <v>44834</v>
      </c>
      <c r="C848" s="1" t="n">
        <v>45354</v>
      </c>
      <c r="D848" t="inlineStr">
        <is>
          <t>JÄMTLANDS LÄN</t>
        </is>
      </c>
      <c r="E848" t="inlineStr">
        <is>
          <t>HÄRJEDALEN</t>
        </is>
      </c>
      <c r="F848" t="inlineStr">
        <is>
          <t>Bergvik skog väst AB</t>
        </is>
      </c>
      <c r="G848" t="n">
        <v>6.7</v>
      </c>
      <c r="H848" t="n">
        <v>0</v>
      </c>
      <c r="I848" t="n">
        <v>0</v>
      </c>
      <c r="J848" t="n">
        <v>0</v>
      </c>
      <c r="K848" t="n">
        <v>0</v>
      </c>
      <c r="L848" t="n">
        <v>0</v>
      </c>
      <c r="M848" t="n">
        <v>0</v>
      </c>
      <c r="N848" t="n">
        <v>0</v>
      </c>
      <c r="O848" t="n">
        <v>0</v>
      </c>
      <c r="P848" t="n">
        <v>0</v>
      </c>
      <c r="Q848" t="n">
        <v>0</v>
      </c>
      <c r="R848" s="2" t="inlineStr"/>
    </row>
    <row r="849" ht="15" customHeight="1">
      <c r="A849" t="inlineStr">
        <is>
          <t>A 43531-2022</t>
        </is>
      </c>
      <c r="B849" s="1" t="n">
        <v>44837</v>
      </c>
      <c r="C849" s="1" t="n">
        <v>45354</v>
      </c>
      <c r="D849" t="inlineStr">
        <is>
          <t>JÄMTLANDS LÄN</t>
        </is>
      </c>
      <c r="E849" t="inlineStr">
        <is>
          <t>HÄRJEDALEN</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43552-2022</t>
        </is>
      </c>
      <c r="B850" s="1" t="n">
        <v>44837</v>
      </c>
      <c r="C850" s="1" t="n">
        <v>45354</v>
      </c>
      <c r="D850" t="inlineStr">
        <is>
          <t>JÄMTLANDS LÄN</t>
        </is>
      </c>
      <c r="E850" t="inlineStr">
        <is>
          <t>HÄRJEDALEN</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43825-2022</t>
        </is>
      </c>
      <c r="B851" s="1" t="n">
        <v>44838</v>
      </c>
      <c r="C851" s="1" t="n">
        <v>45354</v>
      </c>
      <c r="D851" t="inlineStr">
        <is>
          <t>JÄMTLANDS LÄN</t>
        </is>
      </c>
      <c r="E851" t="inlineStr">
        <is>
          <t>HÄRJEDALEN</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45017-2022</t>
        </is>
      </c>
      <c r="B852" s="1" t="n">
        <v>44841</v>
      </c>
      <c r="C852" s="1" t="n">
        <v>45354</v>
      </c>
      <c r="D852" t="inlineStr">
        <is>
          <t>JÄMTLANDS LÄN</t>
        </is>
      </c>
      <c r="E852" t="inlineStr">
        <is>
          <t>HÄRJEDALEN</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47351-2022</t>
        </is>
      </c>
      <c r="B853" s="1" t="n">
        <v>44853</v>
      </c>
      <c r="C853" s="1" t="n">
        <v>45354</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47450-2022</t>
        </is>
      </c>
      <c r="B854" s="1" t="n">
        <v>44853</v>
      </c>
      <c r="C854" s="1" t="n">
        <v>45354</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47635-2022</t>
        </is>
      </c>
      <c r="B855" s="1" t="n">
        <v>44854</v>
      </c>
      <c r="C855" s="1" t="n">
        <v>45354</v>
      </c>
      <c r="D855" t="inlineStr">
        <is>
          <t>JÄMTLANDS LÄN</t>
        </is>
      </c>
      <c r="E855" t="inlineStr">
        <is>
          <t>HÄRJEDALEN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47738-2022</t>
        </is>
      </c>
      <c r="B856" s="1" t="n">
        <v>44854</v>
      </c>
      <c r="C856" s="1" t="n">
        <v>45354</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47975-2022</t>
        </is>
      </c>
      <c r="B857" s="1" t="n">
        <v>44855</v>
      </c>
      <c r="C857" s="1" t="n">
        <v>45354</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48438-2022</t>
        </is>
      </c>
      <c r="B858" s="1" t="n">
        <v>44858</v>
      </c>
      <c r="C858" s="1" t="n">
        <v>45354</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48583-2022</t>
        </is>
      </c>
      <c r="B859" s="1" t="n">
        <v>44859</v>
      </c>
      <c r="C859" s="1" t="n">
        <v>45354</v>
      </c>
      <c r="D859" t="inlineStr">
        <is>
          <t>JÄMTLANDS LÄN</t>
        </is>
      </c>
      <c r="E859" t="inlineStr">
        <is>
          <t>HÄRJEDALEN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49237-2022</t>
        </is>
      </c>
      <c r="B860" s="1" t="n">
        <v>44861</v>
      </c>
      <c r="C860" s="1" t="n">
        <v>45354</v>
      </c>
      <c r="D860" t="inlineStr">
        <is>
          <t>JÄMTLANDS LÄN</t>
        </is>
      </c>
      <c r="E860" t="inlineStr">
        <is>
          <t>HÄRJEDALEN</t>
        </is>
      </c>
      <c r="G860" t="n">
        <v>5.8</v>
      </c>
      <c r="H860" t="n">
        <v>0</v>
      </c>
      <c r="I860" t="n">
        <v>0</v>
      </c>
      <c r="J860" t="n">
        <v>0</v>
      </c>
      <c r="K860" t="n">
        <v>0</v>
      </c>
      <c r="L860" t="n">
        <v>0</v>
      </c>
      <c r="M860" t="n">
        <v>0</v>
      </c>
      <c r="N860" t="n">
        <v>0</v>
      </c>
      <c r="O860" t="n">
        <v>0</v>
      </c>
      <c r="P860" t="n">
        <v>0</v>
      </c>
      <c r="Q860" t="n">
        <v>0</v>
      </c>
      <c r="R860" s="2" t="inlineStr"/>
    </row>
    <row r="861" ht="15" customHeight="1">
      <c r="A861" t="inlineStr">
        <is>
          <t>A 49295-2022</t>
        </is>
      </c>
      <c r="B861" s="1" t="n">
        <v>44861</v>
      </c>
      <c r="C861" s="1" t="n">
        <v>45354</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49663-2022</t>
        </is>
      </c>
      <c r="B862" s="1" t="n">
        <v>44862</v>
      </c>
      <c r="C862" s="1" t="n">
        <v>45354</v>
      </c>
      <c r="D862" t="inlineStr">
        <is>
          <t>JÄMTLANDS LÄN</t>
        </is>
      </c>
      <c r="E862" t="inlineStr">
        <is>
          <t>HÄRJEDALEN</t>
        </is>
      </c>
      <c r="F862" t="inlineStr">
        <is>
          <t>Bergvik skog väst AB</t>
        </is>
      </c>
      <c r="G862" t="n">
        <v>17.5</v>
      </c>
      <c r="H862" t="n">
        <v>0</v>
      </c>
      <c r="I862" t="n">
        <v>0</v>
      </c>
      <c r="J862" t="n">
        <v>0</v>
      </c>
      <c r="K862" t="n">
        <v>0</v>
      </c>
      <c r="L862" t="n">
        <v>0</v>
      </c>
      <c r="M862" t="n">
        <v>0</v>
      </c>
      <c r="N862" t="n">
        <v>0</v>
      </c>
      <c r="O862" t="n">
        <v>0</v>
      </c>
      <c r="P862" t="n">
        <v>0</v>
      </c>
      <c r="Q862" t="n">
        <v>0</v>
      </c>
      <c r="R862" s="2" t="inlineStr"/>
    </row>
    <row r="863" ht="15" customHeight="1">
      <c r="A863" t="inlineStr">
        <is>
          <t>A 49689-2022</t>
        </is>
      </c>
      <c r="B863" s="1" t="n">
        <v>44862</v>
      </c>
      <c r="C863" s="1" t="n">
        <v>45354</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50145-2022</t>
        </is>
      </c>
      <c r="B864" s="1" t="n">
        <v>44865</v>
      </c>
      <c r="C864" s="1" t="n">
        <v>45354</v>
      </c>
      <c r="D864" t="inlineStr">
        <is>
          <t>JÄMTLANDS LÄN</t>
        </is>
      </c>
      <c r="E864" t="inlineStr">
        <is>
          <t>HÄRJEDALEN</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49995-2022</t>
        </is>
      </c>
      <c r="B865" s="1" t="n">
        <v>44865</v>
      </c>
      <c r="C865" s="1" t="n">
        <v>45354</v>
      </c>
      <c r="D865" t="inlineStr">
        <is>
          <t>JÄMTLANDS LÄN</t>
        </is>
      </c>
      <c r="E865" t="inlineStr">
        <is>
          <t>HÄRJEDALEN</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51948-2022</t>
        </is>
      </c>
      <c r="B866" s="1" t="n">
        <v>44872</v>
      </c>
      <c r="C866" s="1" t="n">
        <v>45354</v>
      </c>
      <c r="D866" t="inlineStr">
        <is>
          <t>JÄMTLANDS LÄN</t>
        </is>
      </c>
      <c r="E866" t="inlineStr">
        <is>
          <t>HÄRJEDALEN</t>
        </is>
      </c>
      <c r="F866" t="inlineStr">
        <is>
          <t>Bergvik skog väst AB</t>
        </is>
      </c>
      <c r="G866" t="n">
        <v>3.8</v>
      </c>
      <c r="H866" t="n">
        <v>0</v>
      </c>
      <c r="I866" t="n">
        <v>0</v>
      </c>
      <c r="J866" t="n">
        <v>0</v>
      </c>
      <c r="K866" t="n">
        <v>0</v>
      </c>
      <c r="L866" t="n">
        <v>0</v>
      </c>
      <c r="M866" t="n">
        <v>0</v>
      </c>
      <c r="N866" t="n">
        <v>0</v>
      </c>
      <c r="O866" t="n">
        <v>0</v>
      </c>
      <c r="P866" t="n">
        <v>0</v>
      </c>
      <c r="Q866" t="n">
        <v>0</v>
      </c>
      <c r="R866" s="2" t="inlineStr"/>
    </row>
    <row r="867" ht="15" customHeight="1">
      <c r="A867" t="inlineStr">
        <is>
          <t>A 52852-2022</t>
        </is>
      </c>
      <c r="B867" s="1" t="n">
        <v>44872</v>
      </c>
      <c r="C867" s="1" t="n">
        <v>45354</v>
      </c>
      <c r="D867" t="inlineStr">
        <is>
          <t>JÄMTLANDS LÄN</t>
        </is>
      </c>
      <c r="E867" t="inlineStr">
        <is>
          <t>HÄRJEDALEN</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52867-2022</t>
        </is>
      </c>
      <c r="B868" s="1" t="n">
        <v>44872</v>
      </c>
      <c r="C868" s="1" t="n">
        <v>45354</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52339-2022</t>
        </is>
      </c>
      <c r="B869" s="1" t="n">
        <v>44873</v>
      </c>
      <c r="C869" s="1" t="n">
        <v>45354</v>
      </c>
      <c r="D869" t="inlineStr">
        <is>
          <t>JÄMTLANDS LÄN</t>
        </is>
      </c>
      <c r="E869" t="inlineStr">
        <is>
          <t>HÄRJEDALEN</t>
        </is>
      </c>
      <c r="G869" t="n">
        <v>28.1</v>
      </c>
      <c r="H869" t="n">
        <v>0</v>
      </c>
      <c r="I869" t="n">
        <v>0</v>
      </c>
      <c r="J869" t="n">
        <v>0</v>
      </c>
      <c r="K869" t="n">
        <v>0</v>
      </c>
      <c r="L869" t="n">
        <v>0</v>
      </c>
      <c r="M869" t="n">
        <v>0</v>
      </c>
      <c r="N869" t="n">
        <v>0</v>
      </c>
      <c r="O869" t="n">
        <v>0</v>
      </c>
      <c r="P869" t="n">
        <v>0</v>
      </c>
      <c r="Q869" t="n">
        <v>0</v>
      </c>
      <c r="R869" s="2" t="inlineStr"/>
    </row>
    <row r="870" ht="15" customHeight="1">
      <c r="A870" t="inlineStr">
        <is>
          <t>A 52586-2022</t>
        </is>
      </c>
      <c r="B870" s="1" t="n">
        <v>44874</v>
      </c>
      <c r="C870" s="1" t="n">
        <v>45354</v>
      </c>
      <c r="D870" t="inlineStr">
        <is>
          <t>JÄMTLANDS LÄN</t>
        </is>
      </c>
      <c r="E870" t="inlineStr">
        <is>
          <t>HÄRJEDALEN</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53104-2022</t>
        </is>
      </c>
      <c r="B871" s="1" t="n">
        <v>44876</v>
      </c>
      <c r="C871" s="1" t="n">
        <v>45354</v>
      </c>
      <c r="D871" t="inlineStr">
        <is>
          <t>JÄMTLANDS LÄN</t>
        </is>
      </c>
      <c r="E871" t="inlineStr">
        <is>
          <t>HÄRJEDALEN</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53107-2022</t>
        </is>
      </c>
      <c r="B872" s="1" t="n">
        <v>44876</v>
      </c>
      <c r="C872" s="1" t="n">
        <v>45354</v>
      </c>
      <c r="D872" t="inlineStr">
        <is>
          <t>JÄMTLANDS LÄN</t>
        </is>
      </c>
      <c r="E872" t="inlineStr">
        <is>
          <t>HÄRJEDALEN</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53120-2022</t>
        </is>
      </c>
      <c r="B873" s="1" t="n">
        <v>44876</v>
      </c>
      <c r="C873" s="1" t="n">
        <v>45354</v>
      </c>
      <c r="D873" t="inlineStr">
        <is>
          <t>JÄMTLANDS LÄN</t>
        </is>
      </c>
      <c r="E873" t="inlineStr">
        <is>
          <t>HÄRJEDALEN</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53563-2022</t>
        </is>
      </c>
      <c r="B874" s="1" t="n">
        <v>44879</v>
      </c>
      <c r="C874" s="1" t="n">
        <v>45354</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54059-2022</t>
        </is>
      </c>
      <c r="B875" s="1" t="n">
        <v>44881</v>
      </c>
      <c r="C875" s="1" t="n">
        <v>45354</v>
      </c>
      <c r="D875" t="inlineStr">
        <is>
          <t>JÄMTLANDS LÄN</t>
        </is>
      </c>
      <c r="E875" t="inlineStr">
        <is>
          <t>HÄRJEDALEN</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54065-2022</t>
        </is>
      </c>
      <c r="B876" s="1" t="n">
        <v>44881</v>
      </c>
      <c r="C876" s="1" t="n">
        <v>45354</v>
      </c>
      <c r="D876" t="inlineStr">
        <is>
          <t>JÄMTLANDS LÄN</t>
        </is>
      </c>
      <c r="E876" t="inlineStr">
        <is>
          <t>HÄRJEDALEN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54305-2022</t>
        </is>
      </c>
      <c r="B877" s="1" t="n">
        <v>44882</v>
      </c>
      <c r="C877" s="1" t="n">
        <v>45354</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54661-2022</t>
        </is>
      </c>
      <c r="B878" s="1" t="n">
        <v>44883</v>
      </c>
      <c r="C878" s="1" t="n">
        <v>45354</v>
      </c>
      <c r="D878" t="inlineStr">
        <is>
          <t>JÄMTLANDS LÄN</t>
        </is>
      </c>
      <c r="E878" t="inlineStr">
        <is>
          <t>HÄRJEDALEN</t>
        </is>
      </c>
      <c r="G878" t="n">
        <v>5.9</v>
      </c>
      <c r="H878" t="n">
        <v>0</v>
      </c>
      <c r="I878" t="n">
        <v>0</v>
      </c>
      <c r="J878" t="n">
        <v>0</v>
      </c>
      <c r="K878" t="n">
        <v>0</v>
      </c>
      <c r="L878" t="n">
        <v>0</v>
      </c>
      <c r="M878" t="n">
        <v>0</v>
      </c>
      <c r="N878" t="n">
        <v>0</v>
      </c>
      <c r="O878" t="n">
        <v>0</v>
      </c>
      <c r="P878" t="n">
        <v>0</v>
      </c>
      <c r="Q878" t="n">
        <v>0</v>
      </c>
      <c r="R878" s="2" t="inlineStr"/>
    </row>
    <row r="879" ht="15" customHeight="1">
      <c r="A879" t="inlineStr">
        <is>
          <t>A 54762-2022</t>
        </is>
      </c>
      <c r="B879" s="1" t="n">
        <v>44883</v>
      </c>
      <c r="C879" s="1" t="n">
        <v>45354</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55100-2022</t>
        </is>
      </c>
      <c r="B880" s="1" t="n">
        <v>44886</v>
      </c>
      <c r="C880" s="1" t="n">
        <v>45354</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55103-2022</t>
        </is>
      </c>
      <c r="B881" s="1" t="n">
        <v>44886</v>
      </c>
      <c r="C881" s="1" t="n">
        <v>45354</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55931-2022</t>
        </is>
      </c>
      <c r="B882" s="1" t="n">
        <v>44886</v>
      </c>
      <c r="C882" s="1" t="n">
        <v>45354</v>
      </c>
      <c r="D882" t="inlineStr">
        <is>
          <t>JÄMTLANDS LÄN</t>
        </is>
      </c>
      <c r="E882" t="inlineStr">
        <is>
          <t>HÄRJEDALEN</t>
        </is>
      </c>
      <c r="F882" t="inlineStr">
        <is>
          <t>Övriga statliga verk och myndigheter</t>
        </is>
      </c>
      <c r="G882" t="n">
        <v>2.9</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45354</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56043-2022</t>
        </is>
      </c>
      <c r="B884" s="1" t="n">
        <v>44889</v>
      </c>
      <c r="C884" s="1" t="n">
        <v>45354</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57223-2022</t>
        </is>
      </c>
      <c r="B885" s="1" t="n">
        <v>44889</v>
      </c>
      <c r="C885" s="1" t="n">
        <v>45354</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56533-2022</t>
        </is>
      </c>
      <c r="B886" s="1" t="n">
        <v>44893</v>
      </c>
      <c r="C886" s="1" t="n">
        <v>45354</v>
      </c>
      <c r="D886" t="inlineStr">
        <is>
          <t>JÄMTLANDS LÄN</t>
        </is>
      </c>
      <c r="E886" t="inlineStr">
        <is>
          <t>HÄRJEDALEN</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56992-2022</t>
        </is>
      </c>
      <c r="B887" s="1" t="n">
        <v>44894</v>
      </c>
      <c r="C887" s="1" t="n">
        <v>45354</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58425-2022</t>
        </is>
      </c>
      <c r="B888" s="1" t="n">
        <v>44901</v>
      </c>
      <c r="C888" s="1" t="n">
        <v>45354</v>
      </c>
      <c r="D888" t="inlineStr">
        <is>
          <t>JÄMTLANDS LÄN</t>
        </is>
      </c>
      <c r="E888" t="inlineStr">
        <is>
          <t>HÄRJEDALEN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59094-2022</t>
        </is>
      </c>
      <c r="B889" s="1" t="n">
        <v>44904</v>
      </c>
      <c r="C889" s="1" t="n">
        <v>45354</v>
      </c>
      <c r="D889" t="inlineStr">
        <is>
          <t>JÄMTLANDS LÄN</t>
        </is>
      </c>
      <c r="E889" t="inlineStr">
        <is>
          <t>HÄRJEDALEN</t>
        </is>
      </c>
      <c r="F889" t="inlineStr">
        <is>
          <t>Bergvik skog väst AB</t>
        </is>
      </c>
      <c r="G889" t="n">
        <v>49.8</v>
      </c>
      <c r="H889" t="n">
        <v>0</v>
      </c>
      <c r="I889" t="n">
        <v>0</v>
      </c>
      <c r="J889" t="n">
        <v>0</v>
      </c>
      <c r="K889" t="n">
        <v>0</v>
      </c>
      <c r="L889" t="n">
        <v>0</v>
      </c>
      <c r="M889" t="n">
        <v>0</v>
      </c>
      <c r="N889" t="n">
        <v>0</v>
      </c>
      <c r="O889" t="n">
        <v>0</v>
      </c>
      <c r="P889" t="n">
        <v>0</v>
      </c>
      <c r="Q889" t="n">
        <v>0</v>
      </c>
      <c r="R889" s="2" t="inlineStr"/>
    </row>
    <row r="890" ht="15" customHeight="1">
      <c r="A890" t="inlineStr">
        <is>
          <t>A 59112-2022</t>
        </is>
      </c>
      <c r="B890" s="1" t="n">
        <v>44904</v>
      </c>
      <c r="C890" s="1" t="n">
        <v>45354</v>
      </c>
      <c r="D890" t="inlineStr">
        <is>
          <t>JÄMTLANDS LÄN</t>
        </is>
      </c>
      <c r="E890" t="inlineStr">
        <is>
          <t>HÄRJEDALEN</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59824-2022</t>
        </is>
      </c>
      <c r="B891" s="1" t="n">
        <v>44908</v>
      </c>
      <c r="C891" s="1" t="n">
        <v>45354</v>
      </c>
      <c r="D891" t="inlineStr">
        <is>
          <t>JÄMTLANDS LÄN</t>
        </is>
      </c>
      <c r="E891" t="inlineStr">
        <is>
          <t>HÄRJEDALEN</t>
        </is>
      </c>
      <c r="G891" t="n">
        <v>4.9</v>
      </c>
      <c r="H891" t="n">
        <v>0</v>
      </c>
      <c r="I891" t="n">
        <v>0</v>
      </c>
      <c r="J891" t="n">
        <v>0</v>
      </c>
      <c r="K891" t="n">
        <v>0</v>
      </c>
      <c r="L891" t="n">
        <v>0</v>
      </c>
      <c r="M891" t="n">
        <v>0</v>
      </c>
      <c r="N891" t="n">
        <v>0</v>
      </c>
      <c r="O891" t="n">
        <v>0</v>
      </c>
      <c r="P891" t="n">
        <v>0</v>
      </c>
      <c r="Q891" t="n">
        <v>0</v>
      </c>
      <c r="R891" s="2" t="inlineStr"/>
    </row>
    <row r="892" ht="15" customHeight="1">
      <c r="A892" t="inlineStr">
        <is>
          <t>A 59851-2022</t>
        </is>
      </c>
      <c r="B892" s="1" t="n">
        <v>44908</v>
      </c>
      <c r="C892" s="1" t="n">
        <v>45354</v>
      </c>
      <c r="D892" t="inlineStr">
        <is>
          <t>JÄMTLANDS LÄN</t>
        </is>
      </c>
      <c r="E892" t="inlineStr">
        <is>
          <t>HÄRJEDALEN</t>
        </is>
      </c>
      <c r="G892" t="n">
        <v>3.2</v>
      </c>
      <c r="H892" t="n">
        <v>0</v>
      </c>
      <c r="I892" t="n">
        <v>0</v>
      </c>
      <c r="J892" t="n">
        <v>0</v>
      </c>
      <c r="K892" t="n">
        <v>0</v>
      </c>
      <c r="L892" t="n">
        <v>0</v>
      </c>
      <c r="M892" t="n">
        <v>0</v>
      </c>
      <c r="N892" t="n">
        <v>0</v>
      </c>
      <c r="O892" t="n">
        <v>0</v>
      </c>
      <c r="P892" t="n">
        <v>0</v>
      </c>
      <c r="Q892" t="n">
        <v>0</v>
      </c>
      <c r="R892" s="2" t="inlineStr"/>
    </row>
    <row r="893" ht="15" customHeight="1">
      <c r="A893" t="inlineStr">
        <is>
          <t>A 59828-2022</t>
        </is>
      </c>
      <c r="B893" s="1" t="n">
        <v>44908</v>
      </c>
      <c r="C893" s="1" t="n">
        <v>45354</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59818-2022</t>
        </is>
      </c>
      <c r="B894" s="1" t="n">
        <v>44908</v>
      </c>
      <c r="C894" s="1" t="n">
        <v>45354</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61300-2022</t>
        </is>
      </c>
      <c r="B895" s="1" t="n">
        <v>44909</v>
      </c>
      <c r="C895" s="1" t="n">
        <v>45354</v>
      </c>
      <c r="D895" t="inlineStr">
        <is>
          <t>JÄMTLANDS LÄN</t>
        </is>
      </c>
      <c r="E895" t="inlineStr">
        <is>
          <t>HÄRJEDALEN</t>
        </is>
      </c>
      <c r="F895" t="inlineStr">
        <is>
          <t>Bergvik skog väst AB</t>
        </is>
      </c>
      <c r="G895" t="n">
        <v>14.1</v>
      </c>
      <c r="H895" t="n">
        <v>0</v>
      </c>
      <c r="I895" t="n">
        <v>0</v>
      </c>
      <c r="J895" t="n">
        <v>0</v>
      </c>
      <c r="K895" t="n">
        <v>0</v>
      </c>
      <c r="L895" t="n">
        <v>0</v>
      </c>
      <c r="M895" t="n">
        <v>0</v>
      </c>
      <c r="N895" t="n">
        <v>0</v>
      </c>
      <c r="O895" t="n">
        <v>0</v>
      </c>
      <c r="P895" t="n">
        <v>0</v>
      </c>
      <c r="Q895" t="n">
        <v>0</v>
      </c>
      <c r="R895" s="2" t="inlineStr"/>
    </row>
    <row r="896" ht="15" customHeight="1">
      <c r="A896" t="inlineStr">
        <is>
          <t>A 60236-2022</t>
        </is>
      </c>
      <c r="B896" s="1" t="n">
        <v>44910</v>
      </c>
      <c r="C896" s="1" t="n">
        <v>45354</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60542-2022</t>
        </is>
      </c>
      <c r="B897" s="1" t="n">
        <v>44911</v>
      </c>
      <c r="C897" s="1" t="n">
        <v>45354</v>
      </c>
      <c r="D897" t="inlineStr">
        <is>
          <t>JÄMTLANDS LÄN</t>
        </is>
      </c>
      <c r="E897" t="inlineStr">
        <is>
          <t>HÄRJEDALEN</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60887-2022</t>
        </is>
      </c>
      <c r="B898" s="1" t="n">
        <v>44914</v>
      </c>
      <c r="C898" s="1" t="n">
        <v>45354</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60983-2022</t>
        </is>
      </c>
      <c r="B899" s="1" t="n">
        <v>44914</v>
      </c>
      <c r="C899" s="1" t="n">
        <v>45354</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60897-2022</t>
        </is>
      </c>
      <c r="B900" s="1" t="n">
        <v>44914</v>
      </c>
      <c r="C900" s="1" t="n">
        <v>45354</v>
      </c>
      <c r="D900" t="inlineStr">
        <is>
          <t>JÄMTLANDS LÄN</t>
        </is>
      </c>
      <c r="E900" t="inlineStr">
        <is>
          <t>HÄRJEDALEN</t>
        </is>
      </c>
      <c r="F900" t="inlineStr">
        <is>
          <t>Holmen skog AB</t>
        </is>
      </c>
      <c r="G900" t="n">
        <v>0.3</v>
      </c>
      <c r="H900" t="n">
        <v>0</v>
      </c>
      <c r="I900" t="n">
        <v>0</v>
      </c>
      <c r="J900" t="n">
        <v>0</v>
      </c>
      <c r="K900" t="n">
        <v>0</v>
      </c>
      <c r="L900" t="n">
        <v>0</v>
      </c>
      <c r="M900" t="n">
        <v>0</v>
      </c>
      <c r="N900" t="n">
        <v>0</v>
      </c>
      <c r="O900" t="n">
        <v>0</v>
      </c>
      <c r="P900" t="n">
        <v>0</v>
      </c>
      <c r="Q900" t="n">
        <v>0</v>
      </c>
      <c r="R900" s="2" t="inlineStr"/>
      <c r="U900">
        <f>HYPERLINK("https://klasma.github.io/Logging_2361/knärot/A 60897-2022 karta knärot.png", "A 60897-2022")</f>
        <v/>
      </c>
      <c r="V900">
        <f>HYPERLINK("https://klasma.github.io/Logging_2361/klagomål/A 60897-2022 FSC-klagomål.docx", "A 60897-2022")</f>
        <v/>
      </c>
      <c r="W900">
        <f>HYPERLINK("https://klasma.github.io/Logging_2361/klagomålsmail/A 60897-2022 FSC-klagomål mail.docx", "A 60897-2022")</f>
        <v/>
      </c>
      <c r="X900">
        <f>HYPERLINK("https://klasma.github.io/Logging_2361/tillsyn/A 60897-2022 tillsynsbegäran.docx", "A 60897-2022")</f>
        <v/>
      </c>
      <c r="Y900">
        <f>HYPERLINK("https://klasma.github.io/Logging_2361/tillsynsmail/A 60897-2022 tillsynsbegäran mail.docx", "A 60897-2022")</f>
        <v/>
      </c>
    </row>
    <row r="901" ht="15" customHeight="1">
      <c r="A901" t="inlineStr">
        <is>
          <t>A 60933-2022</t>
        </is>
      </c>
      <c r="B901" s="1" t="n">
        <v>44914</v>
      </c>
      <c r="C901" s="1" t="n">
        <v>45354</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61571-2022</t>
        </is>
      </c>
      <c r="B902" s="1" t="n">
        <v>44916</v>
      </c>
      <c r="C902" s="1" t="n">
        <v>45354</v>
      </c>
      <c r="D902" t="inlineStr">
        <is>
          <t>JÄMTLANDS LÄN</t>
        </is>
      </c>
      <c r="E902" t="inlineStr">
        <is>
          <t>HÄRJEDALEN</t>
        </is>
      </c>
      <c r="G902" t="n">
        <v>3.4</v>
      </c>
      <c r="H902" t="n">
        <v>0</v>
      </c>
      <c r="I902" t="n">
        <v>0</v>
      </c>
      <c r="J902" t="n">
        <v>0</v>
      </c>
      <c r="K902" t="n">
        <v>0</v>
      </c>
      <c r="L902" t="n">
        <v>0</v>
      </c>
      <c r="M902" t="n">
        <v>0</v>
      </c>
      <c r="N902" t="n">
        <v>0</v>
      </c>
      <c r="O902" t="n">
        <v>0</v>
      </c>
      <c r="P902" t="n">
        <v>0</v>
      </c>
      <c r="Q902" t="n">
        <v>0</v>
      </c>
      <c r="R902" s="2" t="inlineStr"/>
    </row>
    <row r="903" ht="15" customHeight="1">
      <c r="A903" t="inlineStr">
        <is>
          <t>A 62500-2022</t>
        </is>
      </c>
      <c r="B903" s="1" t="n">
        <v>44924</v>
      </c>
      <c r="C903" s="1" t="n">
        <v>45354</v>
      </c>
      <c r="D903" t="inlineStr">
        <is>
          <t>JÄMTLANDS LÄN</t>
        </is>
      </c>
      <c r="E903" t="inlineStr">
        <is>
          <t>HÄRJEDALEN</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62513-2022</t>
        </is>
      </c>
      <c r="B904" s="1" t="n">
        <v>44924</v>
      </c>
      <c r="C904" s="1" t="n">
        <v>45354</v>
      </c>
      <c r="D904" t="inlineStr">
        <is>
          <t>JÄMTLANDS LÄN</t>
        </is>
      </c>
      <c r="E904" t="inlineStr">
        <is>
          <t>HÄRJEDALEN</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62535-2022</t>
        </is>
      </c>
      <c r="B905" s="1" t="n">
        <v>44924</v>
      </c>
      <c r="C905" s="1" t="n">
        <v>45354</v>
      </c>
      <c r="D905" t="inlineStr">
        <is>
          <t>JÄMTLANDS LÄN</t>
        </is>
      </c>
      <c r="E905" t="inlineStr">
        <is>
          <t>HÄRJEDALEN</t>
        </is>
      </c>
      <c r="F905" t="inlineStr">
        <is>
          <t>Holmen skog AB</t>
        </is>
      </c>
      <c r="G905" t="n">
        <v>5.9</v>
      </c>
      <c r="H905" t="n">
        <v>0</v>
      </c>
      <c r="I905" t="n">
        <v>0</v>
      </c>
      <c r="J905" t="n">
        <v>0</v>
      </c>
      <c r="K905" t="n">
        <v>0</v>
      </c>
      <c r="L905" t="n">
        <v>0</v>
      </c>
      <c r="M905" t="n">
        <v>0</v>
      </c>
      <c r="N905" t="n">
        <v>0</v>
      </c>
      <c r="O905" t="n">
        <v>0</v>
      </c>
      <c r="P905" t="n">
        <v>0</v>
      </c>
      <c r="Q905" t="n">
        <v>0</v>
      </c>
      <c r="R905" s="2" t="inlineStr"/>
    </row>
    <row r="906" ht="15" customHeight="1">
      <c r="A906" t="inlineStr">
        <is>
          <t>A 62505-2022</t>
        </is>
      </c>
      <c r="B906" s="1" t="n">
        <v>44924</v>
      </c>
      <c r="C906" s="1" t="n">
        <v>45354</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62533-2022</t>
        </is>
      </c>
      <c r="B907" s="1" t="n">
        <v>44924</v>
      </c>
      <c r="C907" s="1" t="n">
        <v>45354</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62639-2022</t>
        </is>
      </c>
      <c r="B908" s="1" t="n">
        <v>44925</v>
      </c>
      <c r="C908" s="1" t="n">
        <v>45354</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62696-2022</t>
        </is>
      </c>
      <c r="B909" s="1" t="n">
        <v>44925</v>
      </c>
      <c r="C909" s="1" t="n">
        <v>45354</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62702-2022</t>
        </is>
      </c>
      <c r="B910" s="1" t="n">
        <v>44925</v>
      </c>
      <c r="C910" s="1" t="n">
        <v>45354</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62719-2022</t>
        </is>
      </c>
      <c r="B911" s="1" t="n">
        <v>44925</v>
      </c>
      <c r="C911" s="1" t="n">
        <v>45354</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62724-2022</t>
        </is>
      </c>
      <c r="B912" s="1" t="n">
        <v>44925</v>
      </c>
      <c r="C912" s="1" t="n">
        <v>45354</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62599-2022</t>
        </is>
      </c>
      <c r="B913" s="1" t="n">
        <v>44925</v>
      </c>
      <c r="C913" s="1" t="n">
        <v>45354</v>
      </c>
      <c r="D913" t="inlineStr">
        <is>
          <t>JÄMTLANDS LÄN</t>
        </is>
      </c>
      <c r="E913" t="inlineStr">
        <is>
          <t>HÄRJEDALEN</t>
        </is>
      </c>
      <c r="F913" t="inlineStr">
        <is>
          <t>Holmen skog AB</t>
        </is>
      </c>
      <c r="G913" t="n">
        <v>8.1</v>
      </c>
      <c r="H913" t="n">
        <v>0</v>
      </c>
      <c r="I913" t="n">
        <v>0</v>
      </c>
      <c r="J913" t="n">
        <v>0</v>
      </c>
      <c r="K913" t="n">
        <v>0</v>
      </c>
      <c r="L913" t="n">
        <v>0</v>
      </c>
      <c r="M913" t="n">
        <v>0</v>
      </c>
      <c r="N913" t="n">
        <v>0</v>
      </c>
      <c r="O913" t="n">
        <v>0</v>
      </c>
      <c r="P913" t="n">
        <v>0</v>
      </c>
      <c r="Q913" t="n">
        <v>0</v>
      </c>
      <c r="R913" s="2" t="inlineStr"/>
    </row>
    <row r="914" ht="15" customHeight="1">
      <c r="A914" t="inlineStr">
        <is>
          <t>A 62641-2022</t>
        </is>
      </c>
      <c r="B914" s="1" t="n">
        <v>44925</v>
      </c>
      <c r="C914" s="1" t="n">
        <v>45354</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62591-2022</t>
        </is>
      </c>
      <c r="B915" s="1" t="n">
        <v>44925</v>
      </c>
      <c r="C915" s="1" t="n">
        <v>45354</v>
      </c>
      <c r="D915" t="inlineStr">
        <is>
          <t>JÄMTLANDS LÄN</t>
        </is>
      </c>
      <c r="E915" t="inlineStr">
        <is>
          <t>HÄRJEDALEN</t>
        </is>
      </c>
      <c r="G915" t="n">
        <v>32.7</v>
      </c>
      <c r="H915" t="n">
        <v>0</v>
      </c>
      <c r="I915" t="n">
        <v>0</v>
      </c>
      <c r="J915" t="n">
        <v>0</v>
      </c>
      <c r="K915" t="n">
        <v>0</v>
      </c>
      <c r="L915" t="n">
        <v>0</v>
      </c>
      <c r="M915" t="n">
        <v>0</v>
      </c>
      <c r="N915" t="n">
        <v>0</v>
      </c>
      <c r="O915" t="n">
        <v>0</v>
      </c>
      <c r="P915" t="n">
        <v>0</v>
      </c>
      <c r="Q915" t="n">
        <v>0</v>
      </c>
      <c r="R915" s="2" t="inlineStr"/>
    </row>
    <row r="916" ht="15" customHeight="1">
      <c r="A916" t="inlineStr">
        <is>
          <t>A 62653-2022</t>
        </is>
      </c>
      <c r="B916" s="1" t="n">
        <v>44925</v>
      </c>
      <c r="C916" s="1" t="n">
        <v>45354</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62687-2022</t>
        </is>
      </c>
      <c r="B917" s="1" t="n">
        <v>44925</v>
      </c>
      <c r="C917" s="1" t="n">
        <v>45354</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62694-2022</t>
        </is>
      </c>
      <c r="B918" s="1" t="n">
        <v>44925</v>
      </c>
      <c r="C918" s="1" t="n">
        <v>45354</v>
      </c>
      <c r="D918" t="inlineStr">
        <is>
          <t>JÄMTLANDS LÄN</t>
        </is>
      </c>
      <c r="E918" t="inlineStr">
        <is>
          <t>HÄRJEDALEN</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62708-2022</t>
        </is>
      </c>
      <c r="B919" s="1" t="n">
        <v>44925</v>
      </c>
      <c r="C919" s="1" t="n">
        <v>45354</v>
      </c>
      <c r="D919" t="inlineStr">
        <is>
          <t>JÄMTLANDS LÄN</t>
        </is>
      </c>
      <c r="E919" t="inlineStr">
        <is>
          <t>HÄRJEDALEN</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62590-2022</t>
        </is>
      </c>
      <c r="B920" s="1" t="n">
        <v>44925</v>
      </c>
      <c r="C920" s="1" t="n">
        <v>45354</v>
      </c>
      <c r="D920" t="inlineStr">
        <is>
          <t>JÄMTLANDS LÄN</t>
        </is>
      </c>
      <c r="E920" t="inlineStr">
        <is>
          <t>HÄRJEDALEN</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62684-2022</t>
        </is>
      </c>
      <c r="B921" s="1" t="n">
        <v>44925</v>
      </c>
      <c r="C921" s="1" t="n">
        <v>45354</v>
      </c>
      <c r="D921" t="inlineStr">
        <is>
          <t>JÄMTLANDS LÄN</t>
        </is>
      </c>
      <c r="E921" t="inlineStr">
        <is>
          <t>HÄRJEDALEN</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62699-2022</t>
        </is>
      </c>
      <c r="B922" s="1" t="n">
        <v>44925</v>
      </c>
      <c r="C922" s="1" t="n">
        <v>45354</v>
      </c>
      <c r="D922" t="inlineStr">
        <is>
          <t>JÄMTLANDS LÄN</t>
        </is>
      </c>
      <c r="E922" t="inlineStr">
        <is>
          <t>HÄRJEDALEN</t>
        </is>
      </c>
      <c r="F922" t="inlineStr">
        <is>
          <t>Holmen skog AB</t>
        </is>
      </c>
      <c r="G922" t="n">
        <v>5</v>
      </c>
      <c r="H922" t="n">
        <v>0</v>
      </c>
      <c r="I922" t="n">
        <v>0</v>
      </c>
      <c r="J922" t="n">
        <v>0</v>
      </c>
      <c r="K922" t="n">
        <v>0</v>
      </c>
      <c r="L922" t="n">
        <v>0</v>
      </c>
      <c r="M922" t="n">
        <v>0</v>
      </c>
      <c r="N922" t="n">
        <v>0</v>
      </c>
      <c r="O922" t="n">
        <v>0</v>
      </c>
      <c r="P922" t="n">
        <v>0</v>
      </c>
      <c r="Q922" t="n">
        <v>0</v>
      </c>
      <c r="R922" s="2" t="inlineStr"/>
    </row>
    <row r="923" ht="15" customHeight="1">
      <c r="A923" t="inlineStr">
        <is>
          <t>A 62706-2022</t>
        </is>
      </c>
      <c r="B923" s="1" t="n">
        <v>44925</v>
      </c>
      <c r="C923" s="1" t="n">
        <v>45354</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62721-2022</t>
        </is>
      </c>
      <c r="B924" s="1" t="n">
        <v>44925</v>
      </c>
      <c r="C924" s="1" t="n">
        <v>45354</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105-2023</t>
        </is>
      </c>
      <c r="B925" s="1" t="n">
        <v>44928</v>
      </c>
      <c r="C925" s="1" t="n">
        <v>45354</v>
      </c>
      <c r="D925" t="inlineStr">
        <is>
          <t>JÄMTLANDS LÄN</t>
        </is>
      </c>
      <c r="E925" t="inlineStr">
        <is>
          <t>HÄRJEDALEN</t>
        </is>
      </c>
      <c r="F925" t="inlineStr">
        <is>
          <t>Holmen skog AB</t>
        </is>
      </c>
      <c r="G925" t="n">
        <v>17.5</v>
      </c>
      <c r="H925" t="n">
        <v>0</v>
      </c>
      <c r="I925" t="n">
        <v>0</v>
      </c>
      <c r="J925" t="n">
        <v>0</v>
      </c>
      <c r="K925" t="n">
        <v>0</v>
      </c>
      <c r="L925" t="n">
        <v>0</v>
      </c>
      <c r="M925" t="n">
        <v>0</v>
      </c>
      <c r="N925" t="n">
        <v>0</v>
      </c>
      <c r="O925" t="n">
        <v>0</v>
      </c>
      <c r="P925" t="n">
        <v>0</v>
      </c>
      <c r="Q925" t="n">
        <v>0</v>
      </c>
      <c r="R925" s="2" t="inlineStr"/>
    </row>
    <row r="926" ht="15" customHeight="1">
      <c r="A926" t="inlineStr">
        <is>
          <t>A 29-2023</t>
        </is>
      </c>
      <c r="B926" s="1" t="n">
        <v>44928</v>
      </c>
      <c r="C926" s="1" t="n">
        <v>45354</v>
      </c>
      <c r="D926" t="inlineStr">
        <is>
          <t>JÄMTLANDS LÄN</t>
        </is>
      </c>
      <c r="E926" t="inlineStr">
        <is>
          <t>HÄRJEDALEN</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35-2023</t>
        </is>
      </c>
      <c r="B927" s="1" t="n">
        <v>44928</v>
      </c>
      <c r="C927" s="1" t="n">
        <v>45354</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78-2023</t>
        </is>
      </c>
      <c r="B928" s="1" t="n">
        <v>44928</v>
      </c>
      <c r="C928" s="1" t="n">
        <v>45354</v>
      </c>
      <c r="D928" t="inlineStr">
        <is>
          <t>JÄMTLANDS LÄN</t>
        </is>
      </c>
      <c r="E928" t="inlineStr">
        <is>
          <t>HÄRJEDALEN</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103-2023</t>
        </is>
      </c>
      <c r="B929" s="1" t="n">
        <v>44928</v>
      </c>
      <c r="C929" s="1" t="n">
        <v>45354</v>
      </c>
      <c r="D929" t="inlineStr">
        <is>
          <t>JÄMTLANDS LÄN</t>
        </is>
      </c>
      <c r="E929" t="inlineStr">
        <is>
          <t>HÄRJEDALEN</t>
        </is>
      </c>
      <c r="F929" t="inlineStr">
        <is>
          <t>Holmen skog AB</t>
        </is>
      </c>
      <c r="G929" t="n">
        <v>6.9</v>
      </c>
      <c r="H929" t="n">
        <v>0</v>
      </c>
      <c r="I929" t="n">
        <v>0</v>
      </c>
      <c r="J929" t="n">
        <v>0</v>
      </c>
      <c r="K929" t="n">
        <v>0</v>
      </c>
      <c r="L929" t="n">
        <v>0</v>
      </c>
      <c r="M929" t="n">
        <v>0</v>
      </c>
      <c r="N929" t="n">
        <v>0</v>
      </c>
      <c r="O929" t="n">
        <v>0</v>
      </c>
      <c r="P929" t="n">
        <v>0</v>
      </c>
      <c r="Q929" t="n">
        <v>0</v>
      </c>
      <c r="R929" s="2" t="inlineStr"/>
    </row>
    <row r="930" ht="15" customHeight="1">
      <c r="A930" t="inlineStr">
        <is>
          <t>A 166-2023</t>
        </is>
      </c>
      <c r="B930" s="1" t="n">
        <v>44928</v>
      </c>
      <c r="C930" s="1" t="n">
        <v>45354</v>
      </c>
      <c r="D930" t="inlineStr">
        <is>
          <t>JÄMTLANDS LÄN</t>
        </is>
      </c>
      <c r="E930" t="inlineStr">
        <is>
          <t>HÄRJEDALEN</t>
        </is>
      </c>
      <c r="F930" t="inlineStr">
        <is>
          <t>Holmen skog AB</t>
        </is>
      </c>
      <c r="G930" t="n">
        <v>13.5</v>
      </c>
      <c r="H930" t="n">
        <v>0</v>
      </c>
      <c r="I930" t="n">
        <v>0</v>
      </c>
      <c r="J930" t="n">
        <v>0</v>
      </c>
      <c r="K930" t="n">
        <v>0</v>
      </c>
      <c r="L930" t="n">
        <v>0</v>
      </c>
      <c r="M930" t="n">
        <v>0</v>
      </c>
      <c r="N930" t="n">
        <v>0</v>
      </c>
      <c r="O930" t="n">
        <v>0</v>
      </c>
      <c r="P930" t="n">
        <v>0</v>
      </c>
      <c r="Q930" t="n">
        <v>0</v>
      </c>
      <c r="R930" s="2" t="inlineStr"/>
    </row>
    <row r="931" ht="15" customHeight="1">
      <c r="A931" t="inlineStr">
        <is>
          <t>A 176-2023</t>
        </is>
      </c>
      <c r="B931" s="1" t="n">
        <v>44928</v>
      </c>
      <c r="C931" s="1" t="n">
        <v>45354</v>
      </c>
      <c r="D931" t="inlineStr">
        <is>
          <t>JÄMTLANDS LÄN</t>
        </is>
      </c>
      <c r="E931" t="inlineStr">
        <is>
          <t>HÄRJEDALEN</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171-2023</t>
        </is>
      </c>
      <c r="B932" s="1" t="n">
        <v>44928</v>
      </c>
      <c r="C932" s="1" t="n">
        <v>45354</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1907-2023</t>
        </is>
      </c>
      <c r="B933" s="1" t="n">
        <v>44939</v>
      </c>
      <c r="C933" s="1" t="n">
        <v>45354</v>
      </c>
      <c r="D933" t="inlineStr">
        <is>
          <t>JÄMTLANDS LÄN</t>
        </is>
      </c>
      <c r="E933" t="inlineStr">
        <is>
          <t>HÄRJEDALEN</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v>
      </c>
      <c r="C934" s="1" t="n">
        <v>45354</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4196-2023</t>
        </is>
      </c>
      <c r="B935" s="1" t="n">
        <v>44953</v>
      </c>
      <c r="C935" s="1" t="n">
        <v>45354</v>
      </c>
      <c r="D935" t="inlineStr">
        <is>
          <t>JÄMTLANDS LÄN</t>
        </is>
      </c>
      <c r="E935" t="inlineStr">
        <is>
          <t>HÄRJEDALEN</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4694-2023</t>
        </is>
      </c>
      <c r="B936" s="1" t="n">
        <v>44957</v>
      </c>
      <c r="C936" s="1" t="n">
        <v>45354</v>
      </c>
      <c r="D936" t="inlineStr">
        <is>
          <t>JÄMTLANDS LÄN</t>
        </is>
      </c>
      <c r="E936" t="inlineStr">
        <is>
          <t>HÄRJEDALEN</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4712-2023</t>
        </is>
      </c>
      <c r="B937" s="1" t="n">
        <v>44957</v>
      </c>
      <c r="C937" s="1" t="n">
        <v>45354</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45354</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4782-2023</t>
        </is>
      </c>
      <c r="B939" s="1" t="n">
        <v>44957</v>
      </c>
      <c r="C939" s="1" t="n">
        <v>45354</v>
      </c>
      <c r="D939" t="inlineStr">
        <is>
          <t>JÄMTLANDS LÄN</t>
        </is>
      </c>
      <c r="E939" t="inlineStr">
        <is>
          <t>HÄRJEDALEN</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5013-2023</t>
        </is>
      </c>
      <c r="B940" s="1" t="n">
        <v>44958</v>
      </c>
      <c r="C940" s="1" t="n">
        <v>45354</v>
      </c>
      <c r="D940" t="inlineStr">
        <is>
          <t>JÄMTLANDS LÄN</t>
        </is>
      </c>
      <c r="E940" t="inlineStr">
        <is>
          <t>HÄRJEDALEN</t>
        </is>
      </c>
      <c r="F940" t="inlineStr">
        <is>
          <t>Bergvik skog väst AB</t>
        </is>
      </c>
      <c r="G940" t="n">
        <v>0.2</v>
      </c>
      <c r="H940" t="n">
        <v>0</v>
      </c>
      <c r="I940" t="n">
        <v>0</v>
      </c>
      <c r="J940" t="n">
        <v>0</v>
      </c>
      <c r="K940" t="n">
        <v>0</v>
      </c>
      <c r="L940" t="n">
        <v>0</v>
      </c>
      <c r="M940" t="n">
        <v>0</v>
      </c>
      <c r="N940" t="n">
        <v>0</v>
      </c>
      <c r="O940" t="n">
        <v>0</v>
      </c>
      <c r="P940" t="n">
        <v>0</v>
      </c>
      <c r="Q940" t="n">
        <v>0</v>
      </c>
      <c r="R940" s="2" t="inlineStr"/>
    </row>
    <row r="941" ht="15" customHeight="1">
      <c r="A941" t="inlineStr">
        <is>
          <t>A 5640-2023</t>
        </is>
      </c>
      <c r="B941" s="1" t="n">
        <v>44960</v>
      </c>
      <c r="C941" s="1" t="n">
        <v>45354</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6001-2023</t>
        </is>
      </c>
      <c r="B942" s="1" t="n">
        <v>44964</v>
      </c>
      <c r="C942" s="1" t="n">
        <v>45354</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6124-2023</t>
        </is>
      </c>
      <c r="B943" s="1" t="n">
        <v>44964</v>
      </c>
      <c r="C943" s="1" t="n">
        <v>45354</v>
      </c>
      <c r="D943" t="inlineStr">
        <is>
          <t>JÄMTLANDS LÄN</t>
        </is>
      </c>
      <c r="E943" t="inlineStr">
        <is>
          <t>HÄRJEDALEN</t>
        </is>
      </c>
      <c r="G943" t="n">
        <v>20</v>
      </c>
      <c r="H943" t="n">
        <v>0</v>
      </c>
      <c r="I943" t="n">
        <v>0</v>
      </c>
      <c r="J943" t="n">
        <v>0</v>
      </c>
      <c r="K943" t="n">
        <v>0</v>
      </c>
      <c r="L943" t="n">
        <v>0</v>
      </c>
      <c r="M943" t="n">
        <v>0</v>
      </c>
      <c r="N943" t="n">
        <v>0</v>
      </c>
      <c r="O943" t="n">
        <v>0</v>
      </c>
      <c r="P943" t="n">
        <v>0</v>
      </c>
      <c r="Q943" t="n">
        <v>0</v>
      </c>
      <c r="R943" s="2" t="inlineStr"/>
    </row>
    <row r="944" ht="15" customHeight="1">
      <c r="A944" t="inlineStr">
        <is>
          <t>A 7636-2023</t>
        </is>
      </c>
      <c r="B944" s="1" t="n">
        <v>44972</v>
      </c>
      <c r="C944" s="1" t="n">
        <v>45354</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8365-2023</t>
        </is>
      </c>
      <c r="B945" s="1" t="n">
        <v>44977</v>
      </c>
      <c r="C945" s="1" t="n">
        <v>45354</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8420-2023</t>
        </is>
      </c>
      <c r="B946" s="1" t="n">
        <v>44977</v>
      </c>
      <c r="C946" s="1" t="n">
        <v>45354</v>
      </c>
      <c r="D946" t="inlineStr">
        <is>
          <t>JÄMTLANDS LÄN</t>
        </is>
      </c>
      <c r="E946" t="inlineStr">
        <is>
          <t>HÄRJEDALEN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8577-2023</t>
        </is>
      </c>
      <c r="B947" s="1" t="n">
        <v>44977</v>
      </c>
      <c r="C947" s="1" t="n">
        <v>45354</v>
      </c>
      <c r="D947" t="inlineStr">
        <is>
          <t>JÄMTLANDS LÄN</t>
        </is>
      </c>
      <c r="E947" t="inlineStr">
        <is>
          <t>HÄRJEDALEN</t>
        </is>
      </c>
      <c r="G947" t="n">
        <v>19.6</v>
      </c>
      <c r="H947" t="n">
        <v>0</v>
      </c>
      <c r="I947" t="n">
        <v>0</v>
      </c>
      <c r="J947" t="n">
        <v>0</v>
      </c>
      <c r="K947" t="n">
        <v>0</v>
      </c>
      <c r="L947" t="n">
        <v>0</v>
      </c>
      <c r="M947" t="n">
        <v>0</v>
      </c>
      <c r="N947" t="n">
        <v>0</v>
      </c>
      <c r="O947" t="n">
        <v>0</v>
      </c>
      <c r="P947" t="n">
        <v>0</v>
      </c>
      <c r="Q947" t="n">
        <v>0</v>
      </c>
      <c r="R947" s="2" t="inlineStr"/>
    </row>
    <row r="948" ht="15" customHeight="1">
      <c r="A948" t="inlineStr">
        <is>
          <t>A 8804-2023</t>
        </is>
      </c>
      <c r="B948" s="1" t="n">
        <v>44978</v>
      </c>
      <c r="C948" s="1" t="n">
        <v>45354</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9188-2023</t>
        </is>
      </c>
      <c r="B949" s="1" t="n">
        <v>44980</v>
      </c>
      <c r="C949" s="1" t="n">
        <v>45354</v>
      </c>
      <c r="D949" t="inlineStr">
        <is>
          <t>JÄMTLANDS LÄN</t>
        </is>
      </c>
      <c r="E949" t="inlineStr">
        <is>
          <t>HÄRJEDALEN</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9998-2023</t>
        </is>
      </c>
      <c r="B950" s="1" t="n">
        <v>44985</v>
      </c>
      <c r="C950" s="1" t="n">
        <v>45354</v>
      </c>
      <c r="D950" t="inlineStr">
        <is>
          <t>JÄMTLANDS LÄN</t>
        </is>
      </c>
      <c r="E950" t="inlineStr">
        <is>
          <t>HÄRJEDALEN</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10002-2023</t>
        </is>
      </c>
      <c r="B951" s="1" t="n">
        <v>44985</v>
      </c>
      <c r="C951" s="1" t="n">
        <v>45354</v>
      </c>
      <c r="D951" t="inlineStr">
        <is>
          <t>JÄMTLANDS LÄN</t>
        </is>
      </c>
      <c r="E951" t="inlineStr">
        <is>
          <t>HÄRJEDALEN</t>
        </is>
      </c>
      <c r="F951" t="inlineStr">
        <is>
          <t>Holmen skog AB</t>
        </is>
      </c>
      <c r="G951" t="n">
        <v>8.6</v>
      </c>
      <c r="H951" t="n">
        <v>0</v>
      </c>
      <c r="I951" t="n">
        <v>0</v>
      </c>
      <c r="J951" t="n">
        <v>0</v>
      </c>
      <c r="K951" t="n">
        <v>0</v>
      </c>
      <c r="L951" t="n">
        <v>0</v>
      </c>
      <c r="M951" t="n">
        <v>0</v>
      </c>
      <c r="N951" t="n">
        <v>0</v>
      </c>
      <c r="O951" t="n">
        <v>0</v>
      </c>
      <c r="P951" t="n">
        <v>0</v>
      </c>
      <c r="Q951" t="n">
        <v>0</v>
      </c>
      <c r="R951" s="2" t="inlineStr"/>
    </row>
    <row r="952" ht="15" customHeight="1">
      <c r="A952" t="inlineStr">
        <is>
          <t>A 10006-2023</t>
        </is>
      </c>
      <c r="B952" s="1" t="n">
        <v>44985</v>
      </c>
      <c r="C952" s="1" t="n">
        <v>45354</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10000-2023</t>
        </is>
      </c>
      <c r="B953" s="1" t="n">
        <v>44985</v>
      </c>
      <c r="C953" s="1" t="n">
        <v>45354</v>
      </c>
      <c r="D953" t="inlineStr">
        <is>
          <t>JÄMTLANDS LÄN</t>
        </is>
      </c>
      <c r="E953" t="inlineStr">
        <is>
          <t>HÄRJEDALEN</t>
        </is>
      </c>
      <c r="F953" t="inlineStr">
        <is>
          <t>Holmen skog AB</t>
        </is>
      </c>
      <c r="G953" t="n">
        <v>12.6</v>
      </c>
      <c r="H953" t="n">
        <v>0</v>
      </c>
      <c r="I953" t="n">
        <v>0</v>
      </c>
      <c r="J953" t="n">
        <v>0</v>
      </c>
      <c r="K953" t="n">
        <v>0</v>
      </c>
      <c r="L953" t="n">
        <v>0</v>
      </c>
      <c r="M953" t="n">
        <v>0</v>
      </c>
      <c r="N953" t="n">
        <v>0</v>
      </c>
      <c r="O953" t="n">
        <v>0</v>
      </c>
      <c r="P953" t="n">
        <v>0</v>
      </c>
      <c r="Q953" t="n">
        <v>0</v>
      </c>
      <c r="R953" s="2" t="inlineStr"/>
    </row>
    <row r="954" ht="15" customHeight="1">
      <c r="A954" t="inlineStr">
        <is>
          <t>A 9997-2023</t>
        </is>
      </c>
      <c r="B954" s="1" t="n">
        <v>44985</v>
      </c>
      <c r="C954" s="1" t="n">
        <v>45354</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10014-2023</t>
        </is>
      </c>
      <c r="B955" s="1" t="n">
        <v>44985</v>
      </c>
      <c r="C955" s="1" t="n">
        <v>45354</v>
      </c>
      <c r="D955" t="inlineStr">
        <is>
          <t>JÄMTLANDS LÄN</t>
        </is>
      </c>
      <c r="E955" t="inlineStr">
        <is>
          <t>HÄRJEDALEN</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10008-2023</t>
        </is>
      </c>
      <c r="B956" s="1" t="n">
        <v>44985</v>
      </c>
      <c r="C956" s="1" t="n">
        <v>45354</v>
      </c>
      <c r="D956" t="inlineStr">
        <is>
          <t>JÄMTLANDS LÄN</t>
        </is>
      </c>
      <c r="E956" t="inlineStr">
        <is>
          <t>HÄRJEDALEN</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10046-2023</t>
        </is>
      </c>
      <c r="B957" s="1" t="n">
        <v>44985</v>
      </c>
      <c r="C957" s="1" t="n">
        <v>45354</v>
      </c>
      <c r="D957" t="inlineStr">
        <is>
          <t>JÄMTLANDS LÄN</t>
        </is>
      </c>
      <c r="E957" t="inlineStr">
        <is>
          <t>HÄRJEDALEN</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10015-2023</t>
        </is>
      </c>
      <c r="B958" s="1" t="n">
        <v>44985</v>
      </c>
      <c r="C958" s="1" t="n">
        <v>45354</v>
      </c>
      <c r="D958" t="inlineStr">
        <is>
          <t>JÄMTLANDS LÄN</t>
        </is>
      </c>
      <c r="E958" t="inlineStr">
        <is>
          <t>HÄRJEDALEN</t>
        </is>
      </c>
      <c r="F958" t="inlineStr">
        <is>
          <t>Holmen skog AB</t>
        </is>
      </c>
      <c r="G958" t="n">
        <v>3.2</v>
      </c>
      <c r="H958" t="n">
        <v>0</v>
      </c>
      <c r="I958" t="n">
        <v>0</v>
      </c>
      <c r="J958" t="n">
        <v>0</v>
      </c>
      <c r="K958" t="n">
        <v>0</v>
      </c>
      <c r="L958" t="n">
        <v>0</v>
      </c>
      <c r="M958" t="n">
        <v>0</v>
      </c>
      <c r="N958" t="n">
        <v>0</v>
      </c>
      <c r="O958" t="n">
        <v>0</v>
      </c>
      <c r="P958" t="n">
        <v>0</v>
      </c>
      <c r="Q958" t="n">
        <v>0</v>
      </c>
      <c r="R958" s="2" t="inlineStr"/>
    </row>
    <row r="959" ht="15" customHeight="1">
      <c r="A959" t="inlineStr">
        <is>
          <t>A 10043-2023</t>
        </is>
      </c>
      <c r="B959" s="1" t="n">
        <v>44985</v>
      </c>
      <c r="C959" s="1" t="n">
        <v>45354</v>
      </c>
      <c r="D959" t="inlineStr">
        <is>
          <t>JÄMTLANDS LÄN</t>
        </is>
      </c>
      <c r="E959" t="inlineStr">
        <is>
          <t>HÄRJEDALEN</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9993-2023</t>
        </is>
      </c>
      <c r="B960" s="1" t="n">
        <v>44985</v>
      </c>
      <c r="C960" s="1" t="n">
        <v>45354</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10003-2023</t>
        </is>
      </c>
      <c r="B961" s="1" t="n">
        <v>44985</v>
      </c>
      <c r="C961" s="1" t="n">
        <v>45354</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10007-2023</t>
        </is>
      </c>
      <c r="B962" s="1" t="n">
        <v>44985</v>
      </c>
      <c r="C962" s="1" t="n">
        <v>45354</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10012-2023</t>
        </is>
      </c>
      <c r="B963" s="1" t="n">
        <v>44985</v>
      </c>
      <c r="C963" s="1" t="n">
        <v>45354</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10040-2023</t>
        </is>
      </c>
      <c r="B964" s="1" t="n">
        <v>44985</v>
      </c>
      <c r="C964" s="1" t="n">
        <v>45354</v>
      </c>
      <c r="D964" t="inlineStr">
        <is>
          <t>JÄMTLANDS LÄN</t>
        </is>
      </c>
      <c r="E964" t="inlineStr">
        <is>
          <t>HÄRJEDALEN</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10329-2023</t>
        </is>
      </c>
      <c r="B965" s="1" t="n">
        <v>44987</v>
      </c>
      <c r="C965" s="1" t="n">
        <v>45354</v>
      </c>
      <c r="D965" t="inlineStr">
        <is>
          <t>JÄMTLANDS LÄN</t>
        </is>
      </c>
      <c r="E965" t="inlineStr">
        <is>
          <t>HÄRJEDALEN</t>
        </is>
      </c>
      <c r="F965" t="inlineStr">
        <is>
          <t>Holmen skog AB</t>
        </is>
      </c>
      <c r="G965" t="n">
        <v>4.7</v>
      </c>
      <c r="H965" t="n">
        <v>0</v>
      </c>
      <c r="I965" t="n">
        <v>0</v>
      </c>
      <c r="J965" t="n">
        <v>0</v>
      </c>
      <c r="K965" t="n">
        <v>0</v>
      </c>
      <c r="L965" t="n">
        <v>0</v>
      </c>
      <c r="M965" t="n">
        <v>0</v>
      </c>
      <c r="N965" t="n">
        <v>0</v>
      </c>
      <c r="O965" t="n">
        <v>0</v>
      </c>
      <c r="P965" t="n">
        <v>0</v>
      </c>
      <c r="Q965" t="n">
        <v>0</v>
      </c>
      <c r="R965" s="2" t="inlineStr"/>
    </row>
    <row r="966" ht="15" customHeight="1">
      <c r="A966" t="inlineStr">
        <is>
          <t>A 10353-2023</t>
        </is>
      </c>
      <c r="B966" s="1" t="n">
        <v>44987</v>
      </c>
      <c r="C966" s="1" t="n">
        <v>45354</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v>
      </c>
      <c r="C967" s="1" t="n">
        <v>45354</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10340-2023</t>
        </is>
      </c>
      <c r="B968" s="1" t="n">
        <v>44987</v>
      </c>
      <c r="C968" s="1" t="n">
        <v>45354</v>
      </c>
      <c r="D968" t="inlineStr">
        <is>
          <t>JÄMTLANDS LÄN</t>
        </is>
      </c>
      <c r="E968" t="inlineStr">
        <is>
          <t>HÄRJEDALEN</t>
        </is>
      </c>
      <c r="F968" t="inlineStr">
        <is>
          <t>Holmen skog AB</t>
        </is>
      </c>
      <c r="G968" t="n">
        <v>5.7</v>
      </c>
      <c r="H968" t="n">
        <v>0</v>
      </c>
      <c r="I968" t="n">
        <v>0</v>
      </c>
      <c r="J968" t="n">
        <v>0</v>
      </c>
      <c r="K968" t="n">
        <v>0</v>
      </c>
      <c r="L968" t="n">
        <v>0</v>
      </c>
      <c r="M968" t="n">
        <v>0</v>
      </c>
      <c r="N968" t="n">
        <v>0</v>
      </c>
      <c r="O968" t="n">
        <v>0</v>
      </c>
      <c r="P968" t="n">
        <v>0</v>
      </c>
      <c r="Q968" t="n">
        <v>0</v>
      </c>
      <c r="R968" s="2" t="inlineStr"/>
    </row>
    <row r="969" ht="15" customHeight="1">
      <c r="A969" t="inlineStr">
        <is>
          <t>A 10348-2023</t>
        </is>
      </c>
      <c r="B969" s="1" t="n">
        <v>44987</v>
      </c>
      <c r="C969" s="1" t="n">
        <v>45354</v>
      </c>
      <c r="D969" t="inlineStr">
        <is>
          <t>JÄMTLANDS LÄN</t>
        </is>
      </c>
      <c r="E969" t="inlineStr">
        <is>
          <t>HÄRJEDALEN</t>
        </is>
      </c>
      <c r="F969" t="inlineStr">
        <is>
          <t>Holmen skog AB</t>
        </is>
      </c>
      <c r="G969" t="n">
        <v>17.8</v>
      </c>
      <c r="H969" t="n">
        <v>0</v>
      </c>
      <c r="I969" t="n">
        <v>0</v>
      </c>
      <c r="J969" t="n">
        <v>0</v>
      </c>
      <c r="K969" t="n">
        <v>0</v>
      </c>
      <c r="L969" t="n">
        <v>0</v>
      </c>
      <c r="M969" t="n">
        <v>0</v>
      </c>
      <c r="N969" t="n">
        <v>0</v>
      </c>
      <c r="O969" t="n">
        <v>0</v>
      </c>
      <c r="P969" t="n">
        <v>0</v>
      </c>
      <c r="Q969" t="n">
        <v>0</v>
      </c>
      <c r="R969" s="2" t="inlineStr"/>
    </row>
    <row r="970" ht="15" customHeight="1">
      <c r="A970" t="inlineStr">
        <is>
          <t>A 10338-2023</t>
        </is>
      </c>
      <c r="B970" s="1" t="n">
        <v>44987</v>
      </c>
      <c r="C970" s="1" t="n">
        <v>45354</v>
      </c>
      <c r="D970" t="inlineStr">
        <is>
          <t>JÄMTLANDS LÄN</t>
        </is>
      </c>
      <c r="E970" t="inlineStr">
        <is>
          <t>HÄRJEDALEN</t>
        </is>
      </c>
      <c r="F970" t="inlineStr">
        <is>
          <t>Holmen skog AB</t>
        </is>
      </c>
      <c r="G970" t="n">
        <v>11.8</v>
      </c>
      <c r="H970" t="n">
        <v>0</v>
      </c>
      <c r="I970" t="n">
        <v>0</v>
      </c>
      <c r="J970" t="n">
        <v>0</v>
      </c>
      <c r="K970" t="n">
        <v>0</v>
      </c>
      <c r="L970" t="n">
        <v>0</v>
      </c>
      <c r="M970" t="n">
        <v>0</v>
      </c>
      <c r="N970" t="n">
        <v>0</v>
      </c>
      <c r="O970" t="n">
        <v>0</v>
      </c>
      <c r="P970" t="n">
        <v>0</v>
      </c>
      <c r="Q970" t="n">
        <v>0</v>
      </c>
      <c r="R970" s="2" t="inlineStr"/>
    </row>
    <row r="971" ht="15" customHeight="1">
      <c r="A971" t="inlineStr">
        <is>
          <t>A 11448-2023</t>
        </is>
      </c>
      <c r="B971" s="1" t="n">
        <v>44993</v>
      </c>
      <c r="C971" s="1" t="n">
        <v>45354</v>
      </c>
      <c r="D971" t="inlineStr">
        <is>
          <t>JÄMTLANDS LÄN</t>
        </is>
      </c>
      <c r="E971" t="inlineStr">
        <is>
          <t>HÄRJEDALEN</t>
        </is>
      </c>
      <c r="G971" t="n">
        <v>12.1</v>
      </c>
      <c r="H971" t="n">
        <v>0</v>
      </c>
      <c r="I971" t="n">
        <v>0</v>
      </c>
      <c r="J971" t="n">
        <v>0</v>
      </c>
      <c r="K971" t="n">
        <v>0</v>
      </c>
      <c r="L971" t="n">
        <v>0</v>
      </c>
      <c r="M971" t="n">
        <v>0</v>
      </c>
      <c r="N971" t="n">
        <v>0</v>
      </c>
      <c r="O971" t="n">
        <v>0</v>
      </c>
      <c r="P971" t="n">
        <v>0</v>
      </c>
      <c r="Q971" t="n">
        <v>0</v>
      </c>
      <c r="R971" s="2" t="inlineStr"/>
    </row>
    <row r="972" ht="15" customHeight="1">
      <c r="A972" t="inlineStr">
        <is>
          <t>A 11818-2023</t>
        </is>
      </c>
      <c r="B972" s="1" t="n">
        <v>44994</v>
      </c>
      <c r="C972" s="1" t="n">
        <v>45354</v>
      </c>
      <c r="D972" t="inlineStr">
        <is>
          <t>JÄMTLANDS LÄN</t>
        </is>
      </c>
      <c r="E972" t="inlineStr">
        <is>
          <t>HÄRJEDALEN</t>
        </is>
      </c>
      <c r="G972" t="n">
        <v>8.9</v>
      </c>
      <c r="H972" t="n">
        <v>0</v>
      </c>
      <c r="I972" t="n">
        <v>0</v>
      </c>
      <c r="J972" t="n">
        <v>0</v>
      </c>
      <c r="K972" t="n">
        <v>0</v>
      </c>
      <c r="L972" t="n">
        <v>0</v>
      </c>
      <c r="M972" t="n">
        <v>0</v>
      </c>
      <c r="N972" t="n">
        <v>0</v>
      </c>
      <c r="O972" t="n">
        <v>0</v>
      </c>
      <c r="P972" t="n">
        <v>0</v>
      </c>
      <c r="Q972" t="n">
        <v>0</v>
      </c>
      <c r="R972" s="2" t="inlineStr"/>
    </row>
    <row r="973" ht="15" customHeight="1">
      <c r="A973" t="inlineStr">
        <is>
          <t>A 12484-2023</t>
        </is>
      </c>
      <c r="B973" s="1" t="n">
        <v>44998</v>
      </c>
      <c r="C973" s="1" t="n">
        <v>45354</v>
      </c>
      <c r="D973" t="inlineStr">
        <is>
          <t>JÄMTLANDS LÄN</t>
        </is>
      </c>
      <c r="E973" t="inlineStr">
        <is>
          <t>HÄRJEDALEN</t>
        </is>
      </c>
      <c r="G973" t="n">
        <v>43.1</v>
      </c>
      <c r="H973" t="n">
        <v>0</v>
      </c>
      <c r="I973" t="n">
        <v>0</v>
      </c>
      <c r="J973" t="n">
        <v>0</v>
      </c>
      <c r="K973" t="n">
        <v>0</v>
      </c>
      <c r="L973" t="n">
        <v>0</v>
      </c>
      <c r="M973" t="n">
        <v>0</v>
      </c>
      <c r="N973" t="n">
        <v>0</v>
      </c>
      <c r="O973" t="n">
        <v>0</v>
      </c>
      <c r="P973" t="n">
        <v>0</v>
      </c>
      <c r="Q973" t="n">
        <v>0</v>
      </c>
      <c r="R973" s="2" t="inlineStr"/>
    </row>
    <row r="974" ht="15" customHeight="1">
      <c r="A974" t="inlineStr">
        <is>
          <t>A 12462-2023</t>
        </is>
      </c>
      <c r="B974" s="1" t="n">
        <v>44999</v>
      </c>
      <c r="C974" s="1" t="n">
        <v>45354</v>
      </c>
      <c r="D974" t="inlineStr">
        <is>
          <t>JÄMTLANDS LÄN</t>
        </is>
      </c>
      <c r="E974" t="inlineStr">
        <is>
          <t>HÄRJEDALEN</t>
        </is>
      </c>
      <c r="G974" t="n">
        <v>7.8</v>
      </c>
      <c r="H974" t="n">
        <v>0</v>
      </c>
      <c r="I974" t="n">
        <v>0</v>
      </c>
      <c r="J974" t="n">
        <v>0</v>
      </c>
      <c r="K974" t="n">
        <v>0</v>
      </c>
      <c r="L974" t="n">
        <v>0</v>
      </c>
      <c r="M974" t="n">
        <v>0</v>
      </c>
      <c r="N974" t="n">
        <v>0</v>
      </c>
      <c r="O974" t="n">
        <v>0</v>
      </c>
      <c r="P974" t="n">
        <v>0</v>
      </c>
      <c r="Q974" t="n">
        <v>0</v>
      </c>
      <c r="R974" s="2" t="inlineStr"/>
    </row>
    <row r="975" ht="15" customHeight="1">
      <c r="A975" t="inlineStr">
        <is>
          <t>A 12625-2023</t>
        </is>
      </c>
      <c r="B975" s="1" t="n">
        <v>45000</v>
      </c>
      <c r="C975" s="1" t="n">
        <v>45354</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12921-2023</t>
        </is>
      </c>
      <c r="B976" s="1" t="n">
        <v>45001</v>
      </c>
      <c r="C976" s="1" t="n">
        <v>45354</v>
      </c>
      <c r="D976" t="inlineStr">
        <is>
          <t>JÄMTLANDS LÄN</t>
        </is>
      </c>
      <c r="E976" t="inlineStr">
        <is>
          <t>HÄRJEDALEN</t>
        </is>
      </c>
      <c r="G976" t="n">
        <v>13.9</v>
      </c>
      <c r="H976" t="n">
        <v>0</v>
      </c>
      <c r="I976" t="n">
        <v>0</v>
      </c>
      <c r="J976" t="n">
        <v>0</v>
      </c>
      <c r="K976" t="n">
        <v>0</v>
      </c>
      <c r="L976" t="n">
        <v>0</v>
      </c>
      <c r="M976" t="n">
        <v>0</v>
      </c>
      <c r="N976" t="n">
        <v>0</v>
      </c>
      <c r="O976" t="n">
        <v>0</v>
      </c>
      <c r="P976" t="n">
        <v>0</v>
      </c>
      <c r="Q976" t="n">
        <v>0</v>
      </c>
      <c r="R976" s="2" t="inlineStr"/>
    </row>
    <row r="977" ht="15" customHeight="1">
      <c r="A977" t="inlineStr">
        <is>
          <t>A 13774-2023</t>
        </is>
      </c>
      <c r="B977" s="1" t="n">
        <v>45007</v>
      </c>
      <c r="C977" s="1" t="n">
        <v>45354</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14631-2023</t>
        </is>
      </c>
      <c r="B978" s="1" t="n">
        <v>45012</v>
      </c>
      <c r="C978" s="1" t="n">
        <v>45354</v>
      </c>
      <c r="D978" t="inlineStr">
        <is>
          <t>JÄMTLANDS LÄN</t>
        </is>
      </c>
      <c r="E978" t="inlineStr">
        <is>
          <t>HÄRJEDALEN</t>
        </is>
      </c>
      <c r="F978" t="inlineStr">
        <is>
          <t>Bergvik skog väst AB</t>
        </is>
      </c>
      <c r="G978" t="n">
        <v>14.2</v>
      </c>
      <c r="H978" t="n">
        <v>0</v>
      </c>
      <c r="I978" t="n">
        <v>0</v>
      </c>
      <c r="J978" t="n">
        <v>0</v>
      </c>
      <c r="K978" t="n">
        <v>0</v>
      </c>
      <c r="L978" t="n">
        <v>0</v>
      </c>
      <c r="M978" t="n">
        <v>0</v>
      </c>
      <c r="N978" t="n">
        <v>0</v>
      </c>
      <c r="O978" t="n">
        <v>0</v>
      </c>
      <c r="P978" t="n">
        <v>0</v>
      </c>
      <c r="Q978" t="n">
        <v>0</v>
      </c>
      <c r="R978" s="2" t="inlineStr"/>
    </row>
    <row r="979" ht="15" customHeight="1">
      <c r="A979" t="inlineStr">
        <is>
          <t>A 15511-2023</t>
        </is>
      </c>
      <c r="B979" s="1" t="n">
        <v>45020</v>
      </c>
      <c r="C979" s="1" t="n">
        <v>45354</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15747-2023</t>
        </is>
      </c>
      <c r="B980" s="1" t="n">
        <v>45020</v>
      </c>
      <c r="C980" s="1" t="n">
        <v>45354</v>
      </c>
      <c r="D980" t="inlineStr">
        <is>
          <t>JÄMTLANDS LÄN</t>
        </is>
      </c>
      <c r="E980" t="inlineStr">
        <is>
          <t>HÄRJEDALEN</t>
        </is>
      </c>
      <c r="G980" t="n">
        <v>0.1</v>
      </c>
      <c r="H980" t="n">
        <v>0</v>
      </c>
      <c r="I980" t="n">
        <v>0</v>
      </c>
      <c r="J980" t="n">
        <v>0</v>
      </c>
      <c r="K980" t="n">
        <v>0</v>
      </c>
      <c r="L980" t="n">
        <v>0</v>
      </c>
      <c r="M980" t="n">
        <v>0</v>
      </c>
      <c r="N980" t="n">
        <v>0</v>
      </c>
      <c r="O980" t="n">
        <v>0</v>
      </c>
      <c r="P980" t="n">
        <v>0</v>
      </c>
      <c r="Q980" t="n">
        <v>0</v>
      </c>
      <c r="R980" s="2" t="inlineStr"/>
    </row>
    <row r="981" ht="15" customHeight="1">
      <c r="A981" t="inlineStr">
        <is>
          <t>A 16115-2023</t>
        </is>
      </c>
      <c r="B981" s="1" t="n">
        <v>45027</v>
      </c>
      <c r="C981" s="1" t="n">
        <v>45354</v>
      </c>
      <c r="D981" t="inlineStr">
        <is>
          <t>JÄMTLANDS LÄN</t>
        </is>
      </c>
      <c r="E981" t="inlineStr">
        <is>
          <t>HÄRJEDALEN</t>
        </is>
      </c>
      <c r="G981" t="n">
        <v>26</v>
      </c>
      <c r="H981" t="n">
        <v>0</v>
      </c>
      <c r="I981" t="n">
        <v>0</v>
      </c>
      <c r="J981" t="n">
        <v>0</v>
      </c>
      <c r="K981" t="n">
        <v>0</v>
      </c>
      <c r="L981" t="n">
        <v>0</v>
      </c>
      <c r="M981" t="n">
        <v>0</v>
      </c>
      <c r="N981" t="n">
        <v>0</v>
      </c>
      <c r="O981" t="n">
        <v>0</v>
      </c>
      <c r="P981" t="n">
        <v>0</v>
      </c>
      <c r="Q981" t="n">
        <v>0</v>
      </c>
      <c r="R981" s="2" t="inlineStr"/>
    </row>
    <row r="982" ht="15" customHeight="1">
      <c r="A982" t="inlineStr">
        <is>
          <t>A 16468-2023</t>
        </is>
      </c>
      <c r="B982" s="1" t="n">
        <v>45029</v>
      </c>
      <c r="C982" s="1" t="n">
        <v>45354</v>
      </c>
      <c r="D982" t="inlineStr">
        <is>
          <t>JÄMTLANDS LÄN</t>
        </is>
      </c>
      <c r="E982" t="inlineStr">
        <is>
          <t>HÄRJEDALEN</t>
        </is>
      </c>
      <c r="G982" t="n">
        <v>6.7</v>
      </c>
      <c r="H982" t="n">
        <v>0</v>
      </c>
      <c r="I982" t="n">
        <v>0</v>
      </c>
      <c r="J982" t="n">
        <v>0</v>
      </c>
      <c r="K982" t="n">
        <v>0</v>
      </c>
      <c r="L982" t="n">
        <v>0</v>
      </c>
      <c r="M982" t="n">
        <v>0</v>
      </c>
      <c r="N982" t="n">
        <v>0</v>
      </c>
      <c r="O982" t="n">
        <v>0</v>
      </c>
      <c r="P982" t="n">
        <v>0</v>
      </c>
      <c r="Q982" t="n">
        <v>0</v>
      </c>
      <c r="R982" s="2" t="inlineStr"/>
    </row>
    <row r="983" ht="15" customHeight="1">
      <c r="A983" t="inlineStr">
        <is>
          <t>A 17121-2023</t>
        </is>
      </c>
      <c r="B983" s="1" t="n">
        <v>45034</v>
      </c>
      <c r="C983" s="1" t="n">
        <v>45354</v>
      </c>
      <c r="D983" t="inlineStr">
        <is>
          <t>JÄMTLANDS LÄN</t>
        </is>
      </c>
      <c r="E983" t="inlineStr">
        <is>
          <t>HÄRJEDALEN</t>
        </is>
      </c>
      <c r="G983" t="n">
        <v>6.4</v>
      </c>
      <c r="H983" t="n">
        <v>0</v>
      </c>
      <c r="I983" t="n">
        <v>0</v>
      </c>
      <c r="J983" t="n">
        <v>0</v>
      </c>
      <c r="K983" t="n">
        <v>0</v>
      </c>
      <c r="L983" t="n">
        <v>0</v>
      </c>
      <c r="M983" t="n">
        <v>0</v>
      </c>
      <c r="N983" t="n">
        <v>0</v>
      </c>
      <c r="O983" t="n">
        <v>0</v>
      </c>
      <c r="P983" t="n">
        <v>0</v>
      </c>
      <c r="Q983" t="n">
        <v>0</v>
      </c>
      <c r="R983" s="2" t="inlineStr"/>
    </row>
    <row r="984" ht="15" customHeight="1">
      <c r="A984" t="inlineStr">
        <is>
          <t>A 17105-2023</t>
        </is>
      </c>
      <c r="B984" s="1" t="n">
        <v>45034</v>
      </c>
      <c r="C984" s="1" t="n">
        <v>45354</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17122-2023</t>
        </is>
      </c>
      <c r="B985" s="1" t="n">
        <v>45034</v>
      </c>
      <c r="C985" s="1" t="n">
        <v>45354</v>
      </c>
      <c r="D985" t="inlineStr">
        <is>
          <t>JÄMTLANDS LÄN</t>
        </is>
      </c>
      <c r="E985" t="inlineStr">
        <is>
          <t>HÄRJEDALEN</t>
        </is>
      </c>
      <c r="G985" t="n">
        <v>3.8</v>
      </c>
      <c r="H985" t="n">
        <v>0</v>
      </c>
      <c r="I985" t="n">
        <v>0</v>
      </c>
      <c r="J985" t="n">
        <v>0</v>
      </c>
      <c r="K985" t="n">
        <v>0</v>
      </c>
      <c r="L985" t="n">
        <v>0</v>
      </c>
      <c r="M985" t="n">
        <v>0</v>
      </c>
      <c r="N985" t="n">
        <v>0</v>
      </c>
      <c r="O985" t="n">
        <v>0</v>
      </c>
      <c r="P985" t="n">
        <v>0</v>
      </c>
      <c r="Q985" t="n">
        <v>0</v>
      </c>
      <c r="R985" s="2" t="inlineStr"/>
    </row>
    <row r="986" ht="15" customHeight="1">
      <c r="A986" t="inlineStr">
        <is>
          <t>A 17153-2023</t>
        </is>
      </c>
      <c r="B986" s="1" t="n">
        <v>45034</v>
      </c>
      <c r="C986" s="1" t="n">
        <v>45354</v>
      </c>
      <c r="D986" t="inlineStr">
        <is>
          <t>JÄMTLANDS LÄN</t>
        </is>
      </c>
      <c r="E986" t="inlineStr">
        <is>
          <t>HÄRJEDALEN</t>
        </is>
      </c>
      <c r="G986" t="n">
        <v>5.6</v>
      </c>
      <c r="H986" t="n">
        <v>0</v>
      </c>
      <c r="I986" t="n">
        <v>0</v>
      </c>
      <c r="J986" t="n">
        <v>0</v>
      </c>
      <c r="K986" t="n">
        <v>0</v>
      </c>
      <c r="L986" t="n">
        <v>0</v>
      </c>
      <c r="M986" t="n">
        <v>0</v>
      </c>
      <c r="N986" t="n">
        <v>0</v>
      </c>
      <c r="O986" t="n">
        <v>0</v>
      </c>
      <c r="P986" t="n">
        <v>0</v>
      </c>
      <c r="Q986" t="n">
        <v>0</v>
      </c>
      <c r="R986" s="2" t="inlineStr"/>
    </row>
    <row r="987" ht="15" customHeight="1">
      <c r="A987" t="inlineStr">
        <is>
          <t>A 17118-2023</t>
        </is>
      </c>
      <c r="B987" s="1" t="n">
        <v>45034</v>
      </c>
      <c r="C987" s="1" t="n">
        <v>45354</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17238-2023</t>
        </is>
      </c>
      <c r="B988" s="1" t="n">
        <v>45035</v>
      </c>
      <c r="C988" s="1" t="n">
        <v>45354</v>
      </c>
      <c r="D988" t="inlineStr">
        <is>
          <t>JÄMTLANDS LÄN</t>
        </is>
      </c>
      <c r="E988" t="inlineStr">
        <is>
          <t>HÄRJEDALEN</t>
        </is>
      </c>
      <c r="G988" t="n">
        <v>3.1</v>
      </c>
      <c r="H988" t="n">
        <v>0</v>
      </c>
      <c r="I988" t="n">
        <v>0</v>
      </c>
      <c r="J988" t="n">
        <v>0</v>
      </c>
      <c r="K988" t="n">
        <v>0</v>
      </c>
      <c r="L988" t="n">
        <v>0</v>
      </c>
      <c r="M988" t="n">
        <v>0</v>
      </c>
      <c r="N988" t="n">
        <v>0</v>
      </c>
      <c r="O988" t="n">
        <v>0</v>
      </c>
      <c r="P988" t="n">
        <v>0</v>
      </c>
      <c r="Q988" t="n">
        <v>0</v>
      </c>
      <c r="R988" s="2" t="inlineStr"/>
    </row>
    <row r="989" ht="15" customHeight="1">
      <c r="A989" t="inlineStr">
        <is>
          <t>A 17246-2023</t>
        </is>
      </c>
      <c r="B989" s="1" t="n">
        <v>45035</v>
      </c>
      <c r="C989" s="1" t="n">
        <v>45354</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17232-2023</t>
        </is>
      </c>
      <c r="B990" s="1" t="n">
        <v>45035</v>
      </c>
      <c r="C990" s="1" t="n">
        <v>45354</v>
      </c>
      <c r="D990" t="inlineStr">
        <is>
          <t>JÄMTLANDS LÄN</t>
        </is>
      </c>
      <c r="E990" t="inlineStr">
        <is>
          <t>HÄRJEDALEN</t>
        </is>
      </c>
      <c r="G990" t="n">
        <v>6.9</v>
      </c>
      <c r="H990" t="n">
        <v>0</v>
      </c>
      <c r="I990" t="n">
        <v>0</v>
      </c>
      <c r="J990" t="n">
        <v>0</v>
      </c>
      <c r="K990" t="n">
        <v>0</v>
      </c>
      <c r="L990" t="n">
        <v>0</v>
      </c>
      <c r="M990" t="n">
        <v>0</v>
      </c>
      <c r="N990" t="n">
        <v>0</v>
      </c>
      <c r="O990" t="n">
        <v>0</v>
      </c>
      <c r="P990" t="n">
        <v>0</v>
      </c>
      <c r="Q990" t="n">
        <v>0</v>
      </c>
      <c r="R990" s="2" t="inlineStr"/>
    </row>
    <row r="991" ht="15" customHeight="1">
      <c r="A991" t="inlineStr">
        <is>
          <t>A 17368-2023</t>
        </is>
      </c>
      <c r="B991" s="1" t="n">
        <v>45035</v>
      </c>
      <c r="C991" s="1" t="n">
        <v>45354</v>
      </c>
      <c r="D991" t="inlineStr">
        <is>
          <t>JÄMTLANDS LÄN</t>
        </is>
      </c>
      <c r="E991" t="inlineStr">
        <is>
          <t>HÄRJEDALEN</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18334-2023</t>
        </is>
      </c>
      <c r="B992" s="1" t="n">
        <v>45041</v>
      </c>
      <c r="C992" s="1" t="n">
        <v>45354</v>
      </c>
      <c r="D992" t="inlineStr">
        <is>
          <t>JÄMTLANDS LÄN</t>
        </is>
      </c>
      <c r="E992" t="inlineStr">
        <is>
          <t>HÄRJEDALEN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18258-2023</t>
        </is>
      </c>
      <c r="B993" s="1" t="n">
        <v>45041</v>
      </c>
      <c r="C993" s="1" t="n">
        <v>45354</v>
      </c>
      <c r="D993" t="inlineStr">
        <is>
          <t>JÄMTLANDS LÄN</t>
        </is>
      </c>
      <c r="E993" t="inlineStr">
        <is>
          <t>HÄRJEDALEN</t>
        </is>
      </c>
      <c r="F993" t="inlineStr">
        <is>
          <t>Bergvik skog väst AB</t>
        </is>
      </c>
      <c r="G993" t="n">
        <v>14.7</v>
      </c>
      <c r="H993" t="n">
        <v>0</v>
      </c>
      <c r="I993" t="n">
        <v>0</v>
      </c>
      <c r="J993" t="n">
        <v>0</v>
      </c>
      <c r="K993" t="n">
        <v>0</v>
      </c>
      <c r="L993" t="n">
        <v>0</v>
      </c>
      <c r="M993" t="n">
        <v>0</v>
      </c>
      <c r="N993" t="n">
        <v>0</v>
      </c>
      <c r="O993" t="n">
        <v>0</v>
      </c>
      <c r="P993" t="n">
        <v>0</v>
      </c>
      <c r="Q993" t="n">
        <v>0</v>
      </c>
      <c r="R993" s="2" t="inlineStr"/>
    </row>
    <row r="994" ht="15" customHeight="1">
      <c r="A994" t="inlineStr">
        <is>
          <t>A 18620-2023</t>
        </is>
      </c>
      <c r="B994" s="1" t="n">
        <v>45041</v>
      </c>
      <c r="C994" s="1" t="n">
        <v>45354</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18646-2023</t>
        </is>
      </c>
      <c r="B995" s="1" t="n">
        <v>45041</v>
      </c>
      <c r="C995" s="1" t="n">
        <v>45354</v>
      </c>
      <c r="D995" t="inlineStr">
        <is>
          <t>JÄMTLANDS LÄN</t>
        </is>
      </c>
      <c r="E995" t="inlineStr">
        <is>
          <t>HÄRJEDALEN</t>
        </is>
      </c>
      <c r="G995" t="n">
        <v>0.2</v>
      </c>
      <c r="H995" t="n">
        <v>0</v>
      </c>
      <c r="I995" t="n">
        <v>0</v>
      </c>
      <c r="J995" t="n">
        <v>0</v>
      </c>
      <c r="K995" t="n">
        <v>0</v>
      </c>
      <c r="L995" t="n">
        <v>0</v>
      </c>
      <c r="M995" t="n">
        <v>0</v>
      </c>
      <c r="N995" t="n">
        <v>0</v>
      </c>
      <c r="O995" t="n">
        <v>0</v>
      </c>
      <c r="P995" t="n">
        <v>0</v>
      </c>
      <c r="Q995" t="n">
        <v>0</v>
      </c>
      <c r="R995" s="2" t="inlineStr"/>
    </row>
    <row r="996" ht="15" customHeight="1">
      <c r="A996" t="inlineStr">
        <is>
          <t>A 18659-2023</t>
        </is>
      </c>
      <c r="B996" s="1" t="n">
        <v>45041</v>
      </c>
      <c r="C996" s="1" t="n">
        <v>45354</v>
      </c>
      <c r="D996" t="inlineStr">
        <is>
          <t>JÄMTLANDS LÄN</t>
        </is>
      </c>
      <c r="E996" t="inlineStr">
        <is>
          <t>HÄRJEDALEN</t>
        </is>
      </c>
      <c r="G996" t="n">
        <v>0.9</v>
      </c>
      <c r="H996" t="n">
        <v>0</v>
      </c>
      <c r="I996" t="n">
        <v>0</v>
      </c>
      <c r="J996" t="n">
        <v>0</v>
      </c>
      <c r="K996" t="n">
        <v>0</v>
      </c>
      <c r="L996" t="n">
        <v>0</v>
      </c>
      <c r="M996" t="n">
        <v>0</v>
      </c>
      <c r="N996" t="n">
        <v>0</v>
      </c>
      <c r="O996" t="n">
        <v>0</v>
      </c>
      <c r="P996" t="n">
        <v>0</v>
      </c>
      <c r="Q996" t="n">
        <v>0</v>
      </c>
      <c r="R996" s="2" t="inlineStr"/>
    </row>
    <row r="997" ht="15" customHeight="1">
      <c r="A997" t="inlineStr">
        <is>
          <t>A 18617-2023</t>
        </is>
      </c>
      <c r="B997" s="1" t="n">
        <v>45043</v>
      </c>
      <c r="C997" s="1" t="n">
        <v>45354</v>
      </c>
      <c r="D997" t="inlineStr">
        <is>
          <t>JÄMTLANDS LÄN</t>
        </is>
      </c>
      <c r="E997" t="inlineStr">
        <is>
          <t>HÄRJEDALEN</t>
        </is>
      </c>
      <c r="G997" t="n">
        <v>15.1</v>
      </c>
      <c r="H997" t="n">
        <v>0</v>
      </c>
      <c r="I997" t="n">
        <v>0</v>
      </c>
      <c r="J997" t="n">
        <v>0</v>
      </c>
      <c r="K997" t="n">
        <v>0</v>
      </c>
      <c r="L997" t="n">
        <v>0</v>
      </c>
      <c r="M997" t="n">
        <v>0</v>
      </c>
      <c r="N997" t="n">
        <v>0</v>
      </c>
      <c r="O997" t="n">
        <v>0</v>
      </c>
      <c r="P997" t="n">
        <v>0</v>
      </c>
      <c r="Q997" t="n">
        <v>0</v>
      </c>
      <c r="R997" s="2" t="inlineStr"/>
    </row>
    <row r="998" ht="15" customHeight="1">
      <c r="A998" t="inlineStr">
        <is>
          <t>A 18875-2023</t>
        </is>
      </c>
      <c r="B998" s="1" t="n">
        <v>45044</v>
      </c>
      <c r="C998" s="1" t="n">
        <v>45354</v>
      </c>
      <c r="D998" t="inlineStr">
        <is>
          <t>JÄMTLANDS LÄN</t>
        </is>
      </c>
      <c r="E998" t="inlineStr">
        <is>
          <t>HÄRJEDALEN</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19353-2023</t>
        </is>
      </c>
      <c r="B999" s="1" t="n">
        <v>45049</v>
      </c>
      <c r="C999" s="1" t="n">
        <v>45354</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19337-2023</t>
        </is>
      </c>
      <c r="B1000" s="1" t="n">
        <v>45049</v>
      </c>
      <c r="C1000" s="1" t="n">
        <v>45354</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19730-2023</t>
        </is>
      </c>
      <c r="B1001" s="1" t="n">
        <v>45050</v>
      </c>
      <c r="C1001" s="1" t="n">
        <v>45354</v>
      </c>
      <c r="D1001" t="inlineStr">
        <is>
          <t>JÄMTLANDS LÄN</t>
        </is>
      </c>
      <c r="E1001" t="inlineStr">
        <is>
          <t>HÄRJEDALEN</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19915-2023</t>
        </is>
      </c>
      <c r="B1002" s="1" t="n">
        <v>45054</v>
      </c>
      <c r="C1002" s="1" t="n">
        <v>45354</v>
      </c>
      <c r="D1002" t="inlineStr">
        <is>
          <t>JÄMTLANDS LÄN</t>
        </is>
      </c>
      <c r="E1002" t="inlineStr">
        <is>
          <t>HÄRJEDALEN</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19981-2023</t>
        </is>
      </c>
      <c r="B1003" s="1" t="n">
        <v>45054</v>
      </c>
      <c r="C1003" s="1" t="n">
        <v>45354</v>
      </c>
      <c r="D1003" t="inlineStr">
        <is>
          <t>JÄMTLANDS LÄN</t>
        </is>
      </c>
      <c r="E1003" t="inlineStr">
        <is>
          <t>HÄRJEDALEN</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20539-2023</t>
        </is>
      </c>
      <c r="B1004" s="1" t="n">
        <v>45055</v>
      </c>
      <c r="C1004" s="1" t="n">
        <v>45354</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20851-2023</t>
        </is>
      </c>
      <c r="B1005" s="1" t="n">
        <v>45056</v>
      </c>
      <c r="C1005" s="1" t="n">
        <v>45354</v>
      </c>
      <c r="D1005" t="inlineStr">
        <is>
          <t>JÄMTLANDS LÄN</t>
        </is>
      </c>
      <c r="E1005" t="inlineStr">
        <is>
          <t>HÄRJEDALEN</t>
        </is>
      </c>
      <c r="F1005" t="inlineStr">
        <is>
          <t>Holmen skog AB</t>
        </is>
      </c>
      <c r="G1005" t="n">
        <v>41.1</v>
      </c>
      <c r="H1005" t="n">
        <v>0</v>
      </c>
      <c r="I1005" t="n">
        <v>0</v>
      </c>
      <c r="J1005" t="n">
        <v>0</v>
      </c>
      <c r="K1005" t="n">
        <v>0</v>
      </c>
      <c r="L1005" t="n">
        <v>0</v>
      </c>
      <c r="M1005" t="n">
        <v>0</v>
      </c>
      <c r="N1005" t="n">
        <v>0</v>
      </c>
      <c r="O1005" t="n">
        <v>0</v>
      </c>
      <c r="P1005" t="n">
        <v>0</v>
      </c>
      <c r="Q1005" t="n">
        <v>0</v>
      </c>
      <c r="R1005" s="2" t="inlineStr"/>
    </row>
    <row r="1006" ht="15" customHeight="1">
      <c r="A1006" t="inlineStr">
        <is>
          <t>A 20609-2023</t>
        </is>
      </c>
      <c r="B1006" s="1" t="n">
        <v>45057</v>
      </c>
      <c r="C1006" s="1" t="n">
        <v>45354</v>
      </c>
      <c r="D1006" t="inlineStr">
        <is>
          <t>JÄMTLANDS LÄN</t>
        </is>
      </c>
      <c r="E1006" t="inlineStr">
        <is>
          <t>HÄRJEDALEN</t>
        </is>
      </c>
      <c r="F1006" t="inlineStr">
        <is>
          <t>SCA</t>
        </is>
      </c>
      <c r="G1006" t="n">
        <v>15.6</v>
      </c>
      <c r="H1006" t="n">
        <v>0</v>
      </c>
      <c r="I1006" t="n">
        <v>0</v>
      </c>
      <c r="J1006" t="n">
        <v>0</v>
      </c>
      <c r="K1006" t="n">
        <v>0</v>
      </c>
      <c r="L1006" t="n">
        <v>0</v>
      </c>
      <c r="M1006" t="n">
        <v>0</v>
      </c>
      <c r="N1006" t="n">
        <v>0</v>
      </c>
      <c r="O1006" t="n">
        <v>0</v>
      </c>
      <c r="P1006" t="n">
        <v>0</v>
      </c>
      <c r="Q1006" t="n">
        <v>0</v>
      </c>
      <c r="R1006" s="2" t="inlineStr"/>
      <c r="U1006">
        <f>HYPERLINK("https://klasma.github.io/Logging_2361/knärot/A 20609-2023 karta knärot.png", "A 20609-2023")</f>
        <v/>
      </c>
      <c r="V1006">
        <f>HYPERLINK("https://klasma.github.io/Logging_2361/klagomål/A 20609-2023 FSC-klagomål.docx", "A 20609-2023")</f>
        <v/>
      </c>
      <c r="W1006">
        <f>HYPERLINK("https://klasma.github.io/Logging_2361/klagomålsmail/A 20609-2023 FSC-klagomål mail.docx", "A 20609-2023")</f>
        <v/>
      </c>
      <c r="X1006">
        <f>HYPERLINK("https://klasma.github.io/Logging_2361/tillsyn/A 20609-2023 tillsynsbegäran.docx", "A 20609-2023")</f>
        <v/>
      </c>
      <c r="Y1006">
        <f>HYPERLINK("https://klasma.github.io/Logging_2361/tillsynsmail/A 20609-2023 tillsynsbegäran mail.docx", "A 20609-2023")</f>
        <v/>
      </c>
    </row>
    <row r="1007" ht="15" customHeight="1">
      <c r="A1007" t="inlineStr">
        <is>
          <t>A 20768-2023</t>
        </is>
      </c>
      <c r="B1007" s="1" t="n">
        <v>45058</v>
      </c>
      <c r="C1007" s="1" t="n">
        <v>45354</v>
      </c>
      <c r="D1007" t="inlineStr">
        <is>
          <t>JÄMTLANDS LÄN</t>
        </is>
      </c>
      <c r="E1007" t="inlineStr">
        <is>
          <t>HÄRJEDALEN</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20718-2023</t>
        </is>
      </c>
      <c r="B1008" s="1" t="n">
        <v>45058</v>
      </c>
      <c r="C1008" s="1" t="n">
        <v>45354</v>
      </c>
      <c r="D1008" t="inlineStr">
        <is>
          <t>JÄMTLANDS LÄN</t>
        </is>
      </c>
      <c r="E1008" t="inlineStr">
        <is>
          <t>HÄRJEDALEN</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20935-2023</t>
        </is>
      </c>
      <c r="B1009" s="1" t="n">
        <v>45061</v>
      </c>
      <c r="C1009" s="1" t="n">
        <v>45354</v>
      </c>
      <c r="D1009" t="inlineStr">
        <is>
          <t>JÄMTLANDS LÄN</t>
        </is>
      </c>
      <c r="E1009" t="inlineStr">
        <is>
          <t>HÄRJEDALEN</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21050-2023</t>
        </is>
      </c>
      <c r="B1010" s="1" t="n">
        <v>45061</v>
      </c>
      <c r="C1010" s="1" t="n">
        <v>45354</v>
      </c>
      <c r="D1010" t="inlineStr">
        <is>
          <t>JÄMTLANDS LÄN</t>
        </is>
      </c>
      <c r="E1010" t="inlineStr">
        <is>
          <t>HÄRJEDALEN</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v>
      </c>
      <c r="C1011" s="1" t="n">
        <v>45354</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21517-2023</t>
        </is>
      </c>
      <c r="B1012" s="1" t="n">
        <v>45063</v>
      </c>
      <c r="C1012" s="1" t="n">
        <v>45354</v>
      </c>
      <c r="D1012" t="inlineStr">
        <is>
          <t>JÄMTLANDS LÄN</t>
        </is>
      </c>
      <c r="E1012" t="inlineStr">
        <is>
          <t>HÄRJEDALEN</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21531-2023</t>
        </is>
      </c>
      <c r="B1013" s="1" t="n">
        <v>45063</v>
      </c>
      <c r="C1013" s="1" t="n">
        <v>45354</v>
      </c>
      <c r="D1013" t="inlineStr">
        <is>
          <t>JÄMTLANDS LÄN</t>
        </is>
      </c>
      <c r="E1013" t="inlineStr">
        <is>
          <t>HÄRJEDALEN</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21439-2023</t>
        </is>
      </c>
      <c r="B1014" s="1" t="n">
        <v>45063</v>
      </c>
      <c r="C1014" s="1" t="n">
        <v>45354</v>
      </c>
      <c r="D1014" t="inlineStr">
        <is>
          <t>JÄMTLANDS LÄN</t>
        </is>
      </c>
      <c r="E1014" t="inlineStr">
        <is>
          <t>HÄRJEDALEN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21521-2023</t>
        </is>
      </c>
      <c r="B1015" s="1" t="n">
        <v>45063</v>
      </c>
      <c r="C1015" s="1" t="n">
        <v>45354</v>
      </c>
      <c r="D1015" t="inlineStr">
        <is>
          <t>JÄMTLANDS LÄN</t>
        </is>
      </c>
      <c r="E1015" t="inlineStr">
        <is>
          <t>HÄRJEDALEN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21525-2023</t>
        </is>
      </c>
      <c r="B1016" s="1" t="n">
        <v>45063</v>
      </c>
      <c r="C1016" s="1" t="n">
        <v>45354</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21530-2023</t>
        </is>
      </c>
      <c r="B1017" s="1" t="n">
        <v>45063</v>
      </c>
      <c r="C1017" s="1" t="n">
        <v>45354</v>
      </c>
      <c r="D1017" t="inlineStr">
        <is>
          <t>JÄMTLANDS LÄN</t>
        </is>
      </c>
      <c r="E1017" t="inlineStr">
        <is>
          <t>HÄRJEDALEN</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21645-2023</t>
        </is>
      </c>
      <c r="B1018" s="1" t="n">
        <v>45063</v>
      </c>
      <c r="C1018" s="1" t="n">
        <v>45354</v>
      </c>
      <c r="D1018" t="inlineStr">
        <is>
          <t>JÄMTLANDS LÄN</t>
        </is>
      </c>
      <c r="E1018" t="inlineStr">
        <is>
          <t>HÄRJEDALEN</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21646-2023</t>
        </is>
      </c>
      <c r="B1019" s="1" t="n">
        <v>45063</v>
      </c>
      <c r="C1019" s="1" t="n">
        <v>45354</v>
      </c>
      <c r="D1019" t="inlineStr">
        <is>
          <t>JÄMTLANDS LÄN</t>
        </is>
      </c>
      <c r="E1019" t="inlineStr">
        <is>
          <t>HÄRJEDALEN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21665-2023</t>
        </is>
      </c>
      <c r="B1020" s="1" t="n">
        <v>45063</v>
      </c>
      <c r="C1020" s="1" t="n">
        <v>45354</v>
      </c>
      <c r="D1020" t="inlineStr">
        <is>
          <t>JÄMTLANDS LÄN</t>
        </is>
      </c>
      <c r="E1020" t="inlineStr">
        <is>
          <t>HÄRJEDALEN</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21666-2023</t>
        </is>
      </c>
      <c r="B1021" s="1" t="n">
        <v>45064</v>
      </c>
      <c r="C1021" s="1" t="n">
        <v>45354</v>
      </c>
      <c r="D1021" t="inlineStr">
        <is>
          <t>JÄMTLANDS LÄN</t>
        </is>
      </c>
      <c r="E1021" t="inlineStr">
        <is>
          <t>HÄRJEDALEN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22674-2023</t>
        </is>
      </c>
      <c r="B1022" s="1" t="n">
        <v>45071</v>
      </c>
      <c r="C1022" s="1" t="n">
        <v>45354</v>
      </c>
      <c r="D1022" t="inlineStr">
        <is>
          <t>JÄMTLANDS LÄN</t>
        </is>
      </c>
      <c r="E1022" t="inlineStr">
        <is>
          <t>HÄRJEDALEN</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45072</v>
      </c>
      <c r="C1023" s="1" t="n">
        <v>45354</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22747-2023</t>
        </is>
      </c>
      <c r="B1024" s="1" t="n">
        <v>45071</v>
      </c>
      <c r="C1024" s="1" t="n">
        <v>45354</v>
      </c>
      <c r="D1024" t="inlineStr">
        <is>
          <t>JÄMTLANDS LÄN</t>
        </is>
      </c>
      <c r="E1024" t="inlineStr">
        <is>
          <t>HÄRJEDALEN</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22746-2023</t>
        </is>
      </c>
      <c r="B1025" s="1" t="n">
        <v>45071</v>
      </c>
      <c r="C1025" s="1" t="n">
        <v>45354</v>
      </c>
      <c r="D1025" t="inlineStr">
        <is>
          <t>JÄMTLANDS LÄN</t>
        </is>
      </c>
      <c r="E1025" t="inlineStr">
        <is>
          <t>HÄRJEDALEN</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22729-2023</t>
        </is>
      </c>
      <c r="B1026" s="1" t="n">
        <v>45072</v>
      </c>
      <c r="C1026" s="1" t="n">
        <v>45354</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23186-2023</t>
        </is>
      </c>
      <c r="B1027" s="1" t="n">
        <v>45075</v>
      </c>
      <c r="C1027" s="1" t="n">
        <v>45354</v>
      </c>
      <c r="D1027" t="inlineStr">
        <is>
          <t>JÄMTLANDS LÄN</t>
        </is>
      </c>
      <c r="E1027" t="inlineStr">
        <is>
          <t>HÄRJEDALEN</t>
        </is>
      </c>
      <c r="F1027" t="inlineStr">
        <is>
          <t>Bergvik skog väst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23185-2023</t>
        </is>
      </c>
      <c r="B1028" s="1" t="n">
        <v>45075</v>
      </c>
      <c r="C1028" s="1" t="n">
        <v>45354</v>
      </c>
      <c r="D1028" t="inlineStr">
        <is>
          <t>JÄMTLANDS LÄN</t>
        </is>
      </c>
      <c r="E1028" t="inlineStr">
        <is>
          <t>HÄRJEDALEN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23356-2023</t>
        </is>
      </c>
      <c r="B1029" s="1" t="n">
        <v>45076</v>
      </c>
      <c r="C1029" s="1" t="n">
        <v>45354</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23465-2023</t>
        </is>
      </c>
      <c r="B1030" s="1" t="n">
        <v>45076</v>
      </c>
      <c r="C1030" s="1" t="n">
        <v>45354</v>
      </c>
      <c r="D1030" t="inlineStr">
        <is>
          <t>JÄMTLANDS LÄN</t>
        </is>
      </c>
      <c r="E1030" t="inlineStr">
        <is>
          <t>HÄRJEDALEN</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23895-2023</t>
        </is>
      </c>
      <c r="B1031" s="1" t="n">
        <v>45078</v>
      </c>
      <c r="C1031" s="1" t="n">
        <v>45354</v>
      </c>
      <c r="D1031" t="inlineStr">
        <is>
          <t>JÄMTLANDS LÄN</t>
        </is>
      </c>
      <c r="E1031" t="inlineStr">
        <is>
          <t>HÄRJEDALEN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23908-2023</t>
        </is>
      </c>
      <c r="B1032" s="1" t="n">
        <v>45078</v>
      </c>
      <c r="C1032" s="1" t="n">
        <v>45354</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24240-2023</t>
        </is>
      </c>
      <c r="B1033" s="1" t="n">
        <v>45079</v>
      </c>
      <c r="C1033" s="1" t="n">
        <v>45354</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24238-2023</t>
        </is>
      </c>
      <c r="B1034" s="1" t="n">
        <v>45079</v>
      </c>
      <c r="C1034" s="1" t="n">
        <v>45354</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24255-2023</t>
        </is>
      </c>
      <c r="B1035" s="1" t="n">
        <v>45079</v>
      </c>
      <c r="C1035" s="1" t="n">
        <v>45354</v>
      </c>
      <c r="D1035" t="inlineStr">
        <is>
          <t>JÄMTLANDS LÄN</t>
        </is>
      </c>
      <c r="E1035" t="inlineStr">
        <is>
          <t>HÄRJEDALEN</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24220-2023</t>
        </is>
      </c>
      <c r="B1036" s="1" t="n">
        <v>45079</v>
      </c>
      <c r="C1036" s="1" t="n">
        <v>45354</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25536-2023</t>
        </is>
      </c>
      <c r="B1037" s="1" t="n">
        <v>45082</v>
      </c>
      <c r="C1037" s="1" t="n">
        <v>45354</v>
      </c>
      <c r="D1037" t="inlineStr">
        <is>
          <t>JÄMTLANDS LÄN</t>
        </is>
      </c>
      <c r="E1037" t="inlineStr">
        <is>
          <t>HÄRJEDALEN</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25526-2023</t>
        </is>
      </c>
      <c r="B1038" s="1" t="n">
        <v>45082</v>
      </c>
      <c r="C1038" s="1" t="n">
        <v>45354</v>
      </c>
      <c r="D1038" t="inlineStr">
        <is>
          <t>JÄMTLANDS LÄN</t>
        </is>
      </c>
      <c r="E1038" t="inlineStr">
        <is>
          <t>HÄRJEDALEN</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25582-2023</t>
        </is>
      </c>
      <c r="B1039" s="1" t="n">
        <v>45082</v>
      </c>
      <c r="C1039" s="1" t="n">
        <v>45354</v>
      </c>
      <c r="D1039" t="inlineStr">
        <is>
          <t>JÄMTLANDS LÄN</t>
        </is>
      </c>
      <c r="E1039" t="inlineStr">
        <is>
          <t>HÄRJEDALEN</t>
        </is>
      </c>
      <c r="F1039" t="inlineStr">
        <is>
          <t>Bergvik skog väst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24834-2023</t>
        </is>
      </c>
      <c r="B1040" s="1" t="n">
        <v>45084</v>
      </c>
      <c r="C1040" s="1" t="n">
        <v>45354</v>
      </c>
      <c r="D1040" t="inlineStr">
        <is>
          <t>JÄMTLANDS LÄN</t>
        </is>
      </c>
      <c r="E1040" t="inlineStr">
        <is>
          <t>HÄRJEDALEN</t>
        </is>
      </c>
      <c r="F1040" t="inlineStr">
        <is>
          <t>SCA</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24835-2023</t>
        </is>
      </c>
      <c r="B1041" s="1" t="n">
        <v>45084</v>
      </c>
      <c r="C1041" s="1" t="n">
        <v>45354</v>
      </c>
      <c r="D1041" t="inlineStr">
        <is>
          <t>JÄMTLANDS LÄN</t>
        </is>
      </c>
      <c r="E1041" t="inlineStr">
        <is>
          <t>HÄRJEDALEN</t>
        </is>
      </c>
      <c r="F1041" t="inlineStr">
        <is>
          <t>SCA</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25018-2023</t>
        </is>
      </c>
      <c r="B1042" s="1" t="n">
        <v>45085</v>
      </c>
      <c r="C1042" s="1" t="n">
        <v>45354</v>
      </c>
      <c r="D1042" t="inlineStr">
        <is>
          <t>JÄMTLANDS LÄN</t>
        </is>
      </c>
      <c r="E1042" t="inlineStr">
        <is>
          <t>HÄRJEDALEN</t>
        </is>
      </c>
      <c r="F1042" t="inlineStr">
        <is>
          <t>Sveaskog</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24964-2023</t>
        </is>
      </c>
      <c r="B1043" s="1" t="n">
        <v>45085</v>
      </c>
      <c r="C1043" s="1" t="n">
        <v>45354</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25181-2023</t>
        </is>
      </c>
      <c r="B1044" s="1" t="n">
        <v>45086</v>
      </c>
      <c r="C1044" s="1" t="n">
        <v>45354</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25485-2023</t>
        </is>
      </c>
      <c r="B1045" s="1" t="n">
        <v>45089</v>
      </c>
      <c r="C1045" s="1" t="n">
        <v>45354</v>
      </c>
      <c r="D1045" t="inlineStr">
        <is>
          <t>JÄMTLANDS LÄN</t>
        </is>
      </c>
      <c r="E1045" t="inlineStr">
        <is>
          <t>HÄRJEDALEN</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26411-2023</t>
        </is>
      </c>
      <c r="B1046" s="1" t="n">
        <v>45092</v>
      </c>
      <c r="C1046" s="1" t="n">
        <v>45354</v>
      </c>
      <c r="D1046" t="inlineStr">
        <is>
          <t>JÄMTLANDS LÄN</t>
        </is>
      </c>
      <c r="E1046" t="inlineStr">
        <is>
          <t>HÄRJEDALEN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26701-2023</t>
        </is>
      </c>
      <c r="B1047" s="1" t="n">
        <v>45093</v>
      </c>
      <c r="C1047" s="1" t="n">
        <v>45354</v>
      </c>
      <c r="D1047" t="inlineStr">
        <is>
          <t>JÄMTLANDS LÄN</t>
        </is>
      </c>
      <c r="E1047" t="inlineStr">
        <is>
          <t>HÄRJEDALEN</t>
        </is>
      </c>
      <c r="F1047" t="inlineStr">
        <is>
          <t>Bergvik skog väst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26902-2023</t>
        </is>
      </c>
      <c r="B1048" s="1" t="n">
        <v>45093</v>
      </c>
      <c r="C1048" s="1" t="n">
        <v>45354</v>
      </c>
      <c r="D1048" t="inlineStr">
        <is>
          <t>JÄMTLANDS LÄN</t>
        </is>
      </c>
      <c r="E1048" t="inlineStr">
        <is>
          <t>HÄRJEDALEN</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26905-2023</t>
        </is>
      </c>
      <c r="B1049" s="1" t="n">
        <v>45093</v>
      </c>
      <c r="C1049" s="1" t="n">
        <v>45354</v>
      </c>
      <c r="D1049" t="inlineStr">
        <is>
          <t>JÄMTLANDS LÄN</t>
        </is>
      </c>
      <c r="E1049" t="inlineStr">
        <is>
          <t>HÄRJEDALEN</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27136-2023</t>
        </is>
      </c>
      <c r="B1050" s="1" t="n">
        <v>45096</v>
      </c>
      <c r="C1050" s="1" t="n">
        <v>45354</v>
      </c>
      <c r="D1050" t="inlineStr">
        <is>
          <t>JÄMTLANDS LÄN</t>
        </is>
      </c>
      <c r="E1050" t="inlineStr">
        <is>
          <t>HÄRJEDALEN</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27261-2023</t>
        </is>
      </c>
      <c r="B1051" s="1" t="n">
        <v>45096</v>
      </c>
      <c r="C1051" s="1" t="n">
        <v>45354</v>
      </c>
      <c r="D1051" t="inlineStr">
        <is>
          <t>JÄMTLANDS LÄN</t>
        </is>
      </c>
      <c r="E1051" t="inlineStr">
        <is>
          <t>HÄRJEDALEN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27541-2023</t>
        </is>
      </c>
      <c r="B1052" s="1" t="n">
        <v>45097</v>
      </c>
      <c r="C1052" s="1" t="n">
        <v>45354</v>
      </c>
      <c r="D1052" t="inlineStr">
        <is>
          <t>JÄMTLANDS LÄN</t>
        </is>
      </c>
      <c r="E1052" t="inlineStr">
        <is>
          <t>HÄRJEDALEN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27764-2023</t>
        </is>
      </c>
      <c r="B1053" s="1" t="n">
        <v>45098</v>
      </c>
      <c r="C1053" s="1" t="n">
        <v>45354</v>
      </c>
      <c r="D1053" t="inlineStr">
        <is>
          <t>JÄMTLANDS LÄN</t>
        </is>
      </c>
      <c r="E1053" t="inlineStr">
        <is>
          <t>HÄRJEDALEN</t>
        </is>
      </c>
      <c r="G1053" t="n">
        <v>66.40000000000001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v>
      </c>
      <c r="C1054" s="1" t="n">
        <v>45354</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27940-2023</t>
        </is>
      </c>
      <c r="B1055" s="1" t="n">
        <v>45098</v>
      </c>
      <c r="C1055" s="1" t="n">
        <v>45354</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28078-2023</t>
        </is>
      </c>
      <c r="B1056" s="1" t="n">
        <v>45099</v>
      </c>
      <c r="C1056" s="1" t="n">
        <v>45354</v>
      </c>
      <c r="D1056" t="inlineStr">
        <is>
          <t>JÄMTLANDS LÄN</t>
        </is>
      </c>
      <c r="E1056" t="inlineStr">
        <is>
          <t>HÄRJEDALEN</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28059-2023</t>
        </is>
      </c>
      <c r="B1057" s="1" t="n">
        <v>45099</v>
      </c>
      <c r="C1057" s="1" t="n">
        <v>45354</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28209-2023</t>
        </is>
      </c>
      <c r="B1058" s="1" t="n">
        <v>45099</v>
      </c>
      <c r="C1058" s="1" t="n">
        <v>45354</v>
      </c>
      <c r="D1058" t="inlineStr">
        <is>
          <t>JÄMTLANDS LÄN</t>
        </is>
      </c>
      <c r="E1058" t="inlineStr">
        <is>
          <t>HÄRJEDALEN</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28802-2023</t>
        </is>
      </c>
      <c r="B1059" s="1" t="n">
        <v>45104</v>
      </c>
      <c r="C1059" s="1" t="n">
        <v>45354</v>
      </c>
      <c r="D1059" t="inlineStr">
        <is>
          <t>JÄMTLANDS LÄN</t>
        </is>
      </c>
      <c r="E1059" t="inlineStr">
        <is>
          <t>HÄRJEDALEN</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29067-2023</t>
        </is>
      </c>
      <c r="B1060" s="1" t="n">
        <v>45104</v>
      </c>
      <c r="C1060" s="1" t="n">
        <v>45354</v>
      </c>
      <c r="D1060" t="inlineStr">
        <is>
          <t>JÄMTLANDS LÄN</t>
        </is>
      </c>
      <c r="E1060" t="inlineStr">
        <is>
          <t>HÄRJEDALEN</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29194-2023</t>
        </is>
      </c>
      <c r="B1061" s="1" t="n">
        <v>45105</v>
      </c>
      <c r="C1061" s="1" t="n">
        <v>45354</v>
      </c>
      <c r="D1061" t="inlineStr">
        <is>
          <t>JÄMTLANDS LÄN</t>
        </is>
      </c>
      <c r="E1061" t="inlineStr">
        <is>
          <t>HÄRJEDALEN</t>
        </is>
      </c>
      <c r="F1061" t="inlineStr">
        <is>
          <t>Bergvik skog väst AB</t>
        </is>
      </c>
      <c r="G1061" t="n">
        <v>21.4</v>
      </c>
      <c r="H1061" t="n">
        <v>0</v>
      </c>
      <c r="I1061" t="n">
        <v>0</v>
      </c>
      <c r="J1061" t="n">
        <v>0</v>
      </c>
      <c r="K1061" t="n">
        <v>0</v>
      </c>
      <c r="L1061" t="n">
        <v>0</v>
      </c>
      <c r="M1061" t="n">
        <v>0</v>
      </c>
      <c r="N1061" t="n">
        <v>0</v>
      </c>
      <c r="O1061" t="n">
        <v>0</v>
      </c>
      <c r="P1061" t="n">
        <v>0</v>
      </c>
      <c r="Q1061" t="n">
        <v>0</v>
      </c>
      <c r="R1061" s="2" t="inlineStr"/>
    </row>
    <row r="1062" ht="15" customHeight="1">
      <c r="A1062" t="inlineStr">
        <is>
          <t>A 29094-2023</t>
        </is>
      </c>
      <c r="B1062" s="1" t="n">
        <v>45105</v>
      </c>
      <c r="C1062" s="1" t="n">
        <v>45354</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29431-2023</t>
        </is>
      </c>
      <c r="B1063" s="1" t="n">
        <v>45106</v>
      </c>
      <c r="C1063" s="1" t="n">
        <v>45354</v>
      </c>
      <c r="D1063" t="inlineStr">
        <is>
          <t>JÄMTLANDS LÄN</t>
        </is>
      </c>
      <c r="E1063" t="inlineStr">
        <is>
          <t>HÄRJEDALEN</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45354</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30411-2023</t>
        </is>
      </c>
      <c r="B1065" s="1" t="n">
        <v>45111</v>
      </c>
      <c r="C1065" s="1" t="n">
        <v>45354</v>
      </c>
      <c r="D1065" t="inlineStr">
        <is>
          <t>JÄMTLANDS LÄN</t>
        </is>
      </c>
      <c r="E1065" t="inlineStr">
        <is>
          <t>HÄRJEDALEN</t>
        </is>
      </c>
      <c r="F1065" t="inlineStr">
        <is>
          <t>Bergvik skog väst AB</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30435-2023</t>
        </is>
      </c>
      <c r="B1066" s="1" t="n">
        <v>45111</v>
      </c>
      <c r="C1066" s="1" t="n">
        <v>45354</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30751-2023</t>
        </is>
      </c>
      <c r="B1067" s="1" t="n">
        <v>45112</v>
      </c>
      <c r="C1067" s="1" t="n">
        <v>45354</v>
      </c>
      <c r="D1067" t="inlineStr">
        <is>
          <t>JÄMTLANDS LÄN</t>
        </is>
      </c>
      <c r="E1067" t="inlineStr">
        <is>
          <t>HÄRJEDALEN</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30709-2023</t>
        </is>
      </c>
      <c r="B1068" s="1" t="n">
        <v>45112</v>
      </c>
      <c r="C1068" s="1" t="n">
        <v>45354</v>
      </c>
      <c r="D1068" t="inlineStr">
        <is>
          <t>JÄMTLANDS LÄN</t>
        </is>
      </c>
      <c r="E1068" t="inlineStr">
        <is>
          <t>HÄRJEDALEN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30984-2023</t>
        </is>
      </c>
      <c r="B1069" s="1" t="n">
        <v>45113</v>
      </c>
      <c r="C1069" s="1" t="n">
        <v>45354</v>
      </c>
      <c r="D1069" t="inlineStr">
        <is>
          <t>JÄMTLANDS LÄN</t>
        </is>
      </c>
      <c r="E1069" t="inlineStr">
        <is>
          <t>HÄRJEDALEN</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31269-2023</t>
        </is>
      </c>
      <c r="B1070" s="1" t="n">
        <v>45114</v>
      </c>
      <c r="C1070" s="1" t="n">
        <v>45354</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31435-2023</t>
        </is>
      </c>
      <c r="B1071" s="1" t="n">
        <v>45114</v>
      </c>
      <c r="C1071" s="1" t="n">
        <v>45354</v>
      </c>
      <c r="D1071" t="inlineStr">
        <is>
          <t>JÄMTLANDS LÄN</t>
        </is>
      </c>
      <c r="E1071" t="inlineStr">
        <is>
          <t>HÄRJEDALEN</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31778-2023</t>
        </is>
      </c>
      <c r="B1072" s="1" t="n">
        <v>45118</v>
      </c>
      <c r="C1072" s="1" t="n">
        <v>45354</v>
      </c>
      <c r="D1072" t="inlineStr">
        <is>
          <t>JÄMTLANDS LÄN</t>
        </is>
      </c>
      <c r="E1072" t="inlineStr">
        <is>
          <t>HÄRJEDALEN</t>
        </is>
      </c>
      <c r="F1072" t="inlineStr">
        <is>
          <t>Bergvik skog väst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31811-2023</t>
        </is>
      </c>
      <c r="B1073" s="1" t="n">
        <v>45118</v>
      </c>
      <c r="C1073" s="1" t="n">
        <v>45354</v>
      </c>
      <c r="D1073" t="inlineStr">
        <is>
          <t>JÄMTLANDS LÄN</t>
        </is>
      </c>
      <c r="E1073" t="inlineStr">
        <is>
          <t>HÄRJEDALEN</t>
        </is>
      </c>
      <c r="F1073" t="inlineStr">
        <is>
          <t>Bergvik skog väst AB</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31910-2023</t>
        </is>
      </c>
      <c r="B1074" s="1" t="n">
        <v>45118</v>
      </c>
      <c r="C1074" s="1" t="n">
        <v>45354</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31958-2023</t>
        </is>
      </c>
      <c r="B1075" s="1" t="n">
        <v>45119</v>
      </c>
      <c r="C1075" s="1" t="n">
        <v>45354</v>
      </c>
      <c r="D1075" t="inlineStr">
        <is>
          <t>JÄMTLANDS LÄN</t>
        </is>
      </c>
      <c r="E1075" t="inlineStr">
        <is>
          <t>HÄRJEDALEN</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31996-2023</t>
        </is>
      </c>
      <c r="B1076" s="1" t="n">
        <v>45119</v>
      </c>
      <c r="C1076" s="1" t="n">
        <v>45354</v>
      </c>
      <c r="D1076" t="inlineStr">
        <is>
          <t>JÄMTLANDS LÄN</t>
        </is>
      </c>
      <c r="E1076" t="inlineStr">
        <is>
          <t>HÄRJEDALEN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31960-2023</t>
        </is>
      </c>
      <c r="B1077" s="1" t="n">
        <v>45119</v>
      </c>
      <c r="C1077" s="1" t="n">
        <v>45354</v>
      </c>
      <c r="D1077" t="inlineStr">
        <is>
          <t>JÄMTLANDS LÄN</t>
        </is>
      </c>
      <c r="E1077" t="inlineStr">
        <is>
          <t>HÄRJEDALEN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v>
      </c>
      <c r="C1078" s="1" t="n">
        <v>45354</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45354</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33257-2023</t>
        </is>
      </c>
      <c r="B1080" s="1" t="n">
        <v>45127</v>
      </c>
      <c r="C1080" s="1" t="n">
        <v>45354</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33232-2023</t>
        </is>
      </c>
      <c r="B1081" s="1" t="n">
        <v>45127</v>
      </c>
      <c r="C1081" s="1" t="n">
        <v>45354</v>
      </c>
      <c r="D1081" t="inlineStr">
        <is>
          <t>JÄMTLANDS LÄN</t>
        </is>
      </c>
      <c r="E1081" t="inlineStr">
        <is>
          <t>HÄRJEDALEN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33992-2023</t>
        </is>
      </c>
      <c r="B1082" s="1" t="n">
        <v>45134</v>
      </c>
      <c r="C1082" s="1" t="n">
        <v>45354</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34260-2023</t>
        </is>
      </c>
      <c r="B1083" s="1" t="n">
        <v>45138</v>
      </c>
      <c r="C1083" s="1" t="n">
        <v>45354</v>
      </c>
      <c r="D1083" t="inlineStr">
        <is>
          <t>JÄMTLANDS LÄN</t>
        </is>
      </c>
      <c r="E1083" t="inlineStr">
        <is>
          <t>HÄRJEDALEN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34313-2023</t>
        </is>
      </c>
      <c r="B1084" s="1" t="n">
        <v>45139</v>
      </c>
      <c r="C1084" s="1" t="n">
        <v>45354</v>
      </c>
      <c r="D1084" t="inlineStr">
        <is>
          <t>JÄMTLANDS LÄN</t>
        </is>
      </c>
      <c r="E1084" t="inlineStr">
        <is>
          <t>HÄRJEDALEN</t>
        </is>
      </c>
      <c r="F1084" t="inlineStr">
        <is>
          <t>SCA</t>
        </is>
      </c>
      <c r="G1084" t="n">
        <v>31.6</v>
      </c>
      <c r="H1084" t="n">
        <v>0</v>
      </c>
      <c r="I1084" t="n">
        <v>0</v>
      </c>
      <c r="J1084" t="n">
        <v>0</v>
      </c>
      <c r="K1084" t="n">
        <v>0</v>
      </c>
      <c r="L1084" t="n">
        <v>0</v>
      </c>
      <c r="M1084" t="n">
        <v>0</v>
      </c>
      <c r="N1084" t="n">
        <v>0</v>
      </c>
      <c r="O1084" t="n">
        <v>0</v>
      </c>
      <c r="P1084" t="n">
        <v>0</v>
      </c>
      <c r="Q1084" t="n">
        <v>0</v>
      </c>
      <c r="R1084" s="2" t="inlineStr"/>
    </row>
    <row r="1085" ht="15" customHeight="1">
      <c r="A1085" t="inlineStr">
        <is>
          <t>A 34314-2023</t>
        </is>
      </c>
      <c r="B1085" s="1" t="n">
        <v>45138</v>
      </c>
      <c r="C1085" s="1" t="n">
        <v>45354</v>
      </c>
      <c r="D1085" t="inlineStr">
        <is>
          <t>JÄMTLANDS LÄN</t>
        </is>
      </c>
      <c r="E1085" t="inlineStr">
        <is>
          <t>HÄRJEDALEN</t>
        </is>
      </c>
      <c r="F1085" t="inlineStr">
        <is>
          <t>SCA</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35396-2023</t>
        </is>
      </c>
      <c r="B1086" s="1" t="n">
        <v>45146</v>
      </c>
      <c r="C1086" s="1" t="n">
        <v>45354</v>
      </c>
      <c r="D1086" t="inlineStr">
        <is>
          <t>JÄMTLANDS LÄN</t>
        </is>
      </c>
      <c r="E1086" t="inlineStr">
        <is>
          <t>HÄRJEDALEN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35813-2023</t>
        </is>
      </c>
      <c r="B1087" s="1" t="n">
        <v>45147</v>
      </c>
      <c r="C1087" s="1" t="n">
        <v>45354</v>
      </c>
      <c r="D1087" t="inlineStr">
        <is>
          <t>JÄMTLANDS LÄN</t>
        </is>
      </c>
      <c r="E1087" t="inlineStr">
        <is>
          <t>HÄRJEDALEN</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35891-2023</t>
        </is>
      </c>
      <c r="B1088" s="1" t="n">
        <v>45148</v>
      </c>
      <c r="C1088" s="1" t="n">
        <v>45354</v>
      </c>
      <c r="D1088" t="inlineStr">
        <is>
          <t>JÄMTLANDS LÄN</t>
        </is>
      </c>
      <c r="E1088" t="inlineStr">
        <is>
          <t>HÄRJEDALEN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36027-2023</t>
        </is>
      </c>
      <c r="B1089" s="1" t="n">
        <v>45149</v>
      </c>
      <c r="C1089" s="1" t="n">
        <v>45354</v>
      </c>
      <c r="D1089" t="inlineStr">
        <is>
          <t>JÄMTLANDS LÄN</t>
        </is>
      </c>
      <c r="E1089" t="inlineStr">
        <is>
          <t>HÄRJEDALEN</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36111-2023</t>
        </is>
      </c>
      <c r="B1090" s="1" t="n">
        <v>45149</v>
      </c>
      <c r="C1090" s="1" t="n">
        <v>45354</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36143-2023</t>
        </is>
      </c>
      <c r="B1091" s="1" t="n">
        <v>45149</v>
      </c>
      <c r="C1091" s="1" t="n">
        <v>45354</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36570-2023</t>
        </is>
      </c>
      <c r="B1092" s="1" t="n">
        <v>45153</v>
      </c>
      <c r="C1092" s="1" t="n">
        <v>45354</v>
      </c>
      <c r="D1092" t="inlineStr">
        <is>
          <t>JÄMTLANDS LÄN</t>
        </is>
      </c>
      <c r="E1092" t="inlineStr">
        <is>
          <t>HÄRJEDALEN</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36565-2023</t>
        </is>
      </c>
      <c r="B1093" s="1" t="n">
        <v>45153</v>
      </c>
      <c r="C1093" s="1" t="n">
        <v>45354</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v>
      </c>
      <c r="C1094" s="1" t="n">
        <v>45354</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36651-2023</t>
        </is>
      </c>
      <c r="B1095" s="1" t="n">
        <v>45153</v>
      </c>
      <c r="C1095" s="1" t="n">
        <v>45354</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36720-2023</t>
        </is>
      </c>
      <c r="B1096" s="1" t="n">
        <v>45153</v>
      </c>
      <c r="C1096" s="1" t="n">
        <v>45354</v>
      </c>
      <c r="D1096" t="inlineStr">
        <is>
          <t>JÄMTLANDS LÄN</t>
        </is>
      </c>
      <c r="E1096" t="inlineStr">
        <is>
          <t>HÄRJEDALEN</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36677-2023</t>
        </is>
      </c>
      <c r="B1097" s="1" t="n">
        <v>45153</v>
      </c>
      <c r="C1097" s="1" t="n">
        <v>45354</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45354</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36926-2023</t>
        </is>
      </c>
      <c r="B1099" s="1" t="n">
        <v>45154</v>
      </c>
      <c r="C1099" s="1" t="n">
        <v>45354</v>
      </c>
      <c r="D1099" t="inlineStr">
        <is>
          <t>JÄMTLANDS LÄN</t>
        </is>
      </c>
      <c r="E1099" t="inlineStr">
        <is>
          <t>HÄRJEDALEN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36930-2023</t>
        </is>
      </c>
      <c r="B1100" s="1" t="n">
        <v>45154</v>
      </c>
      <c r="C1100" s="1" t="n">
        <v>45354</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36946-2023</t>
        </is>
      </c>
      <c r="B1101" s="1" t="n">
        <v>45154</v>
      </c>
      <c r="C1101" s="1" t="n">
        <v>45354</v>
      </c>
      <c r="D1101" t="inlineStr">
        <is>
          <t>JÄMTLANDS LÄN</t>
        </is>
      </c>
      <c r="E1101" t="inlineStr">
        <is>
          <t>HÄRJEDALEN</t>
        </is>
      </c>
      <c r="F1101" t="inlineStr">
        <is>
          <t>Kyrkan</t>
        </is>
      </c>
      <c r="G1101" t="n">
        <v>43.1</v>
      </c>
      <c r="H1101" t="n">
        <v>0</v>
      </c>
      <c r="I1101" t="n">
        <v>0</v>
      </c>
      <c r="J1101" t="n">
        <v>0</v>
      </c>
      <c r="K1101" t="n">
        <v>0</v>
      </c>
      <c r="L1101" t="n">
        <v>0</v>
      </c>
      <c r="M1101" t="n">
        <v>0</v>
      </c>
      <c r="N1101" t="n">
        <v>0</v>
      </c>
      <c r="O1101" t="n">
        <v>0</v>
      </c>
      <c r="P1101" t="n">
        <v>0</v>
      </c>
      <c r="Q1101" t="n">
        <v>0</v>
      </c>
      <c r="R1101" s="2" t="inlineStr"/>
    </row>
    <row r="1102" ht="15" customHeight="1">
      <c r="A1102" t="inlineStr">
        <is>
          <t>A 36840-2023</t>
        </is>
      </c>
      <c r="B1102" s="1" t="n">
        <v>45154</v>
      </c>
      <c r="C1102" s="1" t="n">
        <v>45354</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c r="U1102">
        <f>HYPERLINK("https://klasma.github.io/Logging_2361/knärot/A 36840-2023 karta knärot.png", "A 36840-2023")</f>
        <v/>
      </c>
      <c r="V1102">
        <f>HYPERLINK("https://klasma.github.io/Logging_2361/klagomål/A 36840-2023 FSC-klagomål.docx", "A 36840-2023")</f>
        <v/>
      </c>
      <c r="W1102">
        <f>HYPERLINK("https://klasma.github.io/Logging_2361/klagomålsmail/A 36840-2023 FSC-klagomål mail.docx", "A 36840-2023")</f>
        <v/>
      </c>
      <c r="X1102">
        <f>HYPERLINK("https://klasma.github.io/Logging_2361/tillsyn/A 36840-2023 tillsynsbegäran.docx", "A 36840-2023")</f>
        <v/>
      </c>
      <c r="Y1102">
        <f>HYPERLINK("https://klasma.github.io/Logging_2361/tillsynsmail/A 36840-2023 tillsynsbegäran mail.docx", "A 36840-2023")</f>
        <v/>
      </c>
    </row>
    <row r="1103" ht="15" customHeight="1">
      <c r="A1103" t="inlineStr">
        <is>
          <t>A 37054-2023</t>
        </is>
      </c>
      <c r="B1103" s="1" t="n">
        <v>45154</v>
      </c>
      <c r="C1103" s="1" t="n">
        <v>45354</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36931-2023</t>
        </is>
      </c>
      <c r="B1104" s="1" t="n">
        <v>45154</v>
      </c>
      <c r="C1104" s="1" t="n">
        <v>45354</v>
      </c>
      <c r="D1104" t="inlineStr">
        <is>
          <t>JÄMTLANDS LÄN</t>
        </is>
      </c>
      <c r="E1104" t="inlineStr">
        <is>
          <t>HÄRJEDALEN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37315-2023</t>
        </is>
      </c>
      <c r="B1105" s="1" t="n">
        <v>45156</v>
      </c>
      <c r="C1105" s="1" t="n">
        <v>45354</v>
      </c>
      <c r="D1105" t="inlineStr">
        <is>
          <t>JÄMTLANDS LÄN</t>
        </is>
      </c>
      <c r="E1105" t="inlineStr">
        <is>
          <t>HÄRJEDALEN</t>
        </is>
      </c>
      <c r="F1105" t="inlineStr">
        <is>
          <t>Bergvik skog väst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37345-2023</t>
        </is>
      </c>
      <c r="B1106" s="1" t="n">
        <v>45156</v>
      </c>
      <c r="C1106" s="1" t="n">
        <v>45354</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37365-2023</t>
        </is>
      </c>
      <c r="B1107" s="1" t="n">
        <v>45156</v>
      </c>
      <c r="C1107" s="1" t="n">
        <v>45354</v>
      </c>
      <c r="D1107" t="inlineStr">
        <is>
          <t>JÄMTLANDS LÄN</t>
        </is>
      </c>
      <c r="E1107" t="inlineStr">
        <is>
          <t>HÄRJEDALEN</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37363-2023</t>
        </is>
      </c>
      <c r="B1108" s="1" t="n">
        <v>45156</v>
      </c>
      <c r="C1108" s="1" t="n">
        <v>45354</v>
      </c>
      <c r="D1108" t="inlineStr">
        <is>
          <t>JÄMTLANDS LÄN</t>
        </is>
      </c>
      <c r="E1108" t="inlineStr">
        <is>
          <t>HÄRJEDALEN</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37638-2023</t>
        </is>
      </c>
      <c r="B1109" s="1" t="n">
        <v>45159</v>
      </c>
      <c r="C1109" s="1" t="n">
        <v>45354</v>
      </c>
      <c r="D1109" t="inlineStr">
        <is>
          <t>JÄMTLANDS LÄN</t>
        </is>
      </c>
      <c r="E1109" t="inlineStr">
        <is>
          <t>HÄRJEDALEN</t>
        </is>
      </c>
      <c r="F1109" t="inlineStr">
        <is>
          <t>Bergvik skog väst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37764-2023</t>
        </is>
      </c>
      <c r="B1110" s="1" t="n">
        <v>45159</v>
      </c>
      <c r="C1110" s="1" t="n">
        <v>45354</v>
      </c>
      <c r="D1110" t="inlineStr">
        <is>
          <t>JÄMTLANDS LÄN</t>
        </is>
      </c>
      <c r="E1110" t="inlineStr">
        <is>
          <t>HÄRJEDALEN</t>
        </is>
      </c>
      <c r="F1110" t="inlineStr">
        <is>
          <t>Bergvik skog väst AB</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37715-2023</t>
        </is>
      </c>
      <c r="B1111" s="1" t="n">
        <v>45159</v>
      </c>
      <c r="C1111" s="1" t="n">
        <v>45354</v>
      </c>
      <c r="D1111" t="inlineStr">
        <is>
          <t>JÄMTLANDS LÄN</t>
        </is>
      </c>
      <c r="E1111" t="inlineStr">
        <is>
          <t>HÄRJEDALEN</t>
        </is>
      </c>
      <c r="G1111" t="n">
        <v>23.3</v>
      </c>
      <c r="H1111" t="n">
        <v>0</v>
      </c>
      <c r="I1111" t="n">
        <v>0</v>
      </c>
      <c r="J1111" t="n">
        <v>0</v>
      </c>
      <c r="K1111" t="n">
        <v>0</v>
      </c>
      <c r="L1111" t="n">
        <v>0</v>
      </c>
      <c r="M1111" t="n">
        <v>0</v>
      </c>
      <c r="N1111" t="n">
        <v>0</v>
      </c>
      <c r="O1111" t="n">
        <v>0</v>
      </c>
      <c r="P1111" t="n">
        <v>0</v>
      </c>
      <c r="Q1111" t="n">
        <v>0</v>
      </c>
      <c r="R1111" s="2" t="inlineStr"/>
    </row>
    <row r="1112" ht="15" customHeight="1">
      <c r="A1112" t="inlineStr">
        <is>
          <t>A 37719-2023</t>
        </is>
      </c>
      <c r="B1112" s="1" t="n">
        <v>45159</v>
      </c>
      <c r="C1112" s="1" t="n">
        <v>45354</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37747-2023</t>
        </is>
      </c>
      <c r="B1113" s="1" t="n">
        <v>45159</v>
      </c>
      <c r="C1113" s="1" t="n">
        <v>45354</v>
      </c>
      <c r="D1113" t="inlineStr">
        <is>
          <t>JÄMTLANDS LÄN</t>
        </is>
      </c>
      <c r="E1113" t="inlineStr">
        <is>
          <t>HÄRJEDALEN</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37762-2023</t>
        </is>
      </c>
      <c r="B1114" s="1" t="n">
        <v>45159</v>
      </c>
      <c r="C1114" s="1" t="n">
        <v>45354</v>
      </c>
      <c r="D1114" t="inlineStr">
        <is>
          <t>JÄMTLANDS LÄN</t>
        </is>
      </c>
      <c r="E1114" t="inlineStr">
        <is>
          <t>HÄRJEDALEN</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38683-2023</t>
        </is>
      </c>
      <c r="B1115" s="1" t="n">
        <v>45162</v>
      </c>
      <c r="C1115" s="1" t="n">
        <v>45354</v>
      </c>
      <c r="D1115" t="inlineStr">
        <is>
          <t>JÄMTLANDS LÄN</t>
        </is>
      </c>
      <c r="E1115" t="inlineStr">
        <is>
          <t>HÄRJEDALEN</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38929-2023</t>
        </is>
      </c>
      <c r="B1116" s="1" t="n">
        <v>45163</v>
      </c>
      <c r="C1116" s="1" t="n">
        <v>45354</v>
      </c>
      <c r="D1116" t="inlineStr">
        <is>
          <t>JÄMTLANDS LÄN</t>
        </is>
      </c>
      <c r="E1116" t="inlineStr">
        <is>
          <t>HÄRJEDALEN</t>
        </is>
      </c>
      <c r="G1116" t="n">
        <v>23.1</v>
      </c>
      <c r="H1116" t="n">
        <v>0</v>
      </c>
      <c r="I1116" t="n">
        <v>0</v>
      </c>
      <c r="J1116" t="n">
        <v>0</v>
      </c>
      <c r="K1116" t="n">
        <v>0</v>
      </c>
      <c r="L1116" t="n">
        <v>0</v>
      </c>
      <c r="M1116" t="n">
        <v>0</v>
      </c>
      <c r="N1116" t="n">
        <v>0</v>
      </c>
      <c r="O1116" t="n">
        <v>0</v>
      </c>
      <c r="P1116" t="n">
        <v>0</v>
      </c>
      <c r="Q1116" t="n">
        <v>0</v>
      </c>
      <c r="R1116" s="2" t="inlineStr"/>
    </row>
    <row r="1117" ht="15" customHeight="1">
      <c r="A1117" t="inlineStr">
        <is>
          <t>A 39158-2023</t>
        </is>
      </c>
      <c r="B1117" s="1" t="n">
        <v>45166</v>
      </c>
      <c r="C1117" s="1" t="n">
        <v>45354</v>
      </c>
      <c r="D1117" t="inlineStr">
        <is>
          <t>JÄMTLANDS LÄN</t>
        </is>
      </c>
      <c r="E1117" t="inlineStr">
        <is>
          <t>HÄRJEDALEN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39355-2023</t>
        </is>
      </c>
      <c r="B1118" s="1" t="n">
        <v>45166</v>
      </c>
      <c r="C1118" s="1" t="n">
        <v>45354</v>
      </c>
      <c r="D1118" t="inlineStr">
        <is>
          <t>JÄMTLANDS LÄN</t>
        </is>
      </c>
      <c r="E1118" t="inlineStr">
        <is>
          <t>HÄRJEDALEN</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39614-2023</t>
        </is>
      </c>
      <c r="B1119" s="1" t="n">
        <v>45167</v>
      </c>
      <c r="C1119" s="1" t="n">
        <v>45354</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39612-2023</t>
        </is>
      </c>
      <c r="B1120" s="1" t="n">
        <v>45167</v>
      </c>
      <c r="C1120" s="1" t="n">
        <v>45354</v>
      </c>
      <c r="D1120" t="inlineStr">
        <is>
          <t>JÄMTLANDS LÄN</t>
        </is>
      </c>
      <c r="E1120" t="inlineStr">
        <is>
          <t>HÄRJEDALEN</t>
        </is>
      </c>
      <c r="F1120" t="inlineStr">
        <is>
          <t>Bergvik skog väst AB</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39649-2023</t>
        </is>
      </c>
      <c r="B1121" s="1" t="n">
        <v>45167</v>
      </c>
      <c r="C1121" s="1" t="n">
        <v>45354</v>
      </c>
      <c r="D1121" t="inlineStr">
        <is>
          <t>JÄMTLANDS LÄN</t>
        </is>
      </c>
      <c r="E1121" t="inlineStr">
        <is>
          <t>HÄRJEDALEN</t>
        </is>
      </c>
      <c r="F1121" t="inlineStr">
        <is>
          <t>Bergvik skog väst AB</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40215-2023</t>
        </is>
      </c>
      <c r="B1122" s="1" t="n">
        <v>45169</v>
      </c>
      <c r="C1122" s="1" t="n">
        <v>45354</v>
      </c>
      <c r="D1122" t="inlineStr">
        <is>
          <t>JÄMTLANDS LÄN</t>
        </is>
      </c>
      <c r="E1122" t="inlineStr">
        <is>
          <t>HÄRJEDALEN</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40217-2023</t>
        </is>
      </c>
      <c r="B1123" s="1" t="n">
        <v>45169</v>
      </c>
      <c r="C1123" s="1" t="n">
        <v>45354</v>
      </c>
      <c r="D1123" t="inlineStr">
        <is>
          <t>JÄMTLANDS LÄN</t>
        </is>
      </c>
      <c r="E1123" t="inlineStr">
        <is>
          <t>HÄRJEDALEN</t>
        </is>
      </c>
      <c r="G1123" t="n">
        <v>23.5</v>
      </c>
      <c r="H1123" t="n">
        <v>0</v>
      </c>
      <c r="I1123" t="n">
        <v>0</v>
      </c>
      <c r="J1123" t="n">
        <v>0</v>
      </c>
      <c r="K1123" t="n">
        <v>0</v>
      </c>
      <c r="L1123" t="n">
        <v>0</v>
      </c>
      <c r="M1123" t="n">
        <v>0</v>
      </c>
      <c r="N1123" t="n">
        <v>0</v>
      </c>
      <c r="O1123" t="n">
        <v>0</v>
      </c>
      <c r="P1123" t="n">
        <v>0</v>
      </c>
      <c r="Q1123" t="n">
        <v>0</v>
      </c>
      <c r="R1123" s="2" t="inlineStr"/>
    </row>
    <row r="1124" ht="15" customHeight="1">
      <c r="A1124" t="inlineStr">
        <is>
          <t>A 40560-2023</t>
        </is>
      </c>
      <c r="B1124" s="1" t="n">
        <v>45170</v>
      </c>
      <c r="C1124" s="1" t="n">
        <v>45354</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40569-2023</t>
        </is>
      </c>
      <c r="B1125" s="1" t="n">
        <v>45170</v>
      </c>
      <c r="C1125" s="1" t="n">
        <v>45354</v>
      </c>
      <c r="D1125" t="inlineStr">
        <is>
          <t>JÄMTLANDS LÄN</t>
        </is>
      </c>
      <c r="E1125" t="inlineStr">
        <is>
          <t>HÄRJEDALEN</t>
        </is>
      </c>
      <c r="F1125" t="inlineStr">
        <is>
          <t>Holmen skog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40578-2023</t>
        </is>
      </c>
      <c r="B1126" s="1" t="n">
        <v>45170</v>
      </c>
      <c r="C1126" s="1" t="n">
        <v>45354</v>
      </c>
      <c r="D1126" t="inlineStr">
        <is>
          <t>JÄMTLANDS LÄN</t>
        </is>
      </c>
      <c r="E1126" t="inlineStr">
        <is>
          <t>HÄRJEDALEN</t>
        </is>
      </c>
      <c r="F1126" t="inlineStr">
        <is>
          <t>Holmen skog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40664-2023</t>
        </is>
      </c>
      <c r="B1127" s="1" t="n">
        <v>45170</v>
      </c>
      <c r="C1127" s="1" t="n">
        <v>45354</v>
      </c>
      <c r="D1127" t="inlineStr">
        <is>
          <t>JÄMTLANDS LÄN</t>
        </is>
      </c>
      <c r="E1127" t="inlineStr">
        <is>
          <t>HÄRJEDALEN</t>
        </is>
      </c>
      <c r="G1127" t="n">
        <v>65.3</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v>
      </c>
      <c r="C1128" s="1" t="n">
        <v>45354</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40573-2023</t>
        </is>
      </c>
      <c r="B1129" s="1" t="n">
        <v>45170</v>
      </c>
      <c r="C1129" s="1" t="n">
        <v>45354</v>
      </c>
      <c r="D1129" t="inlineStr">
        <is>
          <t>JÄMTLANDS LÄN</t>
        </is>
      </c>
      <c r="E1129" t="inlineStr">
        <is>
          <t>HÄRJEDALEN</t>
        </is>
      </c>
      <c r="F1129" t="inlineStr">
        <is>
          <t>Holmen skog AB</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40900-2023</t>
        </is>
      </c>
      <c r="B1130" s="1" t="n">
        <v>45173</v>
      </c>
      <c r="C1130" s="1" t="n">
        <v>45354</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40904-2023</t>
        </is>
      </c>
      <c r="B1131" s="1" t="n">
        <v>45173</v>
      </c>
      <c r="C1131" s="1" t="n">
        <v>45354</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41058-2023</t>
        </is>
      </c>
      <c r="B1132" s="1" t="n">
        <v>45173</v>
      </c>
      <c r="C1132" s="1" t="n">
        <v>45354</v>
      </c>
      <c r="D1132" t="inlineStr">
        <is>
          <t>JÄMTLANDS LÄN</t>
        </is>
      </c>
      <c r="E1132" t="inlineStr">
        <is>
          <t>HÄRJEDALEN</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41094-2023</t>
        </is>
      </c>
      <c r="B1133" s="1" t="n">
        <v>45173</v>
      </c>
      <c r="C1133" s="1" t="n">
        <v>45354</v>
      </c>
      <c r="D1133" t="inlineStr">
        <is>
          <t>JÄMTLANDS LÄN</t>
        </is>
      </c>
      <c r="E1133" t="inlineStr">
        <is>
          <t>HÄRJEDALEN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41955-2023</t>
        </is>
      </c>
      <c r="B1134" s="1" t="n">
        <v>45174</v>
      </c>
      <c r="C1134" s="1" t="n">
        <v>45354</v>
      </c>
      <c r="D1134" t="inlineStr">
        <is>
          <t>JÄMTLANDS LÄN</t>
        </is>
      </c>
      <c r="E1134" t="inlineStr">
        <is>
          <t>HÄRJEDALEN</t>
        </is>
      </c>
      <c r="G1134" t="n">
        <v>60.4</v>
      </c>
      <c r="H1134" t="n">
        <v>0</v>
      </c>
      <c r="I1134" t="n">
        <v>0</v>
      </c>
      <c r="J1134" t="n">
        <v>0</v>
      </c>
      <c r="K1134" t="n">
        <v>0</v>
      </c>
      <c r="L1134" t="n">
        <v>0</v>
      </c>
      <c r="M1134" t="n">
        <v>0</v>
      </c>
      <c r="N1134" t="n">
        <v>0</v>
      </c>
      <c r="O1134" t="n">
        <v>0</v>
      </c>
      <c r="P1134" t="n">
        <v>0</v>
      </c>
      <c r="Q1134" t="n">
        <v>0</v>
      </c>
      <c r="R1134" s="2" t="inlineStr"/>
    </row>
    <row r="1135" ht="15" customHeight="1">
      <c r="A1135" t="inlineStr">
        <is>
          <t>A 41555-2023</t>
        </is>
      </c>
      <c r="B1135" s="1" t="n">
        <v>45175</v>
      </c>
      <c r="C1135" s="1" t="n">
        <v>45354</v>
      </c>
      <c r="D1135" t="inlineStr">
        <is>
          <t>JÄMTLANDS LÄN</t>
        </is>
      </c>
      <c r="E1135" t="inlineStr">
        <is>
          <t>HÄRJEDALEN</t>
        </is>
      </c>
      <c r="F1135" t="inlineStr">
        <is>
          <t>Bergvik skog väst AB</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42146-2023</t>
        </is>
      </c>
      <c r="B1136" s="1" t="n">
        <v>45178</v>
      </c>
      <c r="C1136" s="1" t="n">
        <v>45354</v>
      </c>
      <c r="D1136" t="inlineStr">
        <is>
          <t>JÄMTLANDS LÄN</t>
        </is>
      </c>
      <c r="E1136" t="inlineStr">
        <is>
          <t>HÄRJEDALEN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42143-2023</t>
        </is>
      </c>
      <c r="B1137" s="1" t="n">
        <v>45178</v>
      </c>
      <c r="C1137" s="1" t="n">
        <v>45354</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43192-2023</t>
        </is>
      </c>
      <c r="B1138" s="1" t="n">
        <v>45180</v>
      </c>
      <c r="C1138" s="1" t="n">
        <v>45354</v>
      </c>
      <c r="D1138" t="inlineStr">
        <is>
          <t>JÄMTLANDS LÄN</t>
        </is>
      </c>
      <c r="E1138" t="inlineStr">
        <is>
          <t>HÄRJEDALEN</t>
        </is>
      </c>
      <c r="F1138" t="inlineStr">
        <is>
          <t>Övriga Aktiebolag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43211-2023</t>
        </is>
      </c>
      <c r="B1139" s="1" t="n">
        <v>45180</v>
      </c>
      <c r="C1139" s="1" t="n">
        <v>45354</v>
      </c>
      <c r="D1139" t="inlineStr">
        <is>
          <t>JÄMTLANDS LÄN</t>
        </is>
      </c>
      <c r="E1139" t="inlineStr">
        <is>
          <t>HÄRJEDALEN</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42720-2023</t>
        </is>
      </c>
      <c r="B1140" s="1" t="n">
        <v>45181</v>
      </c>
      <c r="C1140" s="1" t="n">
        <v>45354</v>
      </c>
      <c r="D1140" t="inlineStr">
        <is>
          <t>JÄMTLANDS LÄN</t>
        </is>
      </c>
      <c r="E1140" t="inlineStr">
        <is>
          <t>HÄRJEDALEN</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43503-2023</t>
        </is>
      </c>
      <c r="B1141" s="1" t="n">
        <v>45184</v>
      </c>
      <c r="C1141" s="1" t="n">
        <v>45354</v>
      </c>
      <c r="D1141" t="inlineStr">
        <is>
          <t>JÄMTLANDS LÄN</t>
        </is>
      </c>
      <c r="E1141" t="inlineStr">
        <is>
          <t>HÄRJEDALEN</t>
        </is>
      </c>
      <c r="F1141" t="inlineStr">
        <is>
          <t>Bergvik skog väst AB</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43481-2023</t>
        </is>
      </c>
      <c r="B1142" s="1" t="n">
        <v>45184</v>
      </c>
      <c r="C1142" s="1" t="n">
        <v>45354</v>
      </c>
      <c r="D1142" t="inlineStr">
        <is>
          <t>JÄMTLANDS LÄN</t>
        </is>
      </c>
      <c r="E1142" t="inlineStr">
        <is>
          <t>HÄRJEDALEN</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43870-2023</t>
        </is>
      </c>
      <c r="B1143" s="1" t="n">
        <v>45187</v>
      </c>
      <c r="C1143" s="1" t="n">
        <v>45354</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43804-2023</t>
        </is>
      </c>
      <c r="B1144" s="1" t="n">
        <v>45187</v>
      </c>
      <c r="C1144" s="1" t="n">
        <v>45354</v>
      </c>
      <c r="D1144" t="inlineStr">
        <is>
          <t>JÄMTLANDS LÄN</t>
        </is>
      </c>
      <c r="E1144" t="inlineStr">
        <is>
          <t>HÄRJEDALEN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43811-2023</t>
        </is>
      </c>
      <c r="B1145" s="1" t="n">
        <v>45187</v>
      </c>
      <c r="C1145" s="1" t="n">
        <v>45354</v>
      </c>
      <c r="D1145" t="inlineStr">
        <is>
          <t>JÄMTLANDS LÄN</t>
        </is>
      </c>
      <c r="E1145" t="inlineStr">
        <is>
          <t>HÄRJEDALEN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43820-2023</t>
        </is>
      </c>
      <c r="B1146" s="1" t="n">
        <v>45187</v>
      </c>
      <c r="C1146" s="1" t="n">
        <v>45354</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44102-2023</t>
        </is>
      </c>
      <c r="B1147" s="1" t="n">
        <v>45188</v>
      </c>
      <c r="C1147" s="1" t="n">
        <v>45354</v>
      </c>
      <c r="D1147" t="inlineStr">
        <is>
          <t>JÄMTLANDS LÄN</t>
        </is>
      </c>
      <c r="E1147" t="inlineStr">
        <is>
          <t>HÄRJEDALEN</t>
        </is>
      </c>
      <c r="F1147" t="inlineStr">
        <is>
          <t>Bergvik skog väst AB</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44270-2023</t>
        </is>
      </c>
      <c r="B1148" s="1" t="n">
        <v>45188</v>
      </c>
      <c r="C1148" s="1" t="n">
        <v>45354</v>
      </c>
      <c r="D1148" t="inlineStr">
        <is>
          <t>JÄMTLANDS LÄN</t>
        </is>
      </c>
      <c r="E1148" t="inlineStr">
        <is>
          <t>HÄRJEDALEN</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45640-2023</t>
        </is>
      </c>
      <c r="B1149" s="1" t="n">
        <v>45188</v>
      </c>
      <c r="C1149" s="1" t="n">
        <v>45354</v>
      </c>
      <c r="D1149" t="inlineStr">
        <is>
          <t>JÄMTLANDS LÄN</t>
        </is>
      </c>
      <c r="E1149" t="inlineStr">
        <is>
          <t>HÄRJEDALEN</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45179-2023</t>
        </is>
      </c>
      <c r="B1150" s="1" t="n">
        <v>45191</v>
      </c>
      <c r="C1150" s="1" t="n">
        <v>45354</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45143-2023</t>
        </is>
      </c>
      <c r="B1151" s="1" t="n">
        <v>45191</v>
      </c>
      <c r="C1151" s="1" t="n">
        <v>45354</v>
      </c>
      <c r="D1151" t="inlineStr">
        <is>
          <t>JÄMTLANDS LÄN</t>
        </is>
      </c>
      <c r="E1151" t="inlineStr">
        <is>
          <t>HÄRJEDALEN</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45274-2023</t>
        </is>
      </c>
      <c r="B1152" s="1" t="n">
        <v>45191</v>
      </c>
      <c r="C1152" s="1" t="n">
        <v>45354</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45491-2023</t>
        </is>
      </c>
      <c r="B1153" s="1" t="n">
        <v>45194</v>
      </c>
      <c r="C1153" s="1" t="n">
        <v>45354</v>
      </c>
      <c r="D1153" t="inlineStr">
        <is>
          <t>JÄMTLANDS LÄN</t>
        </is>
      </c>
      <c r="E1153" t="inlineStr">
        <is>
          <t>HÄRJEDALEN</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45495-2023</t>
        </is>
      </c>
      <c r="B1154" s="1" t="n">
        <v>45194</v>
      </c>
      <c r="C1154" s="1" t="n">
        <v>45354</v>
      </c>
      <c r="D1154" t="inlineStr">
        <is>
          <t>JÄMTLANDS LÄN</t>
        </is>
      </c>
      <c r="E1154" t="inlineStr">
        <is>
          <t>HÄRJEDALEN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45613-2023</t>
        </is>
      </c>
      <c r="B1155" s="1" t="n">
        <v>45194</v>
      </c>
      <c r="C1155" s="1" t="n">
        <v>45354</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45636-2023</t>
        </is>
      </c>
      <c r="B1156" s="1" t="n">
        <v>45194</v>
      </c>
      <c r="C1156" s="1" t="n">
        <v>45354</v>
      </c>
      <c r="D1156" t="inlineStr">
        <is>
          <t>JÄMTLANDS LÄN</t>
        </is>
      </c>
      <c r="E1156" t="inlineStr">
        <is>
          <t>HÄRJEDALEN</t>
        </is>
      </c>
      <c r="F1156" t="inlineStr">
        <is>
          <t>Bergvik skog väst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45616-2023</t>
        </is>
      </c>
      <c r="B1157" s="1" t="n">
        <v>45194</v>
      </c>
      <c r="C1157" s="1" t="n">
        <v>45354</v>
      </c>
      <c r="D1157" t="inlineStr">
        <is>
          <t>JÄMTLANDS LÄN</t>
        </is>
      </c>
      <c r="E1157" t="inlineStr">
        <is>
          <t>HÄRJEDALEN</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45684-2023</t>
        </is>
      </c>
      <c r="B1158" s="1" t="n">
        <v>45195</v>
      </c>
      <c r="C1158" s="1" t="n">
        <v>45354</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45716-2023</t>
        </is>
      </c>
      <c r="B1159" s="1" t="n">
        <v>45195</v>
      </c>
      <c r="C1159" s="1" t="n">
        <v>45354</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45720-2023</t>
        </is>
      </c>
      <c r="B1160" s="1" t="n">
        <v>45195</v>
      </c>
      <c r="C1160" s="1" t="n">
        <v>45354</v>
      </c>
      <c r="D1160" t="inlineStr">
        <is>
          <t>JÄMTLANDS LÄN</t>
        </is>
      </c>
      <c r="E1160" t="inlineStr">
        <is>
          <t>HÄRJEDALEN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45747-2023</t>
        </is>
      </c>
      <c r="B1161" s="1" t="n">
        <v>45195</v>
      </c>
      <c r="C1161" s="1" t="n">
        <v>45354</v>
      </c>
      <c r="D1161" t="inlineStr">
        <is>
          <t>JÄMTLANDS LÄN</t>
        </is>
      </c>
      <c r="E1161" t="inlineStr">
        <is>
          <t>HÄRJEDALEN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45864-2023</t>
        </is>
      </c>
      <c r="B1162" s="1" t="n">
        <v>45195</v>
      </c>
      <c r="C1162" s="1" t="n">
        <v>45354</v>
      </c>
      <c r="D1162" t="inlineStr">
        <is>
          <t>JÄMTLANDS LÄN</t>
        </is>
      </c>
      <c r="E1162" t="inlineStr">
        <is>
          <t>HÄRJEDALEN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45843-2023</t>
        </is>
      </c>
      <c r="B1163" s="1" t="n">
        <v>45195</v>
      </c>
      <c r="C1163" s="1" t="n">
        <v>45354</v>
      </c>
      <c r="D1163" t="inlineStr">
        <is>
          <t>JÄMTLANDS LÄN</t>
        </is>
      </c>
      <c r="E1163" t="inlineStr">
        <is>
          <t>HÄRJEDALEN</t>
        </is>
      </c>
      <c r="G1163" t="n">
        <v>19.5</v>
      </c>
      <c r="H1163" t="n">
        <v>0</v>
      </c>
      <c r="I1163" t="n">
        <v>0</v>
      </c>
      <c r="J1163" t="n">
        <v>0</v>
      </c>
      <c r="K1163" t="n">
        <v>0</v>
      </c>
      <c r="L1163" t="n">
        <v>0</v>
      </c>
      <c r="M1163" t="n">
        <v>0</v>
      </c>
      <c r="N1163" t="n">
        <v>0</v>
      </c>
      <c r="O1163" t="n">
        <v>0</v>
      </c>
      <c r="P1163" t="n">
        <v>0</v>
      </c>
      <c r="Q1163" t="n">
        <v>0</v>
      </c>
      <c r="R1163" s="2" t="inlineStr"/>
    </row>
    <row r="1164" ht="15" customHeight="1">
      <c r="A1164" t="inlineStr">
        <is>
          <t>A 45999-2023</t>
        </is>
      </c>
      <c r="B1164" s="1" t="n">
        <v>45196</v>
      </c>
      <c r="C1164" s="1" t="n">
        <v>45354</v>
      </c>
      <c r="D1164" t="inlineStr">
        <is>
          <t>JÄMTLANDS LÄN</t>
        </is>
      </c>
      <c r="E1164" t="inlineStr">
        <is>
          <t>HÄRJEDALEN</t>
        </is>
      </c>
      <c r="F1164" t="inlineStr">
        <is>
          <t>Bergvik skog väst AB</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46383-2023</t>
        </is>
      </c>
      <c r="B1165" s="1" t="n">
        <v>45197</v>
      </c>
      <c r="C1165" s="1" t="n">
        <v>45354</v>
      </c>
      <c r="D1165" t="inlineStr">
        <is>
          <t>JÄMTLANDS LÄN</t>
        </is>
      </c>
      <c r="E1165" t="inlineStr">
        <is>
          <t>HÄRJEDALEN</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46394-2023</t>
        </is>
      </c>
      <c r="B1166" s="1" t="n">
        <v>45197</v>
      </c>
      <c r="C1166" s="1" t="n">
        <v>45354</v>
      </c>
      <c r="D1166" t="inlineStr">
        <is>
          <t>JÄMTLANDS LÄN</t>
        </is>
      </c>
      <c r="E1166" t="inlineStr">
        <is>
          <t>HÄRJEDALEN</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46633-2023</t>
        </is>
      </c>
      <c r="B1167" s="1" t="n">
        <v>45198</v>
      </c>
      <c r="C1167" s="1" t="n">
        <v>45354</v>
      </c>
      <c r="D1167" t="inlineStr">
        <is>
          <t>JÄMTLANDS LÄN</t>
        </is>
      </c>
      <c r="E1167" t="inlineStr">
        <is>
          <t>HÄRJEDALEN</t>
        </is>
      </c>
      <c r="F1167" t="inlineStr">
        <is>
          <t>Bergvik skog väst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45354</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45354</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45354</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45354</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45354</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45354</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45354</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45354</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45354</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45354</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45354</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45354</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45354</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45354</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45354</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45354</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45354</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45354</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45354</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45354</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45354</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45354</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45354</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45354</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45354</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45354</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45354</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45354</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45354</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45354</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45354</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45354</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45354</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45354</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45354</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45354</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45354</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45354</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45354</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45354</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45354</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45354</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45354</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45354</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45354</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45354</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45354</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45354</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45354</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45354</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45354</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45354</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45354</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45354</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45354</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45354</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45354</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45354</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45354</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45354</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45354</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45354</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45354</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45354</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45354</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45354</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45354</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45354</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45354</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45354</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45354</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45354</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45354</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45354</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56483-2023</t>
        </is>
      </c>
      <c r="B1242" s="1" t="n">
        <v>45243</v>
      </c>
      <c r="C1242" s="1" t="n">
        <v>45354</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45354</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45354</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45354</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45354</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45354</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45354</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45354</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45354</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45354</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45354</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45354</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45354</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45354</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45354</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45354</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45354</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45354</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45354</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45354</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45354</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45354</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45354</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45354</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45354</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45354</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45354</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60521-2023</t>
        </is>
      </c>
      <c r="B1269" s="1" t="n">
        <v>45259</v>
      </c>
      <c r="C1269" s="1" t="n">
        <v>45354</v>
      </c>
      <c r="D1269" t="inlineStr">
        <is>
          <t>JÄMTLANDS LÄN</t>
        </is>
      </c>
      <c r="E1269" t="inlineStr">
        <is>
          <t>HÄRJEDALEN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45354</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45354</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45354</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45354</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45354</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45354</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45354</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45354</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45354</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45354</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45354</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45354</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45354</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45354</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45354</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45354</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64484-2023</t>
        </is>
      </c>
      <c r="B1286" s="1" t="n">
        <v>45280</v>
      </c>
      <c r="C1286" s="1" t="n">
        <v>45354</v>
      </c>
      <c r="D1286" t="inlineStr">
        <is>
          <t>JÄMTLANDS LÄN</t>
        </is>
      </c>
      <c r="E1286" t="inlineStr">
        <is>
          <t>HÄRJEDALEN</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45354</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45354</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45354</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45354</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45354</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45354</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45354</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45354</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45354</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45354</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45354</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45354</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45354</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45354</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45354</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45354</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45354</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45354</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2066-2024</t>
        </is>
      </c>
      <c r="B1305" s="1" t="n">
        <v>45308</v>
      </c>
      <c r="C1305" s="1" t="n">
        <v>45354</v>
      </c>
      <c r="D1305" t="inlineStr">
        <is>
          <t>JÄMTLANDS LÄN</t>
        </is>
      </c>
      <c r="E1305" t="inlineStr">
        <is>
          <t>HÄRJEDALEN</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45354</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45354</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45354</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5912-2024</t>
        </is>
      </c>
      <c r="B1309" s="1" t="n">
        <v>45335</v>
      </c>
      <c r="C1309" s="1" t="n">
        <v>45354</v>
      </c>
      <c r="D1309" t="inlineStr">
        <is>
          <t>JÄMTLANDS LÄN</t>
        </is>
      </c>
      <c r="E1309" t="inlineStr">
        <is>
          <t>HÄRJEDALEN</t>
        </is>
      </c>
      <c r="G1309" t="n">
        <v>39.3</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45354</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45354</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45354</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6304-2024</t>
        </is>
      </c>
      <c r="B1313" s="1" t="n">
        <v>45338</v>
      </c>
      <c r="C1313" s="1" t="n">
        <v>45354</v>
      </c>
      <c r="D1313" t="inlineStr">
        <is>
          <t>JÄMTLANDS LÄN</t>
        </is>
      </c>
      <c r="E1313" t="inlineStr">
        <is>
          <t>HÄRJEDALEN</t>
        </is>
      </c>
      <c r="F1313" t="inlineStr">
        <is>
          <t>Bergvik skog väst AB</t>
        </is>
      </c>
      <c r="G1313" t="n">
        <v>23.5</v>
      </c>
      <c r="H1313" t="n">
        <v>0</v>
      </c>
      <c r="I1313" t="n">
        <v>0</v>
      </c>
      <c r="J1313" t="n">
        <v>0</v>
      </c>
      <c r="K1313" t="n">
        <v>0</v>
      </c>
      <c r="L1313" t="n">
        <v>0</v>
      </c>
      <c r="M1313" t="n">
        <v>0</v>
      </c>
      <c r="N1313" t="n">
        <v>0</v>
      </c>
      <c r="O1313" t="n">
        <v>0</v>
      </c>
      <c r="P1313" t="n">
        <v>0</v>
      </c>
      <c r="Q1313" t="n">
        <v>0</v>
      </c>
      <c r="R1313" s="2" t="inlineStr"/>
    </row>
    <row r="1314" ht="15" customHeight="1">
      <c r="A1314" t="inlineStr">
        <is>
          <t>A 6313-2024</t>
        </is>
      </c>
      <c r="B1314" s="1" t="n">
        <v>45338</v>
      </c>
      <c r="C1314" s="1" t="n">
        <v>45354</v>
      </c>
      <c r="D1314" t="inlineStr">
        <is>
          <t>JÄMTLANDS LÄN</t>
        </is>
      </c>
      <c r="E1314" t="inlineStr">
        <is>
          <t>HÄRJEDALEN</t>
        </is>
      </c>
      <c r="F1314" t="inlineStr">
        <is>
          <t>Bergvik skog väst AB</t>
        </is>
      </c>
      <c r="G1314" t="n">
        <v>60.7</v>
      </c>
      <c r="H1314" t="n">
        <v>0</v>
      </c>
      <c r="I1314" t="n">
        <v>0</v>
      </c>
      <c r="J1314" t="n">
        <v>0</v>
      </c>
      <c r="K1314" t="n">
        <v>0</v>
      </c>
      <c r="L1314" t="n">
        <v>0</v>
      </c>
      <c r="M1314" t="n">
        <v>0</v>
      </c>
      <c r="N1314" t="n">
        <v>0</v>
      </c>
      <c r="O1314" t="n">
        <v>0</v>
      </c>
      <c r="P1314" t="n">
        <v>0</v>
      </c>
      <c r="Q1314" t="n">
        <v>0</v>
      </c>
      <c r="R1314" s="2" t="inlineStr"/>
    </row>
    <row r="1315" ht="15" customHeight="1">
      <c r="A1315" t="inlineStr">
        <is>
          <t>A 7205-2024</t>
        </is>
      </c>
      <c r="B1315" s="1" t="n">
        <v>45344</v>
      </c>
      <c r="C1315" s="1" t="n">
        <v>45354</v>
      </c>
      <c r="D1315" t="inlineStr">
        <is>
          <t>JÄMTLANDS LÄN</t>
        </is>
      </c>
      <c r="E1315" t="inlineStr">
        <is>
          <t>HÄRJEDALEN</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7199-2024</t>
        </is>
      </c>
      <c r="B1316" s="1" t="n">
        <v>45344</v>
      </c>
      <c r="C1316" s="1" t="n">
        <v>45354</v>
      </c>
      <c r="D1316" t="inlineStr">
        <is>
          <t>JÄMTLANDS LÄN</t>
        </is>
      </c>
      <c r="E1316" t="inlineStr">
        <is>
          <t>HÄRJEDALEN</t>
        </is>
      </c>
      <c r="F1316" t="inlineStr">
        <is>
          <t>Holmen skog AB</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7235-2024</t>
        </is>
      </c>
      <c r="B1317" s="1" t="n">
        <v>45344</v>
      </c>
      <c r="C1317" s="1" t="n">
        <v>45354</v>
      </c>
      <c r="D1317" t="inlineStr">
        <is>
          <t>JÄMTLANDS LÄN</t>
        </is>
      </c>
      <c r="E1317" t="inlineStr">
        <is>
          <t>HÄRJEDALEN</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7239-2024</t>
        </is>
      </c>
      <c r="B1318" s="1" t="n">
        <v>45344</v>
      </c>
      <c r="C1318" s="1" t="n">
        <v>45354</v>
      </c>
      <c r="D1318" t="inlineStr">
        <is>
          <t>JÄMTLANDS LÄN</t>
        </is>
      </c>
      <c r="E1318" t="inlineStr">
        <is>
          <t>HÄRJEDALEN</t>
        </is>
      </c>
      <c r="F1318" t="inlineStr">
        <is>
          <t>Holmen skog AB</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7243-2024</t>
        </is>
      </c>
      <c r="B1319" s="1" t="n">
        <v>45344</v>
      </c>
      <c r="C1319" s="1" t="n">
        <v>45354</v>
      </c>
      <c r="D1319" t="inlineStr">
        <is>
          <t>JÄMTLANDS LÄN</t>
        </is>
      </c>
      <c r="E1319" t="inlineStr">
        <is>
          <t>HÄRJEDALEN</t>
        </is>
      </c>
      <c r="F1319" t="inlineStr">
        <is>
          <t>Holmen skog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7200-2024</t>
        </is>
      </c>
      <c r="B1320" s="1" t="n">
        <v>45344</v>
      </c>
      <c r="C1320" s="1" t="n">
        <v>45354</v>
      </c>
      <c r="D1320" t="inlineStr">
        <is>
          <t>JÄMTLANDS LÄN</t>
        </is>
      </c>
      <c r="E1320" t="inlineStr">
        <is>
          <t>HÄRJEDALEN</t>
        </is>
      </c>
      <c r="F1320" t="inlineStr">
        <is>
          <t>Holmen skog AB</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7392-2024</t>
        </is>
      </c>
      <c r="B1321" s="1" t="n">
        <v>45345</v>
      </c>
      <c r="C1321" s="1" t="n">
        <v>45354</v>
      </c>
      <c r="D1321" t="inlineStr">
        <is>
          <t>JÄMTLANDS LÄN</t>
        </is>
      </c>
      <c r="E1321" t="inlineStr">
        <is>
          <t>HÄRJEDALEN</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7396-2024</t>
        </is>
      </c>
      <c r="B1322" s="1" t="n">
        <v>45345</v>
      </c>
      <c r="C1322" s="1" t="n">
        <v>45354</v>
      </c>
      <c r="D1322" t="inlineStr">
        <is>
          <t>JÄMTLANDS LÄN</t>
        </is>
      </c>
      <c r="E1322" t="inlineStr">
        <is>
          <t>HÄRJEDALEN</t>
        </is>
      </c>
      <c r="F1322" t="inlineStr">
        <is>
          <t>Holmen skog AB</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7311-2024</t>
        </is>
      </c>
      <c r="B1323" s="1" t="n">
        <v>45345</v>
      </c>
      <c r="C1323" s="1" t="n">
        <v>45354</v>
      </c>
      <c r="D1323" t="inlineStr">
        <is>
          <t>JÄMTLANDS LÄN</t>
        </is>
      </c>
      <c r="E1323" t="inlineStr">
        <is>
          <t>HÄRJEDALEN</t>
        </is>
      </c>
      <c r="F1323" t="inlineStr">
        <is>
          <t>Holmen skog AB</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7313-2024</t>
        </is>
      </c>
      <c r="B1324" s="1" t="n">
        <v>45345</v>
      </c>
      <c r="C1324" s="1" t="n">
        <v>45354</v>
      </c>
      <c r="D1324" t="inlineStr">
        <is>
          <t>JÄMTLANDS LÄN</t>
        </is>
      </c>
      <c r="E1324" t="inlineStr">
        <is>
          <t>HÄRJEDALEN</t>
        </is>
      </c>
      <c r="F1324" t="inlineStr">
        <is>
          <t>Holmen skog AB</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7341-2024</t>
        </is>
      </c>
      <c r="B1325" s="1" t="n">
        <v>45345</v>
      </c>
      <c r="C1325" s="1" t="n">
        <v>45354</v>
      </c>
      <c r="D1325" t="inlineStr">
        <is>
          <t>JÄMTLANDS LÄN</t>
        </is>
      </c>
      <c r="E1325" t="inlineStr">
        <is>
          <t>HÄRJEDALEN</t>
        </is>
      </c>
      <c r="F1325" t="inlineStr">
        <is>
          <t>Holmen skog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7349-2024</t>
        </is>
      </c>
      <c r="B1326" s="1" t="n">
        <v>45345</v>
      </c>
      <c r="C1326" s="1" t="n">
        <v>45354</v>
      </c>
      <c r="D1326" t="inlineStr">
        <is>
          <t>JÄMTLANDS LÄN</t>
        </is>
      </c>
      <c r="E1326" t="inlineStr">
        <is>
          <t>HÄRJEDALEN</t>
        </is>
      </c>
      <c r="F1326" t="inlineStr">
        <is>
          <t>Holmen skog AB</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7371-2024</t>
        </is>
      </c>
      <c r="B1327" s="1" t="n">
        <v>45345</v>
      </c>
      <c r="C1327" s="1" t="n">
        <v>45354</v>
      </c>
      <c r="D1327" t="inlineStr">
        <is>
          <t>JÄMTLANDS LÄN</t>
        </is>
      </c>
      <c r="E1327" t="inlineStr">
        <is>
          <t>HÄRJEDALEN</t>
        </is>
      </c>
      <c r="F1327" t="inlineStr">
        <is>
          <t>Holmen skog AB</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7405-2024</t>
        </is>
      </c>
      <c r="B1328" s="1" t="n">
        <v>45345</v>
      </c>
      <c r="C1328" s="1" t="n">
        <v>45354</v>
      </c>
      <c r="D1328" t="inlineStr">
        <is>
          <t>JÄMTLANDS LÄN</t>
        </is>
      </c>
      <c r="E1328" t="inlineStr">
        <is>
          <t>HÄRJEDALEN</t>
        </is>
      </c>
      <c r="F1328" t="inlineStr">
        <is>
          <t>Holmen skog AB</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7430-2024</t>
        </is>
      </c>
      <c r="B1329" s="1" t="n">
        <v>45345</v>
      </c>
      <c r="C1329" s="1" t="n">
        <v>45354</v>
      </c>
      <c r="D1329" t="inlineStr">
        <is>
          <t>JÄMTLANDS LÄN</t>
        </is>
      </c>
      <c r="E1329" t="inlineStr">
        <is>
          <t>HÄRJEDALEN</t>
        </is>
      </c>
      <c r="F1329" t="inlineStr">
        <is>
          <t>Holmen skog AB</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7433-2024</t>
        </is>
      </c>
      <c r="B1330" s="1" t="n">
        <v>45345</v>
      </c>
      <c r="C1330" s="1" t="n">
        <v>45354</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7424-2024</t>
        </is>
      </c>
      <c r="B1331" s="1" t="n">
        <v>45345</v>
      </c>
      <c r="C1331" s="1" t="n">
        <v>45354</v>
      </c>
      <c r="D1331" t="inlineStr">
        <is>
          <t>JÄMTLANDS LÄN</t>
        </is>
      </c>
      <c r="E1331" t="inlineStr">
        <is>
          <t>HÄRJEDALEN</t>
        </is>
      </c>
      <c r="F1331" t="inlineStr">
        <is>
          <t>Holmen skog AB</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7402-2024</t>
        </is>
      </c>
      <c r="B1332" s="1" t="n">
        <v>45345</v>
      </c>
      <c r="C1332" s="1" t="n">
        <v>45354</v>
      </c>
      <c r="D1332" t="inlineStr">
        <is>
          <t>JÄMTLANDS LÄN</t>
        </is>
      </c>
      <c r="E1332" t="inlineStr">
        <is>
          <t>HÄRJEDALEN</t>
        </is>
      </c>
      <c r="F1332" t="inlineStr">
        <is>
          <t>Holmen skog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7370-2024</t>
        </is>
      </c>
      <c r="B1333" s="1" t="n">
        <v>45345</v>
      </c>
      <c r="C1333" s="1" t="n">
        <v>45354</v>
      </c>
      <c r="D1333" t="inlineStr">
        <is>
          <t>JÄMTLANDS LÄN</t>
        </is>
      </c>
      <c r="E1333" t="inlineStr">
        <is>
          <t>HÄRJEDALEN</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7362-2024</t>
        </is>
      </c>
      <c r="B1334" s="1" t="n">
        <v>45345</v>
      </c>
      <c r="C1334" s="1" t="n">
        <v>45354</v>
      </c>
      <c r="D1334" t="inlineStr">
        <is>
          <t>JÄMTLANDS LÄN</t>
        </is>
      </c>
      <c r="E1334" t="inlineStr">
        <is>
          <t>HÄRJEDALEN</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7358-2024</t>
        </is>
      </c>
      <c r="B1335" s="1" t="n">
        <v>45345</v>
      </c>
      <c r="C1335" s="1" t="n">
        <v>45354</v>
      </c>
      <c r="D1335" t="inlineStr">
        <is>
          <t>JÄMTLANDS LÄN</t>
        </is>
      </c>
      <c r="E1335" t="inlineStr">
        <is>
          <t>HÄRJEDALEN</t>
        </is>
      </c>
      <c r="F1335" t="inlineStr">
        <is>
          <t>Holmen skog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7368-2024</t>
        </is>
      </c>
      <c r="B1336" s="1" t="n">
        <v>45345</v>
      </c>
      <c r="C1336" s="1" t="n">
        <v>45354</v>
      </c>
      <c r="D1336" t="inlineStr">
        <is>
          <t>JÄMTLANDS LÄN</t>
        </is>
      </c>
      <c r="E1336" t="inlineStr">
        <is>
          <t>HÄRJEDALEN</t>
        </is>
      </c>
      <c r="F1336" t="inlineStr">
        <is>
          <t>Holmen skog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7328-2024</t>
        </is>
      </c>
      <c r="B1337" s="1" t="n">
        <v>45345</v>
      </c>
      <c r="C1337" s="1" t="n">
        <v>45354</v>
      </c>
      <c r="D1337" t="inlineStr">
        <is>
          <t>JÄMTLANDS LÄN</t>
        </is>
      </c>
      <c r="E1337" t="inlineStr">
        <is>
          <t>HÄRJEDALEN</t>
        </is>
      </c>
      <c r="F1337" t="inlineStr">
        <is>
          <t>Sveaskog</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7320-2024</t>
        </is>
      </c>
      <c r="B1338" s="1" t="n">
        <v>45345</v>
      </c>
      <c r="C1338" s="1" t="n">
        <v>45354</v>
      </c>
      <c r="D1338" t="inlineStr">
        <is>
          <t>JÄMTLANDS LÄN</t>
        </is>
      </c>
      <c r="E1338" t="inlineStr">
        <is>
          <t>HÄRJEDALEN</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7318-2024</t>
        </is>
      </c>
      <c r="B1339" s="1" t="n">
        <v>45345</v>
      </c>
      <c r="C1339" s="1" t="n">
        <v>45354</v>
      </c>
      <c r="D1339" t="inlineStr">
        <is>
          <t>JÄMTLANDS LÄN</t>
        </is>
      </c>
      <c r="E1339" t="inlineStr">
        <is>
          <t>HÄRJEDALEN</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7684-2024</t>
        </is>
      </c>
      <c r="B1340" s="1" t="n">
        <v>45348</v>
      </c>
      <c r="C1340" s="1" t="n">
        <v>45354</v>
      </c>
      <c r="D1340" t="inlineStr">
        <is>
          <t>JÄMTLANDS LÄN</t>
        </is>
      </c>
      <c r="E1340" t="inlineStr">
        <is>
          <t>HÄRJEDALEN</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7528-2024</t>
        </is>
      </c>
      <c r="B1341" s="1" t="n">
        <v>45348</v>
      </c>
      <c r="C1341" s="1" t="n">
        <v>45354</v>
      </c>
      <c r="D1341" t="inlineStr">
        <is>
          <t>JÄMTLANDS LÄN</t>
        </is>
      </c>
      <c r="E1341" t="inlineStr">
        <is>
          <t>HÄRJEDALEN</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7530-2024</t>
        </is>
      </c>
      <c r="B1342" s="1" t="n">
        <v>45348</v>
      </c>
      <c r="C1342" s="1" t="n">
        <v>45354</v>
      </c>
      <c r="D1342" t="inlineStr">
        <is>
          <t>JÄMTLANDS LÄN</t>
        </is>
      </c>
      <c r="E1342" t="inlineStr">
        <is>
          <t>HÄRJEDALEN</t>
        </is>
      </c>
      <c r="F1342" t="inlineStr">
        <is>
          <t>Holmen skog AB</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7639-2024</t>
        </is>
      </c>
      <c r="B1343" s="1" t="n">
        <v>45348</v>
      </c>
      <c r="C1343" s="1" t="n">
        <v>45354</v>
      </c>
      <c r="D1343" t="inlineStr">
        <is>
          <t>JÄMTLANDS LÄN</t>
        </is>
      </c>
      <c r="E1343" t="inlineStr">
        <is>
          <t>HÄRJEDALEN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7647-2024</t>
        </is>
      </c>
      <c r="B1344" s="1" t="n">
        <v>45348</v>
      </c>
      <c r="C1344" s="1" t="n">
        <v>45354</v>
      </c>
      <c r="D1344" t="inlineStr">
        <is>
          <t>JÄMTLANDS LÄN</t>
        </is>
      </c>
      <c r="E1344" t="inlineStr">
        <is>
          <t>HÄRJEDALEN</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7880-2024</t>
        </is>
      </c>
      <c r="B1345" s="1" t="n">
        <v>45350</v>
      </c>
      <c r="C1345" s="1" t="n">
        <v>45354</v>
      </c>
      <c r="D1345" t="inlineStr">
        <is>
          <t>JÄMTLANDS LÄN</t>
        </is>
      </c>
      <c r="E1345" t="inlineStr">
        <is>
          <t>HÄRJEDALEN</t>
        </is>
      </c>
      <c r="F1345" t="inlineStr">
        <is>
          <t>Holmen skog AB</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7896-2024</t>
        </is>
      </c>
      <c r="B1346" s="1" t="n">
        <v>45350</v>
      </c>
      <c r="C1346" s="1" t="n">
        <v>45354</v>
      </c>
      <c r="D1346" t="inlineStr">
        <is>
          <t>JÄMTLANDS LÄN</t>
        </is>
      </c>
      <c r="E1346" t="inlineStr">
        <is>
          <t>HÄRJEDALEN</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7995-2024</t>
        </is>
      </c>
      <c r="B1347" s="1" t="n">
        <v>45350</v>
      </c>
      <c r="C1347" s="1" t="n">
        <v>45354</v>
      </c>
      <c r="D1347" t="inlineStr">
        <is>
          <t>JÄMTLANDS LÄN</t>
        </is>
      </c>
      <c r="E1347" t="inlineStr">
        <is>
          <t>HÄRJEDALEN</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8178-2024</t>
        </is>
      </c>
      <c r="B1348" s="1" t="n">
        <v>45350</v>
      </c>
      <c r="C1348" s="1" t="n">
        <v>45354</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8136-2024</t>
        </is>
      </c>
      <c r="B1349" s="1" t="n">
        <v>45351</v>
      </c>
      <c r="C1349" s="1" t="n">
        <v>45354</v>
      </c>
      <c r="D1349" t="inlineStr">
        <is>
          <t>JÄMTLANDS LÄN</t>
        </is>
      </c>
      <c r="E1349" t="inlineStr">
        <is>
          <t>HÄRJEDALEN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8158-2024</t>
        </is>
      </c>
      <c r="B1350" s="1" t="n">
        <v>45351</v>
      </c>
      <c r="C1350" s="1" t="n">
        <v>45354</v>
      </c>
      <c r="D1350" t="inlineStr">
        <is>
          <t>JÄMTLANDS LÄN</t>
        </is>
      </c>
      <c r="E1350" t="inlineStr">
        <is>
          <t>HÄRJEDALEN</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8215-2024</t>
        </is>
      </c>
      <c r="B1351" s="1" t="n">
        <v>45351</v>
      </c>
      <c r="C1351" s="1" t="n">
        <v>45354</v>
      </c>
      <c r="D1351" t="inlineStr">
        <is>
          <t>JÄMTLANDS LÄN</t>
        </is>
      </c>
      <c r="E1351" t="inlineStr">
        <is>
          <t>HÄRJEDALEN</t>
        </is>
      </c>
      <c r="G1351" t="n">
        <v>49.2</v>
      </c>
      <c r="H1351" t="n">
        <v>0</v>
      </c>
      <c r="I1351" t="n">
        <v>0</v>
      </c>
      <c r="J1351" t="n">
        <v>0</v>
      </c>
      <c r="K1351" t="n">
        <v>0</v>
      </c>
      <c r="L1351" t="n">
        <v>0</v>
      </c>
      <c r="M1351" t="n">
        <v>0</v>
      </c>
      <c r="N1351" t="n">
        <v>0</v>
      </c>
      <c r="O1351" t="n">
        <v>0</v>
      </c>
      <c r="P1351" t="n">
        <v>0</v>
      </c>
      <c r="Q1351" t="n">
        <v>0</v>
      </c>
      <c r="R1351" s="2" t="inlineStr"/>
    </row>
    <row r="1352">
      <c r="A1352" t="inlineStr">
        <is>
          <t>A 8376-2024</t>
        </is>
      </c>
      <c r="B1352" s="1" t="n">
        <v>45352</v>
      </c>
      <c r="C1352" s="1" t="n">
        <v>45354</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2024-03-03T13:01:38Z</dcterms:created>
  <dcterms:modified xmlns:dcterms="http://purl.org/dc/terms/" xmlns:xsi="http://www.w3.org/2001/XMLSchema-instance" xsi:type="dcterms:W3CDTF">2024-03-03T13:01:39Z</dcterms:modified>
</cp:coreProperties>
</file>