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45583</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45583</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45583</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45583</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45583</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45583</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45583</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45583</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45583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45583</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45583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45583</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45583</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45583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45583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45583</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45583</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45583</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45583</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45583</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45583</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45583</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45583</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45583</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45583</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45583</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45583</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45583</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45583</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38064-2024</t>
        </is>
      </c>
      <c r="B39" s="1" t="n">
        <v>45544</v>
      </c>
      <c r="C39" s="1" t="n">
        <v>45583</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32502-2019</t>
        </is>
      </c>
      <c r="B40" s="1" t="n">
        <v>43644</v>
      </c>
      <c r="C40" s="1" t="n">
        <v>45583</v>
      </c>
      <c r="D40" t="inlineStr">
        <is>
          <t>JÄMTLANDS LÄN</t>
        </is>
      </c>
      <c r="E40" t="inlineStr">
        <is>
          <t>HÄRJEDALEN</t>
        </is>
      </c>
      <c r="F40" t="inlineStr">
        <is>
          <t>SCA</t>
        </is>
      </c>
      <c r="G40" t="n">
        <v>3.1</v>
      </c>
      <c r="H40" t="n">
        <v>2</v>
      </c>
      <c r="I40" t="n">
        <v>2</v>
      </c>
      <c r="J40" t="n">
        <v>8</v>
      </c>
      <c r="K40" t="n">
        <v>2</v>
      </c>
      <c r="L40" t="n">
        <v>0</v>
      </c>
      <c r="M40" t="n">
        <v>0</v>
      </c>
      <c r="N40" t="n">
        <v>0</v>
      </c>
      <c r="O40" t="n">
        <v>10</v>
      </c>
      <c r="P40" t="n">
        <v>2</v>
      </c>
      <c r="Q40" t="n">
        <v>12</v>
      </c>
      <c r="R40" s="2" t="inlineStr">
        <is>
          <t>Doftticka
Knärot
Dvärgbägarlav
Garnlav
Kolflarnlav
Lunglav
Mörk kolflarnlav
Vedflamlav
Vedflikmossa
Vedtrappmossa
Korallblylav
Stuplav</t>
        </is>
      </c>
      <c r="S40">
        <f>HYPERLINK("https://klasma.github.io/Logging_2361/artfynd/A 32502-2019 artfynd.xlsx", "A 32502-2019")</f>
        <v/>
      </c>
      <c r="T40">
        <f>HYPERLINK("https://klasma.github.io/Logging_2361/kartor/A 32502-2019 karta.png", "A 32502-2019")</f>
        <v/>
      </c>
      <c r="U40">
        <f>HYPERLINK("https://klasma.github.io/Logging_2361/knärot/A 32502-2019 karta knärot.png", "A 32502-2019")</f>
        <v/>
      </c>
      <c r="V40">
        <f>HYPERLINK("https://klasma.github.io/Logging_2361/klagomål/A 32502-2019 FSC-klagomål.docx", "A 32502-2019")</f>
        <v/>
      </c>
      <c r="W40">
        <f>HYPERLINK("https://klasma.github.io/Logging_2361/klagomålsmail/A 32502-2019 FSC-klagomål mail.docx", "A 32502-2019")</f>
        <v/>
      </c>
      <c r="X40">
        <f>HYPERLINK("https://klasma.github.io/Logging_2361/tillsyn/A 32502-2019 tillsynsbegäran.docx", "A 32502-2019")</f>
        <v/>
      </c>
      <c r="Y40">
        <f>HYPERLINK("https://klasma.github.io/Logging_2361/tillsynsmail/A 32502-2019 tillsynsbegäran mail.docx", "A 32502-2019")</f>
        <v/>
      </c>
    </row>
    <row r="41" ht="15" customHeight="1">
      <c r="A41" t="inlineStr">
        <is>
          <t>A 36972-2020</t>
        </is>
      </c>
      <c r="B41" s="1" t="n">
        <v>44053</v>
      </c>
      <c r="C41" s="1" t="n">
        <v>45583</v>
      </c>
      <c r="D41" t="inlineStr">
        <is>
          <t>JÄMTLANDS LÄN</t>
        </is>
      </c>
      <c r="E41" t="inlineStr">
        <is>
          <t>HÄRJEDALEN</t>
        </is>
      </c>
      <c r="F41" t="inlineStr">
        <is>
          <t>SCA</t>
        </is>
      </c>
      <c r="G41" t="n">
        <v>8.699999999999999</v>
      </c>
      <c r="H41" t="n">
        <v>0</v>
      </c>
      <c r="I41" t="n">
        <v>2</v>
      </c>
      <c r="J41" t="n">
        <v>10</v>
      </c>
      <c r="K41" t="n">
        <v>0</v>
      </c>
      <c r="L41" t="n">
        <v>0</v>
      </c>
      <c r="M41" t="n">
        <v>0</v>
      </c>
      <c r="N41" t="n">
        <v>0</v>
      </c>
      <c r="O41" t="n">
        <v>10</v>
      </c>
      <c r="P41" t="n">
        <v>0</v>
      </c>
      <c r="Q41" t="n">
        <v>12</v>
      </c>
      <c r="R41" s="2" t="inlineStr">
        <is>
          <t>Blå taggsvamp
Garnlav
Kolflarnlav
Lunglav
Mörk kolflarnlav
Ullticka
Vaddporing
Vedflamlav
Vedskivlav
Vedtrappmossa
Bronshjon
Stuplav</t>
        </is>
      </c>
      <c r="S41">
        <f>HYPERLINK("https://klasma.github.io/Logging_2361/artfynd/A 36972-2020 artfynd.xlsx", "A 36972-2020")</f>
        <v/>
      </c>
      <c r="T41">
        <f>HYPERLINK("https://klasma.github.io/Logging_2361/kartor/A 36972-2020 karta.png", "A 36972-2020")</f>
        <v/>
      </c>
      <c r="V41">
        <f>HYPERLINK("https://klasma.github.io/Logging_2361/klagomål/A 36972-2020 FSC-klagomål.docx", "A 36972-2020")</f>
        <v/>
      </c>
      <c r="W41">
        <f>HYPERLINK("https://klasma.github.io/Logging_2361/klagomålsmail/A 36972-2020 FSC-klagomål mail.docx", "A 36972-2020")</f>
        <v/>
      </c>
      <c r="X41">
        <f>HYPERLINK("https://klasma.github.io/Logging_2361/tillsyn/A 36972-2020 tillsynsbegäran.docx", "A 36972-2020")</f>
        <v/>
      </c>
      <c r="Y41">
        <f>HYPERLINK("https://klasma.github.io/Logging_2361/tillsynsmail/A 36972-2020 tillsynsbegäran mail.docx", "A 36972-2020")</f>
        <v/>
      </c>
    </row>
    <row r="42" ht="15" customHeight="1">
      <c r="A42" t="inlineStr">
        <is>
          <t>A 29434-2023</t>
        </is>
      </c>
      <c r="B42" s="1" t="n">
        <v>45106</v>
      </c>
      <c r="C42" s="1" t="n">
        <v>45583</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50604-2023</t>
        </is>
      </c>
      <c r="B43" s="1" t="n">
        <v>45217</v>
      </c>
      <c r="C43" s="1" t="n">
        <v>45583</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37835-2024</t>
        </is>
      </c>
      <c r="B44" s="1" t="n">
        <v>45544</v>
      </c>
      <c r="C44" s="1" t="n">
        <v>45583</v>
      </c>
      <c r="D44" t="inlineStr">
        <is>
          <t>JÄMTLANDS LÄN</t>
        </is>
      </c>
      <c r="E44" t="inlineStr">
        <is>
          <t>HÄRJEDALEN</t>
        </is>
      </c>
      <c r="F44" t="inlineStr">
        <is>
          <t>Holmen skog AB</t>
        </is>
      </c>
      <c r="G44" t="n">
        <v>16.2</v>
      </c>
      <c r="H44" t="n">
        <v>2</v>
      </c>
      <c r="I44" t="n">
        <v>2</v>
      </c>
      <c r="J44" t="n">
        <v>8</v>
      </c>
      <c r="K44" t="n">
        <v>2</v>
      </c>
      <c r="L44" t="n">
        <v>0</v>
      </c>
      <c r="M44" t="n">
        <v>0</v>
      </c>
      <c r="N44" t="n">
        <v>0</v>
      </c>
      <c r="O44" t="n">
        <v>10</v>
      </c>
      <c r="P44" t="n">
        <v>2</v>
      </c>
      <c r="Q44" t="n">
        <v>12</v>
      </c>
      <c r="R44" s="2" t="inlineStr">
        <is>
          <t>Doftticka
Knärot
Dvärgbägarlav
Garnlav
Knottrig blåslav
Kolflarnlav
Lunglav
Mörk kolflarnlav
Skrovellav
Vedflamlav
Dropptaggsvamp
Skarp dropptaggsvamp</t>
        </is>
      </c>
      <c r="S44">
        <f>HYPERLINK("https://klasma.github.io/Logging_2361/artfynd/A 37835-2024 artfynd.xlsx", "A 37835-2024")</f>
        <v/>
      </c>
      <c r="T44">
        <f>HYPERLINK("https://klasma.github.io/Logging_2361/kartor/A 37835-2024 karta.png", "A 37835-2024")</f>
        <v/>
      </c>
      <c r="U44">
        <f>HYPERLINK("https://klasma.github.io/Logging_2361/knärot/A 37835-2024 karta knärot.png", "A 37835-2024")</f>
        <v/>
      </c>
      <c r="V44">
        <f>HYPERLINK("https://klasma.github.io/Logging_2361/klagomål/A 37835-2024 FSC-klagomål.docx", "A 37835-2024")</f>
        <v/>
      </c>
      <c r="W44">
        <f>HYPERLINK("https://klasma.github.io/Logging_2361/klagomålsmail/A 37835-2024 FSC-klagomål mail.docx", "A 37835-2024")</f>
        <v/>
      </c>
      <c r="X44">
        <f>HYPERLINK("https://klasma.github.io/Logging_2361/tillsyn/A 37835-2024 tillsynsbegäran.docx", "A 37835-2024")</f>
        <v/>
      </c>
      <c r="Y44">
        <f>HYPERLINK("https://klasma.github.io/Logging_2361/tillsynsmail/A 37835-2024 tillsynsbegäran mail.docx", "A 37835-2024")</f>
        <v/>
      </c>
    </row>
    <row r="45" ht="15" customHeight="1">
      <c r="A45" t="inlineStr">
        <is>
          <t>A 43789-2024</t>
        </is>
      </c>
      <c r="B45" s="1" t="n">
        <v>45571</v>
      </c>
      <c r="C45" s="1" t="n">
        <v>45583</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28713-2021</t>
        </is>
      </c>
      <c r="B46" s="1" t="n">
        <v>44357</v>
      </c>
      <c r="C46" s="1" t="n">
        <v>45583</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58278-2021</t>
        </is>
      </c>
      <c r="B47" s="1" t="n">
        <v>44487</v>
      </c>
      <c r="C47" s="1" t="n">
        <v>45583</v>
      </c>
      <c r="D47" t="inlineStr">
        <is>
          <t>JÄMTLANDS LÄN</t>
        </is>
      </c>
      <c r="E47" t="inlineStr">
        <is>
          <t>HÄRJEDALEN</t>
        </is>
      </c>
      <c r="F47" t="inlineStr">
        <is>
          <t>SCA</t>
        </is>
      </c>
      <c r="G47" t="n">
        <v>33.9</v>
      </c>
      <c r="H47" t="n">
        <v>1</v>
      </c>
      <c r="I47" t="n">
        <v>3</v>
      </c>
      <c r="J47" t="n">
        <v>4</v>
      </c>
      <c r="K47" t="n">
        <v>3</v>
      </c>
      <c r="L47" t="n">
        <v>1</v>
      </c>
      <c r="M47" t="n">
        <v>0</v>
      </c>
      <c r="N47" t="n">
        <v>0</v>
      </c>
      <c r="O47" t="n">
        <v>8</v>
      </c>
      <c r="P47" t="n">
        <v>4</v>
      </c>
      <c r="Q47" t="n">
        <v>11</v>
      </c>
      <c r="R47" s="2" t="inlineStr">
        <is>
          <t>Mosippa
Lammticka
Spadskinn
Tallgråticka
Blå taggsvamp
Motaggsvamp
Skrovlig taggsvamp
Talltaggsvamp
Dropptaggsvamp
Skarp dropptaggsvamp
Tallfingersvamp</t>
        </is>
      </c>
      <c r="S47">
        <f>HYPERLINK("https://klasma.github.io/Logging_2361/artfynd/A 58278-2021 artfynd.xlsx", "A 58278-2021")</f>
        <v/>
      </c>
      <c r="T47">
        <f>HYPERLINK("https://klasma.github.io/Logging_2361/kartor/A 58278-2021 karta.png", "A 58278-2021")</f>
        <v/>
      </c>
      <c r="V47">
        <f>HYPERLINK("https://klasma.github.io/Logging_2361/klagomål/A 58278-2021 FSC-klagomål.docx", "A 58278-2021")</f>
        <v/>
      </c>
      <c r="W47">
        <f>HYPERLINK("https://klasma.github.io/Logging_2361/klagomålsmail/A 58278-2021 FSC-klagomål mail.docx", "A 58278-2021")</f>
        <v/>
      </c>
      <c r="X47">
        <f>HYPERLINK("https://klasma.github.io/Logging_2361/tillsyn/A 58278-2021 tillsynsbegäran.docx", "A 58278-2021")</f>
        <v/>
      </c>
      <c r="Y47">
        <f>HYPERLINK("https://klasma.github.io/Logging_2361/tillsynsmail/A 58278-2021 tillsynsbegäran mail.docx", "A 58278-2021")</f>
        <v/>
      </c>
    </row>
    <row r="48" ht="15" customHeight="1">
      <c r="A48" t="inlineStr">
        <is>
          <t>A 17749-2022</t>
        </is>
      </c>
      <c r="B48" s="1" t="n">
        <v>44680</v>
      </c>
      <c r="C48" s="1" t="n">
        <v>45583</v>
      </c>
      <c r="D48" t="inlineStr">
        <is>
          <t>JÄMTLANDS LÄN</t>
        </is>
      </c>
      <c r="E48" t="inlineStr">
        <is>
          <t>HÄRJEDALEN</t>
        </is>
      </c>
      <c r="F48" t="inlineStr">
        <is>
          <t>SCA</t>
        </is>
      </c>
      <c r="G48" t="n">
        <v>17.6</v>
      </c>
      <c r="H48" t="n">
        <v>0</v>
      </c>
      <c r="I48" t="n">
        <v>2</v>
      </c>
      <c r="J48" t="n">
        <v>6</v>
      </c>
      <c r="K48" t="n">
        <v>3</v>
      </c>
      <c r="L48" t="n">
        <v>0</v>
      </c>
      <c r="M48" t="n">
        <v>0</v>
      </c>
      <c r="N48" t="n">
        <v>0</v>
      </c>
      <c r="O48" t="n">
        <v>9</v>
      </c>
      <c r="P48" t="n">
        <v>3</v>
      </c>
      <c r="Q48" t="n">
        <v>11</v>
      </c>
      <c r="R48" s="2" t="inlineStr">
        <is>
          <t>Goliatmusseron
Tajgataggsvamp
Tallgråticka
Blå taggsvamp
Orange taggsvamp
Skrovlig taggsvamp
Tallriska
Talltaggsvamp
Vaddporing
Dropptaggsvamp
Skarp dropptaggsvamp</t>
        </is>
      </c>
      <c r="S48">
        <f>HYPERLINK("https://klasma.github.io/Logging_2361/artfynd/A 17749-2022 artfynd.xlsx", "A 17749-2022")</f>
        <v/>
      </c>
      <c r="T48">
        <f>HYPERLINK("https://klasma.github.io/Logging_2361/kartor/A 17749-2022 karta.png", "A 17749-2022")</f>
        <v/>
      </c>
      <c r="V48">
        <f>HYPERLINK("https://klasma.github.io/Logging_2361/klagomål/A 17749-2022 FSC-klagomål.docx", "A 17749-2022")</f>
        <v/>
      </c>
      <c r="W48">
        <f>HYPERLINK("https://klasma.github.io/Logging_2361/klagomålsmail/A 17749-2022 FSC-klagomål mail.docx", "A 17749-2022")</f>
        <v/>
      </c>
      <c r="X48">
        <f>HYPERLINK("https://klasma.github.io/Logging_2361/tillsyn/A 17749-2022 tillsynsbegäran.docx", "A 17749-2022")</f>
        <v/>
      </c>
      <c r="Y48">
        <f>HYPERLINK("https://klasma.github.io/Logging_2361/tillsynsmail/A 17749-2022 tillsynsbegäran mail.docx", "A 17749-2022")</f>
        <v/>
      </c>
    </row>
    <row r="49" ht="15" customHeight="1">
      <c r="A49" t="inlineStr">
        <is>
          <t>A 31328-2022</t>
        </is>
      </c>
      <c r="B49" s="1" t="n">
        <v>44774</v>
      </c>
      <c r="C49" s="1" t="n">
        <v>45583</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46633-2023</t>
        </is>
      </c>
      <c r="B50" s="1" t="n">
        <v>45198</v>
      </c>
      <c r="C50" s="1" t="n">
        <v>45583</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45583</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38535-2019</t>
        </is>
      </c>
      <c r="B52" s="1" t="n">
        <v>43685</v>
      </c>
      <c r="C52" s="1" t="n">
        <v>45583</v>
      </c>
      <c r="D52" t="inlineStr">
        <is>
          <t>JÄMTLANDS LÄN</t>
        </is>
      </c>
      <c r="E52" t="inlineStr">
        <is>
          <t>HÄRJEDALEN</t>
        </is>
      </c>
      <c r="F52" t="inlineStr">
        <is>
          <t>Sveaskog</t>
        </is>
      </c>
      <c r="G52" t="n">
        <v>7.2</v>
      </c>
      <c r="H52" t="n">
        <v>3</v>
      </c>
      <c r="I52" t="n">
        <v>2</v>
      </c>
      <c r="J52" t="n">
        <v>5</v>
      </c>
      <c r="K52" t="n">
        <v>1</v>
      </c>
      <c r="L52" t="n">
        <v>0</v>
      </c>
      <c r="M52" t="n">
        <v>0</v>
      </c>
      <c r="N52" t="n">
        <v>0</v>
      </c>
      <c r="O52" t="n">
        <v>6</v>
      </c>
      <c r="P52" t="n">
        <v>1</v>
      </c>
      <c r="Q52" t="n">
        <v>10</v>
      </c>
      <c r="R52" s="2" t="inlineStr">
        <is>
          <t>Knärot
Blanksvart spiklav
Gammelgransskål
Garnlav
Lunglav
Skrovellav
Barkkornlav
Bronshjon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row>
    <row r="53" ht="15" customHeight="1">
      <c r="A53" t="inlineStr">
        <is>
          <t>A 51061-2019</t>
        </is>
      </c>
      <c r="B53" s="1" t="n">
        <v>43739</v>
      </c>
      <c r="C53" s="1" t="n">
        <v>45583</v>
      </c>
      <c r="D53" t="inlineStr">
        <is>
          <t>JÄMTLANDS LÄN</t>
        </is>
      </c>
      <c r="E53" t="inlineStr">
        <is>
          <t>HÄRJEDALEN</t>
        </is>
      </c>
      <c r="G53" t="n">
        <v>10.4</v>
      </c>
      <c r="H53" t="n">
        <v>0</v>
      </c>
      <c r="I53" t="n">
        <v>2</v>
      </c>
      <c r="J53" t="n">
        <v>8</v>
      </c>
      <c r="K53" t="n">
        <v>0</v>
      </c>
      <c r="L53" t="n">
        <v>0</v>
      </c>
      <c r="M53" t="n">
        <v>0</v>
      </c>
      <c r="N53" t="n">
        <v>0</v>
      </c>
      <c r="O53" t="n">
        <v>8</v>
      </c>
      <c r="P53" t="n">
        <v>0</v>
      </c>
      <c r="Q53" t="n">
        <v>10</v>
      </c>
      <c r="R53" s="2" t="inlineStr">
        <is>
          <t>Doftskinn
Garnlav
Granticka
Gränsticka
Harticka
Knottrig blåslav
Vedflamlav
Violettgrå tagellav
Stuplav
Vedticka</t>
        </is>
      </c>
      <c r="S53">
        <f>HYPERLINK("https://klasma.github.io/Logging_2361/artfynd/A 51061-2019 artfynd.xlsx", "A 51061-2019")</f>
        <v/>
      </c>
      <c r="T53">
        <f>HYPERLINK("https://klasma.github.io/Logging_2361/kartor/A 51061-2019 karta.png", "A 51061-2019")</f>
        <v/>
      </c>
      <c r="V53">
        <f>HYPERLINK("https://klasma.github.io/Logging_2361/klagomål/A 51061-2019 FSC-klagomål.docx", "A 51061-2019")</f>
        <v/>
      </c>
      <c r="W53">
        <f>HYPERLINK("https://klasma.github.io/Logging_2361/klagomålsmail/A 51061-2019 FSC-klagomål mail.docx", "A 51061-2019")</f>
        <v/>
      </c>
      <c r="X53">
        <f>HYPERLINK("https://klasma.github.io/Logging_2361/tillsyn/A 51061-2019 tillsynsbegäran.docx", "A 51061-2019")</f>
        <v/>
      </c>
      <c r="Y53">
        <f>HYPERLINK("https://klasma.github.io/Logging_2361/tillsynsmail/A 51061-2019 tillsynsbegäran mail.docx", "A 51061-2019")</f>
        <v/>
      </c>
    </row>
    <row r="54" ht="15" customHeight="1">
      <c r="A54" t="inlineStr">
        <is>
          <t>A 55158-2019</t>
        </is>
      </c>
      <c r="B54" s="1" t="n">
        <v>43756</v>
      </c>
      <c r="C54" s="1" t="n">
        <v>45583</v>
      </c>
      <c r="D54" t="inlineStr">
        <is>
          <t>JÄMTLANDS LÄN</t>
        </is>
      </c>
      <c r="E54" t="inlineStr">
        <is>
          <t>HÄRJEDALEN</t>
        </is>
      </c>
      <c r="G54" t="n">
        <v>11.5</v>
      </c>
      <c r="H54" t="n">
        <v>0</v>
      </c>
      <c r="I54" t="n">
        <v>2</v>
      </c>
      <c r="J54" t="n">
        <v>8</v>
      </c>
      <c r="K54" t="n">
        <v>0</v>
      </c>
      <c r="L54" t="n">
        <v>0</v>
      </c>
      <c r="M54" t="n">
        <v>0</v>
      </c>
      <c r="N54" t="n">
        <v>0</v>
      </c>
      <c r="O54" t="n">
        <v>8</v>
      </c>
      <c r="P54" t="n">
        <v>0</v>
      </c>
      <c r="Q54" t="n">
        <v>10</v>
      </c>
      <c r="R54" s="2" t="inlineStr">
        <is>
          <t>Garnlav
Kolflarnlav
Lunglav
Mörk kolflarnlav
Skrovellav
Vaddporing
Vedflamlav
Vedskivlav
Dropptaggsvamp
Luddlav</t>
        </is>
      </c>
      <c r="S54">
        <f>HYPERLINK("https://klasma.github.io/Logging_2361/artfynd/A 55158-2019 artfynd.xlsx", "A 55158-2019")</f>
        <v/>
      </c>
      <c r="T54">
        <f>HYPERLINK("https://klasma.github.io/Logging_2361/kartor/A 55158-2019 karta.png", "A 55158-2019")</f>
        <v/>
      </c>
      <c r="V54">
        <f>HYPERLINK("https://klasma.github.io/Logging_2361/klagomål/A 55158-2019 FSC-klagomål.docx", "A 55158-2019")</f>
        <v/>
      </c>
      <c r="W54">
        <f>HYPERLINK("https://klasma.github.io/Logging_2361/klagomålsmail/A 55158-2019 FSC-klagomål mail.docx", "A 55158-2019")</f>
        <v/>
      </c>
      <c r="X54">
        <f>HYPERLINK("https://klasma.github.io/Logging_2361/tillsyn/A 55158-2019 tillsynsbegäran.docx", "A 55158-2019")</f>
        <v/>
      </c>
      <c r="Y54">
        <f>HYPERLINK("https://klasma.github.io/Logging_2361/tillsynsmail/A 55158-2019 tillsynsbegäran mail.docx", "A 55158-2019")</f>
        <v/>
      </c>
    </row>
    <row r="55" ht="15" customHeight="1">
      <c r="A55" t="inlineStr">
        <is>
          <t>A 29799-2022</t>
        </is>
      </c>
      <c r="B55" s="1" t="n">
        <v>44755</v>
      </c>
      <c r="C55" s="1" t="n">
        <v>45583</v>
      </c>
      <c r="D55" t="inlineStr">
        <is>
          <t>JÄMTLANDS LÄN</t>
        </is>
      </c>
      <c r="E55" t="inlineStr">
        <is>
          <t>HÄRJEDALEN</t>
        </is>
      </c>
      <c r="F55" t="inlineStr">
        <is>
          <t>Kyrkan</t>
        </is>
      </c>
      <c r="G55" t="n">
        <v>21.4</v>
      </c>
      <c r="H55" t="n">
        <v>2</v>
      </c>
      <c r="I55" t="n">
        <v>0</v>
      </c>
      <c r="J55" t="n">
        <v>10</v>
      </c>
      <c r="K55" t="n">
        <v>0</v>
      </c>
      <c r="L55" t="n">
        <v>0</v>
      </c>
      <c r="M55" t="n">
        <v>0</v>
      </c>
      <c r="N55" t="n">
        <v>0</v>
      </c>
      <c r="O55" t="n">
        <v>10</v>
      </c>
      <c r="P55" t="n">
        <v>0</v>
      </c>
      <c r="Q55" t="n">
        <v>10</v>
      </c>
      <c r="R55" s="2" t="inlineStr">
        <is>
          <t>Blanksvart spiklav
Blågrå svartspik
Dvärgbägarlav
Knottrig blåslav
Ladlav
Mörk kolflarnlav
Talltita
Tretåig hackspett
Vedflamlav
Vedskivlav</t>
        </is>
      </c>
      <c r="S55">
        <f>HYPERLINK("https://klasma.github.io/Logging_2361/artfynd/A 29799-2022 artfynd.xlsx", "A 29799-2022")</f>
        <v/>
      </c>
      <c r="T55">
        <f>HYPERLINK("https://klasma.github.io/Logging_2361/kartor/A 29799-2022 karta.png", "A 29799-2022")</f>
        <v/>
      </c>
      <c r="V55">
        <f>HYPERLINK("https://klasma.github.io/Logging_2361/klagomål/A 29799-2022 FSC-klagomål.docx", "A 29799-2022")</f>
        <v/>
      </c>
      <c r="W55">
        <f>HYPERLINK("https://klasma.github.io/Logging_2361/klagomålsmail/A 29799-2022 FSC-klagomål mail.docx", "A 29799-2022")</f>
        <v/>
      </c>
      <c r="X55">
        <f>HYPERLINK("https://klasma.github.io/Logging_2361/tillsyn/A 29799-2022 tillsynsbegäran.docx", "A 29799-2022")</f>
        <v/>
      </c>
      <c r="Y55">
        <f>HYPERLINK("https://klasma.github.io/Logging_2361/tillsynsmail/A 29799-2022 tillsynsbegäran mail.docx", "A 29799-2022")</f>
        <v/>
      </c>
      <c r="Z55">
        <f>HYPERLINK("https://klasma.github.io/Logging_2361/fåglar/A 29799-2022 prioriterade fågelarter.docx", "A 29799-2022")</f>
        <v/>
      </c>
    </row>
    <row r="56" ht="15" customHeight="1">
      <c r="A56" t="inlineStr">
        <is>
          <t>A 16890-2024</t>
        </is>
      </c>
      <c r="B56" s="1" t="n">
        <v>45411</v>
      </c>
      <c r="C56" s="1" t="n">
        <v>45583</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28288-2024</t>
        </is>
      </c>
      <c r="B57" s="1" t="n">
        <v>45477</v>
      </c>
      <c r="C57" s="1" t="n">
        <v>45583</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65905-2021</t>
        </is>
      </c>
      <c r="B58" s="1" t="n">
        <v>44517</v>
      </c>
      <c r="C58" s="1" t="n">
        <v>45583</v>
      </c>
      <c r="D58" t="inlineStr">
        <is>
          <t>JÄMTLANDS LÄN</t>
        </is>
      </c>
      <c r="E58" t="inlineStr">
        <is>
          <t>HÄRJEDALEN</t>
        </is>
      </c>
      <c r="G58" t="n">
        <v>13.8</v>
      </c>
      <c r="H58" t="n">
        <v>0</v>
      </c>
      <c r="I58" t="n">
        <v>0</v>
      </c>
      <c r="J58" t="n">
        <v>8</v>
      </c>
      <c r="K58" t="n">
        <v>1</v>
      </c>
      <c r="L58" t="n">
        <v>0</v>
      </c>
      <c r="M58" t="n">
        <v>0</v>
      </c>
      <c r="N58" t="n">
        <v>0</v>
      </c>
      <c r="O58" t="n">
        <v>9</v>
      </c>
      <c r="P58" t="n">
        <v>1</v>
      </c>
      <c r="Q58" t="n">
        <v>9</v>
      </c>
      <c r="R58" s="2" t="inlineStr">
        <is>
          <t>Rynkskinn
Gammelgransskål
Garnlav
Granticka
Gränsticka
Harticka
Knottrig blåslav
Rosenticka
Ullticka</t>
        </is>
      </c>
      <c r="S58">
        <f>HYPERLINK("https://klasma.github.io/Logging_2361/artfynd/A 65905-2021 artfynd.xlsx", "A 65905-2021")</f>
        <v/>
      </c>
      <c r="T58">
        <f>HYPERLINK("https://klasma.github.io/Logging_2361/kartor/A 65905-2021 karta.png", "A 65905-2021")</f>
        <v/>
      </c>
      <c r="V58">
        <f>HYPERLINK("https://klasma.github.io/Logging_2361/klagomål/A 65905-2021 FSC-klagomål.docx", "A 65905-2021")</f>
        <v/>
      </c>
      <c r="W58">
        <f>HYPERLINK("https://klasma.github.io/Logging_2361/klagomålsmail/A 65905-2021 FSC-klagomål mail.docx", "A 65905-2021")</f>
        <v/>
      </c>
      <c r="X58">
        <f>HYPERLINK("https://klasma.github.io/Logging_2361/tillsyn/A 65905-2021 tillsynsbegäran.docx", "A 65905-2021")</f>
        <v/>
      </c>
      <c r="Y58">
        <f>HYPERLINK("https://klasma.github.io/Logging_2361/tillsynsmail/A 65905-2021 tillsynsbegäran mail.docx", "A 65905-2021")</f>
        <v/>
      </c>
    </row>
    <row r="59" ht="15" customHeight="1">
      <c r="A59" t="inlineStr">
        <is>
          <t>A 74002-2021</t>
        </is>
      </c>
      <c r="B59" s="1" t="n">
        <v>44553</v>
      </c>
      <c r="C59" s="1" t="n">
        <v>45583</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25562-2023</t>
        </is>
      </c>
      <c r="B60" s="1" t="n">
        <v>45082</v>
      </c>
      <c r="C60" s="1" t="n">
        <v>45583</v>
      </c>
      <c r="D60" t="inlineStr">
        <is>
          <t>JÄMTLANDS LÄN</t>
        </is>
      </c>
      <c r="E60" t="inlineStr">
        <is>
          <t>HÄRJEDALEN</t>
        </is>
      </c>
      <c r="F60" t="inlineStr">
        <is>
          <t>Bergvik skog väst AB</t>
        </is>
      </c>
      <c r="G60" t="n">
        <v>24.5</v>
      </c>
      <c r="H60" t="n">
        <v>3</v>
      </c>
      <c r="I60" t="n">
        <v>1</v>
      </c>
      <c r="J60" t="n">
        <v>6</v>
      </c>
      <c r="K60" t="n">
        <v>2</v>
      </c>
      <c r="L60" t="n">
        <v>0</v>
      </c>
      <c r="M60" t="n">
        <v>0</v>
      </c>
      <c r="N60" t="n">
        <v>0</v>
      </c>
      <c r="O60" t="n">
        <v>8</v>
      </c>
      <c r="P60" t="n">
        <v>2</v>
      </c>
      <c r="Q60" t="n">
        <v>9</v>
      </c>
      <c r="R60" s="2" t="inlineStr">
        <is>
          <t>Grantickeporing
Rynkskinn
Garnlav
Granticka
Stjärntagging
Talltita
Tretåig hackspett
Ullticka
Spindelblomster</t>
        </is>
      </c>
      <c r="S60">
        <f>HYPERLINK("https://klasma.github.io/Logging_2361/artfynd/A 25562-2023 artfynd.xlsx", "A 25562-2023")</f>
        <v/>
      </c>
      <c r="T60">
        <f>HYPERLINK("https://klasma.github.io/Logging_2361/kartor/A 25562-2023 karta.png", "A 25562-2023")</f>
        <v/>
      </c>
      <c r="V60">
        <f>HYPERLINK("https://klasma.github.io/Logging_2361/klagomål/A 25562-2023 FSC-klagomål.docx", "A 25562-2023")</f>
        <v/>
      </c>
      <c r="W60">
        <f>HYPERLINK("https://klasma.github.io/Logging_2361/klagomålsmail/A 25562-2023 FSC-klagomål mail.docx", "A 25562-2023")</f>
        <v/>
      </c>
      <c r="X60">
        <f>HYPERLINK("https://klasma.github.io/Logging_2361/tillsyn/A 25562-2023 tillsynsbegäran.docx", "A 25562-2023")</f>
        <v/>
      </c>
      <c r="Y60">
        <f>HYPERLINK("https://klasma.github.io/Logging_2361/tillsynsmail/A 25562-2023 tillsynsbegäran mail.docx", "A 25562-2023")</f>
        <v/>
      </c>
      <c r="Z60">
        <f>HYPERLINK("https://klasma.github.io/Logging_2361/fåglar/A 25562-2023 prioriterade fågelarter.docx", "A 25562-2023")</f>
        <v/>
      </c>
    </row>
    <row r="61" ht="15" customHeight="1">
      <c r="A61" t="inlineStr">
        <is>
          <t>A 56483-2023</t>
        </is>
      </c>
      <c r="B61" s="1" t="n">
        <v>45243</v>
      </c>
      <c r="C61" s="1" t="n">
        <v>45583</v>
      </c>
      <c r="D61" t="inlineStr">
        <is>
          <t>JÄMTLANDS LÄN</t>
        </is>
      </c>
      <c r="E61" t="inlineStr">
        <is>
          <t>HÄRJEDALEN</t>
        </is>
      </c>
      <c r="G61" t="n">
        <v>8.699999999999999</v>
      </c>
      <c r="H61" t="n">
        <v>3</v>
      </c>
      <c r="I61" t="n">
        <v>0</v>
      </c>
      <c r="J61" t="n">
        <v>8</v>
      </c>
      <c r="K61" t="n">
        <v>0</v>
      </c>
      <c r="L61" t="n">
        <v>0</v>
      </c>
      <c r="M61" t="n">
        <v>0</v>
      </c>
      <c r="N61" t="n">
        <v>0</v>
      </c>
      <c r="O61" t="n">
        <v>8</v>
      </c>
      <c r="P61" t="n">
        <v>0</v>
      </c>
      <c r="Q61" t="n">
        <v>9</v>
      </c>
      <c r="R61" s="2" t="inlineStr">
        <is>
          <t>Blanksvart spiklav
Blågrå svartspik
Gammelgransskål
Garnlav
Kungsörn
Tretåig hackspett
Ullticka
Vitgrynig nållav
Lavskrika</t>
        </is>
      </c>
      <c r="S61">
        <f>HYPERLINK("https://klasma.github.io/Logging_2361/artfynd/A 56483-2023 artfynd.xlsx", "A 56483-2023")</f>
        <v/>
      </c>
      <c r="T61">
        <f>HYPERLINK("https://klasma.github.io/Logging_2361/kartor/A 56483-2023 karta.png", "A 56483-2023")</f>
        <v/>
      </c>
      <c r="V61">
        <f>HYPERLINK("https://klasma.github.io/Logging_2361/klagomål/A 56483-2023 FSC-klagomål.docx", "A 56483-2023")</f>
        <v/>
      </c>
      <c r="W61">
        <f>HYPERLINK("https://klasma.github.io/Logging_2361/klagomålsmail/A 56483-2023 FSC-klagomål mail.docx", "A 56483-2023")</f>
        <v/>
      </c>
      <c r="X61">
        <f>HYPERLINK("https://klasma.github.io/Logging_2361/tillsyn/A 56483-2023 tillsynsbegäran.docx", "A 56483-2023")</f>
        <v/>
      </c>
      <c r="Y61">
        <f>HYPERLINK("https://klasma.github.io/Logging_2361/tillsynsmail/A 56483-2023 tillsynsbegäran mail.docx", "A 56483-2023")</f>
        <v/>
      </c>
      <c r="Z61">
        <f>HYPERLINK("https://klasma.github.io/Logging_2361/fåglar/A 56483-2023 prioriterade fågelarter.docx", "A 56483-2023")</f>
        <v/>
      </c>
    </row>
    <row r="62" ht="15" customHeight="1">
      <c r="A62" t="inlineStr">
        <is>
          <t>A 18885-2024</t>
        </is>
      </c>
      <c r="B62" s="1" t="n">
        <v>45426</v>
      </c>
      <c r="C62" s="1" t="n">
        <v>45583</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27191-2024</t>
        </is>
      </c>
      <c r="B63" s="1" t="n">
        <v>45471</v>
      </c>
      <c r="C63" s="1" t="n">
        <v>45583</v>
      </c>
      <c r="D63" t="inlineStr">
        <is>
          <t>JÄMTLANDS LÄN</t>
        </is>
      </c>
      <c r="E63" t="inlineStr">
        <is>
          <t>HÄRJEDALEN</t>
        </is>
      </c>
      <c r="F63" t="inlineStr">
        <is>
          <t>Holmen skog AB</t>
        </is>
      </c>
      <c r="G63" t="n">
        <v>18.7</v>
      </c>
      <c r="H63" t="n">
        <v>1</v>
      </c>
      <c r="I63" t="n">
        <v>1</v>
      </c>
      <c r="J63" t="n">
        <v>6</v>
      </c>
      <c r="K63" t="n">
        <v>2</v>
      </c>
      <c r="L63" t="n">
        <v>0</v>
      </c>
      <c r="M63" t="n">
        <v>0</v>
      </c>
      <c r="N63" t="n">
        <v>0</v>
      </c>
      <c r="O63" t="n">
        <v>8</v>
      </c>
      <c r="P63" t="n">
        <v>2</v>
      </c>
      <c r="Q63" t="n">
        <v>9</v>
      </c>
      <c r="R63" s="2" t="inlineStr">
        <is>
          <t>Knärot
Tallgråticka
Blå taggsvamp
Dvärgbägarlav
Kolflarnlav
Mörk kolflarnlav
Nordtagging
Talltaggsvamp
Skarp dropptaggsvamp</t>
        </is>
      </c>
      <c r="S63">
        <f>HYPERLINK("https://klasma.github.io/Logging_2361/artfynd/A 27191-2024 artfynd.xlsx", "A 27191-2024")</f>
        <v/>
      </c>
      <c r="T63">
        <f>HYPERLINK("https://klasma.github.io/Logging_2361/kartor/A 27191-2024 karta.png", "A 27191-2024")</f>
        <v/>
      </c>
      <c r="U63">
        <f>HYPERLINK("https://klasma.github.io/Logging_2361/knärot/A 27191-2024 karta knärot.png", "A 27191-2024")</f>
        <v/>
      </c>
      <c r="V63">
        <f>HYPERLINK("https://klasma.github.io/Logging_2361/klagomål/A 27191-2024 FSC-klagomål.docx", "A 27191-2024")</f>
        <v/>
      </c>
      <c r="W63">
        <f>HYPERLINK("https://klasma.github.io/Logging_2361/klagomålsmail/A 27191-2024 FSC-klagomål mail.docx", "A 27191-2024")</f>
        <v/>
      </c>
      <c r="X63">
        <f>HYPERLINK("https://klasma.github.io/Logging_2361/tillsyn/A 27191-2024 tillsynsbegäran.docx", "A 27191-2024")</f>
        <v/>
      </c>
      <c r="Y63">
        <f>HYPERLINK("https://klasma.github.io/Logging_2361/tillsynsmail/A 27191-2024 tillsynsbegäran mail.docx", "A 27191-2024")</f>
        <v/>
      </c>
    </row>
    <row r="64" ht="15" customHeight="1">
      <c r="A64" t="inlineStr">
        <is>
          <t>A 32501-2019</t>
        </is>
      </c>
      <c r="B64" s="1" t="n">
        <v>43644</v>
      </c>
      <c r="C64" s="1" t="n">
        <v>45583</v>
      </c>
      <c r="D64" t="inlineStr">
        <is>
          <t>JÄMTLANDS LÄN</t>
        </is>
      </c>
      <c r="E64" t="inlineStr">
        <is>
          <t>HÄRJEDALEN</t>
        </is>
      </c>
      <c r="F64" t="inlineStr">
        <is>
          <t>SCA</t>
        </is>
      </c>
      <c r="G64" t="n">
        <v>1</v>
      </c>
      <c r="H64" t="n">
        <v>3</v>
      </c>
      <c r="I64" t="n">
        <v>3</v>
      </c>
      <c r="J64" t="n">
        <v>4</v>
      </c>
      <c r="K64" t="n">
        <v>0</v>
      </c>
      <c r="L64" t="n">
        <v>0</v>
      </c>
      <c r="M64" t="n">
        <v>0</v>
      </c>
      <c r="N64" t="n">
        <v>0</v>
      </c>
      <c r="O64" t="n">
        <v>4</v>
      </c>
      <c r="P64" t="n">
        <v>0</v>
      </c>
      <c r="Q64" t="n">
        <v>8</v>
      </c>
      <c r="R64" s="2" t="inlineStr">
        <is>
          <t>Garnlav
Lunglav
Talltita
Vitgrynig nållav
Skinnlav
Spindelblomster
Stuplav
Tjäder</t>
        </is>
      </c>
      <c r="S64">
        <f>HYPERLINK("https://klasma.github.io/Logging_2361/artfynd/A 32501-2019 artfynd.xlsx", "A 32501-2019")</f>
        <v/>
      </c>
      <c r="T64">
        <f>HYPERLINK("https://klasma.github.io/Logging_2361/kartor/A 32501-2019 karta.png", "A 32501-2019")</f>
        <v/>
      </c>
      <c r="V64">
        <f>HYPERLINK("https://klasma.github.io/Logging_2361/klagomål/A 32501-2019 FSC-klagomål.docx", "A 32501-2019")</f>
        <v/>
      </c>
      <c r="W64">
        <f>HYPERLINK("https://klasma.github.io/Logging_2361/klagomålsmail/A 32501-2019 FSC-klagomål mail.docx", "A 32501-2019")</f>
        <v/>
      </c>
      <c r="X64">
        <f>HYPERLINK("https://klasma.github.io/Logging_2361/tillsyn/A 32501-2019 tillsynsbegäran.docx", "A 32501-2019")</f>
        <v/>
      </c>
      <c r="Y64">
        <f>HYPERLINK("https://klasma.github.io/Logging_2361/tillsynsmail/A 32501-2019 tillsynsbegäran mail.docx", "A 32501-2019")</f>
        <v/>
      </c>
      <c r="Z64">
        <f>HYPERLINK("https://klasma.github.io/Logging_2361/fåglar/A 32501-2019 prioriterade fågelarter.docx", "A 32501-2019")</f>
        <v/>
      </c>
    </row>
    <row r="65" ht="15" customHeight="1">
      <c r="A65" t="inlineStr">
        <is>
          <t>A 33422-2021</t>
        </is>
      </c>
      <c r="B65" s="1" t="n">
        <v>44377</v>
      </c>
      <c r="C65" s="1" t="n">
        <v>45583</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74075-2021</t>
        </is>
      </c>
      <c r="B66" s="1" t="n">
        <v>44553</v>
      </c>
      <c r="C66" s="1" t="n">
        <v>45583</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41555-2023</t>
        </is>
      </c>
      <c r="B67" s="1" t="n">
        <v>45175</v>
      </c>
      <c r="C67" s="1" t="n">
        <v>45583</v>
      </c>
      <c r="D67" t="inlineStr">
        <is>
          <t>JÄMTLANDS LÄN</t>
        </is>
      </c>
      <c r="E67" t="inlineStr">
        <is>
          <t>HÄRJEDALEN</t>
        </is>
      </c>
      <c r="F67" t="inlineStr">
        <is>
          <t>Bergvik skog väst AB</t>
        </is>
      </c>
      <c r="G67" t="n">
        <v>10.2</v>
      </c>
      <c r="H67" t="n">
        <v>1</v>
      </c>
      <c r="I67" t="n">
        <v>0</v>
      </c>
      <c r="J67" t="n">
        <v>7</v>
      </c>
      <c r="K67" t="n">
        <v>1</v>
      </c>
      <c r="L67" t="n">
        <v>0</v>
      </c>
      <c r="M67" t="n">
        <v>0</v>
      </c>
      <c r="N67" t="n">
        <v>0</v>
      </c>
      <c r="O67" t="n">
        <v>8</v>
      </c>
      <c r="P67" t="n">
        <v>1</v>
      </c>
      <c r="Q67" t="n">
        <v>8</v>
      </c>
      <c r="R67" s="2" t="inlineStr">
        <is>
          <t>Knärot
Dvärgbägarlav
Garnlav
Kolflarnlav
Mörk kolflarnlav
Vedflamlav
Vedskivlav
Violettgrå tagellav</t>
        </is>
      </c>
      <c r="S67">
        <f>HYPERLINK("https://klasma.github.io/Logging_2361/artfynd/A 41555-2023 artfynd.xlsx", "A 41555-2023")</f>
        <v/>
      </c>
      <c r="T67">
        <f>HYPERLINK("https://klasma.github.io/Logging_2361/kartor/A 41555-2023 karta.png", "A 41555-2023")</f>
        <v/>
      </c>
      <c r="U67">
        <f>HYPERLINK("https://klasma.github.io/Logging_2361/knärot/A 41555-2023 karta knärot.png", "A 41555-2023")</f>
        <v/>
      </c>
      <c r="V67">
        <f>HYPERLINK("https://klasma.github.io/Logging_2361/klagomål/A 41555-2023 FSC-klagomål.docx", "A 41555-2023")</f>
        <v/>
      </c>
      <c r="W67">
        <f>HYPERLINK("https://klasma.github.io/Logging_2361/klagomålsmail/A 41555-2023 FSC-klagomål mail.docx", "A 41555-2023")</f>
        <v/>
      </c>
      <c r="X67">
        <f>HYPERLINK("https://klasma.github.io/Logging_2361/tillsyn/A 41555-2023 tillsynsbegäran.docx", "A 41555-2023")</f>
        <v/>
      </c>
      <c r="Y67">
        <f>HYPERLINK("https://klasma.github.io/Logging_2361/tillsynsmail/A 41555-2023 tillsynsbegäran mail.docx", "A 41555-2023")</f>
        <v/>
      </c>
    </row>
    <row r="68" ht="15" customHeight="1">
      <c r="A68" t="inlineStr">
        <is>
          <t>A 42828-2021</t>
        </is>
      </c>
      <c r="B68" s="1" t="n">
        <v>44430</v>
      </c>
      <c r="C68" s="1" t="n">
        <v>45583</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45583</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14058-2023</t>
        </is>
      </c>
      <c r="B70" s="1" t="n">
        <v>45007</v>
      </c>
      <c r="C70" s="1" t="n">
        <v>45583</v>
      </c>
      <c r="D70" t="inlineStr">
        <is>
          <t>JÄMTLANDS LÄN</t>
        </is>
      </c>
      <c r="E70" t="inlineStr">
        <is>
          <t>HÄRJEDALEN</t>
        </is>
      </c>
      <c r="F70" t="inlineStr">
        <is>
          <t>Bergvik skog väst AB</t>
        </is>
      </c>
      <c r="G70" t="n">
        <v>33.9</v>
      </c>
      <c r="H70" t="n">
        <v>1</v>
      </c>
      <c r="I70" t="n">
        <v>1</v>
      </c>
      <c r="J70" t="n">
        <v>5</v>
      </c>
      <c r="K70" t="n">
        <v>1</v>
      </c>
      <c r="L70" t="n">
        <v>0</v>
      </c>
      <c r="M70" t="n">
        <v>0</v>
      </c>
      <c r="N70" t="n">
        <v>0</v>
      </c>
      <c r="O70" t="n">
        <v>6</v>
      </c>
      <c r="P70" t="n">
        <v>1</v>
      </c>
      <c r="Q70" t="n">
        <v>7</v>
      </c>
      <c r="R70" s="2" t="inlineStr">
        <is>
          <t>Gräddporing
Björktrast
Kolflarnlav
Mörk kolflarnlav
Nordtagging
Vedflamlav
Skarp dropptaggsvamp</t>
        </is>
      </c>
      <c r="S70">
        <f>HYPERLINK("https://klasma.github.io/Logging_2361/artfynd/A 14058-2023 artfynd.xlsx", "A 14058-2023")</f>
        <v/>
      </c>
      <c r="T70">
        <f>HYPERLINK("https://klasma.github.io/Logging_2361/kartor/A 14058-2023 karta.png", "A 14058-2023")</f>
        <v/>
      </c>
      <c r="V70">
        <f>HYPERLINK("https://klasma.github.io/Logging_2361/klagomål/A 14058-2023 FSC-klagomål.docx", "A 14058-2023")</f>
        <v/>
      </c>
      <c r="W70">
        <f>HYPERLINK("https://klasma.github.io/Logging_2361/klagomålsmail/A 14058-2023 FSC-klagomål mail.docx", "A 14058-2023")</f>
        <v/>
      </c>
      <c r="X70">
        <f>HYPERLINK("https://klasma.github.io/Logging_2361/tillsyn/A 14058-2023 tillsynsbegäran.docx", "A 14058-2023")</f>
        <v/>
      </c>
      <c r="Y70">
        <f>HYPERLINK("https://klasma.github.io/Logging_2361/tillsynsmail/A 14058-2023 tillsynsbegäran mail.docx", "A 14058-2023")</f>
        <v/>
      </c>
      <c r="Z70">
        <f>HYPERLINK("https://klasma.github.io/Logging_2361/fåglar/A 14058-2023 prioriterade fågelarter.docx", "A 14058-2023")</f>
        <v/>
      </c>
    </row>
    <row r="71" ht="15" customHeight="1">
      <c r="A71" t="inlineStr">
        <is>
          <t>A 29760-2023</t>
        </is>
      </c>
      <c r="B71" s="1" t="n">
        <v>45107</v>
      </c>
      <c r="C71" s="1" t="n">
        <v>45583</v>
      </c>
      <c r="D71" t="inlineStr">
        <is>
          <t>JÄMTLANDS LÄN</t>
        </is>
      </c>
      <c r="E71" t="inlineStr">
        <is>
          <t>HÄRJEDALEN</t>
        </is>
      </c>
      <c r="G71" t="n">
        <v>24.9</v>
      </c>
      <c r="H71" t="n">
        <v>1</v>
      </c>
      <c r="I71" t="n">
        <v>0</v>
      </c>
      <c r="J71" t="n">
        <v>6</v>
      </c>
      <c r="K71" t="n">
        <v>1</v>
      </c>
      <c r="L71" t="n">
        <v>0</v>
      </c>
      <c r="M71" t="n">
        <v>0</v>
      </c>
      <c r="N71" t="n">
        <v>0</v>
      </c>
      <c r="O71" t="n">
        <v>7</v>
      </c>
      <c r="P71" t="n">
        <v>1</v>
      </c>
      <c r="Q71" t="n">
        <v>7</v>
      </c>
      <c r="R71" s="2" t="inlineStr">
        <is>
          <t>Knärot
Garnlav
Kolflarnlav
Lunglav
Mörk kolflarnlav
Vedskivlav
Violettgrå tagellav</t>
        </is>
      </c>
      <c r="S71">
        <f>HYPERLINK("https://klasma.github.io/Logging_2361/artfynd/A 29760-2023 artfynd.xlsx", "A 29760-2023")</f>
        <v/>
      </c>
      <c r="T71">
        <f>HYPERLINK("https://klasma.github.io/Logging_2361/kartor/A 29760-2023 karta.png", "A 29760-2023")</f>
        <v/>
      </c>
      <c r="U71">
        <f>HYPERLINK("https://klasma.github.io/Logging_2361/knärot/A 29760-2023 karta knärot.png", "A 29760-2023")</f>
        <v/>
      </c>
      <c r="V71">
        <f>HYPERLINK("https://klasma.github.io/Logging_2361/klagomål/A 29760-2023 FSC-klagomål.docx", "A 29760-2023")</f>
        <v/>
      </c>
      <c r="W71">
        <f>HYPERLINK("https://klasma.github.io/Logging_2361/klagomålsmail/A 29760-2023 FSC-klagomål mail.docx", "A 29760-2023")</f>
        <v/>
      </c>
      <c r="X71">
        <f>HYPERLINK("https://klasma.github.io/Logging_2361/tillsyn/A 29760-2023 tillsynsbegäran.docx", "A 29760-2023")</f>
        <v/>
      </c>
      <c r="Y71">
        <f>HYPERLINK("https://klasma.github.io/Logging_2361/tillsynsmail/A 29760-2023 tillsynsbegäran mail.docx", "A 29760-2023")</f>
        <v/>
      </c>
    </row>
    <row r="72" ht="15" customHeight="1">
      <c r="A72" t="inlineStr">
        <is>
          <t>A 42719-2023</t>
        </is>
      </c>
      <c r="B72" s="1" t="n">
        <v>45181</v>
      </c>
      <c r="C72" s="1" t="n">
        <v>45583</v>
      </c>
      <c r="D72" t="inlineStr">
        <is>
          <t>JÄMTLANDS LÄN</t>
        </is>
      </c>
      <c r="E72" t="inlineStr">
        <is>
          <t>HÄRJEDALEN</t>
        </is>
      </c>
      <c r="F72" t="inlineStr">
        <is>
          <t>Sveaskog</t>
        </is>
      </c>
      <c r="G72" t="n">
        <v>11.3</v>
      </c>
      <c r="H72" t="n">
        <v>0</v>
      </c>
      <c r="I72" t="n">
        <v>2</v>
      </c>
      <c r="J72" t="n">
        <v>5</v>
      </c>
      <c r="K72" t="n">
        <v>0</v>
      </c>
      <c r="L72" t="n">
        <v>0</v>
      </c>
      <c r="M72" t="n">
        <v>0</v>
      </c>
      <c r="N72" t="n">
        <v>0</v>
      </c>
      <c r="O72" t="n">
        <v>5</v>
      </c>
      <c r="P72" t="n">
        <v>0</v>
      </c>
      <c r="Q72" t="n">
        <v>7</v>
      </c>
      <c r="R72" s="2" t="inlineStr">
        <is>
          <t>Blå taggsvamp
Dvärgbägarlav
Kolflarnlav
Mörk kolflarnlav
Vedflamlav
Dropptaggsvamp
Skarp dropptaggsvamp</t>
        </is>
      </c>
      <c r="S72">
        <f>HYPERLINK("https://klasma.github.io/Logging_2361/artfynd/A 42719-2023 artfynd.xlsx", "A 42719-2023")</f>
        <v/>
      </c>
      <c r="T72">
        <f>HYPERLINK("https://klasma.github.io/Logging_2361/kartor/A 42719-2023 karta.png", "A 42719-2023")</f>
        <v/>
      </c>
      <c r="V72">
        <f>HYPERLINK("https://klasma.github.io/Logging_2361/klagomål/A 42719-2023 FSC-klagomål.docx", "A 42719-2023")</f>
        <v/>
      </c>
      <c r="W72">
        <f>HYPERLINK("https://klasma.github.io/Logging_2361/klagomålsmail/A 42719-2023 FSC-klagomål mail.docx", "A 42719-2023")</f>
        <v/>
      </c>
      <c r="X72">
        <f>HYPERLINK("https://klasma.github.io/Logging_2361/tillsyn/A 42719-2023 tillsynsbegäran.docx", "A 42719-2023")</f>
        <v/>
      </c>
      <c r="Y72">
        <f>HYPERLINK("https://klasma.github.io/Logging_2361/tillsynsmail/A 42719-2023 tillsynsbegäran mail.docx", "A 42719-2023")</f>
        <v/>
      </c>
    </row>
    <row r="73" ht="15" customHeight="1">
      <c r="A73" t="inlineStr">
        <is>
          <t>A 33404-2024</t>
        </is>
      </c>
      <c r="B73" s="1" t="n">
        <v>45519</v>
      </c>
      <c r="C73" s="1" t="n">
        <v>45583</v>
      </c>
      <c r="D73" t="inlineStr">
        <is>
          <t>JÄMTLANDS LÄN</t>
        </is>
      </c>
      <c r="E73" t="inlineStr">
        <is>
          <t>HÄRJEDALEN</t>
        </is>
      </c>
      <c r="F73" t="inlineStr">
        <is>
          <t>SCA</t>
        </is>
      </c>
      <c r="G73" t="n">
        <v>8.1</v>
      </c>
      <c r="H73" t="n">
        <v>0</v>
      </c>
      <c r="I73" t="n">
        <v>0</v>
      </c>
      <c r="J73" t="n">
        <v>6</v>
      </c>
      <c r="K73" t="n">
        <v>1</v>
      </c>
      <c r="L73" t="n">
        <v>0</v>
      </c>
      <c r="M73" t="n">
        <v>0</v>
      </c>
      <c r="N73" t="n">
        <v>0</v>
      </c>
      <c r="O73" t="n">
        <v>7</v>
      </c>
      <c r="P73" t="n">
        <v>1</v>
      </c>
      <c r="Q73" t="n">
        <v>7</v>
      </c>
      <c r="R73" s="2" t="inlineStr">
        <is>
          <t>Rynkskinn
Gammelgransskål
Garnlav
Granticka
Gränsticka
Knottrig blåslav
Ullticka</t>
        </is>
      </c>
      <c r="S73">
        <f>HYPERLINK("https://klasma.github.io/Logging_2361/artfynd/A 33404-2024 artfynd.xlsx", "A 33404-2024")</f>
        <v/>
      </c>
      <c r="T73">
        <f>HYPERLINK("https://klasma.github.io/Logging_2361/kartor/A 33404-2024 karta.png", "A 33404-2024")</f>
        <v/>
      </c>
      <c r="V73">
        <f>HYPERLINK("https://klasma.github.io/Logging_2361/klagomål/A 33404-2024 FSC-klagomål.docx", "A 33404-2024")</f>
        <v/>
      </c>
      <c r="W73">
        <f>HYPERLINK("https://klasma.github.io/Logging_2361/klagomålsmail/A 33404-2024 FSC-klagomål mail.docx", "A 33404-2024")</f>
        <v/>
      </c>
      <c r="X73">
        <f>HYPERLINK("https://klasma.github.io/Logging_2361/tillsyn/A 33404-2024 tillsynsbegäran.docx", "A 33404-2024")</f>
        <v/>
      </c>
      <c r="Y73">
        <f>HYPERLINK("https://klasma.github.io/Logging_2361/tillsynsmail/A 33404-2024 tillsynsbegäran mail.docx", "A 33404-2024")</f>
        <v/>
      </c>
    </row>
    <row r="74" ht="15" customHeight="1">
      <c r="A74" t="inlineStr">
        <is>
          <t>A 38530-2019</t>
        </is>
      </c>
      <c r="B74" s="1" t="n">
        <v>43685</v>
      </c>
      <c r="C74" s="1" t="n">
        <v>45583</v>
      </c>
      <c r="D74" t="inlineStr">
        <is>
          <t>JÄMTLANDS LÄN</t>
        </is>
      </c>
      <c r="E74" t="inlineStr">
        <is>
          <t>HÄRJEDALEN</t>
        </is>
      </c>
      <c r="F74" t="inlineStr">
        <is>
          <t>Sveaskog</t>
        </is>
      </c>
      <c r="G74" t="n">
        <v>67.8</v>
      </c>
      <c r="H74" t="n">
        <v>0</v>
      </c>
      <c r="I74" t="n">
        <v>1</v>
      </c>
      <c r="J74" t="n">
        <v>5</v>
      </c>
      <c r="K74" t="n">
        <v>0</v>
      </c>
      <c r="L74" t="n">
        <v>0</v>
      </c>
      <c r="M74" t="n">
        <v>0</v>
      </c>
      <c r="N74" t="n">
        <v>0</v>
      </c>
      <c r="O74" t="n">
        <v>5</v>
      </c>
      <c r="P74" t="n">
        <v>0</v>
      </c>
      <c r="Q74" t="n">
        <v>6</v>
      </c>
      <c r="R74" s="2" t="inlineStr">
        <is>
          <t>Garnlav
Kolflarnlav
Mörk kolflarnlav
Skrovellav
Violettgrå tagellav
Skuggblåslav</t>
        </is>
      </c>
      <c r="S74">
        <f>HYPERLINK("https://klasma.github.io/Logging_2361/artfynd/A 38530-2019 artfynd.xlsx", "A 38530-2019")</f>
        <v/>
      </c>
      <c r="T74">
        <f>HYPERLINK("https://klasma.github.io/Logging_2361/kartor/A 38530-2019 karta.png", "A 38530-2019")</f>
        <v/>
      </c>
      <c r="V74">
        <f>HYPERLINK("https://klasma.github.io/Logging_2361/klagomål/A 38530-2019 FSC-klagomål.docx", "A 38530-2019")</f>
        <v/>
      </c>
      <c r="W74">
        <f>HYPERLINK("https://klasma.github.io/Logging_2361/klagomålsmail/A 38530-2019 FSC-klagomål mail.docx", "A 38530-2019")</f>
        <v/>
      </c>
      <c r="X74">
        <f>HYPERLINK("https://klasma.github.io/Logging_2361/tillsyn/A 38530-2019 tillsynsbegäran.docx", "A 38530-2019")</f>
        <v/>
      </c>
      <c r="Y74">
        <f>HYPERLINK("https://klasma.github.io/Logging_2361/tillsynsmail/A 38530-2019 tillsynsbegäran mail.docx", "A 38530-2019")</f>
        <v/>
      </c>
    </row>
    <row r="75" ht="15" customHeight="1">
      <c r="A75" t="inlineStr">
        <is>
          <t>A 7732-2021</t>
        </is>
      </c>
      <c r="B75" s="1" t="n">
        <v>44242</v>
      </c>
      <c r="C75" s="1" t="n">
        <v>45583</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62683-2022</t>
        </is>
      </c>
      <c r="B76" s="1" t="n">
        <v>44925</v>
      </c>
      <c r="C76" s="1" t="n">
        <v>45583</v>
      </c>
      <c r="D76" t="inlineStr">
        <is>
          <t>JÄMTLANDS LÄN</t>
        </is>
      </c>
      <c r="E76" t="inlineStr">
        <is>
          <t>HÄRJEDALEN</t>
        </is>
      </c>
      <c r="F76" t="inlineStr">
        <is>
          <t>Holmen skog AB</t>
        </is>
      </c>
      <c r="G76" t="n">
        <v>3.7</v>
      </c>
      <c r="H76" t="n">
        <v>2</v>
      </c>
      <c r="I76" t="n">
        <v>1</v>
      </c>
      <c r="J76" t="n">
        <v>4</v>
      </c>
      <c r="K76" t="n">
        <v>1</v>
      </c>
      <c r="L76" t="n">
        <v>0</v>
      </c>
      <c r="M76" t="n">
        <v>0</v>
      </c>
      <c r="N76" t="n">
        <v>0</v>
      </c>
      <c r="O76" t="n">
        <v>5</v>
      </c>
      <c r="P76" t="n">
        <v>1</v>
      </c>
      <c r="Q76" t="n">
        <v>6</v>
      </c>
      <c r="R76" s="2" t="inlineStr">
        <is>
          <t>Knärot
Knottrig blåslav
Kolflarnlav
Lunglav
Skrovellav
Spindelblomster</t>
        </is>
      </c>
      <c r="S76">
        <f>HYPERLINK("https://klasma.github.io/Logging_2361/artfynd/A 62683-2022 artfynd.xlsx", "A 62683-2022")</f>
        <v/>
      </c>
      <c r="T76">
        <f>HYPERLINK("https://klasma.github.io/Logging_2361/kartor/A 62683-2022 karta.png", "A 62683-2022")</f>
        <v/>
      </c>
      <c r="U76">
        <f>HYPERLINK("https://klasma.github.io/Logging_2361/knärot/A 62683-2022 karta knärot.png", "A 62683-2022")</f>
        <v/>
      </c>
      <c r="V76">
        <f>HYPERLINK("https://klasma.github.io/Logging_2361/klagomål/A 62683-2022 FSC-klagomål.docx", "A 62683-2022")</f>
        <v/>
      </c>
      <c r="W76">
        <f>HYPERLINK("https://klasma.github.io/Logging_2361/klagomålsmail/A 62683-2022 FSC-klagomål mail.docx", "A 62683-2022")</f>
        <v/>
      </c>
      <c r="X76">
        <f>HYPERLINK("https://klasma.github.io/Logging_2361/tillsyn/A 62683-2022 tillsynsbegäran.docx", "A 62683-2022")</f>
        <v/>
      </c>
      <c r="Y76">
        <f>HYPERLINK("https://klasma.github.io/Logging_2361/tillsynsmail/A 62683-2022 tillsynsbegäran mail.docx", "A 62683-2022")</f>
        <v/>
      </c>
    </row>
    <row r="77" ht="15" customHeight="1">
      <c r="A77" t="inlineStr">
        <is>
          <t>A 10023-2023</t>
        </is>
      </c>
      <c r="B77" s="1" t="n">
        <v>44979</v>
      </c>
      <c r="C77" s="1" t="n">
        <v>45583</v>
      </c>
      <c r="D77" t="inlineStr">
        <is>
          <t>JÄMTLANDS LÄN</t>
        </is>
      </c>
      <c r="E77" t="inlineStr">
        <is>
          <t>HÄRJEDALEN</t>
        </is>
      </c>
      <c r="G77" t="n">
        <v>12.6</v>
      </c>
      <c r="H77" t="n">
        <v>6</v>
      </c>
      <c r="I77" t="n">
        <v>1</v>
      </c>
      <c r="J77" t="n">
        <v>0</v>
      </c>
      <c r="K77" t="n">
        <v>0</v>
      </c>
      <c r="L77" t="n">
        <v>0</v>
      </c>
      <c r="M77" t="n">
        <v>0</v>
      </c>
      <c r="N77" t="n">
        <v>0</v>
      </c>
      <c r="O77" t="n">
        <v>0</v>
      </c>
      <c r="P77" t="n">
        <v>0</v>
      </c>
      <c r="Q77" t="n">
        <v>6</v>
      </c>
      <c r="R77" s="2" t="inlineStr">
        <is>
          <t>Spindelblomster
Vanlig groda
Fläcknycklar
Lopplummer
Mattlummer
Revlummer</t>
        </is>
      </c>
      <c r="S77">
        <f>HYPERLINK("https://klasma.github.io/Logging_2361/artfynd/A 10023-2023 artfynd.xlsx", "A 10023-2023")</f>
        <v/>
      </c>
      <c r="T77">
        <f>HYPERLINK("https://klasma.github.io/Logging_2361/kartor/A 10023-2023 karta.png", "A 10023-2023")</f>
        <v/>
      </c>
      <c r="V77">
        <f>HYPERLINK("https://klasma.github.io/Logging_2361/klagomål/A 10023-2023 FSC-klagomål.docx", "A 10023-2023")</f>
        <v/>
      </c>
      <c r="W77">
        <f>HYPERLINK("https://klasma.github.io/Logging_2361/klagomålsmail/A 10023-2023 FSC-klagomål mail.docx", "A 10023-2023")</f>
        <v/>
      </c>
      <c r="X77">
        <f>HYPERLINK("https://klasma.github.io/Logging_2361/tillsyn/A 10023-2023 tillsynsbegäran.docx", "A 10023-2023")</f>
        <v/>
      </c>
      <c r="Y77">
        <f>HYPERLINK("https://klasma.github.io/Logging_2361/tillsynsmail/A 10023-2023 tillsynsbegäran mail.docx", "A 10023-2023")</f>
        <v/>
      </c>
    </row>
    <row r="78" ht="15" customHeight="1">
      <c r="A78" t="inlineStr">
        <is>
          <t>A 32087-2023</t>
        </is>
      </c>
      <c r="B78" s="1" t="n">
        <v>45119</v>
      </c>
      <c r="C78" s="1" t="n">
        <v>45583</v>
      </c>
      <c r="D78" t="inlineStr">
        <is>
          <t>JÄMTLANDS LÄN</t>
        </is>
      </c>
      <c r="E78" t="inlineStr">
        <is>
          <t>HÄRJEDALEN</t>
        </is>
      </c>
      <c r="F78" t="inlineStr">
        <is>
          <t>Kommuner</t>
        </is>
      </c>
      <c r="G78" t="n">
        <v>24.1</v>
      </c>
      <c r="H78" t="n">
        <v>0</v>
      </c>
      <c r="I78" t="n">
        <v>2</v>
      </c>
      <c r="J78" t="n">
        <v>3</v>
      </c>
      <c r="K78" t="n">
        <v>1</v>
      </c>
      <c r="L78" t="n">
        <v>0</v>
      </c>
      <c r="M78" t="n">
        <v>0</v>
      </c>
      <c r="N78" t="n">
        <v>0</v>
      </c>
      <c r="O78" t="n">
        <v>4</v>
      </c>
      <c r="P78" t="n">
        <v>1</v>
      </c>
      <c r="Q78" t="n">
        <v>6</v>
      </c>
      <c r="R78" s="2" t="inlineStr">
        <is>
          <t>Smalfotad taggsvamp
Blå taggsvamp
Kolflarnlav
Motaggsvamp
Dropptaggsvamp
Skarp dropptaggsvamp</t>
        </is>
      </c>
      <c r="S78">
        <f>HYPERLINK("https://klasma.github.io/Logging_2361/artfynd/A 32087-2023 artfynd.xlsx", "A 32087-2023")</f>
        <v/>
      </c>
      <c r="T78">
        <f>HYPERLINK("https://klasma.github.io/Logging_2361/kartor/A 32087-2023 karta.png", "A 32087-2023")</f>
        <v/>
      </c>
      <c r="V78">
        <f>HYPERLINK("https://klasma.github.io/Logging_2361/klagomål/A 32087-2023 FSC-klagomål.docx", "A 32087-2023")</f>
        <v/>
      </c>
      <c r="W78">
        <f>HYPERLINK("https://klasma.github.io/Logging_2361/klagomålsmail/A 32087-2023 FSC-klagomål mail.docx", "A 32087-2023")</f>
        <v/>
      </c>
      <c r="X78">
        <f>HYPERLINK("https://klasma.github.io/Logging_2361/tillsyn/A 32087-2023 tillsynsbegäran.docx", "A 32087-2023")</f>
        <v/>
      </c>
      <c r="Y78">
        <f>HYPERLINK("https://klasma.github.io/Logging_2361/tillsynsmail/A 32087-2023 tillsynsbegäran mail.docx", "A 32087-2023")</f>
        <v/>
      </c>
    </row>
    <row r="79" ht="15" customHeight="1">
      <c r="A79" t="inlineStr">
        <is>
          <t>A 43278-2024</t>
        </is>
      </c>
      <c r="B79" s="1" t="n">
        <v>45568</v>
      </c>
      <c r="C79" s="1" t="n">
        <v>45583</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25472-2019</t>
        </is>
      </c>
      <c r="B80" s="1" t="n">
        <v>43606</v>
      </c>
      <c r="C80" s="1" t="n">
        <v>45583</v>
      </c>
      <c r="D80" t="inlineStr">
        <is>
          <t>JÄMTLANDS LÄN</t>
        </is>
      </c>
      <c r="E80" t="inlineStr">
        <is>
          <t>HÄRJEDALEN</t>
        </is>
      </c>
      <c r="G80" t="n">
        <v>18.7</v>
      </c>
      <c r="H80" t="n">
        <v>0</v>
      </c>
      <c r="I80" t="n">
        <v>0</v>
      </c>
      <c r="J80" t="n">
        <v>4</v>
      </c>
      <c r="K80" t="n">
        <v>1</v>
      </c>
      <c r="L80" t="n">
        <v>0</v>
      </c>
      <c r="M80" t="n">
        <v>0</v>
      </c>
      <c r="N80" t="n">
        <v>0</v>
      </c>
      <c r="O80" t="n">
        <v>5</v>
      </c>
      <c r="P80" t="n">
        <v>1</v>
      </c>
      <c r="Q80" t="n">
        <v>5</v>
      </c>
      <c r="R80" s="2" t="inlineStr">
        <is>
          <t>Gräddporing
Dvärgbägarlav
Gammelgransskål
Garnlav
Skrovellav</t>
        </is>
      </c>
      <c r="S80">
        <f>HYPERLINK("https://klasma.github.io/Logging_2361/artfynd/A 25472-2019 artfynd.xlsx", "A 25472-2019")</f>
        <v/>
      </c>
      <c r="T80">
        <f>HYPERLINK("https://klasma.github.io/Logging_2361/kartor/A 25472-2019 karta.png", "A 25472-2019")</f>
        <v/>
      </c>
      <c r="V80">
        <f>HYPERLINK("https://klasma.github.io/Logging_2361/klagomål/A 25472-2019 FSC-klagomål.docx", "A 25472-2019")</f>
        <v/>
      </c>
      <c r="W80">
        <f>HYPERLINK("https://klasma.github.io/Logging_2361/klagomålsmail/A 25472-2019 FSC-klagomål mail.docx", "A 25472-2019")</f>
        <v/>
      </c>
      <c r="X80">
        <f>HYPERLINK("https://klasma.github.io/Logging_2361/tillsyn/A 25472-2019 tillsynsbegäran.docx", "A 25472-2019")</f>
        <v/>
      </c>
      <c r="Y80">
        <f>HYPERLINK("https://klasma.github.io/Logging_2361/tillsynsmail/A 25472-2019 tillsynsbegäran mail.docx", "A 25472-2019")</f>
        <v/>
      </c>
    </row>
    <row r="81" ht="15" customHeight="1">
      <c r="A81" t="inlineStr">
        <is>
          <t>A 14285-2021</t>
        </is>
      </c>
      <c r="B81" s="1" t="n">
        <v>44278</v>
      </c>
      <c r="C81" s="1" t="n">
        <v>45583</v>
      </c>
      <c r="D81" t="inlineStr">
        <is>
          <t>JÄMTLANDS LÄN</t>
        </is>
      </c>
      <c r="E81" t="inlineStr">
        <is>
          <t>HÄRJEDALEN</t>
        </is>
      </c>
      <c r="F81" t="inlineStr">
        <is>
          <t>Bergvik skog väst AB</t>
        </is>
      </c>
      <c r="G81" t="n">
        <v>31</v>
      </c>
      <c r="H81" t="n">
        <v>3</v>
      </c>
      <c r="I81" t="n">
        <v>0</v>
      </c>
      <c r="J81" t="n">
        <v>4</v>
      </c>
      <c r="K81" t="n">
        <v>0</v>
      </c>
      <c r="L81" t="n">
        <v>0</v>
      </c>
      <c r="M81" t="n">
        <v>0</v>
      </c>
      <c r="N81" t="n">
        <v>0</v>
      </c>
      <c r="O81" t="n">
        <v>4</v>
      </c>
      <c r="P81" t="n">
        <v>0</v>
      </c>
      <c r="Q81" t="n">
        <v>5</v>
      </c>
      <c r="R81" s="2" t="inlineStr">
        <is>
          <t>Garnlav
Granticka
Talltita
Tretåig hackspett
Lavskrika</t>
        </is>
      </c>
      <c r="S81">
        <f>HYPERLINK("https://klasma.github.io/Logging_2361/artfynd/A 14285-2021 artfynd.xlsx", "A 14285-2021")</f>
        <v/>
      </c>
      <c r="T81">
        <f>HYPERLINK("https://klasma.github.io/Logging_2361/kartor/A 14285-2021 karta.png", "A 14285-2021")</f>
        <v/>
      </c>
      <c r="V81">
        <f>HYPERLINK("https://klasma.github.io/Logging_2361/klagomål/A 14285-2021 FSC-klagomål.docx", "A 14285-2021")</f>
        <v/>
      </c>
      <c r="W81">
        <f>HYPERLINK("https://klasma.github.io/Logging_2361/klagomålsmail/A 14285-2021 FSC-klagomål mail.docx", "A 14285-2021")</f>
        <v/>
      </c>
      <c r="X81">
        <f>HYPERLINK("https://klasma.github.io/Logging_2361/tillsyn/A 14285-2021 tillsynsbegäran.docx", "A 14285-2021")</f>
        <v/>
      </c>
      <c r="Y81">
        <f>HYPERLINK("https://klasma.github.io/Logging_2361/tillsynsmail/A 14285-2021 tillsynsbegäran mail.docx", "A 14285-2021")</f>
        <v/>
      </c>
      <c r="Z81">
        <f>HYPERLINK("https://klasma.github.io/Logging_2361/fåglar/A 14285-2021 prioriterade fågelarter.docx", "A 14285-2021")</f>
        <v/>
      </c>
    </row>
    <row r="82" ht="15" customHeight="1">
      <c r="A82" t="inlineStr">
        <is>
          <t>A 65899-2021</t>
        </is>
      </c>
      <c r="B82" s="1" t="n">
        <v>44517</v>
      </c>
      <c r="C82" s="1" t="n">
        <v>45583</v>
      </c>
      <c r="D82" t="inlineStr">
        <is>
          <t>JÄMTLANDS LÄN</t>
        </is>
      </c>
      <c r="E82" t="inlineStr">
        <is>
          <t>HÄRJEDALEN</t>
        </is>
      </c>
      <c r="G82" t="n">
        <v>25</v>
      </c>
      <c r="H82" t="n">
        <v>0</v>
      </c>
      <c r="I82" t="n">
        <v>0</v>
      </c>
      <c r="J82" t="n">
        <v>5</v>
      </c>
      <c r="K82" t="n">
        <v>0</v>
      </c>
      <c r="L82" t="n">
        <v>0</v>
      </c>
      <c r="M82" t="n">
        <v>0</v>
      </c>
      <c r="N82" t="n">
        <v>0</v>
      </c>
      <c r="O82" t="n">
        <v>5</v>
      </c>
      <c r="P82" t="n">
        <v>0</v>
      </c>
      <c r="Q82" t="n">
        <v>5</v>
      </c>
      <c r="R82" s="2" t="inlineStr">
        <is>
          <t>Gammelgransskål
Garnlav
Granticka
Harticka
Vedskivlav</t>
        </is>
      </c>
      <c r="S82">
        <f>HYPERLINK("https://klasma.github.io/Logging_2361/artfynd/A 65899-2021 artfynd.xlsx", "A 65899-2021")</f>
        <v/>
      </c>
      <c r="T82">
        <f>HYPERLINK("https://klasma.github.io/Logging_2361/kartor/A 65899-2021 karta.png", "A 65899-2021")</f>
        <v/>
      </c>
      <c r="V82">
        <f>HYPERLINK("https://klasma.github.io/Logging_2361/klagomål/A 65899-2021 FSC-klagomål.docx", "A 65899-2021")</f>
        <v/>
      </c>
      <c r="W82">
        <f>HYPERLINK("https://klasma.github.io/Logging_2361/klagomålsmail/A 65899-2021 FSC-klagomål mail.docx", "A 65899-2021")</f>
        <v/>
      </c>
      <c r="X82">
        <f>HYPERLINK("https://klasma.github.io/Logging_2361/tillsyn/A 65899-2021 tillsynsbegäran.docx", "A 65899-2021")</f>
        <v/>
      </c>
      <c r="Y82">
        <f>HYPERLINK("https://klasma.github.io/Logging_2361/tillsynsmail/A 65899-2021 tillsynsbegäran mail.docx", "A 65899-2021")</f>
        <v/>
      </c>
    </row>
    <row r="83" ht="15" customHeight="1">
      <c r="A83" t="inlineStr">
        <is>
          <t>A 62717-2022</t>
        </is>
      </c>
      <c r="B83" s="1" t="n">
        <v>44925</v>
      </c>
      <c r="C83" s="1" t="n">
        <v>45583</v>
      </c>
      <c r="D83" t="inlineStr">
        <is>
          <t>JÄMTLANDS LÄN</t>
        </is>
      </c>
      <c r="E83" t="inlineStr">
        <is>
          <t>HÄRJEDALEN</t>
        </is>
      </c>
      <c r="F83" t="inlineStr">
        <is>
          <t>Holmen skog AB</t>
        </is>
      </c>
      <c r="G83" t="n">
        <v>3.2</v>
      </c>
      <c r="H83" t="n">
        <v>1</v>
      </c>
      <c r="I83" t="n">
        <v>0</v>
      </c>
      <c r="J83" t="n">
        <v>4</v>
      </c>
      <c r="K83" t="n">
        <v>1</v>
      </c>
      <c r="L83" t="n">
        <v>0</v>
      </c>
      <c r="M83" t="n">
        <v>0</v>
      </c>
      <c r="N83" t="n">
        <v>0</v>
      </c>
      <c r="O83" t="n">
        <v>5</v>
      </c>
      <c r="P83" t="n">
        <v>1</v>
      </c>
      <c r="Q83" t="n">
        <v>5</v>
      </c>
      <c r="R83" s="2" t="inlineStr">
        <is>
          <t>Knärot
Garnlav
Kolflarnlav
Lunglav
Skrovellav</t>
        </is>
      </c>
      <c r="S83">
        <f>HYPERLINK("https://klasma.github.io/Logging_2361/artfynd/A 62717-2022 artfynd.xlsx", "A 62717-2022")</f>
        <v/>
      </c>
      <c r="T83">
        <f>HYPERLINK("https://klasma.github.io/Logging_2361/kartor/A 62717-2022 karta.png", "A 62717-2022")</f>
        <v/>
      </c>
      <c r="U83">
        <f>HYPERLINK("https://klasma.github.io/Logging_2361/knärot/A 62717-2022 karta knärot.png", "A 62717-2022")</f>
        <v/>
      </c>
      <c r="V83">
        <f>HYPERLINK("https://klasma.github.io/Logging_2361/klagomål/A 62717-2022 FSC-klagomål.docx", "A 62717-2022")</f>
        <v/>
      </c>
      <c r="W83">
        <f>HYPERLINK("https://klasma.github.io/Logging_2361/klagomålsmail/A 62717-2022 FSC-klagomål mail.docx", "A 62717-2022")</f>
        <v/>
      </c>
      <c r="X83">
        <f>HYPERLINK("https://klasma.github.io/Logging_2361/tillsyn/A 62717-2022 tillsynsbegäran.docx", "A 62717-2022")</f>
        <v/>
      </c>
      <c r="Y83">
        <f>HYPERLINK("https://klasma.github.io/Logging_2361/tillsynsmail/A 62717-2022 tillsynsbegäran mail.docx", "A 62717-2022")</f>
        <v/>
      </c>
    </row>
    <row r="84" ht="15" customHeight="1">
      <c r="A84" t="inlineStr">
        <is>
          <t>A 19623-2024</t>
        </is>
      </c>
      <c r="B84" s="1" t="n">
        <v>45432</v>
      </c>
      <c r="C84" s="1" t="n">
        <v>45583</v>
      </c>
      <c r="D84" t="inlineStr">
        <is>
          <t>JÄMTLANDS LÄN</t>
        </is>
      </c>
      <c r="E84" t="inlineStr">
        <is>
          <t>HÄRJEDALEN</t>
        </is>
      </c>
      <c r="G84" t="n">
        <v>11.7</v>
      </c>
      <c r="H84" t="n">
        <v>1</v>
      </c>
      <c r="I84" t="n">
        <v>1</v>
      </c>
      <c r="J84" t="n">
        <v>2</v>
      </c>
      <c r="K84" t="n">
        <v>2</v>
      </c>
      <c r="L84" t="n">
        <v>0</v>
      </c>
      <c r="M84" t="n">
        <v>0</v>
      </c>
      <c r="N84" t="n">
        <v>0</v>
      </c>
      <c r="O84" t="n">
        <v>4</v>
      </c>
      <c r="P84" t="n">
        <v>2</v>
      </c>
      <c r="Q84" t="n">
        <v>5</v>
      </c>
      <c r="R84" s="2" t="inlineStr">
        <is>
          <t>Gräddporing
Knärot
Blå taggsvamp
Slåtterfibbla
Mörk husmossa</t>
        </is>
      </c>
      <c r="S84">
        <f>HYPERLINK("https://klasma.github.io/Logging_2361/artfynd/A 19623-2024 artfynd.xlsx", "A 19623-2024")</f>
        <v/>
      </c>
      <c r="T84">
        <f>HYPERLINK("https://klasma.github.io/Logging_2361/kartor/A 19623-2024 karta.png", "A 19623-2024")</f>
        <v/>
      </c>
      <c r="U84">
        <f>HYPERLINK("https://klasma.github.io/Logging_2361/knärot/A 19623-2024 karta knärot.png", "A 19623-2024")</f>
        <v/>
      </c>
      <c r="V84">
        <f>HYPERLINK("https://klasma.github.io/Logging_2361/klagomål/A 19623-2024 FSC-klagomål.docx", "A 19623-2024")</f>
        <v/>
      </c>
      <c r="W84">
        <f>HYPERLINK("https://klasma.github.io/Logging_2361/klagomålsmail/A 19623-2024 FSC-klagomål mail.docx", "A 19623-2024")</f>
        <v/>
      </c>
      <c r="X84">
        <f>HYPERLINK("https://klasma.github.io/Logging_2361/tillsyn/A 19623-2024 tillsynsbegäran.docx", "A 19623-2024")</f>
        <v/>
      </c>
      <c r="Y84">
        <f>HYPERLINK("https://klasma.github.io/Logging_2361/tillsynsmail/A 19623-2024 tillsynsbegäran mail.docx", "A 19623-2024")</f>
        <v/>
      </c>
    </row>
    <row r="85" ht="15" customHeight="1">
      <c r="A85" t="inlineStr">
        <is>
          <t>A 19799-2024</t>
        </is>
      </c>
      <c r="B85" s="1" t="n">
        <v>45433</v>
      </c>
      <c r="C85" s="1" t="n">
        <v>45583</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36053-2024</t>
        </is>
      </c>
      <c r="B86" s="1" t="n">
        <v>45533</v>
      </c>
      <c r="C86" s="1" t="n">
        <v>45583</v>
      </c>
      <c r="D86" t="inlineStr">
        <is>
          <t>JÄMTLANDS LÄN</t>
        </is>
      </c>
      <c r="E86" t="inlineStr">
        <is>
          <t>HÄRJEDALEN</t>
        </is>
      </c>
      <c r="F86" t="inlineStr">
        <is>
          <t>Sveaskog</t>
        </is>
      </c>
      <c r="G86" t="n">
        <v>7.3</v>
      </c>
      <c r="H86" t="n">
        <v>0</v>
      </c>
      <c r="I86" t="n">
        <v>1</v>
      </c>
      <c r="J86" t="n">
        <v>4</v>
      </c>
      <c r="K86" t="n">
        <v>0</v>
      </c>
      <c r="L86" t="n">
        <v>0</v>
      </c>
      <c r="M86" t="n">
        <v>0</v>
      </c>
      <c r="N86" t="n">
        <v>0</v>
      </c>
      <c r="O86" t="n">
        <v>4</v>
      </c>
      <c r="P86" t="n">
        <v>0</v>
      </c>
      <c r="Q86" t="n">
        <v>5</v>
      </c>
      <c r="R86" s="2" t="inlineStr">
        <is>
          <t>Dvärgbägarlav
Kolflarnlav
Motaggsvamp
Mörk kolflarnlav
Dropptaggsvamp</t>
        </is>
      </c>
      <c r="S86">
        <f>HYPERLINK("https://klasma.github.io/Logging_2361/artfynd/A 36053-2024 artfynd.xlsx", "A 36053-2024")</f>
        <v/>
      </c>
      <c r="T86">
        <f>HYPERLINK("https://klasma.github.io/Logging_2361/kartor/A 36053-2024 karta.png", "A 36053-2024")</f>
        <v/>
      </c>
      <c r="V86">
        <f>HYPERLINK("https://klasma.github.io/Logging_2361/klagomål/A 36053-2024 FSC-klagomål.docx", "A 36053-2024")</f>
        <v/>
      </c>
      <c r="W86">
        <f>HYPERLINK("https://klasma.github.io/Logging_2361/klagomålsmail/A 36053-2024 FSC-klagomål mail.docx", "A 36053-2024")</f>
        <v/>
      </c>
      <c r="X86">
        <f>HYPERLINK("https://klasma.github.io/Logging_2361/tillsyn/A 36053-2024 tillsynsbegäran.docx", "A 36053-2024")</f>
        <v/>
      </c>
      <c r="Y86">
        <f>HYPERLINK("https://klasma.github.io/Logging_2361/tillsynsmail/A 36053-2024 tillsynsbegäran mail.docx", "A 36053-2024")</f>
        <v/>
      </c>
    </row>
    <row r="87" ht="15" customHeight="1">
      <c r="A87" t="inlineStr">
        <is>
          <t>A 63750-2019</t>
        </is>
      </c>
      <c r="B87" s="1" t="n">
        <v>43795</v>
      </c>
      <c r="C87" s="1" t="n">
        <v>45583</v>
      </c>
      <c r="D87" t="inlineStr">
        <is>
          <t>JÄMTLANDS LÄN</t>
        </is>
      </c>
      <c r="E87" t="inlineStr">
        <is>
          <t>HÄRJEDALEN</t>
        </is>
      </c>
      <c r="F87" t="inlineStr">
        <is>
          <t>Sveaskog</t>
        </is>
      </c>
      <c r="G87" t="n">
        <v>5.6</v>
      </c>
      <c r="H87" t="n">
        <v>1</v>
      </c>
      <c r="I87" t="n">
        <v>1</v>
      </c>
      <c r="J87" t="n">
        <v>2</v>
      </c>
      <c r="K87" t="n">
        <v>0</v>
      </c>
      <c r="L87" t="n">
        <v>0</v>
      </c>
      <c r="M87" t="n">
        <v>0</v>
      </c>
      <c r="N87" t="n">
        <v>0</v>
      </c>
      <c r="O87" t="n">
        <v>2</v>
      </c>
      <c r="P87" t="n">
        <v>0</v>
      </c>
      <c r="Q87" t="n">
        <v>4</v>
      </c>
      <c r="R87" s="2" t="inlineStr">
        <is>
          <t>Garnlav
Lunglav
Stuplav
Revlummer</t>
        </is>
      </c>
      <c r="S87">
        <f>HYPERLINK("https://klasma.github.io/Logging_2361/artfynd/A 63750-2019 artfynd.xlsx", "A 63750-2019")</f>
        <v/>
      </c>
      <c r="T87">
        <f>HYPERLINK("https://klasma.github.io/Logging_2361/kartor/A 63750-2019 karta.png", "A 63750-2019")</f>
        <v/>
      </c>
      <c r="V87">
        <f>HYPERLINK("https://klasma.github.io/Logging_2361/klagomål/A 63750-2019 FSC-klagomål.docx", "A 63750-2019")</f>
        <v/>
      </c>
      <c r="W87">
        <f>HYPERLINK("https://klasma.github.io/Logging_2361/klagomålsmail/A 63750-2019 FSC-klagomål mail.docx", "A 63750-2019")</f>
        <v/>
      </c>
      <c r="X87">
        <f>HYPERLINK("https://klasma.github.io/Logging_2361/tillsyn/A 63750-2019 tillsynsbegäran.docx", "A 63750-2019")</f>
        <v/>
      </c>
      <c r="Y87">
        <f>HYPERLINK("https://klasma.github.io/Logging_2361/tillsynsmail/A 63750-2019 tillsynsbegäran mail.docx", "A 63750-2019")</f>
        <v/>
      </c>
    </row>
    <row r="88" ht="15" customHeight="1">
      <c r="A88" t="inlineStr">
        <is>
          <t>A 16680-2021</t>
        </is>
      </c>
      <c r="B88" s="1" t="n">
        <v>44294</v>
      </c>
      <c r="C88" s="1" t="n">
        <v>45583</v>
      </c>
      <c r="D88" t="inlineStr">
        <is>
          <t>JÄMTLANDS LÄN</t>
        </is>
      </c>
      <c r="E88" t="inlineStr">
        <is>
          <t>HÄRJEDALEN</t>
        </is>
      </c>
      <c r="G88" t="n">
        <v>5.7</v>
      </c>
      <c r="H88" t="n">
        <v>0</v>
      </c>
      <c r="I88" t="n">
        <v>3</v>
      </c>
      <c r="J88" t="n">
        <v>1</v>
      </c>
      <c r="K88" t="n">
        <v>0</v>
      </c>
      <c r="L88" t="n">
        <v>0</v>
      </c>
      <c r="M88" t="n">
        <v>0</v>
      </c>
      <c r="N88" t="n">
        <v>0</v>
      </c>
      <c r="O88" t="n">
        <v>1</v>
      </c>
      <c r="P88" t="n">
        <v>0</v>
      </c>
      <c r="Q88" t="n">
        <v>4</v>
      </c>
      <c r="R88" s="2" t="inlineStr">
        <is>
          <t>Vitgrynig nållav
Bronshjon
Bårdlav
Stuplav</t>
        </is>
      </c>
      <c r="S88">
        <f>HYPERLINK("https://klasma.github.io/Logging_2361/artfynd/A 16680-2021 artfynd.xlsx", "A 16680-2021")</f>
        <v/>
      </c>
      <c r="T88">
        <f>HYPERLINK("https://klasma.github.io/Logging_2361/kartor/A 16680-2021 karta.png", "A 16680-2021")</f>
        <v/>
      </c>
      <c r="V88">
        <f>HYPERLINK("https://klasma.github.io/Logging_2361/klagomål/A 16680-2021 FSC-klagomål.docx", "A 16680-2021")</f>
        <v/>
      </c>
      <c r="W88">
        <f>HYPERLINK("https://klasma.github.io/Logging_2361/klagomålsmail/A 16680-2021 FSC-klagomål mail.docx", "A 16680-2021")</f>
        <v/>
      </c>
      <c r="X88">
        <f>HYPERLINK("https://klasma.github.io/Logging_2361/tillsyn/A 16680-2021 tillsynsbegäran.docx", "A 16680-2021")</f>
        <v/>
      </c>
      <c r="Y88">
        <f>HYPERLINK("https://klasma.github.io/Logging_2361/tillsynsmail/A 16680-2021 tillsynsbegäran mail.docx", "A 16680-2021")</f>
        <v/>
      </c>
    </row>
    <row r="89" ht="15" customHeight="1">
      <c r="A89" t="inlineStr">
        <is>
          <t>A 16691-2021</t>
        </is>
      </c>
      <c r="B89" s="1" t="n">
        <v>44294</v>
      </c>
      <c r="C89" s="1" t="n">
        <v>45583</v>
      </c>
      <c r="D89" t="inlineStr">
        <is>
          <t>JÄMTLANDS LÄN</t>
        </is>
      </c>
      <c r="E89" t="inlineStr">
        <is>
          <t>HÄRJEDALEN</t>
        </is>
      </c>
      <c r="G89" t="n">
        <v>4.2</v>
      </c>
      <c r="H89" t="n">
        <v>0</v>
      </c>
      <c r="I89" t="n">
        <v>1</v>
      </c>
      <c r="J89" t="n">
        <v>3</v>
      </c>
      <c r="K89" t="n">
        <v>0</v>
      </c>
      <c r="L89" t="n">
        <v>0</v>
      </c>
      <c r="M89" t="n">
        <v>0</v>
      </c>
      <c r="N89" t="n">
        <v>0</v>
      </c>
      <c r="O89" t="n">
        <v>3</v>
      </c>
      <c r="P89" t="n">
        <v>0</v>
      </c>
      <c r="Q89" t="n">
        <v>4</v>
      </c>
      <c r="R89" s="2" t="inlineStr">
        <is>
          <t>Granticka
Knottrig blåslav
Vitgrynig nållav
Kornig nållav</t>
        </is>
      </c>
      <c r="S89">
        <f>HYPERLINK("https://klasma.github.io/Logging_2361/artfynd/A 16691-2021 artfynd.xlsx", "A 16691-2021")</f>
        <v/>
      </c>
      <c r="T89">
        <f>HYPERLINK("https://klasma.github.io/Logging_2361/kartor/A 16691-2021 karta.png", "A 16691-2021")</f>
        <v/>
      </c>
      <c r="V89">
        <f>HYPERLINK("https://klasma.github.io/Logging_2361/klagomål/A 16691-2021 FSC-klagomål.docx", "A 16691-2021")</f>
        <v/>
      </c>
      <c r="W89">
        <f>HYPERLINK("https://klasma.github.io/Logging_2361/klagomålsmail/A 16691-2021 FSC-klagomål mail.docx", "A 16691-2021")</f>
        <v/>
      </c>
      <c r="X89">
        <f>HYPERLINK("https://klasma.github.io/Logging_2361/tillsyn/A 16691-2021 tillsynsbegäran.docx", "A 16691-2021")</f>
        <v/>
      </c>
      <c r="Y89">
        <f>HYPERLINK("https://klasma.github.io/Logging_2361/tillsynsmail/A 16691-2021 tillsynsbegäran mail.docx", "A 16691-2021")</f>
        <v/>
      </c>
    </row>
    <row r="90" ht="15" customHeight="1">
      <c r="A90" t="inlineStr">
        <is>
          <t>A 54420-2021</t>
        </is>
      </c>
      <c r="B90" s="1" t="n">
        <v>44473</v>
      </c>
      <c r="C90" s="1" t="n">
        <v>45583</v>
      </c>
      <c r="D90" t="inlineStr">
        <is>
          <t>JÄMTLANDS LÄN</t>
        </is>
      </c>
      <c r="E90" t="inlineStr">
        <is>
          <t>HÄRJEDALEN</t>
        </is>
      </c>
      <c r="F90" t="inlineStr">
        <is>
          <t>Bergvik skog väst AB</t>
        </is>
      </c>
      <c r="G90" t="n">
        <v>18.5</v>
      </c>
      <c r="H90" t="n">
        <v>2</v>
      </c>
      <c r="I90" t="n">
        <v>0</v>
      </c>
      <c r="J90" t="n">
        <v>2</v>
      </c>
      <c r="K90" t="n">
        <v>1</v>
      </c>
      <c r="L90" t="n">
        <v>0</v>
      </c>
      <c r="M90" t="n">
        <v>0</v>
      </c>
      <c r="N90" t="n">
        <v>0</v>
      </c>
      <c r="O90" t="n">
        <v>3</v>
      </c>
      <c r="P90" t="n">
        <v>1</v>
      </c>
      <c r="Q90" t="n">
        <v>4</v>
      </c>
      <c r="R90" s="2" t="inlineStr">
        <is>
          <t>Knärot
Lunglav
Skrovellav
Fläcknycklar</t>
        </is>
      </c>
      <c r="S90">
        <f>HYPERLINK("https://klasma.github.io/Logging_2361/artfynd/A 54420-2021 artfynd.xlsx", "A 54420-2021")</f>
        <v/>
      </c>
      <c r="T90">
        <f>HYPERLINK("https://klasma.github.io/Logging_2361/kartor/A 54420-2021 karta.png", "A 54420-2021")</f>
        <v/>
      </c>
      <c r="U90">
        <f>HYPERLINK("https://klasma.github.io/Logging_2361/knärot/A 54420-2021 karta knärot.png", "A 54420-2021")</f>
        <v/>
      </c>
      <c r="V90">
        <f>HYPERLINK("https://klasma.github.io/Logging_2361/klagomål/A 54420-2021 FSC-klagomål.docx", "A 54420-2021")</f>
        <v/>
      </c>
      <c r="W90">
        <f>HYPERLINK("https://klasma.github.io/Logging_2361/klagomålsmail/A 54420-2021 FSC-klagomål mail.docx", "A 54420-2021")</f>
        <v/>
      </c>
      <c r="X90">
        <f>HYPERLINK("https://klasma.github.io/Logging_2361/tillsyn/A 54420-2021 tillsynsbegäran.docx", "A 54420-2021")</f>
        <v/>
      </c>
      <c r="Y90">
        <f>HYPERLINK("https://klasma.github.io/Logging_2361/tillsynsmail/A 54420-2021 tillsynsbegäran mail.docx", "A 54420-2021")</f>
        <v/>
      </c>
    </row>
    <row r="91" ht="15" customHeight="1">
      <c r="A91" t="inlineStr">
        <is>
          <t>A 55641-2021</t>
        </is>
      </c>
      <c r="B91" s="1" t="n">
        <v>44476</v>
      </c>
      <c r="C91" s="1" t="n">
        <v>45583</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42576-2022</t>
        </is>
      </c>
      <c r="B92" s="1" t="n">
        <v>44831</v>
      </c>
      <c r="C92" s="1" t="n">
        <v>45583</v>
      </c>
      <c r="D92" t="inlineStr">
        <is>
          <t>JÄMTLANDS LÄN</t>
        </is>
      </c>
      <c r="E92" t="inlineStr">
        <is>
          <t>HÄRJEDALEN</t>
        </is>
      </c>
      <c r="F92" t="inlineStr">
        <is>
          <t>Sveaskog</t>
        </is>
      </c>
      <c r="G92" t="n">
        <v>24.4</v>
      </c>
      <c r="H92" t="n">
        <v>3</v>
      </c>
      <c r="I92" t="n">
        <v>3</v>
      </c>
      <c r="J92" t="n">
        <v>0</v>
      </c>
      <c r="K92" t="n">
        <v>1</v>
      </c>
      <c r="L92" t="n">
        <v>0</v>
      </c>
      <c r="M92" t="n">
        <v>0</v>
      </c>
      <c r="N92" t="n">
        <v>0</v>
      </c>
      <c r="O92" t="n">
        <v>1</v>
      </c>
      <c r="P92" t="n">
        <v>1</v>
      </c>
      <c r="Q92" t="n">
        <v>4</v>
      </c>
      <c r="R92" s="2" t="inlineStr">
        <is>
          <t>Knärot
Skarp dropptaggsvamp
Spindelblomster
Tvåblad</t>
        </is>
      </c>
      <c r="S92">
        <f>HYPERLINK("https://klasma.github.io/Logging_2361/artfynd/A 42576-2022 artfynd.xlsx", "A 42576-2022")</f>
        <v/>
      </c>
      <c r="T92">
        <f>HYPERLINK("https://klasma.github.io/Logging_2361/kartor/A 42576-2022 karta.png", "A 42576-2022")</f>
        <v/>
      </c>
      <c r="U92">
        <f>HYPERLINK("https://klasma.github.io/Logging_2361/knärot/A 42576-2022 karta knärot.png", "A 42576-2022")</f>
        <v/>
      </c>
      <c r="V92">
        <f>HYPERLINK("https://klasma.github.io/Logging_2361/klagomål/A 42576-2022 FSC-klagomål.docx", "A 42576-2022")</f>
        <v/>
      </c>
      <c r="W92">
        <f>HYPERLINK("https://klasma.github.io/Logging_2361/klagomålsmail/A 42576-2022 FSC-klagomål mail.docx", "A 42576-2022")</f>
        <v/>
      </c>
      <c r="X92">
        <f>HYPERLINK("https://klasma.github.io/Logging_2361/tillsyn/A 42576-2022 tillsynsbegäran.docx", "A 42576-2022")</f>
        <v/>
      </c>
      <c r="Y92">
        <f>HYPERLINK("https://klasma.github.io/Logging_2361/tillsynsmail/A 42576-2022 tillsynsbegäran mail.docx", "A 42576-2022")</f>
        <v/>
      </c>
    </row>
    <row r="93" ht="15" customHeight="1">
      <c r="A93" t="inlineStr">
        <is>
          <t>A 4757-2023</t>
        </is>
      </c>
      <c r="B93" s="1" t="n">
        <v>44957</v>
      </c>
      <c r="C93" s="1" t="n">
        <v>45583</v>
      </c>
      <c r="D93" t="inlineStr">
        <is>
          <t>JÄMTLANDS LÄN</t>
        </is>
      </c>
      <c r="E93" t="inlineStr">
        <is>
          <t>HÄRJEDALEN</t>
        </is>
      </c>
      <c r="G93" t="n">
        <v>21.3</v>
      </c>
      <c r="H93" t="n">
        <v>1</v>
      </c>
      <c r="I93" t="n">
        <v>0</v>
      </c>
      <c r="J93" t="n">
        <v>3</v>
      </c>
      <c r="K93" t="n">
        <v>1</v>
      </c>
      <c r="L93" t="n">
        <v>0</v>
      </c>
      <c r="M93" t="n">
        <v>0</v>
      </c>
      <c r="N93" t="n">
        <v>0</v>
      </c>
      <c r="O93" t="n">
        <v>4</v>
      </c>
      <c r="P93" t="n">
        <v>1</v>
      </c>
      <c r="Q93" t="n">
        <v>4</v>
      </c>
      <c r="R93" s="2" t="inlineStr">
        <is>
          <t>Sprickporing
Garnlav
Granticka
Tretåig hackspett</t>
        </is>
      </c>
      <c r="S93">
        <f>HYPERLINK("https://klasma.github.io/Logging_2361/artfynd/A 4757-2023 artfynd.xlsx", "A 4757-2023")</f>
        <v/>
      </c>
      <c r="T93">
        <f>HYPERLINK("https://klasma.github.io/Logging_2361/kartor/A 4757-2023 karta.png", "A 4757-2023")</f>
        <v/>
      </c>
      <c r="V93">
        <f>HYPERLINK("https://klasma.github.io/Logging_2361/klagomål/A 4757-2023 FSC-klagomål.docx", "A 4757-2023")</f>
        <v/>
      </c>
      <c r="W93">
        <f>HYPERLINK("https://klasma.github.io/Logging_2361/klagomålsmail/A 4757-2023 FSC-klagomål mail.docx", "A 4757-2023")</f>
        <v/>
      </c>
      <c r="X93">
        <f>HYPERLINK("https://klasma.github.io/Logging_2361/tillsyn/A 4757-2023 tillsynsbegäran.docx", "A 4757-2023")</f>
        <v/>
      </c>
      <c r="Y93">
        <f>HYPERLINK("https://klasma.github.io/Logging_2361/tillsynsmail/A 4757-2023 tillsynsbegäran mail.docx", "A 4757-2023")</f>
        <v/>
      </c>
      <c r="Z93">
        <f>HYPERLINK("https://klasma.github.io/Logging_2361/fåglar/A 4757-2023 prioriterade fågelarter.docx", "A 4757-2023")</f>
        <v/>
      </c>
    </row>
    <row r="94" ht="15" customHeight="1">
      <c r="A94" t="inlineStr">
        <is>
          <t>A 8587-2023</t>
        </is>
      </c>
      <c r="B94" s="1" t="n">
        <v>44977</v>
      </c>
      <c r="C94" s="1" t="n">
        <v>45583</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8587-2023 artfynd.xlsx", "A 8587-2023")</f>
        <v/>
      </c>
      <c r="T94">
        <f>HYPERLINK("https://klasma.github.io/Logging_2361/kartor/A 8587-2023 karta.png", "A 8587-2023")</f>
        <v/>
      </c>
      <c r="U94">
        <f>HYPERLINK("https://klasma.github.io/Logging_2361/knärot/A 8587-2023 karta knärot.png", "A 8587-2023")</f>
        <v/>
      </c>
      <c r="V94">
        <f>HYPERLINK("https://klasma.github.io/Logging_2361/klagomål/A 8587-2023 FSC-klagomål.docx", "A 8587-2023")</f>
        <v/>
      </c>
      <c r="W94">
        <f>HYPERLINK("https://klasma.github.io/Logging_2361/klagomålsmail/A 8587-2023 FSC-klagomål mail.docx", "A 8587-2023")</f>
        <v/>
      </c>
      <c r="X94">
        <f>HYPERLINK("https://klasma.github.io/Logging_2361/tillsyn/A 8587-2023 tillsynsbegäran.docx", "A 8587-2023")</f>
        <v/>
      </c>
      <c r="Y94">
        <f>HYPERLINK("https://klasma.github.io/Logging_2361/tillsynsmail/A 8587-2023 tillsynsbegäran mail.docx", "A 8587-2023")</f>
        <v/>
      </c>
    </row>
    <row r="95" ht="15" customHeight="1">
      <c r="A95" t="inlineStr">
        <is>
          <t>A 14059-2023</t>
        </is>
      </c>
      <c r="B95" s="1" t="n">
        <v>45007</v>
      </c>
      <c r="C95" s="1" t="n">
        <v>45583</v>
      </c>
      <c r="D95" t="inlineStr">
        <is>
          <t>JÄMTLANDS LÄN</t>
        </is>
      </c>
      <c r="E95" t="inlineStr">
        <is>
          <t>HÄRJEDALEN</t>
        </is>
      </c>
      <c r="F95" t="inlineStr">
        <is>
          <t>Bergvik skog väst AB</t>
        </is>
      </c>
      <c r="G95" t="n">
        <v>21.1</v>
      </c>
      <c r="H95" t="n">
        <v>0</v>
      </c>
      <c r="I95" t="n">
        <v>0</v>
      </c>
      <c r="J95" t="n">
        <v>2</v>
      </c>
      <c r="K95" t="n">
        <v>2</v>
      </c>
      <c r="L95" t="n">
        <v>0</v>
      </c>
      <c r="M95" t="n">
        <v>0</v>
      </c>
      <c r="N95" t="n">
        <v>0</v>
      </c>
      <c r="O95" t="n">
        <v>4</v>
      </c>
      <c r="P95" t="n">
        <v>2</v>
      </c>
      <c r="Q95" t="n">
        <v>4</v>
      </c>
      <c r="R95" s="2" t="inlineStr">
        <is>
          <t>Fläckporing
Gräddporing
Nordtagging
Skrovellav</t>
        </is>
      </c>
      <c r="S95">
        <f>HYPERLINK("https://klasma.github.io/Logging_2361/artfynd/A 14059-2023 artfynd.xlsx", "A 14059-2023")</f>
        <v/>
      </c>
      <c r="T95">
        <f>HYPERLINK("https://klasma.github.io/Logging_2361/kartor/A 14059-2023 karta.png", "A 14059-2023")</f>
        <v/>
      </c>
      <c r="V95">
        <f>HYPERLINK("https://klasma.github.io/Logging_2361/klagomål/A 14059-2023 FSC-klagomål.docx", "A 14059-2023")</f>
        <v/>
      </c>
      <c r="W95">
        <f>HYPERLINK("https://klasma.github.io/Logging_2361/klagomålsmail/A 14059-2023 FSC-klagomål mail.docx", "A 14059-2023")</f>
        <v/>
      </c>
      <c r="X95">
        <f>HYPERLINK("https://klasma.github.io/Logging_2361/tillsyn/A 14059-2023 tillsynsbegäran.docx", "A 14059-2023")</f>
        <v/>
      </c>
      <c r="Y95">
        <f>HYPERLINK("https://klasma.github.io/Logging_2361/tillsynsmail/A 14059-2023 tillsynsbegäran mail.docx", "A 14059-2023")</f>
        <v/>
      </c>
    </row>
    <row r="96" ht="15" customHeight="1">
      <c r="A96" t="inlineStr">
        <is>
          <t>A 24955-2023</t>
        </is>
      </c>
      <c r="B96" s="1" t="n">
        <v>45085</v>
      </c>
      <c r="C96" s="1" t="n">
        <v>45583</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29829-2023</t>
        </is>
      </c>
      <c r="B97" s="1" t="n">
        <v>45107</v>
      </c>
      <c r="C97" s="1" t="n">
        <v>45583</v>
      </c>
      <c r="D97" t="inlineStr">
        <is>
          <t>JÄMTLANDS LÄN</t>
        </is>
      </c>
      <c r="E97" t="inlineStr">
        <is>
          <t>HÄRJEDALEN</t>
        </is>
      </c>
      <c r="G97" t="n">
        <v>29.4</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HYPERLINK("https://klasma.github.io/Logging_2361/artfynd/A 29829-2023 artfynd.xlsx", "A 29829-2023")</f>
        <v/>
      </c>
      <c r="T97">
        <f>HYPERLINK("https://klasma.github.io/Logging_2361/kartor/A 29829-2023 karta.png", "A 29829-2023")</f>
        <v/>
      </c>
      <c r="V97">
        <f>HYPERLINK("https://klasma.github.io/Logging_2361/klagomål/A 29829-2023 FSC-klagomål.docx", "A 29829-2023")</f>
        <v/>
      </c>
      <c r="W97">
        <f>HYPERLINK("https://klasma.github.io/Logging_2361/klagomålsmail/A 29829-2023 FSC-klagomål mail.docx", "A 29829-2023")</f>
        <v/>
      </c>
      <c r="X97">
        <f>HYPERLINK("https://klasma.github.io/Logging_2361/tillsyn/A 29829-2023 tillsynsbegäran.docx", "A 29829-2023")</f>
        <v/>
      </c>
      <c r="Y97">
        <f>HYPERLINK("https://klasma.github.io/Logging_2361/tillsynsmail/A 29829-2023 tillsynsbegäran mail.docx", "A 29829-2023")</f>
        <v/>
      </c>
      <c r="Z97">
        <f>HYPERLINK("https://klasma.github.io/Logging_2361/fåglar/A 29829-2023 prioriterade fågelarter.docx", "A 29829-2023")</f>
        <v/>
      </c>
    </row>
    <row r="98" ht="15" customHeight="1">
      <c r="A98" t="inlineStr">
        <is>
          <t>A 39925-2023</t>
        </is>
      </c>
      <c r="B98" s="1" t="n">
        <v>45168</v>
      </c>
      <c r="C98" s="1" t="n">
        <v>45583</v>
      </c>
      <c r="D98" t="inlineStr">
        <is>
          <t>JÄMTLANDS LÄN</t>
        </is>
      </c>
      <c r="E98" t="inlineStr">
        <is>
          <t>HÄRJEDALEN</t>
        </is>
      </c>
      <c r="F98" t="inlineStr">
        <is>
          <t>Sveaskog</t>
        </is>
      </c>
      <c r="G98" t="n">
        <v>25.6</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HYPERLINK("https://klasma.github.io/Logging_2361/artfynd/A 39925-2023 artfynd.xlsx", "A 39925-2023")</f>
        <v/>
      </c>
      <c r="T98">
        <f>HYPERLINK("https://klasma.github.io/Logging_2361/kartor/A 39925-2023 karta.png", "A 39925-2023")</f>
        <v/>
      </c>
      <c r="V98">
        <f>HYPERLINK("https://klasma.github.io/Logging_2361/klagomål/A 39925-2023 FSC-klagomål.docx", "A 39925-2023")</f>
        <v/>
      </c>
      <c r="W98">
        <f>HYPERLINK("https://klasma.github.io/Logging_2361/klagomålsmail/A 39925-2023 FSC-klagomål mail.docx", "A 39925-2023")</f>
        <v/>
      </c>
      <c r="X98">
        <f>HYPERLINK("https://klasma.github.io/Logging_2361/tillsyn/A 39925-2023 tillsynsbegäran.docx", "A 39925-2023")</f>
        <v/>
      </c>
      <c r="Y98">
        <f>HYPERLINK("https://klasma.github.io/Logging_2361/tillsynsmail/A 39925-2023 tillsynsbegäran mail.docx", "A 39925-2023")</f>
        <v/>
      </c>
    </row>
    <row r="99" ht="15" customHeight="1">
      <c r="A99" t="inlineStr">
        <is>
          <t>A 46228-2023</t>
        </is>
      </c>
      <c r="B99" s="1" t="n">
        <v>45196</v>
      </c>
      <c r="C99" s="1" t="n">
        <v>45583</v>
      </c>
      <c r="D99" t="inlineStr">
        <is>
          <t>JÄMTLANDS LÄN</t>
        </is>
      </c>
      <c r="E99" t="inlineStr">
        <is>
          <t>HÄRJEDALEN</t>
        </is>
      </c>
      <c r="F99" t="inlineStr">
        <is>
          <t>Sveaskog</t>
        </is>
      </c>
      <c r="G99" t="n">
        <v>9.4</v>
      </c>
      <c r="H99" t="n">
        <v>0</v>
      </c>
      <c r="I99" t="n">
        <v>1</v>
      </c>
      <c r="J99" t="n">
        <v>3</v>
      </c>
      <c r="K99" t="n">
        <v>0</v>
      </c>
      <c r="L99" t="n">
        <v>0</v>
      </c>
      <c r="M99" t="n">
        <v>0</v>
      </c>
      <c r="N99" t="n">
        <v>0</v>
      </c>
      <c r="O99" t="n">
        <v>3</v>
      </c>
      <c r="P99" t="n">
        <v>0</v>
      </c>
      <c r="Q99" t="n">
        <v>4</v>
      </c>
      <c r="R99" s="2" t="inlineStr">
        <is>
          <t>Kolflarnlav
Mörk kolflarnlav
Vedflamlav
Dropptaggsvamp</t>
        </is>
      </c>
      <c r="S99">
        <f>HYPERLINK("https://klasma.github.io/Logging_2361/artfynd/A 46228-2023 artfynd.xlsx", "A 46228-2023")</f>
        <v/>
      </c>
      <c r="T99">
        <f>HYPERLINK("https://klasma.github.io/Logging_2361/kartor/A 46228-2023 karta.png", "A 46228-2023")</f>
        <v/>
      </c>
      <c r="V99">
        <f>HYPERLINK("https://klasma.github.io/Logging_2361/klagomål/A 46228-2023 FSC-klagomål.docx", "A 46228-2023")</f>
        <v/>
      </c>
      <c r="W99">
        <f>HYPERLINK("https://klasma.github.io/Logging_2361/klagomålsmail/A 46228-2023 FSC-klagomål mail.docx", "A 46228-2023")</f>
        <v/>
      </c>
      <c r="X99">
        <f>HYPERLINK("https://klasma.github.io/Logging_2361/tillsyn/A 46228-2023 tillsynsbegäran.docx", "A 46228-2023")</f>
        <v/>
      </c>
      <c r="Y99">
        <f>HYPERLINK("https://klasma.github.io/Logging_2361/tillsynsmail/A 46228-2023 tillsynsbegäran mail.docx", "A 46228-2023")</f>
        <v/>
      </c>
    </row>
    <row r="100" ht="15" customHeight="1">
      <c r="A100" t="inlineStr">
        <is>
          <t>A 46230-2023</t>
        </is>
      </c>
      <c r="B100" s="1" t="n">
        <v>45196</v>
      </c>
      <c r="C100" s="1" t="n">
        <v>45583</v>
      </c>
      <c r="D100" t="inlineStr">
        <is>
          <t>JÄMTLANDS LÄN</t>
        </is>
      </c>
      <c r="E100" t="inlineStr">
        <is>
          <t>HÄRJEDALEN</t>
        </is>
      </c>
      <c r="F100" t="inlineStr">
        <is>
          <t>Sveaskog</t>
        </is>
      </c>
      <c r="G100" t="n">
        <v>3.8</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46230-2023 artfynd.xlsx", "A 46230-2023")</f>
        <v/>
      </c>
      <c r="T100">
        <f>HYPERLINK("https://klasma.github.io/Logging_2361/kartor/A 46230-2023 karta.png", "A 46230-2023")</f>
        <v/>
      </c>
      <c r="V100">
        <f>HYPERLINK("https://klasma.github.io/Logging_2361/klagomål/A 46230-2023 FSC-klagomål.docx", "A 46230-2023")</f>
        <v/>
      </c>
      <c r="W100">
        <f>HYPERLINK("https://klasma.github.io/Logging_2361/klagomålsmail/A 46230-2023 FSC-klagomål mail.docx", "A 46230-2023")</f>
        <v/>
      </c>
      <c r="X100">
        <f>HYPERLINK("https://klasma.github.io/Logging_2361/tillsyn/A 46230-2023 tillsynsbegäran.docx", "A 46230-2023")</f>
        <v/>
      </c>
      <c r="Y100">
        <f>HYPERLINK("https://klasma.github.io/Logging_2361/tillsynsmail/A 46230-2023 tillsynsbegäran mail.docx", "A 46230-2023")</f>
        <v/>
      </c>
    </row>
    <row r="101" ht="15" customHeight="1">
      <c r="A101" t="inlineStr">
        <is>
          <t>A 16549-2024</t>
        </is>
      </c>
      <c r="B101" s="1" t="n">
        <v>45408</v>
      </c>
      <c r="C101" s="1" t="n">
        <v>45583</v>
      </c>
      <c r="D101" t="inlineStr">
        <is>
          <t>JÄMTLANDS LÄN</t>
        </is>
      </c>
      <c r="E101" t="inlineStr">
        <is>
          <t>HÄRJEDALEN</t>
        </is>
      </c>
      <c r="G101" t="n">
        <v>3.5</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16549-2024 artfynd.xlsx", "A 16549-2024")</f>
        <v/>
      </c>
      <c r="T101">
        <f>HYPERLINK("https://klasma.github.io/Logging_2361/kartor/A 16549-2024 karta.png", "A 16549-2024")</f>
        <v/>
      </c>
      <c r="V101">
        <f>HYPERLINK("https://klasma.github.io/Logging_2361/klagomål/A 16549-2024 FSC-klagomål.docx", "A 16549-2024")</f>
        <v/>
      </c>
      <c r="W101">
        <f>HYPERLINK("https://klasma.github.io/Logging_2361/klagomålsmail/A 16549-2024 FSC-klagomål mail.docx", "A 16549-2024")</f>
        <v/>
      </c>
      <c r="X101">
        <f>HYPERLINK("https://klasma.github.io/Logging_2361/tillsyn/A 16549-2024 tillsynsbegäran.docx", "A 16549-2024")</f>
        <v/>
      </c>
      <c r="Y101">
        <f>HYPERLINK("https://klasma.github.io/Logging_2361/tillsynsmail/A 16549-2024 tillsynsbegäran mail.docx", "A 16549-2024")</f>
        <v/>
      </c>
    </row>
    <row r="102" ht="15" customHeight="1">
      <c r="A102" t="inlineStr">
        <is>
          <t>A 19965-2024</t>
        </is>
      </c>
      <c r="B102" s="1" t="n">
        <v>45433</v>
      </c>
      <c r="C102" s="1" t="n">
        <v>45583</v>
      </c>
      <c r="D102" t="inlineStr">
        <is>
          <t>JÄMTLANDS LÄN</t>
        </is>
      </c>
      <c r="E102" t="inlineStr">
        <is>
          <t>HÄRJEDALEN</t>
        </is>
      </c>
      <c r="F102" t="inlineStr">
        <is>
          <t>Sveaskog</t>
        </is>
      </c>
      <c r="G102" t="n">
        <v>15</v>
      </c>
      <c r="H102" t="n">
        <v>0</v>
      </c>
      <c r="I102" t="n">
        <v>1</v>
      </c>
      <c r="J102" t="n">
        <v>3</v>
      </c>
      <c r="K102" t="n">
        <v>0</v>
      </c>
      <c r="L102" t="n">
        <v>0</v>
      </c>
      <c r="M102" t="n">
        <v>0</v>
      </c>
      <c r="N102" t="n">
        <v>0</v>
      </c>
      <c r="O102" t="n">
        <v>3</v>
      </c>
      <c r="P102" t="n">
        <v>0</v>
      </c>
      <c r="Q102" t="n">
        <v>4</v>
      </c>
      <c r="R102" s="2" t="inlineStr">
        <is>
          <t>Kolflarnlav
Motaggsvamp
Vedflamlav
Dropptaggsvamp</t>
        </is>
      </c>
      <c r="S102">
        <f>HYPERLINK("https://klasma.github.io/Logging_2361/artfynd/A 19965-2024 artfynd.xlsx", "A 19965-2024")</f>
        <v/>
      </c>
      <c r="T102">
        <f>HYPERLINK("https://klasma.github.io/Logging_2361/kartor/A 19965-2024 karta.png", "A 19965-2024")</f>
        <v/>
      </c>
      <c r="V102">
        <f>HYPERLINK("https://klasma.github.io/Logging_2361/klagomål/A 19965-2024 FSC-klagomål.docx", "A 19965-2024")</f>
        <v/>
      </c>
      <c r="W102">
        <f>HYPERLINK("https://klasma.github.io/Logging_2361/klagomålsmail/A 19965-2024 FSC-klagomål mail.docx", "A 19965-2024")</f>
        <v/>
      </c>
      <c r="X102">
        <f>HYPERLINK("https://klasma.github.io/Logging_2361/tillsyn/A 19965-2024 tillsynsbegäran.docx", "A 19965-2024")</f>
        <v/>
      </c>
      <c r="Y102">
        <f>HYPERLINK("https://klasma.github.io/Logging_2361/tillsynsmail/A 19965-2024 tillsynsbegäran mail.docx", "A 19965-2024")</f>
        <v/>
      </c>
    </row>
    <row r="103" ht="15" customHeight="1">
      <c r="A103" t="inlineStr">
        <is>
          <t>A 25864-2024</t>
        </is>
      </c>
      <c r="B103" s="1" t="n">
        <v>45467</v>
      </c>
      <c r="C103" s="1" t="n">
        <v>45583</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31012-2024</t>
        </is>
      </c>
      <c r="B104" s="1" t="n">
        <v>45499</v>
      </c>
      <c r="C104" s="1" t="n">
        <v>45583</v>
      </c>
      <c r="D104" t="inlineStr">
        <is>
          <t>JÄMTLANDS LÄN</t>
        </is>
      </c>
      <c r="E104" t="inlineStr">
        <is>
          <t>HÄRJEDALEN</t>
        </is>
      </c>
      <c r="F104" t="inlineStr">
        <is>
          <t>Sveaskog</t>
        </is>
      </c>
      <c r="G104" t="n">
        <v>11.7</v>
      </c>
      <c r="H104" t="n">
        <v>1</v>
      </c>
      <c r="I104" t="n">
        <v>1</v>
      </c>
      <c r="J104" t="n">
        <v>3</v>
      </c>
      <c r="K104" t="n">
        <v>0</v>
      </c>
      <c r="L104" t="n">
        <v>0</v>
      </c>
      <c r="M104" t="n">
        <v>0</v>
      </c>
      <c r="N104" t="n">
        <v>0</v>
      </c>
      <c r="O104" t="n">
        <v>3</v>
      </c>
      <c r="P104" t="n">
        <v>0</v>
      </c>
      <c r="Q104" t="n">
        <v>4</v>
      </c>
      <c r="R104" s="2" t="inlineStr">
        <is>
          <t>Kolflarnlav
Mörk kolflarnlav
Tretåig hackspett
Dropptaggsvamp</t>
        </is>
      </c>
      <c r="S104">
        <f>HYPERLINK("https://klasma.github.io/Logging_2361/artfynd/A 31012-2024 artfynd.xlsx", "A 31012-2024")</f>
        <v/>
      </c>
      <c r="T104">
        <f>HYPERLINK("https://klasma.github.io/Logging_2361/kartor/A 31012-2024 karta.png", "A 31012-2024")</f>
        <v/>
      </c>
      <c r="V104">
        <f>HYPERLINK("https://klasma.github.io/Logging_2361/klagomål/A 31012-2024 FSC-klagomål.docx", "A 31012-2024")</f>
        <v/>
      </c>
      <c r="W104">
        <f>HYPERLINK("https://klasma.github.io/Logging_2361/klagomålsmail/A 31012-2024 FSC-klagomål mail.docx", "A 31012-2024")</f>
        <v/>
      </c>
      <c r="X104">
        <f>HYPERLINK("https://klasma.github.io/Logging_2361/tillsyn/A 31012-2024 tillsynsbegäran.docx", "A 31012-2024")</f>
        <v/>
      </c>
      <c r="Y104">
        <f>HYPERLINK("https://klasma.github.io/Logging_2361/tillsynsmail/A 31012-2024 tillsynsbegäran mail.docx", "A 31012-2024")</f>
        <v/>
      </c>
      <c r="Z104">
        <f>HYPERLINK("https://klasma.github.io/Logging_2361/fåglar/A 31012-2024 prioriterade fågelarter.docx", "A 31012-2024")</f>
        <v/>
      </c>
    </row>
    <row r="105" ht="15" customHeight="1">
      <c r="A105" t="inlineStr">
        <is>
          <t>A 31148-2024</t>
        </is>
      </c>
      <c r="B105" s="1" t="n">
        <v>45502</v>
      </c>
      <c r="C105" s="1" t="n">
        <v>45583</v>
      </c>
      <c r="D105" t="inlineStr">
        <is>
          <t>JÄMTLANDS LÄN</t>
        </is>
      </c>
      <c r="E105" t="inlineStr">
        <is>
          <t>HÄRJEDALEN</t>
        </is>
      </c>
      <c r="F105" t="inlineStr">
        <is>
          <t>Sveaskog</t>
        </is>
      </c>
      <c r="G105" t="n">
        <v>8.199999999999999</v>
      </c>
      <c r="H105" t="n">
        <v>0</v>
      </c>
      <c r="I105" t="n">
        <v>1</v>
      </c>
      <c r="J105" t="n">
        <v>3</v>
      </c>
      <c r="K105" t="n">
        <v>0</v>
      </c>
      <c r="L105" t="n">
        <v>0</v>
      </c>
      <c r="M105" t="n">
        <v>0</v>
      </c>
      <c r="N105" t="n">
        <v>0</v>
      </c>
      <c r="O105" t="n">
        <v>3</v>
      </c>
      <c r="P105" t="n">
        <v>0</v>
      </c>
      <c r="Q105" t="n">
        <v>4</v>
      </c>
      <c r="R105" s="2" t="inlineStr">
        <is>
          <t>Dvärgbägarlav
Kolflarnlav
Mörk kolflarnlav
Dropptaggsvamp</t>
        </is>
      </c>
      <c r="S105">
        <f>HYPERLINK("https://klasma.github.io/Logging_2361/artfynd/A 31148-2024 artfynd.xlsx", "A 31148-2024")</f>
        <v/>
      </c>
      <c r="T105">
        <f>HYPERLINK("https://klasma.github.io/Logging_2361/kartor/A 31148-2024 karta.png", "A 31148-2024")</f>
        <v/>
      </c>
      <c r="V105">
        <f>HYPERLINK("https://klasma.github.io/Logging_2361/klagomål/A 31148-2024 FSC-klagomål.docx", "A 31148-2024")</f>
        <v/>
      </c>
      <c r="W105">
        <f>HYPERLINK("https://klasma.github.io/Logging_2361/klagomålsmail/A 31148-2024 FSC-klagomål mail.docx", "A 31148-2024")</f>
        <v/>
      </c>
      <c r="X105">
        <f>HYPERLINK("https://klasma.github.io/Logging_2361/tillsyn/A 31148-2024 tillsynsbegäran.docx", "A 31148-2024")</f>
        <v/>
      </c>
      <c r="Y105">
        <f>HYPERLINK("https://klasma.github.io/Logging_2361/tillsynsmail/A 31148-2024 tillsynsbegäran mail.docx", "A 31148-2024")</f>
        <v/>
      </c>
    </row>
    <row r="106" ht="15" customHeight="1">
      <c r="A106" t="inlineStr">
        <is>
          <t>A 31288-2024</t>
        </is>
      </c>
      <c r="B106" s="1" t="n">
        <v>45504</v>
      </c>
      <c r="C106" s="1" t="n">
        <v>45583</v>
      </c>
      <c r="D106" t="inlineStr">
        <is>
          <t>JÄMTLANDS LÄN</t>
        </is>
      </c>
      <c r="E106" t="inlineStr">
        <is>
          <t>HÄRJEDALEN</t>
        </is>
      </c>
      <c r="F106" t="inlineStr">
        <is>
          <t>Sveaskog</t>
        </is>
      </c>
      <c r="G106" t="n">
        <v>10.4</v>
      </c>
      <c r="H106" t="n">
        <v>0</v>
      </c>
      <c r="I106" t="n">
        <v>0</v>
      </c>
      <c r="J106" t="n">
        <v>4</v>
      </c>
      <c r="K106" t="n">
        <v>0</v>
      </c>
      <c r="L106" t="n">
        <v>0</v>
      </c>
      <c r="M106" t="n">
        <v>0</v>
      </c>
      <c r="N106" t="n">
        <v>0</v>
      </c>
      <c r="O106" t="n">
        <v>4</v>
      </c>
      <c r="P106" t="n">
        <v>0</v>
      </c>
      <c r="Q106" t="n">
        <v>4</v>
      </c>
      <c r="R106" s="2" t="inlineStr">
        <is>
          <t>Blå taggsvamp
Kolflarnlav
Mörk kolflarnlav
Vedflamlav</t>
        </is>
      </c>
      <c r="S106">
        <f>HYPERLINK("https://klasma.github.io/Logging_2361/artfynd/A 31288-2024 artfynd.xlsx", "A 31288-2024")</f>
        <v/>
      </c>
      <c r="T106">
        <f>HYPERLINK("https://klasma.github.io/Logging_2361/kartor/A 31288-2024 karta.png", "A 31288-2024")</f>
        <v/>
      </c>
      <c r="V106">
        <f>HYPERLINK("https://klasma.github.io/Logging_2361/klagomål/A 31288-2024 FSC-klagomål.docx", "A 31288-2024")</f>
        <v/>
      </c>
      <c r="W106">
        <f>HYPERLINK("https://klasma.github.io/Logging_2361/klagomålsmail/A 31288-2024 FSC-klagomål mail.docx", "A 31288-2024")</f>
        <v/>
      </c>
      <c r="X106">
        <f>HYPERLINK("https://klasma.github.io/Logging_2361/tillsyn/A 31288-2024 tillsynsbegäran.docx", "A 31288-2024")</f>
        <v/>
      </c>
      <c r="Y106">
        <f>HYPERLINK("https://klasma.github.io/Logging_2361/tillsynsmail/A 31288-2024 tillsynsbegäran mail.docx", "A 31288-2024")</f>
        <v/>
      </c>
    </row>
    <row r="107" ht="15" customHeight="1">
      <c r="A107" t="inlineStr">
        <is>
          <t>A 36538-2024</t>
        </is>
      </c>
      <c r="B107" s="1" t="n">
        <v>45537</v>
      </c>
      <c r="C107" s="1" t="n">
        <v>45583</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39687-2024</t>
        </is>
      </c>
      <c r="B108" s="1" t="n">
        <v>45552</v>
      </c>
      <c r="C108" s="1" t="n">
        <v>45583</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18156-2019</t>
        </is>
      </c>
      <c r="B109" s="1" t="n">
        <v>43558</v>
      </c>
      <c r="C109" s="1" t="n">
        <v>45583</v>
      </c>
      <c r="D109" t="inlineStr">
        <is>
          <t>JÄMTLANDS LÄN</t>
        </is>
      </c>
      <c r="E109" t="inlineStr">
        <is>
          <t>HÄRJEDALEN</t>
        </is>
      </c>
      <c r="F109" t="inlineStr">
        <is>
          <t>Bergvik skog väst AB</t>
        </is>
      </c>
      <c r="G109" t="n">
        <v>102.9</v>
      </c>
      <c r="H109" t="n">
        <v>0</v>
      </c>
      <c r="I109" t="n">
        <v>0</v>
      </c>
      <c r="J109" t="n">
        <v>1</v>
      </c>
      <c r="K109" t="n">
        <v>2</v>
      </c>
      <c r="L109" t="n">
        <v>0</v>
      </c>
      <c r="M109" t="n">
        <v>0</v>
      </c>
      <c r="N109" t="n">
        <v>0</v>
      </c>
      <c r="O109" t="n">
        <v>3</v>
      </c>
      <c r="P109" t="n">
        <v>2</v>
      </c>
      <c r="Q109" t="n">
        <v>3</v>
      </c>
      <c r="R109" s="2" t="inlineStr">
        <is>
          <t>Fläckporing
Laxporing
Stiftgelélav</t>
        </is>
      </c>
      <c r="S109">
        <f>HYPERLINK("https://klasma.github.io/Logging_2361/artfynd/A 18156-2019 artfynd.xlsx", "A 18156-2019")</f>
        <v/>
      </c>
      <c r="T109">
        <f>HYPERLINK("https://klasma.github.io/Logging_2361/kartor/A 18156-2019 karta.png", "A 18156-2019")</f>
        <v/>
      </c>
      <c r="V109">
        <f>HYPERLINK("https://klasma.github.io/Logging_2361/klagomål/A 18156-2019 FSC-klagomål.docx", "A 18156-2019")</f>
        <v/>
      </c>
      <c r="W109">
        <f>HYPERLINK("https://klasma.github.io/Logging_2361/klagomålsmail/A 18156-2019 FSC-klagomål mail.docx", "A 18156-2019")</f>
        <v/>
      </c>
      <c r="X109">
        <f>HYPERLINK("https://klasma.github.io/Logging_2361/tillsyn/A 18156-2019 tillsynsbegäran.docx", "A 18156-2019")</f>
        <v/>
      </c>
      <c r="Y109">
        <f>HYPERLINK("https://klasma.github.io/Logging_2361/tillsynsmail/A 18156-2019 tillsynsbegäran mail.docx", "A 18156-2019")</f>
        <v/>
      </c>
    </row>
    <row r="110" ht="15" customHeight="1">
      <c r="A110" t="inlineStr">
        <is>
          <t>A 35719-2019</t>
        </is>
      </c>
      <c r="B110" s="1" t="n">
        <v>43664</v>
      </c>
      <c r="C110" s="1" t="n">
        <v>45583</v>
      </c>
      <c r="D110" t="inlineStr">
        <is>
          <t>JÄMTLANDS LÄN</t>
        </is>
      </c>
      <c r="E110" t="inlineStr">
        <is>
          <t>HÄRJEDALEN</t>
        </is>
      </c>
      <c r="F110" t="inlineStr">
        <is>
          <t>SCA</t>
        </is>
      </c>
      <c r="G110" t="n">
        <v>17.7</v>
      </c>
      <c r="H110" t="n">
        <v>0</v>
      </c>
      <c r="I110" t="n">
        <v>1</v>
      </c>
      <c r="J110" t="n">
        <v>2</v>
      </c>
      <c r="K110" t="n">
        <v>0</v>
      </c>
      <c r="L110" t="n">
        <v>0</v>
      </c>
      <c r="M110" t="n">
        <v>0</v>
      </c>
      <c r="N110" t="n">
        <v>0</v>
      </c>
      <c r="O110" t="n">
        <v>2</v>
      </c>
      <c r="P110" t="n">
        <v>0</v>
      </c>
      <c r="Q110" t="n">
        <v>3</v>
      </c>
      <c r="R110" s="2" t="inlineStr">
        <is>
          <t>Kolflarnlav
Tallticka
Dropptaggsvamp</t>
        </is>
      </c>
      <c r="S110">
        <f>HYPERLINK("https://klasma.github.io/Logging_2361/artfynd/A 35719-2019 artfynd.xlsx", "A 35719-2019")</f>
        <v/>
      </c>
      <c r="T110">
        <f>HYPERLINK("https://klasma.github.io/Logging_2361/kartor/A 35719-2019 karta.png", "A 35719-2019")</f>
        <v/>
      </c>
      <c r="V110">
        <f>HYPERLINK("https://klasma.github.io/Logging_2361/klagomål/A 35719-2019 FSC-klagomål.docx", "A 35719-2019")</f>
        <v/>
      </c>
      <c r="W110">
        <f>HYPERLINK("https://klasma.github.io/Logging_2361/klagomålsmail/A 35719-2019 FSC-klagomål mail.docx", "A 35719-2019")</f>
        <v/>
      </c>
      <c r="X110">
        <f>HYPERLINK("https://klasma.github.io/Logging_2361/tillsyn/A 35719-2019 tillsynsbegäran.docx", "A 35719-2019")</f>
        <v/>
      </c>
      <c r="Y110">
        <f>HYPERLINK("https://klasma.github.io/Logging_2361/tillsynsmail/A 35719-2019 tillsynsbegäran mail.docx", "A 35719-2019")</f>
        <v/>
      </c>
    </row>
    <row r="111" ht="15" customHeight="1">
      <c r="A111" t="inlineStr">
        <is>
          <t>A 41873-2020</t>
        </is>
      </c>
      <c r="B111" s="1" t="n">
        <v>44074</v>
      </c>
      <c r="C111" s="1" t="n">
        <v>45583</v>
      </c>
      <c r="D111" t="inlineStr">
        <is>
          <t>JÄMTLANDS LÄN</t>
        </is>
      </c>
      <c r="E111" t="inlineStr">
        <is>
          <t>HÄRJEDALEN</t>
        </is>
      </c>
      <c r="F111" t="inlineStr">
        <is>
          <t>SCA</t>
        </is>
      </c>
      <c r="G111" t="n">
        <v>2.4</v>
      </c>
      <c r="H111" t="n">
        <v>2</v>
      </c>
      <c r="I111" t="n">
        <v>1</v>
      </c>
      <c r="J111" t="n">
        <v>1</v>
      </c>
      <c r="K111" t="n">
        <v>1</v>
      </c>
      <c r="L111" t="n">
        <v>0</v>
      </c>
      <c r="M111" t="n">
        <v>0</v>
      </c>
      <c r="N111" t="n">
        <v>0</v>
      </c>
      <c r="O111" t="n">
        <v>2</v>
      </c>
      <c r="P111" t="n">
        <v>1</v>
      </c>
      <c r="Q111" t="n">
        <v>3</v>
      </c>
      <c r="R111" s="2" t="inlineStr">
        <is>
          <t>Knärot
Garnlav
Korallrot</t>
        </is>
      </c>
      <c r="S111">
        <f>HYPERLINK("https://klasma.github.io/Logging_2361/artfynd/A 41873-2020 artfynd.xlsx", "A 41873-2020")</f>
        <v/>
      </c>
      <c r="T111">
        <f>HYPERLINK("https://klasma.github.io/Logging_2361/kartor/A 41873-2020 karta.png", "A 41873-2020")</f>
        <v/>
      </c>
      <c r="U111">
        <f>HYPERLINK("https://klasma.github.io/Logging_2361/knärot/A 41873-2020 karta knärot.png", "A 41873-2020")</f>
        <v/>
      </c>
      <c r="V111">
        <f>HYPERLINK("https://klasma.github.io/Logging_2361/klagomål/A 41873-2020 FSC-klagomål.docx", "A 41873-2020")</f>
        <v/>
      </c>
      <c r="W111">
        <f>HYPERLINK("https://klasma.github.io/Logging_2361/klagomålsmail/A 41873-2020 FSC-klagomål mail.docx", "A 41873-2020")</f>
        <v/>
      </c>
      <c r="X111">
        <f>HYPERLINK("https://klasma.github.io/Logging_2361/tillsyn/A 41873-2020 tillsynsbegäran.docx", "A 41873-2020")</f>
        <v/>
      </c>
      <c r="Y111">
        <f>HYPERLINK("https://klasma.github.io/Logging_2361/tillsynsmail/A 41873-2020 tillsynsbegäran mail.docx", "A 41873-2020")</f>
        <v/>
      </c>
    </row>
    <row r="112" ht="15" customHeight="1">
      <c r="A112" t="inlineStr">
        <is>
          <t>A 49864-2020</t>
        </is>
      </c>
      <c r="B112" s="1" t="n">
        <v>44107</v>
      </c>
      <c r="C112" s="1" t="n">
        <v>45583</v>
      </c>
      <c r="D112" t="inlineStr">
        <is>
          <t>JÄMTLANDS LÄN</t>
        </is>
      </c>
      <c r="E112" t="inlineStr">
        <is>
          <t>HÄRJEDALEN</t>
        </is>
      </c>
      <c r="F112" t="inlineStr">
        <is>
          <t>Bergvik skog väst AB</t>
        </is>
      </c>
      <c r="G112" t="n">
        <v>3.2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HYPERLINK("https://klasma.github.io/Logging_2361/artfynd/A 49864-2020 artfynd.xlsx", "A 49864-2020")</f>
        <v/>
      </c>
      <c r="T112">
        <f>HYPERLINK("https://klasma.github.io/Logging_2361/kartor/A 49864-2020 karta.png", "A 49864-2020")</f>
        <v/>
      </c>
      <c r="V112">
        <f>HYPERLINK("https://klasma.github.io/Logging_2361/klagomål/A 49864-2020 FSC-klagomål.docx", "A 49864-2020")</f>
        <v/>
      </c>
      <c r="W112">
        <f>HYPERLINK("https://klasma.github.io/Logging_2361/klagomålsmail/A 49864-2020 FSC-klagomål mail.docx", "A 49864-2020")</f>
        <v/>
      </c>
      <c r="X112">
        <f>HYPERLINK("https://klasma.github.io/Logging_2361/tillsyn/A 49864-2020 tillsynsbegäran.docx", "A 49864-2020")</f>
        <v/>
      </c>
      <c r="Y112">
        <f>HYPERLINK("https://klasma.github.io/Logging_2361/tillsynsmail/A 49864-2020 tillsynsbegäran mail.docx", "A 49864-2020")</f>
        <v/>
      </c>
      <c r="Z112">
        <f>HYPERLINK("https://klasma.github.io/Logging_2361/fåglar/A 49864-2020 prioriterade fågelarter.docx", "A 49864-2020")</f>
        <v/>
      </c>
    </row>
    <row r="113" ht="15" customHeight="1">
      <c r="A113" t="inlineStr">
        <is>
          <t>A 49863-2020</t>
        </is>
      </c>
      <c r="B113" s="1" t="n">
        <v>44107</v>
      </c>
      <c r="C113" s="1" t="n">
        <v>45583</v>
      </c>
      <c r="D113" t="inlineStr">
        <is>
          <t>JÄMTLANDS LÄN</t>
        </is>
      </c>
      <c r="E113" t="inlineStr">
        <is>
          <t>HÄRJEDALEN</t>
        </is>
      </c>
      <c r="F113" t="inlineStr">
        <is>
          <t>Bergvik skog väst AB</t>
        </is>
      </c>
      <c r="G113" t="n">
        <v>12.8</v>
      </c>
      <c r="H113" t="n">
        <v>1</v>
      </c>
      <c r="I113" t="n">
        <v>1</v>
      </c>
      <c r="J113" t="n">
        <v>2</v>
      </c>
      <c r="K113" t="n">
        <v>0</v>
      </c>
      <c r="L113" t="n">
        <v>0</v>
      </c>
      <c r="M113" t="n">
        <v>0</v>
      </c>
      <c r="N113" t="n">
        <v>0</v>
      </c>
      <c r="O113" t="n">
        <v>2</v>
      </c>
      <c r="P113" t="n">
        <v>0</v>
      </c>
      <c r="Q113" t="n">
        <v>3</v>
      </c>
      <c r="R113" s="2" t="inlineStr">
        <is>
          <t>Garnlav
Tretåig hackspett
Trådticka</t>
        </is>
      </c>
      <c r="S113">
        <f>HYPERLINK("https://klasma.github.io/Logging_2361/artfynd/A 49863-2020 artfynd.xlsx", "A 49863-2020")</f>
        <v/>
      </c>
      <c r="T113">
        <f>HYPERLINK("https://klasma.github.io/Logging_2361/kartor/A 49863-2020 karta.png", "A 49863-2020")</f>
        <v/>
      </c>
      <c r="V113">
        <f>HYPERLINK("https://klasma.github.io/Logging_2361/klagomål/A 49863-2020 FSC-klagomål.docx", "A 49863-2020")</f>
        <v/>
      </c>
      <c r="W113">
        <f>HYPERLINK("https://klasma.github.io/Logging_2361/klagomålsmail/A 49863-2020 FSC-klagomål mail.docx", "A 49863-2020")</f>
        <v/>
      </c>
      <c r="X113">
        <f>HYPERLINK("https://klasma.github.io/Logging_2361/tillsyn/A 49863-2020 tillsynsbegäran.docx", "A 49863-2020")</f>
        <v/>
      </c>
      <c r="Y113">
        <f>HYPERLINK("https://klasma.github.io/Logging_2361/tillsynsmail/A 49863-2020 tillsynsbegäran mail.docx", "A 49863-2020")</f>
        <v/>
      </c>
      <c r="Z113">
        <f>HYPERLINK("https://klasma.github.io/Logging_2361/fåglar/A 49863-2020 prioriterade fågelarter.docx", "A 49863-2020")</f>
        <v/>
      </c>
    </row>
    <row r="114" ht="15" customHeight="1">
      <c r="A114" t="inlineStr">
        <is>
          <t>A 65147-2020</t>
        </is>
      </c>
      <c r="B114" s="1" t="n">
        <v>44172</v>
      </c>
      <c r="C114" s="1" t="n">
        <v>45583</v>
      </c>
      <c r="D114" t="inlineStr">
        <is>
          <t>JÄMTLANDS LÄN</t>
        </is>
      </c>
      <c r="E114" t="inlineStr">
        <is>
          <t>HÄRJEDALEN</t>
        </is>
      </c>
      <c r="G114" t="n">
        <v>5.9</v>
      </c>
      <c r="H114" t="n">
        <v>1</v>
      </c>
      <c r="I114" t="n">
        <v>0</v>
      </c>
      <c r="J114" t="n">
        <v>3</v>
      </c>
      <c r="K114" t="n">
        <v>0</v>
      </c>
      <c r="L114" t="n">
        <v>0</v>
      </c>
      <c r="M114" t="n">
        <v>0</v>
      </c>
      <c r="N114" t="n">
        <v>0</v>
      </c>
      <c r="O114" t="n">
        <v>3</v>
      </c>
      <c r="P114" t="n">
        <v>0</v>
      </c>
      <c r="Q114" t="n">
        <v>3</v>
      </c>
      <c r="R114" s="2" t="inlineStr">
        <is>
          <t>Blanksvart spiklav
Garnlav
Varglav</t>
        </is>
      </c>
      <c r="S114">
        <f>HYPERLINK("https://klasma.github.io/Logging_2361/artfynd/A 65147-2020 artfynd.xlsx", "A 65147-2020")</f>
        <v/>
      </c>
      <c r="T114">
        <f>HYPERLINK("https://klasma.github.io/Logging_2361/kartor/A 65147-2020 karta.png", "A 65147-2020")</f>
        <v/>
      </c>
      <c r="V114">
        <f>HYPERLINK("https://klasma.github.io/Logging_2361/klagomål/A 65147-2020 FSC-klagomål.docx", "A 65147-2020")</f>
        <v/>
      </c>
      <c r="W114">
        <f>HYPERLINK("https://klasma.github.io/Logging_2361/klagomålsmail/A 65147-2020 FSC-klagomål mail.docx", "A 65147-2020")</f>
        <v/>
      </c>
      <c r="X114">
        <f>HYPERLINK("https://klasma.github.io/Logging_2361/tillsyn/A 65147-2020 tillsynsbegäran.docx", "A 65147-2020")</f>
        <v/>
      </c>
      <c r="Y114">
        <f>HYPERLINK("https://klasma.github.io/Logging_2361/tillsynsmail/A 65147-2020 tillsynsbegäran mail.docx", "A 65147-2020")</f>
        <v/>
      </c>
    </row>
    <row r="115" ht="15" customHeight="1">
      <c r="A115" t="inlineStr">
        <is>
          <t>A 67126-2020</t>
        </is>
      </c>
      <c r="B115" s="1" t="n">
        <v>44180</v>
      </c>
      <c r="C115" s="1" t="n">
        <v>45583</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42826-2021</t>
        </is>
      </c>
      <c r="B116" s="1" t="n">
        <v>44430</v>
      </c>
      <c r="C116" s="1" t="n">
        <v>45583</v>
      </c>
      <c r="D116" t="inlineStr">
        <is>
          <t>JÄMTLANDS LÄN</t>
        </is>
      </c>
      <c r="E116" t="inlineStr">
        <is>
          <t>HÄRJEDALEN</t>
        </is>
      </c>
      <c r="F116" t="inlineStr">
        <is>
          <t>Sveaskog</t>
        </is>
      </c>
      <c r="G116" t="n">
        <v>8.1</v>
      </c>
      <c r="H116" t="n">
        <v>1</v>
      </c>
      <c r="I116" t="n">
        <v>0</v>
      </c>
      <c r="J116" t="n">
        <v>2</v>
      </c>
      <c r="K116" t="n">
        <v>1</v>
      </c>
      <c r="L116" t="n">
        <v>0</v>
      </c>
      <c r="M116" t="n">
        <v>0</v>
      </c>
      <c r="N116" t="n">
        <v>0</v>
      </c>
      <c r="O116" t="n">
        <v>3</v>
      </c>
      <c r="P116" t="n">
        <v>1</v>
      </c>
      <c r="Q116" t="n">
        <v>3</v>
      </c>
      <c r="R116" s="2" t="inlineStr">
        <is>
          <t>Knärot
Garnlav
Motaggsvamp</t>
        </is>
      </c>
      <c r="S116">
        <f>HYPERLINK("https://klasma.github.io/Logging_2361/artfynd/A 42826-2021 artfynd.xlsx", "A 42826-2021")</f>
        <v/>
      </c>
      <c r="T116">
        <f>HYPERLINK("https://klasma.github.io/Logging_2361/kartor/A 42826-2021 karta.png", "A 42826-2021")</f>
        <v/>
      </c>
      <c r="U116">
        <f>HYPERLINK("https://klasma.github.io/Logging_2361/knärot/A 42826-2021 karta knärot.png", "A 42826-2021")</f>
        <v/>
      </c>
      <c r="V116">
        <f>HYPERLINK("https://klasma.github.io/Logging_2361/klagomål/A 42826-2021 FSC-klagomål.docx", "A 42826-2021")</f>
        <v/>
      </c>
      <c r="W116">
        <f>HYPERLINK("https://klasma.github.io/Logging_2361/klagomålsmail/A 42826-2021 FSC-klagomål mail.docx", "A 42826-2021")</f>
        <v/>
      </c>
      <c r="X116">
        <f>HYPERLINK("https://klasma.github.io/Logging_2361/tillsyn/A 42826-2021 tillsynsbegäran.docx", "A 42826-2021")</f>
        <v/>
      </c>
      <c r="Y116">
        <f>HYPERLINK("https://klasma.github.io/Logging_2361/tillsynsmail/A 42826-2021 tillsynsbegäran mail.docx", "A 42826-2021")</f>
        <v/>
      </c>
    </row>
    <row r="117" ht="15" customHeight="1">
      <c r="A117" t="inlineStr">
        <is>
          <t>A 45717-2021</t>
        </is>
      </c>
      <c r="B117" s="1" t="n">
        <v>44441</v>
      </c>
      <c r="C117" s="1" t="n">
        <v>45583</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55244-2021</t>
        </is>
      </c>
      <c r="B118" s="1" t="n">
        <v>44475</v>
      </c>
      <c r="C118" s="1" t="n">
        <v>45583</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55233-2021</t>
        </is>
      </c>
      <c r="B119" s="1" t="n">
        <v>44475</v>
      </c>
      <c r="C119" s="1" t="n">
        <v>45583</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55394-2021</t>
        </is>
      </c>
      <c r="B120" s="1" t="n">
        <v>44475</v>
      </c>
      <c r="C120" s="1" t="n">
        <v>45583</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33914-2022</t>
        </is>
      </c>
      <c r="B121" s="1" t="n">
        <v>44790</v>
      </c>
      <c r="C121" s="1" t="n">
        <v>45583</v>
      </c>
      <c r="D121" t="inlineStr">
        <is>
          <t>JÄMTLANDS LÄN</t>
        </is>
      </c>
      <c r="E121" t="inlineStr">
        <is>
          <t>HÄRJEDALEN</t>
        </is>
      </c>
      <c r="F121" t="inlineStr">
        <is>
          <t>Bergvik skog väst AB</t>
        </is>
      </c>
      <c r="G121" t="n">
        <v>38.1</v>
      </c>
      <c r="H121" t="n">
        <v>3</v>
      </c>
      <c r="I121" t="n">
        <v>0</v>
      </c>
      <c r="J121" t="n">
        <v>2</v>
      </c>
      <c r="K121" t="n">
        <v>0</v>
      </c>
      <c r="L121" t="n">
        <v>0</v>
      </c>
      <c r="M121" t="n">
        <v>0</v>
      </c>
      <c r="N121" t="n">
        <v>0</v>
      </c>
      <c r="O121" t="n">
        <v>2</v>
      </c>
      <c r="P121" t="n">
        <v>0</v>
      </c>
      <c r="Q121" t="n">
        <v>3</v>
      </c>
      <c r="R121" s="2" t="inlineStr">
        <is>
          <t>Spillkråka
Tretåig hackspett
Lavskrika</t>
        </is>
      </c>
      <c r="S121">
        <f>HYPERLINK("https://klasma.github.io/Logging_2361/artfynd/A 33914-2022 artfynd.xlsx", "A 33914-2022")</f>
        <v/>
      </c>
      <c r="T121">
        <f>HYPERLINK("https://klasma.github.io/Logging_2361/kartor/A 33914-2022 karta.png", "A 33914-2022")</f>
        <v/>
      </c>
      <c r="V121">
        <f>HYPERLINK("https://klasma.github.io/Logging_2361/klagomål/A 33914-2022 FSC-klagomål.docx", "A 33914-2022")</f>
        <v/>
      </c>
      <c r="W121">
        <f>HYPERLINK("https://klasma.github.io/Logging_2361/klagomålsmail/A 33914-2022 FSC-klagomål mail.docx", "A 33914-2022")</f>
        <v/>
      </c>
      <c r="X121">
        <f>HYPERLINK("https://klasma.github.io/Logging_2361/tillsyn/A 33914-2022 tillsynsbegäran.docx", "A 33914-2022")</f>
        <v/>
      </c>
      <c r="Y121">
        <f>HYPERLINK("https://klasma.github.io/Logging_2361/tillsynsmail/A 33914-2022 tillsynsbegäran mail.docx", "A 33914-2022")</f>
        <v/>
      </c>
      <c r="Z121">
        <f>HYPERLINK("https://klasma.github.io/Logging_2361/fåglar/A 33914-2022 prioriterade fågelarter.docx", "A 33914-2022")</f>
        <v/>
      </c>
    </row>
    <row r="122" ht="15" customHeight="1">
      <c r="A122" t="inlineStr">
        <is>
          <t>A 34035-2022</t>
        </is>
      </c>
      <c r="B122" s="1" t="n">
        <v>44791</v>
      </c>
      <c r="C122" s="1" t="n">
        <v>45583</v>
      </c>
      <c r="D122" t="inlineStr">
        <is>
          <t>JÄMTLANDS LÄN</t>
        </is>
      </c>
      <c r="E122" t="inlineStr">
        <is>
          <t>HÄRJEDALEN</t>
        </is>
      </c>
      <c r="F122" t="inlineStr">
        <is>
          <t>Naturvårdsverket</t>
        </is>
      </c>
      <c r="G122" t="n">
        <v>27.4</v>
      </c>
      <c r="H122" t="n">
        <v>0</v>
      </c>
      <c r="I122" t="n">
        <v>0</v>
      </c>
      <c r="J122" t="n">
        <v>3</v>
      </c>
      <c r="K122" t="n">
        <v>0</v>
      </c>
      <c r="L122" t="n">
        <v>0</v>
      </c>
      <c r="M122" t="n">
        <v>0</v>
      </c>
      <c r="N122" t="n">
        <v>0</v>
      </c>
      <c r="O122" t="n">
        <v>3</v>
      </c>
      <c r="P122" t="n">
        <v>0</v>
      </c>
      <c r="Q122" t="n">
        <v>3</v>
      </c>
      <c r="R122" s="2" t="inlineStr">
        <is>
          <t>Gammelgransskål
Garnlav
Gränsticka</t>
        </is>
      </c>
      <c r="S122">
        <f>HYPERLINK("https://klasma.github.io/Logging_2361/artfynd/A 34035-2022 artfynd.xlsx", "A 34035-2022")</f>
        <v/>
      </c>
      <c r="T122">
        <f>HYPERLINK("https://klasma.github.io/Logging_2361/kartor/A 34035-2022 karta.png", "A 34035-2022")</f>
        <v/>
      </c>
      <c r="V122">
        <f>HYPERLINK("https://klasma.github.io/Logging_2361/klagomål/A 34035-2022 FSC-klagomål.docx", "A 34035-2022")</f>
        <v/>
      </c>
      <c r="W122">
        <f>HYPERLINK("https://klasma.github.io/Logging_2361/klagomålsmail/A 34035-2022 FSC-klagomål mail.docx", "A 34035-2022")</f>
        <v/>
      </c>
      <c r="X122">
        <f>HYPERLINK("https://klasma.github.io/Logging_2361/tillsyn/A 34035-2022 tillsynsbegäran.docx", "A 34035-2022")</f>
        <v/>
      </c>
      <c r="Y122">
        <f>HYPERLINK("https://klasma.github.io/Logging_2361/tillsynsmail/A 34035-2022 tillsynsbegäran mail.docx", "A 34035-2022")</f>
        <v/>
      </c>
    </row>
    <row r="123" ht="15" customHeight="1">
      <c r="A123" t="inlineStr">
        <is>
          <t>A 55383-2022</t>
        </is>
      </c>
      <c r="B123" s="1" t="n">
        <v>44882</v>
      </c>
      <c r="C123" s="1" t="n">
        <v>45583</v>
      </c>
      <c r="D123" t="inlineStr">
        <is>
          <t>JÄMTLANDS LÄN</t>
        </is>
      </c>
      <c r="E123" t="inlineStr">
        <is>
          <t>HÄRJEDALEN</t>
        </is>
      </c>
      <c r="G123" t="n">
        <v>11</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55383-2022 artfynd.xlsx", "A 55383-2022")</f>
        <v/>
      </c>
      <c r="T123">
        <f>HYPERLINK("https://klasma.github.io/Logging_2361/kartor/A 55383-2022 karta.png", "A 55383-2022")</f>
        <v/>
      </c>
      <c r="V123">
        <f>HYPERLINK("https://klasma.github.io/Logging_2361/klagomål/A 55383-2022 FSC-klagomål.docx", "A 55383-2022")</f>
        <v/>
      </c>
      <c r="W123">
        <f>HYPERLINK("https://klasma.github.io/Logging_2361/klagomålsmail/A 55383-2022 FSC-klagomål mail.docx", "A 55383-2022")</f>
        <v/>
      </c>
      <c r="X123">
        <f>HYPERLINK("https://klasma.github.io/Logging_2361/tillsyn/A 55383-2022 tillsynsbegäran.docx", "A 55383-2022")</f>
        <v/>
      </c>
      <c r="Y123">
        <f>HYPERLINK("https://klasma.github.io/Logging_2361/tillsynsmail/A 55383-2022 tillsynsbegäran mail.docx", "A 55383-2022")</f>
        <v/>
      </c>
      <c r="Z123">
        <f>HYPERLINK("https://klasma.github.io/Logging_2361/fåglar/A 55383-2022 prioriterade fågelarter.docx", "A 55383-2022")</f>
        <v/>
      </c>
    </row>
    <row r="124" ht="15" customHeight="1">
      <c r="A124" t="inlineStr">
        <is>
          <t>A 14060-2023</t>
        </is>
      </c>
      <c r="B124" s="1" t="n">
        <v>45007</v>
      </c>
      <c r="C124" s="1" t="n">
        <v>45583</v>
      </c>
      <c r="D124" t="inlineStr">
        <is>
          <t>JÄMTLANDS LÄN</t>
        </is>
      </c>
      <c r="E124" t="inlineStr">
        <is>
          <t>HÄRJEDALEN</t>
        </is>
      </c>
      <c r="F124" t="inlineStr">
        <is>
          <t>Bergvik skog väst AB</t>
        </is>
      </c>
      <c r="G124" t="n">
        <v>6.7</v>
      </c>
      <c r="H124" t="n">
        <v>0</v>
      </c>
      <c r="I124" t="n">
        <v>0</v>
      </c>
      <c r="J124" t="n">
        <v>0</v>
      </c>
      <c r="K124" t="n">
        <v>2</v>
      </c>
      <c r="L124" t="n">
        <v>1</v>
      </c>
      <c r="M124" t="n">
        <v>0</v>
      </c>
      <c r="N124" t="n">
        <v>0</v>
      </c>
      <c r="O124" t="n">
        <v>3</v>
      </c>
      <c r="P124" t="n">
        <v>3</v>
      </c>
      <c r="Q124" t="n">
        <v>3</v>
      </c>
      <c r="R124" s="2" t="inlineStr">
        <is>
          <t>Urskogsporing
Fläckporing
Gräddporing</t>
        </is>
      </c>
      <c r="S124">
        <f>HYPERLINK("https://klasma.github.io/Logging_2361/artfynd/A 14060-2023 artfynd.xlsx", "A 14060-2023")</f>
        <v/>
      </c>
      <c r="T124">
        <f>HYPERLINK("https://klasma.github.io/Logging_2361/kartor/A 14060-2023 karta.png", "A 14060-2023")</f>
        <v/>
      </c>
      <c r="V124">
        <f>HYPERLINK("https://klasma.github.io/Logging_2361/klagomål/A 14060-2023 FSC-klagomål.docx", "A 14060-2023")</f>
        <v/>
      </c>
      <c r="W124">
        <f>HYPERLINK("https://klasma.github.io/Logging_2361/klagomålsmail/A 14060-2023 FSC-klagomål mail.docx", "A 14060-2023")</f>
        <v/>
      </c>
      <c r="X124">
        <f>HYPERLINK("https://klasma.github.io/Logging_2361/tillsyn/A 14060-2023 tillsynsbegäran.docx", "A 14060-2023")</f>
        <v/>
      </c>
      <c r="Y124">
        <f>HYPERLINK("https://klasma.github.io/Logging_2361/tillsynsmail/A 14060-2023 tillsynsbegäran mail.docx", "A 14060-2023")</f>
        <v/>
      </c>
    </row>
    <row r="125" ht="15" customHeight="1">
      <c r="A125" t="inlineStr">
        <is>
          <t>A 19659-2023</t>
        </is>
      </c>
      <c r="B125" s="1" t="n">
        <v>45050</v>
      </c>
      <c r="C125" s="1" t="n">
        <v>45583</v>
      </c>
      <c r="D125" t="inlineStr">
        <is>
          <t>JÄMTLANDS LÄN</t>
        </is>
      </c>
      <c r="E125" t="inlineStr">
        <is>
          <t>HÄRJEDALEN</t>
        </is>
      </c>
      <c r="F125" t="inlineStr">
        <is>
          <t>Bergvik skog väst AB</t>
        </is>
      </c>
      <c r="G125" t="n">
        <v>2.8</v>
      </c>
      <c r="H125" t="n">
        <v>0</v>
      </c>
      <c r="I125" t="n">
        <v>0</v>
      </c>
      <c r="J125" t="n">
        <v>3</v>
      </c>
      <c r="K125" t="n">
        <v>0</v>
      </c>
      <c r="L125" t="n">
        <v>0</v>
      </c>
      <c r="M125" t="n">
        <v>0</v>
      </c>
      <c r="N125" t="n">
        <v>0</v>
      </c>
      <c r="O125" t="n">
        <v>3</v>
      </c>
      <c r="P125" t="n">
        <v>0</v>
      </c>
      <c r="Q125" t="n">
        <v>3</v>
      </c>
      <c r="R125" s="2" t="inlineStr">
        <is>
          <t>Gäckporing
Nordtagging
Vedskivlav</t>
        </is>
      </c>
      <c r="S125">
        <f>HYPERLINK("https://klasma.github.io/Logging_2361/artfynd/A 19659-2023 artfynd.xlsx", "A 19659-2023")</f>
        <v/>
      </c>
      <c r="T125">
        <f>HYPERLINK("https://klasma.github.io/Logging_2361/kartor/A 19659-2023 karta.png", "A 19659-2023")</f>
        <v/>
      </c>
      <c r="V125">
        <f>HYPERLINK("https://klasma.github.io/Logging_2361/klagomål/A 19659-2023 FSC-klagomål.docx", "A 19659-2023")</f>
        <v/>
      </c>
      <c r="W125">
        <f>HYPERLINK("https://klasma.github.io/Logging_2361/klagomålsmail/A 19659-2023 FSC-klagomål mail.docx", "A 19659-2023")</f>
        <v/>
      </c>
      <c r="X125">
        <f>HYPERLINK("https://klasma.github.io/Logging_2361/tillsyn/A 19659-2023 tillsynsbegäran.docx", "A 19659-2023")</f>
        <v/>
      </c>
      <c r="Y125">
        <f>HYPERLINK("https://klasma.github.io/Logging_2361/tillsynsmail/A 19659-2023 tillsynsbegäran mail.docx", "A 19659-2023")</f>
        <v/>
      </c>
    </row>
    <row r="126" ht="15" customHeight="1">
      <c r="A126" t="inlineStr">
        <is>
          <t>A 57572-2023</t>
        </is>
      </c>
      <c r="B126" s="1" t="n">
        <v>45246</v>
      </c>
      <c r="C126" s="1" t="n">
        <v>45583</v>
      </c>
      <c r="D126" t="inlineStr">
        <is>
          <t>JÄMTLANDS LÄN</t>
        </is>
      </c>
      <c r="E126" t="inlineStr">
        <is>
          <t>HÄRJEDALEN</t>
        </is>
      </c>
      <c r="G126" t="n">
        <v>40.5</v>
      </c>
      <c r="H126" t="n">
        <v>0</v>
      </c>
      <c r="I126" t="n">
        <v>0</v>
      </c>
      <c r="J126" t="n">
        <v>2</v>
      </c>
      <c r="K126" t="n">
        <v>1</v>
      </c>
      <c r="L126" t="n">
        <v>0</v>
      </c>
      <c r="M126" t="n">
        <v>0</v>
      </c>
      <c r="N126" t="n">
        <v>0</v>
      </c>
      <c r="O126" t="n">
        <v>3</v>
      </c>
      <c r="P126" t="n">
        <v>1</v>
      </c>
      <c r="Q126" t="n">
        <v>3</v>
      </c>
      <c r="R126" s="2" t="inlineStr">
        <is>
          <t>Gräddporing
Nordtagging
Skrovellav</t>
        </is>
      </c>
      <c r="S126">
        <f>HYPERLINK("https://klasma.github.io/Logging_2361/artfynd/A 57572-2023 artfynd.xlsx", "A 57572-2023")</f>
        <v/>
      </c>
      <c r="T126">
        <f>HYPERLINK("https://klasma.github.io/Logging_2361/kartor/A 57572-2023 karta.png", "A 57572-2023")</f>
        <v/>
      </c>
      <c r="V126">
        <f>HYPERLINK("https://klasma.github.io/Logging_2361/klagomål/A 57572-2023 FSC-klagomål.docx", "A 57572-2023")</f>
        <v/>
      </c>
      <c r="W126">
        <f>HYPERLINK("https://klasma.github.io/Logging_2361/klagomålsmail/A 57572-2023 FSC-klagomål mail.docx", "A 57572-2023")</f>
        <v/>
      </c>
      <c r="X126">
        <f>HYPERLINK("https://klasma.github.io/Logging_2361/tillsyn/A 57572-2023 tillsynsbegäran.docx", "A 57572-2023")</f>
        <v/>
      </c>
      <c r="Y126">
        <f>HYPERLINK("https://klasma.github.io/Logging_2361/tillsynsmail/A 57572-2023 tillsynsbegäran mail.docx", "A 57572-2023")</f>
        <v/>
      </c>
    </row>
    <row r="127" ht="15" customHeight="1">
      <c r="A127" t="inlineStr">
        <is>
          <t>A 22781-2024</t>
        </is>
      </c>
      <c r="B127" s="1" t="n">
        <v>45448</v>
      </c>
      <c r="C127" s="1" t="n">
        <v>45583</v>
      </c>
      <c r="D127" t="inlineStr">
        <is>
          <t>JÄMTLANDS LÄN</t>
        </is>
      </c>
      <c r="E127" t="inlineStr">
        <is>
          <t>HÄRJEDALEN</t>
        </is>
      </c>
      <c r="F127" t="inlineStr">
        <is>
          <t>Holmen skog AB</t>
        </is>
      </c>
      <c r="G127" t="n">
        <v>5.8</v>
      </c>
      <c r="H127" t="n">
        <v>2</v>
      </c>
      <c r="I127" t="n">
        <v>0</v>
      </c>
      <c r="J127" t="n">
        <v>1</v>
      </c>
      <c r="K127" t="n">
        <v>1</v>
      </c>
      <c r="L127" t="n">
        <v>0</v>
      </c>
      <c r="M127" t="n">
        <v>0</v>
      </c>
      <c r="N127" t="n">
        <v>0</v>
      </c>
      <c r="O127" t="n">
        <v>2</v>
      </c>
      <c r="P127" t="n">
        <v>1</v>
      </c>
      <c r="Q127" t="n">
        <v>3</v>
      </c>
      <c r="R127" s="2" t="inlineStr">
        <is>
          <t>Knärot
Knottrig blåslav
Huggorm</t>
        </is>
      </c>
      <c r="S127">
        <f>HYPERLINK("https://klasma.github.io/Logging_2361/artfynd/A 22781-2024 artfynd.xlsx", "A 22781-2024")</f>
        <v/>
      </c>
      <c r="T127">
        <f>HYPERLINK("https://klasma.github.io/Logging_2361/kartor/A 22781-2024 karta.png", "A 22781-2024")</f>
        <v/>
      </c>
      <c r="U127">
        <f>HYPERLINK("https://klasma.github.io/Logging_2361/knärot/A 22781-2024 karta knärot.png", "A 22781-2024")</f>
        <v/>
      </c>
      <c r="V127">
        <f>HYPERLINK("https://klasma.github.io/Logging_2361/klagomål/A 22781-2024 FSC-klagomål.docx", "A 22781-2024")</f>
        <v/>
      </c>
      <c r="W127">
        <f>HYPERLINK("https://klasma.github.io/Logging_2361/klagomålsmail/A 22781-2024 FSC-klagomål mail.docx", "A 22781-2024")</f>
        <v/>
      </c>
      <c r="X127">
        <f>HYPERLINK("https://klasma.github.io/Logging_2361/tillsyn/A 22781-2024 tillsynsbegäran.docx", "A 22781-2024")</f>
        <v/>
      </c>
      <c r="Y127">
        <f>HYPERLINK("https://klasma.github.io/Logging_2361/tillsynsmail/A 22781-2024 tillsynsbegäran mail.docx", "A 22781-2024")</f>
        <v/>
      </c>
    </row>
    <row r="128" ht="15" customHeight="1">
      <c r="A128" t="inlineStr">
        <is>
          <t>A 26225-2024</t>
        </is>
      </c>
      <c r="B128" s="1" t="n">
        <v>45468</v>
      </c>
      <c r="C128" s="1" t="n">
        <v>45583</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28321-2019</t>
        </is>
      </c>
      <c r="B129" s="1" t="n">
        <v>43623</v>
      </c>
      <c r="C129" s="1" t="n">
        <v>45583</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45583</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45583</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45583</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45583</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45583</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45583</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45583</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45583</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45583</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45583</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45583</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45583</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45583</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45583</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45583</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45583</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45583</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45583</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45583</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45583</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45583</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45583</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45583</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45583</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45583</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45583</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45583</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45583</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45583</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45583</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45583</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45583</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45583</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45583</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45583</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45583</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45583</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45583</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45583</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45583</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45583</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45583</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45583</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45583</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45583</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45583</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45583</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45583</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45583</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45583</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45583</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45583</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45583</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45583</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45583</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45583</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45583</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45583</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45583</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45583</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45583</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45583</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45583</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45583</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45583</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45583</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45583</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45583</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45583</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45583</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45583</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45583</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45583</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45583</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45583</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45583</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45583</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45583</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45583</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45583</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45583</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45583</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45583</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45583</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45583</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45583</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45583</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45583</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45583</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45583</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45583</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45583</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45583</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45583</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45583</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45583</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45583</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45583</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45583</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45583</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45583</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45583</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45583</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45583</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45583</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45583</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45583</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45583</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45583</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45583</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45583</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45583</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45583</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45583</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45583</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45583</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45583</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45583</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45583</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45583</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45583</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45583</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45583</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45583</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45583</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45583</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45583</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45583</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45583</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45583</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45583</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45583</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45583</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45583</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45583</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45583</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45583</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45583</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45583</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45583</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45583</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45583</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45583</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45583</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45583</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45583</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45583</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45583</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45583</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45583</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45583</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45583</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45583</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45583</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45583</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45583</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45583</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45583</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45583</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45583</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45583</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45583</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45583</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45583</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45583</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45583</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45583</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45583</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45583</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45583</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45583</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45583</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45583</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45583</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45583</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45583</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45583</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45583</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45583</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45583</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45583</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45583</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45583</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45583</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45583</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45583</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45583</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45583</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45583</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45583</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45583</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45583</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45583</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45583</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45583</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45583</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45583</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45583</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45583</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45583</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45583</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45583</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45583</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45583</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45583</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45583</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45583</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45583</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45583</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45583</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45583</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45583</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45583</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45583</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45583</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45583</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45583</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45583</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45583</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45583</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45583</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45583</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45583</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45583</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45583</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45583</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45583</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45583</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45583</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45583</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45583</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45583</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45583</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45583</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45583</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45583</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45583</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45583</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45583</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45583</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45583</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45583</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45583</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45583</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45583</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45583</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45583</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45583</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45583</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45583</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45583</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45583</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45583</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45583</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45583</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45583</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45583</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45583</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45583</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45583</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45583</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45583</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45583</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45583</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45583</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45583</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45583</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45583</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45583</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45583</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45583</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45583</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45583</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45583</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45583</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45583</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45583</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45583</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45583</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45583</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45583</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45583</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45583</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45583</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45583</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45583</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45583</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45583</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45583</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45583</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45583</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45583</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45583</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45583</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45583</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45583</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45583</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45583</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45583</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45583</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45583</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45583</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45583</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45583</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45583</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45583</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45583</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45583</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45583</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45583</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45583</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45583</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45583</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45583</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45583</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45583</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45583</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45583</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45583</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45583</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45583</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45583</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45583</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45583</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45583</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45583</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45583</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45583</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45583</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45583</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45583</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45583</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45583</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45583</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45583</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45583</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45583</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45583</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45583</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45583</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45583</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45583</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45583</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45583</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45583</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45583</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45583</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45583</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45583</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45583</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45583</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45583</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45583</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45583</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45583</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45583</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45583</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45583</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45583</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45583</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45583</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45583</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45583</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45583</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45583</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45583</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45583</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45583</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45583</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45583</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45583</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45583</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45583</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45583</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45583</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45583</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45583</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45583</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45583</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45583</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45583</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45583</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45583</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45583</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45583</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45583</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45583</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45583</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45583</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45583</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45583</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45583</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45583</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45583</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45583</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45583</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45583</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45583</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45583</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45583</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45583</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45583</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45583</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45583</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45583</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45583</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45583</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45583</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45583</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45583</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45583</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45583</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45583</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45583</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45583</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45583</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45583</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45583</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45583</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45583</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45583</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45583</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45583</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45583</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45583</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45583</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45583</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45583</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45583</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45583</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45583</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45583</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45583</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45583</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45583</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45583</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45583</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45583</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45583</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45583</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45583</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45583</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45583</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45583</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45583</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45583</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45583</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45583</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45583</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45583</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45583</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45583</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45583</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45583</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45583</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45583</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45583</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45583</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45583</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45583</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45583</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45583</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45583</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45583</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45583</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45583</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45583</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45583</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45583</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45583</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45583</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45583</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45583</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45583</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45583</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45583</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45583</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45583</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45583</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45583</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45583</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45583</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45583</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45583</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45583</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45583</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45583</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45583</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45583</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45583</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45583</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45583</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45583</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45583</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45583</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45583</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45583</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45583</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45583</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45583</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45583</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45583</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45583</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45583</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45583</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45583</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45583</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45583</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45583</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45583</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45583</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45583</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45583</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45583</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45583</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45583</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45583</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45583</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45583</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45583</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45583</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45583</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45583</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45583</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45583</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45583</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45583</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45583</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45583</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45583</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45583</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45583</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45583</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45583</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45583</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45583</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45583</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45583</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45583</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45583</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45583</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45583</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45583</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45583</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45583</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45583</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45583</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45583</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45583</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45583</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45583</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45583</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45583</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45583</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45583</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45583</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45583</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45583</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45583</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45583</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45583</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45583</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45583</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45583</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45583</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45583</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45583</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45583</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45583</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45583</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45583</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45583</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45583</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45583</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45583</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45583</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45583</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45583</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45583</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45583</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45583</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45583</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45583</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45583</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45583</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45583</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45583</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45583</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45583</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45583</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45583</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45583</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45583</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45583</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45583</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45583</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45583</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45583</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45583</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45583</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45583</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45583</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45583</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45583</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45583</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45583</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45583</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45583</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45583</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45583</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45583</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45583</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45583</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45583</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45583</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45583</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45583</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45583</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45583</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45583</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45583</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45583</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45583</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45583</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45583</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45583</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45583</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45583</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45583</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45583</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45583</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45583</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45583</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45583</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45583</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45583</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45583</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45583</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45583</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45583</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45583</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45583</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45583</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45583</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45583</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45583</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45583</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45583</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45583</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45583</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45583</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45583</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45583</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45583</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45583</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45583</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45583</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45583</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45583</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45583</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45583</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45583</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45583</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45583</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45583</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45583</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45583</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45583</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45583</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45583</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45583</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45583</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45583</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45583</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45583</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45583</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45583</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45583</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45583</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45583</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45583</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45583</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45583</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45583</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45583</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45583</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45583</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45583</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45583</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45583</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45583</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45583</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45583</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45583</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45583</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45583</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45583</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45583</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45583</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45583</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45583</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45583</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45583</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45583</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45583</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45583</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45583</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45583</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45583</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45583</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45583</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45583</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45583</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45583</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45583</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45583</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45583</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45583</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45583</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45583</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45583</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45583</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45583</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45583</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45583</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45583</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45583</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45583</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45583</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45583</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45583</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45583</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45583</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45583</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45583</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45583</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45583</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45583</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45583</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45583</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45583</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45583</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45583</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45583</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45583</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45583</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45583</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45583</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45583</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45583</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45583</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45583</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45583</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45583</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45583</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45583</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45583</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45583</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45583</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45583</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45583</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45583</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45583</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45583</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45583</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45583</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45583</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45583</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45583</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45583</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45583</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45583</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45583</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45583</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45583</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45583</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45583</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45583</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45583</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45583</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45583</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45583</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45583</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45583</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45583</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45583</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45583</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45583</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45583</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45583</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45583</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45583</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45583</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45583</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45583</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45583</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45583</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45583</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45583</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45583</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45583</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45583</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45583</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45583</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45583</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45583</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45583</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45583</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45583</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45583</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45583</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45583</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45583</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45583</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45583</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45583</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45583</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45583</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45583</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45583</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45583</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45583</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45583</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45583</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45583</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45583</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45583</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45583</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45583</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45583</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45583</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45583</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45583</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45583</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45583</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45583</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45583</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45583</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45583</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45583</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45583</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45583</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45583</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45583</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45583</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45583</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45583</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45583</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45583</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45583</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45583</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45583</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45583</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45583</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45583</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45583</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45583</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45583</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45583</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45583</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45583</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45583</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45583</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45583</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45583</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45583</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45583</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45583</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45583</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45583</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45583</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45583</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45583</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45583</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45583</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45583</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45583</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45583</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45583</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45583</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45583</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45583</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45583</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45583</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45583</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45583</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45583</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45583</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45583</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45583</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45583</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45583</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45583</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45583</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45583</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45583</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45583</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45583</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45583</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45583</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45583</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45583</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45583</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45583</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45583</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45583</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45583</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45583</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45583</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45583</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45583</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45583</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45583</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45583</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45583</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45583</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45583</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45583</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45583</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45583</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45583</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45583</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45583</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45583</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45583</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45583</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45583</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45583</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45583</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45583</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45583</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45583</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45583</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45583</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45583</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45583</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45583</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45583</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45583</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45583</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45583</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45583</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45583</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45583</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45583</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45583</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45583</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45583</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45583</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45583</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45583</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45583</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45583</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45583</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45583</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45583</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45583</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45583</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45583</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45583</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45583</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45583</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45583</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45583</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45583</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45583</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45583</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45583</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45583</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45583</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45583</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45583</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45583</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45583</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45583</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45583</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45583</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45583</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45583</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45583</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45583</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45583</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45583</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45583</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45583</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45583</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45583</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45583</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45583</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45583</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45583</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45583</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45583</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45583</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45583</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45583</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45583</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45583</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45583</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45583</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45583</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45583</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45583</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45583</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45583</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45583</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45583</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45583</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45583</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45583</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45583</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45583</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45583</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45583</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45583</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45583</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45583</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45583</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45583</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45583</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45583</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45583</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45583</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45583</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45583</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45583</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45583</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45583</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45583</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45583</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45583</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45583</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45583</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45583</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45583</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45583</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45583</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45583</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45583</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45583</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45583</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45583</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45583</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45583</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45583</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45583</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45583</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45583</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45583</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45583</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45583</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45583</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45583</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45583</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45583</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45583</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45583</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45583</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45583</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45583</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45583</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45583</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45583</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45583</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45583</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45583</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45583</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45583</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45583</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45583</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45583</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45583</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45583</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45583</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45583</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45583</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45583</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45583</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45583</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45583</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45583</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45583</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45583</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45583</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45583</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45583</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45583</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45583</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45583</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45583</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45583</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45583</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45583</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45583</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45583</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45583</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45583</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45583</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45583</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45583</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45583</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45583</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45583</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45583</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45583</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45583</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45583</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45583</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45583</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45583</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45583</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45583</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45583</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45583</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45583</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45583</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45583</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45583</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45583</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45583</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45583</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45583</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45583</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45583</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45583</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45583</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45583</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45583</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45583</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45583</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45583</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45583</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45583</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45583</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45583</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45583</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45583</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45583</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45583</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45583</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45583</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45583</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45583</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45583</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45583</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45583</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45583</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45583</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45583</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45583</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45583</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45583</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45583</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45583</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45583</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45583</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45583</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45583</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45583</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45583</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45583</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45583</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45583</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45583</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45583</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45583</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45583</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45583</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45583</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45583</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45583</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45583</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45583</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45583</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45583</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45583</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45583</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45583</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45583</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45583</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45583</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45583</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45583</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45583</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45583</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45583</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45583</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45583</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45583</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45583</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45583</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45583</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45583</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45583</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45583</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45583</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45583</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45583</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45583</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45583</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45583</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45583</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45583</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45583</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45583</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45583</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45583</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45583</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45583</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45583</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45583</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45583</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45583</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45583</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45583</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45583</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45583</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45583</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45583</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45583</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45583</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45583</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45583</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45583</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45583</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45583</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45583</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45583</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45583</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45583</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45583</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45583</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45583</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45583</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45583</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45583</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45583</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45583</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45583</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45583</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45583</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45583</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45583</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45583</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45583</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45583</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45583</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45583</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45583</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45583</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45583</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45583</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45583</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45583</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45583</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45583</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45583</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45583</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45583</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45583</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45583</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45583</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45583</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45583</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45583</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45583</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45583</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45583</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45583</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45583</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45583</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45583</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45583</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45583</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45583</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45583</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45583</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45583</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45583</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45583</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45583</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45583</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45583</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45583</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45583</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45583</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45583</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45583</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45583</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45583</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45583</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45583</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45583</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45583</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45583</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45583</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45583</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45583</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45583</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45583</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45583</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45583</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45583</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45583</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45583</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45583</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45583</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45583</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45583</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45583</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45583</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45583</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45583</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45583</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45583</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45583</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45583</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45583</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45583</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45583</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45583</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45583</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45583</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45583</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45583</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45583</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45583</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45583</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45583</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45583</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45583</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45583</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45583</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45583</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45583</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45583</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45583</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45583</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45583</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45583</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45583</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45583</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45583</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45583</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45583</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45583</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45583</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45583</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45583</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45583</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45583</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45583</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45583</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45583</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45583</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45583</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45583</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45583</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45583</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45583</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45583</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45583</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45583</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45583</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45583</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45583</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45583</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45583</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45583</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45583</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45583</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45583</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45583</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45583</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45583</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45583</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45583</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45583</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45583</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45583</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45583</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45583</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45583</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45583</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45583</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45583</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45583</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41259-2024</t>
        </is>
      </c>
      <c r="B1517" s="1" t="n">
        <v>45559</v>
      </c>
      <c r="C1517" s="1" t="n">
        <v>45583</v>
      </c>
      <c r="D1517" t="inlineStr">
        <is>
          <t>JÄMTLANDS LÄN</t>
        </is>
      </c>
      <c r="E1517" t="inlineStr">
        <is>
          <t>HÄRJEDALEN</t>
        </is>
      </c>
      <c r="F1517" t="inlineStr">
        <is>
          <t>Bergvik skog väst AB</t>
        </is>
      </c>
      <c r="G1517" t="n">
        <v>30.7</v>
      </c>
      <c r="H1517" t="n">
        <v>0</v>
      </c>
      <c r="I1517" t="n">
        <v>0</v>
      </c>
      <c r="J1517" t="n">
        <v>0</v>
      </c>
      <c r="K1517" t="n">
        <v>0</v>
      </c>
      <c r="L1517" t="n">
        <v>0</v>
      </c>
      <c r="M1517" t="n">
        <v>0</v>
      </c>
      <c r="N1517" t="n">
        <v>0</v>
      </c>
      <c r="O1517" t="n">
        <v>0</v>
      </c>
      <c r="P1517" t="n">
        <v>0</v>
      </c>
      <c r="Q1517" t="n">
        <v>0</v>
      </c>
      <c r="R1517" s="2" t="inlineStr"/>
    </row>
    <row r="1518" ht="15" customHeight="1">
      <c r="A1518" t="inlineStr">
        <is>
          <t>A 41101-2024</t>
        </is>
      </c>
      <c r="B1518" s="1" t="n">
        <v>45559</v>
      </c>
      <c r="C1518" s="1" t="n">
        <v>45583</v>
      </c>
      <c r="D1518" t="inlineStr">
        <is>
          <t>JÄMTLANDS LÄN</t>
        </is>
      </c>
      <c r="E1518" t="inlineStr">
        <is>
          <t>HÄRJEDALEN</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45583</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41615-2024</t>
        </is>
      </c>
      <c r="B1520" s="1" t="n">
        <v>45560</v>
      </c>
      <c r="C1520" s="1" t="n">
        <v>45583</v>
      </c>
      <c r="D1520" t="inlineStr">
        <is>
          <t>JÄMTLANDS LÄN</t>
        </is>
      </c>
      <c r="E1520" t="inlineStr">
        <is>
          <t>HÄRJEDALEN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41647-2024</t>
        </is>
      </c>
      <c r="B1521" s="1" t="n">
        <v>45560</v>
      </c>
      <c r="C1521" s="1" t="n">
        <v>45583</v>
      </c>
      <c r="D1521" t="inlineStr">
        <is>
          <t>JÄMTLANDS LÄN</t>
        </is>
      </c>
      <c r="E1521" t="inlineStr">
        <is>
          <t>HÄRJEDALEN</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41401-2024</t>
        </is>
      </c>
      <c r="B1522" s="1" t="n">
        <v>45560</v>
      </c>
      <c r="C1522" s="1" t="n">
        <v>45583</v>
      </c>
      <c r="D1522" t="inlineStr">
        <is>
          <t>JÄMTLANDS LÄN</t>
        </is>
      </c>
      <c r="E1522" t="inlineStr">
        <is>
          <t>HÄRJEDALEN</t>
        </is>
      </c>
      <c r="F1522" t="inlineStr">
        <is>
          <t>Bergvik skog väst AB</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41604-2024</t>
        </is>
      </c>
      <c r="B1523" s="1" t="n">
        <v>45560</v>
      </c>
      <c r="C1523" s="1" t="n">
        <v>45583</v>
      </c>
      <c r="D1523" t="inlineStr">
        <is>
          <t>JÄMTLANDS LÄN</t>
        </is>
      </c>
      <c r="E1523" t="inlineStr">
        <is>
          <t>HÄRJEDALEN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41785-2024</t>
        </is>
      </c>
      <c r="B1524" s="1" t="n">
        <v>45561</v>
      </c>
      <c r="C1524" s="1" t="n">
        <v>45583</v>
      </c>
      <c r="D1524" t="inlineStr">
        <is>
          <t>JÄMTLANDS LÄN</t>
        </is>
      </c>
      <c r="E1524" t="inlineStr">
        <is>
          <t>HÄRJEDALEN</t>
        </is>
      </c>
      <c r="F1524" t="inlineStr">
        <is>
          <t>SCA</t>
        </is>
      </c>
      <c r="G1524" t="n">
        <v>45.1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45583</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45583</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45583</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41885-2024</t>
        </is>
      </c>
      <c r="B1528" s="1" t="n">
        <v>45561</v>
      </c>
      <c r="C1528" s="1" t="n">
        <v>45583</v>
      </c>
      <c r="D1528" t="inlineStr">
        <is>
          <t>JÄMTLANDS LÄN</t>
        </is>
      </c>
      <c r="E1528" t="inlineStr">
        <is>
          <t>HÄRJEDALEN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45583</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45583</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45583</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45583</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45583</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43294-2024</t>
        </is>
      </c>
      <c r="B1534" s="1" t="n">
        <v>45568</v>
      </c>
      <c r="C1534" s="1" t="n">
        <v>45583</v>
      </c>
      <c r="D1534" t="inlineStr">
        <is>
          <t>JÄMTLANDS LÄN</t>
        </is>
      </c>
      <c r="E1534" t="inlineStr">
        <is>
          <t>HÄRJEDALEN</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43287-2024</t>
        </is>
      </c>
      <c r="B1535" s="1" t="n">
        <v>45568</v>
      </c>
      <c r="C1535" s="1" t="n">
        <v>45583</v>
      </c>
      <c r="D1535" t="inlineStr">
        <is>
          <t>JÄMTLANDS LÄN</t>
        </is>
      </c>
      <c r="E1535" t="inlineStr">
        <is>
          <t>HÄRJEDALEN</t>
        </is>
      </c>
      <c r="F1535" t="inlineStr">
        <is>
          <t>SCA</t>
        </is>
      </c>
      <c r="G1535" t="n">
        <v>19.7</v>
      </c>
      <c r="H1535" t="n">
        <v>0</v>
      </c>
      <c r="I1535" t="n">
        <v>0</v>
      </c>
      <c r="J1535" t="n">
        <v>0</v>
      </c>
      <c r="K1535" t="n">
        <v>0</v>
      </c>
      <c r="L1535" t="n">
        <v>0</v>
      </c>
      <c r="M1535" t="n">
        <v>0</v>
      </c>
      <c r="N1535" t="n">
        <v>0</v>
      </c>
      <c r="O1535" t="n">
        <v>0</v>
      </c>
      <c r="P1535" t="n">
        <v>0</v>
      </c>
      <c r="Q1535" t="n">
        <v>0</v>
      </c>
      <c r="R1535" s="2" t="inlineStr"/>
    </row>
    <row r="1536" ht="15" customHeight="1">
      <c r="A1536" t="inlineStr">
        <is>
          <t>A 43390-2024</t>
        </is>
      </c>
      <c r="B1536" s="1" t="n">
        <v>45568</v>
      </c>
      <c r="C1536" s="1" t="n">
        <v>45583</v>
      </c>
      <c r="D1536" t="inlineStr">
        <is>
          <t>JÄMTLANDS LÄN</t>
        </is>
      </c>
      <c r="E1536" t="inlineStr">
        <is>
          <t>HÄRJEDALEN</t>
        </is>
      </c>
      <c r="F1536" t="inlineStr">
        <is>
          <t>Bergvik skog väst AB</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43297-2024</t>
        </is>
      </c>
      <c r="B1537" s="1" t="n">
        <v>45568</v>
      </c>
      <c r="C1537" s="1" t="n">
        <v>45583</v>
      </c>
      <c r="D1537" t="inlineStr">
        <is>
          <t>JÄMTLANDS LÄN</t>
        </is>
      </c>
      <c r="E1537" t="inlineStr">
        <is>
          <t>HÄRJEDALEN</t>
        </is>
      </c>
      <c r="F1537" t="inlineStr">
        <is>
          <t>SCA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43309-2024</t>
        </is>
      </c>
      <c r="B1538" s="1" t="n">
        <v>45568</v>
      </c>
      <c r="C1538" s="1" t="n">
        <v>45583</v>
      </c>
      <c r="D1538" t="inlineStr">
        <is>
          <t>JÄMTLANDS LÄN</t>
        </is>
      </c>
      <c r="E1538" t="inlineStr">
        <is>
          <t>HÄRJEDALEN</t>
        </is>
      </c>
      <c r="F1538" t="inlineStr">
        <is>
          <t>Bergvik skog väst AB</t>
        </is>
      </c>
      <c r="G1538" t="n">
        <v>79.8</v>
      </c>
      <c r="H1538" t="n">
        <v>0</v>
      </c>
      <c r="I1538" t="n">
        <v>0</v>
      </c>
      <c r="J1538" t="n">
        <v>0</v>
      </c>
      <c r="K1538" t="n">
        <v>0</v>
      </c>
      <c r="L1538" t="n">
        <v>0</v>
      </c>
      <c r="M1538" t="n">
        <v>0</v>
      </c>
      <c r="N1538" t="n">
        <v>0</v>
      </c>
      <c r="O1538" t="n">
        <v>0</v>
      </c>
      <c r="P1538" t="n">
        <v>0</v>
      </c>
      <c r="Q1538" t="n">
        <v>0</v>
      </c>
      <c r="R1538" s="2" t="inlineStr"/>
    </row>
    <row r="1539" ht="15" customHeight="1">
      <c r="A1539" t="inlineStr">
        <is>
          <t>A 43316-2024</t>
        </is>
      </c>
      <c r="B1539" s="1" t="n">
        <v>45568</v>
      </c>
      <c r="C1539" s="1" t="n">
        <v>45583</v>
      </c>
      <c r="D1539" t="inlineStr">
        <is>
          <t>JÄMTLANDS LÄN</t>
        </is>
      </c>
      <c r="E1539" t="inlineStr">
        <is>
          <t>HÄRJEDALEN</t>
        </is>
      </c>
      <c r="F1539" t="inlineStr">
        <is>
          <t>Bergvik skog väst AB</t>
        </is>
      </c>
      <c r="G1539" t="n">
        <v>79.90000000000001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43607-2024</t>
        </is>
      </c>
      <c r="B1540" s="1" t="n">
        <v>45569</v>
      </c>
      <c r="C1540" s="1" t="n">
        <v>45583</v>
      </c>
      <c r="D1540" t="inlineStr">
        <is>
          <t>JÄMTLANDS LÄN</t>
        </is>
      </c>
      <c r="E1540" t="inlineStr">
        <is>
          <t>HÄRJEDALEN</t>
        </is>
      </c>
      <c r="F1540" t="inlineStr">
        <is>
          <t>Bergvik skog väst AB</t>
        </is>
      </c>
      <c r="G1540" t="n">
        <v>189.8</v>
      </c>
      <c r="H1540" t="n">
        <v>0</v>
      </c>
      <c r="I1540" t="n">
        <v>0</v>
      </c>
      <c r="J1540" t="n">
        <v>0</v>
      </c>
      <c r="K1540" t="n">
        <v>0</v>
      </c>
      <c r="L1540" t="n">
        <v>0</v>
      </c>
      <c r="M1540" t="n">
        <v>0</v>
      </c>
      <c r="N1540" t="n">
        <v>0</v>
      </c>
      <c r="O1540" t="n">
        <v>0</v>
      </c>
      <c r="P1540" t="n">
        <v>0</v>
      </c>
      <c r="Q1540" t="n">
        <v>0</v>
      </c>
      <c r="R1540" s="2" t="inlineStr"/>
    </row>
    <row r="1541" ht="15" customHeight="1">
      <c r="A1541" t="inlineStr">
        <is>
          <t>A 43623-2024</t>
        </is>
      </c>
      <c r="B1541" s="1" t="n">
        <v>45569</v>
      </c>
      <c r="C1541" s="1" t="n">
        <v>45583</v>
      </c>
      <c r="D1541" t="inlineStr">
        <is>
          <t>JÄMTLANDS LÄN</t>
        </is>
      </c>
      <c r="E1541" t="inlineStr">
        <is>
          <t>HÄRJEDALEN</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43555-2024</t>
        </is>
      </c>
      <c r="B1542" s="1" t="n">
        <v>45569</v>
      </c>
      <c r="C1542" s="1" t="n">
        <v>45583</v>
      </c>
      <c r="D1542" t="inlineStr">
        <is>
          <t>JÄMTLANDS LÄN</t>
        </is>
      </c>
      <c r="E1542" t="inlineStr">
        <is>
          <t>HÄRJEDALEN</t>
        </is>
      </c>
      <c r="G1542" t="n">
        <v>30.3</v>
      </c>
      <c r="H1542" t="n">
        <v>0</v>
      </c>
      <c r="I1542" t="n">
        <v>0</v>
      </c>
      <c r="J1542" t="n">
        <v>0</v>
      </c>
      <c r="K1542" t="n">
        <v>0</v>
      </c>
      <c r="L1542" t="n">
        <v>0</v>
      </c>
      <c r="M1542" t="n">
        <v>0</v>
      </c>
      <c r="N1542" t="n">
        <v>0</v>
      </c>
      <c r="O1542" t="n">
        <v>0</v>
      </c>
      <c r="P1542" t="n">
        <v>0</v>
      </c>
      <c r="Q1542" t="n">
        <v>0</v>
      </c>
      <c r="R1542" s="2" t="inlineStr"/>
    </row>
    <row r="1543" ht="15" customHeight="1">
      <c r="A1543" t="inlineStr">
        <is>
          <t>A 43591-2024</t>
        </is>
      </c>
      <c r="B1543" s="1" t="n">
        <v>45569</v>
      </c>
      <c r="C1543" s="1" t="n">
        <v>45583</v>
      </c>
      <c r="D1543" t="inlineStr">
        <is>
          <t>JÄMTLANDS LÄN</t>
        </is>
      </c>
      <c r="E1543" t="inlineStr">
        <is>
          <t>HÄRJEDALEN</t>
        </is>
      </c>
      <c r="F1543" t="inlineStr">
        <is>
          <t>Bergvik skog väst AB</t>
        </is>
      </c>
      <c r="G1543" t="n">
        <v>50.5</v>
      </c>
      <c r="H1543" t="n">
        <v>0</v>
      </c>
      <c r="I1543" t="n">
        <v>0</v>
      </c>
      <c r="J1543" t="n">
        <v>0</v>
      </c>
      <c r="K1543" t="n">
        <v>0</v>
      </c>
      <c r="L1543" t="n">
        <v>0</v>
      </c>
      <c r="M1543" t="n">
        <v>0</v>
      </c>
      <c r="N1543" t="n">
        <v>0</v>
      </c>
      <c r="O1543" t="n">
        <v>0</v>
      </c>
      <c r="P1543" t="n">
        <v>0</v>
      </c>
      <c r="Q1543" t="n">
        <v>0</v>
      </c>
      <c r="R1543" s="2" t="inlineStr"/>
    </row>
    <row r="1544" ht="15" customHeight="1">
      <c r="A1544" t="inlineStr">
        <is>
          <t>A 43574-2024</t>
        </is>
      </c>
      <c r="B1544" s="1" t="n">
        <v>45569</v>
      </c>
      <c r="C1544" s="1" t="n">
        <v>45583</v>
      </c>
      <c r="D1544" t="inlineStr">
        <is>
          <t>JÄMTLANDS LÄN</t>
        </is>
      </c>
      <c r="E1544" t="inlineStr">
        <is>
          <t>HÄRJEDALEN</t>
        </is>
      </c>
      <c r="F1544" t="inlineStr">
        <is>
          <t>Bergvik skog väst AB</t>
        </is>
      </c>
      <c r="G1544" t="n">
        <v>258.3</v>
      </c>
      <c r="H1544" t="n">
        <v>0</v>
      </c>
      <c r="I1544" t="n">
        <v>0</v>
      </c>
      <c r="J1544" t="n">
        <v>0</v>
      </c>
      <c r="K1544" t="n">
        <v>0</v>
      </c>
      <c r="L1544" t="n">
        <v>0</v>
      </c>
      <c r="M1544" t="n">
        <v>0</v>
      </c>
      <c r="N1544" t="n">
        <v>0</v>
      </c>
      <c r="O1544" t="n">
        <v>0</v>
      </c>
      <c r="P1544" t="n">
        <v>0</v>
      </c>
      <c r="Q1544" t="n">
        <v>0</v>
      </c>
      <c r="R1544" s="2" t="inlineStr"/>
    </row>
    <row r="1545" ht="15" customHeight="1">
      <c r="A1545" t="inlineStr">
        <is>
          <t>A 43586-2024</t>
        </is>
      </c>
      <c r="B1545" s="1" t="n">
        <v>45569</v>
      </c>
      <c r="C1545" s="1" t="n">
        <v>45583</v>
      </c>
      <c r="D1545" t="inlineStr">
        <is>
          <t>JÄMTLANDS LÄN</t>
        </is>
      </c>
      <c r="E1545" t="inlineStr">
        <is>
          <t>HÄRJEDALEN</t>
        </is>
      </c>
      <c r="F1545" t="inlineStr">
        <is>
          <t>Bergvik skog väst AB</t>
        </is>
      </c>
      <c r="G1545" t="n">
        <v>96.2</v>
      </c>
      <c r="H1545" t="n">
        <v>0</v>
      </c>
      <c r="I1545" t="n">
        <v>0</v>
      </c>
      <c r="J1545" t="n">
        <v>0</v>
      </c>
      <c r="K1545" t="n">
        <v>0</v>
      </c>
      <c r="L1545" t="n">
        <v>0</v>
      </c>
      <c r="M1545" t="n">
        <v>0</v>
      </c>
      <c r="N1545" t="n">
        <v>0</v>
      </c>
      <c r="O1545" t="n">
        <v>0</v>
      </c>
      <c r="P1545" t="n">
        <v>0</v>
      </c>
      <c r="Q1545" t="n">
        <v>0</v>
      </c>
      <c r="R1545" s="2" t="inlineStr"/>
    </row>
    <row r="1546" ht="15" customHeight="1">
      <c r="A1546" t="inlineStr">
        <is>
          <t>A 43758-2024</t>
        </is>
      </c>
      <c r="B1546" s="1" t="n">
        <v>45569</v>
      </c>
      <c r="C1546" s="1" t="n">
        <v>45583</v>
      </c>
      <c r="D1546" t="inlineStr">
        <is>
          <t>JÄMTLANDS LÄN</t>
        </is>
      </c>
      <c r="E1546" t="inlineStr">
        <is>
          <t>HÄRJEDALEN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43760-2024</t>
        </is>
      </c>
      <c r="B1547" s="1" t="n">
        <v>45569</v>
      </c>
      <c r="C1547" s="1" t="n">
        <v>45583</v>
      </c>
      <c r="D1547" t="inlineStr">
        <is>
          <t>JÄMTLANDS LÄN</t>
        </is>
      </c>
      <c r="E1547" t="inlineStr">
        <is>
          <t>HÄRJEDALEN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45583</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45583</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44332-2024</t>
        </is>
      </c>
      <c r="B1550" s="1" t="n">
        <v>45573</v>
      </c>
      <c r="C1550" s="1" t="n">
        <v>45583</v>
      </c>
      <c r="D1550" t="inlineStr">
        <is>
          <t>JÄMTLANDS LÄN</t>
        </is>
      </c>
      <c r="E1550" t="inlineStr">
        <is>
          <t>HÄRJEDALEN</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44222-2024</t>
        </is>
      </c>
      <c r="B1551" s="1" t="n">
        <v>45573</v>
      </c>
      <c r="C1551" s="1" t="n">
        <v>45583</v>
      </c>
      <c r="D1551" t="inlineStr">
        <is>
          <t>JÄMTLANDS LÄN</t>
        </is>
      </c>
      <c r="E1551" t="inlineStr">
        <is>
          <t>HÄRJEDALEN</t>
        </is>
      </c>
      <c r="G1551" t="n">
        <v>15.3</v>
      </c>
      <c r="H1551" t="n">
        <v>0</v>
      </c>
      <c r="I1551" t="n">
        <v>0</v>
      </c>
      <c r="J1551" t="n">
        <v>0</v>
      </c>
      <c r="K1551" t="n">
        <v>0</v>
      </c>
      <c r="L1551" t="n">
        <v>0</v>
      </c>
      <c r="M1551" t="n">
        <v>0</v>
      </c>
      <c r="N1551" t="n">
        <v>0</v>
      </c>
      <c r="O1551" t="n">
        <v>0</v>
      </c>
      <c r="P1551" t="n">
        <v>0</v>
      </c>
      <c r="Q1551" t="n">
        <v>0</v>
      </c>
      <c r="R1551" s="2" t="inlineStr"/>
    </row>
    <row r="1552" ht="15" customHeight="1">
      <c r="A1552" t="inlineStr">
        <is>
          <t>A 44705-2024</t>
        </is>
      </c>
      <c r="B1552" s="1" t="n">
        <v>45574</v>
      </c>
      <c r="C1552" s="1" t="n">
        <v>45583</v>
      </c>
      <c r="D1552" t="inlineStr">
        <is>
          <t>JÄMTLANDS LÄN</t>
        </is>
      </c>
      <c r="E1552" t="inlineStr">
        <is>
          <t>HÄRJEDALEN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44745-2024</t>
        </is>
      </c>
      <c r="B1553" s="1" t="n">
        <v>45574</v>
      </c>
      <c r="C1553" s="1" t="n">
        <v>45583</v>
      </c>
      <c r="D1553" t="inlineStr">
        <is>
          <t>JÄMTLANDS LÄN</t>
        </is>
      </c>
      <c r="E1553" t="inlineStr">
        <is>
          <t>HÄRJEDALEN</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44757-2024</t>
        </is>
      </c>
      <c r="B1554" s="1" t="n">
        <v>45574</v>
      </c>
      <c r="C1554" s="1" t="n">
        <v>45583</v>
      </c>
      <c r="D1554" t="inlineStr">
        <is>
          <t>JÄMTLANDS LÄN</t>
        </is>
      </c>
      <c r="E1554" t="inlineStr">
        <is>
          <t>HÄRJEDALEN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44583-2024</t>
        </is>
      </c>
      <c r="B1555" s="1" t="n">
        <v>45574</v>
      </c>
      <c r="C1555" s="1" t="n">
        <v>45583</v>
      </c>
      <c r="D1555" t="inlineStr">
        <is>
          <t>JÄMTLANDS LÄN</t>
        </is>
      </c>
      <c r="E1555" t="inlineStr">
        <is>
          <t>HÄRJEDALEN</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44824-2024</t>
        </is>
      </c>
      <c r="B1556" s="1" t="n">
        <v>45574</v>
      </c>
      <c r="C1556" s="1" t="n">
        <v>45583</v>
      </c>
      <c r="D1556" t="inlineStr">
        <is>
          <t>JÄMTLANDS LÄN</t>
        </is>
      </c>
      <c r="E1556" t="inlineStr">
        <is>
          <t>HÄRJEDALEN</t>
        </is>
      </c>
      <c r="F1556" t="inlineStr">
        <is>
          <t>Bergvik skog väst AB</t>
        </is>
      </c>
      <c r="G1556" t="n">
        <v>29.4</v>
      </c>
      <c r="H1556" t="n">
        <v>0</v>
      </c>
      <c r="I1556" t="n">
        <v>0</v>
      </c>
      <c r="J1556" t="n">
        <v>0</v>
      </c>
      <c r="K1556" t="n">
        <v>0</v>
      </c>
      <c r="L1556" t="n">
        <v>0</v>
      </c>
      <c r="M1556" t="n">
        <v>0</v>
      </c>
      <c r="N1556" t="n">
        <v>0</v>
      </c>
      <c r="O1556" t="n">
        <v>0</v>
      </c>
      <c r="P1556" t="n">
        <v>0</v>
      </c>
      <c r="Q1556" t="n">
        <v>0</v>
      </c>
      <c r="R1556" s="2" t="inlineStr"/>
    </row>
    <row r="1557" ht="15" customHeight="1">
      <c r="A1557" t="inlineStr">
        <is>
          <t>A 44450-2024</t>
        </is>
      </c>
      <c r="B1557" s="1" t="n">
        <v>45574</v>
      </c>
      <c r="C1557" s="1" t="n">
        <v>45583</v>
      </c>
      <c r="D1557" t="inlineStr">
        <is>
          <t>JÄMTLANDS LÄN</t>
        </is>
      </c>
      <c r="E1557" t="inlineStr">
        <is>
          <t>HÄRJEDALEN</t>
        </is>
      </c>
      <c r="G1557" t="n">
        <v>14.2</v>
      </c>
      <c r="H1557" t="n">
        <v>0</v>
      </c>
      <c r="I1557" t="n">
        <v>0</v>
      </c>
      <c r="J1557" t="n">
        <v>0</v>
      </c>
      <c r="K1557" t="n">
        <v>0</v>
      </c>
      <c r="L1557" t="n">
        <v>0</v>
      </c>
      <c r="M1557" t="n">
        <v>0</v>
      </c>
      <c r="N1557" t="n">
        <v>0</v>
      </c>
      <c r="O1557" t="n">
        <v>0</v>
      </c>
      <c r="P1557" t="n">
        <v>0</v>
      </c>
      <c r="Q1557" t="n">
        <v>0</v>
      </c>
      <c r="R1557" s="2" t="inlineStr"/>
    </row>
    <row r="1558" ht="15" customHeight="1">
      <c r="A1558" t="inlineStr">
        <is>
          <t>A 44641-2024</t>
        </is>
      </c>
      <c r="B1558" s="1" t="n">
        <v>45574</v>
      </c>
      <c r="C1558" s="1" t="n">
        <v>45583</v>
      </c>
      <c r="D1558" t="inlineStr">
        <is>
          <t>JÄMTLANDS LÄN</t>
        </is>
      </c>
      <c r="E1558" t="inlineStr">
        <is>
          <t>HÄRJEDALEN</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44819-2024</t>
        </is>
      </c>
      <c r="B1559" s="1" t="n">
        <v>45574</v>
      </c>
      <c r="C1559" s="1" t="n">
        <v>45583</v>
      </c>
      <c r="D1559" t="inlineStr">
        <is>
          <t>JÄMTLANDS LÄN</t>
        </is>
      </c>
      <c r="E1559" t="inlineStr">
        <is>
          <t>HÄRJEDALEN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45583</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44903-2024</t>
        </is>
      </c>
      <c r="B1561" s="1" t="n">
        <v>45575</v>
      </c>
      <c r="C1561" s="1" t="n">
        <v>45583</v>
      </c>
      <c r="D1561" t="inlineStr">
        <is>
          <t>JÄMTLANDS LÄN</t>
        </is>
      </c>
      <c r="E1561" t="inlineStr">
        <is>
          <t>HÄRJEDALEN</t>
        </is>
      </c>
      <c r="F1561" t="inlineStr">
        <is>
          <t>Sveaskog</t>
        </is>
      </c>
      <c r="G1561" t="n">
        <v>13.2</v>
      </c>
      <c r="H1561" t="n">
        <v>0</v>
      </c>
      <c r="I1561" t="n">
        <v>0</v>
      </c>
      <c r="J1561" t="n">
        <v>0</v>
      </c>
      <c r="K1561" t="n">
        <v>0</v>
      </c>
      <c r="L1561" t="n">
        <v>0</v>
      </c>
      <c r="M1561" t="n">
        <v>0</v>
      </c>
      <c r="N1561" t="n">
        <v>0</v>
      </c>
      <c r="O1561" t="n">
        <v>0</v>
      </c>
      <c r="P1561" t="n">
        <v>0</v>
      </c>
      <c r="Q1561" t="n">
        <v>0</v>
      </c>
      <c r="R1561" s="2" t="inlineStr"/>
    </row>
    <row r="1562" ht="15" customHeight="1">
      <c r="A1562" t="inlineStr">
        <is>
          <t>A 44955-2024</t>
        </is>
      </c>
      <c r="B1562" s="1" t="n">
        <v>45575</v>
      </c>
      <c r="C1562" s="1" t="n">
        <v>45583</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44967-2024</t>
        </is>
      </c>
      <c r="B1563" s="1" t="n">
        <v>45575</v>
      </c>
      <c r="C1563" s="1" t="n">
        <v>45583</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45120-2024</t>
        </is>
      </c>
      <c r="B1564" s="1" t="n">
        <v>45575</v>
      </c>
      <c r="C1564" s="1" t="n">
        <v>45583</v>
      </c>
      <c r="D1564" t="inlineStr">
        <is>
          <t>JÄMTLANDS LÄN</t>
        </is>
      </c>
      <c r="E1564" t="inlineStr">
        <is>
          <t>HÄRJEDALEN</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45583</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45583</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45583</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45731-2024</t>
        </is>
      </c>
      <c r="B1568" s="1" t="n">
        <v>45579</v>
      </c>
      <c r="C1568" s="1" t="n">
        <v>45583</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45570-2024</t>
        </is>
      </c>
      <c r="B1569" s="1" t="n">
        <v>45579</v>
      </c>
      <c r="C1569" s="1" t="n">
        <v>45583</v>
      </c>
      <c r="D1569" t="inlineStr">
        <is>
          <t>JÄMTLANDS LÄN</t>
        </is>
      </c>
      <c r="E1569" t="inlineStr">
        <is>
          <t>HÄRJEDALEN</t>
        </is>
      </c>
      <c r="F1569" t="inlineStr">
        <is>
          <t>Kommuner</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45705-2024</t>
        </is>
      </c>
      <c r="B1570" s="1" t="n">
        <v>45579</v>
      </c>
      <c r="C1570" s="1" t="n">
        <v>45583</v>
      </c>
      <c r="D1570" t="inlineStr">
        <is>
          <t>JÄMTLANDS LÄN</t>
        </is>
      </c>
      <c r="E1570" t="inlineStr">
        <is>
          <t>HÄRJEDALEN</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46058-2024</t>
        </is>
      </c>
      <c r="B1571" s="1" t="n">
        <v>45581</v>
      </c>
      <c r="C1571" s="1" t="n">
        <v>45583</v>
      </c>
      <c r="D1571" t="inlineStr">
        <is>
          <t>JÄMTLANDS LÄN</t>
        </is>
      </c>
      <c r="E1571" t="inlineStr">
        <is>
          <t>HÄRJEDALEN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46245-2024</t>
        </is>
      </c>
      <c r="B1572" s="1" t="n">
        <v>45581</v>
      </c>
      <c r="C1572" s="1" t="n">
        <v>45583</v>
      </c>
      <c r="D1572" t="inlineStr">
        <is>
          <t>JÄMTLANDS LÄN</t>
        </is>
      </c>
      <c r="E1572" t="inlineStr">
        <is>
          <t>HÄRJEDALEN</t>
        </is>
      </c>
      <c r="G1572" t="n">
        <v>15.2</v>
      </c>
      <c r="H1572" t="n">
        <v>0</v>
      </c>
      <c r="I1572" t="n">
        <v>0</v>
      </c>
      <c r="J1572" t="n">
        <v>0</v>
      </c>
      <c r="K1572" t="n">
        <v>0</v>
      </c>
      <c r="L1572" t="n">
        <v>0</v>
      </c>
      <c r="M1572" t="n">
        <v>0</v>
      </c>
      <c r="N1572" t="n">
        <v>0</v>
      </c>
      <c r="O1572" t="n">
        <v>0</v>
      </c>
      <c r="P1572" t="n">
        <v>0</v>
      </c>
      <c r="Q1572" t="n">
        <v>0</v>
      </c>
      <c r="R1572" s="2" t="inlineStr"/>
    </row>
    <row r="1573" ht="15" customHeight="1">
      <c r="A1573" t="inlineStr">
        <is>
          <t>A 46447-2024</t>
        </is>
      </c>
      <c r="B1573" s="1" t="n">
        <v>45582</v>
      </c>
      <c r="C1573" s="1" t="n">
        <v>45583</v>
      </c>
      <c r="D1573" t="inlineStr">
        <is>
          <t>JÄMTLANDS LÄN</t>
        </is>
      </c>
      <c r="E1573" t="inlineStr">
        <is>
          <t>HÄRJEDALEN</t>
        </is>
      </c>
      <c r="F1573" t="inlineStr">
        <is>
          <t>Bergvik skog väst AB</t>
        </is>
      </c>
      <c r="G1573" t="n">
        <v>19.2</v>
      </c>
      <c r="H1573" t="n">
        <v>0</v>
      </c>
      <c r="I1573" t="n">
        <v>0</v>
      </c>
      <c r="J1573" t="n">
        <v>0</v>
      </c>
      <c r="K1573" t="n">
        <v>0</v>
      </c>
      <c r="L1573" t="n">
        <v>0</v>
      </c>
      <c r="M1573" t="n">
        <v>0</v>
      </c>
      <c r="N1573" t="n">
        <v>0</v>
      </c>
      <c r="O1573" t="n">
        <v>0</v>
      </c>
      <c r="P1573" t="n">
        <v>0</v>
      </c>
      <c r="Q1573" t="n">
        <v>0</v>
      </c>
      <c r="R1573" s="2" t="inlineStr"/>
    </row>
    <row r="1574">
      <c r="A1574" t="inlineStr">
        <is>
          <t>A 46499-2024</t>
        </is>
      </c>
      <c r="B1574" s="1" t="n">
        <v>45582</v>
      </c>
      <c r="C1574" s="1" t="n">
        <v>45583</v>
      </c>
      <c r="D1574" t="inlineStr">
        <is>
          <t>JÄMTLANDS LÄN</t>
        </is>
      </c>
      <c r="E1574" t="inlineStr">
        <is>
          <t>HÄRJEDALEN</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2024-10-18T13:09:20Z</dcterms:created>
  <dcterms:modified xmlns:dcterms="http://purl.org/dc/terms/" xmlns:xsi="http://www.w3.org/2001/XMLSchema-instance" xsi:type="dcterms:W3CDTF">2024-10-18T13:09:21Z</dcterms:modified>
</cp:coreProperties>
</file>