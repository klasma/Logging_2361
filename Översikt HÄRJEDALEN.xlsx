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46013</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46013</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46013</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46013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46013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46013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46013</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46013</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46013</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46013</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46013</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46013</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46013</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46013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46013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46013</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43579-2025</t>
        </is>
      </c>
      <c r="B22" s="1" t="n">
        <v>45911</v>
      </c>
      <c r="C22" s="1" t="n">
        <v>46013</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46013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46013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46013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46013</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174-2021</t>
        </is>
      </c>
      <c r="B27" s="1" t="n">
        <v>44200</v>
      </c>
      <c r="C27" s="1" t="n">
        <v>46013</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46013</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46013</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46013</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46013</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46013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46013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58277-2021</t>
        </is>
      </c>
      <c r="B34" s="1" t="n">
        <v>44487</v>
      </c>
      <c r="C34" s="1" t="n">
        <v>46013</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46013</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46013</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46013</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46013</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46013</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56499-2024</t>
        </is>
      </c>
      <c r="B41" s="1" t="n">
        <v>45625.49736111111</v>
      </c>
      <c r="C41" s="1" t="n">
        <v>46013</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46013</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46013</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46013</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29434-2023</t>
        </is>
      </c>
      <c r="B45" s="1" t="n">
        <v>45106</v>
      </c>
      <c r="C45" s="1" t="n">
        <v>46013</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46013</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46013</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46013</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46633-2023</t>
        </is>
      </c>
      <c r="B49" s="1" t="n">
        <v>45198</v>
      </c>
      <c r="C49" s="1" t="n">
        <v>46013</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45457.38396990741</v>
      </c>
      <c r="C50" s="1" t="n">
        <v>46013</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38070-2024</t>
        </is>
      </c>
      <c r="B51" s="1" t="n">
        <v>45544</v>
      </c>
      <c r="C51" s="1" t="n">
        <v>46013</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45929.66552083333</v>
      </c>
      <c r="C52" s="1" t="n">
        <v>46013</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46013</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46013</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46013</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46013</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46013</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16890-2024</t>
        </is>
      </c>
      <c r="B58" s="1" t="n">
        <v>45411</v>
      </c>
      <c r="C58" s="1" t="n">
        <v>46013</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46013</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46013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46013</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46013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46013</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46013</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46013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74075-2021</t>
        </is>
      </c>
      <c r="B66" s="1" t="n">
        <v>44553</v>
      </c>
      <c r="C66" s="1" t="n">
        <v>46013</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46013</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46013</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46013</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46013</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46013</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46013</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46013</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46013</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46013</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56468-2024</t>
        </is>
      </c>
      <c r="B76" s="1" t="n">
        <v>45625.45384259259</v>
      </c>
      <c r="C76" s="1" t="n">
        <v>46013</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46013</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48699-2025</t>
        </is>
      </c>
      <c r="B78" s="1" t="n">
        <v>45936.61651620371</v>
      </c>
      <c r="C78" s="1" t="n">
        <v>46013</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46013</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31853-2025</t>
        </is>
      </c>
      <c r="B80" s="1" t="n">
        <v>45834</v>
      </c>
      <c r="C80" s="1" t="n">
        <v>46013</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43278-2024</t>
        </is>
      </c>
      <c r="B81" s="1" t="n">
        <v>45568</v>
      </c>
      <c r="C81" s="1" t="n">
        <v>46013</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10010-2025</t>
        </is>
      </c>
      <c r="B82" s="1" t="n">
        <v>45719</v>
      </c>
      <c r="C82" s="1" t="n">
        <v>46013</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54196-2024</t>
        </is>
      </c>
      <c r="B83" s="1" t="n">
        <v>45616.6450462963</v>
      </c>
      <c r="C83" s="1" t="n">
        <v>46013</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46013</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46013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56483-2023</t>
        </is>
      </c>
      <c r="B86" s="1" t="n">
        <v>45243</v>
      </c>
      <c r="C86" s="1" t="n">
        <v>46013</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46013</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46013</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42982-2025</t>
        </is>
      </c>
      <c r="B89" s="1" t="n">
        <v>45909.4393287037</v>
      </c>
      <c r="C89" s="1" t="n">
        <v>46013</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19799-2024</t>
        </is>
      </c>
      <c r="B90" s="1" t="n">
        <v>45432.94736111111</v>
      </c>
      <c r="C90" s="1" t="n">
        <v>46013</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56516-2025</t>
        </is>
      </c>
      <c r="B91" s="1" t="n">
        <v>45975.45591435185</v>
      </c>
      <c r="C91" s="1" t="n">
        <v>46013</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46013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46013</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46013</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46013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46013</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46013</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46013</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46013</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46013</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32676-2025</t>
        </is>
      </c>
      <c r="B101" s="1" t="n">
        <v>45838.73927083334</v>
      </c>
      <c r="C101" s="1" t="n">
        <v>46013</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46013</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46013</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46013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46013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999-2025</t>
        </is>
      </c>
      <c r="B106" s="1" t="n">
        <v>45666</v>
      </c>
      <c r="C106" s="1" t="n">
        <v>46013</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52017-2025</t>
        </is>
      </c>
      <c r="B107" s="1" t="n">
        <v>45952.59800925926</v>
      </c>
      <c r="C107" s="1" t="n">
        <v>46013</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46013</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46013</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46013</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46013</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46013</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46013</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46013</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46013</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46013</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46013</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46013</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46013</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46013</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46013</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46013</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46013</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46013</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46013</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46013</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68856-2020</t>
        </is>
      </c>
      <c r="B127" s="1" t="n">
        <v>44186</v>
      </c>
      <c r="C127" s="1" t="n">
        <v>46013</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46013</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46013</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46013</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46013</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46013</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46013</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40789-2025</t>
        </is>
      </c>
      <c r="B134" s="1" t="n">
        <v>45897.44645833333</v>
      </c>
      <c r="C134" s="1" t="n">
        <v>46013</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46013</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55228-2021</t>
        </is>
      </c>
      <c r="B136" s="1" t="n">
        <v>44475</v>
      </c>
      <c r="C136" s="1" t="n">
        <v>46013</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46013</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46013</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46013</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48303-2025</t>
        </is>
      </c>
      <c r="B140" s="1" t="n">
        <v>45933.61240740741</v>
      </c>
      <c r="C140" s="1" t="n">
        <v>46013</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56616-2025</t>
        </is>
      </c>
      <c r="B141" s="1" t="n">
        <v>45975.59357638889</v>
      </c>
      <c r="C141" s="1" t="n">
        <v>46013</v>
      </c>
      <c r="D141" t="inlineStr">
        <is>
          <t>JÄMTLANDS LÄN</t>
        </is>
      </c>
      <c r="E141" t="inlineStr">
        <is>
          <t>HÄRJEDALEN</t>
        </is>
      </c>
      <c r="F141" t="inlineStr">
        <is>
          <t>Bergvik skog väst AB</t>
        </is>
      </c>
      <c r="G141" t="n">
        <v>6.6</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56616-2025 artfynd.xlsx", "A 56616-2025")</f>
        <v/>
      </c>
      <c r="T141">
        <f>HYPERLINK("https://klasma.github.io/Logging_2361/kartor/A 56616-2025 karta.png", "A 56616-2025")</f>
        <v/>
      </c>
      <c r="U141">
        <f>HYPERLINK("https://klasma.github.io/Logging_2361/knärot/A 56616-2025 karta knärot.png", "A 56616-2025")</f>
        <v/>
      </c>
      <c r="V141">
        <f>HYPERLINK("https://klasma.github.io/Logging_2361/klagomål/A 56616-2025 FSC-klagomål.docx", "A 56616-2025")</f>
        <v/>
      </c>
      <c r="W141">
        <f>HYPERLINK("https://klasma.github.io/Logging_2361/klagomålsmail/A 56616-2025 FSC-klagomål mail.docx", "A 56616-2025")</f>
        <v/>
      </c>
      <c r="X141">
        <f>HYPERLINK("https://klasma.github.io/Logging_2361/tillsyn/A 56616-2025 tillsynsbegäran.docx", "A 56616-2025")</f>
        <v/>
      </c>
      <c r="Y141">
        <f>HYPERLINK("https://klasma.github.io/Logging_2361/tillsynsmail/A 56616-2025 tillsynsbegäran mail.docx", "A 56616-2025")</f>
        <v/>
      </c>
    </row>
    <row r="142" ht="15" customHeight="1">
      <c r="A142" t="inlineStr">
        <is>
          <t>A 37572-2025</t>
        </is>
      </c>
      <c r="B142" s="1" t="n">
        <v>45880.37559027778</v>
      </c>
      <c r="C142" s="1" t="n">
        <v>46013</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59119-2025</t>
        </is>
      </c>
      <c r="B143" s="1" t="n">
        <v>45988.49024305555</v>
      </c>
      <c r="C143" s="1" t="n">
        <v>46013</v>
      </c>
      <c r="D143" t="inlineStr">
        <is>
          <t>JÄMTLANDS LÄN</t>
        </is>
      </c>
      <c r="E143" t="inlineStr">
        <is>
          <t>HÄRJEDALEN</t>
        </is>
      </c>
      <c r="G143" t="n">
        <v>8.5</v>
      </c>
      <c r="H143" t="n">
        <v>1</v>
      </c>
      <c r="I143" t="n">
        <v>0</v>
      </c>
      <c r="J143" t="n">
        <v>1</v>
      </c>
      <c r="K143" t="n">
        <v>1</v>
      </c>
      <c r="L143" t="n">
        <v>0</v>
      </c>
      <c r="M143" t="n">
        <v>0</v>
      </c>
      <c r="N143" t="n">
        <v>0</v>
      </c>
      <c r="O143" t="n">
        <v>2</v>
      </c>
      <c r="P143" t="n">
        <v>1</v>
      </c>
      <c r="Q143" t="n">
        <v>2</v>
      </c>
      <c r="R143" s="2" t="inlineStr">
        <is>
          <t>Topplåsbräken
Månlåsbräken</t>
        </is>
      </c>
      <c r="S143">
        <f>HYPERLINK("https://klasma.github.io/Logging_2361/artfynd/A 59119-2025 artfynd.xlsx", "A 59119-2025")</f>
        <v/>
      </c>
      <c r="T143">
        <f>HYPERLINK("https://klasma.github.io/Logging_2361/kartor/A 59119-2025 karta.png", "A 59119-2025")</f>
        <v/>
      </c>
      <c r="V143">
        <f>HYPERLINK("https://klasma.github.io/Logging_2361/klagomål/A 59119-2025 FSC-klagomål.docx", "A 59119-2025")</f>
        <v/>
      </c>
      <c r="W143">
        <f>HYPERLINK("https://klasma.github.io/Logging_2361/klagomålsmail/A 59119-2025 FSC-klagomål mail.docx", "A 59119-2025")</f>
        <v/>
      </c>
      <c r="X143">
        <f>HYPERLINK("https://klasma.github.io/Logging_2361/tillsyn/A 59119-2025 tillsynsbegäran.docx", "A 59119-2025")</f>
        <v/>
      </c>
      <c r="Y143">
        <f>HYPERLINK("https://klasma.github.io/Logging_2361/tillsynsmail/A 59119-2025 tillsynsbegäran mail.docx", "A 59119-2025")</f>
        <v/>
      </c>
    </row>
    <row r="144" ht="15" customHeight="1">
      <c r="A144" t="inlineStr">
        <is>
          <t>A 29710-2024</t>
        </is>
      </c>
      <c r="B144" s="1" t="n">
        <v>45485</v>
      </c>
      <c r="C144" s="1" t="n">
        <v>46013</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46013</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50438-2022</t>
        </is>
      </c>
      <c r="B146" s="1" t="n">
        <v>44866.46503472222</v>
      </c>
      <c r="C146" s="1" t="n">
        <v>46013</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4372-2023</t>
        </is>
      </c>
      <c r="B147" s="1" t="n">
        <v>44955</v>
      </c>
      <c r="C147" s="1" t="n">
        <v>46013</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49329-2024</t>
        </is>
      </c>
      <c r="B148" s="1" t="n">
        <v>45595.58056712963</v>
      </c>
      <c r="C148" s="1" t="n">
        <v>46013</v>
      </c>
      <c r="D148" t="inlineStr">
        <is>
          <t>JÄMTLANDS LÄN</t>
        </is>
      </c>
      <c r="E148" t="inlineStr">
        <is>
          <t>HÄRJEDALEN</t>
        </is>
      </c>
      <c r="F148" t="inlineStr">
        <is>
          <t>Bergvik skog väst AB</t>
        </is>
      </c>
      <c r="G148" t="n">
        <v>6.1</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HYPERLINK("https://klasma.github.io/Logging_2361/artfynd/A 49329-2024 artfynd.xlsx", "A 49329-2024")</f>
        <v/>
      </c>
      <c r="T148">
        <f>HYPERLINK("https://klasma.github.io/Logging_2361/kartor/A 49329-2024 karta.png", "A 49329-2024")</f>
        <v/>
      </c>
      <c r="V148">
        <f>HYPERLINK("https://klasma.github.io/Logging_2361/klagomål/A 49329-2024 FSC-klagomål.docx", "A 49329-2024")</f>
        <v/>
      </c>
      <c r="W148">
        <f>HYPERLINK("https://klasma.github.io/Logging_2361/klagomålsmail/A 49329-2024 FSC-klagomål mail.docx", "A 49329-2024")</f>
        <v/>
      </c>
      <c r="X148">
        <f>HYPERLINK("https://klasma.github.io/Logging_2361/tillsyn/A 49329-2024 tillsynsbegäran.docx", "A 49329-2024")</f>
        <v/>
      </c>
      <c r="Y148">
        <f>HYPERLINK("https://klasma.github.io/Logging_2361/tillsynsmail/A 49329-2024 tillsynsbegäran mail.docx", "A 49329-2024")</f>
        <v/>
      </c>
    </row>
    <row r="149" ht="15" customHeight="1">
      <c r="A149" t="inlineStr">
        <is>
          <t>A 20132-2025</t>
        </is>
      </c>
      <c r="B149" s="1" t="n">
        <v>45772.51070601852</v>
      </c>
      <c r="C149" s="1" t="n">
        <v>46013</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36924-2024</t>
        </is>
      </c>
      <c r="B150" s="1" t="n">
        <v>45538</v>
      </c>
      <c r="C150" s="1" t="n">
        <v>46013</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31414-2025</t>
        </is>
      </c>
      <c r="B151" s="1" t="n">
        <v>45833</v>
      </c>
      <c r="C151" s="1" t="n">
        <v>46013</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10344-2023</t>
        </is>
      </c>
      <c r="B152" s="1" t="n">
        <v>44987</v>
      </c>
      <c r="C152" s="1" t="n">
        <v>46013</v>
      </c>
      <c r="D152" t="inlineStr">
        <is>
          <t>JÄMTLANDS LÄN</t>
        </is>
      </c>
      <c r="E152" t="inlineStr">
        <is>
          <t>HÄRJEDALEN</t>
        </is>
      </c>
      <c r="F152" t="inlineStr">
        <is>
          <t>Holmen skog AB</t>
        </is>
      </c>
      <c r="G152" t="n">
        <v>7.2</v>
      </c>
      <c r="H152" t="n">
        <v>0</v>
      </c>
      <c r="I152" t="n">
        <v>0</v>
      </c>
      <c r="J152" t="n">
        <v>2</v>
      </c>
      <c r="K152" t="n">
        <v>0</v>
      </c>
      <c r="L152" t="n">
        <v>0</v>
      </c>
      <c r="M152" t="n">
        <v>0</v>
      </c>
      <c r="N152" t="n">
        <v>0</v>
      </c>
      <c r="O152" t="n">
        <v>2</v>
      </c>
      <c r="P152" t="n">
        <v>0</v>
      </c>
      <c r="Q152" t="n">
        <v>2</v>
      </c>
      <c r="R152" s="2" t="inlineStr">
        <is>
          <t>Lunglav
Skrovellav</t>
        </is>
      </c>
      <c r="S152">
        <f>HYPERLINK("https://klasma.github.io/Logging_2361/artfynd/A 10344-2023 artfynd.xlsx", "A 10344-2023")</f>
        <v/>
      </c>
      <c r="T152">
        <f>HYPERLINK("https://klasma.github.io/Logging_2361/kartor/A 10344-2023 karta.png", "A 10344-2023")</f>
        <v/>
      </c>
      <c r="U152">
        <f>HYPERLINK("https://klasma.github.io/Logging_2361/knärot/A 10344-2023 karta knärot.png", "A 10344-2023")</f>
        <v/>
      </c>
      <c r="V152">
        <f>HYPERLINK("https://klasma.github.io/Logging_2361/klagomål/A 10344-2023 FSC-klagomål.docx", "A 10344-2023")</f>
        <v/>
      </c>
      <c r="W152">
        <f>HYPERLINK("https://klasma.github.io/Logging_2361/klagomålsmail/A 10344-2023 FSC-klagomål mail.docx", "A 10344-2023")</f>
        <v/>
      </c>
      <c r="X152">
        <f>HYPERLINK("https://klasma.github.io/Logging_2361/tillsyn/A 10344-2023 tillsynsbegäran.docx", "A 10344-2023")</f>
        <v/>
      </c>
      <c r="Y152">
        <f>HYPERLINK("https://klasma.github.io/Logging_2361/tillsynsmail/A 10344-2023 tillsynsbegäran mail.docx", "A 10344-2023")</f>
        <v/>
      </c>
    </row>
    <row r="153" ht="15" customHeight="1">
      <c r="A153" t="inlineStr">
        <is>
          <t>A 60750-2024</t>
        </is>
      </c>
      <c r="B153" s="1" t="n">
        <v>45644.56555555556</v>
      </c>
      <c r="C153" s="1" t="n">
        <v>46013</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45191-2023</t>
        </is>
      </c>
      <c r="B154" s="1" t="n">
        <v>45191</v>
      </c>
      <c r="C154" s="1" t="n">
        <v>46013</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20035-2025</t>
        </is>
      </c>
      <c r="B155" s="1" t="n">
        <v>45772.36488425926</v>
      </c>
      <c r="C155" s="1" t="n">
        <v>46013</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46013</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46013</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36750-2023</t>
        </is>
      </c>
      <c r="B158" s="1" t="n">
        <v>45153</v>
      </c>
      <c r="C158" s="1" t="n">
        <v>46013</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48065-2021</t>
        </is>
      </c>
      <c r="B159" s="1" t="n">
        <v>44449</v>
      </c>
      <c r="C159" s="1" t="n">
        <v>46013</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22501-2025</t>
        </is>
      </c>
      <c r="B160" s="1" t="n">
        <v>45786.6590625</v>
      </c>
      <c r="C160" s="1" t="n">
        <v>46013</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46013</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46013</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46013</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46013</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46013</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55221-2021</t>
        </is>
      </c>
      <c r="B166" s="1" t="n">
        <v>44475</v>
      </c>
      <c r="C166" s="1" t="n">
        <v>46013</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46013</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46013</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46013</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31061-2022</t>
        </is>
      </c>
      <c r="B170" s="1" t="n">
        <v>44769.48783564815</v>
      </c>
      <c r="C170" s="1" t="n">
        <v>46013</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24251-2024</t>
        </is>
      </c>
      <c r="B171" s="1" t="n">
        <v>45457.38677083333</v>
      </c>
      <c r="C171" s="1" t="n">
        <v>46013</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46013</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36533-2025</t>
        </is>
      </c>
      <c r="B173" s="1" t="n">
        <v>45869</v>
      </c>
      <c r="C173" s="1" t="n">
        <v>46013</v>
      </c>
      <c r="D173" t="inlineStr">
        <is>
          <t>JÄMTLANDS LÄN</t>
        </is>
      </c>
      <c r="E173" t="inlineStr">
        <is>
          <t>HÄRJEDALEN</t>
        </is>
      </c>
      <c r="G173" t="n">
        <v>3.7</v>
      </c>
      <c r="H173" t="n">
        <v>0</v>
      </c>
      <c r="I173" t="n">
        <v>0</v>
      </c>
      <c r="J173" t="n">
        <v>1</v>
      </c>
      <c r="K173" t="n">
        <v>0</v>
      </c>
      <c r="L173" t="n">
        <v>0</v>
      </c>
      <c r="M173" t="n">
        <v>0</v>
      </c>
      <c r="N173" t="n">
        <v>0</v>
      </c>
      <c r="O173" t="n">
        <v>1</v>
      </c>
      <c r="P173" t="n">
        <v>0</v>
      </c>
      <c r="Q173" t="n">
        <v>1</v>
      </c>
      <c r="R173" s="2" t="inlineStr">
        <is>
          <t>Lunglav</t>
        </is>
      </c>
      <c r="S173">
        <f>HYPERLINK("https://klasma.github.io/Logging_2361/artfynd/A 36533-2025 artfynd.xlsx", "A 36533-2025")</f>
        <v/>
      </c>
      <c r="T173">
        <f>HYPERLINK("https://klasma.github.io/Logging_2361/kartor/A 36533-2025 karta.png", "A 36533-2025")</f>
        <v/>
      </c>
      <c r="V173">
        <f>HYPERLINK("https://klasma.github.io/Logging_2361/klagomål/A 36533-2025 FSC-klagomål.docx", "A 36533-2025")</f>
        <v/>
      </c>
      <c r="W173">
        <f>HYPERLINK("https://klasma.github.io/Logging_2361/klagomålsmail/A 36533-2025 FSC-klagomål mail.docx", "A 36533-2025")</f>
        <v/>
      </c>
      <c r="X173">
        <f>HYPERLINK("https://klasma.github.io/Logging_2361/tillsyn/A 36533-2025 tillsynsbegäran.docx", "A 36533-2025")</f>
        <v/>
      </c>
      <c r="Y173">
        <f>HYPERLINK("https://klasma.github.io/Logging_2361/tillsynsmail/A 36533-2025 tillsynsbegäran mail.docx", "A 36533-2025")</f>
        <v/>
      </c>
    </row>
    <row r="174" ht="15" customHeight="1">
      <c r="A174" t="inlineStr">
        <is>
          <t>A 25368-2025</t>
        </is>
      </c>
      <c r="B174" s="1" t="n">
        <v>45800.63043981481</v>
      </c>
      <c r="C174" s="1" t="n">
        <v>46013</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46013</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46013</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46013</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39362-2025</t>
        </is>
      </c>
      <c r="B178" s="1" t="n">
        <v>45889.56214120371</v>
      </c>
      <c r="C178" s="1" t="n">
        <v>46013</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36941-2024</t>
        </is>
      </c>
      <c r="B179" s="1" t="n">
        <v>45538.57630787037</v>
      </c>
      <c r="C179" s="1" t="n">
        <v>46013</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23680-2024</t>
        </is>
      </c>
      <c r="B180" s="1" t="n">
        <v>45454.62443287037</v>
      </c>
      <c r="C180" s="1" t="n">
        <v>46013</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46013</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43322-2025</t>
        </is>
      </c>
      <c r="B182" s="1" t="n">
        <v>45910.66347222222</v>
      </c>
      <c r="C182" s="1" t="n">
        <v>46013</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55223-2021</t>
        </is>
      </c>
      <c r="B183" s="1" t="n">
        <v>44475</v>
      </c>
      <c r="C183" s="1" t="n">
        <v>46013</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32310-2025</t>
        </is>
      </c>
      <c r="B184" s="1" t="n">
        <v>45835.7499537037</v>
      </c>
      <c r="C184" s="1" t="n">
        <v>46013</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46013</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55582-2024</t>
        </is>
      </c>
      <c r="B186" s="1" t="n">
        <v>45622</v>
      </c>
      <c r="C186" s="1" t="n">
        <v>46013</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48281-2025</t>
        </is>
      </c>
      <c r="B187" s="1" t="n">
        <v>45933.58802083333</v>
      </c>
      <c r="C187" s="1" t="n">
        <v>46013</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56521-2025</t>
        </is>
      </c>
      <c r="B188" s="1" t="n">
        <v>45975.46076388889</v>
      </c>
      <c r="C188" s="1" t="n">
        <v>46013</v>
      </c>
      <c r="D188" t="inlineStr">
        <is>
          <t>JÄMTLANDS LÄN</t>
        </is>
      </c>
      <c r="E188" t="inlineStr">
        <is>
          <t>HÄRJEDALEN</t>
        </is>
      </c>
      <c r="F188" t="inlineStr">
        <is>
          <t>Bergvik skog väst AB</t>
        </is>
      </c>
      <c r="G188" t="n">
        <v>4.5</v>
      </c>
      <c r="H188" t="n">
        <v>0</v>
      </c>
      <c r="I188" t="n">
        <v>0</v>
      </c>
      <c r="J188" t="n">
        <v>1</v>
      </c>
      <c r="K188" t="n">
        <v>0</v>
      </c>
      <c r="L188" t="n">
        <v>0</v>
      </c>
      <c r="M188" t="n">
        <v>0</v>
      </c>
      <c r="N188" t="n">
        <v>0</v>
      </c>
      <c r="O188" t="n">
        <v>1</v>
      </c>
      <c r="P188" t="n">
        <v>0</v>
      </c>
      <c r="Q188" t="n">
        <v>1</v>
      </c>
      <c r="R188" s="2" t="inlineStr">
        <is>
          <t>Vedskivlav</t>
        </is>
      </c>
      <c r="S188">
        <f>HYPERLINK("https://klasma.github.io/Logging_2361/artfynd/A 56521-2025 artfynd.xlsx", "A 56521-2025")</f>
        <v/>
      </c>
      <c r="T188">
        <f>HYPERLINK("https://klasma.github.io/Logging_2361/kartor/A 56521-2025 karta.png", "A 56521-2025")</f>
        <v/>
      </c>
      <c r="V188">
        <f>HYPERLINK("https://klasma.github.io/Logging_2361/klagomål/A 56521-2025 FSC-klagomål.docx", "A 56521-2025")</f>
        <v/>
      </c>
      <c r="W188">
        <f>HYPERLINK("https://klasma.github.io/Logging_2361/klagomålsmail/A 56521-2025 FSC-klagomål mail.docx", "A 56521-2025")</f>
        <v/>
      </c>
      <c r="X188">
        <f>HYPERLINK("https://klasma.github.io/Logging_2361/tillsyn/A 56521-2025 tillsynsbegäran.docx", "A 56521-2025")</f>
        <v/>
      </c>
      <c r="Y188">
        <f>HYPERLINK("https://klasma.github.io/Logging_2361/tillsynsmail/A 56521-2025 tillsynsbegäran mail.docx", "A 56521-2025")</f>
        <v/>
      </c>
    </row>
    <row r="189" ht="15" customHeight="1">
      <c r="A189" t="inlineStr">
        <is>
          <t>A 54520-2024</t>
        </is>
      </c>
      <c r="B189" s="1" t="n">
        <v>45617</v>
      </c>
      <c r="C189" s="1" t="n">
        <v>46013</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52307-2025</t>
        </is>
      </c>
      <c r="B190" s="1" t="n">
        <v>45953.63997685185</v>
      </c>
      <c r="C190" s="1" t="n">
        <v>46013</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17902-2025</t>
        </is>
      </c>
      <c r="B191" s="1" t="n">
        <v>45758.70164351852</v>
      </c>
      <c r="C191" s="1" t="n">
        <v>46013</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46013</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46013</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46013</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46013</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46013</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7318-2024</t>
        </is>
      </c>
      <c r="B197" s="1" t="n">
        <v>45345</v>
      </c>
      <c r="C197" s="1" t="n">
        <v>46013</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51234-2024</t>
        </is>
      </c>
      <c r="B198" s="1" t="n">
        <v>45603</v>
      </c>
      <c r="C198" s="1" t="n">
        <v>46013</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30330-2023</t>
        </is>
      </c>
      <c r="B199" s="1" t="n">
        <v>45111</v>
      </c>
      <c r="C199" s="1" t="n">
        <v>46013</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59367-2024</t>
        </is>
      </c>
      <c r="B200" s="1" t="n">
        <v>45638.33607638889</v>
      </c>
      <c r="C200" s="1" t="n">
        <v>46013</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23331-2025</t>
        </is>
      </c>
      <c r="B201" s="1" t="n">
        <v>45791</v>
      </c>
      <c r="C201" s="1" t="n">
        <v>46013</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12274-2025</t>
        </is>
      </c>
      <c r="B202" s="1" t="n">
        <v>45729.64623842593</v>
      </c>
      <c r="C202" s="1" t="n">
        <v>46013</v>
      </c>
      <c r="D202" t="inlineStr">
        <is>
          <t>JÄMTLANDS LÄN</t>
        </is>
      </c>
      <c r="E202" t="inlineStr">
        <is>
          <t>HÄRJEDALEN</t>
        </is>
      </c>
      <c r="F202" t="inlineStr">
        <is>
          <t>Holmen skog AB</t>
        </is>
      </c>
      <c r="G202" t="n">
        <v>1</v>
      </c>
      <c r="H202" t="n">
        <v>0</v>
      </c>
      <c r="I202" t="n">
        <v>0</v>
      </c>
      <c r="J202" t="n">
        <v>1</v>
      </c>
      <c r="K202" t="n">
        <v>0</v>
      </c>
      <c r="L202" t="n">
        <v>0</v>
      </c>
      <c r="M202" t="n">
        <v>0</v>
      </c>
      <c r="N202" t="n">
        <v>0</v>
      </c>
      <c r="O202" t="n">
        <v>1</v>
      </c>
      <c r="P202" t="n">
        <v>0</v>
      </c>
      <c r="Q202" t="n">
        <v>1</v>
      </c>
      <c r="R202" s="2" t="inlineStr">
        <is>
          <t>Garnlav</t>
        </is>
      </c>
      <c r="S202">
        <f>HYPERLINK("https://klasma.github.io/Logging_2361/artfynd/A 12274-2025 artfynd.xlsx", "A 12274-2025")</f>
        <v/>
      </c>
      <c r="T202">
        <f>HYPERLINK("https://klasma.github.io/Logging_2361/kartor/A 12274-2025 karta.png", "A 12274-2025")</f>
        <v/>
      </c>
      <c r="V202">
        <f>HYPERLINK("https://klasma.github.io/Logging_2361/klagomål/A 12274-2025 FSC-klagomål.docx", "A 12274-2025")</f>
        <v/>
      </c>
      <c r="W202">
        <f>HYPERLINK("https://klasma.github.io/Logging_2361/klagomålsmail/A 12274-2025 FSC-klagomål mail.docx", "A 12274-2025")</f>
        <v/>
      </c>
      <c r="X202">
        <f>HYPERLINK("https://klasma.github.io/Logging_2361/tillsyn/A 12274-2025 tillsynsbegäran.docx", "A 12274-2025")</f>
        <v/>
      </c>
      <c r="Y202">
        <f>HYPERLINK("https://klasma.github.io/Logging_2361/tillsynsmail/A 12274-2025 tillsynsbegäran mail.docx", "A 12274-2025")</f>
        <v/>
      </c>
    </row>
    <row r="203" ht="15" customHeight="1">
      <c r="A203" t="inlineStr">
        <is>
          <t>A 21334-2021</t>
        </is>
      </c>
      <c r="B203" s="1" t="n">
        <v>44320</v>
      </c>
      <c r="C203" s="1" t="n">
        <v>46013</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46013</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46013</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46013</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46013</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46013</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46013</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46013</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46013</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46013</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46013</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46013</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46013</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46013</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46013</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46013</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46013</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55231-2021</t>
        </is>
      </c>
      <c r="B220" s="1" t="n">
        <v>44475</v>
      </c>
      <c r="C220" s="1" t="n">
        <v>46013</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35572-2021</t>
        </is>
      </c>
      <c r="B221" s="1" t="n">
        <v>44385.93652777778</v>
      </c>
      <c r="C221" s="1" t="n">
        <v>46013</v>
      </c>
      <c r="D221" t="inlineStr">
        <is>
          <t>JÄMTLANDS LÄN</t>
        </is>
      </c>
      <c r="E221" t="inlineStr">
        <is>
          <t>HÄRJEDALEN</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46013</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46013</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46013</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46013</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46013</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46013</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46013</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46013</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46013</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46013</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46013</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46013</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46013</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46013</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46013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46013</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46013</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46013</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46013</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46013</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46013</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46013</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46013</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46013</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46013</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46013</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46013</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46013</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46013</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46013</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46013</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46013</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46013</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46013</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46013</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46013</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46013</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46013</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46013</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46013</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46013</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46013</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46013</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46013</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46013</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46013</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46013</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46013</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46013</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46013</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46013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69168-2020</t>
        </is>
      </c>
      <c r="B273" s="1" t="n">
        <v>44188</v>
      </c>
      <c r="C273" s="1" t="n">
        <v>46013</v>
      </c>
      <c r="D273" t="inlineStr">
        <is>
          <t>JÄMTLANDS LÄN</t>
        </is>
      </c>
      <c r="E273" t="inlineStr">
        <is>
          <t>HÄRJEDALEN</t>
        </is>
      </c>
      <c r="F273" t="inlineStr">
        <is>
          <t>Sveaskog</t>
        </is>
      </c>
      <c r="G273" t="n">
        <v>20</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46013</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46013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46013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46013</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46013</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46013</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46013</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46013</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46013</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46013</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46013</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46013</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46013</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46013</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69101-2020</t>
        </is>
      </c>
      <c r="B288" s="1" t="n">
        <v>44188</v>
      </c>
      <c r="C288" s="1" t="n">
        <v>46013</v>
      </c>
      <c r="D288" t="inlineStr">
        <is>
          <t>JÄMTLANDS LÄN</t>
        </is>
      </c>
      <c r="E288" t="inlineStr">
        <is>
          <t>HÄRJEDALEN</t>
        </is>
      </c>
      <c r="G288" t="n">
        <v>3.1</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46013</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46013</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46013</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46013</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46013</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46013</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46013</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46013</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46013</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46013</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46013</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46013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46013</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46013</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46013</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5519-2021</t>
        </is>
      </c>
      <c r="B304" s="1" t="n">
        <v>44230</v>
      </c>
      <c r="C304" s="1" t="n">
        <v>46013</v>
      </c>
      <c r="D304" t="inlineStr">
        <is>
          <t>JÄMTLANDS LÄN</t>
        </is>
      </c>
      <c r="E304" t="inlineStr">
        <is>
          <t>HÄRJEDALEN</t>
        </is>
      </c>
      <c r="G304" t="n">
        <v>10.8</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46013</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46013</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46013</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46013</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46013</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46013</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46013</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46013</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46013</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46013</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46013</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46013</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46013</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46013</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46013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46013</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46013</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21770-2022</t>
        </is>
      </c>
      <c r="B322" s="1" t="n">
        <v>44708.46081018518</v>
      </c>
      <c r="C322" s="1" t="n">
        <v>46013</v>
      </c>
      <c r="D322" t="inlineStr">
        <is>
          <t>JÄMTLANDS LÄN</t>
        </is>
      </c>
      <c r="E322" t="inlineStr">
        <is>
          <t>HÄRJEDALEN</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46013</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46013</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46013</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46013</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46013</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46013</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46013</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17705-2021</t>
        </is>
      </c>
      <c r="B330" s="1" t="n">
        <v>44300</v>
      </c>
      <c r="C330" s="1" t="n">
        <v>46013</v>
      </c>
      <c r="D330" t="inlineStr">
        <is>
          <t>JÄMTLANDS LÄN</t>
        </is>
      </c>
      <c r="E330" t="inlineStr">
        <is>
          <t>HÄRJEDALEN</t>
        </is>
      </c>
      <c r="G330" t="n">
        <v>5.2</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46013</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9775-2024</t>
        </is>
      </c>
      <c r="B332" s="1" t="n">
        <v>45362.64613425926</v>
      </c>
      <c r="C332" s="1" t="n">
        <v>46013</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9778-2024</t>
        </is>
      </c>
      <c r="B333" s="1" t="n">
        <v>45362.65407407407</v>
      </c>
      <c r="C333" s="1" t="n">
        <v>46013</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9788-2024</t>
        </is>
      </c>
      <c r="B334" s="1" t="n">
        <v>45362.67789351852</v>
      </c>
      <c r="C334" s="1" t="n">
        <v>46013</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46013</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46013</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46013</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46013</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4837-2025</t>
        </is>
      </c>
      <c r="B339" s="1" t="n">
        <v>45688.67145833333</v>
      </c>
      <c r="C339" s="1" t="n">
        <v>46013</v>
      </c>
      <c r="D339" t="inlineStr">
        <is>
          <t>JÄMTLANDS LÄN</t>
        </is>
      </c>
      <c r="E339" t="inlineStr">
        <is>
          <t>HÄRJEDALEN</t>
        </is>
      </c>
      <c r="F339" t="inlineStr">
        <is>
          <t>SCA</t>
        </is>
      </c>
      <c r="G339" t="n">
        <v>21.9</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46013</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6756-2024</t>
        </is>
      </c>
      <c r="B341" s="1" t="n">
        <v>45342</v>
      </c>
      <c r="C341" s="1" t="n">
        <v>46013</v>
      </c>
      <c r="D341" t="inlineStr">
        <is>
          <t>JÄMTLANDS LÄN</t>
        </is>
      </c>
      <c r="E341" t="inlineStr">
        <is>
          <t>HÄRJEDALEN</t>
        </is>
      </c>
      <c r="G341" t="n">
        <v>5.7</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46013</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46013</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14401-2025</t>
        </is>
      </c>
      <c r="B344" s="1" t="n">
        <v>45741.45597222223</v>
      </c>
      <c r="C344" s="1" t="n">
        <v>46013</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22728-2023</t>
        </is>
      </c>
      <c r="B345" s="1" t="n">
        <v>45071.92488425926</v>
      </c>
      <c r="C345" s="1" t="n">
        <v>46013</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46013</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19488-2024</t>
        </is>
      </c>
      <c r="B347" s="1" t="n">
        <v>45429</v>
      </c>
      <c r="C347" s="1" t="n">
        <v>46013</v>
      </c>
      <c r="D347" t="inlineStr">
        <is>
          <t>JÄMTLANDS LÄN</t>
        </is>
      </c>
      <c r="E347" t="inlineStr">
        <is>
          <t>HÄRJEDALEN</t>
        </is>
      </c>
      <c r="G347" t="n">
        <v>0.5</v>
      </c>
      <c r="H347" t="n">
        <v>0</v>
      </c>
      <c r="I347" t="n">
        <v>0</v>
      </c>
      <c r="J347" t="n">
        <v>0</v>
      </c>
      <c r="K347" t="n">
        <v>0</v>
      </c>
      <c r="L347" t="n">
        <v>0</v>
      </c>
      <c r="M347" t="n">
        <v>0</v>
      </c>
      <c r="N347" t="n">
        <v>0</v>
      </c>
      <c r="O347" t="n">
        <v>0</v>
      </c>
      <c r="P347" t="n">
        <v>0</v>
      </c>
      <c r="Q347" t="n">
        <v>0</v>
      </c>
      <c r="R347" s="2" t="inlineStr"/>
    </row>
    <row r="348" ht="15" customHeight="1">
      <c r="A348" t="inlineStr">
        <is>
          <t>A 24608-2024</t>
        </is>
      </c>
      <c r="B348" s="1" t="n">
        <v>45460.47969907407</v>
      </c>
      <c r="C348" s="1" t="n">
        <v>46013</v>
      </c>
      <c r="D348" t="inlineStr">
        <is>
          <t>JÄMTLANDS LÄN</t>
        </is>
      </c>
      <c r="E348" t="inlineStr">
        <is>
          <t>HÄRJEDALEN</t>
        </is>
      </c>
      <c r="G348" t="n">
        <v>15.7</v>
      </c>
      <c r="H348" t="n">
        <v>0</v>
      </c>
      <c r="I348" t="n">
        <v>0</v>
      </c>
      <c r="J348" t="n">
        <v>0</v>
      </c>
      <c r="K348" t="n">
        <v>0</v>
      </c>
      <c r="L348" t="n">
        <v>0</v>
      </c>
      <c r="M348" t="n">
        <v>0</v>
      </c>
      <c r="N348" t="n">
        <v>0</v>
      </c>
      <c r="O348" t="n">
        <v>0</v>
      </c>
      <c r="P348" t="n">
        <v>0</v>
      </c>
      <c r="Q348" t="n">
        <v>0</v>
      </c>
      <c r="R348" s="2" t="inlineStr"/>
    </row>
    <row r="349" ht="15" customHeight="1">
      <c r="A349" t="inlineStr">
        <is>
          <t>A 16283-2024</t>
        </is>
      </c>
      <c r="B349" s="1" t="n">
        <v>45407.36894675926</v>
      </c>
      <c r="C349" s="1" t="n">
        <v>46013</v>
      </c>
      <c r="D349" t="inlineStr">
        <is>
          <t>JÄMTLANDS LÄN</t>
        </is>
      </c>
      <c r="E349" t="inlineStr">
        <is>
          <t>HÄRJEDALEN</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49689-2022</t>
        </is>
      </c>
      <c r="B350" s="1" t="n">
        <v>44862</v>
      </c>
      <c r="C350" s="1" t="n">
        <v>46013</v>
      </c>
      <c r="D350" t="inlineStr">
        <is>
          <t>JÄMTLANDS LÄN</t>
        </is>
      </c>
      <c r="E350" t="inlineStr">
        <is>
          <t>HÄRJEDALEN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56587-2023</t>
        </is>
      </c>
      <c r="B351" s="1" t="n">
        <v>45243.63798611111</v>
      </c>
      <c r="C351" s="1" t="n">
        <v>46013</v>
      </c>
      <c r="D351" t="inlineStr">
        <is>
          <t>JÄMTLANDS LÄN</t>
        </is>
      </c>
      <c r="E351" t="inlineStr">
        <is>
          <t>HÄRJEDALEN</t>
        </is>
      </c>
      <c r="G351" t="n">
        <v>13.4</v>
      </c>
      <c r="H351" t="n">
        <v>0</v>
      </c>
      <c r="I351" t="n">
        <v>0</v>
      </c>
      <c r="J351" t="n">
        <v>0</v>
      </c>
      <c r="K351" t="n">
        <v>0</v>
      </c>
      <c r="L351" t="n">
        <v>0</v>
      </c>
      <c r="M351" t="n">
        <v>0</v>
      </c>
      <c r="N351" t="n">
        <v>0</v>
      </c>
      <c r="O351" t="n">
        <v>0</v>
      </c>
      <c r="P351" t="n">
        <v>0</v>
      </c>
      <c r="Q351" t="n">
        <v>0</v>
      </c>
      <c r="R351" s="2" t="inlineStr"/>
    </row>
    <row r="352" ht="15" customHeight="1">
      <c r="A352" t="inlineStr">
        <is>
          <t>A 39453-2021</t>
        </is>
      </c>
      <c r="B352" s="1" t="n">
        <v>44414.58354166667</v>
      </c>
      <c r="C352" s="1" t="n">
        <v>46013</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18541-2025</t>
        </is>
      </c>
      <c r="B353" s="1" t="n">
        <v>45763.41402777778</v>
      </c>
      <c r="C353" s="1" t="n">
        <v>46013</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60611-2023</t>
        </is>
      </c>
      <c r="B354" s="1" t="n">
        <v>45260.35777777778</v>
      </c>
      <c r="C354" s="1" t="n">
        <v>46013</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62721-2022</t>
        </is>
      </c>
      <c r="B355" s="1" t="n">
        <v>44925.64049768518</v>
      </c>
      <c r="C355" s="1" t="n">
        <v>46013</v>
      </c>
      <c r="D355" t="inlineStr">
        <is>
          <t>JÄMTLANDS LÄN</t>
        </is>
      </c>
      <c r="E355" t="inlineStr">
        <is>
          <t>HÄRJEDALEN</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47765-2024</t>
        </is>
      </c>
      <c r="B356" s="1" t="n">
        <v>45588.56039351852</v>
      </c>
      <c r="C356" s="1" t="n">
        <v>46013</v>
      </c>
      <c r="D356" t="inlineStr">
        <is>
          <t>JÄMTLANDS LÄN</t>
        </is>
      </c>
      <c r="E356" t="inlineStr">
        <is>
          <t>HÄRJEDALEN</t>
        </is>
      </c>
      <c r="G356" t="n">
        <v>53.6</v>
      </c>
      <c r="H356" t="n">
        <v>0</v>
      </c>
      <c r="I356" t="n">
        <v>0</v>
      </c>
      <c r="J356" t="n">
        <v>0</v>
      </c>
      <c r="K356" t="n">
        <v>0</v>
      </c>
      <c r="L356" t="n">
        <v>0</v>
      </c>
      <c r="M356" t="n">
        <v>0</v>
      </c>
      <c r="N356" t="n">
        <v>0</v>
      </c>
      <c r="O356" t="n">
        <v>0</v>
      </c>
      <c r="P356" t="n">
        <v>0</v>
      </c>
      <c r="Q356" t="n">
        <v>0</v>
      </c>
      <c r="R356" s="2" t="inlineStr"/>
    </row>
    <row r="357" ht="15" customHeight="1">
      <c r="A357" t="inlineStr">
        <is>
          <t>A 26656-2021</t>
        </is>
      </c>
      <c r="B357" s="1" t="n">
        <v>44348</v>
      </c>
      <c r="C357" s="1" t="n">
        <v>46013</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46013</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64144-2023</t>
        </is>
      </c>
      <c r="B359" s="1" t="n">
        <v>45279.57732638889</v>
      </c>
      <c r="C359" s="1" t="n">
        <v>46013</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54762-2022</t>
        </is>
      </c>
      <c r="B360" s="1" t="n">
        <v>44883</v>
      </c>
      <c r="C360" s="1" t="n">
        <v>46013</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31759-2024</t>
        </is>
      </c>
      <c r="B361" s="1" t="n">
        <v>45509</v>
      </c>
      <c r="C361" s="1" t="n">
        <v>46013</v>
      </c>
      <c r="D361" t="inlineStr">
        <is>
          <t>JÄMTLANDS LÄN</t>
        </is>
      </c>
      <c r="E361" t="inlineStr">
        <is>
          <t>HÄRJEDALEN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47351-2022</t>
        </is>
      </c>
      <c r="B362" s="1" t="n">
        <v>44853.41693287037</v>
      </c>
      <c r="C362" s="1" t="n">
        <v>46013</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4711-2023</t>
        </is>
      </c>
      <c r="B363" s="1" t="n">
        <v>44957</v>
      </c>
      <c r="C363" s="1" t="n">
        <v>46013</v>
      </c>
      <c r="D363" t="inlineStr">
        <is>
          <t>JÄMTLANDS LÄN</t>
        </is>
      </c>
      <c r="E363" t="inlineStr">
        <is>
          <t>HÄRJEDALEN</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23986-2025</t>
        </is>
      </c>
      <c r="B364" s="1" t="n">
        <v>45796.39770833333</v>
      </c>
      <c r="C364" s="1" t="n">
        <v>46013</v>
      </c>
      <c r="D364" t="inlineStr">
        <is>
          <t>JÄMTLANDS LÄN</t>
        </is>
      </c>
      <c r="E364" t="inlineStr">
        <is>
          <t>HÄRJEDALEN</t>
        </is>
      </c>
      <c r="G364" t="n">
        <v>5.1</v>
      </c>
      <c r="H364" t="n">
        <v>0</v>
      </c>
      <c r="I364" t="n">
        <v>0</v>
      </c>
      <c r="J364" t="n">
        <v>0</v>
      </c>
      <c r="K364" t="n">
        <v>0</v>
      </c>
      <c r="L364" t="n">
        <v>0</v>
      </c>
      <c r="M364" t="n">
        <v>0</v>
      </c>
      <c r="N364" t="n">
        <v>0</v>
      </c>
      <c r="O364" t="n">
        <v>0</v>
      </c>
      <c r="P364" t="n">
        <v>0</v>
      </c>
      <c r="Q364" t="n">
        <v>0</v>
      </c>
      <c r="R364" s="2" t="inlineStr"/>
    </row>
    <row r="365" ht="15" customHeight="1">
      <c r="A365" t="inlineStr">
        <is>
          <t>A 23731-2025</t>
        </is>
      </c>
      <c r="B365" s="1" t="n">
        <v>45793.41994212963</v>
      </c>
      <c r="C365" s="1" t="n">
        <v>46013</v>
      </c>
      <c r="D365" t="inlineStr">
        <is>
          <t>JÄMTLANDS LÄN</t>
        </is>
      </c>
      <c r="E365" t="inlineStr">
        <is>
          <t>HÄRJEDALEN</t>
        </is>
      </c>
      <c r="F365" t="inlineStr">
        <is>
          <t>Sveaskog</t>
        </is>
      </c>
      <c r="G365" t="n">
        <v>11.7</v>
      </c>
      <c r="H365" t="n">
        <v>0</v>
      </c>
      <c r="I365" t="n">
        <v>0</v>
      </c>
      <c r="J365" t="n">
        <v>0</v>
      </c>
      <c r="K365" t="n">
        <v>0</v>
      </c>
      <c r="L365" t="n">
        <v>0</v>
      </c>
      <c r="M365" t="n">
        <v>0</v>
      </c>
      <c r="N365" t="n">
        <v>0</v>
      </c>
      <c r="O365" t="n">
        <v>0</v>
      </c>
      <c r="P365" t="n">
        <v>0</v>
      </c>
      <c r="Q365" t="n">
        <v>0</v>
      </c>
      <c r="R365" s="2" t="inlineStr"/>
    </row>
    <row r="366" ht="15" customHeight="1">
      <c r="A366" t="inlineStr">
        <is>
          <t>A 55388-2021</t>
        </is>
      </c>
      <c r="B366" s="1" t="n">
        <v>44475</v>
      </c>
      <c r="C366" s="1" t="n">
        <v>46013</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27261-2023</t>
        </is>
      </c>
      <c r="B367" s="1" t="n">
        <v>45096.62344907408</v>
      </c>
      <c r="C367" s="1" t="n">
        <v>46013</v>
      </c>
      <c r="D367" t="inlineStr">
        <is>
          <t>JÄMTLANDS LÄN</t>
        </is>
      </c>
      <c r="E367" t="inlineStr">
        <is>
          <t>HÄRJEDALEN</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23474-2024</t>
        </is>
      </c>
      <c r="B368" s="1" t="n">
        <v>45453.6672800926</v>
      </c>
      <c r="C368" s="1" t="n">
        <v>46013</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38402-2025</t>
        </is>
      </c>
      <c r="B369" s="1" t="n">
        <v>45883.58944444444</v>
      </c>
      <c r="C369" s="1" t="n">
        <v>46013</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25893-2024</t>
        </is>
      </c>
      <c r="B370" s="1" t="n">
        <v>45467</v>
      </c>
      <c r="C370" s="1" t="n">
        <v>46013</v>
      </c>
      <c r="D370" t="inlineStr">
        <is>
          <t>JÄMTLANDS LÄN</t>
        </is>
      </c>
      <c r="E370" t="inlineStr">
        <is>
          <t>HÄRJEDALEN</t>
        </is>
      </c>
      <c r="G370" t="n">
        <v>12.8</v>
      </c>
      <c r="H370" t="n">
        <v>0</v>
      </c>
      <c r="I370" t="n">
        <v>0</v>
      </c>
      <c r="J370" t="n">
        <v>0</v>
      </c>
      <c r="K370" t="n">
        <v>0</v>
      </c>
      <c r="L370" t="n">
        <v>0</v>
      </c>
      <c r="M370" t="n">
        <v>0</v>
      </c>
      <c r="N370" t="n">
        <v>0</v>
      </c>
      <c r="O370" t="n">
        <v>0</v>
      </c>
      <c r="P370" t="n">
        <v>0</v>
      </c>
      <c r="Q370" t="n">
        <v>0</v>
      </c>
      <c r="R370" s="2" t="inlineStr"/>
    </row>
    <row r="371" ht="15" customHeight="1">
      <c r="A371" t="inlineStr">
        <is>
          <t>A 2510-2025</t>
        </is>
      </c>
      <c r="B371" s="1" t="n">
        <v>45674.57393518519</v>
      </c>
      <c r="C371" s="1" t="n">
        <v>46013</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29602-2024</t>
        </is>
      </c>
      <c r="B372" s="1" t="n">
        <v>45484</v>
      </c>
      <c r="C372" s="1" t="n">
        <v>46013</v>
      </c>
      <c r="D372" t="inlineStr">
        <is>
          <t>JÄMTLANDS LÄN</t>
        </is>
      </c>
      <c r="E372" t="inlineStr">
        <is>
          <t>HÄRJEDALEN</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38618-2025</t>
        </is>
      </c>
      <c r="B373" s="1" t="n">
        <v>45884.55263888889</v>
      </c>
      <c r="C373" s="1" t="n">
        <v>46013</v>
      </c>
      <c r="D373" t="inlineStr">
        <is>
          <t>JÄMTLANDS LÄN</t>
        </is>
      </c>
      <c r="E373" t="inlineStr">
        <is>
          <t>HÄRJEDALEN</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46013</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28686-2024</t>
        </is>
      </c>
      <c r="B375" s="1" t="n">
        <v>45478.48700231482</v>
      </c>
      <c r="C375" s="1" t="n">
        <v>46013</v>
      </c>
      <c r="D375" t="inlineStr">
        <is>
          <t>JÄMTLANDS LÄN</t>
        </is>
      </c>
      <c r="E375" t="inlineStr">
        <is>
          <t>HÄRJEDALEN</t>
        </is>
      </c>
      <c r="F375" t="inlineStr">
        <is>
          <t>Bergvik skog väst AB</t>
        </is>
      </c>
      <c r="G375" t="n">
        <v>0.2</v>
      </c>
      <c r="H375" t="n">
        <v>0</v>
      </c>
      <c r="I375" t="n">
        <v>0</v>
      </c>
      <c r="J375" t="n">
        <v>0</v>
      </c>
      <c r="K375" t="n">
        <v>0</v>
      </c>
      <c r="L375" t="n">
        <v>0</v>
      </c>
      <c r="M375" t="n">
        <v>0</v>
      </c>
      <c r="N375" t="n">
        <v>0</v>
      </c>
      <c r="O375" t="n">
        <v>0</v>
      </c>
      <c r="P375" t="n">
        <v>0</v>
      </c>
      <c r="Q375" t="n">
        <v>0</v>
      </c>
      <c r="R375" s="2" t="inlineStr"/>
    </row>
    <row r="376" ht="15" customHeight="1">
      <c r="A376" t="inlineStr">
        <is>
          <t>A 30404-2024</t>
        </is>
      </c>
      <c r="B376" s="1" t="n">
        <v>45491.5859375</v>
      </c>
      <c r="C376" s="1" t="n">
        <v>46013</v>
      </c>
      <c r="D376" t="inlineStr">
        <is>
          <t>JÄMTLANDS LÄN</t>
        </is>
      </c>
      <c r="E376" t="inlineStr">
        <is>
          <t>HÄRJEDALEN</t>
        </is>
      </c>
      <c r="G376" t="n">
        <v>2</v>
      </c>
      <c r="H376" t="n">
        <v>0</v>
      </c>
      <c r="I376" t="n">
        <v>0</v>
      </c>
      <c r="J376" t="n">
        <v>0</v>
      </c>
      <c r="K376" t="n">
        <v>0</v>
      </c>
      <c r="L376" t="n">
        <v>0</v>
      </c>
      <c r="M376" t="n">
        <v>0</v>
      </c>
      <c r="N376" t="n">
        <v>0</v>
      </c>
      <c r="O376" t="n">
        <v>0</v>
      </c>
      <c r="P376" t="n">
        <v>0</v>
      </c>
      <c r="Q376" t="n">
        <v>0</v>
      </c>
      <c r="R376" s="2" t="inlineStr"/>
    </row>
    <row r="377" ht="15" customHeight="1">
      <c r="A377" t="inlineStr">
        <is>
          <t>A 23351-2025</t>
        </is>
      </c>
      <c r="B377" s="1" t="n">
        <v>45791</v>
      </c>
      <c r="C377" s="1" t="n">
        <v>46013</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24226-2025</t>
        </is>
      </c>
      <c r="B378" s="1" t="n">
        <v>45797.37096064815</v>
      </c>
      <c r="C378" s="1" t="n">
        <v>46013</v>
      </c>
      <c r="D378" t="inlineStr">
        <is>
          <t>JÄMTLANDS LÄN</t>
        </is>
      </c>
      <c r="E378" t="inlineStr">
        <is>
          <t>HÄRJEDALEN</t>
        </is>
      </c>
      <c r="G378" t="n">
        <v>28.7</v>
      </c>
      <c r="H378" t="n">
        <v>0</v>
      </c>
      <c r="I378" t="n">
        <v>0</v>
      </c>
      <c r="J378" t="n">
        <v>0</v>
      </c>
      <c r="K378" t="n">
        <v>0</v>
      </c>
      <c r="L378" t="n">
        <v>0</v>
      </c>
      <c r="M378" t="n">
        <v>0</v>
      </c>
      <c r="N378" t="n">
        <v>0</v>
      </c>
      <c r="O378" t="n">
        <v>0</v>
      </c>
      <c r="P378" t="n">
        <v>0</v>
      </c>
      <c r="Q378" t="n">
        <v>0</v>
      </c>
      <c r="R378" s="2" t="inlineStr"/>
    </row>
    <row r="379" ht="15" customHeight="1">
      <c r="A379" t="inlineStr">
        <is>
          <t>A 25325-2025</t>
        </is>
      </c>
      <c r="B379" s="1" t="n">
        <v>45800.58859953703</v>
      </c>
      <c r="C379" s="1" t="n">
        <v>46013</v>
      </c>
      <c r="D379" t="inlineStr">
        <is>
          <t>JÄMTLANDS LÄN</t>
        </is>
      </c>
      <c r="E379" t="inlineStr">
        <is>
          <t>HÄRJEDALEN</t>
        </is>
      </c>
      <c r="G379" t="n">
        <v>5.6</v>
      </c>
      <c r="H379" t="n">
        <v>0</v>
      </c>
      <c r="I379" t="n">
        <v>0</v>
      </c>
      <c r="J379" t="n">
        <v>0</v>
      </c>
      <c r="K379" t="n">
        <v>0</v>
      </c>
      <c r="L379" t="n">
        <v>0</v>
      </c>
      <c r="M379" t="n">
        <v>0</v>
      </c>
      <c r="N379" t="n">
        <v>0</v>
      </c>
      <c r="O379" t="n">
        <v>0</v>
      </c>
      <c r="P379" t="n">
        <v>0</v>
      </c>
      <c r="Q379" t="n">
        <v>0</v>
      </c>
      <c r="R379" s="2" t="inlineStr"/>
    </row>
    <row r="380" ht="15" customHeight="1">
      <c r="A380" t="inlineStr">
        <is>
          <t>A 25334-2025</t>
        </is>
      </c>
      <c r="B380" s="1" t="n">
        <v>45800.59567129629</v>
      </c>
      <c r="C380" s="1" t="n">
        <v>46013</v>
      </c>
      <c r="D380" t="inlineStr">
        <is>
          <t>JÄMTLANDS LÄN</t>
        </is>
      </c>
      <c r="E380" t="inlineStr">
        <is>
          <t>HÄRJEDALEN</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25392-2025</t>
        </is>
      </c>
      <c r="B381" s="1" t="n">
        <v>45800.64719907408</v>
      </c>
      <c r="C381" s="1" t="n">
        <v>46013</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25288-2025</t>
        </is>
      </c>
      <c r="B382" s="1" t="n">
        <v>45800.56313657408</v>
      </c>
      <c r="C382" s="1" t="n">
        <v>46013</v>
      </c>
      <c r="D382" t="inlineStr">
        <is>
          <t>JÄMTLANDS LÄN</t>
        </is>
      </c>
      <c r="E382" t="inlineStr">
        <is>
          <t>HÄRJEDALEN</t>
        </is>
      </c>
      <c r="G382" t="n">
        <v>4.6</v>
      </c>
      <c r="H382" t="n">
        <v>0</v>
      </c>
      <c r="I382" t="n">
        <v>0</v>
      </c>
      <c r="J382" t="n">
        <v>0</v>
      </c>
      <c r="K382" t="n">
        <v>0</v>
      </c>
      <c r="L382" t="n">
        <v>0</v>
      </c>
      <c r="M382" t="n">
        <v>0</v>
      </c>
      <c r="N382" t="n">
        <v>0</v>
      </c>
      <c r="O382" t="n">
        <v>0</v>
      </c>
      <c r="P382" t="n">
        <v>0</v>
      </c>
      <c r="Q382" t="n">
        <v>0</v>
      </c>
      <c r="R382" s="2" t="inlineStr"/>
    </row>
    <row r="383" ht="15" customHeight="1">
      <c r="A383" t="inlineStr">
        <is>
          <t>A 25315-2025</t>
        </is>
      </c>
      <c r="B383" s="1" t="n">
        <v>45800.57837962963</v>
      </c>
      <c r="C383" s="1" t="n">
        <v>46013</v>
      </c>
      <c r="D383" t="inlineStr">
        <is>
          <t>JÄMTLANDS LÄN</t>
        </is>
      </c>
      <c r="E383" t="inlineStr">
        <is>
          <t>HÄRJEDALEN</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51322-2024</t>
        </is>
      </c>
      <c r="B384" s="1" t="n">
        <v>45604.33195601852</v>
      </c>
      <c r="C384" s="1" t="n">
        <v>46013</v>
      </c>
      <c r="D384" t="inlineStr">
        <is>
          <t>JÄMTLANDS LÄN</t>
        </is>
      </c>
      <c r="E384" t="inlineStr">
        <is>
          <t>HÄRJEDALEN</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25223-2025</t>
        </is>
      </c>
      <c r="B385" s="1" t="n">
        <v>45800.48060185185</v>
      </c>
      <c r="C385" s="1" t="n">
        <v>46013</v>
      </c>
      <c r="D385" t="inlineStr">
        <is>
          <t>JÄMTLANDS LÄN</t>
        </is>
      </c>
      <c r="E385" t="inlineStr">
        <is>
          <t>HÄRJEDALEN</t>
        </is>
      </c>
      <c r="F385" t="inlineStr">
        <is>
          <t>Holmen skog AB</t>
        </is>
      </c>
      <c r="G385" t="n">
        <v>7.9</v>
      </c>
      <c r="H385" t="n">
        <v>0</v>
      </c>
      <c r="I385" t="n">
        <v>0</v>
      </c>
      <c r="J385" t="n">
        <v>0</v>
      </c>
      <c r="K385" t="n">
        <v>0</v>
      </c>
      <c r="L385" t="n">
        <v>0</v>
      </c>
      <c r="M385" t="n">
        <v>0</v>
      </c>
      <c r="N385" t="n">
        <v>0</v>
      </c>
      <c r="O385" t="n">
        <v>0</v>
      </c>
      <c r="P385" t="n">
        <v>0</v>
      </c>
      <c r="Q385" t="n">
        <v>0</v>
      </c>
      <c r="R385" s="2" t="inlineStr"/>
    </row>
    <row r="386" ht="15" customHeight="1">
      <c r="A386" t="inlineStr">
        <is>
          <t>A 25024-2025</t>
        </is>
      </c>
      <c r="B386" s="1" t="n">
        <v>45799.64804398148</v>
      </c>
      <c r="C386" s="1" t="n">
        <v>46013</v>
      </c>
      <c r="D386" t="inlineStr">
        <is>
          <t>JÄMTLANDS LÄN</t>
        </is>
      </c>
      <c r="E386" t="inlineStr">
        <is>
          <t>HÄRJEDALEN</t>
        </is>
      </c>
      <c r="F386" t="inlineStr">
        <is>
          <t>Bergvik skog väst AB</t>
        </is>
      </c>
      <c r="G386" t="n">
        <v>31.2</v>
      </c>
      <c r="H386" t="n">
        <v>0</v>
      </c>
      <c r="I386" t="n">
        <v>0</v>
      </c>
      <c r="J386" t="n">
        <v>0</v>
      </c>
      <c r="K386" t="n">
        <v>0</v>
      </c>
      <c r="L386" t="n">
        <v>0</v>
      </c>
      <c r="M386" t="n">
        <v>0</v>
      </c>
      <c r="N386" t="n">
        <v>0</v>
      </c>
      <c r="O386" t="n">
        <v>0</v>
      </c>
      <c r="P386" t="n">
        <v>0</v>
      </c>
      <c r="Q386" t="n">
        <v>0</v>
      </c>
      <c r="R386" s="2" t="inlineStr"/>
    </row>
    <row r="387" ht="15" customHeight="1">
      <c r="A387" t="inlineStr">
        <is>
          <t>A 25127-2025</t>
        </is>
      </c>
      <c r="B387" s="1" t="n">
        <v>45800.3787037037</v>
      </c>
      <c r="C387" s="1" t="n">
        <v>46013</v>
      </c>
      <c r="D387" t="inlineStr">
        <is>
          <t>JÄMTLANDS LÄN</t>
        </is>
      </c>
      <c r="E387" t="inlineStr">
        <is>
          <t>HÄRJEDALEN</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25178-2025</t>
        </is>
      </c>
      <c r="B388" s="1" t="n">
        <v>45800.44868055556</v>
      </c>
      <c r="C388" s="1" t="n">
        <v>46013</v>
      </c>
      <c r="D388" t="inlineStr">
        <is>
          <t>JÄMTLANDS LÄN</t>
        </is>
      </c>
      <c r="E388" t="inlineStr">
        <is>
          <t>HÄRJEDALEN</t>
        </is>
      </c>
      <c r="F388" t="inlineStr">
        <is>
          <t>Holmen skog AB</t>
        </is>
      </c>
      <c r="G388" t="n">
        <v>5.1</v>
      </c>
      <c r="H388" t="n">
        <v>0</v>
      </c>
      <c r="I388" t="n">
        <v>0</v>
      </c>
      <c r="J388" t="n">
        <v>0</v>
      </c>
      <c r="K388" t="n">
        <v>0</v>
      </c>
      <c r="L388" t="n">
        <v>0</v>
      </c>
      <c r="M388" t="n">
        <v>0</v>
      </c>
      <c r="N388" t="n">
        <v>0</v>
      </c>
      <c r="O388" t="n">
        <v>0</v>
      </c>
      <c r="P388" t="n">
        <v>0</v>
      </c>
      <c r="Q388" t="n">
        <v>0</v>
      </c>
      <c r="R388" s="2" t="inlineStr"/>
    </row>
    <row r="389" ht="15" customHeight="1">
      <c r="A389" t="inlineStr">
        <is>
          <t>A 25204-2025</t>
        </is>
      </c>
      <c r="B389" s="1" t="n">
        <v>45800.4687962963</v>
      </c>
      <c r="C389" s="1" t="n">
        <v>46013</v>
      </c>
      <c r="D389" t="inlineStr">
        <is>
          <t>JÄMTLANDS LÄN</t>
        </is>
      </c>
      <c r="E389" t="inlineStr">
        <is>
          <t>HÄRJEDALEN</t>
        </is>
      </c>
      <c r="F389" t="inlineStr">
        <is>
          <t>Holmen skog AB</t>
        </is>
      </c>
      <c r="G389" t="n">
        <v>3.8</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46013</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25286-2025</t>
        </is>
      </c>
      <c r="B391" s="1" t="n">
        <v>45800.56222222222</v>
      </c>
      <c r="C391" s="1" t="n">
        <v>46013</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24963-2025</t>
        </is>
      </c>
      <c r="B392" s="1" t="n">
        <v>45799.57883101852</v>
      </c>
      <c r="C392" s="1" t="n">
        <v>46013</v>
      </c>
      <c r="D392" t="inlineStr">
        <is>
          <t>JÄMTLANDS LÄN</t>
        </is>
      </c>
      <c r="E392" t="inlineStr">
        <is>
          <t>HÄRJEDALEN</t>
        </is>
      </c>
      <c r="G392" t="n">
        <v>3.5</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46013</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25399-2025</t>
        </is>
      </c>
      <c r="B394" s="1" t="n">
        <v>45800.65341435185</v>
      </c>
      <c r="C394" s="1" t="n">
        <v>46013</v>
      </c>
      <c r="D394" t="inlineStr">
        <is>
          <t>JÄMTLANDS LÄN</t>
        </is>
      </c>
      <c r="E394" t="inlineStr">
        <is>
          <t>HÄRJEDALEN</t>
        </is>
      </c>
      <c r="F394" t="inlineStr">
        <is>
          <t>Holmen skog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24853-2025</t>
        </is>
      </c>
      <c r="B395" s="1" t="n">
        <v>45799.47225694444</v>
      </c>
      <c r="C395" s="1" t="n">
        <v>46013</v>
      </c>
      <c r="D395" t="inlineStr">
        <is>
          <t>JÄMTLANDS LÄN</t>
        </is>
      </c>
      <c r="E395" t="inlineStr">
        <is>
          <t>HÄRJEDALEN</t>
        </is>
      </c>
      <c r="F395" t="inlineStr">
        <is>
          <t>Holmen skog AB</t>
        </is>
      </c>
      <c r="G395" t="n">
        <v>57.7</v>
      </c>
      <c r="H395" t="n">
        <v>0</v>
      </c>
      <c r="I395" t="n">
        <v>0</v>
      </c>
      <c r="J395" t="n">
        <v>0</v>
      </c>
      <c r="K395" t="n">
        <v>0</v>
      </c>
      <c r="L395" t="n">
        <v>0</v>
      </c>
      <c r="M395" t="n">
        <v>0</v>
      </c>
      <c r="N395" t="n">
        <v>0</v>
      </c>
      <c r="O395" t="n">
        <v>0</v>
      </c>
      <c r="P395" t="n">
        <v>0</v>
      </c>
      <c r="Q395" t="n">
        <v>0</v>
      </c>
      <c r="R395" s="2" t="inlineStr"/>
    </row>
    <row r="396" ht="15" customHeight="1">
      <c r="A396" t="inlineStr">
        <is>
          <t>A 25094-2025</t>
        </is>
      </c>
      <c r="B396" s="1" t="n">
        <v>45800.33436342593</v>
      </c>
      <c r="C396" s="1" t="n">
        <v>46013</v>
      </c>
      <c r="D396" t="inlineStr">
        <is>
          <t>JÄMTLANDS LÄN</t>
        </is>
      </c>
      <c r="E396" t="inlineStr">
        <is>
          <t>HÄRJEDALEN</t>
        </is>
      </c>
      <c r="F396" t="inlineStr">
        <is>
          <t>Holmen skog AB</t>
        </is>
      </c>
      <c r="G396" t="n">
        <v>6.4</v>
      </c>
      <c r="H396" t="n">
        <v>0</v>
      </c>
      <c r="I396" t="n">
        <v>0</v>
      </c>
      <c r="J396" t="n">
        <v>0</v>
      </c>
      <c r="K396" t="n">
        <v>0</v>
      </c>
      <c r="L396" t="n">
        <v>0</v>
      </c>
      <c r="M396" t="n">
        <v>0</v>
      </c>
      <c r="N396" t="n">
        <v>0</v>
      </c>
      <c r="O396" t="n">
        <v>0</v>
      </c>
      <c r="P396" t="n">
        <v>0</v>
      </c>
      <c r="Q396" t="n">
        <v>0</v>
      </c>
      <c r="R396" s="2" t="inlineStr"/>
    </row>
    <row r="397" ht="15" customHeight="1">
      <c r="A397" t="inlineStr">
        <is>
          <t>A 25098-2025</t>
        </is>
      </c>
      <c r="B397" s="1" t="n">
        <v>45800.3425</v>
      </c>
      <c r="C397" s="1" t="n">
        <v>46013</v>
      </c>
      <c r="D397" t="inlineStr">
        <is>
          <t>JÄMTLANDS LÄN</t>
        </is>
      </c>
      <c r="E397" t="inlineStr">
        <is>
          <t>HÄRJEDALEN</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24796-2025</t>
        </is>
      </c>
      <c r="B398" s="1" t="n">
        <v>45799.43550925926</v>
      </c>
      <c r="C398" s="1" t="n">
        <v>46013</v>
      </c>
      <c r="D398" t="inlineStr">
        <is>
          <t>JÄMTLANDS LÄN</t>
        </is>
      </c>
      <c r="E398" t="inlineStr">
        <is>
          <t>HÄRJEDALEN</t>
        </is>
      </c>
      <c r="F398" t="inlineStr">
        <is>
          <t>Holmen skog AB</t>
        </is>
      </c>
      <c r="G398" t="n">
        <v>5.3</v>
      </c>
      <c r="H398" t="n">
        <v>0</v>
      </c>
      <c r="I398" t="n">
        <v>0</v>
      </c>
      <c r="J398" t="n">
        <v>0</v>
      </c>
      <c r="K398" t="n">
        <v>0</v>
      </c>
      <c r="L398" t="n">
        <v>0</v>
      </c>
      <c r="M398" t="n">
        <v>0</v>
      </c>
      <c r="N398" t="n">
        <v>0</v>
      </c>
      <c r="O398" t="n">
        <v>0</v>
      </c>
      <c r="P398" t="n">
        <v>0</v>
      </c>
      <c r="Q398" t="n">
        <v>0</v>
      </c>
      <c r="R398" s="2" t="inlineStr"/>
    </row>
    <row r="399" ht="15" customHeight="1">
      <c r="A399" t="inlineStr">
        <is>
          <t>A 25198-2025</t>
        </is>
      </c>
      <c r="B399" s="1" t="n">
        <v>45800.46069444445</v>
      </c>
      <c r="C399" s="1" t="n">
        <v>46013</v>
      </c>
      <c r="D399" t="inlineStr">
        <is>
          <t>JÄMTLANDS LÄN</t>
        </is>
      </c>
      <c r="E399" t="inlineStr">
        <is>
          <t>HÄRJEDALEN</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25232-2025</t>
        </is>
      </c>
      <c r="B400" s="1" t="n">
        <v>45800.48515046296</v>
      </c>
      <c r="C400" s="1" t="n">
        <v>46013</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44438-2025</t>
        </is>
      </c>
      <c r="B401" s="1" t="n">
        <v>45916</v>
      </c>
      <c r="C401" s="1" t="n">
        <v>46013</v>
      </c>
      <c r="D401" t="inlineStr">
        <is>
          <t>JÄMTLANDS LÄN</t>
        </is>
      </c>
      <c r="E401" t="inlineStr">
        <is>
          <t>HÄRJEDALEN</t>
        </is>
      </c>
      <c r="F401" t="inlineStr">
        <is>
          <t>Bergvik skog väst AB</t>
        </is>
      </c>
      <c r="G401" t="n">
        <v>7.8</v>
      </c>
      <c r="H401" t="n">
        <v>0</v>
      </c>
      <c r="I401" t="n">
        <v>0</v>
      </c>
      <c r="J401" t="n">
        <v>0</v>
      </c>
      <c r="K401" t="n">
        <v>0</v>
      </c>
      <c r="L401" t="n">
        <v>0</v>
      </c>
      <c r="M401" t="n">
        <v>0</v>
      </c>
      <c r="N401" t="n">
        <v>0</v>
      </c>
      <c r="O401" t="n">
        <v>0</v>
      </c>
      <c r="P401" t="n">
        <v>0</v>
      </c>
      <c r="Q401" t="n">
        <v>0</v>
      </c>
      <c r="R401" s="2" t="inlineStr"/>
    </row>
    <row r="402" ht="15" customHeight="1">
      <c r="A402" t="inlineStr">
        <is>
          <t>A 58446-2024</t>
        </is>
      </c>
      <c r="B402" s="1" t="n">
        <v>45635.33439814814</v>
      </c>
      <c r="C402" s="1" t="n">
        <v>46013</v>
      </c>
      <c r="D402" t="inlineStr">
        <is>
          <t>JÄMTLANDS LÄN</t>
        </is>
      </c>
      <c r="E402" t="inlineStr">
        <is>
          <t>HÄRJEDALEN</t>
        </is>
      </c>
      <c r="F402" t="inlineStr">
        <is>
          <t>Bergvik skog väst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25298-2025</t>
        </is>
      </c>
      <c r="B403" s="1" t="n">
        <v>45800.56995370371</v>
      </c>
      <c r="C403" s="1" t="n">
        <v>46013</v>
      </c>
      <c r="D403" t="inlineStr">
        <is>
          <t>JÄMTLANDS LÄN</t>
        </is>
      </c>
      <c r="E403" t="inlineStr">
        <is>
          <t>HÄRJEDALEN</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25123-2025</t>
        </is>
      </c>
      <c r="B404" s="1" t="n">
        <v>45800.37524305555</v>
      </c>
      <c r="C404" s="1" t="n">
        <v>46013</v>
      </c>
      <c r="D404" t="inlineStr">
        <is>
          <t>JÄMTLANDS LÄN</t>
        </is>
      </c>
      <c r="E404" t="inlineStr">
        <is>
          <t>HÄRJEDALEN</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25158-2025</t>
        </is>
      </c>
      <c r="B405" s="1" t="n">
        <v>45800.42797453704</v>
      </c>
      <c r="C405" s="1" t="n">
        <v>46013</v>
      </c>
      <c r="D405" t="inlineStr">
        <is>
          <t>JÄMTLANDS LÄN</t>
        </is>
      </c>
      <c r="E405" t="inlineStr">
        <is>
          <t>HÄRJEDALEN</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25171-2025</t>
        </is>
      </c>
      <c r="B406" s="1" t="n">
        <v>45800.44090277778</v>
      </c>
      <c r="C406" s="1" t="n">
        <v>46013</v>
      </c>
      <c r="D406" t="inlineStr">
        <is>
          <t>JÄMTLANDS LÄN</t>
        </is>
      </c>
      <c r="E406" t="inlineStr">
        <is>
          <t>HÄRJEDALEN</t>
        </is>
      </c>
      <c r="G406" t="n">
        <v>12.3</v>
      </c>
      <c r="H406" t="n">
        <v>0</v>
      </c>
      <c r="I406" t="n">
        <v>0</v>
      </c>
      <c r="J406" t="n">
        <v>0</v>
      </c>
      <c r="K406" t="n">
        <v>0</v>
      </c>
      <c r="L406" t="n">
        <v>0</v>
      </c>
      <c r="M406" t="n">
        <v>0</v>
      </c>
      <c r="N406" t="n">
        <v>0</v>
      </c>
      <c r="O406" t="n">
        <v>0</v>
      </c>
      <c r="P406" t="n">
        <v>0</v>
      </c>
      <c r="Q406" t="n">
        <v>0</v>
      </c>
      <c r="R406" s="2" t="inlineStr"/>
    </row>
    <row r="407" ht="15" customHeight="1">
      <c r="A407" t="inlineStr">
        <is>
          <t>A 25383-2025</t>
        </is>
      </c>
      <c r="B407" s="1" t="n">
        <v>45800.64065972222</v>
      </c>
      <c r="C407" s="1" t="n">
        <v>46013</v>
      </c>
      <c r="D407" t="inlineStr">
        <is>
          <t>JÄMTLANDS LÄN</t>
        </is>
      </c>
      <c r="E407" t="inlineStr">
        <is>
          <t>HÄRJEDALEN</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55193-2023</t>
        </is>
      </c>
      <c r="B408" s="1" t="n">
        <v>45237.5815162037</v>
      </c>
      <c r="C408" s="1" t="n">
        <v>46013</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25380-2025</t>
        </is>
      </c>
      <c r="B409" s="1" t="n">
        <v>45800.63738425926</v>
      </c>
      <c r="C409" s="1" t="n">
        <v>46013</v>
      </c>
      <c r="D409" t="inlineStr">
        <is>
          <t>JÄMTLANDS LÄN</t>
        </is>
      </c>
      <c r="E409" t="inlineStr">
        <is>
          <t>HÄRJEDALEN</t>
        </is>
      </c>
      <c r="F409" t="inlineStr">
        <is>
          <t>Sveaskog</t>
        </is>
      </c>
      <c r="G409" t="n">
        <v>6.8</v>
      </c>
      <c r="H409" t="n">
        <v>0</v>
      </c>
      <c r="I409" t="n">
        <v>0</v>
      </c>
      <c r="J409" t="n">
        <v>0</v>
      </c>
      <c r="K409" t="n">
        <v>0</v>
      </c>
      <c r="L409" t="n">
        <v>0</v>
      </c>
      <c r="M409" t="n">
        <v>0</v>
      </c>
      <c r="N409" t="n">
        <v>0</v>
      </c>
      <c r="O409" t="n">
        <v>0</v>
      </c>
      <c r="P409" t="n">
        <v>0</v>
      </c>
      <c r="Q409" t="n">
        <v>0</v>
      </c>
      <c r="R409" s="2" t="inlineStr"/>
    </row>
    <row r="410" ht="15" customHeight="1">
      <c r="A410" t="inlineStr">
        <is>
          <t>A 36539-2025</t>
        </is>
      </c>
      <c r="B410" s="1" t="n">
        <v>45869</v>
      </c>
      <c r="C410" s="1" t="n">
        <v>46013</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25343-2025</t>
        </is>
      </c>
      <c r="B411" s="1" t="n">
        <v>45800.60508101852</v>
      </c>
      <c r="C411" s="1" t="n">
        <v>46013</v>
      </c>
      <c r="D411" t="inlineStr">
        <is>
          <t>JÄMTLANDS LÄN</t>
        </is>
      </c>
      <c r="E411" t="inlineStr">
        <is>
          <t>HÄRJEDALEN</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37288-2025</t>
        </is>
      </c>
      <c r="B412" s="1" t="n">
        <v>45876</v>
      </c>
      <c r="C412" s="1" t="n">
        <v>46013</v>
      </c>
      <c r="D412" t="inlineStr">
        <is>
          <t>JÄMTLANDS LÄN</t>
        </is>
      </c>
      <c r="E412" t="inlineStr">
        <is>
          <t>HÄRJEDALEN</t>
        </is>
      </c>
      <c r="F412" t="inlineStr">
        <is>
          <t>Bergvik skog väst AB</t>
        </is>
      </c>
      <c r="G412" t="n">
        <v>2.4</v>
      </c>
      <c r="H412" t="n">
        <v>0</v>
      </c>
      <c r="I412" t="n">
        <v>0</v>
      </c>
      <c r="J412" t="n">
        <v>0</v>
      </c>
      <c r="K412" t="n">
        <v>0</v>
      </c>
      <c r="L412" t="n">
        <v>0</v>
      </c>
      <c r="M412" t="n">
        <v>0</v>
      </c>
      <c r="N412" t="n">
        <v>0</v>
      </c>
      <c r="O412" t="n">
        <v>0</v>
      </c>
      <c r="P412" t="n">
        <v>0</v>
      </c>
      <c r="Q412" t="n">
        <v>0</v>
      </c>
      <c r="R412" s="2" t="inlineStr"/>
    </row>
    <row r="413" ht="15" customHeight="1">
      <c r="A413" t="inlineStr">
        <is>
          <t>A 25409-2025</t>
        </is>
      </c>
      <c r="B413" s="1" t="n">
        <v>45800.66043981481</v>
      </c>
      <c r="C413" s="1" t="n">
        <v>46013</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24842-2025</t>
        </is>
      </c>
      <c r="B414" s="1" t="n">
        <v>45799.4658912037</v>
      </c>
      <c r="C414" s="1" t="n">
        <v>46013</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24844-2025</t>
        </is>
      </c>
      <c r="B415" s="1" t="n">
        <v>45799.46642361111</v>
      </c>
      <c r="C415" s="1" t="n">
        <v>46013</v>
      </c>
      <c r="D415" t="inlineStr">
        <is>
          <t>JÄMTLANDS LÄN</t>
        </is>
      </c>
      <c r="E415" t="inlineStr">
        <is>
          <t>HÄRJEDALEN</t>
        </is>
      </c>
      <c r="G415" t="n">
        <v>3.6</v>
      </c>
      <c r="H415" t="n">
        <v>0</v>
      </c>
      <c r="I415" t="n">
        <v>0</v>
      </c>
      <c r="J415" t="n">
        <v>0</v>
      </c>
      <c r="K415" t="n">
        <v>0</v>
      </c>
      <c r="L415" t="n">
        <v>0</v>
      </c>
      <c r="M415" t="n">
        <v>0</v>
      </c>
      <c r="N415" t="n">
        <v>0</v>
      </c>
      <c r="O415" t="n">
        <v>0</v>
      </c>
      <c r="P415" t="n">
        <v>0</v>
      </c>
      <c r="Q415" t="n">
        <v>0</v>
      </c>
      <c r="R415" s="2" t="inlineStr"/>
    </row>
    <row r="416" ht="15" customHeight="1">
      <c r="A416" t="inlineStr">
        <is>
          <t>A 25109-2025</t>
        </is>
      </c>
      <c r="B416" s="1" t="n">
        <v>45800.3503587963</v>
      </c>
      <c r="C416" s="1" t="n">
        <v>46013</v>
      </c>
      <c r="D416" t="inlineStr">
        <is>
          <t>JÄMTLANDS LÄN</t>
        </is>
      </c>
      <c r="E416" t="inlineStr">
        <is>
          <t>HÄRJEDALEN</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25112-2025</t>
        </is>
      </c>
      <c r="B417" s="1" t="n">
        <v>45800.35670138889</v>
      </c>
      <c r="C417" s="1" t="n">
        <v>46013</v>
      </c>
      <c r="D417" t="inlineStr">
        <is>
          <t>JÄMTLANDS LÄN</t>
        </is>
      </c>
      <c r="E417" t="inlineStr">
        <is>
          <t>HÄRJEDALEN</t>
        </is>
      </c>
      <c r="F417" t="inlineStr">
        <is>
          <t>Holmen skog AB</t>
        </is>
      </c>
      <c r="G417" t="n">
        <v>5.2</v>
      </c>
      <c r="H417" t="n">
        <v>0</v>
      </c>
      <c r="I417" t="n">
        <v>0</v>
      </c>
      <c r="J417" t="n">
        <v>0</v>
      </c>
      <c r="K417" t="n">
        <v>0</v>
      </c>
      <c r="L417" t="n">
        <v>0</v>
      </c>
      <c r="M417" t="n">
        <v>0</v>
      </c>
      <c r="N417" t="n">
        <v>0</v>
      </c>
      <c r="O417" t="n">
        <v>0</v>
      </c>
      <c r="P417" t="n">
        <v>0</v>
      </c>
      <c r="Q417" t="n">
        <v>0</v>
      </c>
      <c r="R417" s="2" t="inlineStr"/>
    </row>
    <row r="418" ht="15" customHeight="1">
      <c r="A418" t="inlineStr">
        <is>
          <t>A 10340-2023</t>
        </is>
      </c>
      <c r="B418" s="1" t="n">
        <v>44987.34981481481</v>
      </c>
      <c r="C418" s="1" t="n">
        <v>46013</v>
      </c>
      <c r="D418" t="inlineStr">
        <is>
          <t>JÄMTLANDS LÄN</t>
        </is>
      </c>
      <c r="E418" t="inlineStr">
        <is>
          <t>HÄRJEDALEN</t>
        </is>
      </c>
      <c r="F418" t="inlineStr">
        <is>
          <t>Holmen skog AB</t>
        </is>
      </c>
      <c r="G418" t="n">
        <v>5.7</v>
      </c>
      <c r="H418" t="n">
        <v>0</v>
      </c>
      <c r="I418" t="n">
        <v>0</v>
      </c>
      <c r="J418" t="n">
        <v>0</v>
      </c>
      <c r="K418" t="n">
        <v>0</v>
      </c>
      <c r="L418" t="n">
        <v>0</v>
      </c>
      <c r="M418" t="n">
        <v>0</v>
      </c>
      <c r="N418" t="n">
        <v>0</v>
      </c>
      <c r="O418" t="n">
        <v>0</v>
      </c>
      <c r="P418" t="n">
        <v>0</v>
      </c>
      <c r="Q418" t="n">
        <v>0</v>
      </c>
      <c r="R418" s="2" t="inlineStr"/>
    </row>
    <row r="419" ht="15" customHeight="1">
      <c r="A419" t="inlineStr">
        <is>
          <t>A 25147-2025</t>
        </is>
      </c>
      <c r="B419" s="1" t="n">
        <v>45800.41883101852</v>
      </c>
      <c r="C419" s="1" t="n">
        <v>46013</v>
      </c>
      <c r="D419" t="inlineStr">
        <is>
          <t>JÄMTLANDS LÄN</t>
        </is>
      </c>
      <c r="E419" t="inlineStr">
        <is>
          <t>HÄRJEDALEN</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24791-2025</t>
        </is>
      </c>
      <c r="B420" s="1" t="n">
        <v>45799.43086805556</v>
      </c>
      <c r="C420" s="1" t="n">
        <v>46013</v>
      </c>
      <c r="D420" t="inlineStr">
        <is>
          <t>JÄMTLANDS LÄN</t>
        </is>
      </c>
      <c r="E420" t="inlineStr">
        <is>
          <t>HÄRJEDALEN</t>
        </is>
      </c>
      <c r="F420" t="inlineStr">
        <is>
          <t>Holmen skog AB</t>
        </is>
      </c>
      <c r="G420" t="n">
        <v>5.1</v>
      </c>
      <c r="H420" t="n">
        <v>0</v>
      </c>
      <c r="I420" t="n">
        <v>0</v>
      </c>
      <c r="J420" t="n">
        <v>0</v>
      </c>
      <c r="K420" t="n">
        <v>0</v>
      </c>
      <c r="L420" t="n">
        <v>0</v>
      </c>
      <c r="M420" t="n">
        <v>0</v>
      </c>
      <c r="N420" t="n">
        <v>0</v>
      </c>
      <c r="O420" t="n">
        <v>0</v>
      </c>
      <c r="P420" t="n">
        <v>0</v>
      </c>
      <c r="Q420" t="n">
        <v>0</v>
      </c>
      <c r="R420" s="2" t="inlineStr"/>
    </row>
    <row r="421" ht="15" customHeight="1">
      <c r="A421" t="inlineStr">
        <is>
          <t>A 39140-2025</t>
        </is>
      </c>
      <c r="B421" s="1" t="n">
        <v>45888.59509259259</v>
      </c>
      <c r="C421" s="1" t="n">
        <v>46013</v>
      </c>
      <c r="D421" t="inlineStr">
        <is>
          <t>JÄMTLANDS LÄN</t>
        </is>
      </c>
      <c r="E421" t="inlineStr">
        <is>
          <t>HÄRJEDALEN</t>
        </is>
      </c>
      <c r="G421" t="n">
        <v>14.8</v>
      </c>
      <c r="H421" t="n">
        <v>0</v>
      </c>
      <c r="I421" t="n">
        <v>0</v>
      </c>
      <c r="J421" t="n">
        <v>0</v>
      </c>
      <c r="K421" t="n">
        <v>0</v>
      </c>
      <c r="L421" t="n">
        <v>0</v>
      </c>
      <c r="M421" t="n">
        <v>0</v>
      </c>
      <c r="N421" t="n">
        <v>0</v>
      </c>
      <c r="O421" t="n">
        <v>0</v>
      </c>
      <c r="P421" t="n">
        <v>0</v>
      </c>
      <c r="Q421" t="n">
        <v>0</v>
      </c>
      <c r="R421" s="2" t="inlineStr"/>
    </row>
    <row r="422" ht="15" customHeight="1">
      <c r="A422" t="inlineStr">
        <is>
          <t>A 29712-2024</t>
        </is>
      </c>
      <c r="B422" s="1" t="n">
        <v>45485</v>
      </c>
      <c r="C422" s="1" t="n">
        <v>46013</v>
      </c>
      <c r="D422" t="inlineStr">
        <is>
          <t>JÄMTLANDS LÄN</t>
        </is>
      </c>
      <c r="E422" t="inlineStr">
        <is>
          <t>HÄRJEDALEN</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25931-2025</t>
        </is>
      </c>
      <c r="B423" s="1" t="n">
        <v>45804.5813425926</v>
      </c>
      <c r="C423" s="1" t="n">
        <v>46013</v>
      </c>
      <c r="D423" t="inlineStr">
        <is>
          <t>JÄMTLANDS LÄN</t>
        </is>
      </c>
      <c r="E423" t="inlineStr">
        <is>
          <t>HÄRJEDALEN</t>
        </is>
      </c>
      <c r="F423" t="inlineStr">
        <is>
          <t>Bergvik skog väst AB</t>
        </is>
      </c>
      <c r="G423" t="n">
        <v>14.2</v>
      </c>
      <c r="H423" t="n">
        <v>0</v>
      </c>
      <c r="I423" t="n">
        <v>0</v>
      </c>
      <c r="J423" t="n">
        <v>0</v>
      </c>
      <c r="K423" t="n">
        <v>0</v>
      </c>
      <c r="L423" t="n">
        <v>0</v>
      </c>
      <c r="M423" t="n">
        <v>0</v>
      </c>
      <c r="N423" t="n">
        <v>0</v>
      </c>
      <c r="O423" t="n">
        <v>0</v>
      </c>
      <c r="P423" t="n">
        <v>0</v>
      </c>
      <c r="Q423" t="n">
        <v>0</v>
      </c>
      <c r="R423" s="2" t="inlineStr"/>
    </row>
    <row r="424" ht="15" customHeight="1">
      <c r="A424" t="inlineStr">
        <is>
          <t>A 38820-2025</t>
        </is>
      </c>
      <c r="B424" s="1" t="n">
        <v>45887</v>
      </c>
      <c r="C424" s="1" t="n">
        <v>46013</v>
      </c>
      <c r="D424" t="inlineStr">
        <is>
          <t>JÄMTLANDS LÄN</t>
        </is>
      </c>
      <c r="E424" t="inlineStr">
        <is>
          <t>HÄRJEDALEN</t>
        </is>
      </c>
      <c r="F424" t="inlineStr">
        <is>
          <t>Bergvik skog väst AB</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25515-2025</t>
        </is>
      </c>
      <c r="B425" s="1" t="n">
        <v>45803.37258101852</v>
      </c>
      <c r="C425" s="1" t="n">
        <v>46013</v>
      </c>
      <c r="D425" t="inlineStr">
        <is>
          <t>JÄMTLANDS LÄN</t>
        </is>
      </c>
      <c r="E425" t="inlineStr">
        <is>
          <t>HÄRJEDALEN</t>
        </is>
      </c>
      <c r="G425" t="n">
        <v>2.3</v>
      </c>
      <c r="H425" t="n">
        <v>0</v>
      </c>
      <c r="I425" t="n">
        <v>0</v>
      </c>
      <c r="J425" t="n">
        <v>0</v>
      </c>
      <c r="K425" t="n">
        <v>0</v>
      </c>
      <c r="L425" t="n">
        <v>0</v>
      </c>
      <c r="M425" t="n">
        <v>0</v>
      </c>
      <c r="N425" t="n">
        <v>0</v>
      </c>
      <c r="O425" t="n">
        <v>0</v>
      </c>
      <c r="P425" t="n">
        <v>0</v>
      </c>
      <c r="Q425" t="n">
        <v>0</v>
      </c>
      <c r="R425" s="2" t="inlineStr"/>
    </row>
    <row r="426" ht="15" customHeight="1">
      <c r="A426" t="inlineStr">
        <is>
          <t>A 59279-2023</t>
        </is>
      </c>
      <c r="B426" s="1" t="n">
        <v>45253.55737268519</v>
      </c>
      <c r="C426" s="1" t="n">
        <v>46013</v>
      </c>
      <c r="D426" t="inlineStr">
        <is>
          <t>JÄMTLANDS LÄN</t>
        </is>
      </c>
      <c r="E426" t="inlineStr">
        <is>
          <t>HÄRJEDALEN</t>
        </is>
      </c>
      <c r="G426" t="n">
        <v>1.4</v>
      </c>
      <c r="H426" t="n">
        <v>0</v>
      </c>
      <c r="I426" t="n">
        <v>0</v>
      </c>
      <c r="J426" t="n">
        <v>0</v>
      </c>
      <c r="K426" t="n">
        <v>0</v>
      </c>
      <c r="L426" t="n">
        <v>0</v>
      </c>
      <c r="M426" t="n">
        <v>0</v>
      </c>
      <c r="N426" t="n">
        <v>0</v>
      </c>
      <c r="O426" t="n">
        <v>0</v>
      </c>
      <c r="P426" t="n">
        <v>0</v>
      </c>
      <c r="Q426" t="n">
        <v>0</v>
      </c>
      <c r="R426" s="2" t="inlineStr"/>
    </row>
    <row r="427" ht="15" customHeight="1">
      <c r="A427" t="inlineStr">
        <is>
          <t>A 38898-2025</t>
        </is>
      </c>
      <c r="B427" s="1" t="n">
        <v>45887.59913194444</v>
      </c>
      <c r="C427" s="1" t="n">
        <v>46013</v>
      </c>
      <c r="D427" t="inlineStr">
        <is>
          <t>JÄMTLANDS LÄN</t>
        </is>
      </c>
      <c r="E427" t="inlineStr">
        <is>
          <t>HÄRJEDALEN</t>
        </is>
      </c>
      <c r="F427" t="inlineStr">
        <is>
          <t>Bergvik skog väst AB</t>
        </is>
      </c>
      <c r="G427" t="n">
        <v>4</v>
      </c>
      <c r="H427" t="n">
        <v>0</v>
      </c>
      <c r="I427" t="n">
        <v>0</v>
      </c>
      <c r="J427" t="n">
        <v>0</v>
      </c>
      <c r="K427" t="n">
        <v>0</v>
      </c>
      <c r="L427" t="n">
        <v>0</v>
      </c>
      <c r="M427" t="n">
        <v>0</v>
      </c>
      <c r="N427" t="n">
        <v>0</v>
      </c>
      <c r="O427" t="n">
        <v>0</v>
      </c>
      <c r="P427" t="n">
        <v>0</v>
      </c>
      <c r="Q427" t="n">
        <v>0</v>
      </c>
      <c r="R427" s="2" t="inlineStr"/>
    </row>
    <row r="428" ht="15" customHeight="1">
      <c r="A428" t="inlineStr">
        <is>
          <t>A 239-2022</t>
        </is>
      </c>
      <c r="B428" s="1" t="n">
        <v>44565.31975694445</v>
      </c>
      <c r="C428" s="1" t="n">
        <v>46013</v>
      </c>
      <c r="D428" t="inlineStr">
        <is>
          <t>JÄMTLANDS LÄN</t>
        </is>
      </c>
      <c r="E428" t="inlineStr">
        <is>
          <t>HÄRJEDALEN</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241-2022</t>
        </is>
      </c>
      <c r="B429" s="1" t="n">
        <v>44565</v>
      </c>
      <c r="C429" s="1" t="n">
        <v>46013</v>
      </c>
      <c r="D429" t="inlineStr">
        <is>
          <t>JÄMTLANDS LÄN</t>
        </is>
      </c>
      <c r="E429" t="inlineStr">
        <is>
          <t>HÄRJEDALEN</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41037-2025</t>
        </is>
      </c>
      <c r="B430" s="1" t="n">
        <v>45898</v>
      </c>
      <c r="C430" s="1" t="n">
        <v>46013</v>
      </c>
      <c r="D430" t="inlineStr">
        <is>
          <t>JÄMTLANDS LÄN</t>
        </is>
      </c>
      <c r="E430" t="inlineStr">
        <is>
          <t>HÄRJEDALEN</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21699-2021</t>
        </is>
      </c>
      <c r="B431" s="1" t="n">
        <v>44316</v>
      </c>
      <c r="C431" s="1" t="n">
        <v>46013</v>
      </c>
      <c r="D431" t="inlineStr">
        <is>
          <t>JÄMTLANDS LÄN</t>
        </is>
      </c>
      <c r="E431" t="inlineStr">
        <is>
          <t>HÄRJEDALEN</t>
        </is>
      </c>
      <c r="G431" t="n">
        <v>6.8</v>
      </c>
      <c r="H431" t="n">
        <v>0</v>
      </c>
      <c r="I431" t="n">
        <v>0</v>
      </c>
      <c r="J431" t="n">
        <v>0</v>
      </c>
      <c r="K431" t="n">
        <v>0</v>
      </c>
      <c r="L431" t="n">
        <v>0</v>
      </c>
      <c r="M431" t="n">
        <v>0</v>
      </c>
      <c r="N431" t="n">
        <v>0</v>
      </c>
      <c r="O431" t="n">
        <v>0</v>
      </c>
      <c r="P431" t="n">
        <v>0</v>
      </c>
      <c r="Q431" t="n">
        <v>0</v>
      </c>
      <c r="R431" s="2" t="inlineStr"/>
    </row>
    <row r="432" ht="15" customHeight="1">
      <c r="A432" t="inlineStr">
        <is>
          <t>A 25933-2025</t>
        </is>
      </c>
      <c r="B432" s="1" t="n">
        <v>45804.589375</v>
      </c>
      <c r="C432" s="1" t="n">
        <v>46013</v>
      </c>
      <c r="D432" t="inlineStr">
        <is>
          <t>JÄMTLANDS LÄN</t>
        </is>
      </c>
      <c r="E432" t="inlineStr">
        <is>
          <t>HÄRJEDALEN</t>
        </is>
      </c>
      <c r="G432" t="n">
        <v>2.7</v>
      </c>
      <c r="H432" t="n">
        <v>0</v>
      </c>
      <c r="I432" t="n">
        <v>0</v>
      </c>
      <c r="J432" t="n">
        <v>0</v>
      </c>
      <c r="K432" t="n">
        <v>0</v>
      </c>
      <c r="L432" t="n">
        <v>0</v>
      </c>
      <c r="M432" t="n">
        <v>0</v>
      </c>
      <c r="N432" t="n">
        <v>0</v>
      </c>
      <c r="O432" t="n">
        <v>0</v>
      </c>
      <c r="P432" t="n">
        <v>0</v>
      </c>
      <c r="Q432" t="n">
        <v>0</v>
      </c>
      <c r="R432" s="2" t="inlineStr"/>
    </row>
    <row r="433" ht="15" customHeight="1">
      <c r="A433" t="inlineStr">
        <is>
          <t>A 59962-2024</t>
        </is>
      </c>
      <c r="B433" s="1" t="n">
        <v>45642.35256944445</v>
      </c>
      <c r="C433" s="1" t="n">
        <v>46013</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46013</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36537-2025</t>
        </is>
      </c>
      <c r="B435" s="1" t="n">
        <v>45869</v>
      </c>
      <c r="C435" s="1" t="n">
        <v>46013</v>
      </c>
      <c r="D435" t="inlineStr">
        <is>
          <t>JÄMTLANDS LÄN</t>
        </is>
      </c>
      <c r="E435" t="inlineStr">
        <is>
          <t>HÄRJEDALEN</t>
        </is>
      </c>
      <c r="G435" t="n">
        <v>3.8</v>
      </c>
      <c r="H435" t="n">
        <v>0</v>
      </c>
      <c r="I435" t="n">
        <v>0</v>
      </c>
      <c r="J435" t="n">
        <v>0</v>
      </c>
      <c r="K435" t="n">
        <v>0</v>
      </c>
      <c r="L435" t="n">
        <v>0</v>
      </c>
      <c r="M435" t="n">
        <v>0</v>
      </c>
      <c r="N435" t="n">
        <v>0</v>
      </c>
      <c r="O435" t="n">
        <v>0</v>
      </c>
      <c r="P435" t="n">
        <v>0</v>
      </c>
      <c r="Q435" t="n">
        <v>0</v>
      </c>
      <c r="R435" s="2" t="inlineStr"/>
    </row>
    <row r="436" ht="15" customHeight="1">
      <c r="A436" t="inlineStr">
        <is>
          <t>A 56182-2024</t>
        </is>
      </c>
      <c r="B436" s="1" t="n">
        <v>45624.57098379629</v>
      </c>
      <c r="C436" s="1" t="n">
        <v>46013</v>
      </c>
      <c r="D436" t="inlineStr">
        <is>
          <t>JÄMTLANDS LÄN</t>
        </is>
      </c>
      <c r="E436" t="inlineStr">
        <is>
          <t>HÄRJEDALEN</t>
        </is>
      </c>
      <c r="G436" t="n">
        <v>9</v>
      </c>
      <c r="H436" t="n">
        <v>0</v>
      </c>
      <c r="I436" t="n">
        <v>0</v>
      </c>
      <c r="J436" t="n">
        <v>0</v>
      </c>
      <c r="K436" t="n">
        <v>0</v>
      </c>
      <c r="L436" t="n">
        <v>0</v>
      </c>
      <c r="M436" t="n">
        <v>0</v>
      </c>
      <c r="N436" t="n">
        <v>0</v>
      </c>
      <c r="O436" t="n">
        <v>0</v>
      </c>
      <c r="P436" t="n">
        <v>0</v>
      </c>
      <c r="Q436" t="n">
        <v>0</v>
      </c>
      <c r="R436" s="2" t="inlineStr"/>
    </row>
    <row r="437" ht="15" customHeight="1">
      <c r="A437" t="inlineStr">
        <is>
          <t>A 62513-2022</t>
        </is>
      </c>
      <c r="B437" s="1" t="n">
        <v>44924.61315972222</v>
      </c>
      <c r="C437" s="1" t="n">
        <v>46013</v>
      </c>
      <c r="D437" t="inlineStr">
        <is>
          <t>JÄMTLANDS LÄN</t>
        </is>
      </c>
      <c r="E437" t="inlineStr">
        <is>
          <t>HÄRJEDALEN</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26209-2025</t>
        </is>
      </c>
      <c r="B438" s="1" t="n">
        <v>45805.53280092592</v>
      </c>
      <c r="C438" s="1" t="n">
        <v>46013</v>
      </c>
      <c r="D438" t="inlineStr">
        <is>
          <t>JÄMTLANDS LÄN</t>
        </is>
      </c>
      <c r="E438" t="inlineStr">
        <is>
          <t>HÄRJEDALEN</t>
        </is>
      </c>
      <c r="F438" t="inlineStr">
        <is>
          <t>Bergvik skog väst AB</t>
        </is>
      </c>
      <c r="G438" t="n">
        <v>27.3</v>
      </c>
      <c r="H438" t="n">
        <v>0</v>
      </c>
      <c r="I438" t="n">
        <v>0</v>
      </c>
      <c r="J438" t="n">
        <v>0</v>
      </c>
      <c r="K438" t="n">
        <v>0</v>
      </c>
      <c r="L438" t="n">
        <v>0</v>
      </c>
      <c r="M438" t="n">
        <v>0</v>
      </c>
      <c r="N438" t="n">
        <v>0</v>
      </c>
      <c r="O438" t="n">
        <v>0</v>
      </c>
      <c r="P438" t="n">
        <v>0</v>
      </c>
      <c r="Q438" t="n">
        <v>0</v>
      </c>
      <c r="R438" s="2" t="inlineStr"/>
    </row>
    <row r="439" ht="15" customHeight="1">
      <c r="A439" t="inlineStr">
        <is>
          <t>A 39211-2025</t>
        </is>
      </c>
      <c r="B439" s="1" t="n">
        <v>45888.78539351852</v>
      </c>
      <c r="C439" s="1" t="n">
        <v>46013</v>
      </c>
      <c r="D439" t="inlineStr">
        <is>
          <t>JÄMTLANDS LÄN</t>
        </is>
      </c>
      <c r="E439" t="inlineStr">
        <is>
          <t>HÄRJEDALEN</t>
        </is>
      </c>
      <c r="G439" t="n">
        <v>1.2</v>
      </c>
      <c r="H439" t="n">
        <v>0</v>
      </c>
      <c r="I439" t="n">
        <v>0</v>
      </c>
      <c r="J439" t="n">
        <v>0</v>
      </c>
      <c r="K439" t="n">
        <v>0</v>
      </c>
      <c r="L439" t="n">
        <v>0</v>
      </c>
      <c r="M439" t="n">
        <v>0</v>
      </c>
      <c r="N439" t="n">
        <v>0</v>
      </c>
      <c r="O439" t="n">
        <v>0</v>
      </c>
      <c r="P439" t="n">
        <v>0</v>
      </c>
      <c r="Q439" t="n">
        <v>0</v>
      </c>
      <c r="R439" s="2" t="inlineStr"/>
    </row>
    <row r="440" ht="15" customHeight="1">
      <c r="A440" t="inlineStr">
        <is>
          <t>A 39290-2025</t>
        </is>
      </c>
      <c r="B440" s="1" t="n">
        <v>45889.40916666666</v>
      </c>
      <c r="C440" s="1" t="n">
        <v>46013</v>
      </c>
      <c r="D440" t="inlineStr">
        <is>
          <t>JÄMTLANDS LÄN</t>
        </is>
      </c>
      <c r="E440" t="inlineStr">
        <is>
          <t>HÄRJEDALEN</t>
        </is>
      </c>
      <c r="G440" t="n">
        <v>10.9</v>
      </c>
      <c r="H440" t="n">
        <v>0</v>
      </c>
      <c r="I440" t="n">
        <v>0</v>
      </c>
      <c r="J440" t="n">
        <v>0</v>
      </c>
      <c r="K440" t="n">
        <v>0</v>
      </c>
      <c r="L440" t="n">
        <v>0</v>
      </c>
      <c r="M440" t="n">
        <v>0</v>
      </c>
      <c r="N440" t="n">
        <v>0</v>
      </c>
      <c r="O440" t="n">
        <v>0</v>
      </c>
      <c r="P440" t="n">
        <v>0</v>
      </c>
      <c r="Q440" t="n">
        <v>0</v>
      </c>
      <c r="R440" s="2" t="inlineStr"/>
    </row>
    <row r="441" ht="15" customHeight="1">
      <c r="A441" t="inlineStr">
        <is>
          <t>A 39291-2025</t>
        </is>
      </c>
      <c r="B441" s="1" t="n">
        <v>45889.41715277778</v>
      </c>
      <c r="C441" s="1" t="n">
        <v>46013</v>
      </c>
      <c r="D441" t="inlineStr">
        <is>
          <t>JÄMTLANDS LÄN</t>
        </is>
      </c>
      <c r="E441" t="inlineStr">
        <is>
          <t>HÄRJEDALEN</t>
        </is>
      </c>
      <c r="G441" t="n">
        <v>2.7</v>
      </c>
      <c r="H441" t="n">
        <v>0</v>
      </c>
      <c r="I441" t="n">
        <v>0</v>
      </c>
      <c r="J441" t="n">
        <v>0</v>
      </c>
      <c r="K441" t="n">
        <v>0</v>
      </c>
      <c r="L441" t="n">
        <v>0</v>
      </c>
      <c r="M441" t="n">
        <v>0</v>
      </c>
      <c r="N441" t="n">
        <v>0</v>
      </c>
      <c r="O441" t="n">
        <v>0</v>
      </c>
      <c r="P441" t="n">
        <v>0</v>
      </c>
      <c r="Q441" t="n">
        <v>0</v>
      </c>
      <c r="R441" s="2" t="inlineStr"/>
    </row>
    <row r="442" ht="15" customHeight="1">
      <c r="A442" t="inlineStr">
        <is>
          <t>A 51964-2024</t>
        </is>
      </c>
      <c r="B442" s="1" t="n">
        <v>45607</v>
      </c>
      <c r="C442" s="1" t="n">
        <v>46013</v>
      </c>
      <c r="D442" t="inlineStr">
        <is>
          <t>JÄMTLANDS LÄN</t>
        </is>
      </c>
      <c r="E442" t="inlineStr">
        <is>
          <t>HÄRJEDALEN</t>
        </is>
      </c>
      <c r="F442" t="inlineStr">
        <is>
          <t>Holmen skog AB</t>
        </is>
      </c>
      <c r="G442" t="n">
        <v>5</v>
      </c>
      <c r="H442" t="n">
        <v>0</v>
      </c>
      <c r="I442" t="n">
        <v>0</v>
      </c>
      <c r="J442" t="n">
        <v>0</v>
      </c>
      <c r="K442" t="n">
        <v>0</v>
      </c>
      <c r="L442" t="n">
        <v>0</v>
      </c>
      <c r="M442" t="n">
        <v>0</v>
      </c>
      <c r="N442" t="n">
        <v>0</v>
      </c>
      <c r="O442" t="n">
        <v>0</v>
      </c>
      <c r="P442" t="n">
        <v>0</v>
      </c>
      <c r="Q442" t="n">
        <v>0</v>
      </c>
      <c r="R442" s="2" t="inlineStr"/>
    </row>
    <row r="443" ht="15" customHeight="1">
      <c r="A443" t="inlineStr">
        <is>
          <t>A 39212-2025</t>
        </is>
      </c>
      <c r="B443" s="1" t="n">
        <v>45888.78833333333</v>
      </c>
      <c r="C443" s="1" t="n">
        <v>46013</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39213-2025</t>
        </is>
      </c>
      <c r="B444" s="1" t="n">
        <v>45888.78960648148</v>
      </c>
      <c r="C444" s="1" t="n">
        <v>46013</v>
      </c>
      <c r="D444" t="inlineStr">
        <is>
          <t>JÄMTLANDS LÄN</t>
        </is>
      </c>
      <c r="E444" t="inlineStr">
        <is>
          <t>HÄRJEDALEN</t>
        </is>
      </c>
      <c r="G444" t="n">
        <v>0.9</v>
      </c>
      <c r="H444" t="n">
        <v>0</v>
      </c>
      <c r="I444" t="n">
        <v>0</v>
      </c>
      <c r="J444" t="n">
        <v>0</v>
      </c>
      <c r="K444" t="n">
        <v>0</v>
      </c>
      <c r="L444" t="n">
        <v>0</v>
      </c>
      <c r="M444" t="n">
        <v>0</v>
      </c>
      <c r="N444" t="n">
        <v>0</v>
      </c>
      <c r="O444" t="n">
        <v>0</v>
      </c>
      <c r="P444" t="n">
        <v>0</v>
      </c>
      <c r="Q444" t="n">
        <v>0</v>
      </c>
      <c r="R444" s="2" t="inlineStr"/>
    </row>
    <row r="445" ht="15" customHeight="1">
      <c r="A445" t="inlineStr">
        <is>
          <t>A 26551-2025</t>
        </is>
      </c>
      <c r="B445" s="1" t="n">
        <v>45807.60333333333</v>
      </c>
      <c r="C445" s="1" t="n">
        <v>46013</v>
      </c>
      <c r="D445" t="inlineStr">
        <is>
          <t>JÄMTLANDS LÄN</t>
        </is>
      </c>
      <c r="E445" t="inlineStr">
        <is>
          <t>HÄRJEDALEN</t>
        </is>
      </c>
      <c r="F445" t="inlineStr">
        <is>
          <t>Holmen skog AB</t>
        </is>
      </c>
      <c r="G445" t="n">
        <v>12.3</v>
      </c>
      <c r="H445" t="n">
        <v>0</v>
      </c>
      <c r="I445" t="n">
        <v>0</v>
      </c>
      <c r="J445" t="n">
        <v>0</v>
      </c>
      <c r="K445" t="n">
        <v>0</v>
      </c>
      <c r="L445" t="n">
        <v>0</v>
      </c>
      <c r="M445" t="n">
        <v>0</v>
      </c>
      <c r="N445" t="n">
        <v>0</v>
      </c>
      <c r="O445" t="n">
        <v>0</v>
      </c>
      <c r="P445" t="n">
        <v>0</v>
      </c>
      <c r="Q445" t="n">
        <v>0</v>
      </c>
      <c r="R445" s="2" t="inlineStr"/>
    </row>
    <row r="446" ht="15" customHeight="1">
      <c r="A446" t="inlineStr">
        <is>
          <t>A 26543-2025</t>
        </is>
      </c>
      <c r="B446" s="1" t="n">
        <v>45807.58868055556</v>
      </c>
      <c r="C446" s="1" t="n">
        <v>46013</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26548-2025</t>
        </is>
      </c>
      <c r="B447" s="1" t="n">
        <v>45807.59407407408</v>
      </c>
      <c r="C447" s="1" t="n">
        <v>46013</v>
      </c>
      <c r="D447" t="inlineStr">
        <is>
          <t>JÄMTLANDS LÄN</t>
        </is>
      </c>
      <c r="E447" t="inlineStr">
        <is>
          <t>HÄRJEDALEN</t>
        </is>
      </c>
      <c r="F447" t="inlineStr">
        <is>
          <t>Holmen skog AB</t>
        </is>
      </c>
      <c r="G447" t="n">
        <v>10.5</v>
      </c>
      <c r="H447" t="n">
        <v>0</v>
      </c>
      <c r="I447" t="n">
        <v>0</v>
      </c>
      <c r="J447" t="n">
        <v>0</v>
      </c>
      <c r="K447" t="n">
        <v>0</v>
      </c>
      <c r="L447" t="n">
        <v>0</v>
      </c>
      <c r="M447" t="n">
        <v>0</v>
      </c>
      <c r="N447" t="n">
        <v>0</v>
      </c>
      <c r="O447" t="n">
        <v>0</v>
      </c>
      <c r="P447" t="n">
        <v>0</v>
      </c>
      <c r="Q447" t="n">
        <v>0</v>
      </c>
      <c r="R447" s="2" t="inlineStr"/>
    </row>
    <row r="448" ht="15" customHeight="1">
      <c r="A448" t="inlineStr">
        <is>
          <t>A 26443-2025</t>
        </is>
      </c>
      <c r="B448" s="1" t="n">
        <v>45807.41287037037</v>
      </c>
      <c r="C448" s="1" t="n">
        <v>46013</v>
      </c>
      <c r="D448" t="inlineStr">
        <is>
          <t>JÄMTLANDS LÄN</t>
        </is>
      </c>
      <c r="E448" t="inlineStr">
        <is>
          <t>HÄRJEDALEN</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26451-2025</t>
        </is>
      </c>
      <c r="B449" s="1" t="n">
        <v>45807.42212962963</v>
      </c>
      <c r="C449" s="1" t="n">
        <v>46013</v>
      </c>
      <c r="D449" t="inlineStr">
        <is>
          <t>JÄMTLANDS LÄN</t>
        </is>
      </c>
      <c r="E449" t="inlineStr">
        <is>
          <t>HÄRJEDALEN</t>
        </is>
      </c>
      <c r="F449" t="inlineStr">
        <is>
          <t>Holmen skog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26468-2025</t>
        </is>
      </c>
      <c r="B450" s="1" t="n">
        <v>45807.45288194445</v>
      </c>
      <c r="C450" s="1" t="n">
        <v>46013</v>
      </c>
      <c r="D450" t="inlineStr">
        <is>
          <t>JÄMTLANDS LÄN</t>
        </is>
      </c>
      <c r="E450" t="inlineStr">
        <is>
          <t>HÄRJEDALEN</t>
        </is>
      </c>
      <c r="F450" t="inlineStr">
        <is>
          <t>Holmen skog AB</t>
        </is>
      </c>
      <c r="G450" t="n">
        <v>11.7</v>
      </c>
      <c r="H450" t="n">
        <v>0</v>
      </c>
      <c r="I450" t="n">
        <v>0</v>
      </c>
      <c r="J450" t="n">
        <v>0</v>
      </c>
      <c r="K450" t="n">
        <v>0</v>
      </c>
      <c r="L450" t="n">
        <v>0</v>
      </c>
      <c r="M450" t="n">
        <v>0</v>
      </c>
      <c r="N450" t="n">
        <v>0</v>
      </c>
      <c r="O450" t="n">
        <v>0</v>
      </c>
      <c r="P450" t="n">
        <v>0</v>
      </c>
      <c r="Q450" t="n">
        <v>0</v>
      </c>
      <c r="R450" s="2" t="inlineStr"/>
    </row>
    <row r="451" ht="15" customHeight="1">
      <c r="A451" t="inlineStr">
        <is>
          <t>A 26495-2025</t>
        </is>
      </c>
      <c r="B451" s="1" t="n">
        <v>45807.49436342593</v>
      </c>
      <c r="C451" s="1" t="n">
        <v>46013</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26496-2025</t>
        </is>
      </c>
      <c r="B452" s="1" t="n">
        <v>45807.49832175926</v>
      </c>
      <c r="C452" s="1" t="n">
        <v>46013</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26540-2025</t>
        </is>
      </c>
      <c r="B453" s="1" t="n">
        <v>45807.58393518518</v>
      </c>
      <c r="C453" s="1" t="n">
        <v>46013</v>
      </c>
      <c r="D453" t="inlineStr">
        <is>
          <t>JÄMTLANDS LÄN</t>
        </is>
      </c>
      <c r="E453" t="inlineStr">
        <is>
          <t>HÄRJEDALEN</t>
        </is>
      </c>
      <c r="F453" t="inlineStr">
        <is>
          <t>Holmen skog AB</t>
        </is>
      </c>
      <c r="G453" t="n">
        <v>6</v>
      </c>
      <c r="H453" t="n">
        <v>0</v>
      </c>
      <c r="I453" t="n">
        <v>0</v>
      </c>
      <c r="J453" t="n">
        <v>0</v>
      </c>
      <c r="K453" t="n">
        <v>0</v>
      </c>
      <c r="L453" t="n">
        <v>0</v>
      </c>
      <c r="M453" t="n">
        <v>0</v>
      </c>
      <c r="N453" t="n">
        <v>0</v>
      </c>
      <c r="O453" t="n">
        <v>0</v>
      </c>
      <c r="P453" t="n">
        <v>0</v>
      </c>
      <c r="Q453" t="n">
        <v>0</v>
      </c>
      <c r="R453" s="2" t="inlineStr"/>
    </row>
    <row r="454" ht="15" customHeight="1">
      <c r="A454" t="inlineStr">
        <is>
          <t>A 26417-2025</t>
        </is>
      </c>
      <c r="B454" s="1" t="n">
        <v>45807.36304398148</v>
      </c>
      <c r="C454" s="1" t="n">
        <v>46013</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26448-2025</t>
        </is>
      </c>
      <c r="B455" s="1" t="n">
        <v>45807.41717592593</v>
      </c>
      <c r="C455" s="1" t="n">
        <v>46013</v>
      </c>
      <c r="D455" t="inlineStr">
        <is>
          <t>JÄMTLANDS LÄN</t>
        </is>
      </c>
      <c r="E455" t="inlineStr">
        <is>
          <t>HÄRJEDALEN</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39963-2025</t>
        </is>
      </c>
      <c r="B456" s="1" t="n">
        <v>45892.53184027778</v>
      </c>
      <c r="C456" s="1" t="n">
        <v>46013</v>
      </c>
      <c r="D456" t="inlineStr">
        <is>
          <t>JÄMTLANDS LÄN</t>
        </is>
      </c>
      <c r="E456" t="inlineStr">
        <is>
          <t>HÄRJEDALEN</t>
        </is>
      </c>
      <c r="G456" t="n">
        <v>33.9</v>
      </c>
      <c r="H456" t="n">
        <v>0</v>
      </c>
      <c r="I456" t="n">
        <v>0</v>
      </c>
      <c r="J456" t="n">
        <v>0</v>
      </c>
      <c r="K456" t="n">
        <v>0</v>
      </c>
      <c r="L456" t="n">
        <v>0</v>
      </c>
      <c r="M456" t="n">
        <v>0</v>
      </c>
      <c r="N456" t="n">
        <v>0</v>
      </c>
      <c r="O456" t="n">
        <v>0</v>
      </c>
      <c r="P456" t="n">
        <v>0</v>
      </c>
      <c r="Q456" t="n">
        <v>0</v>
      </c>
      <c r="R456" s="2" t="inlineStr"/>
    </row>
    <row r="457" ht="15" customHeight="1">
      <c r="A457" t="inlineStr">
        <is>
          <t>A 26462-2025</t>
        </is>
      </c>
      <c r="B457" s="1" t="n">
        <v>45807.43461805556</v>
      </c>
      <c r="C457" s="1" t="n">
        <v>46013</v>
      </c>
      <c r="D457" t="inlineStr">
        <is>
          <t>JÄMTLANDS LÄN</t>
        </is>
      </c>
      <c r="E457" t="inlineStr">
        <is>
          <t>HÄRJEDALEN</t>
        </is>
      </c>
      <c r="F457" t="inlineStr">
        <is>
          <t>Holmen skog AB</t>
        </is>
      </c>
      <c r="G457" t="n">
        <v>4</v>
      </c>
      <c r="H457" t="n">
        <v>0</v>
      </c>
      <c r="I457" t="n">
        <v>0</v>
      </c>
      <c r="J457" t="n">
        <v>0</v>
      </c>
      <c r="K457" t="n">
        <v>0</v>
      </c>
      <c r="L457" t="n">
        <v>0</v>
      </c>
      <c r="M457" t="n">
        <v>0</v>
      </c>
      <c r="N457" t="n">
        <v>0</v>
      </c>
      <c r="O457" t="n">
        <v>0</v>
      </c>
      <c r="P457" t="n">
        <v>0</v>
      </c>
      <c r="Q457" t="n">
        <v>0</v>
      </c>
      <c r="R457" s="2" t="inlineStr"/>
    </row>
    <row r="458" ht="15" customHeight="1">
      <c r="A458" t="inlineStr">
        <is>
          <t>A 26464-2025</t>
        </is>
      </c>
      <c r="B458" s="1" t="n">
        <v>45807.44070601852</v>
      </c>
      <c r="C458" s="1" t="n">
        <v>46013</v>
      </c>
      <c r="D458" t="inlineStr">
        <is>
          <t>JÄMTLANDS LÄN</t>
        </is>
      </c>
      <c r="E458" t="inlineStr">
        <is>
          <t>HÄRJEDALEN</t>
        </is>
      </c>
      <c r="F458" t="inlineStr">
        <is>
          <t>Holmen skog AB</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26466-2025</t>
        </is>
      </c>
      <c r="B459" s="1" t="n">
        <v>45807.44608796296</v>
      </c>
      <c r="C459" s="1" t="n">
        <v>46013</v>
      </c>
      <c r="D459" t="inlineStr">
        <is>
          <t>JÄMTLANDS LÄN</t>
        </is>
      </c>
      <c r="E459" t="inlineStr">
        <is>
          <t>HÄRJEDALEN</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26486-2025</t>
        </is>
      </c>
      <c r="B460" s="1" t="n">
        <v>45807.47479166667</v>
      </c>
      <c r="C460" s="1" t="n">
        <v>46013</v>
      </c>
      <c r="D460" t="inlineStr">
        <is>
          <t>JÄMTLANDS LÄN</t>
        </is>
      </c>
      <c r="E460" t="inlineStr">
        <is>
          <t>HÄRJEDALEN</t>
        </is>
      </c>
      <c r="F460" t="inlineStr">
        <is>
          <t>Holmen skog AB</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26493-2025</t>
        </is>
      </c>
      <c r="B461" s="1" t="n">
        <v>45807.49045138889</v>
      </c>
      <c r="C461" s="1" t="n">
        <v>46013</v>
      </c>
      <c r="D461" t="inlineStr">
        <is>
          <t>JÄMTLANDS LÄN</t>
        </is>
      </c>
      <c r="E461" t="inlineStr">
        <is>
          <t>HÄRJEDALEN</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40185-2025</t>
        </is>
      </c>
      <c r="B462" s="1" t="n">
        <v>45894.64358796296</v>
      </c>
      <c r="C462" s="1" t="n">
        <v>46013</v>
      </c>
      <c r="D462" t="inlineStr">
        <is>
          <t>JÄMTLANDS LÄN</t>
        </is>
      </c>
      <c r="E462" t="inlineStr">
        <is>
          <t>HÄRJEDALEN</t>
        </is>
      </c>
      <c r="F462" t="inlineStr">
        <is>
          <t>Bergvik skog väst AB</t>
        </is>
      </c>
      <c r="G462" t="n">
        <v>30.7</v>
      </c>
      <c r="H462" t="n">
        <v>0</v>
      </c>
      <c r="I462" t="n">
        <v>0</v>
      </c>
      <c r="J462" t="n">
        <v>0</v>
      </c>
      <c r="K462" t="n">
        <v>0</v>
      </c>
      <c r="L462" t="n">
        <v>0</v>
      </c>
      <c r="M462" t="n">
        <v>0</v>
      </c>
      <c r="N462" t="n">
        <v>0</v>
      </c>
      <c r="O462" t="n">
        <v>0</v>
      </c>
      <c r="P462" t="n">
        <v>0</v>
      </c>
      <c r="Q462" t="n">
        <v>0</v>
      </c>
      <c r="R462" s="2" t="inlineStr"/>
    </row>
    <row r="463" ht="15" customHeight="1">
      <c r="A463" t="inlineStr">
        <is>
          <t>A 26561-2025</t>
        </is>
      </c>
      <c r="B463" s="1" t="n">
        <v>45807.65438657408</v>
      </c>
      <c r="C463" s="1" t="n">
        <v>46013</v>
      </c>
      <c r="D463" t="inlineStr">
        <is>
          <t>JÄMTLANDS LÄN</t>
        </is>
      </c>
      <c r="E463" t="inlineStr">
        <is>
          <t>HÄRJEDALEN</t>
        </is>
      </c>
      <c r="F463" t="inlineStr">
        <is>
          <t>Holmen skog AB</t>
        </is>
      </c>
      <c r="G463" t="n">
        <v>7.9</v>
      </c>
      <c r="H463" t="n">
        <v>0</v>
      </c>
      <c r="I463" t="n">
        <v>0</v>
      </c>
      <c r="J463" t="n">
        <v>0</v>
      </c>
      <c r="K463" t="n">
        <v>0</v>
      </c>
      <c r="L463" t="n">
        <v>0</v>
      </c>
      <c r="M463" t="n">
        <v>0</v>
      </c>
      <c r="N463" t="n">
        <v>0</v>
      </c>
      <c r="O463" t="n">
        <v>0</v>
      </c>
      <c r="P463" t="n">
        <v>0</v>
      </c>
      <c r="Q463" t="n">
        <v>0</v>
      </c>
      <c r="R463" s="2" t="inlineStr"/>
    </row>
    <row r="464" ht="15" customHeight="1">
      <c r="A464" t="inlineStr">
        <is>
          <t>A 26404-2025</t>
        </is>
      </c>
      <c r="B464" s="1" t="n">
        <v>45807.3409837963</v>
      </c>
      <c r="C464" s="1" t="n">
        <v>46013</v>
      </c>
      <c r="D464" t="inlineStr">
        <is>
          <t>JÄMTLANDS LÄN</t>
        </is>
      </c>
      <c r="E464" t="inlineStr">
        <is>
          <t>HÄRJEDALEN</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26411-2025</t>
        </is>
      </c>
      <c r="B465" s="1" t="n">
        <v>45807.35476851852</v>
      </c>
      <c r="C465" s="1" t="n">
        <v>46013</v>
      </c>
      <c r="D465" t="inlineStr">
        <is>
          <t>JÄMTLANDS LÄN</t>
        </is>
      </c>
      <c r="E465" t="inlineStr">
        <is>
          <t>HÄRJEDALEN</t>
        </is>
      </c>
      <c r="F465" t="inlineStr">
        <is>
          <t>Holmen skog AB</t>
        </is>
      </c>
      <c r="G465" t="n">
        <v>12.4</v>
      </c>
      <c r="H465" t="n">
        <v>0</v>
      </c>
      <c r="I465" t="n">
        <v>0</v>
      </c>
      <c r="J465" t="n">
        <v>0</v>
      </c>
      <c r="K465" t="n">
        <v>0</v>
      </c>
      <c r="L465" t="n">
        <v>0</v>
      </c>
      <c r="M465" t="n">
        <v>0</v>
      </c>
      <c r="N465" t="n">
        <v>0</v>
      </c>
      <c r="O465" t="n">
        <v>0</v>
      </c>
      <c r="P465" t="n">
        <v>0</v>
      </c>
      <c r="Q465" t="n">
        <v>0</v>
      </c>
      <c r="R465" s="2" t="inlineStr"/>
    </row>
    <row r="466" ht="15" customHeight="1">
      <c r="A466" t="inlineStr">
        <is>
          <t>A 26518-2025</t>
        </is>
      </c>
      <c r="B466" s="1" t="n">
        <v>45807.55893518519</v>
      </c>
      <c r="C466" s="1" t="n">
        <v>46013</v>
      </c>
      <c r="D466" t="inlineStr">
        <is>
          <t>JÄMTLANDS LÄN</t>
        </is>
      </c>
      <c r="E466" t="inlineStr">
        <is>
          <t>HÄRJEDALEN</t>
        </is>
      </c>
      <c r="F466" t="inlineStr">
        <is>
          <t>Holmen skog AB</t>
        </is>
      </c>
      <c r="G466" t="n">
        <v>1.4</v>
      </c>
      <c r="H466" t="n">
        <v>0</v>
      </c>
      <c r="I466" t="n">
        <v>0</v>
      </c>
      <c r="J466" t="n">
        <v>0</v>
      </c>
      <c r="K466" t="n">
        <v>0</v>
      </c>
      <c r="L466" t="n">
        <v>0</v>
      </c>
      <c r="M466" t="n">
        <v>0</v>
      </c>
      <c r="N466" t="n">
        <v>0</v>
      </c>
      <c r="O466" t="n">
        <v>0</v>
      </c>
      <c r="P466" t="n">
        <v>0</v>
      </c>
      <c r="Q466" t="n">
        <v>0</v>
      </c>
      <c r="R466" s="2" t="inlineStr"/>
    </row>
    <row r="467" ht="15" customHeight="1">
      <c r="A467" t="inlineStr">
        <is>
          <t>A 26528-2025</t>
        </is>
      </c>
      <c r="B467" s="1" t="n">
        <v>45807.5684375</v>
      </c>
      <c r="C467" s="1" t="n">
        <v>46013</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60897-2022</t>
        </is>
      </c>
      <c r="B468" s="1" t="n">
        <v>44914</v>
      </c>
      <c r="C468" s="1" t="n">
        <v>46013</v>
      </c>
      <c r="D468" t="inlineStr">
        <is>
          <t>JÄMTLANDS LÄN</t>
        </is>
      </c>
      <c r="E468" t="inlineStr">
        <is>
          <t>HÄRJEDALEN</t>
        </is>
      </c>
      <c r="F468" t="inlineStr">
        <is>
          <t>Holmen skog AB</t>
        </is>
      </c>
      <c r="G468" t="n">
        <v>0.3</v>
      </c>
      <c r="H468" t="n">
        <v>0</v>
      </c>
      <c r="I468" t="n">
        <v>0</v>
      </c>
      <c r="J468" t="n">
        <v>0</v>
      </c>
      <c r="K468" t="n">
        <v>0</v>
      </c>
      <c r="L468" t="n">
        <v>0</v>
      </c>
      <c r="M468" t="n">
        <v>0</v>
      </c>
      <c r="N468" t="n">
        <v>0</v>
      </c>
      <c r="O468" t="n">
        <v>0</v>
      </c>
      <c r="P468" t="n">
        <v>0</v>
      </c>
      <c r="Q468" t="n">
        <v>0</v>
      </c>
      <c r="R468" s="2" t="inlineStr"/>
      <c r="U468">
        <f>HYPERLINK("https://klasma.github.io/Logging_2361/knärot/A 60897-2022 karta knärot.png", "A 60897-2022")</f>
        <v/>
      </c>
      <c r="V468">
        <f>HYPERLINK("https://klasma.github.io/Logging_2361/klagomål/A 60897-2022 FSC-klagomål.docx", "A 60897-2022")</f>
        <v/>
      </c>
      <c r="W468">
        <f>HYPERLINK("https://klasma.github.io/Logging_2361/klagomålsmail/A 60897-2022 FSC-klagomål mail.docx", "A 60897-2022")</f>
        <v/>
      </c>
      <c r="X468">
        <f>HYPERLINK("https://klasma.github.io/Logging_2361/tillsyn/A 60897-2022 tillsynsbegäran.docx", "A 60897-2022")</f>
        <v/>
      </c>
      <c r="Y468">
        <f>HYPERLINK("https://klasma.github.io/Logging_2361/tillsynsmail/A 60897-2022 tillsynsbegäran mail.docx", "A 60897-2022")</f>
        <v/>
      </c>
    </row>
    <row r="469" ht="15" customHeight="1">
      <c r="A469" t="inlineStr">
        <is>
          <t>A 105-2023</t>
        </is>
      </c>
      <c r="B469" s="1" t="n">
        <v>44928.48072916667</v>
      </c>
      <c r="C469" s="1" t="n">
        <v>46013</v>
      </c>
      <c r="D469" t="inlineStr">
        <is>
          <t>JÄMTLANDS LÄN</t>
        </is>
      </c>
      <c r="E469" t="inlineStr">
        <is>
          <t>HÄRJEDALEN</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40194-2025</t>
        </is>
      </c>
      <c r="B470" s="1" t="n">
        <v>45894.65869212963</v>
      </c>
      <c r="C470" s="1" t="n">
        <v>46013</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26523-2025</t>
        </is>
      </c>
      <c r="B471" s="1" t="n">
        <v>45807.56403935186</v>
      </c>
      <c r="C471" s="1" t="n">
        <v>46013</v>
      </c>
      <c r="D471" t="inlineStr">
        <is>
          <t>JÄMTLANDS LÄN</t>
        </is>
      </c>
      <c r="E471" t="inlineStr">
        <is>
          <t>HÄRJEDALEN</t>
        </is>
      </c>
      <c r="F471" t="inlineStr">
        <is>
          <t>Holmen skog AB</t>
        </is>
      </c>
      <c r="G471" t="n">
        <v>7.4</v>
      </c>
      <c r="H471" t="n">
        <v>0</v>
      </c>
      <c r="I471" t="n">
        <v>0</v>
      </c>
      <c r="J471" t="n">
        <v>0</v>
      </c>
      <c r="K471" t="n">
        <v>0</v>
      </c>
      <c r="L471" t="n">
        <v>0</v>
      </c>
      <c r="M471" t="n">
        <v>0</v>
      </c>
      <c r="N471" t="n">
        <v>0</v>
      </c>
      <c r="O471" t="n">
        <v>0</v>
      </c>
      <c r="P471" t="n">
        <v>0</v>
      </c>
      <c r="Q471" t="n">
        <v>0</v>
      </c>
      <c r="R471" s="2" t="inlineStr"/>
    </row>
    <row r="472" ht="15" customHeight="1">
      <c r="A472" t="inlineStr">
        <is>
          <t>A 5630-2024</t>
        </is>
      </c>
      <c r="B472" s="1" t="n">
        <v>45334</v>
      </c>
      <c r="C472" s="1" t="n">
        <v>46013</v>
      </c>
      <c r="D472" t="inlineStr">
        <is>
          <t>JÄMTLANDS LÄN</t>
        </is>
      </c>
      <c r="E472" t="inlineStr">
        <is>
          <t>HÄRJEDALEN</t>
        </is>
      </c>
      <c r="F472" t="inlineStr">
        <is>
          <t>Övriga statliga verk och myndigheter</t>
        </is>
      </c>
      <c r="G472" t="n">
        <v>5.4</v>
      </c>
      <c r="H472" t="n">
        <v>0</v>
      </c>
      <c r="I472" t="n">
        <v>0</v>
      </c>
      <c r="J472" t="n">
        <v>0</v>
      </c>
      <c r="K472" t="n">
        <v>0</v>
      </c>
      <c r="L472" t="n">
        <v>0</v>
      </c>
      <c r="M472" t="n">
        <v>0</v>
      </c>
      <c r="N472" t="n">
        <v>0</v>
      </c>
      <c r="O472" t="n">
        <v>0</v>
      </c>
      <c r="P472" t="n">
        <v>0</v>
      </c>
      <c r="Q472" t="n">
        <v>0</v>
      </c>
      <c r="R472" s="2" t="inlineStr"/>
    </row>
    <row r="473" ht="15" customHeight="1">
      <c r="A473" t="inlineStr">
        <is>
          <t>A 4128-2025</t>
        </is>
      </c>
      <c r="B473" s="1" t="n">
        <v>45685</v>
      </c>
      <c r="C473" s="1" t="n">
        <v>46013</v>
      </c>
      <c r="D473" t="inlineStr">
        <is>
          <t>JÄMTLANDS LÄN</t>
        </is>
      </c>
      <c r="E473" t="inlineStr">
        <is>
          <t>HÄRJEDALEN</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35635-2024</t>
        </is>
      </c>
      <c r="B474" s="1" t="n">
        <v>45531.78386574074</v>
      </c>
      <c r="C474" s="1" t="n">
        <v>46013</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27541-2023</t>
        </is>
      </c>
      <c r="B475" s="1" t="n">
        <v>45097</v>
      </c>
      <c r="C475" s="1" t="n">
        <v>46013</v>
      </c>
      <c r="D475" t="inlineStr">
        <is>
          <t>JÄMTLANDS LÄN</t>
        </is>
      </c>
      <c r="E475" t="inlineStr">
        <is>
          <t>HÄRJEDALEN</t>
        </is>
      </c>
      <c r="F475" t="inlineStr">
        <is>
          <t>Bergvik skog väst AB</t>
        </is>
      </c>
      <c r="G475" t="n">
        <v>4</v>
      </c>
      <c r="H475" t="n">
        <v>0</v>
      </c>
      <c r="I475" t="n">
        <v>0</v>
      </c>
      <c r="J475" t="n">
        <v>0</v>
      </c>
      <c r="K475" t="n">
        <v>0</v>
      </c>
      <c r="L475" t="n">
        <v>0</v>
      </c>
      <c r="M475" t="n">
        <v>0</v>
      </c>
      <c r="N475" t="n">
        <v>0</v>
      </c>
      <c r="O475" t="n">
        <v>0</v>
      </c>
      <c r="P475" t="n">
        <v>0</v>
      </c>
      <c r="Q475" t="n">
        <v>0</v>
      </c>
      <c r="R475" s="2" t="inlineStr"/>
    </row>
    <row r="476" ht="15" customHeight="1">
      <c r="A476" t="inlineStr">
        <is>
          <t>A 47244-2023</t>
        </is>
      </c>
      <c r="B476" s="1" t="n">
        <v>45202</v>
      </c>
      <c r="C476" s="1" t="n">
        <v>46013</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9780-2024</t>
        </is>
      </c>
      <c r="B477" s="1" t="n">
        <v>45362.65903935185</v>
      </c>
      <c r="C477" s="1" t="n">
        <v>46013</v>
      </c>
      <c r="D477" t="inlineStr">
        <is>
          <t>JÄMTLANDS LÄN</t>
        </is>
      </c>
      <c r="E477" t="inlineStr">
        <is>
          <t>HÄRJEDALEN</t>
        </is>
      </c>
      <c r="G477" t="n">
        <v>0.4</v>
      </c>
      <c r="H477" t="n">
        <v>0</v>
      </c>
      <c r="I477" t="n">
        <v>0</v>
      </c>
      <c r="J477" t="n">
        <v>0</v>
      </c>
      <c r="K477" t="n">
        <v>0</v>
      </c>
      <c r="L477" t="n">
        <v>0</v>
      </c>
      <c r="M477" t="n">
        <v>0</v>
      </c>
      <c r="N477" t="n">
        <v>0</v>
      </c>
      <c r="O477" t="n">
        <v>0</v>
      </c>
      <c r="P477" t="n">
        <v>0</v>
      </c>
      <c r="Q477" t="n">
        <v>0</v>
      </c>
      <c r="R477" s="2" t="inlineStr"/>
    </row>
    <row r="478" ht="15" customHeight="1">
      <c r="A478" t="inlineStr">
        <is>
          <t>A 64485-2023</t>
        </is>
      </c>
      <c r="B478" s="1" t="n">
        <v>45280</v>
      </c>
      <c r="C478" s="1" t="n">
        <v>46013</v>
      </c>
      <c r="D478" t="inlineStr">
        <is>
          <t>JÄMTLANDS LÄN</t>
        </is>
      </c>
      <c r="E478" t="inlineStr">
        <is>
          <t>HÄRJEDALEN</t>
        </is>
      </c>
      <c r="G478" t="n">
        <v>21.3</v>
      </c>
      <c r="H478" t="n">
        <v>0</v>
      </c>
      <c r="I478" t="n">
        <v>0</v>
      </c>
      <c r="J478" t="n">
        <v>0</v>
      </c>
      <c r="K478" t="n">
        <v>0</v>
      </c>
      <c r="L478" t="n">
        <v>0</v>
      </c>
      <c r="M478" t="n">
        <v>0</v>
      </c>
      <c r="N478" t="n">
        <v>0</v>
      </c>
      <c r="O478" t="n">
        <v>0</v>
      </c>
      <c r="P478" t="n">
        <v>0</v>
      </c>
      <c r="Q478" t="n">
        <v>0</v>
      </c>
      <c r="R478" s="2" t="inlineStr"/>
    </row>
    <row r="479" ht="15" customHeight="1">
      <c r="A479" t="inlineStr">
        <is>
          <t>A 26905-2025</t>
        </is>
      </c>
      <c r="B479" s="1" t="n">
        <v>45811.34540509259</v>
      </c>
      <c r="C479" s="1" t="n">
        <v>46013</v>
      </c>
      <c r="D479" t="inlineStr">
        <is>
          <t>JÄMTLANDS LÄN</t>
        </is>
      </c>
      <c r="E479" t="inlineStr">
        <is>
          <t>HÄRJEDALEN</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40572-2025</t>
        </is>
      </c>
      <c r="B480" s="1" t="n">
        <v>45896.49821759259</v>
      </c>
      <c r="C480" s="1" t="n">
        <v>46013</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40573-2025</t>
        </is>
      </c>
      <c r="B481" s="1" t="n">
        <v>45896.49959490741</v>
      </c>
      <c r="C481" s="1" t="n">
        <v>46013</v>
      </c>
      <c r="D481" t="inlineStr">
        <is>
          <t>JÄMTLANDS LÄN</t>
        </is>
      </c>
      <c r="E481" t="inlineStr">
        <is>
          <t>HÄRJEDALEN</t>
        </is>
      </c>
      <c r="G481" t="n">
        <v>1.6</v>
      </c>
      <c r="H481" t="n">
        <v>0</v>
      </c>
      <c r="I481" t="n">
        <v>0</v>
      </c>
      <c r="J481" t="n">
        <v>0</v>
      </c>
      <c r="K481" t="n">
        <v>0</v>
      </c>
      <c r="L481" t="n">
        <v>0</v>
      </c>
      <c r="M481" t="n">
        <v>0</v>
      </c>
      <c r="N481" t="n">
        <v>0</v>
      </c>
      <c r="O481" t="n">
        <v>0</v>
      </c>
      <c r="P481" t="n">
        <v>0</v>
      </c>
      <c r="Q481" t="n">
        <v>0</v>
      </c>
      <c r="R481" s="2" t="inlineStr"/>
    </row>
    <row r="482" ht="15" customHeight="1">
      <c r="A482" t="inlineStr">
        <is>
          <t>A 62500-2022</t>
        </is>
      </c>
      <c r="B482" s="1" t="n">
        <v>44924.59140046296</v>
      </c>
      <c r="C482" s="1" t="n">
        <v>46013</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40249-2025</t>
        </is>
      </c>
      <c r="B483" s="1" t="n">
        <v>45895.29387731481</v>
      </c>
      <c r="C483" s="1" t="n">
        <v>46013</v>
      </c>
      <c r="D483" t="inlineStr">
        <is>
          <t>JÄMTLANDS LÄN</t>
        </is>
      </c>
      <c r="E483" t="inlineStr">
        <is>
          <t>HÄRJEDALEN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30411-2023</t>
        </is>
      </c>
      <c r="B484" s="1" t="n">
        <v>45111</v>
      </c>
      <c r="C484" s="1" t="n">
        <v>46013</v>
      </c>
      <c r="D484" t="inlineStr">
        <is>
          <t>JÄMTLANDS LÄN</t>
        </is>
      </c>
      <c r="E484" t="inlineStr">
        <is>
          <t>HÄRJEDALEN</t>
        </is>
      </c>
      <c r="F484" t="inlineStr">
        <is>
          <t>Bergvik skog väst AB</t>
        </is>
      </c>
      <c r="G484" t="n">
        <v>28.3</v>
      </c>
      <c r="H484" t="n">
        <v>0</v>
      </c>
      <c r="I484" t="n">
        <v>0</v>
      </c>
      <c r="J484" t="n">
        <v>0</v>
      </c>
      <c r="K484" t="n">
        <v>0</v>
      </c>
      <c r="L484" t="n">
        <v>0</v>
      </c>
      <c r="M484" t="n">
        <v>0</v>
      </c>
      <c r="N484" t="n">
        <v>0</v>
      </c>
      <c r="O484" t="n">
        <v>0</v>
      </c>
      <c r="P484" t="n">
        <v>0</v>
      </c>
      <c r="Q484" t="n">
        <v>0</v>
      </c>
      <c r="R484" s="2" t="inlineStr"/>
    </row>
    <row r="485" ht="15" customHeight="1">
      <c r="A485" t="inlineStr">
        <is>
          <t>A 41054-2025</t>
        </is>
      </c>
      <c r="B485" s="1" t="n">
        <v>45898.40481481481</v>
      </c>
      <c r="C485" s="1" t="n">
        <v>46013</v>
      </c>
      <c r="D485" t="inlineStr">
        <is>
          <t>JÄMTLANDS LÄN</t>
        </is>
      </c>
      <c r="E485" t="inlineStr">
        <is>
          <t>HÄRJEDALEN</t>
        </is>
      </c>
      <c r="G485" t="n">
        <v>0.8</v>
      </c>
      <c r="H485" t="n">
        <v>0</v>
      </c>
      <c r="I485" t="n">
        <v>0</v>
      </c>
      <c r="J485" t="n">
        <v>0</v>
      </c>
      <c r="K485" t="n">
        <v>0</v>
      </c>
      <c r="L485" t="n">
        <v>0</v>
      </c>
      <c r="M485" t="n">
        <v>0</v>
      </c>
      <c r="N485" t="n">
        <v>0</v>
      </c>
      <c r="O485" t="n">
        <v>0</v>
      </c>
      <c r="P485" t="n">
        <v>0</v>
      </c>
      <c r="Q485" t="n">
        <v>0</v>
      </c>
      <c r="R485" s="2" t="inlineStr"/>
    </row>
    <row r="486" ht="15" customHeight="1">
      <c r="A486" t="inlineStr">
        <is>
          <t>A 41180-2025</t>
        </is>
      </c>
      <c r="B486" s="1" t="n">
        <v>45898.55296296296</v>
      </c>
      <c r="C486" s="1" t="n">
        <v>46013</v>
      </c>
      <c r="D486" t="inlineStr">
        <is>
          <t>JÄMTLANDS LÄN</t>
        </is>
      </c>
      <c r="E486" t="inlineStr">
        <is>
          <t>HÄRJEDALEN</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27679-2025</t>
        </is>
      </c>
      <c r="B487" s="1" t="n">
        <v>45813.64590277777</v>
      </c>
      <c r="C487" s="1" t="n">
        <v>46013</v>
      </c>
      <c r="D487" t="inlineStr">
        <is>
          <t>JÄMTLANDS LÄN</t>
        </is>
      </c>
      <c r="E487" t="inlineStr">
        <is>
          <t>HÄRJEDALEN</t>
        </is>
      </c>
      <c r="G487" t="n">
        <v>13.9</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46013</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41051-2025</t>
        </is>
      </c>
      <c r="B489" s="1" t="n">
        <v>45898.40267361111</v>
      </c>
      <c r="C489" s="1" t="n">
        <v>46013</v>
      </c>
      <c r="D489" t="inlineStr">
        <is>
          <t>JÄMTLANDS LÄN</t>
        </is>
      </c>
      <c r="E489" t="inlineStr">
        <is>
          <t>HÄRJEDALEN</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11528-2022</t>
        </is>
      </c>
      <c r="B490" s="1" t="n">
        <v>44631.37701388889</v>
      </c>
      <c r="C490" s="1" t="n">
        <v>46013</v>
      </c>
      <c r="D490" t="inlineStr">
        <is>
          <t>JÄMTLANDS LÄN</t>
        </is>
      </c>
      <c r="E490" t="inlineStr">
        <is>
          <t>HÄRJEDALEN</t>
        </is>
      </c>
      <c r="F490" t="inlineStr">
        <is>
          <t>Holmen skog AB</t>
        </is>
      </c>
      <c r="G490" t="n">
        <v>6.1</v>
      </c>
      <c r="H490" t="n">
        <v>0</v>
      </c>
      <c r="I490" t="n">
        <v>0</v>
      </c>
      <c r="J490" t="n">
        <v>0</v>
      </c>
      <c r="K490" t="n">
        <v>0</v>
      </c>
      <c r="L490" t="n">
        <v>0</v>
      </c>
      <c r="M490" t="n">
        <v>0</v>
      </c>
      <c r="N490" t="n">
        <v>0</v>
      </c>
      <c r="O490" t="n">
        <v>0</v>
      </c>
      <c r="P490" t="n">
        <v>0</v>
      </c>
      <c r="Q490" t="n">
        <v>0</v>
      </c>
      <c r="R490" s="2" t="inlineStr"/>
    </row>
    <row r="491" ht="15" customHeight="1">
      <c r="A491" t="inlineStr">
        <is>
          <t>A 11545-2022</t>
        </is>
      </c>
      <c r="B491" s="1" t="n">
        <v>44631.42353009259</v>
      </c>
      <c r="C491" s="1" t="n">
        <v>46013</v>
      </c>
      <c r="D491" t="inlineStr">
        <is>
          <t>JÄMTLANDS LÄN</t>
        </is>
      </c>
      <c r="E491" t="inlineStr">
        <is>
          <t>HÄRJEDALEN</t>
        </is>
      </c>
      <c r="F491" t="inlineStr">
        <is>
          <t>Holmen skog AB</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41070-2025</t>
        </is>
      </c>
      <c r="B492" s="1" t="n">
        <v>45898.41540509259</v>
      </c>
      <c r="C492" s="1" t="n">
        <v>46013</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60887-2022</t>
        </is>
      </c>
      <c r="B493" s="1" t="n">
        <v>44914</v>
      </c>
      <c r="C493" s="1" t="n">
        <v>46013</v>
      </c>
      <c r="D493" t="inlineStr">
        <is>
          <t>JÄMTLANDS LÄN</t>
        </is>
      </c>
      <c r="E493" t="inlineStr">
        <is>
          <t>HÄRJEDALEN</t>
        </is>
      </c>
      <c r="G493" t="n">
        <v>0.9</v>
      </c>
      <c r="H493" t="n">
        <v>0</v>
      </c>
      <c r="I493" t="n">
        <v>0</v>
      </c>
      <c r="J493" t="n">
        <v>0</v>
      </c>
      <c r="K493" t="n">
        <v>0</v>
      </c>
      <c r="L493" t="n">
        <v>0</v>
      </c>
      <c r="M493" t="n">
        <v>0</v>
      </c>
      <c r="N493" t="n">
        <v>0</v>
      </c>
      <c r="O493" t="n">
        <v>0</v>
      </c>
      <c r="P493" t="n">
        <v>0</v>
      </c>
      <c r="Q493" t="n">
        <v>0</v>
      </c>
      <c r="R493" s="2" t="inlineStr"/>
    </row>
    <row r="494" ht="15" customHeight="1">
      <c r="A494" t="inlineStr">
        <is>
          <t>A 27565-2025</t>
        </is>
      </c>
      <c r="B494" s="1" t="n">
        <v>45813.48734953703</v>
      </c>
      <c r="C494" s="1" t="n">
        <v>46013</v>
      </c>
      <c r="D494" t="inlineStr">
        <is>
          <t>JÄMTLANDS LÄN</t>
        </is>
      </c>
      <c r="E494" t="inlineStr">
        <is>
          <t>HÄRJEDALEN</t>
        </is>
      </c>
      <c r="G494" t="n">
        <v>2.1</v>
      </c>
      <c r="H494" t="n">
        <v>0</v>
      </c>
      <c r="I494" t="n">
        <v>0</v>
      </c>
      <c r="J494" t="n">
        <v>0</v>
      </c>
      <c r="K494" t="n">
        <v>0</v>
      </c>
      <c r="L494" t="n">
        <v>0</v>
      </c>
      <c r="M494" t="n">
        <v>0</v>
      </c>
      <c r="N494" t="n">
        <v>0</v>
      </c>
      <c r="O494" t="n">
        <v>0</v>
      </c>
      <c r="P494" t="n">
        <v>0</v>
      </c>
      <c r="Q494" t="n">
        <v>0</v>
      </c>
      <c r="R494" s="2" t="inlineStr"/>
    </row>
    <row r="495" ht="15" customHeight="1">
      <c r="A495" t="inlineStr">
        <is>
          <t>A 16176-2024</t>
        </is>
      </c>
      <c r="B495" s="1" t="n">
        <v>45406.64024305555</v>
      </c>
      <c r="C495" s="1" t="n">
        <v>46013</v>
      </c>
      <c r="D495" t="inlineStr">
        <is>
          <t>JÄMTLANDS LÄN</t>
        </is>
      </c>
      <c r="E495" t="inlineStr">
        <is>
          <t>HÄRJEDALEN</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51769-2024</t>
        </is>
      </c>
      <c r="B496" s="1" t="n">
        <v>45607.44832175926</v>
      </c>
      <c r="C496" s="1" t="n">
        <v>46013</v>
      </c>
      <c r="D496" t="inlineStr">
        <is>
          <t>JÄMTLANDS LÄN</t>
        </is>
      </c>
      <c r="E496" t="inlineStr">
        <is>
          <t>HÄRJEDALEN</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29431-2023</t>
        </is>
      </c>
      <c r="B497" s="1" t="n">
        <v>45106</v>
      </c>
      <c r="C497" s="1" t="n">
        <v>46013</v>
      </c>
      <c r="D497" t="inlineStr">
        <is>
          <t>JÄMTLANDS LÄN</t>
        </is>
      </c>
      <c r="E497" t="inlineStr">
        <is>
          <t>HÄRJEDALEN</t>
        </is>
      </c>
      <c r="F497" t="inlineStr">
        <is>
          <t>Bergvik skog väst AB</t>
        </is>
      </c>
      <c r="G497" t="n">
        <v>3</v>
      </c>
      <c r="H497" t="n">
        <v>0</v>
      </c>
      <c r="I497" t="n">
        <v>0</v>
      </c>
      <c r="J497" t="n">
        <v>0</v>
      </c>
      <c r="K497" t="n">
        <v>0</v>
      </c>
      <c r="L497" t="n">
        <v>0</v>
      </c>
      <c r="M497" t="n">
        <v>0</v>
      </c>
      <c r="N497" t="n">
        <v>0</v>
      </c>
      <c r="O497" t="n">
        <v>0</v>
      </c>
      <c r="P497" t="n">
        <v>0</v>
      </c>
      <c r="Q497" t="n">
        <v>0</v>
      </c>
      <c r="R497" s="2" t="inlineStr"/>
    </row>
    <row r="498" ht="15" customHeight="1">
      <c r="A498" t="inlineStr">
        <is>
          <t>A 20206-2022</t>
        </is>
      </c>
      <c r="B498" s="1" t="n">
        <v>44698</v>
      </c>
      <c r="C498" s="1" t="n">
        <v>46013</v>
      </c>
      <c r="D498" t="inlineStr">
        <is>
          <t>JÄMTLANDS LÄN</t>
        </is>
      </c>
      <c r="E498" t="inlineStr">
        <is>
          <t>HÄRJEDALEN</t>
        </is>
      </c>
      <c r="F498" t="inlineStr">
        <is>
          <t>Bergvik skog väst AB</t>
        </is>
      </c>
      <c r="G498" t="n">
        <v>5.8</v>
      </c>
      <c r="H498" t="n">
        <v>0</v>
      </c>
      <c r="I498" t="n">
        <v>0</v>
      </c>
      <c r="J498" t="n">
        <v>0</v>
      </c>
      <c r="K498" t="n">
        <v>0</v>
      </c>
      <c r="L498" t="n">
        <v>0</v>
      </c>
      <c r="M498" t="n">
        <v>0</v>
      </c>
      <c r="N498" t="n">
        <v>0</v>
      </c>
      <c r="O498" t="n">
        <v>0</v>
      </c>
      <c r="P498" t="n">
        <v>0</v>
      </c>
      <c r="Q498" t="n">
        <v>0</v>
      </c>
      <c r="R498" s="2" t="inlineStr"/>
    </row>
    <row r="499" ht="15" customHeight="1">
      <c r="A499" t="inlineStr">
        <is>
          <t>A 1398-2024</t>
        </is>
      </c>
      <c r="B499" s="1" t="n">
        <v>45303</v>
      </c>
      <c r="C499" s="1" t="n">
        <v>46013</v>
      </c>
      <c r="D499" t="inlineStr">
        <is>
          <t>JÄMTLANDS LÄN</t>
        </is>
      </c>
      <c r="E499" t="inlineStr">
        <is>
          <t>HÄRJEDALEN</t>
        </is>
      </c>
      <c r="G499" t="n">
        <v>6</v>
      </c>
      <c r="H499" t="n">
        <v>0</v>
      </c>
      <c r="I499" t="n">
        <v>0</v>
      </c>
      <c r="J499" t="n">
        <v>0</v>
      </c>
      <c r="K499" t="n">
        <v>0</v>
      </c>
      <c r="L499" t="n">
        <v>0</v>
      </c>
      <c r="M499" t="n">
        <v>0</v>
      </c>
      <c r="N499" t="n">
        <v>0</v>
      </c>
      <c r="O499" t="n">
        <v>0</v>
      </c>
      <c r="P499" t="n">
        <v>0</v>
      </c>
      <c r="Q499" t="n">
        <v>0</v>
      </c>
      <c r="R499" s="2" t="inlineStr"/>
    </row>
    <row r="500" ht="15" customHeight="1">
      <c r="A500" t="inlineStr">
        <is>
          <t>A 54364-2024</t>
        </is>
      </c>
      <c r="B500" s="1" t="n">
        <v>45617</v>
      </c>
      <c r="C500" s="1" t="n">
        <v>46013</v>
      </c>
      <c r="D500" t="inlineStr">
        <is>
          <t>JÄMTLANDS LÄN</t>
        </is>
      </c>
      <c r="E500" t="inlineStr">
        <is>
          <t>HÄRJEDALEN</t>
        </is>
      </c>
      <c r="F500" t="inlineStr">
        <is>
          <t>Holmen skog AB</t>
        </is>
      </c>
      <c r="G500" t="n">
        <v>41.1</v>
      </c>
      <c r="H500" t="n">
        <v>0</v>
      </c>
      <c r="I500" t="n">
        <v>0</v>
      </c>
      <c r="J500" t="n">
        <v>0</v>
      </c>
      <c r="K500" t="n">
        <v>0</v>
      </c>
      <c r="L500" t="n">
        <v>0</v>
      </c>
      <c r="M500" t="n">
        <v>0</v>
      </c>
      <c r="N500" t="n">
        <v>0</v>
      </c>
      <c r="O500" t="n">
        <v>0</v>
      </c>
      <c r="P500" t="n">
        <v>0</v>
      </c>
      <c r="Q500" t="n">
        <v>0</v>
      </c>
      <c r="R500" s="2" t="inlineStr"/>
    </row>
    <row r="501" ht="15" customHeight="1">
      <c r="A501" t="inlineStr">
        <is>
          <t>A 49792-2023</t>
        </is>
      </c>
      <c r="B501" s="1" t="n">
        <v>45212</v>
      </c>
      <c r="C501" s="1" t="n">
        <v>46013</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62719-2022</t>
        </is>
      </c>
      <c r="B502" s="1" t="n">
        <v>44925</v>
      </c>
      <c r="C502" s="1" t="n">
        <v>46013</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5098-2025</t>
        </is>
      </c>
      <c r="B503" s="1" t="n">
        <v>45691</v>
      </c>
      <c r="C503" s="1" t="n">
        <v>46013</v>
      </c>
      <c r="D503" t="inlineStr">
        <is>
          <t>JÄMTLANDS LÄN</t>
        </is>
      </c>
      <c r="E503" t="inlineStr">
        <is>
          <t>HÄRJEDALEN</t>
        </is>
      </c>
      <c r="F503" t="inlineStr">
        <is>
          <t>Holmen skog AB</t>
        </is>
      </c>
      <c r="G503" t="n">
        <v>15.2</v>
      </c>
      <c r="H503" t="n">
        <v>0</v>
      </c>
      <c r="I503" t="n">
        <v>0</v>
      </c>
      <c r="J503" t="n">
        <v>0</v>
      </c>
      <c r="K503" t="n">
        <v>0</v>
      </c>
      <c r="L503" t="n">
        <v>0</v>
      </c>
      <c r="M503" t="n">
        <v>0</v>
      </c>
      <c r="N503" t="n">
        <v>0</v>
      </c>
      <c r="O503" t="n">
        <v>0</v>
      </c>
      <c r="P503" t="n">
        <v>0</v>
      </c>
      <c r="Q503" t="n">
        <v>0</v>
      </c>
      <c r="R503" s="2" t="inlineStr"/>
    </row>
    <row r="504" ht="15" customHeight="1">
      <c r="A504" t="inlineStr">
        <is>
          <t>A 5102-2025</t>
        </is>
      </c>
      <c r="B504" s="1" t="n">
        <v>45691</v>
      </c>
      <c r="C504" s="1" t="n">
        <v>46013</v>
      </c>
      <c r="D504" t="inlineStr">
        <is>
          <t>JÄMTLANDS LÄN</t>
        </is>
      </c>
      <c r="E504" t="inlineStr">
        <is>
          <t>HÄRJEDALEN</t>
        </is>
      </c>
      <c r="F504" t="inlineStr">
        <is>
          <t>Holmen skog AB</t>
        </is>
      </c>
      <c r="G504" t="n">
        <v>19.3</v>
      </c>
      <c r="H504" t="n">
        <v>0</v>
      </c>
      <c r="I504" t="n">
        <v>0</v>
      </c>
      <c r="J504" t="n">
        <v>0</v>
      </c>
      <c r="K504" t="n">
        <v>0</v>
      </c>
      <c r="L504" t="n">
        <v>0</v>
      </c>
      <c r="M504" t="n">
        <v>0</v>
      </c>
      <c r="N504" t="n">
        <v>0</v>
      </c>
      <c r="O504" t="n">
        <v>0</v>
      </c>
      <c r="P504" t="n">
        <v>0</v>
      </c>
      <c r="Q504" t="n">
        <v>0</v>
      </c>
      <c r="R504" s="2" t="inlineStr"/>
    </row>
    <row r="505" ht="15" customHeight="1">
      <c r="A505" t="inlineStr">
        <is>
          <t>A 31586-2024</t>
        </is>
      </c>
      <c r="B505" s="1" t="n">
        <v>45506.3637962963</v>
      </c>
      <c r="C505" s="1" t="n">
        <v>46013</v>
      </c>
      <c r="D505" t="inlineStr">
        <is>
          <t>JÄMTLANDS LÄN</t>
        </is>
      </c>
      <c r="E505" t="inlineStr">
        <is>
          <t>HÄRJEDALEN</t>
        </is>
      </c>
      <c r="G505" t="n">
        <v>9</v>
      </c>
      <c r="H505" t="n">
        <v>0</v>
      </c>
      <c r="I505" t="n">
        <v>0</v>
      </c>
      <c r="J505" t="n">
        <v>0</v>
      </c>
      <c r="K505" t="n">
        <v>0</v>
      </c>
      <c r="L505" t="n">
        <v>0</v>
      </c>
      <c r="M505" t="n">
        <v>0</v>
      </c>
      <c r="N505" t="n">
        <v>0</v>
      </c>
      <c r="O505" t="n">
        <v>0</v>
      </c>
      <c r="P505" t="n">
        <v>0</v>
      </c>
      <c r="Q505" t="n">
        <v>0</v>
      </c>
      <c r="R505" s="2" t="inlineStr"/>
    </row>
    <row r="506" ht="15" customHeight="1">
      <c r="A506" t="inlineStr">
        <is>
          <t>A 41664-2025</t>
        </is>
      </c>
      <c r="B506" s="1" t="n">
        <v>45902.35612268518</v>
      </c>
      <c r="C506" s="1" t="n">
        <v>46013</v>
      </c>
      <c r="D506" t="inlineStr">
        <is>
          <t>JÄMTLANDS LÄN</t>
        </is>
      </c>
      <c r="E506" t="inlineStr">
        <is>
          <t>HÄRJEDALEN</t>
        </is>
      </c>
      <c r="F506" t="inlineStr">
        <is>
          <t>Holmen skog AB</t>
        </is>
      </c>
      <c r="G506" t="n">
        <v>18.7</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46013</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35253-2025</t>
        </is>
      </c>
      <c r="B508" s="1" t="n">
        <v>45853</v>
      </c>
      <c r="C508" s="1" t="n">
        <v>46013</v>
      </c>
      <c r="D508" t="inlineStr">
        <is>
          <t>JÄMTLANDS LÄN</t>
        </is>
      </c>
      <c r="E508" t="inlineStr">
        <is>
          <t>HÄRJEDALEN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41769-2025</t>
        </is>
      </c>
      <c r="B509" s="1" t="n">
        <v>45902.55119212963</v>
      </c>
      <c r="C509" s="1" t="n">
        <v>46013</v>
      </c>
      <c r="D509" t="inlineStr">
        <is>
          <t>JÄMTLANDS LÄN</t>
        </is>
      </c>
      <c r="E509" t="inlineStr">
        <is>
          <t>HÄRJEDALEN</t>
        </is>
      </c>
      <c r="G509" t="n">
        <v>0.7</v>
      </c>
      <c r="H509" t="n">
        <v>0</v>
      </c>
      <c r="I509" t="n">
        <v>0</v>
      </c>
      <c r="J509" t="n">
        <v>0</v>
      </c>
      <c r="K509" t="n">
        <v>0</v>
      </c>
      <c r="L509" t="n">
        <v>0</v>
      </c>
      <c r="M509" t="n">
        <v>0</v>
      </c>
      <c r="N509" t="n">
        <v>0</v>
      </c>
      <c r="O509" t="n">
        <v>0</v>
      </c>
      <c r="P509" t="n">
        <v>0</v>
      </c>
      <c r="Q509" t="n">
        <v>0</v>
      </c>
      <c r="R509" s="2" t="inlineStr"/>
    </row>
    <row r="510" ht="15" customHeight="1">
      <c r="A510" t="inlineStr">
        <is>
          <t>A 27820-2025</t>
        </is>
      </c>
      <c r="B510" s="1" t="n">
        <v>45817.33819444444</v>
      </c>
      <c r="C510" s="1" t="n">
        <v>46013</v>
      </c>
      <c r="D510" t="inlineStr">
        <is>
          <t>JÄMTLANDS LÄN</t>
        </is>
      </c>
      <c r="E510" t="inlineStr">
        <is>
          <t>HÄRJEDALEN</t>
        </is>
      </c>
      <c r="F510" t="inlineStr">
        <is>
          <t>Övriga statliga verk och myndigheter</t>
        </is>
      </c>
      <c r="G510" t="n">
        <v>42.8</v>
      </c>
      <c r="H510" t="n">
        <v>0</v>
      </c>
      <c r="I510" t="n">
        <v>0</v>
      </c>
      <c r="J510" t="n">
        <v>0</v>
      </c>
      <c r="K510" t="n">
        <v>0</v>
      </c>
      <c r="L510" t="n">
        <v>0</v>
      </c>
      <c r="M510" t="n">
        <v>0</v>
      </c>
      <c r="N510" t="n">
        <v>0</v>
      </c>
      <c r="O510" t="n">
        <v>0</v>
      </c>
      <c r="P510" t="n">
        <v>0</v>
      </c>
      <c r="Q510" t="n">
        <v>0</v>
      </c>
      <c r="R510" s="2" t="inlineStr"/>
    </row>
    <row r="511" ht="15" customHeight="1">
      <c r="A511" t="inlineStr">
        <is>
          <t>A 41821-2025</t>
        </is>
      </c>
      <c r="B511" s="1" t="n">
        <v>45902.66265046296</v>
      </c>
      <c r="C511" s="1" t="n">
        <v>46013</v>
      </c>
      <c r="D511" t="inlineStr">
        <is>
          <t>JÄMTLANDS LÄN</t>
        </is>
      </c>
      <c r="E511" t="inlineStr">
        <is>
          <t>HÄRJEDALEN</t>
        </is>
      </c>
      <c r="F511" t="inlineStr">
        <is>
          <t>Holmen skog AB</t>
        </is>
      </c>
      <c r="G511" t="n">
        <v>30</v>
      </c>
      <c r="H511" t="n">
        <v>0</v>
      </c>
      <c r="I511" t="n">
        <v>0</v>
      </c>
      <c r="J511" t="n">
        <v>0</v>
      </c>
      <c r="K511" t="n">
        <v>0</v>
      </c>
      <c r="L511" t="n">
        <v>0</v>
      </c>
      <c r="M511" t="n">
        <v>0</v>
      </c>
      <c r="N511" t="n">
        <v>0</v>
      </c>
      <c r="O511" t="n">
        <v>0</v>
      </c>
      <c r="P511" t="n">
        <v>0</v>
      </c>
      <c r="Q511" t="n">
        <v>0</v>
      </c>
      <c r="R511" s="2" t="inlineStr"/>
    </row>
    <row r="512" ht="15" customHeight="1">
      <c r="A512" t="inlineStr">
        <is>
          <t>A 28026-2025</t>
        </is>
      </c>
      <c r="B512" s="1" t="n">
        <v>45817.62439814815</v>
      </c>
      <c r="C512" s="1" t="n">
        <v>46013</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41491-2025</t>
        </is>
      </c>
      <c r="B513" s="1" t="n">
        <v>45901.4881712963</v>
      </c>
      <c r="C513" s="1" t="n">
        <v>46013</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2935-2025</t>
        </is>
      </c>
      <c r="B514" s="1" t="n">
        <v>45678.37956018518</v>
      </c>
      <c r="C514" s="1" t="n">
        <v>46013</v>
      </c>
      <c r="D514" t="inlineStr">
        <is>
          <t>JÄMTLANDS LÄN</t>
        </is>
      </c>
      <c r="E514" t="inlineStr">
        <is>
          <t>HÄRJEDALEN</t>
        </is>
      </c>
      <c r="G514" t="n">
        <v>1.7</v>
      </c>
      <c r="H514" t="n">
        <v>0</v>
      </c>
      <c r="I514" t="n">
        <v>0</v>
      </c>
      <c r="J514" t="n">
        <v>0</v>
      </c>
      <c r="K514" t="n">
        <v>0</v>
      </c>
      <c r="L514" t="n">
        <v>0</v>
      </c>
      <c r="M514" t="n">
        <v>0</v>
      </c>
      <c r="N514" t="n">
        <v>0</v>
      </c>
      <c r="O514" t="n">
        <v>0</v>
      </c>
      <c r="P514" t="n">
        <v>0</v>
      </c>
      <c r="Q514" t="n">
        <v>0</v>
      </c>
      <c r="R514" s="2" t="inlineStr"/>
    </row>
    <row r="515" ht="15" customHeight="1">
      <c r="A515" t="inlineStr">
        <is>
          <t>A 38507-2024</t>
        </is>
      </c>
      <c r="B515" s="1" t="n">
        <v>45546.54530092593</v>
      </c>
      <c r="C515" s="1" t="n">
        <v>46013</v>
      </c>
      <c r="D515" t="inlineStr">
        <is>
          <t>JÄMTLANDS LÄN</t>
        </is>
      </c>
      <c r="E515" t="inlineStr">
        <is>
          <t>HÄRJEDALEN</t>
        </is>
      </c>
      <c r="G515" t="n">
        <v>6.4</v>
      </c>
      <c r="H515" t="n">
        <v>0</v>
      </c>
      <c r="I515" t="n">
        <v>0</v>
      </c>
      <c r="J515" t="n">
        <v>0</v>
      </c>
      <c r="K515" t="n">
        <v>0</v>
      </c>
      <c r="L515" t="n">
        <v>0</v>
      </c>
      <c r="M515" t="n">
        <v>0</v>
      </c>
      <c r="N515" t="n">
        <v>0</v>
      </c>
      <c r="O515" t="n">
        <v>0</v>
      </c>
      <c r="P515" t="n">
        <v>0</v>
      </c>
      <c r="Q515" t="n">
        <v>0</v>
      </c>
      <c r="R515" s="2" t="inlineStr"/>
    </row>
    <row r="516" ht="15" customHeight="1">
      <c r="A516" t="inlineStr">
        <is>
          <t>A 31920-2024</t>
        </is>
      </c>
      <c r="B516" s="1" t="n">
        <v>45510</v>
      </c>
      <c r="C516" s="1" t="n">
        <v>46013</v>
      </c>
      <c r="D516" t="inlineStr">
        <is>
          <t>JÄMTLANDS LÄN</t>
        </is>
      </c>
      <c r="E516" t="inlineStr">
        <is>
          <t>HÄRJEDALEN</t>
        </is>
      </c>
      <c r="G516" t="n">
        <v>1</v>
      </c>
      <c r="H516" t="n">
        <v>0</v>
      </c>
      <c r="I516" t="n">
        <v>0</v>
      </c>
      <c r="J516" t="n">
        <v>0</v>
      </c>
      <c r="K516" t="n">
        <v>0</v>
      </c>
      <c r="L516" t="n">
        <v>0</v>
      </c>
      <c r="M516" t="n">
        <v>0</v>
      </c>
      <c r="N516" t="n">
        <v>0</v>
      </c>
      <c r="O516" t="n">
        <v>0</v>
      </c>
      <c r="P516" t="n">
        <v>0</v>
      </c>
      <c r="Q516" t="n">
        <v>0</v>
      </c>
      <c r="R516" s="2" t="inlineStr"/>
    </row>
    <row r="517" ht="15" customHeight="1">
      <c r="A517" t="inlineStr">
        <is>
          <t>A 43287-2024</t>
        </is>
      </c>
      <c r="B517" s="1" t="n">
        <v>45568</v>
      </c>
      <c r="C517" s="1" t="n">
        <v>46013</v>
      </c>
      <c r="D517" t="inlineStr">
        <is>
          <t>JÄMTLANDS LÄN</t>
        </is>
      </c>
      <c r="E517" t="inlineStr">
        <is>
          <t>HÄRJEDALEN</t>
        </is>
      </c>
      <c r="F517" t="inlineStr">
        <is>
          <t>SCA</t>
        </is>
      </c>
      <c r="G517" t="n">
        <v>19.7</v>
      </c>
      <c r="H517" t="n">
        <v>0</v>
      </c>
      <c r="I517" t="n">
        <v>0</v>
      </c>
      <c r="J517" t="n">
        <v>0</v>
      </c>
      <c r="K517" t="n">
        <v>0</v>
      </c>
      <c r="L517" t="n">
        <v>0</v>
      </c>
      <c r="M517" t="n">
        <v>0</v>
      </c>
      <c r="N517" t="n">
        <v>0</v>
      </c>
      <c r="O517" t="n">
        <v>0</v>
      </c>
      <c r="P517" t="n">
        <v>0</v>
      </c>
      <c r="Q517" t="n">
        <v>0</v>
      </c>
      <c r="R517" s="2" t="inlineStr"/>
    </row>
    <row r="518" ht="15" customHeight="1">
      <c r="A518" t="inlineStr">
        <is>
          <t>A 41788-2025</t>
        </is>
      </c>
      <c r="B518" s="1" t="n">
        <v>45902.59438657408</v>
      </c>
      <c r="C518" s="1" t="n">
        <v>46013</v>
      </c>
      <c r="D518" t="inlineStr">
        <is>
          <t>JÄMTLANDS LÄN</t>
        </is>
      </c>
      <c r="E518" t="inlineStr">
        <is>
          <t>HÄRJEDALEN</t>
        </is>
      </c>
      <c r="F518" t="inlineStr">
        <is>
          <t>SCA</t>
        </is>
      </c>
      <c r="G518" t="n">
        <v>9.9</v>
      </c>
      <c r="H518" t="n">
        <v>0</v>
      </c>
      <c r="I518" t="n">
        <v>0</v>
      </c>
      <c r="J518" t="n">
        <v>0</v>
      </c>
      <c r="K518" t="n">
        <v>0</v>
      </c>
      <c r="L518" t="n">
        <v>0</v>
      </c>
      <c r="M518" t="n">
        <v>0</v>
      </c>
      <c r="N518" t="n">
        <v>0</v>
      </c>
      <c r="O518" t="n">
        <v>0</v>
      </c>
      <c r="P518" t="n">
        <v>0</v>
      </c>
      <c r="Q518" t="n">
        <v>0</v>
      </c>
      <c r="R518" s="2" t="inlineStr"/>
    </row>
    <row r="519" ht="15" customHeight="1">
      <c r="A519" t="inlineStr">
        <is>
          <t>A 16842-2025</t>
        </is>
      </c>
      <c r="B519" s="1" t="n">
        <v>45754.67329861111</v>
      </c>
      <c r="C519" s="1" t="n">
        <v>46013</v>
      </c>
      <c r="D519" t="inlineStr">
        <is>
          <t>JÄMTLANDS LÄN</t>
        </is>
      </c>
      <c r="E519" t="inlineStr">
        <is>
          <t>HÄRJEDALEN</t>
        </is>
      </c>
      <c r="G519" t="n">
        <v>18.6</v>
      </c>
      <c r="H519" t="n">
        <v>0</v>
      </c>
      <c r="I519" t="n">
        <v>0</v>
      </c>
      <c r="J519" t="n">
        <v>0</v>
      </c>
      <c r="K519" t="n">
        <v>0</v>
      </c>
      <c r="L519" t="n">
        <v>0</v>
      </c>
      <c r="M519" t="n">
        <v>0</v>
      </c>
      <c r="N519" t="n">
        <v>0</v>
      </c>
      <c r="O519" t="n">
        <v>0</v>
      </c>
      <c r="P519" t="n">
        <v>0</v>
      </c>
      <c r="Q519" t="n">
        <v>0</v>
      </c>
      <c r="R519" s="2" t="inlineStr"/>
    </row>
    <row r="520" ht="15" customHeight="1">
      <c r="A520" t="inlineStr">
        <is>
          <t>A 55669-2024</t>
        </is>
      </c>
      <c r="B520" s="1" t="n">
        <v>45622.64627314815</v>
      </c>
      <c r="C520" s="1" t="n">
        <v>46013</v>
      </c>
      <c r="D520" t="inlineStr">
        <is>
          <t>JÄMTLANDS LÄN</t>
        </is>
      </c>
      <c r="E520" t="inlineStr">
        <is>
          <t>HÄRJEDALEN</t>
        </is>
      </c>
      <c r="G520" t="n">
        <v>1.7</v>
      </c>
      <c r="H520" t="n">
        <v>0</v>
      </c>
      <c r="I520" t="n">
        <v>0</v>
      </c>
      <c r="J520" t="n">
        <v>0</v>
      </c>
      <c r="K520" t="n">
        <v>0</v>
      </c>
      <c r="L520" t="n">
        <v>0</v>
      </c>
      <c r="M520" t="n">
        <v>0</v>
      </c>
      <c r="N520" t="n">
        <v>0</v>
      </c>
      <c r="O520" t="n">
        <v>0</v>
      </c>
      <c r="P520" t="n">
        <v>0</v>
      </c>
      <c r="Q520" t="n">
        <v>0</v>
      </c>
      <c r="R520" s="2" t="inlineStr"/>
    </row>
    <row r="521" ht="15" customHeight="1">
      <c r="A521" t="inlineStr">
        <is>
          <t>A 42189-2025</t>
        </is>
      </c>
      <c r="B521" s="1" t="n">
        <v>45904.47059027778</v>
      </c>
      <c r="C521" s="1" t="n">
        <v>46013</v>
      </c>
      <c r="D521" t="inlineStr">
        <is>
          <t>JÄMTLANDS LÄN</t>
        </is>
      </c>
      <c r="E521" t="inlineStr">
        <is>
          <t>HÄRJEDALEN</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42271-2025</t>
        </is>
      </c>
      <c r="B522" s="1" t="n">
        <v>45904.60483796296</v>
      </c>
      <c r="C522" s="1" t="n">
        <v>46013</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4590-2025</t>
        </is>
      </c>
      <c r="B523" s="1" t="n">
        <v>45687.53689814815</v>
      </c>
      <c r="C523" s="1" t="n">
        <v>46013</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42504-2025</t>
        </is>
      </c>
      <c r="B524" s="1" t="n">
        <v>45904</v>
      </c>
      <c r="C524" s="1" t="n">
        <v>46013</v>
      </c>
      <c r="D524" t="inlineStr">
        <is>
          <t>JÄMTLANDS LÄN</t>
        </is>
      </c>
      <c r="E524" t="inlineStr">
        <is>
          <t>HÄRJEDALEN</t>
        </is>
      </c>
      <c r="F524" t="inlineStr">
        <is>
          <t>Bergvik skog väst AB</t>
        </is>
      </c>
      <c r="G524" t="n">
        <v>6.4</v>
      </c>
      <c r="H524" t="n">
        <v>0</v>
      </c>
      <c r="I524" t="n">
        <v>0</v>
      </c>
      <c r="J524" t="n">
        <v>0</v>
      </c>
      <c r="K524" t="n">
        <v>0</v>
      </c>
      <c r="L524" t="n">
        <v>0</v>
      </c>
      <c r="M524" t="n">
        <v>0</v>
      </c>
      <c r="N524" t="n">
        <v>0</v>
      </c>
      <c r="O524" t="n">
        <v>0</v>
      </c>
      <c r="P524" t="n">
        <v>0</v>
      </c>
      <c r="Q524" t="n">
        <v>0</v>
      </c>
      <c r="R524" s="2" t="inlineStr"/>
    </row>
    <row r="525" ht="15" customHeight="1">
      <c r="A525" t="inlineStr">
        <is>
          <t>A 30499-2025</t>
        </is>
      </c>
      <c r="B525" s="1" t="n">
        <v>45830</v>
      </c>
      <c r="C525" s="1" t="n">
        <v>46013</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42163-2025</t>
        </is>
      </c>
      <c r="B526" s="1" t="n">
        <v>45904.41844907407</v>
      </c>
      <c r="C526" s="1" t="n">
        <v>46013</v>
      </c>
      <c r="D526" t="inlineStr">
        <is>
          <t>JÄMTLANDS LÄN</t>
        </is>
      </c>
      <c r="E526" t="inlineStr">
        <is>
          <t>HÄRJEDALEN</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42032-2025</t>
        </is>
      </c>
      <c r="B527" s="1" t="n">
        <v>45903.6066087963</v>
      </c>
      <c r="C527" s="1" t="n">
        <v>46013</v>
      </c>
      <c r="D527" t="inlineStr">
        <is>
          <t>JÄMTLANDS LÄN</t>
        </is>
      </c>
      <c r="E527" t="inlineStr">
        <is>
          <t>HÄRJEDALEN</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19677-2024</t>
        </is>
      </c>
      <c r="B528" s="1" t="n">
        <v>45432</v>
      </c>
      <c r="C528" s="1" t="n">
        <v>46013</v>
      </c>
      <c r="D528" t="inlineStr">
        <is>
          <t>JÄMTLANDS LÄN</t>
        </is>
      </c>
      <c r="E528" t="inlineStr">
        <is>
          <t>HÄRJEDALEN</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42031-2025</t>
        </is>
      </c>
      <c r="B529" s="1" t="n">
        <v>45903.60319444445</v>
      </c>
      <c r="C529" s="1" t="n">
        <v>46013</v>
      </c>
      <c r="D529" t="inlineStr">
        <is>
          <t>JÄMTLANDS LÄN</t>
        </is>
      </c>
      <c r="E529" t="inlineStr">
        <is>
          <t>HÄRJEDALEN</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7731-2021</t>
        </is>
      </c>
      <c r="B530" s="1" t="n">
        <v>44242</v>
      </c>
      <c r="C530" s="1" t="n">
        <v>46013</v>
      </c>
      <c r="D530" t="inlineStr">
        <is>
          <t>JÄMTLANDS LÄN</t>
        </is>
      </c>
      <c r="E530" t="inlineStr">
        <is>
          <t>HÄRJEDALEN</t>
        </is>
      </c>
      <c r="G530" t="n">
        <v>13.6</v>
      </c>
      <c r="H530" t="n">
        <v>0</v>
      </c>
      <c r="I530" t="n">
        <v>0</v>
      </c>
      <c r="J530" t="n">
        <v>0</v>
      </c>
      <c r="K530" t="n">
        <v>0</v>
      </c>
      <c r="L530" t="n">
        <v>0</v>
      </c>
      <c r="M530" t="n">
        <v>0</v>
      </c>
      <c r="N530" t="n">
        <v>0</v>
      </c>
      <c r="O530" t="n">
        <v>0</v>
      </c>
      <c r="P530" t="n">
        <v>0</v>
      </c>
      <c r="Q530" t="n">
        <v>0</v>
      </c>
      <c r="R530" s="2" t="inlineStr"/>
    </row>
    <row r="531" ht="15" customHeight="1">
      <c r="A531" t="inlineStr">
        <is>
          <t>A 1954-2023</t>
        </is>
      </c>
      <c r="B531" s="1" t="n">
        <v>44939.45376157408</v>
      </c>
      <c r="C531" s="1" t="n">
        <v>46013</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46013</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29187-2025</t>
        </is>
      </c>
      <c r="B533" s="1" t="n">
        <v>45821.77903935185</v>
      </c>
      <c r="C533" s="1" t="n">
        <v>46013</v>
      </c>
      <c r="D533" t="inlineStr">
        <is>
          <t>JÄMTLANDS LÄN</t>
        </is>
      </c>
      <c r="E533" t="inlineStr">
        <is>
          <t>HÄRJEDALEN</t>
        </is>
      </c>
      <c r="G533" t="n">
        <v>7.5</v>
      </c>
      <c r="H533" t="n">
        <v>0</v>
      </c>
      <c r="I533" t="n">
        <v>0</v>
      </c>
      <c r="J533" t="n">
        <v>0</v>
      </c>
      <c r="K533" t="n">
        <v>0</v>
      </c>
      <c r="L533" t="n">
        <v>0</v>
      </c>
      <c r="M533" t="n">
        <v>0</v>
      </c>
      <c r="N533" t="n">
        <v>0</v>
      </c>
      <c r="O533" t="n">
        <v>0</v>
      </c>
      <c r="P533" t="n">
        <v>0</v>
      </c>
      <c r="Q533" t="n">
        <v>0</v>
      </c>
      <c r="R533" s="2" t="inlineStr"/>
    </row>
    <row r="534" ht="15" customHeight="1">
      <c r="A534" t="inlineStr">
        <is>
          <t>A 11818-2023</t>
        </is>
      </c>
      <c r="B534" s="1" t="n">
        <v>44994</v>
      </c>
      <c r="C534" s="1" t="n">
        <v>46013</v>
      </c>
      <c r="D534" t="inlineStr">
        <is>
          <t>JÄMTLANDS LÄN</t>
        </is>
      </c>
      <c r="E534" t="inlineStr">
        <is>
          <t>HÄRJEDALEN</t>
        </is>
      </c>
      <c r="G534" t="n">
        <v>8.9</v>
      </c>
      <c r="H534" t="n">
        <v>0</v>
      </c>
      <c r="I534" t="n">
        <v>0</v>
      </c>
      <c r="J534" t="n">
        <v>0</v>
      </c>
      <c r="K534" t="n">
        <v>0</v>
      </c>
      <c r="L534" t="n">
        <v>0</v>
      </c>
      <c r="M534" t="n">
        <v>0</v>
      </c>
      <c r="N534" t="n">
        <v>0</v>
      </c>
      <c r="O534" t="n">
        <v>0</v>
      </c>
      <c r="P534" t="n">
        <v>0</v>
      </c>
      <c r="Q534" t="n">
        <v>0</v>
      </c>
      <c r="R534" s="2" t="inlineStr"/>
    </row>
    <row r="535" ht="15" customHeight="1">
      <c r="A535" t="inlineStr">
        <is>
          <t>A 30498-2025</t>
        </is>
      </c>
      <c r="B535" s="1" t="n">
        <v>45830</v>
      </c>
      <c r="C535" s="1" t="n">
        <v>46013</v>
      </c>
      <c r="D535" t="inlineStr">
        <is>
          <t>JÄMTLANDS LÄN</t>
        </is>
      </c>
      <c r="E535" t="inlineStr">
        <is>
          <t>HÄRJEDALEN</t>
        </is>
      </c>
      <c r="G535" t="n">
        <v>0.8</v>
      </c>
      <c r="H535" t="n">
        <v>0</v>
      </c>
      <c r="I535" t="n">
        <v>0</v>
      </c>
      <c r="J535" t="n">
        <v>0</v>
      </c>
      <c r="K535" t="n">
        <v>0</v>
      </c>
      <c r="L535" t="n">
        <v>0</v>
      </c>
      <c r="M535" t="n">
        <v>0</v>
      </c>
      <c r="N535" t="n">
        <v>0</v>
      </c>
      <c r="O535" t="n">
        <v>0</v>
      </c>
      <c r="P535" t="n">
        <v>0</v>
      </c>
      <c r="Q535" t="n">
        <v>0</v>
      </c>
      <c r="R535" s="2" t="inlineStr"/>
    </row>
    <row r="536" ht="15" customHeight="1">
      <c r="A536" t="inlineStr">
        <is>
          <t>A 30500-2025</t>
        </is>
      </c>
      <c r="B536" s="1" t="n">
        <v>45830</v>
      </c>
      <c r="C536" s="1" t="n">
        <v>46013</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29102-2025</t>
        </is>
      </c>
      <c r="B537" s="1" t="n">
        <v>45821.57201388889</v>
      </c>
      <c r="C537" s="1" t="n">
        <v>46013</v>
      </c>
      <c r="D537" t="inlineStr">
        <is>
          <t>JÄMTLANDS LÄN</t>
        </is>
      </c>
      <c r="E537" t="inlineStr">
        <is>
          <t>HÄRJEDALEN</t>
        </is>
      </c>
      <c r="F537" t="inlineStr">
        <is>
          <t>Sveaskog</t>
        </is>
      </c>
      <c r="G537" t="n">
        <v>5.5</v>
      </c>
      <c r="H537" t="n">
        <v>0</v>
      </c>
      <c r="I537" t="n">
        <v>0</v>
      </c>
      <c r="J537" t="n">
        <v>0</v>
      </c>
      <c r="K537" t="n">
        <v>0</v>
      </c>
      <c r="L537" t="n">
        <v>0</v>
      </c>
      <c r="M537" t="n">
        <v>0</v>
      </c>
      <c r="N537" t="n">
        <v>0</v>
      </c>
      <c r="O537" t="n">
        <v>0</v>
      </c>
      <c r="P537" t="n">
        <v>0</v>
      </c>
      <c r="Q537" t="n">
        <v>0</v>
      </c>
      <c r="R537" s="2" t="inlineStr"/>
    </row>
    <row r="538" ht="15" customHeight="1">
      <c r="A538" t="inlineStr">
        <is>
          <t>A 30501-2025</t>
        </is>
      </c>
      <c r="B538" s="1" t="n">
        <v>45830</v>
      </c>
      <c r="C538" s="1" t="n">
        <v>46013</v>
      </c>
      <c r="D538" t="inlineStr">
        <is>
          <t>JÄMTLANDS LÄN</t>
        </is>
      </c>
      <c r="E538" t="inlineStr">
        <is>
          <t>HÄRJEDALEN</t>
        </is>
      </c>
      <c r="G538" t="n">
        <v>17</v>
      </c>
      <c r="H538" t="n">
        <v>0</v>
      </c>
      <c r="I538" t="n">
        <v>0</v>
      </c>
      <c r="J538" t="n">
        <v>0</v>
      </c>
      <c r="K538" t="n">
        <v>0</v>
      </c>
      <c r="L538" t="n">
        <v>0</v>
      </c>
      <c r="M538" t="n">
        <v>0</v>
      </c>
      <c r="N538" t="n">
        <v>0</v>
      </c>
      <c r="O538" t="n">
        <v>0</v>
      </c>
      <c r="P538" t="n">
        <v>0</v>
      </c>
      <c r="Q538" t="n">
        <v>0</v>
      </c>
      <c r="R538" s="2" t="inlineStr"/>
    </row>
    <row r="539" ht="15" customHeight="1">
      <c r="A539" t="inlineStr">
        <is>
          <t>A 45363-2024</t>
        </is>
      </c>
      <c r="B539" s="1" t="n">
        <v>45576.48657407407</v>
      </c>
      <c r="C539" s="1" t="n">
        <v>46013</v>
      </c>
      <c r="D539" t="inlineStr">
        <is>
          <t>JÄMTLANDS LÄN</t>
        </is>
      </c>
      <c r="E539" t="inlineStr">
        <is>
          <t>HÄRJEDALEN</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23446-2025</t>
        </is>
      </c>
      <c r="B540" s="1" t="n">
        <v>45791</v>
      </c>
      <c r="C540" s="1" t="n">
        <v>46013</v>
      </c>
      <c r="D540" t="inlineStr">
        <is>
          <t>JÄMTLANDS LÄN</t>
        </is>
      </c>
      <c r="E540" t="inlineStr">
        <is>
          <t>HÄRJEDALEN</t>
        </is>
      </c>
      <c r="G540" t="n">
        <v>20.5</v>
      </c>
      <c r="H540" t="n">
        <v>0</v>
      </c>
      <c r="I540" t="n">
        <v>0</v>
      </c>
      <c r="J540" t="n">
        <v>0</v>
      </c>
      <c r="K540" t="n">
        <v>0</v>
      </c>
      <c r="L540" t="n">
        <v>0</v>
      </c>
      <c r="M540" t="n">
        <v>0</v>
      </c>
      <c r="N540" t="n">
        <v>0</v>
      </c>
      <c r="O540" t="n">
        <v>0</v>
      </c>
      <c r="P540" t="n">
        <v>0</v>
      </c>
      <c r="Q540" t="n">
        <v>0</v>
      </c>
      <c r="R540" s="2" t="inlineStr"/>
    </row>
    <row r="541" ht="15" customHeight="1">
      <c r="A541" t="inlineStr">
        <is>
          <t>A 42729-2025</t>
        </is>
      </c>
      <c r="B541" s="1" t="n">
        <v>45908.40557870371</v>
      </c>
      <c r="C541" s="1" t="n">
        <v>46013</v>
      </c>
      <c r="D541" t="inlineStr">
        <is>
          <t>JÄMTLANDS LÄN</t>
        </is>
      </c>
      <c r="E541" t="inlineStr">
        <is>
          <t>HÄRJEDALEN</t>
        </is>
      </c>
      <c r="G541" t="n">
        <v>6.2</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46013</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42773-2025</t>
        </is>
      </c>
      <c r="B543" s="1" t="n">
        <v>45908.48638888889</v>
      </c>
      <c r="C543" s="1" t="n">
        <v>46013</v>
      </c>
      <c r="D543" t="inlineStr">
        <is>
          <t>JÄMTLANDS LÄN</t>
        </is>
      </c>
      <c r="E543" t="inlineStr">
        <is>
          <t>HÄRJEDALEN</t>
        </is>
      </c>
      <c r="F543" t="inlineStr">
        <is>
          <t>Holmen skog AB</t>
        </is>
      </c>
      <c r="G543" t="n">
        <v>13.2</v>
      </c>
      <c r="H543" t="n">
        <v>0</v>
      </c>
      <c r="I543" t="n">
        <v>0</v>
      </c>
      <c r="J543" t="n">
        <v>0</v>
      </c>
      <c r="K543" t="n">
        <v>0</v>
      </c>
      <c r="L543" t="n">
        <v>0</v>
      </c>
      <c r="M543" t="n">
        <v>0</v>
      </c>
      <c r="N543" t="n">
        <v>0</v>
      </c>
      <c r="O543" t="n">
        <v>0</v>
      </c>
      <c r="P543" t="n">
        <v>0</v>
      </c>
      <c r="Q543" t="n">
        <v>0</v>
      </c>
      <c r="R543" s="2" t="inlineStr"/>
      <c r="U543">
        <f>HYPERLINK("https://klasma.github.io/Logging_2361/knärot/A 42773-2025 karta knärot.png", "A 42773-2025")</f>
        <v/>
      </c>
      <c r="V543">
        <f>HYPERLINK("https://klasma.github.io/Logging_2361/klagomål/A 42773-2025 FSC-klagomål.docx", "A 42773-2025")</f>
        <v/>
      </c>
      <c r="W543">
        <f>HYPERLINK("https://klasma.github.io/Logging_2361/klagomålsmail/A 42773-2025 FSC-klagomål mail.docx", "A 42773-2025")</f>
        <v/>
      </c>
      <c r="X543">
        <f>HYPERLINK("https://klasma.github.io/Logging_2361/tillsyn/A 42773-2025 tillsynsbegäran.docx", "A 42773-2025")</f>
        <v/>
      </c>
      <c r="Y543">
        <f>HYPERLINK("https://klasma.github.io/Logging_2361/tillsynsmail/A 42773-2025 tillsynsbegäran mail.docx", "A 42773-2025")</f>
        <v/>
      </c>
    </row>
    <row r="544" ht="15" customHeight="1">
      <c r="A544" t="inlineStr">
        <is>
          <t>A 42816-2025</t>
        </is>
      </c>
      <c r="B544" s="1" t="n">
        <v>45908.56461805556</v>
      </c>
      <c r="C544" s="1" t="n">
        <v>46013</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42605-2025</t>
        </is>
      </c>
      <c r="B545" s="1" t="n">
        <v>45905.67454861111</v>
      </c>
      <c r="C545" s="1" t="n">
        <v>46013</v>
      </c>
      <c r="D545" t="inlineStr">
        <is>
          <t>JÄMTLANDS LÄN</t>
        </is>
      </c>
      <c r="E545" t="inlineStr">
        <is>
          <t>HÄRJEDALEN</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41604-2024</t>
        </is>
      </c>
      <c r="B546" s="1" t="n">
        <v>45560</v>
      </c>
      <c r="C546" s="1" t="n">
        <v>46013</v>
      </c>
      <c r="D546" t="inlineStr">
        <is>
          <t>JÄMTLANDS LÄN</t>
        </is>
      </c>
      <c r="E546" t="inlineStr">
        <is>
          <t>HÄRJEDALEN</t>
        </is>
      </c>
      <c r="G546" t="n">
        <v>6.3</v>
      </c>
      <c r="H546" t="n">
        <v>0</v>
      </c>
      <c r="I546" t="n">
        <v>0</v>
      </c>
      <c r="J546" t="n">
        <v>0</v>
      </c>
      <c r="K546" t="n">
        <v>0</v>
      </c>
      <c r="L546" t="n">
        <v>0</v>
      </c>
      <c r="M546" t="n">
        <v>0</v>
      </c>
      <c r="N546" t="n">
        <v>0</v>
      </c>
      <c r="O546" t="n">
        <v>0</v>
      </c>
      <c r="P546" t="n">
        <v>0</v>
      </c>
      <c r="Q546" t="n">
        <v>0</v>
      </c>
      <c r="R546" s="2" t="inlineStr"/>
    </row>
    <row r="547" ht="15" customHeight="1">
      <c r="A547" t="inlineStr">
        <is>
          <t>A 29927-2025</t>
        </is>
      </c>
      <c r="B547" s="1" t="n">
        <v>45826.43267361111</v>
      </c>
      <c r="C547" s="1" t="n">
        <v>46013</v>
      </c>
      <c r="D547" t="inlineStr">
        <is>
          <t>JÄMTLANDS LÄN</t>
        </is>
      </c>
      <c r="E547" t="inlineStr">
        <is>
          <t>HÄRJEDALEN</t>
        </is>
      </c>
      <c r="F547" t="inlineStr">
        <is>
          <t>Bergvik skog väst AB</t>
        </is>
      </c>
      <c r="G547" t="n">
        <v>12.8</v>
      </c>
      <c r="H547" t="n">
        <v>0</v>
      </c>
      <c r="I547" t="n">
        <v>0</v>
      </c>
      <c r="J547" t="n">
        <v>0</v>
      </c>
      <c r="K547" t="n">
        <v>0</v>
      </c>
      <c r="L547" t="n">
        <v>0</v>
      </c>
      <c r="M547" t="n">
        <v>0</v>
      </c>
      <c r="N547" t="n">
        <v>0</v>
      </c>
      <c r="O547" t="n">
        <v>0</v>
      </c>
      <c r="P547" t="n">
        <v>0</v>
      </c>
      <c r="Q547" t="n">
        <v>0</v>
      </c>
      <c r="R547" s="2" t="inlineStr"/>
    </row>
    <row r="548" ht="15" customHeight="1">
      <c r="A548" t="inlineStr">
        <is>
          <t>A 61571-2022</t>
        </is>
      </c>
      <c r="B548" s="1" t="n">
        <v>44916</v>
      </c>
      <c r="C548" s="1" t="n">
        <v>46013</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45409-2021</t>
        </is>
      </c>
      <c r="B549" s="1" t="n">
        <v>44440</v>
      </c>
      <c r="C549" s="1" t="n">
        <v>46013</v>
      </c>
      <c r="D549" t="inlineStr">
        <is>
          <t>JÄMTLANDS LÄN</t>
        </is>
      </c>
      <c r="E549" t="inlineStr">
        <is>
          <t>HÄRJEDALEN</t>
        </is>
      </c>
      <c r="G549" t="n">
        <v>18.9</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46013</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8420-2023</t>
        </is>
      </c>
      <c r="B551" s="1" t="n">
        <v>44977.44643518519</v>
      </c>
      <c r="C551" s="1" t="n">
        <v>46013</v>
      </c>
      <c r="D551" t="inlineStr">
        <is>
          <t>JÄMTLANDS LÄN</t>
        </is>
      </c>
      <c r="E551" t="inlineStr">
        <is>
          <t>HÄRJEDALEN</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42815-2025</t>
        </is>
      </c>
      <c r="B552" s="1" t="n">
        <v>45908.56354166667</v>
      </c>
      <c r="C552" s="1" t="n">
        <v>46013</v>
      </c>
      <c r="D552" t="inlineStr">
        <is>
          <t>JÄMTLANDS LÄN</t>
        </is>
      </c>
      <c r="E552" t="inlineStr">
        <is>
          <t>HÄRJEDALEN</t>
        </is>
      </c>
      <c r="G552" t="n">
        <v>2.7</v>
      </c>
      <c r="H552" t="n">
        <v>0</v>
      </c>
      <c r="I552" t="n">
        <v>0</v>
      </c>
      <c r="J552" t="n">
        <v>0</v>
      </c>
      <c r="K552" t="n">
        <v>0</v>
      </c>
      <c r="L552" t="n">
        <v>0</v>
      </c>
      <c r="M552" t="n">
        <v>0</v>
      </c>
      <c r="N552" t="n">
        <v>0</v>
      </c>
      <c r="O552" t="n">
        <v>0</v>
      </c>
      <c r="P552" t="n">
        <v>0</v>
      </c>
      <c r="Q552" t="n">
        <v>0</v>
      </c>
      <c r="R552" s="2" t="inlineStr"/>
    </row>
    <row r="553" ht="15" customHeight="1">
      <c r="A553" t="inlineStr">
        <is>
          <t>A 30255-2025</t>
        </is>
      </c>
      <c r="B553" s="1" t="n">
        <v>45827.42467592593</v>
      </c>
      <c r="C553" s="1" t="n">
        <v>46013</v>
      </c>
      <c r="D553" t="inlineStr">
        <is>
          <t>JÄMTLANDS LÄN</t>
        </is>
      </c>
      <c r="E553" t="inlineStr">
        <is>
          <t>HÄRJEDALEN</t>
        </is>
      </c>
      <c r="F553" t="inlineStr">
        <is>
          <t>Holmen skog AB</t>
        </is>
      </c>
      <c r="G553" t="n">
        <v>2.3</v>
      </c>
      <c r="H553" t="n">
        <v>0</v>
      </c>
      <c r="I553" t="n">
        <v>0</v>
      </c>
      <c r="J553" t="n">
        <v>0</v>
      </c>
      <c r="K553" t="n">
        <v>0</v>
      </c>
      <c r="L553" t="n">
        <v>0</v>
      </c>
      <c r="M553" t="n">
        <v>0</v>
      </c>
      <c r="N553" t="n">
        <v>0</v>
      </c>
      <c r="O553" t="n">
        <v>0</v>
      </c>
      <c r="P553" t="n">
        <v>0</v>
      </c>
      <c r="Q553" t="n">
        <v>0</v>
      </c>
      <c r="R553" s="2" t="inlineStr"/>
    </row>
    <row r="554" ht="15" customHeight="1">
      <c r="A554" t="inlineStr">
        <is>
          <t>A 4694-2023</t>
        </is>
      </c>
      <c r="B554" s="1" t="n">
        <v>44957</v>
      </c>
      <c r="C554" s="1" t="n">
        <v>46013</v>
      </c>
      <c r="D554" t="inlineStr">
        <is>
          <t>JÄMTLANDS LÄN</t>
        </is>
      </c>
      <c r="E554" t="inlineStr">
        <is>
          <t>HÄRJEDALEN</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28906-2025</t>
        </is>
      </c>
      <c r="B555" s="1" t="n">
        <v>45820.64821759259</v>
      </c>
      <c r="C555" s="1" t="n">
        <v>46013</v>
      </c>
      <c r="D555" t="inlineStr">
        <is>
          <t>JÄMTLANDS LÄN</t>
        </is>
      </c>
      <c r="E555" t="inlineStr">
        <is>
          <t>HÄRJEDALEN</t>
        </is>
      </c>
      <c r="G555" t="n">
        <v>29.4</v>
      </c>
      <c r="H555" t="n">
        <v>0</v>
      </c>
      <c r="I555" t="n">
        <v>0</v>
      </c>
      <c r="J555" t="n">
        <v>0</v>
      </c>
      <c r="K555" t="n">
        <v>0</v>
      </c>
      <c r="L555" t="n">
        <v>0</v>
      </c>
      <c r="M555" t="n">
        <v>0</v>
      </c>
      <c r="N555" t="n">
        <v>0</v>
      </c>
      <c r="O555" t="n">
        <v>0</v>
      </c>
      <c r="P555" t="n">
        <v>0</v>
      </c>
      <c r="Q555" t="n">
        <v>0</v>
      </c>
      <c r="R555" s="2" t="inlineStr"/>
    </row>
    <row r="556" ht="15" customHeight="1">
      <c r="A556" t="inlineStr">
        <is>
          <t>A 42805-2025</t>
        </is>
      </c>
      <c r="B556" s="1" t="n">
        <v>45908.54806712963</v>
      </c>
      <c r="C556" s="1" t="n">
        <v>46013</v>
      </c>
      <c r="D556" t="inlineStr">
        <is>
          <t>JÄMTLANDS LÄN</t>
        </is>
      </c>
      <c r="E556" t="inlineStr">
        <is>
          <t>HÄRJEDALEN</t>
        </is>
      </c>
      <c r="G556" t="n">
        <v>9.9</v>
      </c>
      <c r="H556" t="n">
        <v>0</v>
      </c>
      <c r="I556" t="n">
        <v>0</v>
      </c>
      <c r="J556" t="n">
        <v>0</v>
      </c>
      <c r="K556" t="n">
        <v>0</v>
      </c>
      <c r="L556" t="n">
        <v>0</v>
      </c>
      <c r="M556" t="n">
        <v>0</v>
      </c>
      <c r="N556" t="n">
        <v>0</v>
      </c>
      <c r="O556" t="n">
        <v>0</v>
      </c>
      <c r="P556" t="n">
        <v>0</v>
      </c>
      <c r="Q556" t="n">
        <v>0</v>
      </c>
      <c r="R556" s="2" t="inlineStr"/>
    </row>
    <row r="557" ht="15" customHeight="1">
      <c r="A557" t="inlineStr">
        <is>
          <t>A 30363-2025</t>
        </is>
      </c>
      <c r="B557" s="1" t="n">
        <v>45827</v>
      </c>
      <c r="C557" s="1" t="n">
        <v>46013</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42963-2025</t>
        </is>
      </c>
      <c r="B558" s="1" t="n">
        <v>45909.37046296296</v>
      </c>
      <c r="C558" s="1" t="n">
        <v>46013</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30251-2025</t>
        </is>
      </c>
      <c r="B559" s="1" t="n">
        <v>45827.41753472222</v>
      </c>
      <c r="C559" s="1" t="n">
        <v>46013</v>
      </c>
      <c r="D559" t="inlineStr">
        <is>
          <t>JÄMTLANDS LÄN</t>
        </is>
      </c>
      <c r="E559" t="inlineStr">
        <is>
          <t>HÄRJEDALEN</t>
        </is>
      </c>
      <c r="F559" t="inlineStr">
        <is>
          <t>Bergvik skog väst AB</t>
        </is>
      </c>
      <c r="G559" t="n">
        <v>32.1</v>
      </c>
      <c r="H559" t="n">
        <v>0</v>
      </c>
      <c r="I559" t="n">
        <v>0</v>
      </c>
      <c r="J559" t="n">
        <v>0</v>
      </c>
      <c r="K559" t="n">
        <v>0</v>
      </c>
      <c r="L559" t="n">
        <v>0</v>
      </c>
      <c r="M559" t="n">
        <v>0</v>
      </c>
      <c r="N559" t="n">
        <v>0</v>
      </c>
      <c r="O559" t="n">
        <v>0</v>
      </c>
      <c r="P559" t="n">
        <v>0</v>
      </c>
      <c r="Q559" t="n">
        <v>0</v>
      </c>
      <c r="R559" s="2" t="inlineStr"/>
    </row>
    <row r="560" ht="15" customHeight="1">
      <c r="A560" t="inlineStr">
        <is>
          <t>A 43323-2025</t>
        </is>
      </c>
      <c r="B560" s="1" t="n">
        <v>45910.66498842592</v>
      </c>
      <c r="C560" s="1" t="n">
        <v>46013</v>
      </c>
      <c r="D560" t="inlineStr">
        <is>
          <t>JÄMTLANDS LÄN</t>
        </is>
      </c>
      <c r="E560" t="inlineStr">
        <is>
          <t>HÄRJEDALEN</t>
        </is>
      </c>
      <c r="F560" t="inlineStr">
        <is>
          <t>Sveaskog</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10536-2021</t>
        </is>
      </c>
      <c r="B561" s="1" t="n">
        <v>44258</v>
      </c>
      <c r="C561" s="1" t="n">
        <v>46013</v>
      </c>
      <c r="D561" t="inlineStr">
        <is>
          <t>JÄMTLANDS LÄN</t>
        </is>
      </c>
      <c r="E561" t="inlineStr">
        <is>
          <t>HÄRJEDALEN</t>
        </is>
      </c>
      <c r="G561" t="n">
        <v>18.7</v>
      </c>
      <c r="H561" t="n">
        <v>0</v>
      </c>
      <c r="I561" t="n">
        <v>0</v>
      </c>
      <c r="J561" t="n">
        <v>0</v>
      </c>
      <c r="K561" t="n">
        <v>0</v>
      </c>
      <c r="L561" t="n">
        <v>0</v>
      </c>
      <c r="M561" t="n">
        <v>0</v>
      </c>
      <c r="N561" t="n">
        <v>0</v>
      </c>
      <c r="O561" t="n">
        <v>0</v>
      </c>
      <c r="P561" t="n">
        <v>0</v>
      </c>
      <c r="Q561" t="n">
        <v>0</v>
      </c>
      <c r="R561" s="2" t="inlineStr"/>
    </row>
    <row r="562" ht="15" customHeight="1">
      <c r="A562" t="inlineStr">
        <is>
          <t>A 30742-2024</t>
        </is>
      </c>
      <c r="B562" s="1" t="n">
        <v>45496.66903935185</v>
      </c>
      <c r="C562" s="1" t="n">
        <v>46013</v>
      </c>
      <c r="D562" t="inlineStr">
        <is>
          <t>JÄMTLANDS LÄN</t>
        </is>
      </c>
      <c r="E562" t="inlineStr">
        <is>
          <t>HÄRJEDALEN</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42943-2025</t>
        </is>
      </c>
      <c r="B563" s="1" t="n">
        <v>45909</v>
      </c>
      <c r="C563" s="1" t="n">
        <v>46013</v>
      </c>
      <c r="D563" t="inlineStr">
        <is>
          <t>JÄMTLANDS LÄN</t>
        </is>
      </c>
      <c r="E563" t="inlineStr">
        <is>
          <t>HÄRJEDALEN</t>
        </is>
      </c>
      <c r="F563" t="inlineStr">
        <is>
          <t>Bergvik skog väst AB</t>
        </is>
      </c>
      <c r="G563" t="n">
        <v>10.4</v>
      </c>
      <c r="H563" t="n">
        <v>0</v>
      </c>
      <c r="I563" t="n">
        <v>0</v>
      </c>
      <c r="J563" t="n">
        <v>0</v>
      </c>
      <c r="K563" t="n">
        <v>0</v>
      </c>
      <c r="L563" t="n">
        <v>0</v>
      </c>
      <c r="M563" t="n">
        <v>0</v>
      </c>
      <c r="N563" t="n">
        <v>0</v>
      </c>
      <c r="O563" t="n">
        <v>0</v>
      </c>
      <c r="P563" t="n">
        <v>0</v>
      </c>
      <c r="Q563" t="n">
        <v>0</v>
      </c>
      <c r="R563" s="2" t="inlineStr"/>
    </row>
    <row r="564" ht="15" customHeight="1">
      <c r="A564" t="inlineStr">
        <is>
          <t>A 42333-2024</t>
        </is>
      </c>
      <c r="B564" s="1" t="n">
        <v>45562.65759259259</v>
      </c>
      <c r="C564" s="1" t="n">
        <v>46013</v>
      </c>
      <c r="D564" t="inlineStr">
        <is>
          <t>JÄMTLANDS LÄN</t>
        </is>
      </c>
      <c r="E564" t="inlineStr">
        <is>
          <t>HÄRJEDALEN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31148-2025</t>
        </is>
      </c>
      <c r="B565" s="1" t="n">
        <v>45832.64047453704</v>
      </c>
      <c r="C565" s="1" t="n">
        <v>46013</v>
      </c>
      <c r="D565" t="inlineStr">
        <is>
          <t>JÄMTLANDS LÄN</t>
        </is>
      </c>
      <c r="E565" t="inlineStr">
        <is>
          <t>HÄRJEDALEN</t>
        </is>
      </c>
      <c r="G565" t="n">
        <v>3.9</v>
      </c>
      <c r="H565" t="n">
        <v>0</v>
      </c>
      <c r="I565" t="n">
        <v>0</v>
      </c>
      <c r="J565" t="n">
        <v>0</v>
      </c>
      <c r="K565" t="n">
        <v>0</v>
      </c>
      <c r="L565" t="n">
        <v>0</v>
      </c>
      <c r="M565" t="n">
        <v>0</v>
      </c>
      <c r="N565" t="n">
        <v>0</v>
      </c>
      <c r="O565" t="n">
        <v>0</v>
      </c>
      <c r="P565" t="n">
        <v>0</v>
      </c>
      <c r="Q565" t="n">
        <v>0</v>
      </c>
      <c r="R565" s="2" t="inlineStr"/>
    </row>
    <row r="566" ht="15" customHeight="1">
      <c r="A566" t="inlineStr">
        <is>
          <t>A 43136-2025</t>
        </is>
      </c>
      <c r="B566" s="1" t="n">
        <v>45909.85402777778</v>
      </c>
      <c r="C566" s="1" t="n">
        <v>46013</v>
      </c>
      <c r="D566" t="inlineStr">
        <is>
          <t>JÄMTLANDS LÄN</t>
        </is>
      </c>
      <c r="E566" t="inlineStr">
        <is>
          <t>HÄRJEDALEN</t>
        </is>
      </c>
      <c r="F566" t="inlineStr">
        <is>
          <t>Övriga statliga verk och myndigheter</t>
        </is>
      </c>
      <c r="G566" t="n">
        <v>34.2</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46013</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58404-2024</t>
        </is>
      </c>
      <c r="B568" s="1" t="n">
        <v>45634.65831018519</v>
      </c>
      <c r="C568" s="1" t="n">
        <v>46013</v>
      </c>
      <c r="D568" t="inlineStr">
        <is>
          <t>JÄMTLANDS LÄN</t>
        </is>
      </c>
      <c r="E568" t="inlineStr">
        <is>
          <t>HÄRJEDALEN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20935-2023</t>
        </is>
      </c>
      <c r="B569" s="1" t="n">
        <v>45061.36835648148</v>
      </c>
      <c r="C569" s="1" t="n">
        <v>46013</v>
      </c>
      <c r="D569" t="inlineStr">
        <is>
          <t>JÄMTLANDS LÄN</t>
        </is>
      </c>
      <c r="E569" t="inlineStr">
        <is>
          <t>HÄRJEDALEN</t>
        </is>
      </c>
      <c r="G569" t="n">
        <v>7.3</v>
      </c>
      <c r="H569" t="n">
        <v>0</v>
      </c>
      <c r="I569" t="n">
        <v>0</v>
      </c>
      <c r="J569" t="n">
        <v>0</v>
      </c>
      <c r="K569" t="n">
        <v>0</v>
      </c>
      <c r="L569" t="n">
        <v>0</v>
      </c>
      <c r="M569" t="n">
        <v>0</v>
      </c>
      <c r="N569" t="n">
        <v>0</v>
      </c>
      <c r="O569" t="n">
        <v>0</v>
      </c>
      <c r="P569" t="n">
        <v>0</v>
      </c>
      <c r="Q569" t="n">
        <v>0</v>
      </c>
      <c r="R569" s="2" t="inlineStr"/>
    </row>
    <row r="570" ht="15" customHeight="1">
      <c r="A570" t="inlineStr">
        <is>
          <t>A 43517-2025</t>
        </is>
      </c>
      <c r="B570" s="1" t="n">
        <v>45911.5727662037</v>
      </c>
      <c r="C570" s="1" t="n">
        <v>46013</v>
      </c>
      <c r="D570" t="inlineStr">
        <is>
          <t>JÄMTLANDS LÄN</t>
        </is>
      </c>
      <c r="E570" t="inlineStr">
        <is>
          <t>HÄRJEDALEN</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12677-2025</t>
        </is>
      </c>
      <c r="B571" s="1" t="n">
        <v>45733.43663194445</v>
      </c>
      <c r="C571" s="1" t="n">
        <v>46013</v>
      </c>
      <c r="D571" t="inlineStr">
        <is>
          <t>JÄMTLANDS LÄN</t>
        </is>
      </c>
      <c r="E571" t="inlineStr">
        <is>
          <t>HÄRJEDALEN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43470-2025</t>
        </is>
      </c>
      <c r="B572" s="1" t="n">
        <v>45911.48010416667</v>
      </c>
      <c r="C572" s="1" t="n">
        <v>46013</v>
      </c>
      <c r="D572" t="inlineStr">
        <is>
          <t>JÄMTLANDS LÄN</t>
        </is>
      </c>
      <c r="E572" t="inlineStr">
        <is>
          <t>HÄRJEDALEN</t>
        </is>
      </c>
      <c r="G572" t="n">
        <v>10.9</v>
      </c>
      <c r="H572" t="n">
        <v>0</v>
      </c>
      <c r="I572" t="n">
        <v>0</v>
      </c>
      <c r="J572" t="n">
        <v>0</v>
      </c>
      <c r="K572" t="n">
        <v>0</v>
      </c>
      <c r="L572" t="n">
        <v>0</v>
      </c>
      <c r="M572" t="n">
        <v>0</v>
      </c>
      <c r="N572" t="n">
        <v>0</v>
      </c>
      <c r="O572" t="n">
        <v>0</v>
      </c>
      <c r="P572" t="n">
        <v>0</v>
      </c>
      <c r="Q572" t="n">
        <v>0</v>
      </c>
      <c r="R572" s="2" t="inlineStr"/>
    </row>
    <row r="573" ht="15" customHeight="1">
      <c r="A573" t="inlineStr">
        <is>
          <t>A 43740-2025</t>
        </is>
      </c>
      <c r="B573" s="1" t="n">
        <v>45912.45496527778</v>
      </c>
      <c r="C573" s="1" t="n">
        <v>46013</v>
      </c>
      <c r="D573" t="inlineStr">
        <is>
          <t>JÄMTLANDS LÄN</t>
        </is>
      </c>
      <c r="E573" t="inlineStr">
        <is>
          <t>HÄRJEDALEN</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31255-2025</t>
        </is>
      </c>
      <c r="B574" s="1" t="n">
        <v>45832</v>
      </c>
      <c r="C574" s="1" t="n">
        <v>46013</v>
      </c>
      <c r="D574" t="inlineStr">
        <is>
          <t>JÄMTLANDS LÄN</t>
        </is>
      </c>
      <c r="E574" t="inlineStr">
        <is>
          <t>HÄRJEDALEN</t>
        </is>
      </c>
      <c r="F574" t="inlineStr">
        <is>
          <t>Bergvik skog väst AB</t>
        </is>
      </c>
      <c r="G574" t="n">
        <v>12.9</v>
      </c>
      <c r="H574" t="n">
        <v>0</v>
      </c>
      <c r="I574" t="n">
        <v>0</v>
      </c>
      <c r="J574" t="n">
        <v>0</v>
      </c>
      <c r="K574" t="n">
        <v>0</v>
      </c>
      <c r="L574" t="n">
        <v>0</v>
      </c>
      <c r="M574" t="n">
        <v>0</v>
      </c>
      <c r="N574" t="n">
        <v>0</v>
      </c>
      <c r="O574" t="n">
        <v>0</v>
      </c>
      <c r="P574" t="n">
        <v>0</v>
      </c>
      <c r="Q574" t="n">
        <v>0</v>
      </c>
      <c r="R574" s="2" t="inlineStr"/>
    </row>
    <row r="575" ht="15" customHeight="1">
      <c r="A575" t="inlineStr">
        <is>
          <t>A 31252-2025</t>
        </is>
      </c>
      <c r="B575" s="1" t="n">
        <v>45832</v>
      </c>
      <c r="C575" s="1" t="n">
        <v>46013</v>
      </c>
      <c r="D575" t="inlineStr">
        <is>
          <t>JÄMTLANDS LÄN</t>
        </is>
      </c>
      <c r="E575" t="inlineStr">
        <is>
          <t>HÄRJEDALEN</t>
        </is>
      </c>
      <c r="F575" t="inlineStr">
        <is>
          <t>Bergvik skog väst AB</t>
        </is>
      </c>
      <c r="G575" t="n">
        <v>8</v>
      </c>
      <c r="H575" t="n">
        <v>0</v>
      </c>
      <c r="I575" t="n">
        <v>0</v>
      </c>
      <c r="J575" t="n">
        <v>0</v>
      </c>
      <c r="K575" t="n">
        <v>0</v>
      </c>
      <c r="L575" t="n">
        <v>0</v>
      </c>
      <c r="M575" t="n">
        <v>0</v>
      </c>
      <c r="N575" t="n">
        <v>0</v>
      </c>
      <c r="O575" t="n">
        <v>0</v>
      </c>
      <c r="P575" t="n">
        <v>0</v>
      </c>
      <c r="Q575" t="n">
        <v>0</v>
      </c>
      <c r="R575" s="2" t="inlineStr"/>
    </row>
    <row r="576" ht="15" customHeight="1">
      <c r="A576" t="inlineStr">
        <is>
          <t>A 30922-2025</t>
        </is>
      </c>
      <c r="B576" s="1" t="n">
        <v>45832.3859837963</v>
      </c>
      <c r="C576" s="1" t="n">
        <v>46013</v>
      </c>
      <c r="D576" t="inlineStr">
        <is>
          <t>JÄMTLANDS LÄN</t>
        </is>
      </c>
      <c r="E576" t="inlineStr">
        <is>
          <t>HÄRJEDALEN</t>
        </is>
      </c>
      <c r="F576" t="inlineStr">
        <is>
          <t>SCA</t>
        </is>
      </c>
      <c r="G576" t="n">
        <v>17.7</v>
      </c>
      <c r="H576" t="n">
        <v>0</v>
      </c>
      <c r="I576" t="n">
        <v>0</v>
      </c>
      <c r="J576" t="n">
        <v>0</v>
      </c>
      <c r="K576" t="n">
        <v>0</v>
      </c>
      <c r="L576" t="n">
        <v>0</v>
      </c>
      <c r="M576" t="n">
        <v>0</v>
      </c>
      <c r="N576" t="n">
        <v>0</v>
      </c>
      <c r="O576" t="n">
        <v>0</v>
      </c>
      <c r="P576" t="n">
        <v>0</v>
      </c>
      <c r="Q576" t="n">
        <v>0</v>
      </c>
      <c r="R576" s="2" t="inlineStr"/>
    </row>
    <row r="577" ht="15" customHeight="1">
      <c r="A577" t="inlineStr">
        <is>
          <t>A 10015-2023</t>
        </is>
      </c>
      <c r="B577" s="1" t="n">
        <v>44985</v>
      </c>
      <c r="C577" s="1" t="n">
        <v>46013</v>
      </c>
      <c r="D577" t="inlineStr">
        <is>
          <t>JÄMTLANDS LÄN</t>
        </is>
      </c>
      <c r="E577" t="inlineStr">
        <is>
          <t>HÄRJEDALEN</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55219-2021</t>
        </is>
      </c>
      <c r="B578" s="1" t="n">
        <v>44475</v>
      </c>
      <c r="C578" s="1" t="n">
        <v>46013</v>
      </c>
      <c r="D578" t="inlineStr">
        <is>
          <t>JÄMTLANDS LÄN</t>
        </is>
      </c>
      <c r="E578" t="inlineStr">
        <is>
          <t>HÄRJEDALEN</t>
        </is>
      </c>
      <c r="G578" t="n">
        <v>2.5</v>
      </c>
      <c r="H578" t="n">
        <v>0</v>
      </c>
      <c r="I578" t="n">
        <v>0</v>
      </c>
      <c r="J578" t="n">
        <v>0</v>
      </c>
      <c r="K578" t="n">
        <v>0</v>
      </c>
      <c r="L578" t="n">
        <v>0</v>
      </c>
      <c r="M578" t="n">
        <v>0</v>
      </c>
      <c r="N578" t="n">
        <v>0</v>
      </c>
      <c r="O578" t="n">
        <v>0</v>
      </c>
      <c r="P578" t="n">
        <v>0</v>
      </c>
      <c r="Q578" t="n">
        <v>0</v>
      </c>
      <c r="R578" s="2" t="inlineStr"/>
    </row>
    <row r="579" ht="15" customHeight="1">
      <c r="A579" t="inlineStr">
        <is>
          <t>A 31253-2025</t>
        </is>
      </c>
      <c r="B579" s="1" t="n">
        <v>45832</v>
      </c>
      <c r="C579" s="1" t="n">
        <v>46013</v>
      </c>
      <c r="D579" t="inlineStr">
        <is>
          <t>JÄMTLANDS LÄN</t>
        </is>
      </c>
      <c r="E579" t="inlineStr">
        <is>
          <t>HÄRJEDALEN</t>
        </is>
      </c>
      <c r="F579" t="inlineStr">
        <is>
          <t>Bergvik skog väst AB</t>
        </is>
      </c>
      <c r="G579" t="n">
        <v>24.9</v>
      </c>
      <c r="H579" t="n">
        <v>0</v>
      </c>
      <c r="I579" t="n">
        <v>0</v>
      </c>
      <c r="J579" t="n">
        <v>0</v>
      </c>
      <c r="K579" t="n">
        <v>0</v>
      </c>
      <c r="L579" t="n">
        <v>0</v>
      </c>
      <c r="M579" t="n">
        <v>0</v>
      </c>
      <c r="N579" t="n">
        <v>0</v>
      </c>
      <c r="O579" t="n">
        <v>0</v>
      </c>
      <c r="P579" t="n">
        <v>0</v>
      </c>
      <c r="Q579" t="n">
        <v>0</v>
      </c>
      <c r="R579" s="2" t="inlineStr"/>
    </row>
    <row r="580" ht="15" customHeight="1">
      <c r="A580" t="inlineStr">
        <is>
          <t>A 43597-2025</t>
        </is>
      </c>
      <c r="B580" s="1" t="n">
        <v>45911.66243055555</v>
      </c>
      <c r="C580" s="1" t="n">
        <v>46013</v>
      </c>
      <c r="D580" t="inlineStr">
        <is>
          <t>JÄMTLANDS LÄN</t>
        </is>
      </c>
      <c r="E580" t="inlineStr">
        <is>
          <t>HÄRJEDALEN</t>
        </is>
      </c>
      <c r="F580" t="inlineStr">
        <is>
          <t>Bergvik skog väst AB</t>
        </is>
      </c>
      <c r="G580" t="n">
        <v>7</v>
      </c>
      <c r="H580" t="n">
        <v>0</v>
      </c>
      <c r="I580" t="n">
        <v>0</v>
      </c>
      <c r="J580" t="n">
        <v>0</v>
      </c>
      <c r="K580" t="n">
        <v>0</v>
      </c>
      <c r="L580" t="n">
        <v>0</v>
      </c>
      <c r="M580" t="n">
        <v>0</v>
      </c>
      <c r="N580" t="n">
        <v>0</v>
      </c>
      <c r="O580" t="n">
        <v>0</v>
      </c>
      <c r="P580" t="n">
        <v>0</v>
      </c>
      <c r="Q580" t="n">
        <v>0</v>
      </c>
      <c r="R580" s="2" t="inlineStr"/>
    </row>
    <row r="581" ht="15" customHeight="1">
      <c r="A581" t="inlineStr">
        <is>
          <t>A 45123-2024</t>
        </is>
      </c>
      <c r="B581" s="1" t="n">
        <v>45575.6125925926</v>
      </c>
      <c r="C581" s="1" t="n">
        <v>46013</v>
      </c>
      <c r="D581" t="inlineStr">
        <is>
          <t>JÄMTLANDS LÄN</t>
        </is>
      </c>
      <c r="E581" t="inlineStr">
        <is>
          <t>HÄRJEDALEN</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49319-2024</t>
        </is>
      </c>
      <c r="B582" s="1" t="n">
        <v>45595.5666550926</v>
      </c>
      <c r="C582" s="1" t="n">
        <v>46013</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31772-2025</t>
        </is>
      </c>
      <c r="B583" s="1" t="n">
        <v>45834.51079861111</v>
      </c>
      <c r="C583" s="1" t="n">
        <v>46013</v>
      </c>
      <c r="D583" t="inlineStr">
        <is>
          <t>JÄMTLANDS LÄN</t>
        </is>
      </c>
      <c r="E583" t="inlineStr">
        <is>
          <t>HÄRJEDALEN</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4196-2023</t>
        </is>
      </c>
      <c r="B584" s="1" t="n">
        <v>44953</v>
      </c>
      <c r="C584" s="1" t="n">
        <v>46013</v>
      </c>
      <c r="D584" t="inlineStr">
        <is>
          <t>JÄMTLANDS LÄN</t>
        </is>
      </c>
      <c r="E584" t="inlineStr">
        <is>
          <t>HÄRJEDALEN</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4220-2025</t>
        </is>
      </c>
      <c r="B585" s="1" t="n">
        <v>45685</v>
      </c>
      <c r="C585" s="1" t="n">
        <v>46013</v>
      </c>
      <c r="D585" t="inlineStr">
        <is>
          <t>JÄMTLANDS LÄN</t>
        </is>
      </c>
      <c r="E585" t="inlineStr">
        <is>
          <t>HÄRJEDALEN</t>
        </is>
      </c>
      <c r="F585" t="inlineStr">
        <is>
          <t>Bergvik skog väst AB</t>
        </is>
      </c>
      <c r="G585" t="n">
        <v>19.8</v>
      </c>
      <c r="H585" t="n">
        <v>0</v>
      </c>
      <c r="I585" t="n">
        <v>0</v>
      </c>
      <c r="J585" t="n">
        <v>0</v>
      </c>
      <c r="K585" t="n">
        <v>0</v>
      </c>
      <c r="L585" t="n">
        <v>0</v>
      </c>
      <c r="M585" t="n">
        <v>0</v>
      </c>
      <c r="N585" t="n">
        <v>0</v>
      </c>
      <c r="O585" t="n">
        <v>0</v>
      </c>
      <c r="P585" t="n">
        <v>0</v>
      </c>
      <c r="Q585" t="n">
        <v>0</v>
      </c>
      <c r="R585" s="2" t="inlineStr"/>
    </row>
    <row r="586" ht="15" customHeight="1">
      <c r="A586" t="inlineStr">
        <is>
          <t>A 43382-2025</t>
        </is>
      </c>
      <c r="B586" s="1" t="n">
        <v>45911</v>
      </c>
      <c r="C586" s="1" t="n">
        <v>46013</v>
      </c>
      <c r="D586" t="inlineStr">
        <is>
          <t>JÄMTLANDS LÄN</t>
        </is>
      </c>
      <c r="E586" t="inlineStr">
        <is>
          <t>HÄRJEDALEN</t>
        </is>
      </c>
      <c r="G586" t="n">
        <v>2.2</v>
      </c>
      <c r="H586" t="n">
        <v>0</v>
      </c>
      <c r="I586" t="n">
        <v>0</v>
      </c>
      <c r="J586" t="n">
        <v>0</v>
      </c>
      <c r="K586" t="n">
        <v>0</v>
      </c>
      <c r="L586" t="n">
        <v>0</v>
      </c>
      <c r="M586" t="n">
        <v>0</v>
      </c>
      <c r="N586" t="n">
        <v>0</v>
      </c>
      <c r="O586" t="n">
        <v>0</v>
      </c>
      <c r="P586" t="n">
        <v>0</v>
      </c>
      <c r="Q586" t="n">
        <v>0</v>
      </c>
      <c r="R586" s="2" t="inlineStr"/>
    </row>
    <row r="587" ht="15" customHeight="1">
      <c r="A587" t="inlineStr">
        <is>
          <t>A 31910-2025</t>
        </is>
      </c>
      <c r="B587" s="1" t="n">
        <v>45834.69577546296</v>
      </c>
      <c r="C587" s="1" t="n">
        <v>46013</v>
      </c>
      <c r="D587" t="inlineStr">
        <is>
          <t>JÄMTLANDS LÄN</t>
        </is>
      </c>
      <c r="E587" t="inlineStr">
        <is>
          <t>HÄRJEDALEN</t>
        </is>
      </c>
      <c r="G587" t="n">
        <v>0.4</v>
      </c>
      <c r="H587" t="n">
        <v>0</v>
      </c>
      <c r="I587" t="n">
        <v>0</v>
      </c>
      <c r="J587" t="n">
        <v>0</v>
      </c>
      <c r="K587" t="n">
        <v>0</v>
      </c>
      <c r="L587" t="n">
        <v>0</v>
      </c>
      <c r="M587" t="n">
        <v>0</v>
      </c>
      <c r="N587" t="n">
        <v>0</v>
      </c>
      <c r="O587" t="n">
        <v>0</v>
      </c>
      <c r="P587" t="n">
        <v>0</v>
      </c>
      <c r="Q587" t="n">
        <v>0</v>
      </c>
      <c r="R587" s="2" t="inlineStr"/>
    </row>
    <row r="588" ht="15" customHeight="1">
      <c r="A588" t="inlineStr">
        <is>
          <t>A 31915-2025</t>
        </is>
      </c>
      <c r="B588" s="1" t="n">
        <v>45834.71440972222</v>
      </c>
      <c r="C588" s="1" t="n">
        <v>46013</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69271-2021</t>
        </is>
      </c>
      <c r="B589" s="1" t="n">
        <v>44531.43927083333</v>
      </c>
      <c r="C589" s="1" t="n">
        <v>46013</v>
      </c>
      <c r="D589" t="inlineStr">
        <is>
          <t>JÄMTLANDS LÄN</t>
        </is>
      </c>
      <c r="E589" t="inlineStr">
        <is>
          <t>HÄRJEDALEN</t>
        </is>
      </c>
      <c r="F589" t="inlineStr">
        <is>
          <t>Bergvik skog väst AB</t>
        </is>
      </c>
      <c r="G589" t="n">
        <v>6.3</v>
      </c>
      <c r="H589" t="n">
        <v>0</v>
      </c>
      <c r="I589" t="n">
        <v>0</v>
      </c>
      <c r="J589" t="n">
        <v>0</v>
      </c>
      <c r="K589" t="n">
        <v>0</v>
      </c>
      <c r="L589" t="n">
        <v>0</v>
      </c>
      <c r="M589" t="n">
        <v>0</v>
      </c>
      <c r="N589" t="n">
        <v>0</v>
      </c>
      <c r="O589" t="n">
        <v>0</v>
      </c>
      <c r="P589" t="n">
        <v>0</v>
      </c>
      <c r="Q589" t="n">
        <v>0</v>
      </c>
      <c r="R589" s="2" t="inlineStr"/>
    </row>
    <row r="590" ht="15" customHeight="1">
      <c r="A590" t="inlineStr">
        <is>
          <t>A 31498-2025</t>
        </is>
      </c>
      <c r="B590" s="1" t="n">
        <v>45833</v>
      </c>
      <c r="C590" s="1" t="n">
        <v>46013</v>
      </c>
      <c r="D590" t="inlineStr">
        <is>
          <t>JÄMTLANDS LÄN</t>
        </is>
      </c>
      <c r="E590" t="inlineStr">
        <is>
          <t>HÄRJEDALEN</t>
        </is>
      </c>
      <c r="F590" t="inlineStr">
        <is>
          <t>Bergvik skog väst AB</t>
        </is>
      </c>
      <c r="G590" t="n">
        <v>9.6</v>
      </c>
      <c r="H590" t="n">
        <v>0</v>
      </c>
      <c r="I590" t="n">
        <v>0</v>
      </c>
      <c r="J590" t="n">
        <v>0</v>
      </c>
      <c r="K590" t="n">
        <v>0</v>
      </c>
      <c r="L590" t="n">
        <v>0</v>
      </c>
      <c r="M590" t="n">
        <v>0</v>
      </c>
      <c r="N590" t="n">
        <v>0</v>
      </c>
      <c r="O590" t="n">
        <v>0</v>
      </c>
      <c r="P590" t="n">
        <v>0</v>
      </c>
      <c r="Q590" t="n">
        <v>0</v>
      </c>
      <c r="R590" s="2" t="inlineStr"/>
    </row>
    <row r="591" ht="15" customHeight="1">
      <c r="A591" t="inlineStr">
        <is>
          <t>A 48708-2023</t>
        </is>
      </c>
      <c r="B591" s="1" t="n">
        <v>45208</v>
      </c>
      <c r="C591" s="1" t="n">
        <v>46013</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31294-2025</t>
        </is>
      </c>
      <c r="B592" s="1" t="n">
        <v>45833.36467592593</v>
      </c>
      <c r="C592" s="1" t="n">
        <v>46013</v>
      </c>
      <c r="D592" t="inlineStr">
        <is>
          <t>JÄMTLANDS LÄN</t>
        </is>
      </c>
      <c r="E592" t="inlineStr">
        <is>
          <t>HÄRJEDALEN</t>
        </is>
      </c>
      <c r="F592" t="inlineStr">
        <is>
          <t>Bergvik skog väst AB</t>
        </is>
      </c>
      <c r="G592" t="n">
        <v>22.1</v>
      </c>
      <c r="H592" t="n">
        <v>0</v>
      </c>
      <c r="I592" t="n">
        <v>0</v>
      </c>
      <c r="J592" t="n">
        <v>0</v>
      </c>
      <c r="K592" t="n">
        <v>0</v>
      </c>
      <c r="L592" t="n">
        <v>0</v>
      </c>
      <c r="M592" t="n">
        <v>0</v>
      </c>
      <c r="N592" t="n">
        <v>0</v>
      </c>
      <c r="O592" t="n">
        <v>0</v>
      </c>
      <c r="P592" t="n">
        <v>0</v>
      </c>
      <c r="Q592" t="n">
        <v>0</v>
      </c>
      <c r="R592" s="2" t="inlineStr"/>
    </row>
    <row r="593" ht="15" customHeight="1">
      <c r="A593" t="inlineStr">
        <is>
          <t>A 20103-2025</t>
        </is>
      </c>
      <c r="B593" s="1" t="n">
        <v>45772.46951388889</v>
      </c>
      <c r="C593" s="1" t="n">
        <v>46013</v>
      </c>
      <c r="D593" t="inlineStr">
        <is>
          <t>JÄMTLANDS LÄN</t>
        </is>
      </c>
      <c r="E593" t="inlineStr">
        <is>
          <t>HÄRJEDALEN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31522-2025</t>
        </is>
      </c>
      <c r="B594" s="1" t="n">
        <v>45833.6081712963</v>
      </c>
      <c r="C594" s="1" t="n">
        <v>46013</v>
      </c>
      <c r="D594" t="inlineStr">
        <is>
          <t>JÄMTLANDS LÄN</t>
        </is>
      </c>
      <c r="E594" t="inlineStr">
        <is>
          <t>HÄRJEDALEN</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31526-2025</t>
        </is>
      </c>
      <c r="B595" s="1" t="n">
        <v>45833</v>
      </c>
      <c r="C595" s="1" t="n">
        <v>46013</v>
      </c>
      <c r="D595" t="inlineStr">
        <is>
          <t>JÄMTLANDS LÄN</t>
        </is>
      </c>
      <c r="E595" t="inlineStr">
        <is>
          <t>HÄRJEDALEN</t>
        </is>
      </c>
      <c r="F595" t="inlineStr">
        <is>
          <t>Bergvik skog väst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31570-2025</t>
        </is>
      </c>
      <c r="B596" s="1" t="n">
        <v>45833</v>
      </c>
      <c r="C596" s="1" t="n">
        <v>46013</v>
      </c>
      <c r="D596" t="inlineStr">
        <is>
          <t>JÄMTLANDS LÄN</t>
        </is>
      </c>
      <c r="E596" t="inlineStr">
        <is>
          <t>HÄRJEDALEN</t>
        </is>
      </c>
      <c r="F596" t="inlineStr">
        <is>
          <t>Bergvik skog väst AB</t>
        </is>
      </c>
      <c r="G596" t="n">
        <v>5.4</v>
      </c>
      <c r="H596" t="n">
        <v>0</v>
      </c>
      <c r="I596" t="n">
        <v>0</v>
      </c>
      <c r="J596" t="n">
        <v>0</v>
      </c>
      <c r="K596" t="n">
        <v>0</v>
      </c>
      <c r="L596" t="n">
        <v>0</v>
      </c>
      <c r="M596" t="n">
        <v>0</v>
      </c>
      <c r="N596" t="n">
        <v>0</v>
      </c>
      <c r="O596" t="n">
        <v>0</v>
      </c>
      <c r="P596" t="n">
        <v>0</v>
      </c>
      <c r="Q596" t="n">
        <v>0</v>
      </c>
      <c r="R596" s="2" t="inlineStr"/>
    </row>
    <row r="597" ht="15" customHeight="1">
      <c r="A597" t="inlineStr">
        <is>
          <t>A 31884-2025</t>
        </is>
      </c>
      <c r="B597" s="1" t="n">
        <v>45834.6568287037</v>
      </c>
      <c r="C597" s="1" t="n">
        <v>46013</v>
      </c>
      <c r="D597" t="inlineStr">
        <is>
          <t>JÄMTLANDS LÄN</t>
        </is>
      </c>
      <c r="E597" t="inlineStr">
        <is>
          <t>HÄRJEDALEN</t>
        </is>
      </c>
      <c r="G597" t="n">
        <v>7.9</v>
      </c>
      <c r="H597" t="n">
        <v>0</v>
      </c>
      <c r="I597" t="n">
        <v>0</v>
      </c>
      <c r="J597" t="n">
        <v>0</v>
      </c>
      <c r="K597" t="n">
        <v>0</v>
      </c>
      <c r="L597" t="n">
        <v>0</v>
      </c>
      <c r="M597" t="n">
        <v>0</v>
      </c>
      <c r="N597" t="n">
        <v>0</v>
      </c>
      <c r="O597" t="n">
        <v>0</v>
      </c>
      <c r="P597" t="n">
        <v>0</v>
      </c>
      <c r="Q597" t="n">
        <v>0</v>
      </c>
      <c r="R597" s="2" t="inlineStr"/>
    </row>
    <row r="598" ht="15" customHeight="1">
      <c r="A598" t="inlineStr">
        <is>
          <t>A 31913-2025</t>
        </is>
      </c>
      <c r="B598" s="1" t="n">
        <v>45834.7087962963</v>
      </c>
      <c r="C598" s="1" t="n">
        <v>46013</v>
      </c>
      <c r="D598" t="inlineStr">
        <is>
          <t>JÄMTLANDS LÄN</t>
        </is>
      </c>
      <c r="E598" t="inlineStr">
        <is>
          <t>HÄRJEDALEN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32180-2025</t>
        </is>
      </c>
      <c r="B599" s="1" t="n">
        <v>45835.55998842593</v>
      </c>
      <c r="C599" s="1" t="n">
        <v>46013</v>
      </c>
      <c r="D599" t="inlineStr">
        <is>
          <t>JÄMTLANDS LÄN</t>
        </is>
      </c>
      <c r="E599" t="inlineStr">
        <is>
          <t>HÄRJEDALEN</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31921-2025</t>
        </is>
      </c>
      <c r="B600" s="1" t="n">
        <v>45834.80229166667</v>
      </c>
      <c r="C600" s="1" t="n">
        <v>46013</v>
      </c>
      <c r="D600" t="inlineStr">
        <is>
          <t>JÄMTLANDS LÄN</t>
        </is>
      </c>
      <c r="E600" t="inlineStr">
        <is>
          <t>HÄRJEDALEN</t>
        </is>
      </c>
      <c r="G600" t="n">
        <v>2.9</v>
      </c>
      <c r="H600" t="n">
        <v>0</v>
      </c>
      <c r="I600" t="n">
        <v>0</v>
      </c>
      <c r="J600" t="n">
        <v>0</v>
      </c>
      <c r="K600" t="n">
        <v>0</v>
      </c>
      <c r="L600" t="n">
        <v>0</v>
      </c>
      <c r="M600" t="n">
        <v>0</v>
      </c>
      <c r="N600" t="n">
        <v>0</v>
      </c>
      <c r="O600" t="n">
        <v>0</v>
      </c>
      <c r="P600" t="n">
        <v>0</v>
      </c>
      <c r="Q600" t="n">
        <v>0</v>
      </c>
      <c r="R600" s="2" t="inlineStr"/>
    </row>
    <row r="601" ht="15" customHeight="1">
      <c r="A601" t="inlineStr">
        <is>
          <t>A 32178-2025</t>
        </is>
      </c>
      <c r="B601" s="1" t="n">
        <v>45835.5583912037</v>
      </c>
      <c r="C601" s="1" t="n">
        <v>46013</v>
      </c>
      <c r="D601" t="inlineStr">
        <is>
          <t>JÄMTLANDS LÄN</t>
        </is>
      </c>
      <c r="E601" t="inlineStr">
        <is>
          <t>HÄRJEDALEN</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36097-2024</t>
        </is>
      </c>
      <c r="B602" s="1" t="n">
        <v>45533.75398148148</v>
      </c>
      <c r="C602" s="1" t="n">
        <v>46013</v>
      </c>
      <c r="D602" t="inlineStr">
        <is>
          <t>JÄMTLANDS LÄN</t>
        </is>
      </c>
      <c r="E602" t="inlineStr">
        <is>
          <t>HÄRJEDALEN</t>
        </is>
      </c>
      <c r="G602" t="n">
        <v>2.9</v>
      </c>
      <c r="H602" t="n">
        <v>0</v>
      </c>
      <c r="I602" t="n">
        <v>0</v>
      </c>
      <c r="J602" t="n">
        <v>0</v>
      </c>
      <c r="K602" t="n">
        <v>0</v>
      </c>
      <c r="L602" t="n">
        <v>0</v>
      </c>
      <c r="M602" t="n">
        <v>0</v>
      </c>
      <c r="N602" t="n">
        <v>0</v>
      </c>
      <c r="O602" t="n">
        <v>0</v>
      </c>
      <c r="P602" t="n">
        <v>0</v>
      </c>
      <c r="Q602" t="n">
        <v>0</v>
      </c>
      <c r="R602" s="2" t="inlineStr"/>
    </row>
    <row r="603" ht="15" customHeight="1">
      <c r="A603" t="inlineStr">
        <is>
          <t>A 32190-2025</t>
        </is>
      </c>
      <c r="B603" s="1" t="n">
        <v>45835.57069444445</v>
      </c>
      <c r="C603" s="1" t="n">
        <v>46013</v>
      </c>
      <c r="D603" t="inlineStr">
        <is>
          <t>JÄMTLANDS LÄN</t>
        </is>
      </c>
      <c r="E603" t="inlineStr">
        <is>
          <t>HÄRJEDALEN</t>
        </is>
      </c>
      <c r="G603" t="n">
        <v>6.4</v>
      </c>
      <c r="H603" t="n">
        <v>0</v>
      </c>
      <c r="I603" t="n">
        <v>0</v>
      </c>
      <c r="J603" t="n">
        <v>0</v>
      </c>
      <c r="K603" t="n">
        <v>0</v>
      </c>
      <c r="L603" t="n">
        <v>0</v>
      </c>
      <c r="M603" t="n">
        <v>0</v>
      </c>
      <c r="N603" t="n">
        <v>0</v>
      </c>
      <c r="O603" t="n">
        <v>0</v>
      </c>
      <c r="P603" t="n">
        <v>0</v>
      </c>
      <c r="Q603" t="n">
        <v>0</v>
      </c>
      <c r="R603" s="2" t="inlineStr"/>
    </row>
    <row r="604" ht="15" customHeight="1">
      <c r="A604" t="inlineStr">
        <is>
          <t>A 7384-2025</t>
        </is>
      </c>
      <c r="B604" s="1" t="n">
        <v>45705.32456018519</v>
      </c>
      <c r="C604" s="1" t="n">
        <v>46013</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45562-2025</t>
        </is>
      </c>
      <c r="B605" s="1" t="n">
        <v>45922.64740740741</v>
      </c>
      <c r="C605" s="1" t="n">
        <v>46013</v>
      </c>
      <c r="D605" t="inlineStr">
        <is>
          <t>JÄMTLANDS LÄN</t>
        </is>
      </c>
      <c r="E605" t="inlineStr">
        <is>
          <t>HÄRJEDALEN</t>
        </is>
      </c>
      <c r="G605" t="n">
        <v>11.6</v>
      </c>
      <c r="H605" t="n">
        <v>0</v>
      </c>
      <c r="I605" t="n">
        <v>0</v>
      </c>
      <c r="J605" t="n">
        <v>0</v>
      </c>
      <c r="K605" t="n">
        <v>0</v>
      </c>
      <c r="L605" t="n">
        <v>0</v>
      </c>
      <c r="M605" t="n">
        <v>0</v>
      </c>
      <c r="N605" t="n">
        <v>0</v>
      </c>
      <c r="O605" t="n">
        <v>0</v>
      </c>
      <c r="P605" t="n">
        <v>0</v>
      </c>
      <c r="Q605" t="n">
        <v>0</v>
      </c>
      <c r="R605" s="2" t="inlineStr"/>
    </row>
    <row r="606" ht="15" customHeight="1">
      <c r="A606" t="inlineStr">
        <is>
          <t>A 32841-2025</t>
        </is>
      </c>
      <c r="B606" s="1" t="n">
        <v>45839.5658912037</v>
      </c>
      <c r="C606" s="1" t="n">
        <v>46013</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48867-2023</t>
        </is>
      </c>
      <c r="B607" s="1" t="n">
        <v>45209.45420138889</v>
      </c>
      <c r="C607" s="1" t="n">
        <v>46013</v>
      </c>
      <c r="D607" t="inlineStr">
        <is>
          <t>JÄMTLANDS LÄN</t>
        </is>
      </c>
      <c r="E607" t="inlineStr">
        <is>
          <t>HÄRJEDALEN</t>
        </is>
      </c>
      <c r="G607" t="n">
        <v>9.1</v>
      </c>
      <c r="H607" t="n">
        <v>0</v>
      </c>
      <c r="I607" t="n">
        <v>0</v>
      </c>
      <c r="J607" t="n">
        <v>0</v>
      </c>
      <c r="K607" t="n">
        <v>0</v>
      </c>
      <c r="L607" t="n">
        <v>0</v>
      </c>
      <c r="M607" t="n">
        <v>0</v>
      </c>
      <c r="N607" t="n">
        <v>0</v>
      </c>
      <c r="O607" t="n">
        <v>0</v>
      </c>
      <c r="P607" t="n">
        <v>0</v>
      </c>
      <c r="Q607" t="n">
        <v>0</v>
      </c>
      <c r="R607" s="2" t="inlineStr"/>
    </row>
    <row r="608" ht="15" customHeight="1">
      <c r="A608" t="inlineStr">
        <is>
          <t>A 45455-2025</t>
        </is>
      </c>
      <c r="B608" s="1" t="n">
        <v>45922.49034722222</v>
      </c>
      <c r="C608" s="1" t="n">
        <v>46013</v>
      </c>
      <c r="D608" t="inlineStr">
        <is>
          <t>JÄMTLANDS LÄN</t>
        </is>
      </c>
      <c r="E608" t="inlineStr">
        <is>
          <t>HÄRJEDALEN</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5277-2021</t>
        </is>
      </c>
      <c r="B609" s="1" t="n">
        <v>44225</v>
      </c>
      <c r="C609" s="1" t="n">
        <v>46013</v>
      </c>
      <c r="D609" t="inlineStr">
        <is>
          <t>JÄMTLANDS LÄN</t>
        </is>
      </c>
      <c r="E609" t="inlineStr">
        <is>
          <t>HÄRJEDALEN</t>
        </is>
      </c>
      <c r="G609" t="n">
        <v>20</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46013</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45100-2025</t>
        </is>
      </c>
      <c r="B611" s="1" t="n">
        <v>45919</v>
      </c>
      <c r="C611" s="1" t="n">
        <v>46013</v>
      </c>
      <c r="D611" t="inlineStr">
        <is>
          <t>JÄMTLANDS LÄN</t>
        </is>
      </c>
      <c r="E611" t="inlineStr">
        <is>
          <t>HÄRJEDALEN</t>
        </is>
      </c>
      <c r="F611" t="inlineStr">
        <is>
          <t>Bergvik skog väst AB</t>
        </is>
      </c>
      <c r="G611" t="n">
        <v>22.4</v>
      </c>
      <c r="H611" t="n">
        <v>0</v>
      </c>
      <c r="I611" t="n">
        <v>0</v>
      </c>
      <c r="J611" t="n">
        <v>0</v>
      </c>
      <c r="K611" t="n">
        <v>0</v>
      </c>
      <c r="L611" t="n">
        <v>0</v>
      </c>
      <c r="M611" t="n">
        <v>0</v>
      </c>
      <c r="N611" t="n">
        <v>0</v>
      </c>
      <c r="O611" t="n">
        <v>0</v>
      </c>
      <c r="P611" t="n">
        <v>0</v>
      </c>
      <c r="Q611" t="n">
        <v>0</v>
      </c>
      <c r="R611" s="2" t="inlineStr"/>
    </row>
    <row r="612" ht="15" customHeight="1">
      <c r="A612" t="inlineStr">
        <is>
          <t>A 33235-2025</t>
        </is>
      </c>
      <c r="B612" s="1" t="n">
        <v>45840.64394675926</v>
      </c>
      <c r="C612" s="1" t="n">
        <v>46013</v>
      </c>
      <c r="D612" t="inlineStr">
        <is>
          <t>JÄMTLANDS LÄN</t>
        </is>
      </c>
      <c r="E612" t="inlineStr">
        <is>
          <t>HÄRJEDALEN</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45179-2025</t>
        </is>
      </c>
      <c r="B613" s="1" t="n">
        <v>45919.52993055555</v>
      </c>
      <c r="C613" s="1" t="n">
        <v>46013</v>
      </c>
      <c r="D613" t="inlineStr">
        <is>
          <t>JÄMTLANDS LÄN</t>
        </is>
      </c>
      <c r="E613" t="inlineStr">
        <is>
          <t>HÄRJEDALEN</t>
        </is>
      </c>
      <c r="F613" t="inlineStr">
        <is>
          <t>Bergvik skog väst AB</t>
        </is>
      </c>
      <c r="G613" t="n">
        <v>7.7</v>
      </c>
      <c r="H613" t="n">
        <v>0</v>
      </c>
      <c r="I613" t="n">
        <v>0</v>
      </c>
      <c r="J613" t="n">
        <v>0</v>
      </c>
      <c r="K613" t="n">
        <v>0</v>
      </c>
      <c r="L613" t="n">
        <v>0</v>
      </c>
      <c r="M613" t="n">
        <v>0</v>
      </c>
      <c r="N613" t="n">
        <v>0</v>
      </c>
      <c r="O613" t="n">
        <v>0</v>
      </c>
      <c r="P613" t="n">
        <v>0</v>
      </c>
      <c r="Q613" t="n">
        <v>0</v>
      </c>
      <c r="R613" s="2" t="inlineStr"/>
    </row>
    <row r="614" ht="15" customHeight="1">
      <c r="A614" t="inlineStr">
        <is>
          <t>A 33690-2025</t>
        </is>
      </c>
      <c r="B614" s="1" t="n">
        <v>45841.69273148148</v>
      </c>
      <c r="C614" s="1" t="n">
        <v>46013</v>
      </c>
      <c r="D614" t="inlineStr">
        <is>
          <t>JÄMTLANDS LÄN</t>
        </is>
      </c>
      <c r="E614" t="inlineStr">
        <is>
          <t>HÄRJEDALEN</t>
        </is>
      </c>
      <c r="G614" t="n">
        <v>1.5</v>
      </c>
      <c r="H614" t="n">
        <v>0</v>
      </c>
      <c r="I614" t="n">
        <v>0</v>
      </c>
      <c r="J614" t="n">
        <v>0</v>
      </c>
      <c r="K614" t="n">
        <v>0</v>
      </c>
      <c r="L614" t="n">
        <v>0</v>
      </c>
      <c r="M614" t="n">
        <v>0</v>
      </c>
      <c r="N614" t="n">
        <v>0</v>
      </c>
      <c r="O614" t="n">
        <v>0</v>
      </c>
      <c r="P614" t="n">
        <v>0</v>
      </c>
      <c r="Q614" t="n">
        <v>0</v>
      </c>
      <c r="R614" s="2" t="inlineStr"/>
    </row>
    <row r="615" ht="15" customHeight="1">
      <c r="A615" t="inlineStr">
        <is>
          <t>A 33447-2025</t>
        </is>
      </c>
      <c r="B615" s="1" t="n">
        <v>45841.46512731481</v>
      </c>
      <c r="C615" s="1" t="n">
        <v>46013</v>
      </c>
      <c r="D615" t="inlineStr">
        <is>
          <t>JÄMTLANDS LÄN</t>
        </is>
      </c>
      <c r="E615" t="inlineStr">
        <is>
          <t>HÄRJEDALEN</t>
        </is>
      </c>
      <c r="F615" t="inlineStr">
        <is>
          <t>Bergvik skog väst AB</t>
        </is>
      </c>
      <c r="G615" t="n">
        <v>3.5</v>
      </c>
      <c r="H615" t="n">
        <v>0</v>
      </c>
      <c r="I615" t="n">
        <v>0</v>
      </c>
      <c r="J615" t="n">
        <v>0</v>
      </c>
      <c r="K615" t="n">
        <v>0</v>
      </c>
      <c r="L615" t="n">
        <v>0</v>
      </c>
      <c r="M615" t="n">
        <v>0</v>
      </c>
      <c r="N615" t="n">
        <v>0</v>
      </c>
      <c r="O615" t="n">
        <v>0</v>
      </c>
      <c r="P615" t="n">
        <v>0</v>
      </c>
      <c r="Q615" t="n">
        <v>0</v>
      </c>
      <c r="R615" s="2" t="inlineStr"/>
    </row>
    <row r="616" ht="15" customHeight="1">
      <c r="A616" t="inlineStr">
        <is>
          <t>A 33438-2025</t>
        </is>
      </c>
      <c r="B616" s="1" t="n">
        <v>45841.45137731481</v>
      </c>
      <c r="C616" s="1" t="n">
        <v>46013</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33406-2025</t>
        </is>
      </c>
      <c r="B617" s="1" t="n">
        <v>45841.4312037037</v>
      </c>
      <c r="C617" s="1" t="n">
        <v>46013</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33845-2025</t>
        </is>
      </c>
      <c r="B618" s="1" t="n">
        <v>45842.48990740741</v>
      </c>
      <c r="C618" s="1" t="n">
        <v>46013</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46681-2025</t>
        </is>
      </c>
      <c r="B619" s="1" t="n">
        <v>45926.54697916667</v>
      </c>
      <c r="C619" s="1" t="n">
        <v>46013</v>
      </c>
      <c r="D619" t="inlineStr">
        <is>
          <t>JÄMTLANDS LÄN</t>
        </is>
      </c>
      <c r="E619" t="inlineStr">
        <is>
          <t>HÄRJEDALEN</t>
        </is>
      </c>
      <c r="G619" t="n">
        <v>6.4</v>
      </c>
      <c r="H619" t="n">
        <v>0</v>
      </c>
      <c r="I619" t="n">
        <v>0</v>
      </c>
      <c r="J619" t="n">
        <v>0</v>
      </c>
      <c r="K619" t="n">
        <v>0</v>
      </c>
      <c r="L619" t="n">
        <v>0</v>
      </c>
      <c r="M619" t="n">
        <v>0</v>
      </c>
      <c r="N619" t="n">
        <v>0</v>
      </c>
      <c r="O619" t="n">
        <v>0</v>
      </c>
      <c r="P619" t="n">
        <v>0</v>
      </c>
      <c r="Q619" t="n">
        <v>0</v>
      </c>
      <c r="R619" s="2" t="inlineStr"/>
    </row>
    <row r="620" ht="15" customHeight="1">
      <c r="A620" t="inlineStr">
        <is>
          <t>A 51311-2024</t>
        </is>
      </c>
      <c r="B620" s="1" t="n">
        <v>45604.31657407407</v>
      </c>
      <c r="C620" s="1" t="n">
        <v>46013</v>
      </c>
      <c r="D620" t="inlineStr">
        <is>
          <t>JÄMTLANDS LÄN</t>
        </is>
      </c>
      <c r="E620" t="inlineStr">
        <is>
          <t>HÄRJEDALEN</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36528-2025</t>
        </is>
      </c>
      <c r="B621" s="1" t="n">
        <v>45869</v>
      </c>
      <c r="C621" s="1" t="n">
        <v>46013</v>
      </c>
      <c r="D621" t="inlineStr">
        <is>
          <t>JÄMTLANDS LÄN</t>
        </is>
      </c>
      <c r="E621" t="inlineStr">
        <is>
          <t>HÄRJEDALEN</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37290-2025</t>
        </is>
      </c>
      <c r="B622" s="1" t="n">
        <v>45876</v>
      </c>
      <c r="C622" s="1" t="n">
        <v>46013</v>
      </c>
      <c r="D622" t="inlineStr">
        <is>
          <t>JÄMTLANDS LÄN</t>
        </is>
      </c>
      <c r="E622" t="inlineStr">
        <is>
          <t>HÄRJEDALEN</t>
        </is>
      </c>
      <c r="F622" t="inlineStr">
        <is>
          <t>Bergvik skog väst AB</t>
        </is>
      </c>
      <c r="G622" t="n">
        <v>3.2</v>
      </c>
      <c r="H622" t="n">
        <v>0</v>
      </c>
      <c r="I622" t="n">
        <v>0</v>
      </c>
      <c r="J622" t="n">
        <v>0</v>
      </c>
      <c r="K622" t="n">
        <v>0</v>
      </c>
      <c r="L622" t="n">
        <v>0</v>
      </c>
      <c r="M622" t="n">
        <v>0</v>
      </c>
      <c r="N622" t="n">
        <v>0</v>
      </c>
      <c r="O622" t="n">
        <v>0</v>
      </c>
      <c r="P622" t="n">
        <v>0</v>
      </c>
      <c r="Q622" t="n">
        <v>0</v>
      </c>
      <c r="R622" s="2" t="inlineStr"/>
    </row>
    <row r="623" ht="15" customHeight="1">
      <c r="A623" t="inlineStr">
        <is>
          <t>A 34254-2025</t>
        </is>
      </c>
      <c r="B623" s="1" t="n">
        <v>45845.6920949074</v>
      </c>
      <c r="C623" s="1" t="n">
        <v>46013</v>
      </c>
      <c r="D623" t="inlineStr">
        <is>
          <t>JÄMTLANDS LÄN</t>
        </is>
      </c>
      <c r="E623" t="inlineStr">
        <is>
          <t>HÄRJEDALEN</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34144-2025</t>
        </is>
      </c>
      <c r="B624" s="1" t="n">
        <v>45845.55270833334</v>
      </c>
      <c r="C624" s="1" t="n">
        <v>46013</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34143-2025</t>
        </is>
      </c>
      <c r="B625" s="1" t="n">
        <v>45845.55266203704</v>
      </c>
      <c r="C625" s="1" t="n">
        <v>46013</v>
      </c>
      <c r="D625" t="inlineStr">
        <is>
          <t>JÄMTLANDS LÄN</t>
        </is>
      </c>
      <c r="E625" t="inlineStr">
        <is>
          <t>HÄRJEDALEN</t>
        </is>
      </c>
      <c r="G625" t="n">
        <v>5.9</v>
      </c>
      <c r="H625" t="n">
        <v>0</v>
      </c>
      <c r="I625" t="n">
        <v>0</v>
      </c>
      <c r="J625" t="n">
        <v>0</v>
      </c>
      <c r="K625" t="n">
        <v>0</v>
      </c>
      <c r="L625" t="n">
        <v>0</v>
      </c>
      <c r="M625" t="n">
        <v>0</v>
      </c>
      <c r="N625" t="n">
        <v>0</v>
      </c>
      <c r="O625" t="n">
        <v>0</v>
      </c>
      <c r="P625" t="n">
        <v>0</v>
      </c>
      <c r="Q625" t="n">
        <v>0</v>
      </c>
      <c r="R625" s="2" t="inlineStr"/>
    </row>
    <row r="626" ht="15" customHeight="1">
      <c r="A626" t="inlineStr">
        <is>
          <t>A 7328-2024</t>
        </is>
      </c>
      <c r="B626" s="1" t="n">
        <v>45345</v>
      </c>
      <c r="C626" s="1" t="n">
        <v>46013</v>
      </c>
      <c r="D626" t="inlineStr">
        <is>
          <t>JÄMTLANDS LÄN</t>
        </is>
      </c>
      <c r="E626" t="inlineStr">
        <is>
          <t>HÄRJEDALEN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46429-2025</t>
        </is>
      </c>
      <c r="B627" s="1" t="n">
        <v>45925.6144212963</v>
      </c>
      <c r="C627" s="1" t="n">
        <v>46013</v>
      </c>
      <c r="D627" t="inlineStr">
        <is>
          <t>JÄMTLANDS LÄN</t>
        </is>
      </c>
      <c r="E627" t="inlineStr">
        <is>
          <t>HÄRJEDALEN</t>
        </is>
      </c>
      <c r="F627" t="inlineStr">
        <is>
          <t>Bergvik skog öst AB</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16304-2025</t>
        </is>
      </c>
      <c r="B628" s="1" t="n">
        <v>45751.34636574074</v>
      </c>
      <c r="C628" s="1" t="n">
        <v>46013</v>
      </c>
      <c r="D628" t="inlineStr">
        <is>
          <t>JÄMTLANDS LÄN</t>
        </is>
      </c>
      <c r="E628" t="inlineStr">
        <is>
          <t>HÄRJEDALEN</t>
        </is>
      </c>
      <c r="F628" t="inlineStr">
        <is>
          <t>SCA</t>
        </is>
      </c>
      <c r="G628" t="n">
        <v>6.4</v>
      </c>
      <c r="H628" t="n">
        <v>0</v>
      </c>
      <c r="I628" t="n">
        <v>0</v>
      </c>
      <c r="J628" t="n">
        <v>0</v>
      </c>
      <c r="K628" t="n">
        <v>0</v>
      </c>
      <c r="L628" t="n">
        <v>0</v>
      </c>
      <c r="M628" t="n">
        <v>0</v>
      </c>
      <c r="N628" t="n">
        <v>0</v>
      </c>
      <c r="O628" t="n">
        <v>0</v>
      </c>
      <c r="P628" t="n">
        <v>0</v>
      </c>
      <c r="Q628" t="n">
        <v>0</v>
      </c>
      <c r="R628" s="2" t="inlineStr"/>
    </row>
    <row r="629" ht="15" customHeight="1">
      <c r="A629" t="inlineStr">
        <is>
          <t>A 14204-2025</t>
        </is>
      </c>
      <c r="B629" s="1" t="n">
        <v>45740.57487268518</v>
      </c>
      <c r="C629" s="1" t="n">
        <v>46013</v>
      </c>
      <c r="D629" t="inlineStr">
        <is>
          <t>JÄMTLANDS LÄN</t>
        </is>
      </c>
      <c r="E629" t="inlineStr">
        <is>
          <t>HÄRJEDALEN</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32910-2022</t>
        </is>
      </c>
      <c r="B630" s="1" t="n">
        <v>44784.60677083334</v>
      </c>
      <c r="C630" s="1" t="n">
        <v>46013</v>
      </c>
      <c r="D630" t="inlineStr">
        <is>
          <t>JÄMTLANDS LÄN</t>
        </is>
      </c>
      <c r="E630" t="inlineStr">
        <is>
          <t>HÄRJEDALEN</t>
        </is>
      </c>
      <c r="F630" t="inlineStr">
        <is>
          <t>Bergvik skog väst AB</t>
        </is>
      </c>
      <c r="G630" t="n">
        <v>14.4</v>
      </c>
      <c r="H630" t="n">
        <v>0</v>
      </c>
      <c r="I630" t="n">
        <v>0</v>
      </c>
      <c r="J630" t="n">
        <v>0</v>
      </c>
      <c r="K630" t="n">
        <v>0</v>
      </c>
      <c r="L630" t="n">
        <v>0</v>
      </c>
      <c r="M630" t="n">
        <v>0</v>
      </c>
      <c r="N630" t="n">
        <v>0</v>
      </c>
      <c r="O630" t="n">
        <v>0</v>
      </c>
      <c r="P630" t="n">
        <v>0</v>
      </c>
      <c r="Q630" t="n">
        <v>0</v>
      </c>
      <c r="R630" s="2" t="inlineStr"/>
    </row>
    <row r="631" ht="15" customHeight="1">
      <c r="A631" t="inlineStr">
        <is>
          <t>A 34142-2025</t>
        </is>
      </c>
      <c r="B631" s="1" t="n">
        <v>45845.55259259259</v>
      </c>
      <c r="C631" s="1" t="n">
        <v>46013</v>
      </c>
      <c r="D631" t="inlineStr">
        <is>
          <t>JÄMTLANDS LÄN</t>
        </is>
      </c>
      <c r="E631" t="inlineStr">
        <is>
          <t>HÄRJEDALEN</t>
        </is>
      </c>
      <c r="G631" t="n">
        <v>10.7</v>
      </c>
      <c r="H631" t="n">
        <v>0</v>
      </c>
      <c r="I631" t="n">
        <v>0</v>
      </c>
      <c r="J631" t="n">
        <v>0</v>
      </c>
      <c r="K631" t="n">
        <v>0</v>
      </c>
      <c r="L631" t="n">
        <v>0</v>
      </c>
      <c r="M631" t="n">
        <v>0</v>
      </c>
      <c r="N631" t="n">
        <v>0</v>
      </c>
      <c r="O631" t="n">
        <v>0</v>
      </c>
      <c r="P631" t="n">
        <v>0</v>
      </c>
      <c r="Q631" t="n">
        <v>0</v>
      </c>
      <c r="R631" s="2" t="inlineStr"/>
    </row>
    <row r="632" ht="15" customHeight="1">
      <c r="A632" t="inlineStr">
        <is>
          <t>A 46716-2025</t>
        </is>
      </c>
      <c r="B632" s="1" t="n">
        <v>45926.57876157408</v>
      </c>
      <c r="C632" s="1" t="n">
        <v>46013</v>
      </c>
      <c r="D632" t="inlineStr">
        <is>
          <t>JÄMTLANDS LÄN</t>
        </is>
      </c>
      <c r="E632" t="inlineStr">
        <is>
          <t>HÄRJEDALEN</t>
        </is>
      </c>
      <c r="G632" t="n">
        <v>4.2</v>
      </c>
      <c r="H632" t="n">
        <v>0</v>
      </c>
      <c r="I632" t="n">
        <v>0</v>
      </c>
      <c r="J632" t="n">
        <v>0</v>
      </c>
      <c r="K632" t="n">
        <v>0</v>
      </c>
      <c r="L632" t="n">
        <v>0</v>
      </c>
      <c r="M632" t="n">
        <v>0</v>
      </c>
      <c r="N632" t="n">
        <v>0</v>
      </c>
      <c r="O632" t="n">
        <v>0</v>
      </c>
      <c r="P632" t="n">
        <v>0</v>
      </c>
      <c r="Q632" t="n">
        <v>0</v>
      </c>
      <c r="R632" s="2" t="inlineStr"/>
    </row>
    <row r="633" ht="15" customHeight="1">
      <c r="A633" t="inlineStr">
        <is>
          <t>A 55362-2025</t>
        </is>
      </c>
      <c r="B633" s="1" t="n">
        <v>45971.39665509259</v>
      </c>
      <c r="C633" s="1" t="n">
        <v>46013</v>
      </c>
      <c r="D633" t="inlineStr">
        <is>
          <t>JÄMTLANDS LÄN</t>
        </is>
      </c>
      <c r="E633" t="inlineStr">
        <is>
          <t>HÄRJEDALEN</t>
        </is>
      </c>
      <c r="F633" t="inlineStr">
        <is>
          <t>Bergvik skog väst AB</t>
        </is>
      </c>
      <c r="G633" t="n">
        <v>15.2</v>
      </c>
      <c r="H633" t="n">
        <v>0</v>
      </c>
      <c r="I633" t="n">
        <v>0</v>
      </c>
      <c r="J633" t="n">
        <v>0</v>
      </c>
      <c r="K633" t="n">
        <v>0</v>
      </c>
      <c r="L633" t="n">
        <v>0</v>
      </c>
      <c r="M633" t="n">
        <v>0</v>
      </c>
      <c r="N633" t="n">
        <v>0</v>
      </c>
      <c r="O633" t="n">
        <v>0</v>
      </c>
      <c r="P633" t="n">
        <v>0</v>
      </c>
      <c r="Q633" t="n">
        <v>0</v>
      </c>
      <c r="R633" s="2" t="inlineStr"/>
    </row>
    <row r="634" ht="15" customHeight="1">
      <c r="A634" t="inlineStr">
        <is>
          <t>A 34726-2025</t>
        </is>
      </c>
      <c r="B634" s="1" t="n">
        <v>45848.57644675926</v>
      </c>
      <c r="C634" s="1" t="n">
        <v>46013</v>
      </c>
      <c r="D634" t="inlineStr">
        <is>
          <t>JÄMTLANDS LÄN</t>
        </is>
      </c>
      <c r="E634" t="inlineStr">
        <is>
          <t>HÄRJEDALEN</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41711-2022</t>
        </is>
      </c>
      <c r="B635" s="1" t="n">
        <v>44827</v>
      </c>
      <c r="C635" s="1" t="n">
        <v>46013</v>
      </c>
      <c r="D635" t="inlineStr">
        <is>
          <t>JÄMTLANDS LÄN</t>
        </is>
      </c>
      <c r="E635" t="inlineStr">
        <is>
          <t>HÄRJEDALEN</t>
        </is>
      </c>
      <c r="G635" t="n">
        <v>18.3</v>
      </c>
      <c r="H635" t="n">
        <v>0</v>
      </c>
      <c r="I635" t="n">
        <v>0</v>
      </c>
      <c r="J635" t="n">
        <v>0</v>
      </c>
      <c r="K635" t="n">
        <v>0</v>
      </c>
      <c r="L635" t="n">
        <v>0</v>
      </c>
      <c r="M635" t="n">
        <v>0</v>
      </c>
      <c r="N635" t="n">
        <v>0</v>
      </c>
      <c r="O635" t="n">
        <v>0</v>
      </c>
      <c r="P635" t="n">
        <v>0</v>
      </c>
      <c r="Q635" t="n">
        <v>0</v>
      </c>
      <c r="R635" s="2" t="inlineStr"/>
    </row>
    <row r="636" ht="15" customHeight="1">
      <c r="A636" t="inlineStr">
        <is>
          <t>A 34757-2025</t>
        </is>
      </c>
      <c r="B636" s="1" t="n">
        <v>45848.62873842593</v>
      </c>
      <c r="C636" s="1" t="n">
        <v>46013</v>
      </c>
      <c r="D636" t="inlineStr">
        <is>
          <t>JÄMTLANDS LÄN</t>
        </is>
      </c>
      <c r="E636" t="inlineStr">
        <is>
          <t>HÄRJEDALEN</t>
        </is>
      </c>
      <c r="G636" t="n">
        <v>19.6</v>
      </c>
      <c r="H636" t="n">
        <v>0</v>
      </c>
      <c r="I636" t="n">
        <v>0</v>
      </c>
      <c r="J636" t="n">
        <v>0</v>
      </c>
      <c r="K636" t="n">
        <v>0</v>
      </c>
      <c r="L636" t="n">
        <v>0</v>
      </c>
      <c r="M636" t="n">
        <v>0</v>
      </c>
      <c r="N636" t="n">
        <v>0</v>
      </c>
      <c r="O636" t="n">
        <v>0</v>
      </c>
      <c r="P636" t="n">
        <v>0</v>
      </c>
      <c r="Q636" t="n">
        <v>0</v>
      </c>
      <c r="R636" s="2" t="inlineStr"/>
    </row>
    <row r="637" ht="15" customHeight="1">
      <c r="A637" t="inlineStr">
        <is>
          <t>A 34761-2025</t>
        </is>
      </c>
      <c r="B637" s="1" t="n">
        <v>45848.639375</v>
      </c>
      <c r="C637" s="1" t="n">
        <v>46013</v>
      </c>
      <c r="D637" t="inlineStr">
        <is>
          <t>JÄMTLANDS LÄN</t>
        </is>
      </c>
      <c r="E637" t="inlineStr">
        <is>
          <t>HÄRJEDALEN</t>
        </is>
      </c>
      <c r="G637" t="n">
        <v>5.6</v>
      </c>
      <c r="H637" t="n">
        <v>0</v>
      </c>
      <c r="I637" t="n">
        <v>0</v>
      </c>
      <c r="J637" t="n">
        <v>0</v>
      </c>
      <c r="K637" t="n">
        <v>0</v>
      </c>
      <c r="L637" t="n">
        <v>0</v>
      </c>
      <c r="M637" t="n">
        <v>0</v>
      </c>
      <c r="N637" t="n">
        <v>0</v>
      </c>
      <c r="O637" t="n">
        <v>0</v>
      </c>
      <c r="P637" t="n">
        <v>0</v>
      </c>
      <c r="Q637" t="n">
        <v>0</v>
      </c>
      <c r="R637" s="2" t="inlineStr"/>
    </row>
    <row r="638" ht="15" customHeight="1">
      <c r="A638" t="inlineStr">
        <is>
          <t>A 34775-2025</t>
        </is>
      </c>
      <c r="B638" s="1" t="n">
        <v>45848.6568287037</v>
      </c>
      <c r="C638" s="1" t="n">
        <v>46013</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34790-2025</t>
        </is>
      </c>
      <c r="B639" s="1" t="n">
        <v>45848.68640046296</v>
      </c>
      <c r="C639" s="1" t="n">
        <v>46013</v>
      </c>
      <c r="D639" t="inlineStr">
        <is>
          <t>JÄMTLANDS LÄN</t>
        </is>
      </c>
      <c r="E639" t="inlineStr">
        <is>
          <t>HÄRJEDALEN</t>
        </is>
      </c>
      <c r="F639" t="inlineStr">
        <is>
          <t>Bergvik skog väst AB</t>
        </is>
      </c>
      <c r="G639" t="n">
        <v>32.2</v>
      </c>
      <c r="H639" t="n">
        <v>0</v>
      </c>
      <c r="I639" t="n">
        <v>0</v>
      </c>
      <c r="J639" t="n">
        <v>0</v>
      </c>
      <c r="K639" t="n">
        <v>0</v>
      </c>
      <c r="L639" t="n">
        <v>0</v>
      </c>
      <c r="M639" t="n">
        <v>0</v>
      </c>
      <c r="N639" t="n">
        <v>0</v>
      </c>
      <c r="O639" t="n">
        <v>0</v>
      </c>
      <c r="P639" t="n">
        <v>0</v>
      </c>
      <c r="Q639" t="n">
        <v>0</v>
      </c>
      <c r="R639" s="2" t="inlineStr"/>
    </row>
    <row r="640" ht="15" customHeight="1">
      <c r="A640" t="inlineStr">
        <is>
          <t>A 34702-2025</t>
        </is>
      </c>
      <c r="B640" s="1" t="n">
        <v>45848</v>
      </c>
      <c r="C640" s="1" t="n">
        <v>46013</v>
      </c>
      <c r="D640" t="inlineStr">
        <is>
          <t>JÄMTLANDS LÄN</t>
        </is>
      </c>
      <c r="E640" t="inlineStr">
        <is>
          <t>HÄRJEDALEN</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34653-2025</t>
        </is>
      </c>
      <c r="B641" s="1" t="n">
        <v>45848.35400462963</v>
      </c>
      <c r="C641" s="1" t="n">
        <v>46013</v>
      </c>
      <c r="D641" t="inlineStr">
        <is>
          <t>JÄMTLANDS LÄN</t>
        </is>
      </c>
      <c r="E641" t="inlineStr">
        <is>
          <t>HÄRJEDALEN</t>
        </is>
      </c>
      <c r="G641" t="n">
        <v>26.8</v>
      </c>
      <c r="H641" t="n">
        <v>0</v>
      </c>
      <c r="I641" t="n">
        <v>0</v>
      </c>
      <c r="J641" t="n">
        <v>0</v>
      </c>
      <c r="K641" t="n">
        <v>0</v>
      </c>
      <c r="L641" t="n">
        <v>0</v>
      </c>
      <c r="M641" t="n">
        <v>0</v>
      </c>
      <c r="N641" t="n">
        <v>0</v>
      </c>
      <c r="O641" t="n">
        <v>0</v>
      </c>
      <c r="P641" t="n">
        <v>0</v>
      </c>
      <c r="Q641" t="n">
        <v>0</v>
      </c>
      <c r="R641" s="2" t="inlineStr"/>
    </row>
    <row r="642" ht="15" customHeight="1">
      <c r="A642" t="inlineStr">
        <is>
          <t>A 55680-2025</t>
        </is>
      </c>
      <c r="B642" s="1" t="n">
        <v>45972</v>
      </c>
      <c r="C642" s="1" t="n">
        <v>46013</v>
      </c>
      <c r="D642" t="inlineStr">
        <is>
          <t>JÄMTLANDS LÄN</t>
        </is>
      </c>
      <c r="E642" t="inlineStr">
        <is>
          <t>HÄRJEDALEN</t>
        </is>
      </c>
      <c r="F642" t="inlineStr">
        <is>
          <t>Bergvik skog väst AB</t>
        </is>
      </c>
      <c r="G642" t="n">
        <v>15.1</v>
      </c>
      <c r="H642" t="n">
        <v>0</v>
      </c>
      <c r="I642" t="n">
        <v>0</v>
      </c>
      <c r="J642" t="n">
        <v>0</v>
      </c>
      <c r="K642" t="n">
        <v>0</v>
      </c>
      <c r="L642" t="n">
        <v>0</v>
      </c>
      <c r="M642" t="n">
        <v>0</v>
      </c>
      <c r="N642" t="n">
        <v>0</v>
      </c>
      <c r="O642" t="n">
        <v>0</v>
      </c>
      <c r="P642" t="n">
        <v>0</v>
      </c>
      <c r="Q642" t="n">
        <v>0</v>
      </c>
      <c r="R642" s="2" t="inlineStr"/>
    </row>
    <row r="643" ht="15" customHeight="1">
      <c r="A643" t="inlineStr">
        <is>
          <t>A 34691-2025</t>
        </is>
      </c>
      <c r="B643" s="1" t="n">
        <v>45848.45113425926</v>
      </c>
      <c r="C643" s="1" t="n">
        <v>46013</v>
      </c>
      <c r="D643" t="inlineStr">
        <is>
          <t>JÄMTLANDS LÄN</t>
        </is>
      </c>
      <c r="E643" t="inlineStr">
        <is>
          <t>HÄRJEDALEN</t>
        </is>
      </c>
      <c r="F643" t="inlineStr">
        <is>
          <t>Bergvik skog väst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34767-2025</t>
        </is>
      </c>
      <c r="B644" s="1" t="n">
        <v>45848.65003472222</v>
      </c>
      <c r="C644" s="1" t="n">
        <v>46013</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34570-2025</t>
        </is>
      </c>
      <c r="B645" s="1" t="n">
        <v>45847.58865740741</v>
      </c>
      <c r="C645" s="1" t="n">
        <v>46013</v>
      </c>
      <c r="D645" t="inlineStr">
        <is>
          <t>JÄMTLANDS LÄN</t>
        </is>
      </c>
      <c r="E645" t="inlineStr">
        <is>
          <t>HÄRJEDALEN</t>
        </is>
      </c>
      <c r="F645" t="inlineStr">
        <is>
          <t>Bergvik skog väst AB</t>
        </is>
      </c>
      <c r="G645" t="n">
        <v>19.1</v>
      </c>
      <c r="H645" t="n">
        <v>0</v>
      </c>
      <c r="I645" t="n">
        <v>0</v>
      </c>
      <c r="J645" t="n">
        <v>0</v>
      </c>
      <c r="K645" t="n">
        <v>0</v>
      </c>
      <c r="L645" t="n">
        <v>0</v>
      </c>
      <c r="M645" t="n">
        <v>0</v>
      </c>
      <c r="N645" t="n">
        <v>0</v>
      </c>
      <c r="O645" t="n">
        <v>0</v>
      </c>
      <c r="P645" t="n">
        <v>0</v>
      </c>
      <c r="Q645" t="n">
        <v>0</v>
      </c>
      <c r="R645" s="2" t="inlineStr"/>
    </row>
    <row r="646" ht="15" customHeight="1">
      <c r="A646" t="inlineStr">
        <is>
          <t>A 46058-2024</t>
        </is>
      </c>
      <c r="B646" s="1" t="n">
        <v>45580.92037037037</v>
      </c>
      <c r="C646" s="1" t="n">
        <v>46013</v>
      </c>
      <c r="D646" t="inlineStr">
        <is>
          <t>JÄMTLANDS LÄN</t>
        </is>
      </c>
      <c r="E646" t="inlineStr">
        <is>
          <t>HÄRJEDALEN</t>
        </is>
      </c>
      <c r="G646" t="n">
        <v>7.5</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46013</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47314-2025</t>
        </is>
      </c>
      <c r="B648" s="1" t="n">
        <v>45930.54700231482</v>
      </c>
      <c r="C648" s="1" t="n">
        <v>46013</v>
      </c>
      <c r="D648" t="inlineStr">
        <is>
          <t>JÄMTLANDS LÄN</t>
        </is>
      </c>
      <c r="E648" t="inlineStr">
        <is>
          <t>HÄRJEDALEN</t>
        </is>
      </c>
      <c r="G648" t="n">
        <v>4.7</v>
      </c>
      <c r="H648" t="n">
        <v>0</v>
      </c>
      <c r="I648" t="n">
        <v>0</v>
      </c>
      <c r="J648" t="n">
        <v>0</v>
      </c>
      <c r="K648" t="n">
        <v>0</v>
      </c>
      <c r="L648" t="n">
        <v>0</v>
      </c>
      <c r="M648" t="n">
        <v>0</v>
      </c>
      <c r="N648" t="n">
        <v>0</v>
      </c>
      <c r="O648" t="n">
        <v>0</v>
      </c>
      <c r="P648" t="n">
        <v>0</v>
      </c>
      <c r="Q648" t="n">
        <v>0</v>
      </c>
      <c r="R648" s="2" t="inlineStr"/>
    </row>
    <row r="649" ht="15" customHeight="1">
      <c r="A649" t="inlineStr">
        <is>
          <t>A 47021-2025</t>
        </is>
      </c>
      <c r="B649" s="1" t="n">
        <v>45929.57756944445</v>
      </c>
      <c r="C649" s="1" t="n">
        <v>46013</v>
      </c>
      <c r="D649" t="inlineStr">
        <is>
          <t>JÄMTLANDS LÄN</t>
        </is>
      </c>
      <c r="E649" t="inlineStr">
        <is>
          <t>HÄRJEDALEN</t>
        </is>
      </c>
      <c r="G649" t="n">
        <v>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46013</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55339-2025</t>
        </is>
      </c>
      <c r="B651" s="1" t="n">
        <v>45971.34488425926</v>
      </c>
      <c r="C651" s="1" t="n">
        <v>46013</v>
      </c>
      <c r="D651" t="inlineStr">
        <is>
          <t>JÄMTLANDS LÄN</t>
        </is>
      </c>
      <c r="E651" t="inlineStr">
        <is>
          <t>HÄRJEDALEN</t>
        </is>
      </c>
      <c r="G651" t="n">
        <v>10</v>
      </c>
      <c r="H651" t="n">
        <v>0</v>
      </c>
      <c r="I651" t="n">
        <v>0</v>
      </c>
      <c r="J651" t="n">
        <v>0</v>
      </c>
      <c r="K651" t="n">
        <v>0</v>
      </c>
      <c r="L651" t="n">
        <v>0</v>
      </c>
      <c r="M651" t="n">
        <v>0</v>
      </c>
      <c r="N651" t="n">
        <v>0</v>
      </c>
      <c r="O651" t="n">
        <v>0</v>
      </c>
      <c r="P651" t="n">
        <v>0</v>
      </c>
      <c r="Q651" t="n">
        <v>0</v>
      </c>
      <c r="R651" s="2" t="inlineStr"/>
    </row>
    <row r="652" ht="15" customHeight="1">
      <c r="A652" t="inlineStr">
        <is>
          <t>A 35154-2025</t>
        </is>
      </c>
      <c r="B652" s="1" t="n">
        <v>45852</v>
      </c>
      <c r="C652" s="1" t="n">
        <v>46013</v>
      </c>
      <c r="D652" t="inlineStr">
        <is>
          <t>JÄMTLANDS LÄN</t>
        </is>
      </c>
      <c r="E652" t="inlineStr">
        <is>
          <t>HÄRJEDALEN</t>
        </is>
      </c>
      <c r="G652" t="n">
        <v>14.1</v>
      </c>
      <c r="H652" t="n">
        <v>0</v>
      </c>
      <c r="I652" t="n">
        <v>0</v>
      </c>
      <c r="J652" t="n">
        <v>0</v>
      </c>
      <c r="K652" t="n">
        <v>0</v>
      </c>
      <c r="L652" t="n">
        <v>0</v>
      </c>
      <c r="M652" t="n">
        <v>0</v>
      </c>
      <c r="N652" t="n">
        <v>0</v>
      </c>
      <c r="O652" t="n">
        <v>0</v>
      </c>
      <c r="P652" t="n">
        <v>0</v>
      </c>
      <c r="Q652" t="n">
        <v>0</v>
      </c>
      <c r="R652" s="2" t="inlineStr"/>
    </row>
    <row r="653" ht="15" customHeight="1">
      <c r="A653" t="inlineStr">
        <is>
          <t>A 14798-2021</t>
        </is>
      </c>
      <c r="B653" s="1" t="n">
        <v>44280</v>
      </c>
      <c r="C653" s="1" t="n">
        <v>46013</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55761-2025</t>
        </is>
      </c>
      <c r="B654" s="1" t="n">
        <v>45972.60201388889</v>
      </c>
      <c r="C654" s="1" t="n">
        <v>46013</v>
      </c>
      <c r="D654" t="inlineStr">
        <is>
          <t>JÄMTLANDS LÄN</t>
        </is>
      </c>
      <c r="E654" t="inlineStr">
        <is>
          <t>HÄRJEDALEN</t>
        </is>
      </c>
      <c r="F654" t="inlineStr">
        <is>
          <t>Bergvik skog väst AB</t>
        </is>
      </c>
      <c r="G654" t="n">
        <v>20.8</v>
      </c>
      <c r="H654" t="n">
        <v>0</v>
      </c>
      <c r="I654" t="n">
        <v>0</v>
      </c>
      <c r="J654" t="n">
        <v>0</v>
      </c>
      <c r="K654" t="n">
        <v>0</v>
      </c>
      <c r="L654" t="n">
        <v>0</v>
      </c>
      <c r="M654" t="n">
        <v>0</v>
      </c>
      <c r="N654" t="n">
        <v>0</v>
      </c>
      <c r="O654" t="n">
        <v>0</v>
      </c>
      <c r="P654" t="n">
        <v>0</v>
      </c>
      <c r="Q654" t="n">
        <v>0</v>
      </c>
      <c r="R654" s="2" t="inlineStr"/>
    </row>
    <row r="655" ht="15" customHeight="1">
      <c r="A655" t="inlineStr">
        <is>
          <t>A 55661-2024</t>
        </is>
      </c>
      <c r="B655" s="1" t="n">
        <v>45622.64012731481</v>
      </c>
      <c r="C655" s="1" t="n">
        <v>46013</v>
      </c>
      <c r="D655" t="inlineStr">
        <is>
          <t>JÄMTLANDS LÄN</t>
        </is>
      </c>
      <c r="E655" t="inlineStr">
        <is>
          <t>HÄRJEDALEN</t>
        </is>
      </c>
      <c r="F655" t="inlineStr">
        <is>
          <t>Bergvik skog väst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46946-2025</t>
        </is>
      </c>
      <c r="B656" s="1" t="n">
        <v>45929.4609837963</v>
      </c>
      <c r="C656" s="1" t="n">
        <v>46013</v>
      </c>
      <c r="D656" t="inlineStr">
        <is>
          <t>JÄMTLANDS LÄN</t>
        </is>
      </c>
      <c r="E656" t="inlineStr">
        <is>
          <t>HÄRJEDALEN</t>
        </is>
      </c>
      <c r="F656" t="inlineStr">
        <is>
          <t>Bergvik skog öst AB</t>
        </is>
      </c>
      <c r="G656" t="n">
        <v>10.5</v>
      </c>
      <c r="H656" t="n">
        <v>0</v>
      </c>
      <c r="I656" t="n">
        <v>0</v>
      </c>
      <c r="J656" t="n">
        <v>0</v>
      </c>
      <c r="K656" t="n">
        <v>0</v>
      </c>
      <c r="L656" t="n">
        <v>0</v>
      </c>
      <c r="M656" t="n">
        <v>0</v>
      </c>
      <c r="N656" t="n">
        <v>0</v>
      </c>
      <c r="O656" t="n">
        <v>0</v>
      </c>
      <c r="P656" t="n">
        <v>0</v>
      </c>
      <c r="Q656" t="n">
        <v>0</v>
      </c>
      <c r="R656" s="2" t="inlineStr"/>
    </row>
    <row r="657" ht="15" customHeight="1">
      <c r="A657" t="inlineStr">
        <is>
          <t>A 28627-2024</t>
        </is>
      </c>
      <c r="B657" s="1" t="n">
        <v>45478.44497685185</v>
      </c>
      <c r="C657" s="1" t="n">
        <v>46013</v>
      </c>
      <c r="D657" t="inlineStr">
        <is>
          <t>JÄMTLANDS LÄN</t>
        </is>
      </c>
      <c r="E657" t="inlineStr">
        <is>
          <t>HÄRJEDALEN</t>
        </is>
      </c>
      <c r="F657" t="inlineStr">
        <is>
          <t>Bergvik skog väst AB</t>
        </is>
      </c>
      <c r="G657" t="n">
        <v>0.2</v>
      </c>
      <c r="H657" t="n">
        <v>0</v>
      </c>
      <c r="I657" t="n">
        <v>0</v>
      </c>
      <c r="J657" t="n">
        <v>0</v>
      </c>
      <c r="K657" t="n">
        <v>0</v>
      </c>
      <c r="L657" t="n">
        <v>0</v>
      </c>
      <c r="M657" t="n">
        <v>0</v>
      </c>
      <c r="N657" t="n">
        <v>0</v>
      </c>
      <c r="O657" t="n">
        <v>0</v>
      </c>
      <c r="P657" t="n">
        <v>0</v>
      </c>
      <c r="Q657" t="n">
        <v>0</v>
      </c>
      <c r="R657" s="2" t="inlineStr"/>
    </row>
    <row r="658" ht="15" customHeight="1">
      <c r="A658" t="inlineStr">
        <is>
          <t>A 34807-2025</t>
        </is>
      </c>
      <c r="B658" s="1" t="n">
        <v>45849</v>
      </c>
      <c r="C658" s="1" t="n">
        <v>46013</v>
      </c>
      <c r="D658" t="inlineStr">
        <is>
          <t>JÄMTLANDS LÄN</t>
        </is>
      </c>
      <c r="E658" t="inlineStr">
        <is>
          <t>HÄRJEDALEN</t>
        </is>
      </c>
      <c r="G658" t="n">
        <v>6.6</v>
      </c>
      <c r="H658" t="n">
        <v>0</v>
      </c>
      <c r="I658" t="n">
        <v>0</v>
      </c>
      <c r="J658" t="n">
        <v>0</v>
      </c>
      <c r="K658" t="n">
        <v>0</v>
      </c>
      <c r="L658" t="n">
        <v>0</v>
      </c>
      <c r="M658" t="n">
        <v>0</v>
      </c>
      <c r="N658" t="n">
        <v>0</v>
      </c>
      <c r="O658" t="n">
        <v>0</v>
      </c>
      <c r="P658" t="n">
        <v>0</v>
      </c>
      <c r="Q658" t="n">
        <v>0</v>
      </c>
      <c r="R658" s="2" t="inlineStr"/>
    </row>
    <row r="659" ht="15" customHeight="1">
      <c r="A659" t="inlineStr">
        <is>
          <t>A 35241-2025</t>
        </is>
      </c>
      <c r="B659" s="1" t="n">
        <v>45853.61865740741</v>
      </c>
      <c r="C659" s="1" t="n">
        <v>46013</v>
      </c>
      <c r="D659" t="inlineStr">
        <is>
          <t>JÄMTLANDS LÄN</t>
        </is>
      </c>
      <c r="E659" t="inlineStr">
        <is>
          <t>HÄRJEDALEN</t>
        </is>
      </c>
      <c r="G659" t="n">
        <v>8.6</v>
      </c>
      <c r="H659" t="n">
        <v>0</v>
      </c>
      <c r="I659" t="n">
        <v>0</v>
      </c>
      <c r="J659" t="n">
        <v>0</v>
      </c>
      <c r="K659" t="n">
        <v>0</v>
      </c>
      <c r="L659" t="n">
        <v>0</v>
      </c>
      <c r="M659" t="n">
        <v>0</v>
      </c>
      <c r="N659" t="n">
        <v>0</v>
      </c>
      <c r="O659" t="n">
        <v>0</v>
      </c>
      <c r="P659" t="n">
        <v>0</v>
      </c>
      <c r="Q659" t="n">
        <v>0</v>
      </c>
      <c r="R659" s="2" t="inlineStr"/>
    </row>
    <row r="660" ht="15" customHeight="1">
      <c r="A660" t="inlineStr">
        <is>
          <t>A 35243-2025</t>
        </is>
      </c>
      <c r="B660" s="1" t="n">
        <v>45853.62415509259</v>
      </c>
      <c r="C660" s="1" t="n">
        <v>46013</v>
      </c>
      <c r="D660" t="inlineStr">
        <is>
          <t>JÄMTLANDS LÄN</t>
        </is>
      </c>
      <c r="E660" t="inlineStr">
        <is>
          <t>HÄRJEDALEN</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35182-2025</t>
        </is>
      </c>
      <c r="B661" s="1" t="n">
        <v>45853.28325231482</v>
      </c>
      <c r="C661" s="1" t="n">
        <v>46013</v>
      </c>
      <c r="D661" t="inlineStr">
        <is>
          <t>JÄMTLANDS LÄN</t>
        </is>
      </c>
      <c r="E661" t="inlineStr">
        <is>
          <t>HÄRJEDALEN</t>
        </is>
      </c>
      <c r="G661" t="n">
        <v>32.6</v>
      </c>
      <c r="H661" t="n">
        <v>0</v>
      </c>
      <c r="I661" t="n">
        <v>0</v>
      </c>
      <c r="J661" t="n">
        <v>0</v>
      </c>
      <c r="K661" t="n">
        <v>0</v>
      </c>
      <c r="L661" t="n">
        <v>0</v>
      </c>
      <c r="M661" t="n">
        <v>0</v>
      </c>
      <c r="N661" t="n">
        <v>0</v>
      </c>
      <c r="O661" t="n">
        <v>0</v>
      </c>
      <c r="P661" t="n">
        <v>0</v>
      </c>
      <c r="Q661" t="n">
        <v>0</v>
      </c>
      <c r="R661" s="2" t="inlineStr"/>
    </row>
    <row r="662" ht="15" customHeight="1">
      <c r="A662" t="inlineStr">
        <is>
          <t>A 55640-2025</t>
        </is>
      </c>
      <c r="B662" s="1" t="n">
        <v>45972.34667824074</v>
      </c>
      <c r="C662" s="1" t="n">
        <v>46013</v>
      </c>
      <c r="D662" t="inlineStr">
        <is>
          <t>JÄMTLANDS LÄN</t>
        </is>
      </c>
      <c r="E662" t="inlineStr">
        <is>
          <t>HÄRJEDALEN</t>
        </is>
      </c>
      <c r="G662" t="n">
        <v>12.9</v>
      </c>
      <c r="H662" t="n">
        <v>0</v>
      </c>
      <c r="I662" t="n">
        <v>0</v>
      </c>
      <c r="J662" t="n">
        <v>0</v>
      </c>
      <c r="K662" t="n">
        <v>0</v>
      </c>
      <c r="L662" t="n">
        <v>0</v>
      </c>
      <c r="M662" t="n">
        <v>0</v>
      </c>
      <c r="N662" t="n">
        <v>0</v>
      </c>
      <c r="O662" t="n">
        <v>0</v>
      </c>
      <c r="P662" t="n">
        <v>0</v>
      </c>
      <c r="Q662" t="n">
        <v>0</v>
      </c>
      <c r="R662" s="2" t="inlineStr"/>
    </row>
    <row r="663" ht="15" customHeight="1">
      <c r="A663" t="inlineStr">
        <is>
          <t>A 55715-2025</t>
        </is>
      </c>
      <c r="B663" s="1" t="n">
        <v>45972.49532407407</v>
      </c>
      <c r="C663" s="1" t="n">
        <v>46013</v>
      </c>
      <c r="D663" t="inlineStr">
        <is>
          <t>JÄMTLANDS LÄN</t>
        </is>
      </c>
      <c r="E663" t="inlineStr">
        <is>
          <t>HÄRJEDALEN</t>
        </is>
      </c>
      <c r="G663" t="n">
        <v>10.7</v>
      </c>
      <c r="H663" t="n">
        <v>0</v>
      </c>
      <c r="I663" t="n">
        <v>0</v>
      </c>
      <c r="J663" t="n">
        <v>0</v>
      </c>
      <c r="K663" t="n">
        <v>0</v>
      </c>
      <c r="L663" t="n">
        <v>0</v>
      </c>
      <c r="M663" t="n">
        <v>0</v>
      </c>
      <c r="N663" t="n">
        <v>0</v>
      </c>
      <c r="O663" t="n">
        <v>0</v>
      </c>
      <c r="P663" t="n">
        <v>0</v>
      </c>
      <c r="Q663" t="n">
        <v>0</v>
      </c>
      <c r="R663" s="2" t="inlineStr"/>
    </row>
    <row r="664" ht="15" customHeight="1">
      <c r="A664" t="inlineStr">
        <is>
          <t>A 55758-2025</t>
        </is>
      </c>
      <c r="B664" s="1" t="n">
        <v>45972.59815972222</v>
      </c>
      <c r="C664" s="1" t="n">
        <v>46013</v>
      </c>
      <c r="D664" t="inlineStr">
        <is>
          <t>JÄMTLANDS LÄN</t>
        </is>
      </c>
      <c r="E664" t="inlineStr">
        <is>
          <t>HÄRJEDALEN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35297-2025</t>
        </is>
      </c>
      <c r="B665" s="1" t="n">
        <v>45854.40662037037</v>
      </c>
      <c r="C665" s="1" t="n">
        <v>46013</v>
      </c>
      <c r="D665" t="inlineStr">
        <is>
          <t>JÄMTLANDS LÄN</t>
        </is>
      </c>
      <c r="E665" t="inlineStr">
        <is>
          <t>HÄRJEDALEN</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55465-2025</t>
        </is>
      </c>
      <c r="B666" s="1" t="n">
        <v>45971.52674768519</v>
      </c>
      <c r="C666" s="1" t="n">
        <v>46013</v>
      </c>
      <c r="D666" t="inlineStr">
        <is>
          <t>JÄMTLANDS LÄN</t>
        </is>
      </c>
      <c r="E666" t="inlineStr">
        <is>
          <t>HÄRJEDALEN</t>
        </is>
      </c>
      <c r="G666" t="n">
        <v>6.1</v>
      </c>
      <c r="H666" t="n">
        <v>0</v>
      </c>
      <c r="I666" t="n">
        <v>0</v>
      </c>
      <c r="J666" t="n">
        <v>0</v>
      </c>
      <c r="K666" t="n">
        <v>0</v>
      </c>
      <c r="L666" t="n">
        <v>0</v>
      </c>
      <c r="M666" t="n">
        <v>0</v>
      </c>
      <c r="N666" t="n">
        <v>0</v>
      </c>
      <c r="O666" t="n">
        <v>0</v>
      </c>
      <c r="P666" t="n">
        <v>0</v>
      </c>
      <c r="Q666" t="n">
        <v>0</v>
      </c>
      <c r="R666" s="2" t="inlineStr"/>
    </row>
    <row r="667" ht="15" customHeight="1">
      <c r="A667" t="inlineStr">
        <is>
          <t>A 47701-2025</t>
        </is>
      </c>
      <c r="B667" s="1" t="n">
        <v>45931.60657407407</v>
      </c>
      <c r="C667" s="1" t="n">
        <v>46013</v>
      </c>
      <c r="D667" t="inlineStr">
        <is>
          <t>JÄMTLANDS LÄN</t>
        </is>
      </c>
      <c r="E667" t="inlineStr">
        <is>
          <t>HÄRJEDALEN</t>
        </is>
      </c>
      <c r="G667" t="n">
        <v>17.2</v>
      </c>
      <c r="H667" t="n">
        <v>0</v>
      </c>
      <c r="I667" t="n">
        <v>0</v>
      </c>
      <c r="J667" t="n">
        <v>0</v>
      </c>
      <c r="K667" t="n">
        <v>0</v>
      </c>
      <c r="L667" t="n">
        <v>0</v>
      </c>
      <c r="M667" t="n">
        <v>0</v>
      </c>
      <c r="N667" t="n">
        <v>0</v>
      </c>
      <c r="O667" t="n">
        <v>0</v>
      </c>
      <c r="P667" t="n">
        <v>0</v>
      </c>
      <c r="Q667" t="n">
        <v>0</v>
      </c>
      <c r="R667" s="2" t="inlineStr"/>
    </row>
    <row r="668" ht="15" customHeight="1">
      <c r="A668" t="inlineStr">
        <is>
          <t>A 35309-2025</t>
        </is>
      </c>
      <c r="B668" s="1" t="n">
        <v>45854.44850694444</v>
      </c>
      <c r="C668" s="1" t="n">
        <v>46013</v>
      </c>
      <c r="D668" t="inlineStr">
        <is>
          <t>JÄMTLANDS LÄN</t>
        </is>
      </c>
      <c r="E668" t="inlineStr">
        <is>
          <t>HÄRJEDALEN</t>
        </is>
      </c>
      <c r="F668" t="inlineStr">
        <is>
          <t>SCA</t>
        </is>
      </c>
      <c r="G668" t="n">
        <v>10.2</v>
      </c>
      <c r="H668" t="n">
        <v>0</v>
      </c>
      <c r="I668" t="n">
        <v>0</v>
      </c>
      <c r="J668" t="n">
        <v>0</v>
      </c>
      <c r="K668" t="n">
        <v>0</v>
      </c>
      <c r="L668" t="n">
        <v>0</v>
      </c>
      <c r="M668" t="n">
        <v>0</v>
      </c>
      <c r="N668" t="n">
        <v>0</v>
      </c>
      <c r="O668" t="n">
        <v>0</v>
      </c>
      <c r="P668" t="n">
        <v>0</v>
      </c>
      <c r="Q668" t="n">
        <v>0</v>
      </c>
      <c r="R668" s="2" t="inlineStr"/>
    </row>
    <row r="669" ht="15" customHeight="1">
      <c r="A669" t="inlineStr">
        <is>
          <t>A 35310-2025</t>
        </is>
      </c>
      <c r="B669" s="1" t="n">
        <v>45854.44864583333</v>
      </c>
      <c r="C669" s="1" t="n">
        <v>46013</v>
      </c>
      <c r="D669" t="inlineStr">
        <is>
          <t>JÄMTLANDS LÄN</t>
        </is>
      </c>
      <c r="E669" t="inlineStr">
        <is>
          <t>HÄRJEDALEN</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44632-2025</t>
        </is>
      </c>
      <c r="B670" s="1" t="n">
        <v>45917</v>
      </c>
      <c r="C670" s="1" t="n">
        <v>46013</v>
      </c>
      <c r="D670" t="inlineStr">
        <is>
          <t>JÄMTLANDS LÄN</t>
        </is>
      </c>
      <c r="E670" t="inlineStr">
        <is>
          <t>HÄRJEDALEN</t>
        </is>
      </c>
      <c r="G670" t="n">
        <v>1.5</v>
      </c>
      <c r="H670" t="n">
        <v>0</v>
      </c>
      <c r="I670" t="n">
        <v>0</v>
      </c>
      <c r="J670" t="n">
        <v>0</v>
      </c>
      <c r="K670" t="n">
        <v>0</v>
      </c>
      <c r="L670" t="n">
        <v>0</v>
      </c>
      <c r="M670" t="n">
        <v>0</v>
      </c>
      <c r="N670" t="n">
        <v>0</v>
      </c>
      <c r="O670" t="n">
        <v>0</v>
      </c>
      <c r="P670" t="n">
        <v>0</v>
      </c>
      <c r="Q670" t="n">
        <v>0</v>
      </c>
      <c r="R670" s="2" t="inlineStr"/>
    </row>
    <row r="671" ht="15" customHeight="1">
      <c r="A671" t="inlineStr">
        <is>
          <t>A 59462-2024</t>
        </is>
      </c>
      <c r="B671" s="1" t="n">
        <v>45638</v>
      </c>
      <c r="C671" s="1" t="n">
        <v>46013</v>
      </c>
      <c r="D671" t="inlineStr">
        <is>
          <t>JÄMTLANDS LÄN</t>
        </is>
      </c>
      <c r="E671" t="inlineStr">
        <is>
          <t>HÄRJEDALEN</t>
        </is>
      </c>
      <c r="F671" t="inlineStr">
        <is>
          <t>Holmen skog AB</t>
        </is>
      </c>
      <c r="G671" t="n">
        <v>9.6</v>
      </c>
      <c r="H671" t="n">
        <v>0</v>
      </c>
      <c r="I671" t="n">
        <v>0</v>
      </c>
      <c r="J671" t="n">
        <v>0</v>
      </c>
      <c r="K671" t="n">
        <v>0</v>
      </c>
      <c r="L671" t="n">
        <v>0</v>
      </c>
      <c r="M671" t="n">
        <v>0</v>
      </c>
      <c r="N671" t="n">
        <v>0</v>
      </c>
      <c r="O671" t="n">
        <v>0</v>
      </c>
      <c r="P671" t="n">
        <v>0</v>
      </c>
      <c r="Q671" t="n">
        <v>0</v>
      </c>
      <c r="R671" s="2" t="inlineStr"/>
    </row>
    <row r="672" ht="15" customHeight="1">
      <c r="A672" t="inlineStr">
        <is>
          <t>A 51191-2024</t>
        </is>
      </c>
      <c r="B672" s="1" t="n">
        <v>45603</v>
      </c>
      <c r="C672" s="1" t="n">
        <v>46013</v>
      </c>
      <c r="D672" t="inlineStr">
        <is>
          <t>JÄMTLANDS LÄN</t>
        </is>
      </c>
      <c r="E672" t="inlineStr">
        <is>
          <t>HÄRJEDALEN</t>
        </is>
      </c>
      <c r="F672" t="inlineStr">
        <is>
          <t>Holmen skog AB</t>
        </is>
      </c>
      <c r="G672" t="n">
        <v>9.1</v>
      </c>
      <c r="H672" t="n">
        <v>0</v>
      </c>
      <c r="I672" t="n">
        <v>0</v>
      </c>
      <c r="J672" t="n">
        <v>0</v>
      </c>
      <c r="K672" t="n">
        <v>0</v>
      </c>
      <c r="L672" t="n">
        <v>0</v>
      </c>
      <c r="M672" t="n">
        <v>0</v>
      </c>
      <c r="N672" t="n">
        <v>0</v>
      </c>
      <c r="O672" t="n">
        <v>0</v>
      </c>
      <c r="P672" t="n">
        <v>0</v>
      </c>
      <c r="Q672" t="n">
        <v>0</v>
      </c>
      <c r="R672" s="2" t="inlineStr"/>
    </row>
    <row r="673" ht="15" customHeight="1">
      <c r="A673" t="inlineStr">
        <is>
          <t>A 47727-2025</t>
        </is>
      </c>
      <c r="B673" s="1" t="n">
        <v>45931.63174768518</v>
      </c>
      <c r="C673" s="1" t="n">
        <v>46013</v>
      </c>
      <c r="D673" t="inlineStr">
        <is>
          <t>JÄMTLANDS LÄN</t>
        </is>
      </c>
      <c r="E673" t="inlineStr">
        <is>
          <t>HÄRJEDALEN</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56213-2025</t>
        </is>
      </c>
      <c r="B674" s="1" t="n">
        <v>45974.47983796296</v>
      </c>
      <c r="C674" s="1" t="n">
        <v>46013</v>
      </c>
      <c r="D674" t="inlineStr">
        <is>
          <t>JÄMTLANDS LÄN</t>
        </is>
      </c>
      <c r="E674" t="inlineStr">
        <is>
          <t>HÄRJEDALEN</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53010-2024</t>
        </is>
      </c>
      <c r="B675" s="1" t="n">
        <v>45611.4021875</v>
      </c>
      <c r="C675" s="1" t="n">
        <v>46013</v>
      </c>
      <c r="D675" t="inlineStr">
        <is>
          <t>JÄMTLANDS LÄN</t>
        </is>
      </c>
      <c r="E675" t="inlineStr">
        <is>
          <t>HÄRJEDALEN</t>
        </is>
      </c>
      <c r="G675" t="n">
        <v>4</v>
      </c>
      <c r="H675" t="n">
        <v>0</v>
      </c>
      <c r="I675" t="n">
        <v>0</v>
      </c>
      <c r="J675" t="n">
        <v>0</v>
      </c>
      <c r="K675" t="n">
        <v>0</v>
      </c>
      <c r="L675" t="n">
        <v>0</v>
      </c>
      <c r="M675" t="n">
        <v>0</v>
      </c>
      <c r="N675" t="n">
        <v>0</v>
      </c>
      <c r="O675" t="n">
        <v>0</v>
      </c>
      <c r="P675" t="n">
        <v>0</v>
      </c>
      <c r="Q675" t="n">
        <v>0</v>
      </c>
      <c r="R675" s="2" t="inlineStr"/>
    </row>
    <row r="676" ht="15" customHeight="1">
      <c r="A676" t="inlineStr">
        <is>
          <t>A 55867-2024</t>
        </is>
      </c>
      <c r="B676" s="1" t="n">
        <v>45622</v>
      </c>
      <c r="C676" s="1" t="n">
        <v>46013</v>
      </c>
      <c r="D676" t="inlineStr">
        <is>
          <t>JÄMTLANDS LÄN</t>
        </is>
      </c>
      <c r="E676" t="inlineStr">
        <is>
          <t>HÄRJEDALEN</t>
        </is>
      </c>
      <c r="F676" t="inlineStr">
        <is>
          <t>Bergvik skog väst AB</t>
        </is>
      </c>
      <c r="G676" t="n">
        <v>14.4</v>
      </c>
      <c r="H676" t="n">
        <v>0</v>
      </c>
      <c r="I676" t="n">
        <v>0</v>
      </c>
      <c r="J676" t="n">
        <v>0</v>
      </c>
      <c r="K676" t="n">
        <v>0</v>
      </c>
      <c r="L676" t="n">
        <v>0</v>
      </c>
      <c r="M676" t="n">
        <v>0</v>
      </c>
      <c r="N676" t="n">
        <v>0</v>
      </c>
      <c r="O676" t="n">
        <v>0</v>
      </c>
      <c r="P676" t="n">
        <v>0</v>
      </c>
      <c r="Q676" t="n">
        <v>0</v>
      </c>
      <c r="R676" s="2" t="inlineStr"/>
    </row>
    <row r="677" ht="15" customHeight="1">
      <c r="A677" t="inlineStr">
        <is>
          <t>A 54682-2024</t>
        </is>
      </c>
      <c r="B677" s="1" t="n">
        <v>45618</v>
      </c>
      <c r="C677" s="1" t="n">
        <v>46013</v>
      </c>
      <c r="D677" t="inlineStr">
        <is>
          <t>JÄMTLANDS LÄN</t>
        </is>
      </c>
      <c r="E677" t="inlineStr">
        <is>
          <t>HÄRJEDALEN</t>
        </is>
      </c>
      <c r="G677" t="n">
        <v>14.2</v>
      </c>
      <c r="H677" t="n">
        <v>0</v>
      </c>
      <c r="I677" t="n">
        <v>0</v>
      </c>
      <c r="J677" t="n">
        <v>0</v>
      </c>
      <c r="K677" t="n">
        <v>0</v>
      </c>
      <c r="L677" t="n">
        <v>0</v>
      </c>
      <c r="M677" t="n">
        <v>0</v>
      </c>
      <c r="N677" t="n">
        <v>0</v>
      </c>
      <c r="O677" t="n">
        <v>0</v>
      </c>
      <c r="P677" t="n">
        <v>0</v>
      </c>
      <c r="Q677" t="n">
        <v>0</v>
      </c>
      <c r="R677" s="2" t="inlineStr"/>
    </row>
    <row r="678" ht="15" customHeight="1">
      <c r="A678" t="inlineStr">
        <is>
          <t>A 47503-2025</t>
        </is>
      </c>
      <c r="B678" s="1" t="n">
        <v>45930.85418981482</v>
      </c>
      <c r="C678" s="1" t="n">
        <v>46013</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47501-2025</t>
        </is>
      </c>
      <c r="B679" s="1" t="n">
        <v>45930.85032407408</v>
      </c>
      <c r="C679" s="1" t="n">
        <v>46013</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46693-2025</t>
        </is>
      </c>
      <c r="B680" s="1" t="n">
        <v>45926</v>
      </c>
      <c r="C680" s="1" t="n">
        <v>46013</v>
      </c>
      <c r="D680" t="inlineStr">
        <is>
          <t>JÄMTLANDS LÄN</t>
        </is>
      </c>
      <c r="E680" t="inlineStr">
        <is>
          <t>HÄRJEDALEN</t>
        </is>
      </c>
      <c r="G680" t="n">
        <v>4.9</v>
      </c>
      <c r="H680" t="n">
        <v>0</v>
      </c>
      <c r="I680" t="n">
        <v>0</v>
      </c>
      <c r="J680" t="n">
        <v>0</v>
      </c>
      <c r="K680" t="n">
        <v>0</v>
      </c>
      <c r="L680" t="n">
        <v>0</v>
      </c>
      <c r="M680" t="n">
        <v>0</v>
      </c>
      <c r="N680" t="n">
        <v>0</v>
      </c>
      <c r="O680" t="n">
        <v>0</v>
      </c>
      <c r="P680" t="n">
        <v>0</v>
      </c>
      <c r="Q680" t="n">
        <v>0</v>
      </c>
      <c r="R680" s="2" t="inlineStr"/>
    </row>
    <row r="681" ht="15" customHeight="1">
      <c r="A681" t="inlineStr">
        <is>
          <t>A 29772-2023</t>
        </is>
      </c>
      <c r="B681" s="1" t="n">
        <v>45107</v>
      </c>
      <c r="C681" s="1" t="n">
        <v>46013</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56176-2025</t>
        </is>
      </c>
      <c r="B682" s="1" t="n">
        <v>45974.39936342592</v>
      </c>
      <c r="C682" s="1" t="n">
        <v>46013</v>
      </c>
      <c r="D682" t="inlineStr">
        <is>
          <t>JÄMTLANDS LÄN</t>
        </is>
      </c>
      <c r="E682" t="inlineStr">
        <is>
          <t>HÄRJEDALEN</t>
        </is>
      </c>
      <c r="F682" t="inlineStr">
        <is>
          <t>Bergvik skog väst AB</t>
        </is>
      </c>
      <c r="G682" t="n">
        <v>15.7</v>
      </c>
      <c r="H682" t="n">
        <v>0</v>
      </c>
      <c r="I682" t="n">
        <v>0</v>
      </c>
      <c r="J682" t="n">
        <v>0</v>
      </c>
      <c r="K682" t="n">
        <v>0</v>
      </c>
      <c r="L682" t="n">
        <v>0</v>
      </c>
      <c r="M682" t="n">
        <v>0</v>
      </c>
      <c r="N682" t="n">
        <v>0</v>
      </c>
      <c r="O682" t="n">
        <v>0</v>
      </c>
      <c r="P682" t="n">
        <v>0</v>
      </c>
      <c r="Q682" t="n">
        <v>0</v>
      </c>
      <c r="R682" s="2" t="inlineStr"/>
    </row>
    <row r="683" ht="15" customHeight="1">
      <c r="A683" t="inlineStr">
        <is>
          <t>A 35634-2025</t>
        </is>
      </c>
      <c r="B683" s="1" t="n">
        <v>45859</v>
      </c>
      <c r="C683" s="1" t="n">
        <v>46013</v>
      </c>
      <c r="D683" t="inlineStr">
        <is>
          <t>JÄMTLANDS LÄN</t>
        </is>
      </c>
      <c r="E683" t="inlineStr">
        <is>
          <t>HÄRJEDALEN</t>
        </is>
      </c>
      <c r="G683" t="n">
        <v>9.1</v>
      </c>
      <c r="H683" t="n">
        <v>0</v>
      </c>
      <c r="I683" t="n">
        <v>0</v>
      </c>
      <c r="J683" t="n">
        <v>0</v>
      </c>
      <c r="K683" t="n">
        <v>0</v>
      </c>
      <c r="L683" t="n">
        <v>0</v>
      </c>
      <c r="M683" t="n">
        <v>0</v>
      </c>
      <c r="N683" t="n">
        <v>0</v>
      </c>
      <c r="O683" t="n">
        <v>0</v>
      </c>
      <c r="P683" t="n">
        <v>0</v>
      </c>
      <c r="Q683" t="n">
        <v>0</v>
      </c>
      <c r="R683" s="2" t="inlineStr"/>
    </row>
    <row r="684" ht="15" customHeight="1">
      <c r="A684" t="inlineStr">
        <is>
          <t>A 55852-2025</t>
        </is>
      </c>
      <c r="B684" s="1" t="n">
        <v>45973</v>
      </c>
      <c r="C684" s="1" t="n">
        <v>46013</v>
      </c>
      <c r="D684" t="inlineStr">
        <is>
          <t>JÄMTLANDS LÄN</t>
        </is>
      </c>
      <c r="E684" t="inlineStr">
        <is>
          <t>HÄRJEDALEN</t>
        </is>
      </c>
      <c r="G684" t="n">
        <v>11.7</v>
      </c>
      <c r="H684" t="n">
        <v>0</v>
      </c>
      <c r="I684" t="n">
        <v>0</v>
      </c>
      <c r="J684" t="n">
        <v>0</v>
      </c>
      <c r="K684" t="n">
        <v>0</v>
      </c>
      <c r="L684" t="n">
        <v>0</v>
      </c>
      <c r="M684" t="n">
        <v>0</v>
      </c>
      <c r="N684" t="n">
        <v>0</v>
      </c>
      <c r="O684" t="n">
        <v>0</v>
      </c>
      <c r="P684" t="n">
        <v>0</v>
      </c>
      <c r="Q684" t="n">
        <v>0</v>
      </c>
      <c r="R684" s="2" t="inlineStr"/>
    </row>
    <row r="685" ht="15" customHeight="1">
      <c r="A685" t="inlineStr">
        <is>
          <t>A 56134-2025</t>
        </is>
      </c>
      <c r="B685" s="1" t="n">
        <v>45974</v>
      </c>
      <c r="C685" s="1" t="n">
        <v>46013</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12450-2025</t>
        </is>
      </c>
      <c r="B686" s="1" t="n">
        <v>45730</v>
      </c>
      <c r="C686" s="1" t="n">
        <v>46013</v>
      </c>
      <c r="D686" t="inlineStr">
        <is>
          <t>JÄMTLANDS LÄN</t>
        </is>
      </c>
      <c r="E686" t="inlineStr">
        <is>
          <t>HÄRJEDALEN</t>
        </is>
      </c>
      <c r="G686" t="n">
        <v>7.6</v>
      </c>
      <c r="H686" t="n">
        <v>0</v>
      </c>
      <c r="I686" t="n">
        <v>0</v>
      </c>
      <c r="J686" t="n">
        <v>0</v>
      </c>
      <c r="K686" t="n">
        <v>0</v>
      </c>
      <c r="L686" t="n">
        <v>0</v>
      </c>
      <c r="M686" t="n">
        <v>0</v>
      </c>
      <c r="N686" t="n">
        <v>0</v>
      </c>
      <c r="O686" t="n">
        <v>0</v>
      </c>
      <c r="P686" t="n">
        <v>0</v>
      </c>
      <c r="Q686" t="n">
        <v>0</v>
      </c>
      <c r="R686" s="2" t="inlineStr"/>
    </row>
    <row r="687" ht="15" customHeight="1">
      <c r="A687" t="inlineStr">
        <is>
          <t>A 35810-2025</t>
        </is>
      </c>
      <c r="B687" s="1" t="n">
        <v>45861</v>
      </c>
      <c r="C687" s="1" t="n">
        <v>46013</v>
      </c>
      <c r="D687" t="inlineStr">
        <is>
          <t>JÄMTLANDS LÄN</t>
        </is>
      </c>
      <c r="E687" t="inlineStr">
        <is>
          <t>HÄRJEDALEN</t>
        </is>
      </c>
      <c r="F687" t="inlineStr">
        <is>
          <t>Bergvik skog väst AB</t>
        </is>
      </c>
      <c r="G687" t="n">
        <v>41.3</v>
      </c>
      <c r="H687" t="n">
        <v>0</v>
      </c>
      <c r="I687" t="n">
        <v>0</v>
      </c>
      <c r="J687" t="n">
        <v>0</v>
      </c>
      <c r="K687" t="n">
        <v>0</v>
      </c>
      <c r="L687" t="n">
        <v>0</v>
      </c>
      <c r="M687" t="n">
        <v>0</v>
      </c>
      <c r="N687" t="n">
        <v>0</v>
      </c>
      <c r="O687" t="n">
        <v>0</v>
      </c>
      <c r="P687" t="n">
        <v>0</v>
      </c>
      <c r="Q687" t="n">
        <v>0</v>
      </c>
      <c r="R687" s="2" t="inlineStr"/>
    </row>
    <row r="688" ht="15" customHeight="1">
      <c r="A688" t="inlineStr">
        <is>
          <t>A 17037-2025</t>
        </is>
      </c>
      <c r="B688" s="1" t="n">
        <v>45755</v>
      </c>
      <c r="C688" s="1" t="n">
        <v>46013</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43623-2024</t>
        </is>
      </c>
      <c r="B689" s="1" t="n">
        <v>45569.48626157407</v>
      </c>
      <c r="C689" s="1" t="n">
        <v>46013</v>
      </c>
      <c r="D689" t="inlineStr">
        <is>
          <t>JÄMTLANDS LÄN</t>
        </is>
      </c>
      <c r="E689" t="inlineStr">
        <is>
          <t>HÄRJEDALEN</t>
        </is>
      </c>
      <c r="G689" t="n">
        <v>3.4</v>
      </c>
      <c r="H689" t="n">
        <v>0</v>
      </c>
      <c r="I689" t="n">
        <v>0</v>
      </c>
      <c r="J689" t="n">
        <v>0</v>
      </c>
      <c r="K689" t="n">
        <v>0</v>
      </c>
      <c r="L689" t="n">
        <v>0</v>
      </c>
      <c r="M689" t="n">
        <v>0</v>
      </c>
      <c r="N689" t="n">
        <v>0</v>
      </c>
      <c r="O689" t="n">
        <v>0</v>
      </c>
      <c r="P689" t="n">
        <v>0</v>
      </c>
      <c r="Q689" t="n">
        <v>0</v>
      </c>
      <c r="R689" s="2" t="inlineStr"/>
    </row>
    <row r="690" ht="15" customHeight="1">
      <c r="A690" t="inlineStr">
        <is>
          <t>A 55890-2025</t>
        </is>
      </c>
      <c r="B690" s="1" t="n">
        <v>45973.3788425926</v>
      </c>
      <c r="C690" s="1" t="n">
        <v>46013</v>
      </c>
      <c r="D690" t="inlineStr">
        <is>
          <t>JÄMTLANDS LÄN</t>
        </is>
      </c>
      <c r="E690" t="inlineStr">
        <is>
          <t>HÄRJEDALEN</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12449-2025</t>
        </is>
      </c>
      <c r="B691" s="1" t="n">
        <v>45730</v>
      </c>
      <c r="C691" s="1" t="n">
        <v>46013</v>
      </c>
      <c r="D691" t="inlineStr">
        <is>
          <t>JÄMTLANDS LÄN</t>
        </is>
      </c>
      <c r="E691" t="inlineStr">
        <is>
          <t>HÄRJEDALEN</t>
        </is>
      </c>
      <c r="G691" t="n">
        <v>10.7</v>
      </c>
      <c r="H691" t="n">
        <v>0</v>
      </c>
      <c r="I691" t="n">
        <v>0</v>
      </c>
      <c r="J691" t="n">
        <v>0</v>
      </c>
      <c r="K691" t="n">
        <v>0</v>
      </c>
      <c r="L691" t="n">
        <v>0</v>
      </c>
      <c r="M691" t="n">
        <v>0</v>
      </c>
      <c r="N691" t="n">
        <v>0</v>
      </c>
      <c r="O691" t="n">
        <v>0</v>
      </c>
      <c r="P691" t="n">
        <v>0</v>
      </c>
      <c r="Q691" t="n">
        <v>0</v>
      </c>
      <c r="R691" s="2" t="inlineStr"/>
    </row>
    <row r="692" ht="15" customHeight="1">
      <c r="A692" t="inlineStr">
        <is>
          <t>A 55940-2025</t>
        </is>
      </c>
      <c r="B692" s="1" t="n">
        <v>45973.45135416667</v>
      </c>
      <c r="C692" s="1" t="n">
        <v>46013</v>
      </c>
      <c r="D692" t="inlineStr">
        <is>
          <t>JÄMTLANDS LÄN</t>
        </is>
      </c>
      <c r="E692" t="inlineStr">
        <is>
          <t>HÄRJEDALEN</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55965-2025</t>
        </is>
      </c>
      <c r="B693" s="1" t="n">
        <v>45973.48260416667</v>
      </c>
      <c r="C693" s="1" t="n">
        <v>46013</v>
      </c>
      <c r="D693" t="inlineStr">
        <is>
          <t>JÄMTLANDS LÄN</t>
        </is>
      </c>
      <c r="E693" t="inlineStr">
        <is>
          <t>HÄRJEDALEN</t>
        </is>
      </c>
      <c r="F693" t="inlineStr">
        <is>
          <t>Holmen skog AB</t>
        </is>
      </c>
      <c r="G693" t="n">
        <v>3.9</v>
      </c>
      <c r="H693" t="n">
        <v>0</v>
      </c>
      <c r="I693" t="n">
        <v>0</v>
      </c>
      <c r="J693" t="n">
        <v>0</v>
      </c>
      <c r="K693" t="n">
        <v>0</v>
      </c>
      <c r="L693" t="n">
        <v>0</v>
      </c>
      <c r="M693" t="n">
        <v>0</v>
      </c>
      <c r="N693" t="n">
        <v>0</v>
      </c>
      <c r="O693" t="n">
        <v>0</v>
      </c>
      <c r="P693" t="n">
        <v>0</v>
      </c>
      <c r="Q693" t="n">
        <v>0</v>
      </c>
      <c r="R693" s="2" t="inlineStr"/>
    </row>
    <row r="694" ht="15" customHeight="1">
      <c r="A694" t="inlineStr">
        <is>
          <t>A 55877-2025</t>
        </is>
      </c>
      <c r="B694" s="1" t="n">
        <v>45973.36349537037</v>
      </c>
      <c r="C694" s="1" t="n">
        <v>46013</v>
      </c>
      <c r="D694" t="inlineStr">
        <is>
          <t>JÄMTLANDS LÄN</t>
        </is>
      </c>
      <c r="E694" t="inlineStr">
        <is>
          <t>HÄRJEDALEN</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47699-2025</t>
        </is>
      </c>
      <c r="B695" s="1" t="n">
        <v>45931.60063657408</v>
      </c>
      <c r="C695" s="1" t="n">
        <v>46013</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56197-2025</t>
        </is>
      </c>
      <c r="B696" s="1" t="n">
        <v>45974.45393518519</v>
      </c>
      <c r="C696" s="1" t="n">
        <v>46013</v>
      </c>
      <c r="D696" t="inlineStr">
        <is>
          <t>JÄMTLANDS LÄN</t>
        </is>
      </c>
      <c r="E696" t="inlineStr">
        <is>
          <t>HÄRJEDALEN</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12017-2025</t>
        </is>
      </c>
      <c r="B697" s="1" t="n">
        <v>45728</v>
      </c>
      <c r="C697" s="1" t="n">
        <v>46013</v>
      </c>
      <c r="D697" t="inlineStr">
        <is>
          <t>JÄMTLANDS LÄN</t>
        </is>
      </c>
      <c r="E697" t="inlineStr">
        <is>
          <t>HÄRJEDALEN</t>
        </is>
      </c>
      <c r="G697" t="n">
        <v>35.4</v>
      </c>
      <c r="H697" t="n">
        <v>0</v>
      </c>
      <c r="I697" t="n">
        <v>0</v>
      </c>
      <c r="J697" t="n">
        <v>0</v>
      </c>
      <c r="K697" t="n">
        <v>0</v>
      </c>
      <c r="L697" t="n">
        <v>0</v>
      </c>
      <c r="M697" t="n">
        <v>0</v>
      </c>
      <c r="N697" t="n">
        <v>0</v>
      </c>
      <c r="O697" t="n">
        <v>0</v>
      </c>
      <c r="P697" t="n">
        <v>0</v>
      </c>
      <c r="Q697" t="n">
        <v>0</v>
      </c>
      <c r="R697" s="2" t="inlineStr"/>
    </row>
    <row r="698" ht="15" customHeight="1">
      <c r="A698" t="inlineStr">
        <is>
          <t>A 36066-2025</t>
        </is>
      </c>
      <c r="B698" s="1" t="n">
        <v>45866.40701388889</v>
      </c>
      <c r="C698" s="1" t="n">
        <v>46013</v>
      </c>
      <c r="D698" t="inlineStr">
        <is>
          <t>JÄMTLANDS LÄN</t>
        </is>
      </c>
      <c r="E698" t="inlineStr">
        <is>
          <t>HÄRJEDALEN</t>
        </is>
      </c>
      <c r="G698" t="n">
        <v>21.8</v>
      </c>
      <c r="H698" t="n">
        <v>0</v>
      </c>
      <c r="I698" t="n">
        <v>0</v>
      </c>
      <c r="J698" t="n">
        <v>0</v>
      </c>
      <c r="K698" t="n">
        <v>0</v>
      </c>
      <c r="L698" t="n">
        <v>0</v>
      </c>
      <c r="M698" t="n">
        <v>0</v>
      </c>
      <c r="N698" t="n">
        <v>0</v>
      </c>
      <c r="O698" t="n">
        <v>0</v>
      </c>
      <c r="P698" t="n">
        <v>0</v>
      </c>
      <c r="Q698" t="n">
        <v>0</v>
      </c>
      <c r="R698" s="2" t="inlineStr"/>
    </row>
    <row r="699" ht="15" customHeight="1">
      <c r="A699" t="inlineStr">
        <is>
          <t>A 36133-2025</t>
        </is>
      </c>
      <c r="B699" s="1" t="n">
        <v>45866.62908564815</v>
      </c>
      <c r="C699" s="1" t="n">
        <v>46013</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56646-2025</t>
        </is>
      </c>
      <c r="B700" s="1" t="n">
        <v>45975.634375</v>
      </c>
      <c r="C700" s="1" t="n">
        <v>46013</v>
      </c>
      <c r="D700" t="inlineStr">
        <is>
          <t>JÄMTLANDS LÄN</t>
        </is>
      </c>
      <c r="E700" t="inlineStr">
        <is>
          <t>HÄRJEDALEN</t>
        </is>
      </c>
      <c r="F700" t="inlineStr">
        <is>
          <t>Bergvik skog väst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48284-2025</t>
        </is>
      </c>
      <c r="B701" s="1" t="n">
        <v>45933</v>
      </c>
      <c r="C701" s="1" t="n">
        <v>46013</v>
      </c>
      <c r="D701" t="inlineStr">
        <is>
          <t>JÄMTLANDS LÄN</t>
        </is>
      </c>
      <c r="E701" t="inlineStr">
        <is>
          <t>HÄRJEDALEN</t>
        </is>
      </c>
      <c r="G701" t="n">
        <v>6.3</v>
      </c>
      <c r="H701" t="n">
        <v>0</v>
      </c>
      <c r="I701" t="n">
        <v>0</v>
      </c>
      <c r="J701" t="n">
        <v>0</v>
      </c>
      <c r="K701" t="n">
        <v>0</v>
      </c>
      <c r="L701" t="n">
        <v>0</v>
      </c>
      <c r="M701" t="n">
        <v>0</v>
      </c>
      <c r="N701" t="n">
        <v>0</v>
      </c>
      <c r="O701" t="n">
        <v>0</v>
      </c>
      <c r="P701" t="n">
        <v>0</v>
      </c>
      <c r="Q701" t="n">
        <v>0</v>
      </c>
      <c r="R701" s="2" t="inlineStr"/>
    </row>
    <row r="702" ht="15" customHeight="1">
      <c r="A702" t="inlineStr">
        <is>
          <t>A 58106-2024</t>
        </is>
      </c>
      <c r="B702" s="1" t="n">
        <v>45632</v>
      </c>
      <c r="C702" s="1" t="n">
        <v>46013</v>
      </c>
      <c r="D702" t="inlineStr">
        <is>
          <t>JÄMTLANDS LÄN</t>
        </is>
      </c>
      <c r="E702" t="inlineStr">
        <is>
          <t>HÄRJEDALEN</t>
        </is>
      </c>
      <c r="G702" t="n">
        <v>0.2</v>
      </c>
      <c r="H702" t="n">
        <v>0</v>
      </c>
      <c r="I702" t="n">
        <v>0</v>
      </c>
      <c r="J702" t="n">
        <v>0</v>
      </c>
      <c r="K702" t="n">
        <v>0</v>
      </c>
      <c r="L702" t="n">
        <v>0</v>
      </c>
      <c r="M702" t="n">
        <v>0</v>
      </c>
      <c r="N702" t="n">
        <v>0</v>
      </c>
      <c r="O702" t="n">
        <v>0</v>
      </c>
      <c r="P702" t="n">
        <v>0</v>
      </c>
      <c r="Q702" t="n">
        <v>0</v>
      </c>
      <c r="R702" s="2" t="inlineStr"/>
    </row>
    <row r="703" ht="15" customHeight="1">
      <c r="A703" t="inlineStr">
        <is>
          <t>A 36399-2025</t>
        </is>
      </c>
      <c r="B703" s="1" t="n">
        <v>45868.639375</v>
      </c>
      <c r="C703" s="1" t="n">
        <v>46013</v>
      </c>
      <c r="D703" t="inlineStr">
        <is>
          <t>JÄMTLANDS LÄN</t>
        </is>
      </c>
      <c r="E703" t="inlineStr">
        <is>
          <t>HÄRJEDALEN</t>
        </is>
      </c>
      <c r="G703" t="n">
        <v>4.8</v>
      </c>
      <c r="H703" t="n">
        <v>0</v>
      </c>
      <c r="I703" t="n">
        <v>0</v>
      </c>
      <c r="J703" t="n">
        <v>0</v>
      </c>
      <c r="K703" t="n">
        <v>0</v>
      </c>
      <c r="L703" t="n">
        <v>0</v>
      </c>
      <c r="M703" t="n">
        <v>0</v>
      </c>
      <c r="N703" t="n">
        <v>0</v>
      </c>
      <c r="O703" t="n">
        <v>0</v>
      </c>
      <c r="P703" t="n">
        <v>0</v>
      </c>
      <c r="Q703" t="n">
        <v>0</v>
      </c>
      <c r="R703" s="2" t="inlineStr"/>
    </row>
    <row r="704" ht="15" customHeight="1">
      <c r="A704" t="inlineStr">
        <is>
          <t>A 36241-2025</t>
        </is>
      </c>
      <c r="B704" s="1" t="n">
        <v>45867.55305555555</v>
      </c>
      <c r="C704" s="1" t="n">
        <v>46013</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52794-2024</t>
        </is>
      </c>
      <c r="B705" s="1" t="n">
        <v>45610.55846064815</v>
      </c>
      <c r="C705" s="1" t="n">
        <v>46013</v>
      </c>
      <c r="D705" t="inlineStr">
        <is>
          <t>JÄMTLANDS LÄN</t>
        </is>
      </c>
      <c r="E705" t="inlineStr">
        <is>
          <t>HÄRJEDALEN</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37638-2023</t>
        </is>
      </c>
      <c r="B706" s="1" t="n">
        <v>45159.46996527778</v>
      </c>
      <c r="C706" s="1" t="n">
        <v>46013</v>
      </c>
      <c r="D706" t="inlineStr">
        <is>
          <t>JÄMTLANDS LÄN</t>
        </is>
      </c>
      <c r="E706" t="inlineStr">
        <is>
          <t>HÄRJEDALEN</t>
        </is>
      </c>
      <c r="F706" t="inlineStr">
        <is>
          <t>Bergvik skog väst AB</t>
        </is>
      </c>
      <c r="G706" t="n">
        <v>4.3</v>
      </c>
      <c r="H706" t="n">
        <v>0</v>
      </c>
      <c r="I706" t="n">
        <v>0</v>
      </c>
      <c r="J706" t="n">
        <v>0</v>
      </c>
      <c r="K706" t="n">
        <v>0</v>
      </c>
      <c r="L706" t="n">
        <v>0</v>
      </c>
      <c r="M706" t="n">
        <v>0</v>
      </c>
      <c r="N706" t="n">
        <v>0</v>
      </c>
      <c r="O706" t="n">
        <v>0</v>
      </c>
      <c r="P706" t="n">
        <v>0</v>
      </c>
      <c r="Q706" t="n">
        <v>0</v>
      </c>
      <c r="R706" s="2" t="inlineStr"/>
    </row>
    <row r="707" ht="15" customHeight="1">
      <c r="A707" t="inlineStr">
        <is>
          <t>A 57013-2025</t>
        </is>
      </c>
      <c r="B707" s="1" t="n">
        <v>45978.82456018519</v>
      </c>
      <c r="C707" s="1" t="n">
        <v>46013</v>
      </c>
      <c r="D707" t="inlineStr">
        <is>
          <t>JÄMTLANDS LÄN</t>
        </is>
      </c>
      <c r="E707" t="inlineStr">
        <is>
          <t>HÄRJEDALEN</t>
        </is>
      </c>
      <c r="F707" t="inlineStr">
        <is>
          <t>Bergvik skog väst AB</t>
        </is>
      </c>
      <c r="G707" t="n">
        <v>36.5</v>
      </c>
      <c r="H707" t="n">
        <v>0</v>
      </c>
      <c r="I707" t="n">
        <v>0</v>
      </c>
      <c r="J707" t="n">
        <v>0</v>
      </c>
      <c r="K707" t="n">
        <v>0</v>
      </c>
      <c r="L707" t="n">
        <v>0</v>
      </c>
      <c r="M707" t="n">
        <v>0</v>
      </c>
      <c r="N707" t="n">
        <v>0</v>
      </c>
      <c r="O707" t="n">
        <v>0</v>
      </c>
      <c r="P707" t="n">
        <v>0</v>
      </c>
      <c r="Q707" t="n">
        <v>0</v>
      </c>
      <c r="R707" s="2" t="inlineStr"/>
    </row>
    <row r="708" ht="15" customHeight="1">
      <c r="A708" t="inlineStr">
        <is>
          <t>A 62708-2022</t>
        </is>
      </c>
      <c r="B708" s="1" t="n">
        <v>44925.60457175926</v>
      </c>
      <c r="C708" s="1" t="n">
        <v>46013</v>
      </c>
      <c r="D708" t="inlineStr">
        <is>
          <t>JÄMTLANDS LÄN</t>
        </is>
      </c>
      <c r="E708" t="inlineStr">
        <is>
          <t>HÄRJEDALEN</t>
        </is>
      </c>
      <c r="F708" t="inlineStr">
        <is>
          <t>Holmen skog AB</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62724-2022</t>
        </is>
      </c>
      <c r="B709" s="1" t="n">
        <v>44925.64309027778</v>
      </c>
      <c r="C709" s="1" t="n">
        <v>46013</v>
      </c>
      <c r="D709" t="inlineStr">
        <is>
          <t>JÄMTLANDS LÄN</t>
        </is>
      </c>
      <c r="E709" t="inlineStr">
        <is>
          <t>HÄRJEDALEN</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56451-2025</t>
        </is>
      </c>
      <c r="B710" s="1" t="n">
        <v>45975.3537037037</v>
      </c>
      <c r="C710" s="1" t="n">
        <v>46013</v>
      </c>
      <c r="D710" t="inlineStr">
        <is>
          <t>JÄMTLANDS LÄN</t>
        </is>
      </c>
      <c r="E710" t="inlineStr">
        <is>
          <t>HÄRJEDALEN</t>
        </is>
      </c>
      <c r="F710" t="inlineStr">
        <is>
          <t>Bergvik skog väst AB</t>
        </is>
      </c>
      <c r="G710" t="n">
        <v>10.5</v>
      </c>
      <c r="H710" t="n">
        <v>0</v>
      </c>
      <c r="I710" t="n">
        <v>0</v>
      </c>
      <c r="J710" t="n">
        <v>0</v>
      </c>
      <c r="K710" t="n">
        <v>0</v>
      </c>
      <c r="L710" t="n">
        <v>0</v>
      </c>
      <c r="M710" t="n">
        <v>0</v>
      </c>
      <c r="N710" t="n">
        <v>0</v>
      </c>
      <c r="O710" t="n">
        <v>0</v>
      </c>
      <c r="P710" t="n">
        <v>0</v>
      </c>
      <c r="Q710" t="n">
        <v>0</v>
      </c>
      <c r="R710" s="2" t="inlineStr"/>
    </row>
    <row r="711" ht="15" customHeight="1">
      <c r="A711" t="inlineStr">
        <is>
          <t>A 36976-2025</t>
        </is>
      </c>
      <c r="B711" s="1" t="n">
        <v>45874.64199074074</v>
      </c>
      <c r="C711" s="1" t="n">
        <v>46013</v>
      </c>
      <c r="D711" t="inlineStr">
        <is>
          <t>JÄMTLANDS LÄN</t>
        </is>
      </c>
      <c r="E711" t="inlineStr">
        <is>
          <t>HÄRJEDALEN</t>
        </is>
      </c>
      <c r="G711" t="n">
        <v>1.3</v>
      </c>
      <c r="H711" t="n">
        <v>0</v>
      </c>
      <c r="I711" t="n">
        <v>0</v>
      </c>
      <c r="J711" t="n">
        <v>0</v>
      </c>
      <c r="K711" t="n">
        <v>0</v>
      </c>
      <c r="L711" t="n">
        <v>0</v>
      </c>
      <c r="M711" t="n">
        <v>0</v>
      </c>
      <c r="N711" t="n">
        <v>0</v>
      </c>
      <c r="O711" t="n">
        <v>0</v>
      </c>
      <c r="P711" t="n">
        <v>0</v>
      </c>
      <c r="Q711" t="n">
        <v>0</v>
      </c>
      <c r="R711" s="2" t="inlineStr"/>
    </row>
    <row r="712" ht="15" customHeight="1">
      <c r="A712" t="inlineStr">
        <is>
          <t>A 56595-2025</t>
        </is>
      </c>
      <c r="B712" s="1" t="n">
        <v>45975.56932870371</v>
      </c>
      <c r="C712" s="1" t="n">
        <v>46013</v>
      </c>
      <c r="D712" t="inlineStr">
        <is>
          <t>JÄMTLANDS LÄN</t>
        </is>
      </c>
      <c r="E712" t="inlineStr">
        <is>
          <t>HÄRJEDALEN</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46013</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46013</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36083-2024</t>
        </is>
      </c>
      <c r="B715" s="1" t="n">
        <v>45533.67138888889</v>
      </c>
      <c r="C715" s="1" t="n">
        <v>46013</v>
      </c>
      <c r="D715" t="inlineStr">
        <is>
          <t>JÄMTLANDS LÄN</t>
        </is>
      </c>
      <c r="E715" t="inlineStr">
        <is>
          <t>HÄRJEDALEN</t>
        </is>
      </c>
      <c r="G715" t="n">
        <v>0.9</v>
      </c>
      <c r="H715" t="n">
        <v>0</v>
      </c>
      <c r="I715" t="n">
        <v>0</v>
      </c>
      <c r="J715" t="n">
        <v>0</v>
      </c>
      <c r="K715" t="n">
        <v>0</v>
      </c>
      <c r="L715" t="n">
        <v>0</v>
      </c>
      <c r="M715" t="n">
        <v>0</v>
      </c>
      <c r="N715" t="n">
        <v>0</v>
      </c>
      <c r="O715" t="n">
        <v>0</v>
      </c>
      <c r="P715" t="n">
        <v>0</v>
      </c>
      <c r="Q715" t="n">
        <v>0</v>
      </c>
      <c r="R715" s="2" t="inlineStr"/>
    </row>
    <row r="716" ht="15" customHeight="1">
      <c r="A716" t="inlineStr">
        <is>
          <t>A 56868-2025</t>
        </is>
      </c>
      <c r="B716" s="1" t="n">
        <v>45978.5205324074</v>
      </c>
      <c r="C716" s="1" t="n">
        <v>46013</v>
      </c>
      <c r="D716" t="inlineStr">
        <is>
          <t>JÄMTLANDS LÄN</t>
        </is>
      </c>
      <c r="E716" t="inlineStr">
        <is>
          <t>HÄRJEDALEN</t>
        </is>
      </c>
      <c r="G716" t="n">
        <v>4.7</v>
      </c>
      <c r="H716" t="n">
        <v>0</v>
      </c>
      <c r="I716" t="n">
        <v>0</v>
      </c>
      <c r="J716" t="n">
        <v>0</v>
      </c>
      <c r="K716" t="n">
        <v>0</v>
      </c>
      <c r="L716" t="n">
        <v>0</v>
      </c>
      <c r="M716" t="n">
        <v>0</v>
      </c>
      <c r="N716" t="n">
        <v>0</v>
      </c>
      <c r="O716" t="n">
        <v>0</v>
      </c>
      <c r="P716" t="n">
        <v>0</v>
      </c>
      <c r="Q716" t="n">
        <v>0</v>
      </c>
      <c r="R716" s="2" t="inlineStr"/>
    </row>
    <row r="717" ht="15" customHeight="1">
      <c r="A717" t="inlineStr">
        <is>
          <t>A 17896-2025</t>
        </is>
      </c>
      <c r="B717" s="1" t="n">
        <v>45758.69638888889</v>
      </c>
      <c r="C717" s="1" t="n">
        <v>46013</v>
      </c>
      <c r="D717" t="inlineStr">
        <is>
          <t>JÄMTLANDS LÄN</t>
        </is>
      </c>
      <c r="E717" t="inlineStr">
        <is>
          <t>HÄRJEDALEN</t>
        </is>
      </c>
      <c r="G717" t="n">
        <v>5</v>
      </c>
      <c r="H717" t="n">
        <v>0</v>
      </c>
      <c r="I717" t="n">
        <v>0</v>
      </c>
      <c r="J717" t="n">
        <v>0</v>
      </c>
      <c r="K717" t="n">
        <v>0</v>
      </c>
      <c r="L717" t="n">
        <v>0</v>
      </c>
      <c r="M717" t="n">
        <v>0</v>
      </c>
      <c r="N717" t="n">
        <v>0</v>
      </c>
      <c r="O717" t="n">
        <v>0</v>
      </c>
      <c r="P717" t="n">
        <v>0</v>
      </c>
      <c r="Q717" t="n">
        <v>0</v>
      </c>
      <c r="R717" s="2" t="inlineStr"/>
    </row>
    <row r="718" ht="15" customHeight="1">
      <c r="A718" t="inlineStr">
        <is>
          <t>A 37747-2023</t>
        </is>
      </c>
      <c r="B718" s="1" t="n">
        <v>45159</v>
      </c>
      <c r="C718" s="1" t="n">
        <v>46013</v>
      </c>
      <c r="D718" t="inlineStr">
        <is>
          <t>JÄMTLANDS LÄN</t>
        </is>
      </c>
      <c r="E718" t="inlineStr">
        <is>
          <t>HÄRJEDALEN</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37762-2023</t>
        </is>
      </c>
      <c r="B719" s="1" t="n">
        <v>45159</v>
      </c>
      <c r="C719" s="1" t="n">
        <v>46013</v>
      </c>
      <c r="D719" t="inlineStr">
        <is>
          <t>JÄMTLANDS LÄN</t>
        </is>
      </c>
      <c r="E719" t="inlineStr">
        <is>
          <t>HÄRJEDALEN</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61140-2024</t>
        </is>
      </c>
      <c r="B720" s="1" t="n">
        <v>45644</v>
      </c>
      <c r="C720" s="1" t="n">
        <v>46013</v>
      </c>
      <c r="D720" t="inlineStr">
        <is>
          <t>JÄMTLANDS LÄN</t>
        </is>
      </c>
      <c r="E720" t="inlineStr">
        <is>
          <t>HÄRJEDALEN</t>
        </is>
      </c>
      <c r="G720" t="n">
        <v>29.7</v>
      </c>
      <c r="H720" t="n">
        <v>0</v>
      </c>
      <c r="I720" t="n">
        <v>0</v>
      </c>
      <c r="J720" t="n">
        <v>0</v>
      </c>
      <c r="K720" t="n">
        <v>0</v>
      </c>
      <c r="L720" t="n">
        <v>0</v>
      </c>
      <c r="M720" t="n">
        <v>0</v>
      </c>
      <c r="N720" t="n">
        <v>0</v>
      </c>
      <c r="O720" t="n">
        <v>0</v>
      </c>
      <c r="P720" t="n">
        <v>0</v>
      </c>
      <c r="Q720" t="n">
        <v>0</v>
      </c>
      <c r="R720" s="2" t="inlineStr"/>
    </row>
    <row r="721" ht="15" customHeight="1">
      <c r="A721" t="inlineStr">
        <is>
          <t>A 21596-2021</t>
        </is>
      </c>
      <c r="B721" s="1" t="n">
        <v>44314</v>
      </c>
      <c r="C721" s="1" t="n">
        <v>46013</v>
      </c>
      <c r="D721" t="inlineStr">
        <is>
          <t>JÄMTLANDS LÄN</t>
        </is>
      </c>
      <c r="E721" t="inlineStr">
        <is>
          <t>HÄRJEDALEN</t>
        </is>
      </c>
      <c r="G721" t="n">
        <v>18.2</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46013</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56452-2025</t>
        </is>
      </c>
      <c r="B723" s="1" t="n">
        <v>45975.35422453703</v>
      </c>
      <c r="C723" s="1" t="n">
        <v>46013</v>
      </c>
      <c r="D723" t="inlineStr">
        <is>
          <t>JÄMTLANDS LÄN</t>
        </is>
      </c>
      <c r="E723" t="inlineStr">
        <is>
          <t>HÄRJEDALEN</t>
        </is>
      </c>
      <c r="G723" t="n">
        <v>8.4</v>
      </c>
      <c r="H723" t="n">
        <v>0</v>
      </c>
      <c r="I723" t="n">
        <v>0</v>
      </c>
      <c r="J723" t="n">
        <v>0</v>
      </c>
      <c r="K723" t="n">
        <v>0</v>
      </c>
      <c r="L723" t="n">
        <v>0</v>
      </c>
      <c r="M723" t="n">
        <v>0</v>
      </c>
      <c r="N723" t="n">
        <v>0</v>
      </c>
      <c r="O723" t="n">
        <v>0</v>
      </c>
      <c r="P723" t="n">
        <v>0</v>
      </c>
      <c r="Q723" t="n">
        <v>0</v>
      </c>
      <c r="R723" s="2" t="inlineStr"/>
    </row>
    <row r="724" ht="15" customHeight="1">
      <c r="A724" t="inlineStr">
        <is>
          <t>A 12484-2023</t>
        </is>
      </c>
      <c r="B724" s="1" t="n">
        <v>44998</v>
      </c>
      <c r="C724" s="1" t="n">
        <v>46013</v>
      </c>
      <c r="D724" t="inlineStr">
        <is>
          <t>JÄMTLANDS LÄN</t>
        </is>
      </c>
      <c r="E724" t="inlineStr">
        <is>
          <t>HÄRJEDALEN</t>
        </is>
      </c>
      <c r="G724" t="n">
        <v>43.1</v>
      </c>
      <c r="H724" t="n">
        <v>0</v>
      </c>
      <c r="I724" t="n">
        <v>0</v>
      </c>
      <c r="J724" t="n">
        <v>0</v>
      </c>
      <c r="K724" t="n">
        <v>0</v>
      </c>
      <c r="L724" t="n">
        <v>0</v>
      </c>
      <c r="M724" t="n">
        <v>0</v>
      </c>
      <c r="N724" t="n">
        <v>0</v>
      </c>
      <c r="O724" t="n">
        <v>0</v>
      </c>
      <c r="P724" t="n">
        <v>0</v>
      </c>
      <c r="Q724" t="n">
        <v>0</v>
      </c>
      <c r="R724" s="2" t="inlineStr"/>
    </row>
    <row r="725" ht="15" customHeight="1">
      <c r="A725" t="inlineStr">
        <is>
          <t>A 49163-2025</t>
        </is>
      </c>
      <c r="B725" s="1" t="n">
        <v>45938.35490740741</v>
      </c>
      <c r="C725" s="1" t="n">
        <v>46013</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37244-2025</t>
        </is>
      </c>
      <c r="B726" s="1" t="n">
        <v>45876.39362268519</v>
      </c>
      <c r="C726" s="1" t="n">
        <v>46013</v>
      </c>
      <c r="D726" t="inlineStr">
        <is>
          <t>JÄMTLANDS LÄN</t>
        </is>
      </c>
      <c r="E726" t="inlineStr">
        <is>
          <t>HÄRJEDALEN</t>
        </is>
      </c>
      <c r="F726" t="inlineStr">
        <is>
          <t>Bergvik skog väst AB</t>
        </is>
      </c>
      <c r="G726" t="n">
        <v>14.4</v>
      </c>
      <c r="H726" t="n">
        <v>0</v>
      </c>
      <c r="I726" t="n">
        <v>0</v>
      </c>
      <c r="J726" t="n">
        <v>0</v>
      </c>
      <c r="K726" t="n">
        <v>0</v>
      </c>
      <c r="L726" t="n">
        <v>0</v>
      </c>
      <c r="M726" t="n">
        <v>0</v>
      </c>
      <c r="N726" t="n">
        <v>0</v>
      </c>
      <c r="O726" t="n">
        <v>0</v>
      </c>
      <c r="P726" t="n">
        <v>0</v>
      </c>
      <c r="Q726" t="n">
        <v>0</v>
      </c>
      <c r="R726" s="2" t="inlineStr"/>
    </row>
    <row r="727" ht="15" customHeight="1">
      <c r="A727" t="inlineStr">
        <is>
          <t>A 57109-2025</t>
        </is>
      </c>
      <c r="B727" s="1" t="n">
        <v>45979.45319444445</v>
      </c>
      <c r="C727" s="1" t="n">
        <v>46013</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57070-2025</t>
        </is>
      </c>
      <c r="B728" s="1" t="n">
        <v>45979.38703703704</v>
      </c>
      <c r="C728" s="1" t="n">
        <v>46013</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48771-2025</t>
        </is>
      </c>
      <c r="B729" s="1" t="n">
        <v>45936.92728009259</v>
      </c>
      <c r="C729" s="1" t="n">
        <v>46013</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37106-2025</t>
        </is>
      </c>
      <c r="B730" s="1" t="n">
        <v>45875.47854166666</v>
      </c>
      <c r="C730" s="1" t="n">
        <v>46013</v>
      </c>
      <c r="D730" t="inlineStr">
        <is>
          <t>JÄMTLANDS LÄN</t>
        </is>
      </c>
      <c r="E730" t="inlineStr">
        <is>
          <t>HÄRJEDALEN</t>
        </is>
      </c>
      <c r="F730" t="inlineStr">
        <is>
          <t>Holmen skog AB</t>
        </is>
      </c>
      <c r="G730" t="n">
        <v>4.3</v>
      </c>
      <c r="H730" t="n">
        <v>0</v>
      </c>
      <c r="I730" t="n">
        <v>0</v>
      </c>
      <c r="J730" t="n">
        <v>0</v>
      </c>
      <c r="K730" t="n">
        <v>0</v>
      </c>
      <c r="L730" t="n">
        <v>0</v>
      </c>
      <c r="M730" t="n">
        <v>0</v>
      </c>
      <c r="N730" t="n">
        <v>0</v>
      </c>
      <c r="O730" t="n">
        <v>0</v>
      </c>
      <c r="P730" t="n">
        <v>0</v>
      </c>
      <c r="Q730" t="n">
        <v>0</v>
      </c>
      <c r="R730" s="2" t="inlineStr"/>
    </row>
    <row r="731" ht="15" customHeight="1">
      <c r="A731" t="inlineStr">
        <is>
          <t>A 37122-2025</t>
        </is>
      </c>
      <c r="B731" s="1" t="n">
        <v>45875.5196875</v>
      </c>
      <c r="C731" s="1" t="n">
        <v>46013</v>
      </c>
      <c r="D731" t="inlineStr">
        <is>
          <t>JÄMTLANDS LÄN</t>
        </is>
      </c>
      <c r="E731" t="inlineStr">
        <is>
          <t>HÄRJEDALEN</t>
        </is>
      </c>
      <c r="G731" t="n">
        <v>6.9</v>
      </c>
      <c r="H731" t="n">
        <v>0</v>
      </c>
      <c r="I731" t="n">
        <v>0</v>
      </c>
      <c r="J731" t="n">
        <v>0</v>
      </c>
      <c r="K731" t="n">
        <v>0</v>
      </c>
      <c r="L731" t="n">
        <v>0</v>
      </c>
      <c r="M731" t="n">
        <v>0</v>
      </c>
      <c r="N731" t="n">
        <v>0</v>
      </c>
      <c r="O731" t="n">
        <v>0</v>
      </c>
      <c r="P731" t="n">
        <v>0</v>
      </c>
      <c r="Q731" t="n">
        <v>0</v>
      </c>
      <c r="R731" s="2" t="inlineStr"/>
    </row>
    <row r="732" ht="15" customHeight="1">
      <c r="A732" t="inlineStr">
        <is>
          <t>A 43309-2024</t>
        </is>
      </c>
      <c r="B732" s="1" t="n">
        <v>45568</v>
      </c>
      <c r="C732" s="1" t="n">
        <v>46013</v>
      </c>
      <c r="D732" t="inlineStr">
        <is>
          <t>JÄMTLANDS LÄN</t>
        </is>
      </c>
      <c r="E732" t="inlineStr">
        <is>
          <t>HÄRJEDALEN</t>
        </is>
      </c>
      <c r="F732" t="inlineStr">
        <is>
          <t>Bergvik skog väst AB</t>
        </is>
      </c>
      <c r="G732" t="n">
        <v>79.8</v>
      </c>
      <c r="H732" t="n">
        <v>0</v>
      </c>
      <c r="I732" t="n">
        <v>0</v>
      </c>
      <c r="J732" t="n">
        <v>0</v>
      </c>
      <c r="K732" t="n">
        <v>0</v>
      </c>
      <c r="L732" t="n">
        <v>0</v>
      </c>
      <c r="M732" t="n">
        <v>0</v>
      </c>
      <c r="N732" t="n">
        <v>0</v>
      </c>
      <c r="O732" t="n">
        <v>0</v>
      </c>
      <c r="P732" t="n">
        <v>0</v>
      </c>
      <c r="Q732" t="n">
        <v>0</v>
      </c>
      <c r="R732" s="2" t="inlineStr"/>
    </row>
    <row r="733" ht="15" customHeight="1">
      <c r="A733" t="inlineStr">
        <is>
          <t>A 37281-2025</t>
        </is>
      </c>
      <c r="B733" s="1" t="n">
        <v>45876.49113425926</v>
      </c>
      <c r="C733" s="1" t="n">
        <v>46013</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57518-2025</t>
        </is>
      </c>
      <c r="B734" s="1" t="n">
        <v>45979</v>
      </c>
      <c r="C734" s="1" t="n">
        <v>46013</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57015-2025</t>
        </is>
      </c>
      <c r="B735" s="1" t="n">
        <v>45978.83375</v>
      </c>
      <c r="C735" s="1" t="n">
        <v>46013</v>
      </c>
      <c r="D735" t="inlineStr">
        <is>
          <t>JÄMTLANDS LÄN</t>
        </is>
      </c>
      <c r="E735" t="inlineStr">
        <is>
          <t>HÄRJEDALEN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54502-2024</t>
        </is>
      </c>
      <c r="B736" s="1" t="n">
        <v>45617</v>
      </c>
      <c r="C736" s="1" t="n">
        <v>46013</v>
      </c>
      <c r="D736" t="inlineStr">
        <is>
          <t>JÄMTLANDS LÄN</t>
        </is>
      </c>
      <c r="E736" t="inlineStr">
        <is>
          <t>HÄRJEDALEN</t>
        </is>
      </c>
      <c r="F736" t="inlineStr">
        <is>
          <t>Holmen skog AB</t>
        </is>
      </c>
      <c r="G736" t="n">
        <v>8.4</v>
      </c>
      <c r="H736" t="n">
        <v>0</v>
      </c>
      <c r="I736" t="n">
        <v>0</v>
      </c>
      <c r="J736" t="n">
        <v>0</v>
      </c>
      <c r="K736" t="n">
        <v>0</v>
      </c>
      <c r="L736" t="n">
        <v>0</v>
      </c>
      <c r="M736" t="n">
        <v>0</v>
      </c>
      <c r="N736" t="n">
        <v>0</v>
      </c>
      <c r="O736" t="n">
        <v>0</v>
      </c>
      <c r="P736" t="n">
        <v>0</v>
      </c>
      <c r="Q736" t="n">
        <v>0</v>
      </c>
      <c r="R736" s="2" t="inlineStr"/>
    </row>
    <row r="737" ht="15" customHeight="1">
      <c r="A737" t="inlineStr">
        <is>
          <t>A 37571-2025</t>
        </is>
      </c>
      <c r="B737" s="1" t="n">
        <v>45880.37472222222</v>
      </c>
      <c r="C737" s="1" t="n">
        <v>46013</v>
      </c>
      <c r="D737" t="inlineStr">
        <is>
          <t>JÄMTLANDS LÄN</t>
        </is>
      </c>
      <c r="E737" t="inlineStr">
        <is>
          <t>HÄRJEDALEN</t>
        </is>
      </c>
      <c r="G737" t="n">
        <v>2.7</v>
      </c>
      <c r="H737" t="n">
        <v>0</v>
      </c>
      <c r="I737" t="n">
        <v>0</v>
      </c>
      <c r="J737" t="n">
        <v>0</v>
      </c>
      <c r="K737" t="n">
        <v>0</v>
      </c>
      <c r="L737" t="n">
        <v>0</v>
      </c>
      <c r="M737" t="n">
        <v>0</v>
      </c>
      <c r="N737" t="n">
        <v>0</v>
      </c>
      <c r="O737" t="n">
        <v>0</v>
      </c>
      <c r="P737" t="n">
        <v>0</v>
      </c>
      <c r="Q737" t="n">
        <v>0</v>
      </c>
      <c r="R737" s="2" t="inlineStr"/>
    </row>
    <row r="738" ht="15" customHeight="1">
      <c r="A738" t="inlineStr">
        <is>
          <t>A 49168-2025</t>
        </is>
      </c>
      <c r="B738" s="1" t="n">
        <v>45938.36853009259</v>
      </c>
      <c r="C738" s="1" t="n">
        <v>46013</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43316-2024</t>
        </is>
      </c>
      <c r="B739" s="1" t="n">
        <v>45568</v>
      </c>
      <c r="C739" s="1" t="n">
        <v>46013</v>
      </c>
      <c r="D739" t="inlineStr">
        <is>
          <t>JÄMTLANDS LÄN</t>
        </is>
      </c>
      <c r="E739" t="inlineStr">
        <is>
          <t>HÄRJEDALEN</t>
        </is>
      </c>
      <c r="F739" t="inlineStr">
        <is>
          <t>Bergvik skog väst AB</t>
        </is>
      </c>
      <c r="G739" t="n">
        <v>79.90000000000001</v>
      </c>
      <c r="H739" t="n">
        <v>0</v>
      </c>
      <c r="I739" t="n">
        <v>0</v>
      </c>
      <c r="J739" t="n">
        <v>0</v>
      </c>
      <c r="K739" t="n">
        <v>0</v>
      </c>
      <c r="L739" t="n">
        <v>0</v>
      </c>
      <c r="M739" t="n">
        <v>0</v>
      </c>
      <c r="N739" t="n">
        <v>0</v>
      </c>
      <c r="O739" t="n">
        <v>0</v>
      </c>
      <c r="P739" t="n">
        <v>0</v>
      </c>
      <c r="Q739" t="n">
        <v>0</v>
      </c>
      <c r="R739" s="2" t="inlineStr"/>
    </row>
    <row r="740" ht="15" customHeight="1">
      <c r="A740" t="inlineStr">
        <is>
          <t>A 57068-2025</t>
        </is>
      </c>
      <c r="B740" s="1" t="n">
        <v>45979.38599537037</v>
      </c>
      <c r="C740" s="1" t="n">
        <v>46013</v>
      </c>
      <c r="D740" t="inlineStr">
        <is>
          <t>JÄMTLANDS LÄN</t>
        </is>
      </c>
      <c r="E740" t="inlineStr">
        <is>
          <t>HÄRJEDALEN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49325-2025</t>
        </is>
      </c>
      <c r="B741" s="1" t="n">
        <v>45938.57407407407</v>
      </c>
      <c r="C741" s="1" t="n">
        <v>46013</v>
      </c>
      <c r="D741" t="inlineStr">
        <is>
          <t>JÄMTLANDS LÄN</t>
        </is>
      </c>
      <c r="E741" t="inlineStr">
        <is>
          <t>HÄRJEDALEN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46447-2024</t>
        </is>
      </c>
      <c r="B742" s="1" t="n">
        <v>45582.49792824074</v>
      </c>
      <c r="C742" s="1" t="n">
        <v>46013</v>
      </c>
      <c r="D742" t="inlineStr">
        <is>
          <t>JÄMTLANDS LÄN</t>
        </is>
      </c>
      <c r="E742" t="inlineStr">
        <is>
          <t>HÄRJEDALEN</t>
        </is>
      </c>
      <c r="F742" t="inlineStr">
        <is>
          <t>Bergvik skog väst AB</t>
        </is>
      </c>
      <c r="G742" t="n">
        <v>19.2</v>
      </c>
      <c r="H742" t="n">
        <v>0</v>
      </c>
      <c r="I742" t="n">
        <v>0</v>
      </c>
      <c r="J742" t="n">
        <v>0</v>
      </c>
      <c r="K742" t="n">
        <v>0</v>
      </c>
      <c r="L742" t="n">
        <v>0</v>
      </c>
      <c r="M742" t="n">
        <v>0</v>
      </c>
      <c r="N742" t="n">
        <v>0</v>
      </c>
      <c r="O742" t="n">
        <v>0</v>
      </c>
      <c r="P742" t="n">
        <v>0</v>
      </c>
      <c r="Q742" t="n">
        <v>0</v>
      </c>
      <c r="R742" s="2" t="inlineStr"/>
    </row>
    <row r="743" ht="15" customHeight="1">
      <c r="A743" t="inlineStr">
        <is>
          <t>A 49389-2025</t>
        </is>
      </c>
      <c r="B743" s="1" t="n">
        <v>45938.64905092592</v>
      </c>
      <c r="C743" s="1" t="n">
        <v>46013</v>
      </c>
      <c r="D743" t="inlineStr">
        <is>
          <t>JÄMTLANDS LÄN</t>
        </is>
      </c>
      <c r="E743" t="inlineStr">
        <is>
          <t>HÄRJEDALEN</t>
        </is>
      </c>
      <c r="G743" t="n">
        <v>14.9</v>
      </c>
      <c r="H743" t="n">
        <v>0</v>
      </c>
      <c r="I743" t="n">
        <v>0</v>
      </c>
      <c r="J743" t="n">
        <v>0</v>
      </c>
      <c r="K743" t="n">
        <v>0</v>
      </c>
      <c r="L743" t="n">
        <v>0</v>
      </c>
      <c r="M743" t="n">
        <v>0</v>
      </c>
      <c r="N743" t="n">
        <v>0</v>
      </c>
      <c r="O743" t="n">
        <v>0</v>
      </c>
      <c r="P743" t="n">
        <v>0</v>
      </c>
      <c r="Q743" t="n">
        <v>0</v>
      </c>
      <c r="R743" s="2" t="inlineStr"/>
    </row>
    <row r="744" ht="15" customHeight="1">
      <c r="A744" t="inlineStr">
        <is>
          <t>A 49426-2025</t>
        </is>
      </c>
      <c r="B744" s="1" t="n">
        <v>45938.74932870371</v>
      </c>
      <c r="C744" s="1" t="n">
        <v>46013</v>
      </c>
      <c r="D744" t="inlineStr">
        <is>
          <t>JÄMTLANDS LÄN</t>
        </is>
      </c>
      <c r="E744" t="inlineStr">
        <is>
          <t>HÄRJEDALEN</t>
        </is>
      </c>
      <c r="G744" t="n">
        <v>8.4</v>
      </c>
      <c r="H744" t="n">
        <v>0</v>
      </c>
      <c r="I744" t="n">
        <v>0</v>
      </c>
      <c r="J744" t="n">
        <v>0</v>
      </c>
      <c r="K744" t="n">
        <v>0</v>
      </c>
      <c r="L744" t="n">
        <v>0</v>
      </c>
      <c r="M744" t="n">
        <v>0</v>
      </c>
      <c r="N744" t="n">
        <v>0</v>
      </c>
      <c r="O744" t="n">
        <v>0</v>
      </c>
      <c r="P744" t="n">
        <v>0</v>
      </c>
      <c r="Q744" t="n">
        <v>0</v>
      </c>
      <c r="R744" s="2" t="inlineStr"/>
    </row>
    <row r="745" ht="15" customHeight="1">
      <c r="A745" t="inlineStr">
        <is>
          <t>A 40578-2023</t>
        </is>
      </c>
      <c r="B745" s="1" t="n">
        <v>45170.46923611111</v>
      </c>
      <c r="C745" s="1" t="n">
        <v>46013</v>
      </c>
      <c r="D745" t="inlineStr">
        <is>
          <t>JÄMTLANDS LÄN</t>
        </is>
      </c>
      <c r="E745" t="inlineStr">
        <is>
          <t>HÄRJEDALEN</t>
        </is>
      </c>
      <c r="F745" t="inlineStr">
        <is>
          <t>Holmen skog AB</t>
        </is>
      </c>
      <c r="G745" t="n">
        <v>5.3</v>
      </c>
      <c r="H745" t="n">
        <v>0</v>
      </c>
      <c r="I745" t="n">
        <v>0</v>
      </c>
      <c r="J745" t="n">
        <v>0</v>
      </c>
      <c r="K745" t="n">
        <v>0</v>
      </c>
      <c r="L745" t="n">
        <v>0</v>
      </c>
      <c r="M745" t="n">
        <v>0</v>
      </c>
      <c r="N745" t="n">
        <v>0</v>
      </c>
      <c r="O745" t="n">
        <v>0</v>
      </c>
      <c r="P745" t="n">
        <v>0</v>
      </c>
      <c r="Q745" t="n">
        <v>0</v>
      </c>
      <c r="R745" s="2" t="inlineStr"/>
    </row>
    <row r="746" ht="15" customHeight="1">
      <c r="A746" t="inlineStr">
        <is>
          <t>A 54527-2024</t>
        </is>
      </c>
      <c r="B746" s="1" t="n">
        <v>45617</v>
      </c>
      <c r="C746" s="1" t="n">
        <v>46013</v>
      </c>
      <c r="D746" t="inlineStr">
        <is>
          <t>JÄMTLANDS LÄN</t>
        </is>
      </c>
      <c r="E746" t="inlineStr">
        <is>
          <t>HÄRJEDALEN</t>
        </is>
      </c>
      <c r="F746" t="inlineStr">
        <is>
          <t>Holmen skog AB</t>
        </is>
      </c>
      <c r="G746" t="n">
        <v>8.5</v>
      </c>
      <c r="H746" t="n">
        <v>0</v>
      </c>
      <c r="I746" t="n">
        <v>0</v>
      </c>
      <c r="J746" t="n">
        <v>0</v>
      </c>
      <c r="K746" t="n">
        <v>0</v>
      </c>
      <c r="L746" t="n">
        <v>0</v>
      </c>
      <c r="M746" t="n">
        <v>0</v>
      </c>
      <c r="N746" t="n">
        <v>0</v>
      </c>
      <c r="O746" t="n">
        <v>0</v>
      </c>
      <c r="P746" t="n">
        <v>0</v>
      </c>
      <c r="Q746" t="n">
        <v>0</v>
      </c>
      <c r="R746" s="2" t="inlineStr"/>
    </row>
    <row r="747" ht="15" customHeight="1">
      <c r="A747" t="inlineStr">
        <is>
          <t>A 48804-2025</t>
        </is>
      </c>
      <c r="B747" s="1" t="n">
        <v>45937.35050925926</v>
      </c>
      <c r="C747" s="1" t="n">
        <v>46013</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43591-2024</t>
        </is>
      </c>
      <c r="B748" s="1" t="n">
        <v>45569</v>
      </c>
      <c r="C748" s="1" t="n">
        <v>46013</v>
      </c>
      <c r="D748" t="inlineStr">
        <is>
          <t>JÄMTLANDS LÄN</t>
        </is>
      </c>
      <c r="E748" t="inlineStr">
        <is>
          <t>HÄRJEDALEN</t>
        </is>
      </c>
      <c r="F748" t="inlineStr">
        <is>
          <t>Bergvik skog väst AB</t>
        </is>
      </c>
      <c r="G748" t="n">
        <v>50.5</v>
      </c>
      <c r="H748" t="n">
        <v>0</v>
      </c>
      <c r="I748" t="n">
        <v>0</v>
      </c>
      <c r="J748" t="n">
        <v>0</v>
      </c>
      <c r="K748" t="n">
        <v>0</v>
      </c>
      <c r="L748" t="n">
        <v>0</v>
      </c>
      <c r="M748" t="n">
        <v>0</v>
      </c>
      <c r="N748" t="n">
        <v>0</v>
      </c>
      <c r="O748" t="n">
        <v>0</v>
      </c>
      <c r="P748" t="n">
        <v>0</v>
      </c>
      <c r="Q748" t="n">
        <v>0</v>
      </c>
      <c r="R748" s="2" t="inlineStr"/>
    </row>
    <row r="749" ht="15" customHeight="1">
      <c r="A749" t="inlineStr">
        <is>
          <t>A 9980-2025</t>
        </is>
      </c>
      <c r="B749" s="1" t="n">
        <v>45719.40480324074</v>
      </c>
      <c r="C749" s="1" t="n">
        <v>46013</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46013</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46013</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46013</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46013</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46013</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46013</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36921-2023</t>
        </is>
      </c>
      <c r="B756" s="1" t="n">
        <v>45154</v>
      </c>
      <c r="C756" s="1" t="n">
        <v>46013</v>
      </c>
      <c r="D756" t="inlineStr">
        <is>
          <t>JÄMTLANDS LÄN</t>
        </is>
      </c>
      <c r="E756" t="inlineStr">
        <is>
          <t>HÄRJEDALEN</t>
        </is>
      </c>
      <c r="G756" t="n">
        <v>1.7</v>
      </c>
      <c r="H756" t="n">
        <v>0</v>
      </c>
      <c r="I756" t="n">
        <v>0</v>
      </c>
      <c r="J756" t="n">
        <v>0</v>
      </c>
      <c r="K756" t="n">
        <v>0</v>
      </c>
      <c r="L756" t="n">
        <v>0</v>
      </c>
      <c r="M756" t="n">
        <v>0</v>
      </c>
      <c r="N756" t="n">
        <v>0</v>
      </c>
      <c r="O756" t="n">
        <v>0</v>
      </c>
      <c r="P756" t="n">
        <v>0</v>
      </c>
      <c r="Q756" t="n">
        <v>0</v>
      </c>
      <c r="R756" s="2" t="inlineStr"/>
    </row>
    <row r="757" ht="15" customHeight="1">
      <c r="A757" t="inlineStr">
        <is>
          <t>A 37808-2025</t>
        </is>
      </c>
      <c r="B757" s="1" t="n">
        <v>45881.36469907407</v>
      </c>
      <c r="C757" s="1" t="n">
        <v>46013</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10002-2025</t>
        </is>
      </c>
      <c r="B758" s="1" t="n">
        <v>45719.45215277778</v>
      </c>
      <c r="C758" s="1" t="n">
        <v>46013</v>
      </c>
      <c r="D758" t="inlineStr">
        <is>
          <t>JÄMTLANDS LÄN</t>
        </is>
      </c>
      <c r="E758" t="inlineStr">
        <is>
          <t>HÄRJEDALEN</t>
        </is>
      </c>
      <c r="G758" t="n">
        <v>2.2</v>
      </c>
      <c r="H758" t="n">
        <v>0</v>
      </c>
      <c r="I758" t="n">
        <v>0</v>
      </c>
      <c r="J758" t="n">
        <v>0</v>
      </c>
      <c r="K758" t="n">
        <v>0</v>
      </c>
      <c r="L758" t="n">
        <v>0</v>
      </c>
      <c r="M758" t="n">
        <v>0</v>
      </c>
      <c r="N758" t="n">
        <v>0</v>
      </c>
      <c r="O758" t="n">
        <v>0</v>
      </c>
      <c r="P758" t="n">
        <v>0</v>
      </c>
      <c r="Q758" t="n">
        <v>0</v>
      </c>
      <c r="R758" s="2" t="inlineStr"/>
    </row>
    <row r="759" ht="15" customHeight="1">
      <c r="A759" t="inlineStr">
        <is>
          <t>A 51601-2024</t>
        </is>
      </c>
      <c r="B759" s="1" t="n">
        <v>45604.66936342593</v>
      </c>
      <c r="C759" s="1" t="n">
        <v>46013</v>
      </c>
      <c r="D759" t="inlineStr">
        <is>
          <t>JÄMTLANDS LÄN</t>
        </is>
      </c>
      <c r="E759" t="inlineStr">
        <is>
          <t>HÄRJEDALEN</t>
        </is>
      </c>
      <c r="G759" t="n">
        <v>0.6</v>
      </c>
      <c r="H759" t="n">
        <v>0</v>
      </c>
      <c r="I759" t="n">
        <v>0</v>
      </c>
      <c r="J759" t="n">
        <v>0</v>
      </c>
      <c r="K759" t="n">
        <v>0</v>
      </c>
      <c r="L759" t="n">
        <v>0</v>
      </c>
      <c r="M759" t="n">
        <v>0</v>
      </c>
      <c r="N759" t="n">
        <v>0</v>
      </c>
      <c r="O759" t="n">
        <v>0</v>
      </c>
      <c r="P759" t="n">
        <v>0</v>
      </c>
      <c r="Q759" t="n">
        <v>0</v>
      </c>
      <c r="R759" s="2" t="inlineStr"/>
    </row>
    <row r="760" ht="15" customHeight="1">
      <c r="A760" t="inlineStr">
        <is>
          <t>A 58024-2025</t>
        </is>
      </c>
      <c r="B760" s="1" t="n">
        <v>45982.48206018518</v>
      </c>
      <c r="C760" s="1" t="n">
        <v>46013</v>
      </c>
      <c r="D760" t="inlineStr">
        <is>
          <t>JÄMTLANDS LÄN</t>
        </is>
      </c>
      <c r="E760" t="inlineStr">
        <is>
          <t>HÄRJEDALEN</t>
        </is>
      </c>
      <c r="F760" t="inlineStr">
        <is>
          <t>Bergvik skog väst AB</t>
        </is>
      </c>
      <c r="G760" t="n">
        <v>6.3</v>
      </c>
      <c r="H760" t="n">
        <v>0</v>
      </c>
      <c r="I760" t="n">
        <v>0</v>
      </c>
      <c r="J760" t="n">
        <v>0</v>
      </c>
      <c r="K760" t="n">
        <v>0</v>
      </c>
      <c r="L760" t="n">
        <v>0</v>
      </c>
      <c r="M760" t="n">
        <v>0</v>
      </c>
      <c r="N760" t="n">
        <v>0</v>
      </c>
      <c r="O760" t="n">
        <v>0</v>
      </c>
      <c r="P760" t="n">
        <v>0</v>
      </c>
      <c r="Q760" t="n">
        <v>0</v>
      </c>
      <c r="R760" s="2" t="inlineStr"/>
    </row>
    <row r="761" ht="15" customHeight="1">
      <c r="A761" t="inlineStr">
        <is>
          <t>A 31910-2023</t>
        </is>
      </c>
      <c r="B761" s="1" t="n">
        <v>45118.91633101852</v>
      </c>
      <c r="C761" s="1" t="n">
        <v>46013</v>
      </c>
      <c r="D761" t="inlineStr">
        <is>
          <t>JÄMTLANDS LÄN</t>
        </is>
      </c>
      <c r="E761" t="inlineStr">
        <is>
          <t>HÄRJEDALEN</t>
        </is>
      </c>
      <c r="G761" t="n">
        <v>5</v>
      </c>
      <c r="H761" t="n">
        <v>0</v>
      </c>
      <c r="I761" t="n">
        <v>0</v>
      </c>
      <c r="J761" t="n">
        <v>0</v>
      </c>
      <c r="K761" t="n">
        <v>0</v>
      </c>
      <c r="L761" t="n">
        <v>0</v>
      </c>
      <c r="M761" t="n">
        <v>0</v>
      </c>
      <c r="N761" t="n">
        <v>0</v>
      </c>
      <c r="O761" t="n">
        <v>0</v>
      </c>
      <c r="P761" t="n">
        <v>0</v>
      </c>
      <c r="Q761" t="n">
        <v>0</v>
      </c>
      <c r="R761" s="2" t="inlineStr"/>
    </row>
    <row r="762" ht="15" customHeight="1">
      <c r="A762" t="inlineStr">
        <is>
          <t>A 31961-2023</t>
        </is>
      </c>
      <c r="B762" s="1" t="n">
        <v>45119</v>
      </c>
      <c r="C762" s="1" t="n">
        <v>46013</v>
      </c>
      <c r="D762" t="inlineStr">
        <is>
          <t>JÄMTLANDS LÄN</t>
        </is>
      </c>
      <c r="E762" t="inlineStr">
        <is>
          <t>HÄRJEDALEN</t>
        </is>
      </c>
      <c r="G762" t="n">
        <v>3.1</v>
      </c>
      <c r="H762" t="n">
        <v>0</v>
      </c>
      <c r="I762" t="n">
        <v>0</v>
      </c>
      <c r="J762" t="n">
        <v>0</v>
      </c>
      <c r="K762" t="n">
        <v>0</v>
      </c>
      <c r="L762" t="n">
        <v>0</v>
      </c>
      <c r="M762" t="n">
        <v>0</v>
      </c>
      <c r="N762" t="n">
        <v>0</v>
      </c>
      <c r="O762" t="n">
        <v>0</v>
      </c>
      <c r="P762" t="n">
        <v>0</v>
      </c>
      <c r="Q762" t="n">
        <v>0</v>
      </c>
      <c r="R762" s="2" t="inlineStr"/>
    </row>
    <row r="763" ht="15" customHeight="1">
      <c r="A763" t="inlineStr">
        <is>
          <t>A 21778-2022</t>
        </is>
      </c>
      <c r="B763" s="1" t="n">
        <v>44708.48859953704</v>
      </c>
      <c r="C763" s="1" t="n">
        <v>46013</v>
      </c>
      <c r="D763" t="inlineStr">
        <is>
          <t>JÄMTLANDS LÄN</t>
        </is>
      </c>
      <c r="E763" t="inlineStr">
        <is>
          <t>HÄRJEDALEN</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58352-2024</t>
        </is>
      </c>
      <c r="B764" s="1" t="n">
        <v>45632.65197916667</v>
      </c>
      <c r="C764" s="1" t="n">
        <v>46013</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49427-2025</t>
        </is>
      </c>
      <c r="B765" s="1" t="n">
        <v>45938.76107638889</v>
      </c>
      <c r="C765" s="1" t="n">
        <v>46013</v>
      </c>
      <c r="D765" t="inlineStr">
        <is>
          <t>JÄMTLANDS LÄN</t>
        </is>
      </c>
      <c r="E765" t="inlineStr">
        <is>
          <t>HÄRJEDALEN</t>
        </is>
      </c>
      <c r="G765" t="n">
        <v>4.5</v>
      </c>
      <c r="H765" t="n">
        <v>0</v>
      </c>
      <c r="I765" t="n">
        <v>0</v>
      </c>
      <c r="J765" t="n">
        <v>0</v>
      </c>
      <c r="K765" t="n">
        <v>0</v>
      </c>
      <c r="L765" t="n">
        <v>0</v>
      </c>
      <c r="M765" t="n">
        <v>0</v>
      </c>
      <c r="N765" t="n">
        <v>0</v>
      </c>
      <c r="O765" t="n">
        <v>0</v>
      </c>
      <c r="P765" t="n">
        <v>0</v>
      </c>
      <c r="Q765" t="n">
        <v>0</v>
      </c>
      <c r="R765" s="2" t="inlineStr"/>
    </row>
    <row r="766" ht="15" customHeight="1">
      <c r="A766" t="inlineStr">
        <is>
          <t>A 37839-2025</t>
        </is>
      </c>
      <c r="B766" s="1" t="n">
        <v>45881.43114583333</v>
      </c>
      <c r="C766" s="1" t="n">
        <v>46013</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37865-2025</t>
        </is>
      </c>
      <c r="B767" s="1" t="n">
        <v>45881.46869212963</v>
      </c>
      <c r="C767" s="1" t="n">
        <v>46013</v>
      </c>
      <c r="D767" t="inlineStr">
        <is>
          <t>JÄMTLANDS LÄN</t>
        </is>
      </c>
      <c r="E767" t="inlineStr">
        <is>
          <t>HÄRJEDALEN</t>
        </is>
      </c>
      <c r="G767" t="n">
        <v>0.5</v>
      </c>
      <c r="H767" t="n">
        <v>0</v>
      </c>
      <c r="I767" t="n">
        <v>0</v>
      </c>
      <c r="J767" t="n">
        <v>0</v>
      </c>
      <c r="K767" t="n">
        <v>0</v>
      </c>
      <c r="L767" t="n">
        <v>0</v>
      </c>
      <c r="M767" t="n">
        <v>0</v>
      </c>
      <c r="N767" t="n">
        <v>0</v>
      </c>
      <c r="O767" t="n">
        <v>0</v>
      </c>
      <c r="P767" t="n">
        <v>0</v>
      </c>
      <c r="Q767" t="n">
        <v>0</v>
      </c>
      <c r="R767" s="2" t="inlineStr"/>
    </row>
    <row r="768" ht="15" customHeight="1">
      <c r="A768" t="inlineStr">
        <is>
          <t>A 57839-2025</t>
        </is>
      </c>
      <c r="B768" s="1" t="n">
        <v>45981.62309027778</v>
      </c>
      <c r="C768" s="1" t="n">
        <v>46013</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49717-2025</t>
        </is>
      </c>
      <c r="B769" s="1" t="n">
        <v>45939.74859953704</v>
      </c>
      <c r="C769" s="1" t="n">
        <v>46013</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49537-2025</t>
        </is>
      </c>
      <c r="B770" s="1" t="n">
        <v>45939.42302083333</v>
      </c>
      <c r="C770" s="1" t="n">
        <v>46013</v>
      </c>
      <c r="D770" t="inlineStr">
        <is>
          <t>JÄMTLANDS LÄN</t>
        </is>
      </c>
      <c r="E770" t="inlineStr">
        <is>
          <t>HÄRJEDALEN</t>
        </is>
      </c>
      <c r="G770" t="n">
        <v>1.7</v>
      </c>
      <c r="H770" t="n">
        <v>0</v>
      </c>
      <c r="I770" t="n">
        <v>0</v>
      </c>
      <c r="J770" t="n">
        <v>0</v>
      </c>
      <c r="K770" t="n">
        <v>0</v>
      </c>
      <c r="L770" t="n">
        <v>0</v>
      </c>
      <c r="M770" t="n">
        <v>0</v>
      </c>
      <c r="N770" t="n">
        <v>0</v>
      </c>
      <c r="O770" t="n">
        <v>0</v>
      </c>
      <c r="P770" t="n">
        <v>0</v>
      </c>
      <c r="Q770" t="n">
        <v>0</v>
      </c>
      <c r="R770" s="2" t="inlineStr"/>
    </row>
    <row r="771" ht="15" customHeight="1">
      <c r="A771" t="inlineStr">
        <is>
          <t>A 1602-2021</t>
        </is>
      </c>
      <c r="B771" s="1" t="n">
        <v>44209</v>
      </c>
      <c r="C771" s="1" t="n">
        <v>46013</v>
      </c>
      <c r="D771" t="inlineStr">
        <is>
          <t>JÄMTLANDS LÄN</t>
        </is>
      </c>
      <c r="E771" t="inlineStr">
        <is>
          <t>HÄRJEDALEN</t>
        </is>
      </c>
      <c r="F771" t="inlineStr">
        <is>
          <t>Holmen skog AB</t>
        </is>
      </c>
      <c r="G771" t="n">
        <v>1.8</v>
      </c>
      <c r="H771" t="n">
        <v>0</v>
      </c>
      <c r="I771" t="n">
        <v>0</v>
      </c>
      <c r="J771" t="n">
        <v>0</v>
      </c>
      <c r="K771" t="n">
        <v>0</v>
      </c>
      <c r="L771" t="n">
        <v>0</v>
      </c>
      <c r="M771" t="n">
        <v>0</v>
      </c>
      <c r="N771" t="n">
        <v>0</v>
      </c>
      <c r="O771" t="n">
        <v>0</v>
      </c>
      <c r="P771" t="n">
        <v>0</v>
      </c>
      <c r="Q771" t="n">
        <v>0</v>
      </c>
      <c r="R771" s="2" t="inlineStr"/>
    </row>
    <row r="772" ht="15" customHeight="1">
      <c r="A772" t="inlineStr">
        <is>
          <t>A 49569-2025</t>
        </is>
      </c>
      <c r="B772" s="1" t="n">
        <v>45939.47834490741</v>
      </c>
      <c r="C772" s="1" t="n">
        <v>46013</v>
      </c>
      <c r="D772" t="inlineStr">
        <is>
          <t>JÄMTLANDS LÄN</t>
        </is>
      </c>
      <c r="E772" t="inlineStr">
        <is>
          <t>HÄRJEDALEN</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14039-2025</t>
        </is>
      </c>
      <c r="B773" s="1" t="n">
        <v>45740.36546296296</v>
      </c>
      <c r="C773" s="1" t="n">
        <v>46013</v>
      </c>
      <c r="D773" t="inlineStr">
        <is>
          <t>JÄMTLANDS LÄN</t>
        </is>
      </c>
      <c r="E773" t="inlineStr">
        <is>
          <t>HÄRJEDALEN</t>
        </is>
      </c>
      <c r="F773" t="inlineStr">
        <is>
          <t>Holmen skog AB</t>
        </is>
      </c>
      <c r="G773" t="n">
        <v>7.5</v>
      </c>
      <c r="H773" t="n">
        <v>0</v>
      </c>
      <c r="I773" t="n">
        <v>0</v>
      </c>
      <c r="J773" t="n">
        <v>0</v>
      </c>
      <c r="K773" t="n">
        <v>0</v>
      </c>
      <c r="L773" t="n">
        <v>0</v>
      </c>
      <c r="M773" t="n">
        <v>0</v>
      </c>
      <c r="N773" t="n">
        <v>0</v>
      </c>
      <c r="O773" t="n">
        <v>0</v>
      </c>
      <c r="P773" t="n">
        <v>0</v>
      </c>
      <c r="Q773" t="n">
        <v>0</v>
      </c>
      <c r="R773" s="2" t="inlineStr"/>
    </row>
    <row r="774" ht="15" customHeight="1">
      <c r="A774" t="inlineStr">
        <is>
          <t>A 58141-2025</t>
        </is>
      </c>
      <c r="B774" s="1" t="n">
        <v>45982.63611111111</v>
      </c>
      <c r="C774" s="1" t="n">
        <v>46013</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58081-2025</t>
        </is>
      </c>
      <c r="B775" s="1" t="n">
        <v>45982.56142361111</v>
      </c>
      <c r="C775" s="1" t="n">
        <v>46013</v>
      </c>
      <c r="D775" t="inlineStr">
        <is>
          <t>JÄMTLANDS LÄN</t>
        </is>
      </c>
      <c r="E775" t="inlineStr">
        <is>
          <t>HÄRJEDALEN</t>
        </is>
      </c>
      <c r="G775" t="n">
        <v>1.5</v>
      </c>
      <c r="H775" t="n">
        <v>0</v>
      </c>
      <c r="I775" t="n">
        <v>0</v>
      </c>
      <c r="J775" t="n">
        <v>0</v>
      </c>
      <c r="K775" t="n">
        <v>0</v>
      </c>
      <c r="L775" t="n">
        <v>0</v>
      </c>
      <c r="M775" t="n">
        <v>0</v>
      </c>
      <c r="N775" t="n">
        <v>0</v>
      </c>
      <c r="O775" t="n">
        <v>0</v>
      </c>
      <c r="P775" t="n">
        <v>0</v>
      </c>
      <c r="Q775" t="n">
        <v>0</v>
      </c>
      <c r="R775" s="2" t="inlineStr"/>
    </row>
    <row r="776" ht="15" customHeight="1">
      <c r="A776" t="inlineStr">
        <is>
          <t>A 35813-2023</t>
        </is>
      </c>
      <c r="B776" s="1" t="n">
        <v>45147</v>
      </c>
      <c r="C776" s="1" t="n">
        <v>46013</v>
      </c>
      <c r="D776" t="inlineStr">
        <is>
          <t>JÄMTLANDS LÄN</t>
        </is>
      </c>
      <c r="E776" t="inlineStr">
        <is>
          <t>HÄRJEDALEN</t>
        </is>
      </c>
      <c r="G776" t="n">
        <v>15.1</v>
      </c>
      <c r="H776" t="n">
        <v>0</v>
      </c>
      <c r="I776" t="n">
        <v>0</v>
      </c>
      <c r="J776" t="n">
        <v>0</v>
      </c>
      <c r="K776" t="n">
        <v>0</v>
      </c>
      <c r="L776" t="n">
        <v>0</v>
      </c>
      <c r="M776" t="n">
        <v>0</v>
      </c>
      <c r="N776" t="n">
        <v>0</v>
      </c>
      <c r="O776" t="n">
        <v>0</v>
      </c>
      <c r="P776" t="n">
        <v>0</v>
      </c>
      <c r="Q776" t="n">
        <v>0</v>
      </c>
      <c r="R776" s="2" t="inlineStr"/>
    </row>
    <row r="777" ht="15" customHeight="1">
      <c r="A777" t="inlineStr">
        <is>
          <t>A 37963-2025</t>
        </is>
      </c>
      <c r="B777" s="1" t="n">
        <v>45881.6609375</v>
      </c>
      <c r="C777" s="1" t="n">
        <v>46013</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58120-2025</t>
        </is>
      </c>
      <c r="B778" s="1" t="n">
        <v>45982.60930555555</v>
      </c>
      <c r="C778" s="1" t="n">
        <v>46013</v>
      </c>
      <c r="D778" t="inlineStr">
        <is>
          <t>JÄMTLANDS LÄN</t>
        </is>
      </c>
      <c r="E778" t="inlineStr">
        <is>
          <t>HÄRJEDALEN</t>
        </is>
      </c>
      <c r="G778" t="n">
        <v>2.2</v>
      </c>
      <c r="H778" t="n">
        <v>0</v>
      </c>
      <c r="I778" t="n">
        <v>0</v>
      </c>
      <c r="J778" t="n">
        <v>0</v>
      </c>
      <c r="K778" t="n">
        <v>0</v>
      </c>
      <c r="L778" t="n">
        <v>0</v>
      </c>
      <c r="M778" t="n">
        <v>0</v>
      </c>
      <c r="N778" t="n">
        <v>0</v>
      </c>
      <c r="O778" t="n">
        <v>0</v>
      </c>
      <c r="P778" t="n">
        <v>0</v>
      </c>
      <c r="Q778" t="n">
        <v>0</v>
      </c>
      <c r="R778" s="2" t="inlineStr"/>
    </row>
    <row r="779" ht="15" customHeight="1">
      <c r="A779" t="inlineStr">
        <is>
          <t>A 21530-2023</t>
        </is>
      </c>
      <c r="B779" s="1" t="n">
        <v>45063</v>
      </c>
      <c r="C779" s="1" t="n">
        <v>46013</v>
      </c>
      <c r="D779" t="inlineStr">
        <is>
          <t>JÄMTLANDS LÄN</t>
        </is>
      </c>
      <c r="E779" t="inlineStr">
        <is>
          <t>HÄRJEDALEN</t>
        </is>
      </c>
      <c r="G779" t="n">
        <v>15.3</v>
      </c>
      <c r="H779" t="n">
        <v>0</v>
      </c>
      <c r="I779" t="n">
        <v>0</v>
      </c>
      <c r="J779" t="n">
        <v>0</v>
      </c>
      <c r="K779" t="n">
        <v>0</v>
      </c>
      <c r="L779" t="n">
        <v>0</v>
      </c>
      <c r="M779" t="n">
        <v>0</v>
      </c>
      <c r="N779" t="n">
        <v>0</v>
      </c>
      <c r="O779" t="n">
        <v>0</v>
      </c>
      <c r="P779" t="n">
        <v>0</v>
      </c>
      <c r="Q779" t="n">
        <v>0</v>
      </c>
      <c r="R779" s="2" t="inlineStr"/>
    </row>
    <row r="780" ht="15" customHeight="1">
      <c r="A780" t="inlineStr">
        <is>
          <t>A 49716-2025</t>
        </is>
      </c>
      <c r="B780" s="1" t="n">
        <v>45939.73686342593</v>
      </c>
      <c r="C780" s="1" t="n">
        <v>46013</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49515-2025</t>
        </is>
      </c>
      <c r="B781" s="1" t="n">
        <v>45939.38605324074</v>
      </c>
      <c r="C781" s="1" t="n">
        <v>46013</v>
      </c>
      <c r="D781" t="inlineStr">
        <is>
          <t>JÄMTLANDS LÄN</t>
        </is>
      </c>
      <c r="E781" t="inlineStr">
        <is>
          <t>HÄRJEDALEN</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57868-2025</t>
        </is>
      </c>
      <c r="B782" s="1" t="n">
        <v>45981.65143518519</v>
      </c>
      <c r="C782" s="1" t="n">
        <v>46013</v>
      </c>
      <c r="D782" t="inlineStr">
        <is>
          <t>JÄMTLANDS LÄN</t>
        </is>
      </c>
      <c r="E782" t="inlineStr">
        <is>
          <t>HÄRJEDALEN</t>
        </is>
      </c>
      <c r="G782" t="n">
        <v>8</v>
      </c>
      <c r="H782" t="n">
        <v>0</v>
      </c>
      <c r="I782" t="n">
        <v>0</v>
      </c>
      <c r="J782" t="n">
        <v>0</v>
      </c>
      <c r="K782" t="n">
        <v>0</v>
      </c>
      <c r="L782" t="n">
        <v>0</v>
      </c>
      <c r="M782" t="n">
        <v>0</v>
      </c>
      <c r="N782" t="n">
        <v>0</v>
      </c>
      <c r="O782" t="n">
        <v>0</v>
      </c>
      <c r="P782" t="n">
        <v>0</v>
      </c>
      <c r="Q782" t="n">
        <v>0</v>
      </c>
      <c r="R782" s="2" t="inlineStr"/>
    </row>
    <row r="783" ht="15" customHeight="1">
      <c r="A783" t="inlineStr">
        <is>
          <t>A 57668-2024</t>
        </is>
      </c>
      <c r="B783" s="1" t="n">
        <v>45630.62513888889</v>
      </c>
      <c r="C783" s="1" t="n">
        <v>46013</v>
      </c>
      <c r="D783" t="inlineStr">
        <is>
          <t>JÄMTLANDS LÄN</t>
        </is>
      </c>
      <c r="E783" t="inlineStr">
        <is>
          <t>HÄRJEDALEN</t>
        </is>
      </c>
      <c r="G783" t="n">
        <v>15.7</v>
      </c>
      <c r="H783" t="n">
        <v>0</v>
      </c>
      <c r="I783" t="n">
        <v>0</v>
      </c>
      <c r="J783" t="n">
        <v>0</v>
      </c>
      <c r="K783" t="n">
        <v>0</v>
      </c>
      <c r="L783" t="n">
        <v>0</v>
      </c>
      <c r="M783" t="n">
        <v>0</v>
      </c>
      <c r="N783" t="n">
        <v>0</v>
      </c>
      <c r="O783" t="n">
        <v>0</v>
      </c>
      <c r="P783" t="n">
        <v>0</v>
      </c>
      <c r="Q783" t="n">
        <v>0</v>
      </c>
      <c r="R783" s="2" t="inlineStr"/>
    </row>
    <row r="784" ht="15" customHeight="1">
      <c r="A784" t="inlineStr">
        <is>
          <t>A 57836-2024</t>
        </is>
      </c>
      <c r="B784" s="1" t="n">
        <v>45631.39950231482</v>
      </c>
      <c r="C784" s="1" t="n">
        <v>46013</v>
      </c>
      <c r="D784" t="inlineStr">
        <is>
          <t>JÄMTLANDS LÄN</t>
        </is>
      </c>
      <c r="E784" t="inlineStr">
        <is>
          <t>HÄRJEDALEN</t>
        </is>
      </c>
      <c r="F784" t="inlineStr">
        <is>
          <t>Bergvik skog väst AB</t>
        </is>
      </c>
      <c r="G784" t="n">
        <v>7.5</v>
      </c>
      <c r="H784" t="n">
        <v>0</v>
      </c>
      <c r="I784" t="n">
        <v>0</v>
      </c>
      <c r="J784" t="n">
        <v>0</v>
      </c>
      <c r="K784" t="n">
        <v>0</v>
      </c>
      <c r="L784" t="n">
        <v>0</v>
      </c>
      <c r="M784" t="n">
        <v>0</v>
      </c>
      <c r="N784" t="n">
        <v>0</v>
      </c>
      <c r="O784" t="n">
        <v>0</v>
      </c>
      <c r="P784" t="n">
        <v>0</v>
      </c>
      <c r="Q784" t="n">
        <v>0</v>
      </c>
      <c r="R784" s="2" t="inlineStr"/>
    </row>
    <row r="785" ht="15" customHeight="1">
      <c r="A785" t="inlineStr">
        <is>
          <t>A 41955-2023</t>
        </is>
      </c>
      <c r="B785" s="1" t="n">
        <v>45174</v>
      </c>
      <c r="C785" s="1" t="n">
        <v>46013</v>
      </c>
      <c r="D785" t="inlineStr">
        <is>
          <t>JÄMTLANDS LÄN</t>
        </is>
      </c>
      <c r="E785" t="inlineStr">
        <is>
          <t>HÄRJEDALEN</t>
        </is>
      </c>
      <c r="G785" t="n">
        <v>60.5</v>
      </c>
      <c r="H785" t="n">
        <v>0</v>
      </c>
      <c r="I785" t="n">
        <v>0</v>
      </c>
      <c r="J785" t="n">
        <v>0</v>
      </c>
      <c r="K785" t="n">
        <v>0</v>
      </c>
      <c r="L785" t="n">
        <v>0</v>
      </c>
      <c r="M785" t="n">
        <v>0</v>
      </c>
      <c r="N785" t="n">
        <v>0</v>
      </c>
      <c r="O785" t="n">
        <v>0</v>
      </c>
      <c r="P785" t="n">
        <v>0</v>
      </c>
      <c r="Q785" t="n">
        <v>0</v>
      </c>
      <c r="R785" s="2" t="inlineStr"/>
    </row>
    <row r="786" ht="15" customHeight="1">
      <c r="A786" t="inlineStr">
        <is>
          <t>A 49715-2025</t>
        </is>
      </c>
      <c r="B786" s="1" t="n">
        <v>45939.7344212963</v>
      </c>
      <c r="C786" s="1" t="n">
        <v>46013</v>
      </c>
      <c r="D786" t="inlineStr">
        <is>
          <t>JÄMTLANDS LÄN</t>
        </is>
      </c>
      <c r="E786" t="inlineStr">
        <is>
          <t>HÄRJEDALEN</t>
        </is>
      </c>
      <c r="G786" t="n">
        <v>3.9</v>
      </c>
      <c r="H786" t="n">
        <v>0</v>
      </c>
      <c r="I786" t="n">
        <v>0</v>
      </c>
      <c r="J786" t="n">
        <v>0</v>
      </c>
      <c r="K786" t="n">
        <v>0</v>
      </c>
      <c r="L786" t="n">
        <v>0</v>
      </c>
      <c r="M786" t="n">
        <v>0</v>
      </c>
      <c r="N786" t="n">
        <v>0</v>
      </c>
      <c r="O786" t="n">
        <v>0</v>
      </c>
      <c r="P786" t="n">
        <v>0</v>
      </c>
      <c r="Q786" t="n">
        <v>0</v>
      </c>
      <c r="R786" s="2" t="inlineStr"/>
    </row>
    <row r="787" ht="15" customHeight="1">
      <c r="A787" t="inlineStr">
        <is>
          <t>A 50423-2025</t>
        </is>
      </c>
      <c r="B787" s="1" t="n">
        <v>45944.66243055555</v>
      </c>
      <c r="C787" s="1" t="n">
        <v>46013</v>
      </c>
      <c r="D787" t="inlineStr">
        <is>
          <t>JÄMTLANDS LÄN</t>
        </is>
      </c>
      <c r="E787" t="inlineStr">
        <is>
          <t>HÄRJEDALEN</t>
        </is>
      </c>
      <c r="G787" t="n">
        <v>6.9</v>
      </c>
      <c r="H787" t="n">
        <v>0</v>
      </c>
      <c r="I787" t="n">
        <v>0</v>
      </c>
      <c r="J787" t="n">
        <v>0</v>
      </c>
      <c r="K787" t="n">
        <v>0</v>
      </c>
      <c r="L787" t="n">
        <v>0</v>
      </c>
      <c r="M787" t="n">
        <v>0</v>
      </c>
      <c r="N787" t="n">
        <v>0</v>
      </c>
      <c r="O787" t="n">
        <v>0</v>
      </c>
      <c r="P787" t="n">
        <v>0</v>
      </c>
      <c r="Q787" t="n">
        <v>0</v>
      </c>
      <c r="R787" s="2" t="inlineStr"/>
    </row>
    <row r="788" ht="15" customHeight="1">
      <c r="A788" t="inlineStr">
        <is>
          <t>A 50424-2025</t>
        </is>
      </c>
      <c r="B788" s="1" t="n">
        <v>45944.66541666666</v>
      </c>
      <c r="C788" s="1" t="n">
        <v>46013</v>
      </c>
      <c r="D788" t="inlineStr">
        <is>
          <t>JÄMTLANDS LÄN</t>
        </is>
      </c>
      <c r="E788" t="inlineStr">
        <is>
          <t>HÄRJEDALEN</t>
        </is>
      </c>
      <c r="G788" t="n">
        <v>0.8</v>
      </c>
      <c r="H788" t="n">
        <v>0</v>
      </c>
      <c r="I788" t="n">
        <v>0</v>
      </c>
      <c r="J788" t="n">
        <v>0</v>
      </c>
      <c r="K788" t="n">
        <v>0</v>
      </c>
      <c r="L788" t="n">
        <v>0</v>
      </c>
      <c r="M788" t="n">
        <v>0</v>
      </c>
      <c r="N788" t="n">
        <v>0</v>
      </c>
      <c r="O788" t="n">
        <v>0</v>
      </c>
      <c r="P788" t="n">
        <v>0</v>
      </c>
      <c r="Q788" t="n">
        <v>0</v>
      </c>
      <c r="R788" s="2" t="inlineStr"/>
    </row>
    <row r="789" ht="15" customHeight="1">
      <c r="A789" t="inlineStr">
        <is>
          <t>A 58645-2025</t>
        </is>
      </c>
      <c r="B789" s="1" t="n">
        <v>45986.49688657407</v>
      </c>
      <c r="C789" s="1" t="n">
        <v>46013</v>
      </c>
      <c r="D789" t="inlineStr">
        <is>
          <t>JÄMTLANDS LÄN</t>
        </is>
      </c>
      <c r="E789" t="inlineStr">
        <is>
          <t>HÄRJEDALEN</t>
        </is>
      </c>
      <c r="F789" t="inlineStr">
        <is>
          <t>Bergvik skog väst AB</t>
        </is>
      </c>
      <c r="G789" t="n">
        <v>23.4</v>
      </c>
      <c r="H789" t="n">
        <v>0</v>
      </c>
      <c r="I789" t="n">
        <v>0</v>
      </c>
      <c r="J789" t="n">
        <v>0</v>
      </c>
      <c r="K789" t="n">
        <v>0</v>
      </c>
      <c r="L789" t="n">
        <v>0</v>
      </c>
      <c r="M789" t="n">
        <v>0</v>
      </c>
      <c r="N789" t="n">
        <v>0</v>
      </c>
      <c r="O789" t="n">
        <v>0</v>
      </c>
      <c r="P789" t="n">
        <v>0</v>
      </c>
      <c r="Q789" t="n">
        <v>0</v>
      </c>
      <c r="R789" s="2" t="inlineStr"/>
    </row>
    <row r="790" ht="15" customHeight="1">
      <c r="A790" t="inlineStr">
        <is>
          <t>A 38349-2025</t>
        </is>
      </c>
      <c r="B790" s="1" t="n">
        <v>45883.51854166666</v>
      </c>
      <c r="C790" s="1" t="n">
        <v>46013</v>
      </c>
      <c r="D790" t="inlineStr">
        <is>
          <t>JÄMTLANDS LÄN</t>
        </is>
      </c>
      <c r="E790" t="inlineStr">
        <is>
          <t>HÄRJEDALEN</t>
        </is>
      </c>
      <c r="G790" t="n">
        <v>6.8</v>
      </c>
      <c r="H790" t="n">
        <v>0</v>
      </c>
      <c r="I790" t="n">
        <v>0</v>
      </c>
      <c r="J790" t="n">
        <v>0</v>
      </c>
      <c r="K790" t="n">
        <v>0</v>
      </c>
      <c r="L790" t="n">
        <v>0</v>
      </c>
      <c r="M790" t="n">
        <v>0</v>
      </c>
      <c r="N790" t="n">
        <v>0</v>
      </c>
      <c r="O790" t="n">
        <v>0</v>
      </c>
      <c r="P790" t="n">
        <v>0</v>
      </c>
      <c r="Q790" t="n">
        <v>0</v>
      </c>
      <c r="R790" s="2" t="inlineStr"/>
    </row>
    <row r="791" ht="15" customHeight="1">
      <c r="A791" t="inlineStr">
        <is>
          <t>A 8095-2025</t>
        </is>
      </c>
      <c r="B791" s="1" t="n">
        <v>45707</v>
      </c>
      <c r="C791" s="1" t="n">
        <v>46013</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58539-2025</t>
        </is>
      </c>
      <c r="B792" s="1" t="n">
        <v>45985.89577546297</v>
      </c>
      <c r="C792" s="1" t="n">
        <v>46013</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58716-2025</t>
        </is>
      </c>
      <c r="B793" s="1" t="n">
        <v>45986.61413194444</v>
      </c>
      <c r="C793" s="1" t="n">
        <v>46013</v>
      </c>
      <c r="D793" t="inlineStr">
        <is>
          <t>JÄMTLANDS LÄN</t>
        </is>
      </c>
      <c r="E793" t="inlineStr">
        <is>
          <t>HÄRJEDALEN</t>
        </is>
      </c>
      <c r="G793" t="n">
        <v>3.8</v>
      </c>
      <c r="H793" t="n">
        <v>0</v>
      </c>
      <c r="I793" t="n">
        <v>0</v>
      </c>
      <c r="J793" t="n">
        <v>0</v>
      </c>
      <c r="K793" t="n">
        <v>0</v>
      </c>
      <c r="L793" t="n">
        <v>0</v>
      </c>
      <c r="M793" t="n">
        <v>0</v>
      </c>
      <c r="N793" t="n">
        <v>0</v>
      </c>
      <c r="O793" t="n">
        <v>0</v>
      </c>
      <c r="P793" t="n">
        <v>0</v>
      </c>
      <c r="Q793" t="n">
        <v>0</v>
      </c>
      <c r="R793" s="2" t="inlineStr"/>
    </row>
    <row r="794" ht="15" customHeight="1">
      <c r="A794" t="inlineStr">
        <is>
          <t>A 58694-2025</t>
        </is>
      </c>
      <c r="B794" s="1" t="n">
        <v>45986.585</v>
      </c>
      <c r="C794" s="1" t="n">
        <v>46013</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18896-2025</t>
        </is>
      </c>
      <c r="B795" s="1" t="n">
        <v>45764.44861111111</v>
      </c>
      <c r="C795" s="1" t="n">
        <v>46013</v>
      </c>
      <c r="D795" t="inlineStr">
        <is>
          <t>JÄMTLANDS LÄN</t>
        </is>
      </c>
      <c r="E795" t="inlineStr">
        <is>
          <t>HÄRJEDALEN</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11555-2025</t>
        </is>
      </c>
      <c r="B796" s="1" t="n">
        <v>45727.35621527778</v>
      </c>
      <c r="C796" s="1" t="n">
        <v>46013</v>
      </c>
      <c r="D796" t="inlineStr">
        <is>
          <t>JÄMTLANDS LÄN</t>
        </is>
      </c>
      <c r="E796" t="inlineStr">
        <is>
          <t>HÄRJEDALEN</t>
        </is>
      </c>
      <c r="F796" t="inlineStr">
        <is>
          <t>Bergvik skog väst AB</t>
        </is>
      </c>
      <c r="G796" t="n">
        <v>14.2</v>
      </c>
      <c r="H796" t="n">
        <v>0</v>
      </c>
      <c r="I796" t="n">
        <v>0</v>
      </c>
      <c r="J796" t="n">
        <v>0</v>
      </c>
      <c r="K796" t="n">
        <v>0</v>
      </c>
      <c r="L796" t="n">
        <v>0</v>
      </c>
      <c r="M796" t="n">
        <v>0</v>
      </c>
      <c r="N796" t="n">
        <v>0</v>
      </c>
      <c r="O796" t="n">
        <v>0</v>
      </c>
      <c r="P796" t="n">
        <v>0</v>
      </c>
      <c r="Q796" t="n">
        <v>0</v>
      </c>
      <c r="R796" s="2" t="inlineStr"/>
    </row>
    <row r="797" ht="15" customHeight="1">
      <c r="A797" t="inlineStr">
        <is>
          <t>A 32064-2024</t>
        </is>
      </c>
      <c r="B797" s="1" t="n">
        <v>45510</v>
      </c>
      <c r="C797" s="1" t="n">
        <v>46013</v>
      </c>
      <c r="D797" t="inlineStr">
        <is>
          <t>JÄMTLANDS LÄN</t>
        </is>
      </c>
      <c r="E797" t="inlineStr">
        <is>
          <t>HÄRJEDALEN</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49979-2025</t>
        </is>
      </c>
      <c r="B798" s="1" t="n">
        <v>45942.62457175926</v>
      </c>
      <c r="C798" s="1" t="n">
        <v>46013</v>
      </c>
      <c r="D798" t="inlineStr">
        <is>
          <t>JÄMTLANDS LÄN</t>
        </is>
      </c>
      <c r="E798" t="inlineStr">
        <is>
          <t>HÄRJEDALEN</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58607-2025</t>
        </is>
      </c>
      <c r="B799" s="1" t="n">
        <v>45986.44212962963</v>
      </c>
      <c r="C799" s="1" t="n">
        <v>46013</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58723-2025</t>
        </is>
      </c>
      <c r="B800" s="1" t="n">
        <v>45986.61724537037</v>
      </c>
      <c r="C800" s="1" t="n">
        <v>46013</v>
      </c>
      <c r="D800" t="inlineStr">
        <is>
          <t>JÄMTLANDS LÄN</t>
        </is>
      </c>
      <c r="E800" t="inlineStr">
        <is>
          <t>HÄRJEDALEN</t>
        </is>
      </c>
      <c r="G800" t="n">
        <v>0.5</v>
      </c>
      <c r="H800" t="n">
        <v>0</v>
      </c>
      <c r="I800" t="n">
        <v>0</v>
      </c>
      <c r="J800" t="n">
        <v>0</v>
      </c>
      <c r="K800" t="n">
        <v>0</v>
      </c>
      <c r="L800" t="n">
        <v>0</v>
      </c>
      <c r="M800" t="n">
        <v>0</v>
      </c>
      <c r="N800" t="n">
        <v>0</v>
      </c>
      <c r="O800" t="n">
        <v>0</v>
      </c>
      <c r="P800" t="n">
        <v>0</v>
      </c>
      <c r="Q800" t="n">
        <v>0</v>
      </c>
      <c r="R800" s="2" t="inlineStr"/>
    </row>
    <row r="801" ht="15" customHeight="1">
      <c r="A801" t="inlineStr">
        <is>
          <t>A 50051-2025</t>
        </is>
      </c>
      <c r="B801" s="1" t="n">
        <v>45943.420625</v>
      </c>
      <c r="C801" s="1" t="n">
        <v>46013</v>
      </c>
      <c r="D801" t="inlineStr">
        <is>
          <t>JÄMTLANDS LÄN</t>
        </is>
      </c>
      <c r="E801" t="inlineStr">
        <is>
          <t>HÄRJEDALEN</t>
        </is>
      </c>
      <c r="G801" t="n">
        <v>1.1</v>
      </c>
      <c r="H801" t="n">
        <v>0</v>
      </c>
      <c r="I801" t="n">
        <v>0</v>
      </c>
      <c r="J801" t="n">
        <v>0</v>
      </c>
      <c r="K801" t="n">
        <v>0</v>
      </c>
      <c r="L801" t="n">
        <v>0</v>
      </c>
      <c r="M801" t="n">
        <v>0</v>
      </c>
      <c r="N801" t="n">
        <v>0</v>
      </c>
      <c r="O801" t="n">
        <v>0</v>
      </c>
      <c r="P801" t="n">
        <v>0</v>
      </c>
      <c r="Q801" t="n">
        <v>0</v>
      </c>
      <c r="R801" s="2" t="inlineStr"/>
    </row>
    <row r="802" ht="15" customHeight="1">
      <c r="A802" t="inlineStr">
        <is>
          <t>A 29624-2024</t>
        </is>
      </c>
      <c r="B802" s="1" t="n">
        <v>45484.65768518519</v>
      </c>
      <c r="C802" s="1" t="n">
        <v>46013</v>
      </c>
      <c r="D802" t="inlineStr">
        <is>
          <t>JÄMTLANDS LÄN</t>
        </is>
      </c>
      <c r="E802" t="inlineStr">
        <is>
          <t>HÄRJEDALEN</t>
        </is>
      </c>
      <c r="F802" t="inlineStr">
        <is>
          <t>Holmen skog AB</t>
        </is>
      </c>
      <c r="G802" t="n">
        <v>7.7</v>
      </c>
      <c r="H802" t="n">
        <v>0</v>
      </c>
      <c r="I802" t="n">
        <v>0</v>
      </c>
      <c r="J802" t="n">
        <v>0</v>
      </c>
      <c r="K802" t="n">
        <v>0</v>
      </c>
      <c r="L802" t="n">
        <v>0</v>
      </c>
      <c r="M802" t="n">
        <v>0</v>
      </c>
      <c r="N802" t="n">
        <v>0</v>
      </c>
      <c r="O802" t="n">
        <v>0</v>
      </c>
      <c r="P802" t="n">
        <v>0</v>
      </c>
      <c r="Q802" t="n">
        <v>0</v>
      </c>
      <c r="R802" s="2" t="inlineStr"/>
    </row>
    <row r="803" ht="15" customHeight="1">
      <c r="A803" t="inlineStr">
        <is>
          <t>A 58296-2025</t>
        </is>
      </c>
      <c r="B803" s="1" t="n">
        <v>45985.45633101852</v>
      </c>
      <c r="C803" s="1" t="n">
        <v>46013</v>
      </c>
      <c r="D803" t="inlineStr">
        <is>
          <t>JÄMTLANDS LÄN</t>
        </is>
      </c>
      <c r="E803" t="inlineStr">
        <is>
          <t>HÄRJEDALEN</t>
        </is>
      </c>
      <c r="F803" t="inlineStr">
        <is>
          <t>Bergvik skog väst AB</t>
        </is>
      </c>
      <c r="G803" t="n">
        <v>4.6</v>
      </c>
      <c r="H803" t="n">
        <v>0</v>
      </c>
      <c r="I803" t="n">
        <v>0</v>
      </c>
      <c r="J803" t="n">
        <v>0</v>
      </c>
      <c r="K803" t="n">
        <v>0</v>
      </c>
      <c r="L803" t="n">
        <v>0</v>
      </c>
      <c r="M803" t="n">
        <v>0</v>
      </c>
      <c r="N803" t="n">
        <v>0</v>
      </c>
      <c r="O803" t="n">
        <v>0</v>
      </c>
      <c r="P803" t="n">
        <v>0</v>
      </c>
      <c r="Q803" t="n">
        <v>0</v>
      </c>
      <c r="R803" s="2" t="inlineStr"/>
    </row>
    <row r="804" ht="15" customHeight="1">
      <c r="A804" t="inlineStr">
        <is>
          <t>A 58602-2025</t>
        </is>
      </c>
      <c r="B804" s="1" t="n">
        <v>45986.42805555555</v>
      </c>
      <c r="C804" s="1" t="n">
        <v>46013</v>
      </c>
      <c r="D804" t="inlineStr">
        <is>
          <t>JÄMTLANDS LÄN</t>
        </is>
      </c>
      <c r="E804" t="inlineStr">
        <is>
          <t>HÄRJEDALEN</t>
        </is>
      </c>
      <c r="G804" t="n">
        <v>1.3</v>
      </c>
      <c r="H804" t="n">
        <v>0</v>
      </c>
      <c r="I804" t="n">
        <v>0</v>
      </c>
      <c r="J804" t="n">
        <v>0</v>
      </c>
      <c r="K804" t="n">
        <v>0</v>
      </c>
      <c r="L804" t="n">
        <v>0</v>
      </c>
      <c r="M804" t="n">
        <v>0</v>
      </c>
      <c r="N804" t="n">
        <v>0</v>
      </c>
      <c r="O804" t="n">
        <v>0</v>
      </c>
      <c r="P804" t="n">
        <v>0</v>
      </c>
      <c r="Q804" t="n">
        <v>0</v>
      </c>
      <c r="R804" s="2" t="inlineStr"/>
    </row>
    <row r="805" ht="15" customHeight="1">
      <c r="A805" t="inlineStr">
        <is>
          <t>A 58431-2025</t>
        </is>
      </c>
      <c r="B805" s="1" t="n">
        <v>45985.60621527778</v>
      </c>
      <c r="C805" s="1" t="n">
        <v>46013</v>
      </c>
      <c r="D805" t="inlineStr">
        <is>
          <t>JÄMTLANDS LÄN</t>
        </is>
      </c>
      <c r="E805" t="inlineStr">
        <is>
          <t>HÄRJEDALEN</t>
        </is>
      </c>
      <c r="G805" t="n">
        <v>3.7</v>
      </c>
      <c r="H805" t="n">
        <v>0</v>
      </c>
      <c r="I805" t="n">
        <v>0</v>
      </c>
      <c r="J805" t="n">
        <v>0</v>
      </c>
      <c r="K805" t="n">
        <v>0</v>
      </c>
      <c r="L805" t="n">
        <v>0</v>
      </c>
      <c r="M805" t="n">
        <v>0</v>
      </c>
      <c r="N805" t="n">
        <v>0</v>
      </c>
      <c r="O805" t="n">
        <v>0</v>
      </c>
      <c r="P805" t="n">
        <v>0</v>
      </c>
      <c r="Q805" t="n">
        <v>0</v>
      </c>
      <c r="R805" s="2" t="inlineStr"/>
    </row>
    <row r="806" ht="15" customHeight="1">
      <c r="A806" t="inlineStr">
        <is>
          <t>A 19962-2021</t>
        </is>
      </c>
      <c r="B806" s="1" t="n">
        <v>44312</v>
      </c>
      <c r="C806" s="1" t="n">
        <v>46013</v>
      </c>
      <c r="D806" t="inlineStr">
        <is>
          <t>JÄMTLANDS LÄN</t>
        </is>
      </c>
      <c r="E806" t="inlineStr">
        <is>
          <t>HÄRJEDALEN</t>
        </is>
      </c>
      <c r="G806" t="n">
        <v>3.7</v>
      </c>
      <c r="H806" t="n">
        <v>0</v>
      </c>
      <c r="I806" t="n">
        <v>0</v>
      </c>
      <c r="J806" t="n">
        <v>0</v>
      </c>
      <c r="K806" t="n">
        <v>0</v>
      </c>
      <c r="L806" t="n">
        <v>0</v>
      </c>
      <c r="M806" t="n">
        <v>0</v>
      </c>
      <c r="N806" t="n">
        <v>0</v>
      </c>
      <c r="O806" t="n">
        <v>0</v>
      </c>
      <c r="P806" t="n">
        <v>0</v>
      </c>
      <c r="Q806" t="n">
        <v>0</v>
      </c>
      <c r="R806" s="2" t="inlineStr"/>
    </row>
    <row r="807" ht="15" customHeight="1">
      <c r="A807" t="inlineStr">
        <is>
          <t>A 5101-2025</t>
        </is>
      </c>
      <c r="B807" s="1" t="n">
        <v>45691</v>
      </c>
      <c r="C807" s="1" t="n">
        <v>46013</v>
      </c>
      <c r="D807" t="inlineStr">
        <is>
          <t>JÄMTLANDS LÄN</t>
        </is>
      </c>
      <c r="E807" t="inlineStr">
        <is>
          <t>HÄRJEDALEN</t>
        </is>
      </c>
      <c r="F807" t="inlineStr">
        <is>
          <t>Holmen skog AB</t>
        </is>
      </c>
      <c r="G807" t="n">
        <v>33.5</v>
      </c>
      <c r="H807" t="n">
        <v>0</v>
      </c>
      <c r="I807" t="n">
        <v>0</v>
      </c>
      <c r="J807" t="n">
        <v>0</v>
      </c>
      <c r="K807" t="n">
        <v>0</v>
      </c>
      <c r="L807" t="n">
        <v>0</v>
      </c>
      <c r="M807" t="n">
        <v>0</v>
      </c>
      <c r="N807" t="n">
        <v>0</v>
      </c>
      <c r="O807" t="n">
        <v>0</v>
      </c>
      <c r="P807" t="n">
        <v>0</v>
      </c>
      <c r="Q807" t="n">
        <v>0</v>
      </c>
      <c r="R807" s="2" t="inlineStr"/>
    </row>
    <row r="808" ht="15" customHeight="1">
      <c r="A808" t="inlineStr">
        <is>
          <t>A 5113-2025</t>
        </is>
      </c>
      <c r="B808" s="1" t="n">
        <v>45691</v>
      </c>
      <c r="C808" s="1" t="n">
        <v>46013</v>
      </c>
      <c r="D808" t="inlineStr">
        <is>
          <t>JÄMTLANDS LÄN</t>
        </is>
      </c>
      <c r="E808" t="inlineStr">
        <is>
          <t>HÄRJEDALEN</t>
        </is>
      </c>
      <c r="F808" t="inlineStr">
        <is>
          <t>Holmen skog AB</t>
        </is>
      </c>
      <c r="G808" t="n">
        <v>25.9</v>
      </c>
      <c r="H808" t="n">
        <v>0</v>
      </c>
      <c r="I808" t="n">
        <v>0</v>
      </c>
      <c r="J808" t="n">
        <v>0</v>
      </c>
      <c r="K808" t="n">
        <v>0</v>
      </c>
      <c r="L808" t="n">
        <v>0</v>
      </c>
      <c r="M808" t="n">
        <v>0</v>
      </c>
      <c r="N808" t="n">
        <v>0</v>
      </c>
      <c r="O808" t="n">
        <v>0</v>
      </c>
      <c r="P808" t="n">
        <v>0</v>
      </c>
      <c r="Q808" t="n">
        <v>0</v>
      </c>
      <c r="R808" s="2" t="inlineStr"/>
    </row>
    <row r="809" ht="15" customHeight="1">
      <c r="A809" t="inlineStr">
        <is>
          <t>A 50764-2025</t>
        </is>
      </c>
      <c r="B809" s="1" t="n">
        <v>45946.43961805556</v>
      </c>
      <c r="C809" s="1" t="n">
        <v>46013</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55228-2024</t>
        </is>
      </c>
      <c r="B810" s="1" t="n">
        <v>45621</v>
      </c>
      <c r="C810" s="1" t="n">
        <v>46013</v>
      </c>
      <c r="D810" t="inlineStr">
        <is>
          <t>JÄMTLANDS LÄN</t>
        </is>
      </c>
      <c r="E810" t="inlineStr">
        <is>
          <t>HÄRJEDALEN</t>
        </is>
      </c>
      <c r="G810" t="n">
        <v>4.8</v>
      </c>
      <c r="H810" t="n">
        <v>0</v>
      </c>
      <c r="I810" t="n">
        <v>0</v>
      </c>
      <c r="J810" t="n">
        <v>0</v>
      </c>
      <c r="K810" t="n">
        <v>0</v>
      </c>
      <c r="L810" t="n">
        <v>0</v>
      </c>
      <c r="M810" t="n">
        <v>0</v>
      </c>
      <c r="N810" t="n">
        <v>0</v>
      </c>
      <c r="O810" t="n">
        <v>0</v>
      </c>
      <c r="P810" t="n">
        <v>0</v>
      </c>
      <c r="Q810" t="n">
        <v>0</v>
      </c>
      <c r="R810" s="2" t="inlineStr"/>
    </row>
    <row r="811" ht="15" customHeight="1">
      <c r="A811" t="inlineStr">
        <is>
          <t>A 55246-2024</t>
        </is>
      </c>
      <c r="B811" s="1" t="n">
        <v>45621</v>
      </c>
      <c r="C811" s="1" t="n">
        <v>46013</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59118-2025</t>
        </is>
      </c>
      <c r="B812" s="1" t="n">
        <v>45988.49023148148</v>
      </c>
      <c r="C812" s="1" t="n">
        <v>46013</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29791-2024</t>
        </is>
      </c>
      <c r="B813" s="1" t="n">
        <v>45485</v>
      </c>
      <c r="C813" s="1" t="n">
        <v>46013</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38276-2025</t>
        </is>
      </c>
      <c r="B814" s="1" t="n">
        <v>45883.4108912037</v>
      </c>
      <c r="C814" s="1" t="n">
        <v>46013</v>
      </c>
      <c r="D814" t="inlineStr">
        <is>
          <t>JÄMTLANDS LÄN</t>
        </is>
      </c>
      <c r="E814" t="inlineStr">
        <is>
          <t>HÄRJEDALEN</t>
        </is>
      </c>
      <c r="G814" t="n">
        <v>1.1</v>
      </c>
      <c r="H814" t="n">
        <v>0</v>
      </c>
      <c r="I814" t="n">
        <v>0</v>
      </c>
      <c r="J814" t="n">
        <v>0</v>
      </c>
      <c r="K814" t="n">
        <v>0</v>
      </c>
      <c r="L814" t="n">
        <v>0</v>
      </c>
      <c r="M814" t="n">
        <v>0</v>
      </c>
      <c r="N814" t="n">
        <v>0</v>
      </c>
      <c r="O814" t="n">
        <v>0</v>
      </c>
      <c r="P814" t="n">
        <v>0</v>
      </c>
      <c r="Q814" t="n">
        <v>0</v>
      </c>
      <c r="R814" s="2" t="inlineStr"/>
    </row>
    <row r="815" ht="15" customHeight="1">
      <c r="A815" t="inlineStr">
        <is>
          <t>A 50464-2025</t>
        </is>
      </c>
      <c r="B815" s="1" t="n">
        <v>45945.34971064814</v>
      </c>
      <c r="C815" s="1" t="n">
        <v>46013</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58865-2025</t>
        </is>
      </c>
      <c r="B816" s="1" t="n">
        <v>45987.44751157407</v>
      </c>
      <c r="C816" s="1" t="n">
        <v>46013</v>
      </c>
      <c r="D816" t="inlineStr">
        <is>
          <t>JÄMTLANDS LÄN</t>
        </is>
      </c>
      <c r="E816" t="inlineStr">
        <is>
          <t>HÄRJEDALEN</t>
        </is>
      </c>
      <c r="G816" t="n">
        <v>5.3</v>
      </c>
      <c r="H816" t="n">
        <v>0</v>
      </c>
      <c r="I816" t="n">
        <v>0</v>
      </c>
      <c r="J816" t="n">
        <v>0</v>
      </c>
      <c r="K816" t="n">
        <v>0</v>
      </c>
      <c r="L816" t="n">
        <v>0</v>
      </c>
      <c r="M816" t="n">
        <v>0</v>
      </c>
      <c r="N816" t="n">
        <v>0</v>
      </c>
      <c r="O816" t="n">
        <v>0</v>
      </c>
      <c r="P816" t="n">
        <v>0</v>
      </c>
      <c r="Q816" t="n">
        <v>0</v>
      </c>
      <c r="R816" s="2" t="inlineStr"/>
    </row>
    <row r="817" ht="15" customHeight="1">
      <c r="A817" t="inlineStr">
        <is>
          <t>A 50803-2025</t>
        </is>
      </c>
      <c r="B817" s="1" t="n">
        <v>45946.49534722222</v>
      </c>
      <c r="C817" s="1" t="n">
        <v>46013</v>
      </c>
      <c r="D817" t="inlineStr">
        <is>
          <t>JÄMTLANDS LÄN</t>
        </is>
      </c>
      <c r="E817" t="inlineStr">
        <is>
          <t>HÄRJEDALEN</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59117-2025</t>
        </is>
      </c>
      <c r="B818" s="1" t="n">
        <v>45988.49011574074</v>
      </c>
      <c r="C818" s="1" t="n">
        <v>46013</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50639-2025</t>
        </is>
      </c>
      <c r="B819" s="1" t="n">
        <v>45945.65363425926</v>
      </c>
      <c r="C819" s="1" t="n">
        <v>46013</v>
      </c>
      <c r="D819" t="inlineStr">
        <is>
          <t>JÄMTLANDS LÄN</t>
        </is>
      </c>
      <c r="E819" t="inlineStr">
        <is>
          <t>HÄRJEDALEN</t>
        </is>
      </c>
      <c r="G819" t="n">
        <v>5.3</v>
      </c>
      <c r="H819" t="n">
        <v>0</v>
      </c>
      <c r="I819" t="n">
        <v>0</v>
      </c>
      <c r="J819" t="n">
        <v>0</v>
      </c>
      <c r="K819" t="n">
        <v>0</v>
      </c>
      <c r="L819" t="n">
        <v>0</v>
      </c>
      <c r="M819" t="n">
        <v>0</v>
      </c>
      <c r="N819" t="n">
        <v>0</v>
      </c>
      <c r="O819" t="n">
        <v>0</v>
      </c>
      <c r="P819" t="n">
        <v>0</v>
      </c>
      <c r="Q819" t="n">
        <v>0</v>
      </c>
      <c r="R819" s="2" t="inlineStr"/>
    </row>
    <row r="820" ht="15" customHeight="1">
      <c r="A820" t="inlineStr">
        <is>
          <t>A 50631-2025</t>
        </is>
      </c>
      <c r="B820" s="1" t="n">
        <v>45945.64795138889</v>
      </c>
      <c r="C820" s="1" t="n">
        <v>46013</v>
      </c>
      <c r="D820" t="inlineStr">
        <is>
          <t>JÄMTLANDS LÄN</t>
        </is>
      </c>
      <c r="E820" t="inlineStr">
        <is>
          <t>HÄRJEDALEN</t>
        </is>
      </c>
      <c r="G820" t="n">
        <v>7.1</v>
      </c>
      <c r="H820" t="n">
        <v>0</v>
      </c>
      <c r="I820" t="n">
        <v>0</v>
      </c>
      <c r="J820" t="n">
        <v>0</v>
      </c>
      <c r="K820" t="n">
        <v>0</v>
      </c>
      <c r="L820" t="n">
        <v>0</v>
      </c>
      <c r="M820" t="n">
        <v>0</v>
      </c>
      <c r="N820" t="n">
        <v>0</v>
      </c>
      <c r="O820" t="n">
        <v>0</v>
      </c>
      <c r="P820" t="n">
        <v>0</v>
      </c>
      <c r="Q820" t="n">
        <v>0</v>
      </c>
      <c r="R820" s="2" t="inlineStr"/>
    </row>
    <row r="821" ht="15" customHeight="1">
      <c r="A821" t="inlineStr">
        <is>
          <t>A 35-2023</t>
        </is>
      </c>
      <c r="B821" s="1" t="n">
        <v>44928.36418981481</v>
      </c>
      <c r="C821" s="1" t="n">
        <v>46013</v>
      </c>
      <c r="D821" t="inlineStr">
        <is>
          <t>JÄMTLANDS LÄN</t>
        </is>
      </c>
      <c r="E821" t="inlineStr">
        <is>
          <t>HÄRJEDALEN</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59116-2025</t>
        </is>
      </c>
      <c r="B822" s="1" t="n">
        <v>45988.49009259259</v>
      </c>
      <c r="C822" s="1" t="n">
        <v>46013</v>
      </c>
      <c r="D822" t="inlineStr">
        <is>
          <t>JÄMTLANDS LÄN</t>
        </is>
      </c>
      <c r="E822" t="inlineStr">
        <is>
          <t>HÄRJEDALEN</t>
        </is>
      </c>
      <c r="G822" t="n">
        <v>10.5</v>
      </c>
      <c r="H822" t="n">
        <v>0</v>
      </c>
      <c r="I822" t="n">
        <v>0</v>
      </c>
      <c r="J822" t="n">
        <v>0</v>
      </c>
      <c r="K822" t="n">
        <v>0</v>
      </c>
      <c r="L822" t="n">
        <v>0</v>
      </c>
      <c r="M822" t="n">
        <v>0</v>
      </c>
      <c r="N822" t="n">
        <v>0</v>
      </c>
      <c r="O822" t="n">
        <v>0</v>
      </c>
      <c r="P822" t="n">
        <v>0</v>
      </c>
      <c r="Q822" t="n">
        <v>0</v>
      </c>
      <c r="R822" s="2" t="inlineStr"/>
    </row>
    <row r="823" ht="15" customHeight="1">
      <c r="A823" t="inlineStr">
        <is>
          <t>A 50570-2025</t>
        </is>
      </c>
      <c r="B823" s="1" t="n">
        <v>45945.57354166666</v>
      </c>
      <c r="C823" s="1" t="n">
        <v>46013</v>
      </c>
      <c r="D823" t="inlineStr">
        <is>
          <t>JÄMTLANDS LÄN</t>
        </is>
      </c>
      <c r="E823" t="inlineStr">
        <is>
          <t>HÄRJEDALEN</t>
        </is>
      </c>
      <c r="F823" t="inlineStr">
        <is>
          <t>SCA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5993-2021</t>
        </is>
      </c>
      <c r="B824" s="1" t="n">
        <v>44231</v>
      </c>
      <c r="C824" s="1" t="n">
        <v>46013</v>
      </c>
      <c r="D824" t="inlineStr">
        <is>
          <t>JÄMTLANDS LÄN</t>
        </is>
      </c>
      <c r="E824" t="inlineStr">
        <is>
          <t>HÄRJEDALEN</t>
        </is>
      </c>
      <c r="F824" t="inlineStr">
        <is>
          <t>Kyrkan</t>
        </is>
      </c>
      <c r="G824" t="n">
        <v>2.6</v>
      </c>
      <c r="H824" t="n">
        <v>0</v>
      </c>
      <c r="I824" t="n">
        <v>0</v>
      </c>
      <c r="J824" t="n">
        <v>0</v>
      </c>
      <c r="K824" t="n">
        <v>0</v>
      </c>
      <c r="L824" t="n">
        <v>0</v>
      </c>
      <c r="M824" t="n">
        <v>0</v>
      </c>
      <c r="N824" t="n">
        <v>0</v>
      </c>
      <c r="O824" t="n">
        <v>0</v>
      </c>
      <c r="P824" t="n">
        <v>0</v>
      </c>
      <c r="Q824" t="n">
        <v>0</v>
      </c>
      <c r="R824" s="2" t="inlineStr"/>
    </row>
    <row r="825" ht="15" customHeight="1">
      <c r="A825" t="inlineStr">
        <is>
          <t>A 8091-2025</t>
        </is>
      </c>
      <c r="B825" s="1" t="n">
        <v>45707</v>
      </c>
      <c r="C825" s="1" t="n">
        <v>46013</v>
      </c>
      <c r="D825" t="inlineStr">
        <is>
          <t>JÄMTLANDS LÄN</t>
        </is>
      </c>
      <c r="E825" t="inlineStr">
        <is>
          <t>HÄRJEDALEN</t>
        </is>
      </c>
      <c r="G825" t="n">
        <v>3.3</v>
      </c>
      <c r="H825" t="n">
        <v>0</v>
      </c>
      <c r="I825" t="n">
        <v>0</v>
      </c>
      <c r="J825" t="n">
        <v>0</v>
      </c>
      <c r="K825" t="n">
        <v>0</v>
      </c>
      <c r="L825" t="n">
        <v>0</v>
      </c>
      <c r="M825" t="n">
        <v>0</v>
      </c>
      <c r="N825" t="n">
        <v>0</v>
      </c>
      <c r="O825" t="n">
        <v>0</v>
      </c>
      <c r="P825" t="n">
        <v>0</v>
      </c>
      <c r="Q825" t="n">
        <v>0</v>
      </c>
      <c r="R825" s="2" t="inlineStr"/>
    </row>
    <row r="826" ht="15" customHeight="1">
      <c r="A826" t="inlineStr">
        <is>
          <t>A 34627-2022</t>
        </is>
      </c>
      <c r="B826" s="1" t="n">
        <v>44795</v>
      </c>
      <c r="C826" s="1" t="n">
        <v>46013</v>
      </c>
      <c r="D826" t="inlineStr">
        <is>
          <t>JÄMTLANDS LÄN</t>
        </is>
      </c>
      <c r="E826" t="inlineStr">
        <is>
          <t>HÄRJEDALEN</t>
        </is>
      </c>
      <c r="G826" t="n">
        <v>2.4</v>
      </c>
      <c r="H826" t="n">
        <v>0</v>
      </c>
      <c r="I826" t="n">
        <v>0</v>
      </c>
      <c r="J826" t="n">
        <v>0</v>
      </c>
      <c r="K826" t="n">
        <v>0</v>
      </c>
      <c r="L826" t="n">
        <v>0</v>
      </c>
      <c r="M826" t="n">
        <v>0</v>
      </c>
      <c r="N826" t="n">
        <v>0</v>
      </c>
      <c r="O826" t="n">
        <v>0</v>
      </c>
      <c r="P826" t="n">
        <v>0</v>
      </c>
      <c r="Q826" t="n">
        <v>0</v>
      </c>
      <c r="R826" s="2" t="inlineStr"/>
    </row>
    <row r="827" ht="15" customHeight="1">
      <c r="A827" t="inlineStr">
        <is>
          <t>A 50588-2025</t>
        </is>
      </c>
      <c r="B827" s="1" t="n">
        <v>45945.59920138889</v>
      </c>
      <c r="C827" s="1" t="n">
        <v>46013</v>
      </c>
      <c r="D827" t="inlineStr">
        <is>
          <t>JÄMTLANDS LÄN</t>
        </is>
      </c>
      <c r="E827" t="inlineStr">
        <is>
          <t>HÄRJEDALEN</t>
        </is>
      </c>
      <c r="F827" t="inlineStr">
        <is>
          <t>Bergvik skog väst AB</t>
        </is>
      </c>
      <c r="G827" t="n">
        <v>17.9</v>
      </c>
      <c r="H827" t="n">
        <v>0</v>
      </c>
      <c r="I827" t="n">
        <v>0</v>
      </c>
      <c r="J827" t="n">
        <v>0</v>
      </c>
      <c r="K827" t="n">
        <v>0</v>
      </c>
      <c r="L827" t="n">
        <v>0</v>
      </c>
      <c r="M827" t="n">
        <v>0</v>
      </c>
      <c r="N827" t="n">
        <v>0</v>
      </c>
      <c r="O827" t="n">
        <v>0</v>
      </c>
      <c r="P827" t="n">
        <v>0</v>
      </c>
      <c r="Q827" t="n">
        <v>0</v>
      </c>
      <c r="R827" s="2" t="inlineStr"/>
    </row>
    <row r="828" ht="15" customHeight="1">
      <c r="A828" t="inlineStr">
        <is>
          <t>A 14632-2025</t>
        </is>
      </c>
      <c r="B828" s="1" t="n">
        <v>45742.42793981481</v>
      </c>
      <c r="C828" s="1" t="n">
        <v>46013</v>
      </c>
      <c r="D828" t="inlineStr">
        <is>
          <t>JÄMTLANDS LÄN</t>
        </is>
      </c>
      <c r="E828" t="inlineStr">
        <is>
          <t>HÄRJEDALEN</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7622-2025</t>
        </is>
      </c>
      <c r="B829" s="1" t="n">
        <v>45705.72106481482</v>
      </c>
      <c r="C829" s="1" t="n">
        <v>46013</v>
      </c>
      <c r="D829" t="inlineStr">
        <is>
          <t>JÄMTLANDS LÄN</t>
        </is>
      </c>
      <c r="E829" t="inlineStr">
        <is>
          <t>HÄRJEDALEN</t>
        </is>
      </c>
      <c r="G829" t="n">
        <v>2.7</v>
      </c>
      <c r="H829" t="n">
        <v>0</v>
      </c>
      <c r="I829" t="n">
        <v>0</v>
      </c>
      <c r="J829" t="n">
        <v>0</v>
      </c>
      <c r="K829" t="n">
        <v>0</v>
      </c>
      <c r="L829" t="n">
        <v>0</v>
      </c>
      <c r="M829" t="n">
        <v>0</v>
      </c>
      <c r="N829" t="n">
        <v>0</v>
      </c>
      <c r="O829" t="n">
        <v>0</v>
      </c>
      <c r="P829" t="n">
        <v>0</v>
      </c>
      <c r="Q829" t="n">
        <v>0</v>
      </c>
      <c r="R829" s="2" t="inlineStr"/>
    </row>
    <row r="830" ht="15" customHeight="1">
      <c r="A830" t="inlineStr">
        <is>
          <t>A 35532-2021</t>
        </is>
      </c>
      <c r="B830" s="1" t="n">
        <v>44385</v>
      </c>
      <c r="C830" s="1" t="n">
        <v>46013</v>
      </c>
      <c r="D830" t="inlineStr">
        <is>
          <t>JÄMTLANDS LÄN</t>
        </is>
      </c>
      <c r="E830" t="inlineStr">
        <is>
          <t>HÄRJEDALEN</t>
        </is>
      </c>
      <c r="G830" t="n">
        <v>4.3</v>
      </c>
      <c r="H830" t="n">
        <v>0</v>
      </c>
      <c r="I830" t="n">
        <v>0</v>
      </c>
      <c r="J830" t="n">
        <v>0</v>
      </c>
      <c r="K830" t="n">
        <v>0</v>
      </c>
      <c r="L830" t="n">
        <v>0</v>
      </c>
      <c r="M830" t="n">
        <v>0</v>
      </c>
      <c r="N830" t="n">
        <v>0</v>
      </c>
      <c r="O830" t="n">
        <v>0</v>
      </c>
      <c r="P830" t="n">
        <v>0</v>
      </c>
      <c r="Q830" t="n">
        <v>0</v>
      </c>
      <c r="R830" s="2" t="inlineStr"/>
    </row>
    <row r="831" ht="15" customHeight="1">
      <c r="A831" t="inlineStr">
        <is>
          <t>A 59480-2025</t>
        </is>
      </c>
      <c r="B831" s="1" t="n">
        <v>45989.58947916667</v>
      </c>
      <c r="C831" s="1" t="n">
        <v>46013</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30082-2022</t>
        </is>
      </c>
      <c r="B832" s="1" t="n">
        <v>44757.37524305555</v>
      </c>
      <c r="C832" s="1" t="n">
        <v>46013</v>
      </c>
      <c r="D832" t="inlineStr">
        <is>
          <t>JÄMTLANDS LÄN</t>
        </is>
      </c>
      <c r="E832" t="inlineStr">
        <is>
          <t>HÄRJEDALEN</t>
        </is>
      </c>
      <c r="G832" t="n">
        <v>3</v>
      </c>
      <c r="H832" t="n">
        <v>0</v>
      </c>
      <c r="I832" t="n">
        <v>0</v>
      </c>
      <c r="J832" t="n">
        <v>0</v>
      </c>
      <c r="K832" t="n">
        <v>0</v>
      </c>
      <c r="L832" t="n">
        <v>0</v>
      </c>
      <c r="M832" t="n">
        <v>0</v>
      </c>
      <c r="N832" t="n">
        <v>0</v>
      </c>
      <c r="O832" t="n">
        <v>0</v>
      </c>
      <c r="P832" t="n">
        <v>0</v>
      </c>
      <c r="Q832" t="n">
        <v>0</v>
      </c>
      <c r="R832" s="2" t="inlineStr"/>
    </row>
    <row r="833" ht="15" customHeight="1">
      <c r="A833" t="inlineStr">
        <is>
          <t>A 59507-2025</t>
        </is>
      </c>
      <c r="B833" s="1" t="n">
        <v>45989.64166666667</v>
      </c>
      <c r="C833" s="1" t="n">
        <v>46013</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51016-2025</t>
        </is>
      </c>
      <c r="B834" s="1" t="n">
        <v>45947.3843287037</v>
      </c>
      <c r="C834" s="1" t="n">
        <v>46013</v>
      </c>
      <c r="D834" t="inlineStr">
        <is>
          <t>JÄMTLANDS LÄN</t>
        </is>
      </c>
      <c r="E834" t="inlineStr">
        <is>
          <t>HÄRJEDALEN</t>
        </is>
      </c>
      <c r="F834" t="inlineStr">
        <is>
          <t>Bergvik skog väst AB</t>
        </is>
      </c>
      <c r="G834" t="n">
        <v>19.1</v>
      </c>
      <c r="H834" t="n">
        <v>0</v>
      </c>
      <c r="I834" t="n">
        <v>0</v>
      </c>
      <c r="J834" t="n">
        <v>0</v>
      </c>
      <c r="K834" t="n">
        <v>0</v>
      </c>
      <c r="L834" t="n">
        <v>0</v>
      </c>
      <c r="M834" t="n">
        <v>0</v>
      </c>
      <c r="N834" t="n">
        <v>0</v>
      </c>
      <c r="O834" t="n">
        <v>0</v>
      </c>
      <c r="P834" t="n">
        <v>0</v>
      </c>
      <c r="Q834" t="n">
        <v>0</v>
      </c>
      <c r="R834" s="2" t="inlineStr"/>
    </row>
    <row r="835" ht="15" customHeight="1">
      <c r="A835" t="inlineStr">
        <is>
          <t>A 18893-2025</t>
        </is>
      </c>
      <c r="B835" s="1" t="n">
        <v>45764.44825231482</v>
      </c>
      <c r="C835" s="1" t="n">
        <v>46013</v>
      </c>
      <c r="D835" t="inlineStr">
        <is>
          <t>JÄMTLANDS LÄN</t>
        </is>
      </c>
      <c r="E835" t="inlineStr">
        <is>
          <t>HÄRJEDALEN</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59608-2025</t>
        </is>
      </c>
      <c r="B836" s="1" t="n">
        <v>45992.3653587963</v>
      </c>
      <c r="C836" s="1" t="n">
        <v>46013</v>
      </c>
      <c r="D836" t="inlineStr">
        <is>
          <t>JÄMTLANDS LÄN</t>
        </is>
      </c>
      <c r="E836" t="inlineStr">
        <is>
          <t>HÄRJEDALEN</t>
        </is>
      </c>
      <c r="G836" t="n">
        <v>12.2</v>
      </c>
      <c r="H836" t="n">
        <v>0</v>
      </c>
      <c r="I836" t="n">
        <v>0</v>
      </c>
      <c r="J836" t="n">
        <v>0</v>
      </c>
      <c r="K836" t="n">
        <v>0</v>
      </c>
      <c r="L836" t="n">
        <v>0</v>
      </c>
      <c r="M836" t="n">
        <v>0</v>
      </c>
      <c r="N836" t="n">
        <v>0</v>
      </c>
      <c r="O836" t="n">
        <v>0</v>
      </c>
      <c r="P836" t="n">
        <v>0</v>
      </c>
      <c r="Q836" t="n">
        <v>0</v>
      </c>
      <c r="R836" s="2" t="inlineStr"/>
    </row>
    <row r="837" ht="15" customHeight="1">
      <c r="A837" t="inlineStr">
        <is>
          <t>A 51270-2025</t>
        </is>
      </c>
      <c r="B837" s="1" t="n">
        <v>45949.84528935186</v>
      </c>
      <c r="C837" s="1" t="n">
        <v>46013</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45195-2025</t>
        </is>
      </c>
      <c r="B838" s="1" t="n">
        <v>45919</v>
      </c>
      <c r="C838" s="1" t="n">
        <v>46013</v>
      </c>
      <c r="D838" t="inlineStr">
        <is>
          <t>JÄMTLANDS LÄN</t>
        </is>
      </c>
      <c r="E838" t="inlineStr">
        <is>
          <t>HÄRJEDALEN</t>
        </is>
      </c>
      <c r="G838" t="n">
        <v>1.5</v>
      </c>
      <c r="H838" t="n">
        <v>0</v>
      </c>
      <c r="I838" t="n">
        <v>0</v>
      </c>
      <c r="J838" t="n">
        <v>0</v>
      </c>
      <c r="K838" t="n">
        <v>0</v>
      </c>
      <c r="L838" t="n">
        <v>0</v>
      </c>
      <c r="M838" t="n">
        <v>0</v>
      </c>
      <c r="N838" t="n">
        <v>0</v>
      </c>
      <c r="O838" t="n">
        <v>0</v>
      </c>
      <c r="P838" t="n">
        <v>0</v>
      </c>
      <c r="Q838" t="n">
        <v>0</v>
      </c>
      <c r="R838" s="2" t="inlineStr"/>
    </row>
    <row r="839" ht="15" customHeight="1">
      <c r="A839" t="inlineStr">
        <is>
          <t>A 59360-2025</t>
        </is>
      </c>
      <c r="B839" s="1" t="n">
        <v>45989.42842592593</v>
      </c>
      <c r="C839" s="1" t="n">
        <v>46013</v>
      </c>
      <c r="D839" t="inlineStr">
        <is>
          <t>JÄMTLANDS LÄN</t>
        </is>
      </c>
      <c r="E839" t="inlineStr">
        <is>
          <t>HÄRJEDALEN</t>
        </is>
      </c>
      <c r="G839" t="n">
        <v>3.6</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45989.58270833334</v>
      </c>
      <c r="C840" s="1" t="n">
        <v>46013</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59430-2025</t>
        </is>
      </c>
      <c r="B841" s="1" t="n">
        <v>45989.54789351852</v>
      </c>
      <c r="C841" s="1" t="n">
        <v>46013</v>
      </c>
      <c r="D841" t="inlineStr">
        <is>
          <t>JÄMTLANDS LÄN</t>
        </is>
      </c>
      <c r="E841" t="inlineStr">
        <is>
          <t>HÄRJEDALEN</t>
        </is>
      </c>
      <c r="G841" t="n">
        <v>0.4</v>
      </c>
      <c r="H841" t="n">
        <v>0</v>
      </c>
      <c r="I841" t="n">
        <v>0</v>
      </c>
      <c r="J841" t="n">
        <v>0</v>
      </c>
      <c r="K841" t="n">
        <v>0</v>
      </c>
      <c r="L841" t="n">
        <v>0</v>
      </c>
      <c r="M841" t="n">
        <v>0</v>
      </c>
      <c r="N841" t="n">
        <v>0</v>
      </c>
      <c r="O841" t="n">
        <v>0</v>
      </c>
      <c r="P841" t="n">
        <v>0</v>
      </c>
      <c r="Q841" t="n">
        <v>0</v>
      </c>
      <c r="R841" s="2" t="inlineStr"/>
    </row>
    <row r="842" ht="15" customHeight="1">
      <c r="A842" t="inlineStr">
        <is>
          <t>A 59509-2025</t>
        </is>
      </c>
      <c r="B842" s="1" t="n">
        <v>45989.64364583333</v>
      </c>
      <c r="C842" s="1" t="n">
        <v>46013</v>
      </c>
      <c r="D842" t="inlineStr">
        <is>
          <t>JÄMTLANDS LÄN</t>
        </is>
      </c>
      <c r="E842" t="inlineStr">
        <is>
          <t>HÄRJEDALEN</t>
        </is>
      </c>
      <c r="G842" t="n">
        <v>0.2</v>
      </c>
      <c r="H842" t="n">
        <v>0</v>
      </c>
      <c r="I842" t="n">
        <v>0</v>
      </c>
      <c r="J842" t="n">
        <v>0</v>
      </c>
      <c r="K842" t="n">
        <v>0</v>
      </c>
      <c r="L842" t="n">
        <v>0</v>
      </c>
      <c r="M842" t="n">
        <v>0</v>
      </c>
      <c r="N842" t="n">
        <v>0</v>
      </c>
      <c r="O842" t="n">
        <v>0</v>
      </c>
      <c r="P842" t="n">
        <v>0</v>
      </c>
      <c r="Q842" t="n">
        <v>0</v>
      </c>
      <c r="R842" s="2" t="inlineStr"/>
    </row>
    <row r="843" ht="15" customHeight="1">
      <c r="A843" t="inlineStr">
        <is>
          <t>A 44519-2021</t>
        </is>
      </c>
      <c r="B843" s="1" t="n">
        <v>44435</v>
      </c>
      <c r="C843" s="1" t="n">
        <v>46013</v>
      </c>
      <c r="D843" t="inlineStr">
        <is>
          <t>JÄMTLANDS LÄN</t>
        </is>
      </c>
      <c r="E843" t="inlineStr">
        <is>
          <t>HÄRJEDALEN</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59496-2025</t>
        </is>
      </c>
      <c r="B844" s="1" t="n">
        <v>45989.61563657408</v>
      </c>
      <c r="C844" s="1" t="n">
        <v>46013</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59364-2025</t>
        </is>
      </c>
      <c r="B845" s="1" t="n">
        <v>45989.4393287037</v>
      </c>
      <c r="C845" s="1" t="n">
        <v>46013</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44060-2024</t>
        </is>
      </c>
      <c r="B846" s="1" t="n">
        <v>45572.60001157408</v>
      </c>
      <c r="C846" s="1" t="n">
        <v>46013</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51082-2025</t>
        </is>
      </c>
      <c r="B847" s="1" t="n">
        <v>45947</v>
      </c>
      <c r="C847" s="1" t="n">
        <v>46013</v>
      </c>
      <c r="D847" t="inlineStr">
        <is>
          <t>JÄMTLANDS LÄN</t>
        </is>
      </c>
      <c r="E847" t="inlineStr">
        <is>
          <t>HÄRJEDALEN</t>
        </is>
      </c>
      <c r="F847" t="inlineStr">
        <is>
          <t>Bergvik skog väst AB</t>
        </is>
      </c>
      <c r="G847" t="n">
        <v>26.4</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46013</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58098-2025</t>
        </is>
      </c>
      <c r="B849" s="1" t="n">
        <v>45982</v>
      </c>
      <c r="C849" s="1" t="n">
        <v>46013</v>
      </c>
      <c r="D849" t="inlineStr">
        <is>
          <t>JÄMTLANDS LÄN</t>
        </is>
      </c>
      <c r="E849" t="inlineStr">
        <is>
          <t>HÄRJEDALEN</t>
        </is>
      </c>
      <c r="G849" t="n">
        <v>4.7</v>
      </c>
      <c r="H849" t="n">
        <v>0</v>
      </c>
      <c r="I849" t="n">
        <v>0</v>
      </c>
      <c r="J849" t="n">
        <v>0</v>
      </c>
      <c r="K849" t="n">
        <v>0</v>
      </c>
      <c r="L849" t="n">
        <v>0</v>
      </c>
      <c r="M849" t="n">
        <v>0</v>
      </c>
      <c r="N849" t="n">
        <v>0</v>
      </c>
      <c r="O849" t="n">
        <v>0</v>
      </c>
      <c r="P849" t="n">
        <v>0</v>
      </c>
      <c r="Q849" t="n">
        <v>0</v>
      </c>
      <c r="R849" s="2" t="inlineStr"/>
    </row>
    <row r="850" ht="15" customHeight="1">
      <c r="A850" t="inlineStr">
        <is>
          <t>A 19099-2025</t>
        </is>
      </c>
      <c r="B850" s="1" t="n">
        <v>45768.29469907407</v>
      </c>
      <c r="C850" s="1" t="n">
        <v>46013</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19102-2025</t>
        </is>
      </c>
      <c r="B851" s="1" t="n">
        <v>45768.30260416667</v>
      </c>
      <c r="C851" s="1" t="n">
        <v>46013</v>
      </c>
      <c r="D851" t="inlineStr">
        <is>
          <t>JÄMTLANDS LÄN</t>
        </is>
      </c>
      <c r="E851" t="inlineStr">
        <is>
          <t>HÄRJEDALEN</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19103-2025</t>
        </is>
      </c>
      <c r="B852" s="1" t="n">
        <v>45768.30388888889</v>
      </c>
      <c r="C852" s="1" t="n">
        <v>46013</v>
      </c>
      <c r="D852" t="inlineStr">
        <is>
          <t>JÄMTLANDS LÄN</t>
        </is>
      </c>
      <c r="E852" t="inlineStr">
        <is>
          <t>HÄRJEDALEN</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59981-2025</t>
        </is>
      </c>
      <c r="B853" s="1" t="n">
        <v>45993.53554398148</v>
      </c>
      <c r="C853" s="1" t="n">
        <v>46013</v>
      </c>
      <c r="D853" t="inlineStr">
        <is>
          <t>JÄMTLANDS LÄN</t>
        </is>
      </c>
      <c r="E853" t="inlineStr">
        <is>
          <t>HÄRJEDALEN</t>
        </is>
      </c>
      <c r="G853" t="n">
        <v>4.5</v>
      </c>
      <c r="H853" t="n">
        <v>0</v>
      </c>
      <c r="I853" t="n">
        <v>0</v>
      </c>
      <c r="J853" t="n">
        <v>0</v>
      </c>
      <c r="K853" t="n">
        <v>0</v>
      </c>
      <c r="L853" t="n">
        <v>0</v>
      </c>
      <c r="M853" t="n">
        <v>0</v>
      </c>
      <c r="N853" t="n">
        <v>0</v>
      </c>
      <c r="O853" t="n">
        <v>0</v>
      </c>
      <c r="P853" t="n">
        <v>0</v>
      </c>
      <c r="Q853" t="n">
        <v>0</v>
      </c>
      <c r="R853" s="2" t="inlineStr"/>
    </row>
    <row r="854" ht="15" customHeight="1">
      <c r="A854" t="inlineStr">
        <is>
          <t>A 4217-2025</t>
        </is>
      </c>
      <c r="B854" s="1" t="n">
        <v>45685.50063657408</v>
      </c>
      <c r="C854" s="1" t="n">
        <v>46013</v>
      </c>
      <c r="D854" t="inlineStr">
        <is>
          <t>JÄMTLANDS LÄN</t>
        </is>
      </c>
      <c r="E854" t="inlineStr">
        <is>
          <t>HÄRJEDALEN</t>
        </is>
      </c>
      <c r="F854" t="inlineStr">
        <is>
          <t>Bergvik skog väst AB</t>
        </is>
      </c>
      <c r="G854" t="n">
        <v>24.6</v>
      </c>
      <c r="H854" t="n">
        <v>0</v>
      </c>
      <c r="I854" t="n">
        <v>0</v>
      </c>
      <c r="J854" t="n">
        <v>0</v>
      </c>
      <c r="K854" t="n">
        <v>0</v>
      </c>
      <c r="L854" t="n">
        <v>0</v>
      </c>
      <c r="M854" t="n">
        <v>0</v>
      </c>
      <c r="N854" t="n">
        <v>0</v>
      </c>
      <c r="O854" t="n">
        <v>0</v>
      </c>
      <c r="P854" t="n">
        <v>0</v>
      </c>
      <c r="Q854" t="n">
        <v>0</v>
      </c>
      <c r="R854" s="2" t="inlineStr"/>
    </row>
    <row r="855" ht="15" customHeight="1">
      <c r="A855" t="inlineStr">
        <is>
          <t>A 52015-2025</t>
        </is>
      </c>
      <c r="B855" s="1" t="n">
        <v>45952.59693287037</v>
      </c>
      <c r="C855" s="1" t="n">
        <v>46013</v>
      </c>
      <c r="D855" t="inlineStr">
        <is>
          <t>JÄMTLANDS LÄN</t>
        </is>
      </c>
      <c r="E855" t="inlineStr">
        <is>
          <t>HÄRJEDALEN</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4593-2025</t>
        </is>
      </c>
      <c r="B856" s="1" t="n">
        <v>45687.54329861111</v>
      </c>
      <c r="C856" s="1" t="n">
        <v>46013</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21531-2023</t>
        </is>
      </c>
      <c r="B857" s="1" t="n">
        <v>45063</v>
      </c>
      <c r="C857" s="1" t="n">
        <v>46013</v>
      </c>
      <c r="D857" t="inlineStr">
        <is>
          <t>JÄMTLANDS LÄN</t>
        </is>
      </c>
      <c r="E857" t="inlineStr">
        <is>
          <t>HÄRJEDALEN</t>
        </is>
      </c>
      <c r="G857" t="n">
        <v>14.6</v>
      </c>
      <c r="H857" t="n">
        <v>0</v>
      </c>
      <c r="I857" t="n">
        <v>0</v>
      </c>
      <c r="J857" t="n">
        <v>0</v>
      </c>
      <c r="K857" t="n">
        <v>0</v>
      </c>
      <c r="L857" t="n">
        <v>0</v>
      </c>
      <c r="M857" t="n">
        <v>0</v>
      </c>
      <c r="N857" t="n">
        <v>0</v>
      </c>
      <c r="O857" t="n">
        <v>0</v>
      </c>
      <c r="P857" t="n">
        <v>0</v>
      </c>
      <c r="Q857" t="n">
        <v>0</v>
      </c>
      <c r="R857" s="2" t="inlineStr"/>
    </row>
    <row r="858" ht="15" customHeight="1">
      <c r="A858" t="inlineStr">
        <is>
          <t>A 55029-2021</t>
        </is>
      </c>
      <c r="B858" s="1" t="n">
        <v>44474.59423611111</v>
      </c>
      <c r="C858" s="1" t="n">
        <v>46013</v>
      </c>
      <c r="D858" t="inlineStr">
        <is>
          <t>JÄMTLANDS LÄN</t>
        </is>
      </c>
      <c r="E858" t="inlineStr">
        <is>
          <t>HÄRJEDALEN</t>
        </is>
      </c>
      <c r="G858" t="n">
        <v>6.2</v>
      </c>
      <c r="H858" t="n">
        <v>0</v>
      </c>
      <c r="I858" t="n">
        <v>0</v>
      </c>
      <c r="J858" t="n">
        <v>0</v>
      </c>
      <c r="K858" t="n">
        <v>0</v>
      </c>
      <c r="L858" t="n">
        <v>0</v>
      </c>
      <c r="M858" t="n">
        <v>0</v>
      </c>
      <c r="N858" t="n">
        <v>0</v>
      </c>
      <c r="O858" t="n">
        <v>0</v>
      </c>
      <c r="P858" t="n">
        <v>0</v>
      </c>
      <c r="Q858" t="n">
        <v>0</v>
      </c>
      <c r="R858" s="2" t="inlineStr"/>
    </row>
    <row r="859" ht="15" customHeight="1">
      <c r="A859" t="inlineStr">
        <is>
          <t>A 51653-2025</t>
        </is>
      </c>
      <c r="B859" s="1" t="n">
        <v>45951.46152777778</v>
      </c>
      <c r="C859" s="1" t="n">
        <v>46013</v>
      </c>
      <c r="D859" t="inlineStr">
        <is>
          <t>JÄMTLANDS LÄN</t>
        </is>
      </c>
      <c r="E859" t="inlineStr">
        <is>
          <t>HÄRJEDALEN</t>
        </is>
      </c>
      <c r="F859" t="inlineStr">
        <is>
          <t>Holmen skog AB</t>
        </is>
      </c>
      <c r="G859" t="n">
        <v>1.7</v>
      </c>
      <c r="H859" t="n">
        <v>0</v>
      </c>
      <c r="I859" t="n">
        <v>0</v>
      </c>
      <c r="J859" t="n">
        <v>0</v>
      </c>
      <c r="K859" t="n">
        <v>0</v>
      </c>
      <c r="L859" t="n">
        <v>0</v>
      </c>
      <c r="M859" t="n">
        <v>0</v>
      </c>
      <c r="N859" t="n">
        <v>0</v>
      </c>
      <c r="O859" t="n">
        <v>0</v>
      </c>
      <c r="P859" t="n">
        <v>0</v>
      </c>
      <c r="Q859" t="n">
        <v>0</v>
      </c>
      <c r="R859" s="2" t="inlineStr"/>
    </row>
    <row r="860" ht="15" customHeight="1">
      <c r="A860" t="inlineStr">
        <is>
          <t>A 38709-2025</t>
        </is>
      </c>
      <c r="B860" s="1" t="n">
        <v>45885</v>
      </c>
      <c r="C860" s="1" t="n">
        <v>46013</v>
      </c>
      <c r="D860" t="inlineStr">
        <is>
          <t>JÄMTLANDS LÄN</t>
        </is>
      </c>
      <c r="E860" t="inlineStr">
        <is>
          <t>HÄRJEDALEN</t>
        </is>
      </c>
      <c r="G860" t="n">
        <v>70</v>
      </c>
      <c r="H860" t="n">
        <v>0</v>
      </c>
      <c r="I860" t="n">
        <v>0</v>
      </c>
      <c r="J860" t="n">
        <v>0</v>
      </c>
      <c r="K860" t="n">
        <v>0</v>
      </c>
      <c r="L860" t="n">
        <v>0</v>
      </c>
      <c r="M860" t="n">
        <v>0</v>
      </c>
      <c r="N860" t="n">
        <v>0</v>
      </c>
      <c r="O860" t="n">
        <v>0</v>
      </c>
      <c r="P860" t="n">
        <v>0</v>
      </c>
      <c r="Q860" t="n">
        <v>0</v>
      </c>
      <c r="R860" s="2" t="inlineStr"/>
    </row>
    <row r="861" ht="15" customHeight="1">
      <c r="A861" t="inlineStr">
        <is>
          <t>A 15003-2025</t>
        </is>
      </c>
      <c r="B861" s="1" t="n">
        <v>45743.61899305556</v>
      </c>
      <c r="C861" s="1" t="n">
        <v>46013</v>
      </c>
      <c r="D861" t="inlineStr">
        <is>
          <t>JÄMTLANDS LÄN</t>
        </is>
      </c>
      <c r="E861" t="inlineStr">
        <is>
          <t>HÄRJEDALEN</t>
        </is>
      </c>
      <c r="G861" t="n">
        <v>0.3</v>
      </c>
      <c r="H861" t="n">
        <v>0</v>
      </c>
      <c r="I861" t="n">
        <v>0</v>
      </c>
      <c r="J861" t="n">
        <v>0</v>
      </c>
      <c r="K861" t="n">
        <v>0</v>
      </c>
      <c r="L861" t="n">
        <v>0</v>
      </c>
      <c r="M861" t="n">
        <v>0</v>
      </c>
      <c r="N861" t="n">
        <v>0</v>
      </c>
      <c r="O861" t="n">
        <v>0</v>
      </c>
      <c r="P861" t="n">
        <v>0</v>
      </c>
      <c r="Q861" t="n">
        <v>0</v>
      </c>
      <c r="R861" s="2" t="inlineStr"/>
    </row>
    <row r="862" ht="15" customHeight="1">
      <c r="A862" t="inlineStr">
        <is>
          <t>A 15004-2025</t>
        </is>
      </c>
      <c r="B862" s="1" t="n">
        <v>45743.62116898148</v>
      </c>
      <c r="C862" s="1" t="n">
        <v>46013</v>
      </c>
      <c r="D862" t="inlineStr">
        <is>
          <t>JÄMTLANDS LÄN</t>
        </is>
      </c>
      <c r="E862" t="inlineStr">
        <is>
          <t>HÄRJEDALEN</t>
        </is>
      </c>
      <c r="G862" t="n">
        <v>2.1</v>
      </c>
      <c r="H862" t="n">
        <v>0</v>
      </c>
      <c r="I862" t="n">
        <v>0</v>
      </c>
      <c r="J862" t="n">
        <v>0</v>
      </c>
      <c r="K862" t="n">
        <v>0</v>
      </c>
      <c r="L862" t="n">
        <v>0</v>
      </c>
      <c r="M862" t="n">
        <v>0</v>
      </c>
      <c r="N862" t="n">
        <v>0</v>
      </c>
      <c r="O862" t="n">
        <v>0</v>
      </c>
      <c r="P862" t="n">
        <v>0</v>
      </c>
      <c r="Q862" t="n">
        <v>0</v>
      </c>
      <c r="R862" s="2" t="inlineStr"/>
    </row>
    <row r="863" ht="15" customHeight="1">
      <c r="A863" t="inlineStr">
        <is>
          <t>A 60080-2025</t>
        </is>
      </c>
      <c r="B863" s="1" t="n">
        <v>45993.69013888889</v>
      </c>
      <c r="C863" s="1" t="n">
        <v>46013</v>
      </c>
      <c r="D863" t="inlineStr">
        <is>
          <t>JÄMTLANDS LÄN</t>
        </is>
      </c>
      <c r="E863" t="inlineStr">
        <is>
          <t>HÄRJEDALEN</t>
        </is>
      </c>
      <c r="F863" t="inlineStr">
        <is>
          <t>Bergvik skog väst AB</t>
        </is>
      </c>
      <c r="G863" t="n">
        <v>12.1</v>
      </c>
      <c r="H863" t="n">
        <v>0</v>
      </c>
      <c r="I863" t="n">
        <v>0</v>
      </c>
      <c r="J863" t="n">
        <v>0</v>
      </c>
      <c r="K863" t="n">
        <v>0</v>
      </c>
      <c r="L863" t="n">
        <v>0</v>
      </c>
      <c r="M863" t="n">
        <v>0</v>
      </c>
      <c r="N863" t="n">
        <v>0</v>
      </c>
      <c r="O863" t="n">
        <v>0</v>
      </c>
      <c r="P863" t="n">
        <v>0</v>
      </c>
      <c r="Q863" t="n">
        <v>0</v>
      </c>
      <c r="R863" s="2" t="inlineStr"/>
    </row>
    <row r="864" ht="15" customHeight="1">
      <c r="A864" t="inlineStr">
        <is>
          <t>A 58110-2025</t>
        </is>
      </c>
      <c r="B864" s="1" t="n">
        <v>45982</v>
      </c>
      <c r="C864" s="1" t="n">
        <v>46013</v>
      </c>
      <c r="D864" t="inlineStr">
        <is>
          <t>JÄMTLANDS LÄN</t>
        </is>
      </c>
      <c r="E864" t="inlineStr">
        <is>
          <t>HÄRJEDALEN</t>
        </is>
      </c>
      <c r="G864" t="n">
        <v>0.8</v>
      </c>
      <c r="H864" t="n">
        <v>0</v>
      </c>
      <c r="I864" t="n">
        <v>0</v>
      </c>
      <c r="J864" t="n">
        <v>0</v>
      </c>
      <c r="K864" t="n">
        <v>0</v>
      </c>
      <c r="L864" t="n">
        <v>0</v>
      </c>
      <c r="M864" t="n">
        <v>0</v>
      </c>
      <c r="N864" t="n">
        <v>0</v>
      </c>
      <c r="O864" t="n">
        <v>0</v>
      </c>
      <c r="P864" t="n">
        <v>0</v>
      </c>
      <c r="Q864" t="n">
        <v>0</v>
      </c>
      <c r="R864" s="2" t="inlineStr"/>
    </row>
    <row r="865" ht="15" customHeight="1">
      <c r="A865" t="inlineStr">
        <is>
          <t>A 18953-2025</t>
        </is>
      </c>
      <c r="B865" s="1" t="n">
        <v>45764</v>
      </c>
      <c r="C865" s="1" t="n">
        <v>46013</v>
      </c>
      <c r="D865" t="inlineStr">
        <is>
          <t>JÄMTLANDS LÄN</t>
        </is>
      </c>
      <c r="E865" t="inlineStr">
        <is>
          <t>HÄRJEDALEN</t>
        </is>
      </c>
      <c r="G865" t="n">
        <v>14.3</v>
      </c>
      <c r="H865" t="n">
        <v>0</v>
      </c>
      <c r="I865" t="n">
        <v>0</v>
      </c>
      <c r="J865" t="n">
        <v>0</v>
      </c>
      <c r="K865" t="n">
        <v>0</v>
      </c>
      <c r="L865" t="n">
        <v>0</v>
      </c>
      <c r="M865" t="n">
        <v>0</v>
      </c>
      <c r="N865" t="n">
        <v>0</v>
      </c>
      <c r="O865" t="n">
        <v>0</v>
      </c>
      <c r="P865" t="n">
        <v>0</v>
      </c>
      <c r="Q865" t="n">
        <v>0</v>
      </c>
      <c r="R865" s="2" t="inlineStr"/>
    </row>
    <row r="866" ht="15" customHeight="1">
      <c r="A866" t="inlineStr">
        <is>
          <t>A 16626-2025</t>
        </is>
      </c>
      <c r="B866" s="1" t="n">
        <v>45754.35055555555</v>
      </c>
      <c r="C866" s="1" t="n">
        <v>46013</v>
      </c>
      <c r="D866" t="inlineStr">
        <is>
          <t>JÄMTLANDS LÄN</t>
        </is>
      </c>
      <c r="E866" t="inlineStr">
        <is>
          <t>HÄRJEDALEN</t>
        </is>
      </c>
      <c r="G866" t="n">
        <v>2.7</v>
      </c>
      <c r="H866" t="n">
        <v>0</v>
      </c>
      <c r="I866" t="n">
        <v>0</v>
      </c>
      <c r="J866" t="n">
        <v>0</v>
      </c>
      <c r="K866" t="n">
        <v>0</v>
      </c>
      <c r="L866" t="n">
        <v>0</v>
      </c>
      <c r="M866" t="n">
        <v>0</v>
      </c>
      <c r="N866" t="n">
        <v>0</v>
      </c>
      <c r="O866" t="n">
        <v>0</v>
      </c>
      <c r="P866" t="n">
        <v>0</v>
      </c>
      <c r="Q866" t="n">
        <v>0</v>
      </c>
      <c r="R866" s="2" t="inlineStr"/>
    </row>
    <row r="867" ht="15" customHeight="1">
      <c r="A867" t="inlineStr">
        <is>
          <t>A 37054-2024</t>
        </is>
      </c>
      <c r="B867" s="1" t="n">
        <v>45539.43545138889</v>
      </c>
      <c r="C867" s="1" t="n">
        <v>46013</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58116-2025</t>
        </is>
      </c>
      <c r="B868" s="1" t="n">
        <v>45982</v>
      </c>
      <c r="C868" s="1" t="n">
        <v>46013</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48051-2023</t>
        </is>
      </c>
      <c r="B869" s="1" t="n">
        <v>45204</v>
      </c>
      <c r="C869" s="1" t="n">
        <v>46013</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4862-2025</t>
        </is>
      </c>
      <c r="B870" s="1" t="n">
        <v>45688.6749537037</v>
      </c>
      <c r="C870" s="1" t="n">
        <v>46013</v>
      </c>
      <c r="D870" t="inlineStr">
        <is>
          <t>JÄMTLANDS LÄN</t>
        </is>
      </c>
      <c r="E870" t="inlineStr">
        <is>
          <t>HÄRJEDALEN</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45995.44881944444</v>
      </c>
      <c r="C871" s="1" t="n">
        <v>46013</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41766-2022</t>
        </is>
      </c>
      <c r="B872" s="1" t="n">
        <v>44827</v>
      </c>
      <c r="C872" s="1" t="n">
        <v>46013</v>
      </c>
      <c r="D872" t="inlineStr">
        <is>
          <t>JÄMTLANDS LÄN</t>
        </is>
      </c>
      <c r="E872" t="inlineStr">
        <is>
          <t>HÄRJEDALEN</t>
        </is>
      </c>
      <c r="G872" t="n">
        <v>12.5</v>
      </c>
      <c r="H872" t="n">
        <v>0</v>
      </c>
      <c r="I872" t="n">
        <v>0</v>
      </c>
      <c r="J872" t="n">
        <v>0</v>
      </c>
      <c r="K872" t="n">
        <v>0</v>
      </c>
      <c r="L872" t="n">
        <v>0</v>
      </c>
      <c r="M872" t="n">
        <v>0</v>
      </c>
      <c r="N872" t="n">
        <v>0</v>
      </c>
      <c r="O872" t="n">
        <v>0</v>
      </c>
      <c r="P872" t="n">
        <v>0</v>
      </c>
      <c r="Q872" t="n">
        <v>0</v>
      </c>
      <c r="R872" s="2" t="inlineStr"/>
    </row>
    <row r="873" ht="15" customHeight="1">
      <c r="A873" t="inlineStr">
        <is>
          <t>A 60494-2025</t>
        </is>
      </c>
      <c r="B873" s="1" t="n">
        <v>45995.61195601852</v>
      </c>
      <c r="C873" s="1" t="n">
        <v>46013</v>
      </c>
      <c r="D873" t="inlineStr">
        <is>
          <t>JÄMTLANDS LÄN</t>
        </is>
      </c>
      <c r="E873" t="inlineStr">
        <is>
          <t>HÄRJEDALEN</t>
        </is>
      </c>
      <c r="F873" t="inlineStr">
        <is>
          <t>Bergvik skog väst AB</t>
        </is>
      </c>
      <c r="G873" t="n">
        <v>46.5</v>
      </c>
      <c r="H873" t="n">
        <v>0</v>
      </c>
      <c r="I873" t="n">
        <v>0</v>
      </c>
      <c r="J873" t="n">
        <v>0</v>
      </c>
      <c r="K873" t="n">
        <v>0</v>
      </c>
      <c r="L873" t="n">
        <v>0</v>
      </c>
      <c r="M873" t="n">
        <v>0</v>
      </c>
      <c r="N873" t="n">
        <v>0</v>
      </c>
      <c r="O873" t="n">
        <v>0</v>
      </c>
      <c r="P873" t="n">
        <v>0</v>
      </c>
      <c r="Q873" t="n">
        <v>0</v>
      </c>
      <c r="R873" s="2" t="inlineStr"/>
    </row>
    <row r="874" ht="15" customHeight="1">
      <c r="A874" t="inlineStr">
        <is>
          <t>A 41771-2022</t>
        </is>
      </c>
      <c r="B874" s="1" t="n">
        <v>44827</v>
      </c>
      <c r="C874" s="1" t="n">
        <v>46013</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60547-2025</t>
        </is>
      </c>
      <c r="B875" s="1" t="n">
        <v>45995.70358796296</v>
      </c>
      <c r="C875" s="1" t="n">
        <v>46013</v>
      </c>
      <c r="D875" t="inlineStr">
        <is>
          <t>JÄMTLANDS LÄN</t>
        </is>
      </c>
      <c r="E875" t="inlineStr">
        <is>
          <t>HÄRJEDALEN</t>
        </is>
      </c>
      <c r="G875" t="n">
        <v>7.9</v>
      </c>
      <c r="H875" t="n">
        <v>0</v>
      </c>
      <c r="I875" t="n">
        <v>0</v>
      </c>
      <c r="J875" t="n">
        <v>0</v>
      </c>
      <c r="K875" t="n">
        <v>0</v>
      </c>
      <c r="L875" t="n">
        <v>0</v>
      </c>
      <c r="M875" t="n">
        <v>0</v>
      </c>
      <c r="N875" t="n">
        <v>0</v>
      </c>
      <c r="O875" t="n">
        <v>0</v>
      </c>
      <c r="P875" t="n">
        <v>0</v>
      </c>
      <c r="Q875" t="n">
        <v>0</v>
      </c>
      <c r="R875" s="2" t="inlineStr"/>
    </row>
    <row r="876" ht="15" customHeight="1">
      <c r="A876" t="inlineStr">
        <is>
          <t>A 60568-2025</t>
        </is>
      </c>
      <c r="B876" s="1" t="n">
        <v>45995.84627314815</v>
      </c>
      <c r="C876" s="1" t="n">
        <v>46013</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55463-2023</t>
        </is>
      </c>
      <c r="B877" s="1" t="n">
        <v>45238.46430555556</v>
      </c>
      <c r="C877" s="1" t="n">
        <v>46013</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60581-2025</t>
        </is>
      </c>
      <c r="B878" s="1" t="n">
        <v>45996.33150462963</v>
      </c>
      <c r="C878" s="1" t="n">
        <v>46013</v>
      </c>
      <c r="D878" t="inlineStr">
        <is>
          <t>JÄMTLANDS LÄN</t>
        </is>
      </c>
      <c r="E878" t="inlineStr">
        <is>
          <t>HÄRJEDALEN</t>
        </is>
      </c>
      <c r="G878" t="n">
        <v>6.1</v>
      </c>
      <c r="H878" t="n">
        <v>0</v>
      </c>
      <c r="I878" t="n">
        <v>0</v>
      </c>
      <c r="J878" t="n">
        <v>0</v>
      </c>
      <c r="K878" t="n">
        <v>0</v>
      </c>
      <c r="L878" t="n">
        <v>0</v>
      </c>
      <c r="M878" t="n">
        <v>0</v>
      </c>
      <c r="N878" t="n">
        <v>0</v>
      </c>
      <c r="O878" t="n">
        <v>0</v>
      </c>
      <c r="P878" t="n">
        <v>0</v>
      </c>
      <c r="Q878" t="n">
        <v>0</v>
      </c>
      <c r="R878" s="2" t="inlineStr"/>
    </row>
    <row r="879" ht="15" customHeight="1">
      <c r="A879" t="inlineStr">
        <is>
          <t>A 52520-2025</t>
        </is>
      </c>
      <c r="B879" s="1" t="n">
        <v>45954.51769675926</v>
      </c>
      <c r="C879" s="1" t="n">
        <v>46013</v>
      </c>
      <c r="D879" t="inlineStr">
        <is>
          <t>JÄMTLANDS LÄN</t>
        </is>
      </c>
      <c r="E879" t="inlineStr">
        <is>
          <t>HÄRJEDALEN</t>
        </is>
      </c>
      <c r="G879" t="n">
        <v>3.7</v>
      </c>
      <c r="H879" t="n">
        <v>0</v>
      </c>
      <c r="I879" t="n">
        <v>0</v>
      </c>
      <c r="J879" t="n">
        <v>0</v>
      </c>
      <c r="K879" t="n">
        <v>0</v>
      </c>
      <c r="L879" t="n">
        <v>0</v>
      </c>
      <c r="M879" t="n">
        <v>0</v>
      </c>
      <c r="N879" t="n">
        <v>0</v>
      </c>
      <c r="O879" t="n">
        <v>0</v>
      </c>
      <c r="P879" t="n">
        <v>0</v>
      </c>
      <c r="Q879" t="n">
        <v>0</v>
      </c>
      <c r="R879" s="2" t="inlineStr"/>
    </row>
    <row r="880" ht="15" customHeight="1">
      <c r="A880" t="inlineStr">
        <is>
          <t>A 60413-2025</t>
        </is>
      </c>
      <c r="B880" s="1" t="n">
        <v>45995.44887731481</v>
      </c>
      <c r="C880" s="1" t="n">
        <v>46013</v>
      </c>
      <c r="D880" t="inlineStr">
        <is>
          <t>JÄMTLANDS LÄN</t>
        </is>
      </c>
      <c r="E880" t="inlineStr">
        <is>
          <t>HÄRJEDALEN</t>
        </is>
      </c>
      <c r="G880" t="n">
        <v>3.6</v>
      </c>
      <c r="H880" t="n">
        <v>0</v>
      </c>
      <c r="I880" t="n">
        <v>0</v>
      </c>
      <c r="J880" t="n">
        <v>0</v>
      </c>
      <c r="K880" t="n">
        <v>0</v>
      </c>
      <c r="L880" t="n">
        <v>0</v>
      </c>
      <c r="M880" t="n">
        <v>0</v>
      </c>
      <c r="N880" t="n">
        <v>0</v>
      </c>
      <c r="O880" t="n">
        <v>0</v>
      </c>
      <c r="P880" t="n">
        <v>0</v>
      </c>
      <c r="Q880" t="n">
        <v>0</v>
      </c>
      <c r="R880" s="2" t="inlineStr"/>
    </row>
    <row r="881" ht="15" customHeight="1">
      <c r="A881" t="inlineStr">
        <is>
          <t>A 60602-2025</t>
        </is>
      </c>
      <c r="B881" s="1" t="n">
        <v>45996.3533912037</v>
      </c>
      <c r="C881" s="1" t="n">
        <v>46013</v>
      </c>
      <c r="D881" t="inlineStr">
        <is>
          <t>JÄMTLANDS LÄN</t>
        </is>
      </c>
      <c r="E881" t="inlineStr">
        <is>
          <t>HÄRJEDALEN</t>
        </is>
      </c>
      <c r="G881" t="n">
        <v>3.7</v>
      </c>
      <c r="H881" t="n">
        <v>0</v>
      </c>
      <c r="I881" t="n">
        <v>0</v>
      </c>
      <c r="J881" t="n">
        <v>0</v>
      </c>
      <c r="K881" t="n">
        <v>0</v>
      </c>
      <c r="L881" t="n">
        <v>0</v>
      </c>
      <c r="M881" t="n">
        <v>0</v>
      </c>
      <c r="N881" t="n">
        <v>0</v>
      </c>
      <c r="O881" t="n">
        <v>0</v>
      </c>
      <c r="P881" t="n">
        <v>0</v>
      </c>
      <c r="Q881" t="n">
        <v>0</v>
      </c>
      <c r="R881" s="2" t="inlineStr"/>
    </row>
    <row r="882" ht="15" customHeight="1">
      <c r="A882" t="inlineStr">
        <is>
          <t>A 35726-2024</t>
        </is>
      </c>
      <c r="B882" s="1" t="n">
        <v>45532</v>
      </c>
      <c r="C882" s="1" t="n">
        <v>46013</v>
      </c>
      <c r="D882" t="inlineStr">
        <is>
          <t>JÄMTLANDS LÄN</t>
        </is>
      </c>
      <c r="E882" t="inlineStr">
        <is>
          <t>HÄRJEDALEN</t>
        </is>
      </c>
      <c r="G882" t="n">
        <v>14.3</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45996.36813657408</v>
      </c>
      <c r="C883" s="1" t="n">
        <v>46013</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60588-2025</t>
        </is>
      </c>
      <c r="B884" s="1" t="n">
        <v>45996.33506944445</v>
      </c>
      <c r="C884" s="1" t="n">
        <v>46013</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60605-2025</t>
        </is>
      </c>
      <c r="B885" s="1" t="n">
        <v>45996.359375</v>
      </c>
      <c r="C885" s="1" t="n">
        <v>46013</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52230-2025</t>
        </is>
      </c>
      <c r="B886" s="1" t="n">
        <v>45953</v>
      </c>
      <c r="C886" s="1" t="n">
        <v>46013</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46013</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60674-2025</t>
        </is>
      </c>
      <c r="B888" s="1" t="n">
        <v>45996.55619212963</v>
      </c>
      <c r="C888" s="1" t="n">
        <v>46013</v>
      </c>
      <c r="D888" t="inlineStr">
        <is>
          <t>JÄMTLANDS LÄN</t>
        </is>
      </c>
      <c r="E888" t="inlineStr">
        <is>
          <t>HÄRJEDALEN</t>
        </is>
      </c>
      <c r="G888" t="n">
        <v>0.7</v>
      </c>
      <c r="H888" t="n">
        <v>0</v>
      </c>
      <c r="I888" t="n">
        <v>0</v>
      </c>
      <c r="J888" t="n">
        <v>0</v>
      </c>
      <c r="K888" t="n">
        <v>0</v>
      </c>
      <c r="L888" t="n">
        <v>0</v>
      </c>
      <c r="M888" t="n">
        <v>0</v>
      </c>
      <c r="N888" t="n">
        <v>0</v>
      </c>
      <c r="O888" t="n">
        <v>0</v>
      </c>
      <c r="P888" t="n">
        <v>0</v>
      </c>
      <c r="Q888" t="n">
        <v>0</v>
      </c>
      <c r="R888" s="2" t="inlineStr"/>
    </row>
    <row r="889" ht="15" customHeight="1">
      <c r="A889" t="inlineStr">
        <is>
          <t>A 17885-2025</t>
        </is>
      </c>
      <c r="B889" s="1" t="n">
        <v>45758.66108796297</v>
      </c>
      <c r="C889" s="1" t="n">
        <v>46013</v>
      </c>
      <c r="D889" t="inlineStr">
        <is>
          <t>JÄMTLANDS LÄN</t>
        </is>
      </c>
      <c r="E889" t="inlineStr">
        <is>
          <t>HÄRJEDALEN</t>
        </is>
      </c>
      <c r="G889" t="n">
        <v>5</v>
      </c>
      <c r="H889" t="n">
        <v>0</v>
      </c>
      <c r="I889" t="n">
        <v>0</v>
      </c>
      <c r="J889" t="n">
        <v>0</v>
      </c>
      <c r="K889" t="n">
        <v>0</v>
      </c>
      <c r="L889" t="n">
        <v>0</v>
      </c>
      <c r="M889" t="n">
        <v>0</v>
      </c>
      <c r="N889" t="n">
        <v>0</v>
      </c>
      <c r="O889" t="n">
        <v>0</v>
      </c>
      <c r="P889" t="n">
        <v>0</v>
      </c>
      <c r="Q889" t="n">
        <v>0</v>
      </c>
      <c r="R889" s="2" t="inlineStr"/>
    </row>
    <row r="890" ht="15" customHeight="1">
      <c r="A890" t="inlineStr">
        <is>
          <t>A 17895-2025</t>
        </is>
      </c>
      <c r="B890" s="1" t="n">
        <v>45758.69123842593</v>
      </c>
      <c r="C890" s="1" t="n">
        <v>46013</v>
      </c>
      <c r="D890" t="inlineStr">
        <is>
          <t>JÄMTLANDS LÄN</t>
        </is>
      </c>
      <c r="E890" t="inlineStr">
        <is>
          <t>HÄRJEDALEN</t>
        </is>
      </c>
      <c r="G890" t="n">
        <v>5.4</v>
      </c>
      <c r="H890" t="n">
        <v>0</v>
      </c>
      <c r="I890" t="n">
        <v>0</v>
      </c>
      <c r="J890" t="n">
        <v>0</v>
      </c>
      <c r="K890" t="n">
        <v>0</v>
      </c>
      <c r="L890" t="n">
        <v>0</v>
      </c>
      <c r="M890" t="n">
        <v>0</v>
      </c>
      <c r="N890" t="n">
        <v>0</v>
      </c>
      <c r="O890" t="n">
        <v>0</v>
      </c>
      <c r="P890" t="n">
        <v>0</v>
      </c>
      <c r="Q890" t="n">
        <v>0</v>
      </c>
      <c r="R890" s="2" t="inlineStr"/>
    </row>
    <row r="891" ht="15" customHeight="1">
      <c r="A891" t="inlineStr">
        <is>
          <t>A 53256-2025</t>
        </is>
      </c>
      <c r="B891" s="1" t="n">
        <v>45958.6740625</v>
      </c>
      <c r="C891" s="1" t="n">
        <v>46013</v>
      </c>
      <c r="D891" t="inlineStr">
        <is>
          <t>JÄMTLANDS LÄN</t>
        </is>
      </c>
      <c r="E891" t="inlineStr">
        <is>
          <t>HÄRJEDALEN</t>
        </is>
      </c>
      <c r="G891" t="n">
        <v>1.5</v>
      </c>
      <c r="H891" t="n">
        <v>0</v>
      </c>
      <c r="I891" t="n">
        <v>0</v>
      </c>
      <c r="J891" t="n">
        <v>0</v>
      </c>
      <c r="K891" t="n">
        <v>0</v>
      </c>
      <c r="L891" t="n">
        <v>0</v>
      </c>
      <c r="M891" t="n">
        <v>0</v>
      </c>
      <c r="N891" t="n">
        <v>0</v>
      </c>
      <c r="O891" t="n">
        <v>0</v>
      </c>
      <c r="P891" t="n">
        <v>0</v>
      </c>
      <c r="Q891" t="n">
        <v>0</v>
      </c>
      <c r="R891" s="2" t="inlineStr"/>
    </row>
    <row r="892" ht="15" customHeight="1">
      <c r="A892" t="inlineStr">
        <is>
          <t>A 60980-2025</t>
        </is>
      </c>
      <c r="B892" s="1" t="n">
        <v>45999.70190972222</v>
      </c>
      <c r="C892" s="1" t="n">
        <v>46013</v>
      </c>
      <c r="D892" t="inlineStr">
        <is>
          <t>JÄMTLANDS LÄN</t>
        </is>
      </c>
      <c r="E892" t="inlineStr">
        <is>
          <t>HÄRJEDALEN</t>
        </is>
      </c>
      <c r="G892" t="n">
        <v>10.3</v>
      </c>
      <c r="H892" t="n">
        <v>0</v>
      </c>
      <c r="I892" t="n">
        <v>0</v>
      </c>
      <c r="J892" t="n">
        <v>0</v>
      </c>
      <c r="K892" t="n">
        <v>0</v>
      </c>
      <c r="L892" t="n">
        <v>0</v>
      </c>
      <c r="M892" t="n">
        <v>0</v>
      </c>
      <c r="N892" t="n">
        <v>0</v>
      </c>
      <c r="O892" t="n">
        <v>0</v>
      </c>
      <c r="P892" t="n">
        <v>0</v>
      </c>
      <c r="Q892" t="n">
        <v>0</v>
      </c>
      <c r="R892" s="2" t="inlineStr"/>
    </row>
    <row r="893" ht="15" customHeight="1">
      <c r="A893" t="inlineStr">
        <is>
          <t>A 47450-2022</t>
        </is>
      </c>
      <c r="B893" s="1" t="n">
        <v>44853</v>
      </c>
      <c r="C893" s="1" t="n">
        <v>46013</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46013</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53260-2025</t>
        </is>
      </c>
      <c r="B895" s="1" t="n">
        <v>45958.67776620371</v>
      </c>
      <c r="C895" s="1" t="n">
        <v>46013</v>
      </c>
      <c r="D895" t="inlineStr">
        <is>
          <t>JÄMTLANDS LÄN</t>
        </is>
      </c>
      <c r="E895" t="inlineStr">
        <is>
          <t>HÄRJEDALEN</t>
        </is>
      </c>
      <c r="G895" t="n">
        <v>3.3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46013</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61240-2025</t>
        </is>
      </c>
      <c r="B897" s="1" t="n">
        <v>46000.65603009259</v>
      </c>
      <c r="C897" s="1" t="n">
        <v>46013</v>
      </c>
      <c r="D897" t="inlineStr">
        <is>
          <t>JÄMTLANDS LÄN</t>
        </is>
      </c>
      <c r="E897" t="inlineStr">
        <is>
          <t>HÄRJEDALEN</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53253-2025</t>
        </is>
      </c>
      <c r="B898" s="1" t="n">
        <v>45958.66732638889</v>
      </c>
      <c r="C898" s="1" t="n">
        <v>46013</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53267-2025</t>
        </is>
      </c>
      <c r="B899" s="1" t="n">
        <v>45958.69079861111</v>
      </c>
      <c r="C899" s="1" t="n">
        <v>46013</v>
      </c>
      <c r="D899" t="inlineStr">
        <is>
          <t>JÄMTLANDS LÄN</t>
        </is>
      </c>
      <c r="E899" t="inlineStr">
        <is>
          <t>HÄRJEDALEN</t>
        </is>
      </c>
      <c r="G899" t="n">
        <v>3.3</v>
      </c>
      <c r="H899" t="n">
        <v>0</v>
      </c>
      <c r="I899" t="n">
        <v>0</v>
      </c>
      <c r="J899" t="n">
        <v>0</v>
      </c>
      <c r="K899" t="n">
        <v>0</v>
      </c>
      <c r="L899" t="n">
        <v>0</v>
      </c>
      <c r="M899" t="n">
        <v>0</v>
      </c>
      <c r="N899" t="n">
        <v>0</v>
      </c>
      <c r="O899" t="n">
        <v>0</v>
      </c>
      <c r="P899" t="n">
        <v>0</v>
      </c>
      <c r="Q899" t="n">
        <v>0</v>
      </c>
      <c r="R899" s="2" t="inlineStr"/>
    </row>
    <row r="900" ht="15" customHeight="1">
      <c r="A900" t="inlineStr">
        <is>
          <t>A 53268-2025</t>
        </is>
      </c>
      <c r="B900" s="1" t="n">
        <v>45958.69850694444</v>
      </c>
      <c r="C900" s="1" t="n">
        <v>46013</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14368-2025</t>
        </is>
      </c>
      <c r="B901" s="1" t="n">
        <v>45741.39084490741</v>
      </c>
      <c r="C901" s="1" t="n">
        <v>46013</v>
      </c>
      <c r="D901" t="inlineStr">
        <is>
          <t>JÄMTLANDS LÄN</t>
        </is>
      </c>
      <c r="E901" t="inlineStr">
        <is>
          <t>HÄRJEDALEN</t>
        </is>
      </c>
      <c r="G901" t="n">
        <v>6.5</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46013</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46013</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18546-2025</t>
        </is>
      </c>
      <c r="B904" s="1" t="n">
        <v>45763.4266087963</v>
      </c>
      <c r="C904" s="1" t="n">
        <v>46013</v>
      </c>
      <c r="D904" t="inlineStr">
        <is>
          <t>JÄMTLANDS LÄN</t>
        </is>
      </c>
      <c r="E904" t="inlineStr">
        <is>
          <t>HÄRJEDALEN</t>
        </is>
      </c>
      <c r="G904" t="n">
        <v>1.7</v>
      </c>
      <c r="H904" t="n">
        <v>0</v>
      </c>
      <c r="I904" t="n">
        <v>0</v>
      </c>
      <c r="J904" t="n">
        <v>0</v>
      </c>
      <c r="K904" t="n">
        <v>0</v>
      </c>
      <c r="L904" t="n">
        <v>0</v>
      </c>
      <c r="M904" t="n">
        <v>0</v>
      </c>
      <c r="N904" t="n">
        <v>0</v>
      </c>
      <c r="O904" t="n">
        <v>0</v>
      </c>
      <c r="P904" t="n">
        <v>0</v>
      </c>
      <c r="Q904" t="n">
        <v>0</v>
      </c>
      <c r="R904" s="2" t="inlineStr"/>
    </row>
    <row r="905" ht="15" customHeight="1">
      <c r="A905" t="inlineStr">
        <is>
          <t>A 7430-2024</t>
        </is>
      </c>
      <c r="B905" s="1" t="n">
        <v>45345.65929398148</v>
      </c>
      <c r="C905" s="1" t="n">
        <v>46013</v>
      </c>
      <c r="D905" t="inlineStr">
        <is>
          <t>JÄMTLANDS LÄN</t>
        </is>
      </c>
      <c r="E905" t="inlineStr">
        <is>
          <t>HÄRJEDALEN</t>
        </is>
      </c>
      <c r="F905" t="inlineStr">
        <is>
          <t>Holmen skog AB</t>
        </is>
      </c>
      <c r="G905" t="n">
        <v>12.1</v>
      </c>
      <c r="H905" t="n">
        <v>0</v>
      </c>
      <c r="I905" t="n">
        <v>0</v>
      </c>
      <c r="J905" t="n">
        <v>0</v>
      </c>
      <c r="K905" t="n">
        <v>0</v>
      </c>
      <c r="L905" t="n">
        <v>0</v>
      </c>
      <c r="M905" t="n">
        <v>0</v>
      </c>
      <c r="N905" t="n">
        <v>0</v>
      </c>
      <c r="O905" t="n">
        <v>0</v>
      </c>
      <c r="P905" t="n">
        <v>0</v>
      </c>
      <c r="Q905" t="n">
        <v>0</v>
      </c>
      <c r="R905" s="2" t="inlineStr"/>
    </row>
    <row r="906" ht="15" customHeight="1">
      <c r="A906" t="inlineStr">
        <is>
          <t>A 4879-2025</t>
        </is>
      </c>
      <c r="B906" s="1" t="n">
        <v>45688.6769212963</v>
      </c>
      <c r="C906" s="1" t="n">
        <v>46013</v>
      </c>
      <c r="D906" t="inlineStr">
        <is>
          <t>JÄMTLANDS LÄN</t>
        </is>
      </c>
      <c r="E906" t="inlineStr">
        <is>
          <t>HÄRJEDALEN</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20865-2024</t>
        </is>
      </c>
      <c r="B907" s="1" t="n">
        <v>45439.43106481482</v>
      </c>
      <c r="C907" s="1" t="n">
        <v>46013</v>
      </c>
      <c r="D907" t="inlineStr">
        <is>
          <t>JÄMTLANDS LÄN</t>
        </is>
      </c>
      <c r="E907" t="inlineStr">
        <is>
          <t>HÄRJEDALEN</t>
        </is>
      </c>
      <c r="F907" t="inlineStr">
        <is>
          <t>Holmen skog AB</t>
        </is>
      </c>
      <c r="G907" t="n">
        <v>7.2</v>
      </c>
      <c r="H907" t="n">
        <v>0</v>
      </c>
      <c r="I907" t="n">
        <v>0</v>
      </c>
      <c r="J907" t="n">
        <v>0</v>
      </c>
      <c r="K907" t="n">
        <v>0</v>
      </c>
      <c r="L907" t="n">
        <v>0</v>
      </c>
      <c r="M907" t="n">
        <v>0</v>
      </c>
      <c r="N907" t="n">
        <v>0</v>
      </c>
      <c r="O907" t="n">
        <v>0</v>
      </c>
      <c r="P907" t="n">
        <v>0</v>
      </c>
      <c r="Q907" t="n">
        <v>0</v>
      </c>
      <c r="R907" s="2" t="inlineStr"/>
    </row>
    <row r="908" ht="15" customHeight="1">
      <c r="A908" t="inlineStr">
        <is>
          <t>A 60856-2025</t>
        </is>
      </c>
      <c r="B908" s="1" t="n">
        <v>45999.51965277778</v>
      </c>
      <c r="C908" s="1" t="n">
        <v>46013</v>
      </c>
      <c r="D908" t="inlineStr">
        <is>
          <t>JÄMTLANDS LÄN</t>
        </is>
      </c>
      <c r="E908" t="inlineStr">
        <is>
          <t>HÄRJEDALEN</t>
        </is>
      </c>
      <c r="G908" t="n">
        <v>0.4</v>
      </c>
      <c r="H908" t="n">
        <v>0</v>
      </c>
      <c r="I908" t="n">
        <v>0</v>
      </c>
      <c r="J908" t="n">
        <v>0</v>
      </c>
      <c r="K908" t="n">
        <v>0</v>
      </c>
      <c r="L908" t="n">
        <v>0</v>
      </c>
      <c r="M908" t="n">
        <v>0</v>
      </c>
      <c r="N908" t="n">
        <v>0</v>
      </c>
      <c r="O908" t="n">
        <v>0</v>
      </c>
      <c r="P908" t="n">
        <v>0</v>
      </c>
      <c r="Q908" t="n">
        <v>0</v>
      </c>
      <c r="R908" s="2" t="inlineStr"/>
    </row>
    <row r="909" ht="15" customHeight="1">
      <c r="A909" t="inlineStr">
        <is>
          <t>A 7636-2023</t>
        </is>
      </c>
      <c r="B909" s="1" t="n">
        <v>44972.57449074074</v>
      </c>
      <c r="C909" s="1" t="n">
        <v>46013</v>
      </c>
      <c r="D909" t="inlineStr">
        <is>
          <t>JÄMTLANDS LÄN</t>
        </is>
      </c>
      <c r="E909" t="inlineStr">
        <is>
          <t>HÄRJEDALEN</t>
        </is>
      </c>
      <c r="G909" t="n">
        <v>1.5</v>
      </c>
      <c r="H909" t="n">
        <v>0</v>
      </c>
      <c r="I909" t="n">
        <v>0</v>
      </c>
      <c r="J909" t="n">
        <v>0</v>
      </c>
      <c r="K909" t="n">
        <v>0</v>
      </c>
      <c r="L909" t="n">
        <v>0</v>
      </c>
      <c r="M909" t="n">
        <v>0</v>
      </c>
      <c r="N909" t="n">
        <v>0</v>
      </c>
      <c r="O909" t="n">
        <v>0</v>
      </c>
      <c r="P909" t="n">
        <v>0</v>
      </c>
      <c r="Q909" t="n">
        <v>0</v>
      </c>
      <c r="R909" s="2" t="inlineStr"/>
    </row>
    <row r="910" ht="15" customHeight="1">
      <c r="A910" t="inlineStr">
        <is>
          <t>A 53175-2025</t>
        </is>
      </c>
      <c r="B910" s="1" t="n">
        <v>45958.52390046296</v>
      </c>
      <c r="C910" s="1" t="n">
        <v>46013</v>
      </c>
      <c r="D910" t="inlineStr">
        <is>
          <t>JÄMTLANDS LÄN</t>
        </is>
      </c>
      <c r="E910" t="inlineStr">
        <is>
          <t>HÄRJEDALEN</t>
        </is>
      </c>
      <c r="G910" t="n">
        <v>16.8</v>
      </c>
      <c r="H910" t="n">
        <v>0</v>
      </c>
      <c r="I910" t="n">
        <v>0</v>
      </c>
      <c r="J910" t="n">
        <v>0</v>
      </c>
      <c r="K910" t="n">
        <v>0</v>
      </c>
      <c r="L910" t="n">
        <v>0</v>
      </c>
      <c r="M910" t="n">
        <v>0</v>
      </c>
      <c r="N910" t="n">
        <v>0</v>
      </c>
      <c r="O910" t="n">
        <v>0</v>
      </c>
      <c r="P910" t="n">
        <v>0</v>
      </c>
      <c r="Q910" t="n">
        <v>0</v>
      </c>
      <c r="R910" s="2" t="inlineStr"/>
    </row>
    <row r="911" ht="15" customHeight="1">
      <c r="A911" t="inlineStr">
        <is>
          <t>A 57755-2021</t>
        </is>
      </c>
      <c r="B911" s="1" t="n">
        <v>44484.55535879629</v>
      </c>
      <c r="C911" s="1" t="n">
        <v>46013</v>
      </c>
      <c r="D911" t="inlineStr">
        <is>
          <t>JÄMTLANDS LÄN</t>
        </is>
      </c>
      <c r="E911" t="inlineStr">
        <is>
          <t>HÄRJEDALEN</t>
        </is>
      </c>
      <c r="G911" t="n">
        <v>3.9</v>
      </c>
      <c r="H911" t="n">
        <v>0</v>
      </c>
      <c r="I911" t="n">
        <v>0</v>
      </c>
      <c r="J911" t="n">
        <v>0</v>
      </c>
      <c r="K911" t="n">
        <v>0</v>
      </c>
      <c r="L911" t="n">
        <v>0</v>
      </c>
      <c r="M911" t="n">
        <v>0</v>
      </c>
      <c r="N911" t="n">
        <v>0</v>
      </c>
      <c r="O911" t="n">
        <v>0</v>
      </c>
      <c r="P911" t="n">
        <v>0</v>
      </c>
      <c r="Q911" t="n">
        <v>0</v>
      </c>
      <c r="R911" s="2" t="inlineStr"/>
    </row>
    <row r="912" ht="15" customHeight="1">
      <c r="A912" t="inlineStr">
        <is>
          <t>A 53265-2025</t>
        </is>
      </c>
      <c r="B912" s="1" t="n">
        <v>45958.6809375</v>
      </c>
      <c r="C912" s="1" t="n">
        <v>46013</v>
      </c>
      <c r="D912" t="inlineStr">
        <is>
          <t>JÄMTLANDS LÄN</t>
        </is>
      </c>
      <c r="E912" t="inlineStr">
        <is>
          <t>HÄRJEDALEN</t>
        </is>
      </c>
      <c r="G912" t="n">
        <v>2.4</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46013</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48669-2023</t>
        </is>
      </c>
      <c r="B914" s="1" t="n">
        <v>45203</v>
      </c>
      <c r="C914" s="1" t="n">
        <v>46013</v>
      </c>
      <c r="D914" t="inlineStr">
        <is>
          <t>JÄMTLANDS LÄN</t>
        </is>
      </c>
      <c r="E914" t="inlineStr">
        <is>
          <t>HÄRJEDALEN</t>
        </is>
      </c>
      <c r="G914" t="n">
        <v>4</v>
      </c>
      <c r="H914" t="n">
        <v>0</v>
      </c>
      <c r="I914" t="n">
        <v>0</v>
      </c>
      <c r="J914" t="n">
        <v>0</v>
      </c>
      <c r="K914" t="n">
        <v>0</v>
      </c>
      <c r="L914" t="n">
        <v>0</v>
      </c>
      <c r="M914" t="n">
        <v>0</v>
      </c>
      <c r="N914" t="n">
        <v>0</v>
      </c>
      <c r="O914" t="n">
        <v>0</v>
      </c>
      <c r="P914" t="n">
        <v>0</v>
      </c>
      <c r="Q914" t="n">
        <v>0</v>
      </c>
      <c r="R914" s="2" t="inlineStr"/>
    </row>
    <row r="915" ht="15" customHeight="1">
      <c r="A915" t="inlineStr">
        <is>
          <t>A 31723-2025</t>
        </is>
      </c>
      <c r="B915" s="1" t="n">
        <v>45834</v>
      </c>
      <c r="C915" s="1" t="n">
        <v>46013</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56043-2022</t>
        </is>
      </c>
      <c r="B916" s="1" t="n">
        <v>44889.56582175926</v>
      </c>
      <c r="C916" s="1" t="n">
        <v>46013</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35599-2024</t>
        </is>
      </c>
      <c r="B917" s="1" t="n">
        <v>45531.66196759259</v>
      </c>
      <c r="C917" s="1" t="n">
        <v>46013</v>
      </c>
      <c r="D917" t="inlineStr">
        <is>
          <t>JÄMTLANDS LÄN</t>
        </is>
      </c>
      <c r="E917" t="inlineStr">
        <is>
          <t>HÄRJEDALEN</t>
        </is>
      </c>
      <c r="F917" t="inlineStr">
        <is>
          <t>Bergvik skog väst AB</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60904-2025</t>
        </is>
      </c>
      <c r="B918" s="1" t="n">
        <v>45999.59417824074</v>
      </c>
      <c r="C918" s="1" t="n">
        <v>46013</v>
      </c>
      <c r="D918" t="inlineStr">
        <is>
          <t>JÄMTLANDS LÄN</t>
        </is>
      </c>
      <c r="E918" t="inlineStr">
        <is>
          <t>HÄRJEDALEN</t>
        </is>
      </c>
      <c r="G918" t="n">
        <v>11.3</v>
      </c>
      <c r="H918" t="n">
        <v>0</v>
      </c>
      <c r="I918" t="n">
        <v>0</v>
      </c>
      <c r="J918" t="n">
        <v>0</v>
      </c>
      <c r="K918" t="n">
        <v>0</v>
      </c>
      <c r="L918" t="n">
        <v>0</v>
      </c>
      <c r="M918" t="n">
        <v>0</v>
      </c>
      <c r="N918" t="n">
        <v>0</v>
      </c>
      <c r="O918" t="n">
        <v>0</v>
      </c>
      <c r="P918" t="n">
        <v>0</v>
      </c>
      <c r="Q918" t="n">
        <v>0</v>
      </c>
      <c r="R918" s="2" t="inlineStr"/>
    </row>
    <row r="919" ht="15" customHeight="1">
      <c r="A919" t="inlineStr">
        <is>
          <t>A 103-2023</t>
        </is>
      </c>
      <c r="B919" s="1" t="n">
        <v>44928</v>
      </c>
      <c r="C919" s="1" t="n">
        <v>46013</v>
      </c>
      <c r="D919" t="inlineStr">
        <is>
          <t>JÄMTLANDS LÄN</t>
        </is>
      </c>
      <c r="E919" t="inlineStr">
        <is>
          <t>HÄRJEDALEN</t>
        </is>
      </c>
      <c r="F919" t="inlineStr">
        <is>
          <t>Holmen skog AB</t>
        </is>
      </c>
      <c r="G919" t="n">
        <v>6.9</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46013</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53613-2025</t>
        </is>
      </c>
      <c r="B921" s="1" t="n">
        <v>45960.47413194444</v>
      </c>
      <c r="C921" s="1" t="n">
        <v>46013</v>
      </c>
      <c r="D921" t="inlineStr">
        <is>
          <t>JÄMTLANDS LÄN</t>
        </is>
      </c>
      <c r="E921" t="inlineStr">
        <is>
          <t>HÄRJEDALEN</t>
        </is>
      </c>
      <c r="F921" t="inlineStr">
        <is>
          <t>Holmen skog AB</t>
        </is>
      </c>
      <c r="G921" t="n">
        <v>4.3</v>
      </c>
      <c r="H921" t="n">
        <v>0</v>
      </c>
      <c r="I921" t="n">
        <v>0</v>
      </c>
      <c r="J921" t="n">
        <v>0</v>
      </c>
      <c r="K921" t="n">
        <v>0</v>
      </c>
      <c r="L921" t="n">
        <v>0</v>
      </c>
      <c r="M921" t="n">
        <v>0</v>
      </c>
      <c r="N921" t="n">
        <v>0</v>
      </c>
      <c r="O921" t="n">
        <v>0</v>
      </c>
      <c r="P921" t="n">
        <v>0</v>
      </c>
      <c r="Q921" t="n">
        <v>0</v>
      </c>
      <c r="R921" s="2" t="inlineStr"/>
    </row>
    <row r="922" ht="15" customHeight="1">
      <c r="A922" t="inlineStr">
        <is>
          <t>A 53631-2025</t>
        </is>
      </c>
      <c r="B922" s="1" t="n">
        <v>45960.49898148148</v>
      </c>
      <c r="C922" s="1" t="n">
        <v>46013</v>
      </c>
      <c r="D922" t="inlineStr">
        <is>
          <t>JÄMTLANDS LÄN</t>
        </is>
      </c>
      <c r="E922" t="inlineStr">
        <is>
          <t>HÄRJEDALEN</t>
        </is>
      </c>
      <c r="F922" t="inlineStr">
        <is>
          <t>Bergvik skog väst AB</t>
        </is>
      </c>
      <c r="G922" t="n">
        <v>10</v>
      </c>
      <c r="H922" t="n">
        <v>0</v>
      </c>
      <c r="I922" t="n">
        <v>0</v>
      </c>
      <c r="J922" t="n">
        <v>0</v>
      </c>
      <c r="K922" t="n">
        <v>0</v>
      </c>
      <c r="L922" t="n">
        <v>0</v>
      </c>
      <c r="M922" t="n">
        <v>0</v>
      </c>
      <c r="N922" t="n">
        <v>0</v>
      </c>
      <c r="O922" t="n">
        <v>0</v>
      </c>
      <c r="P922" t="n">
        <v>0</v>
      </c>
      <c r="Q922" t="n">
        <v>0</v>
      </c>
      <c r="R922" s="2" t="inlineStr"/>
    </row>
    <row r="923" ht="15" customHeight="1">
      <c r="A923" t="inlineStr">
        <is>
          <t>A 12569-2025</t>
        </is>
      </c>
      <c r="B923" s="1" t="n">
        <v>45731.69629629629</v>
      </c>
      <c r="C923" s="1" t="n">
        <v>46013</v>
      </c>
      <c r="D923" t="inlineStr">
        <is>
          <t>JÄMTLANDS LÄN</t>
        </is>
      </c>
      <c r="E923" t="inlineStr">
        <is>
          <t>HÄRJEDALEN</t>
        </is>
      </c>
      <c r="G923" t="n">
        <v>0.2</v>
      </c>
      <c r="H923" t="n">
        <v>0</v>
      </c>
      <c r="I923" t="n">
        <v>0</v>
      </c>
      <c r="J923" t="n">
        <v>0</v>
      </c>
      <c r="K923" t="n">
        <v>0</v>
      </c>
      <c r="L923" t="n">
        <v>0</v>
      </c>
      <c r="M923" t="n">
        <v>0</v>
      </c>
      <c r="N923" t="n">
        <v>0</v>
      </c>
      <c r="O923" t="n">
        <v>0</v>
      </c>
      <c r="P923" t="n">
        <v>0</v>
      </c>
      <c r="Q923" t="n">
        <v>0</v>
      </c>
      <c r="R923" s="2" t="inlineStr"/>
    </row>
    <row r="924" ht="15" customHeight="1">
      <c r="A924" t="inlineStr">
        <is>
          <t>A 39820-2022</t>
        </is>
      </c>
      <c r="B924" s="1" t="n">
        <v>44819.56722222222</v>
      </c>
      <c r="C924" s="1" t="n">
        <v>46013</v>
      </c>
      <c r="D924" t="inlineStr">
        <is>
          <t>JÄMTLANDS LÄN</t>
        </is>
      </c>
      <c r="E924" t="inlineStr">
        <is>
          <t>HÄRJEDALEN</t>
        </is>
      </c>
      <c r="G924" t="n">
        <v>1.4</v>
      </c>
      <c r="H924" t="n">
        <v>0</v>
      </c>
      <c r="I924" t="n">
        <v>0</v>
      </c>
      <c r="J924" t="n">
        <v>0</v>
      </c>
      <c r="K924" t="n">
        <v>0</v>
      </c>
      <c r="L924" t="n">
        <v>0</v>
      </c>
      <c r="M924" t="n">
        <v>0</v>
      </c>
      <c r="N924" t="n">
        <v>0</v>
      </c>
      <c r="O924" t="n">
        <v>0</v>
      </c>
      <c r="P924" t="n">
        <v>0</v>
      </c>
      <c r="Q924" t="n">
        <v>0</v>
      </c>
      <c r="R924" s="2" t="inlineStr"/>
    </row>
    <row r="925" ht="15" customHeight="1">
      <c r="A925" t="inlineStr">
        <is>
          <t>A 12747-2025</t>
        </is>
      </c>
      <c r="B925" s="1" t="n">
        <v>45733</v>
      </c>
      <c r="C925" s="1" t="n">
        <v>46013</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41146-2021</t>
        </is>
      </c>
      <c r="B926" s="1" t="n">
        <v>44423</v>
      </c>
      <c r="C926" s="1" t="n">
        <v>46013</v>
      </c>
      <c r="D926" t="inlineStr">
        <is>
          <t>JÄMTLANDS LÄN</t>
        </is>
      </c>
      <c r="E926" t="inlineStr">
        <is>
          <t>HÄRJEDALEN</t>
        </is>
      </c>
      <c r="G926" t="n">
        <v>14.9</v>
      </c>
      <c r="H926" t="n">
        <v>0</v>
      </c>
      <c r="I926" t="n">
        <v>0</v>
      </c>
      <c r="J926" t="n">
        <v>0</v>
      </c>
      <c r="K926" t="n">
        <v>0</v>
      </c>
      <c r="L926" t="n">
        <v>0</v>
      </c>
      <c r="M926" t="n">
        <v>0</v>
      </c>
      <c r="N926" t="n">
        <v>0</v>
      </c>
      <c r="O926" t="n">
        <v>0</v>
      </c>
      <c r="P926" t="n">
        <v>0</v>
      </c>
      <c r="Q926" t="n">
        <v>0</v>
      </c>
      <c r="R926" s="2" t="inlineStr"/>
    </row>
    <row r="927" ht="15" customHeight="1">
      <c r="A927" t="inlineStr">
        <is>
          <t>A 41146-2021</t>
        </is>
      </c>
      <c r="B927" s="1" t="n">
        <v>44423</v>
      </c>
      <c r="C927" s="1" t="n">
        <v>46013</v>
      </c>
      <c r="D927" t="inlineStr">
        <is>
          <t>JÄMTLANDS LÄN</t>
        </is>
      </c>
      <c r="E927" t="inlineStr">
        <is>
          <t>HÄRJEDALEN</t>
        </is>
      </c>
      <c r="G927" t="n">
        <v>14.9</v>
      </c>
      <c r="H927" t="n">
        <v>0</v>
      </c>
      <c r="I927" t="n">
        <v>0</v>
      </c>
      <c r="J927" t="n">
        <v>0</v>
      </c>
      <c r="K927" t="n">
        <v>0</v>
      </c>
      <c r="L927" t="n">
        <v>0</v>
      </c>
      <c r="M927" t="n">
        <v>0</v>
      </c>
      <c r="N927" t="n">
        <v>0</v>
      </c>
      <c r="O927" t="n">
        <v>0</v>
      </c>
      <c r="P927" t="n">
        <v>0</v>
      </c>
      <c r="Q927" t="n">
        <v>0</v>
      </c>
      <c r="R927" s="2" t="inlineStr"/>
    </row>
    <row r="928" ht="15" customHeight="1">
      <c r="A928" t="inlineStr">
        <is>
          <t>A 54661-2022</t>
        </is>
      </c>
      <c r="B928" s="1" t="n">
        <v>44883</v>
      </c>
      <c r="C928" s="1" t="n">
        <v>46013</v>
      </c>
      <c r="D928" t="inlineStr">
        <is>
          <t>JÄMTLANDS LÄN</t>
        </is>
      </c>
      <c r="E928" t="inlineStr">
        <is>
          <t>HÄRJEDALEN</t>
        </is>
      </c>
      <c r="G928" t="n">
        <v>5.9</v>
      </c>
      <c r="H928" t="n">
        <v>0</v>
      </c>
      <c r="I928" t="n">
        <v>0</v>
      </c>
      <c r="J928" t="n">
        <v>0</v>
      </c>
      <c r="K928" t="n">
        <v>0</v>
      </c>
      <c r="L928" t="n">
        <v>0</v>
      </c>
      <c r="M928" t="n">
        <v>0</v>
      </c>
      <c r="N928" t="n">
        <v>0</v>
      </c>
      <c r="O928" t="n">
        <v>0</v>
      </c>
      <c r="P928" t="n">
        <v>0</v>
      </c>
      <c r="Q928" t="n">
        <v>0</v>
      </c>
      <c r="R928" s="2" t="inlineStr"/>
    </row>
    <row r="929" ht="15" customHeight="1">
      <c r="A929" t="inlineStr">
        <is>
          <t>A 61471-2025</t>
        </is>
      </c>
      <c r="B929" s="1" t="n">
        <v>46001.6153587963</v>
      </c>
      <c r="C929" s="1" t="n">
        <v>46013</v>
      </c>
      <c r="D929" t="inlineStr">
        <is>
          <t>JÄMTLANDS LÄN</t>
        </is>
      </c>
      <c r="E929" t="inlineStr">
        <is>
          <t>HÄRJEDALEN</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53523-2025</t>
        </is>
      </c>
      <c r="B930" s="1" t="n">
        <v>45960.36037037037</v>
      </c>
      <c r="C930" s="1" t="n">
        <v>46013</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51931-2025</t>
        </is>
      </c>
      <c r="B931" s="1" t="n">
        <v>45952</v>
      </c>
      <c r="C931" s="1" t="n">
        <v>46013</v>
      </c>
      <c r="D931" t="inlineStr">
        <is>
          <t>JÄMTLANDS LÄN</t>
        </is>
      </c>
      <c r="E931" t="inlineStr">
        <is>
          <t>HÄRJEDALEN</t>
        </is>
      </c>
      <c r="G931" t="n">
        <v>1.9</v>
      </c>
      <c r="H931" t="n">
        <v>0</v>
      </c>
      <c r="I931" t="n">
        <v>0</v>
      </c>
      <c r="J931" t="n">
        <v>0</v>
      </c>
      <c r="K931" t="n">
        <v>0</v>
      </c>
      <c r="L931" t="n">
        <v>0</v>
      </c>
      <c r="M931" t="n">
        <v>0</v>
      </c>
      <c r="N931" t="n">
        <v>0</v>
      </c>
      <c r="O931" t="n">
        <v>0</v>
      </c>
      <c r="P931" t="n">
        <v>0</v>
      </c>
      <c r="Q931" t="n">
        <v>0</v>
      </c>
      <c r="R931" s="2" t="inlineStr"/>
    </row>
    <row r="932" ht="15" customHeight="1">
      <c r="A932" t="inlineStr">
        <is>
          <t>A 47738-2022</t>
        </is>
      </c>
      <c r="B932" s="1" t="n">
        <v>44854</v>
      </c>
      <c r="C932" s="1" t="n">
        <v>46013</v>
      </c>
      <c r="D932" t="inlineStr">
        <is>
          <t>JÄMTLANDS LÄN</t>
        </is>
      </c>
      <c r="E932" t="inlineStr">
        <is>
          <t>HÄRJEDALEN</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61765-2025</t>
        </is>
      </c>
      <c r="B933" s="1" t="n">
        <v>46002.63063657407</v>
      </c>
      <c r="C933" s="1" t="n">
        <v>46013</v>
      </c>
      <c r="D933" t="inlineStr">
        <is>
          <t>JÄMTLANDS LÄN</t>
        </is>
      </c>
      <c r="E933" t="inlineStr">
        <is>
          <t>HÄRJEDALEN</t>
        </is>
      </c>
      <c r="G933" t="n">
        <v>2.3</v>
      </c>
      <c r="H933" t="n">
        <v>0</v>
      </c>
      <c r="I933" t="n">
        <v>0</v>
      </c>
      <c r="J933" t="n">
        <v>0</v>
      </c>
      <c r="K933" t="n">
        <v>0</v>
      </c>
      <c r="L933" t="n">
        <v>0</v>
      </c>
      <c r="M933" t="n">
        <v>0</v>
      </c>
      <c r="N933" t="n">
        <v>0</v>
      </c>
      <c r="O933" t="n">
        <v>0</v>
      </c>
      <c r="P933" t="n">
        <v>0</v>
      </c>
      <c r="Q933" t="n">
        <v>0</v>
      </c>
      <c r="R933" s="2" t="inlineStr"/>
    </row>
    <row r="934" ht="15" customHeight="1">
      <c r="A934" t="inlineStr">
        <is>
          <t>A 6304-2024</t>
        </is>
      </c>
      <c r="B934" s="1" t="n">
        <v>45338</v>
      </c>
      <c r="C934" s="1" t="n">
        <v>46013</v>
      </c>
      <c r="D934" t="inlineStr">
        <is>
          <t>JÄMTLANDS LÄN</t>
        </is>
      </c>
      <c r="E934" t="inlineStr">
        <is>
          <t>HÄRJEDALEN</t>
        </is>
      </c>
      <c r="F934" t="inlineStr">
        <is>
          <t>Bergvik skog väst AB</t>
        </is>
      </c>
      <c r="G934" t="n">
        <v>23.5</v>
      </c>
      <c r="H934" t="n">
        <v>0</v>
      </c>
      <c r="I934" t="n">
        <v>0</v>
      </c>
      <c r="J934" t="n">
        <v>0</v>
      </c>
      <c r="K934" t="n">
        <v>0</v>
      </c>
      <c r="L934" t="n">
        <v>0</v>
      </c>
      <c r="M934" t="n">
        <v>0</v>
      </c>
      <c r="N934" t="n">
        <v>0</v>
      </c>
      <c r="O934" t="n">
        <v>0</v>
      </c>
      <c r="P934" t="n">
        <v>0</v>
      </c>
      <c r="Q934" t="n">
        <v>0</v>
      </c>
      <c r="R934" s="2" t="inlineStr"/>
    </row>
    <row r="935" ht="15" customHeight="1">
      <c r="A935" t="inlineStr">
        <is>
          <t>A 30729-2024</t>
        </is>
      </c>
      <c r="B935" s="1" t="n">
        <v>45496.59202546296</v>
      </c>
      <c r="C935" s="1" t="n">
        <v>46013</v>
      </c>
      <c r="D935" t="inlineStr">
        <is>
          <t>JÄMTLANDS LÄN</t>
        </is>
      </c>
      <c r="E935" t="inlineStr">
        <is>
          <t>HÄRJEDALEN</t>
        </is>
      </c>
      <c r="F935" t="inlineStr">
        <is>
          <t>Bergvik skog väst AB</t>
        </is>
      </c>
      <c r="G935" t="n">
        <v>5.9</v>
      </c>
      <c r="H935" t="n">
        <v>0</v>
      </c>
      <c r="I935" t="n">
        <v>0</v>
      </c>
      <c r="J935" t="n">
        <v>0</v>
      </c>
      <c r="K935" t="n">
        <v>0</v>
      </c>
      <c r="L935" t="n">
        <v>0</v>
      </c>
      <c r="M935" t="n">
        <v>0</v>
      </c>
      <c r="N935" t="n">
        <v>0</v>
      </c>
      <c r="O935" t="n">
        <v>0</v>
      </c>
      <c r="P935" t="n">
        <v>0</v>
      </c>
      <c r="Q935" t="n">
        <v>0</v>
      </c>
      <c r="R935" s="2" t="inlineStr"/>
    </row>
    <row r="936" ht="15" customHeight="1">
      <c r="A936" t="inlineStr">
        <is>
          <t>A 17291-2025</t>
        </is>
      </c>
      <c r="B936" s="1" t="n">
        <v>45756</v>
      </c>
      <c r="C936" s="1" t="n">
        <v>46013</v>
      </c>
      <c r="D936" t="inlineStr">
        <is>
          <t>JÄMTLANDS LÄN</t>
        </is>
      </c>
      <c r="E936" t="inlineStr">
        <is>
          <t>HÄRJEDALEN</t>
        </is>
      </c>
      <c r="G936" t="n">
        <v>7.1</v>
      </c>
      <c r="H936" t="n">
        <v>0</v>
      </c>
      <c r="I936" t="n">
        <v>0</v>
      </c>
      <c r="J936" t="n">
        <v>0</v>
      </c>
      <c r="K936" t="n">
        <v>0</v>
      </c>
      <c r="L936" t="n">
        <v>0</v>
      </c>
      <c r="M936" t="n">
        <v>0</v>
      </c>
      <c r="N936" t="n">
        <v>0</v>
      </c>
      <c r="O936" t="n">
        <v>0</v>
      </c>
      <c r="P936" t="n">
        <v>0</v>
      </c>
      <c r="Q936" t="n">
        <v>0</v>
      </c>
      <c r="R936" s="2" t="inlineStr"/>
    </row>
    <row r="937" ht="15" customHeight="1">
      <c r="A937" t="inlineStr">
        <is>
          <t>A 1665-2025</t>
        </is>
      </c>
      <c r="B937" s="1" t="n">
        <v>45670</v>
      </c>
      <c r="C937" s="1" t="n">
        <v>46013</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62234-2025</t>
        </is>
      </c>
      <c r="B938" s="1" t="n">
        <v>46006.59444444445</v>
      </c>
      <c r="C938" s="1" t="n">
        <v>46013</v>
      </c>
      <c r="D938" t="inlineStr">
        <is>
          <t>JÄMTLANDS LÄN</t>
        </is>
      </c>
      <c r="E938" t="inlineStr">
        <is>
          <t>HÄRJEDALEN</t>
        </is>
      </c>
      <c r="G938" t="n">
        <v>1.1</v>
      </c>
      <c r="H938" t="n">
        <v>0</v>
      </c>
      <c r="I938" t="n">
        <v>0</v>
      </c>
      <c r="J938" t="n">
        <v>0</v>
      </c>
      <c r="K938" t="n">
        <v>0</v>
      </c>
      <c r="L938" t="n">
        <v>0</v>
      </c>
      <c r="M938" t="n">
        <v>0</v>
      </c>
      <c r="N938" t="n">
        <v>0</v>
      </c>
      <c r="O938" t="n">
        <v>0</v>
      </c>
      <c r="P938" t="n">
        <v>0</v>
      </c>
      <c r="Q938" t="n">
        <v>0</v>
      </c>
      <c r="R938" s="2" t="inlineStr"/>
    </row>
    <row r="939" ht="15" customHeight="1">
      <c r="A939" t="inlineStr">
        <is>
          <t>A 62075-2025</t>
        </is>
      </c>
      <c r="B939" s="1" t="n">
        <v>46006.36488425926</v>
      </c>
      <c r="C939" s="1" t="n">
        <v>46013</v>
      </c>
      <c r="D939" t="inlineStr">
        <is>
          <t>JÄMTLANDS LÄN</t>
        </is>
      </c>
      <c r="E939" t="inlineStr">
        <is>
          <t>HÄRJEDALEN</t>
        </is>
      </c>
      <c r="G939" t="n">
        <v>4.8</v>
      </c>
      <c r="H939" t="n">
        <v>0</v>
      </c>
      <c r="I939" t="n">
        <v>0</v>
      </c>
      <c r="J939" t="n">
        <v>0</v>
      </c>
      <c r="K939" t="n">
        <v>0</v>
      </c>
      <c r="L939" t="n">
        <v>0</v>
      </c>
      <c r="M939" t="n">
        <v>0</v>
      </c>
      <c r="N939" t="n">
        <v>0</v>
      </c>
      <c r="O939" t="n">
        <v>0</v>
      </c>
      <c r="P939" t="n">
        <v>0</v>
      </c>
      <c r="Q939" t="n">
        <v>0</v>
      </c>
      <c r="R939" s="2" t="inlineStr"/>
    </row>
    <row r="940" ht="15" customHeight="1">
      <c r="A940" t="inlineStr">
        <is>
          <t>A 22499-2024</t>
        </is>
      </c>
      <c r="B940" s="1" t="n">
        <v>45447.35144675926</v>
      </c>
      <c r="C940" s="1" t="n">
        <v>46013</v>
      </c>
      <c r="D940" t="inlineStr">
        <is>
          <t>JÄMTLANDS LÄN</t>
        </is>
      </c>
      <c r="E940" t="inlineStr">
        <is>
          <t>HÄRJEDALEN</t>
        </is>
      </c>
      <c r="G940" t="n">
        <v>14.1</v>
      </c>
      <c r="H940" t="n">
        <v>0</v>
      </c>
      <c r="I940" t="n">
        <v>0</v>
      </c>
      <c r="J940" t="n">
        <v>0</v>
      </c>
      <c r="K940" t="n">
        <v>0</v>
      </c>
      <c r="L940" t="n">
        <v>0</v>
      </c>
      <c r="M940" t="n">
        <v>0</v>
      </c>
      <c r="N940" t="n">
        <v>0</v>
      </c>
      <c r="O940" t="n">
        <v>0</v>
      </c>
      <c r="P940" t="n">
        <v>0</v>
      </c>
      <c r="Q940" t="n">
        <v>0</v>
      </c>
      <c r="R940" s="2" t="inlineStr"/>
    </row>
    <row r="941" ht="15" customHeight="1">
      <c r="A941" t="inlineStr">
        <is>
          <t>A 19915-2023</t>
        </is>
      </c>
      <c r="B941" s="1" t="n">
        <v>45054</v>
      </c>
      <c r="C941" s="1" t="n">
        <v>46013</v>
      </c>
      <c r="D941" t="inlineStr">
        <is>
          <t>JÄMTLANDS LÄN</t>
        </is>
      </c>
      <c r="E941" t="inlineStr">
        <is>
          <t>HÄRJEDALEN</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18144-2025</t>
        </is>
      </c>
      <c r="B942" s="1" t="n">
        <v>45761.61501157407</v>
      </c>
      <c r="C942" s="1" t="n">
        <v>46013</v>
      </c>
      <c r="D942" t="inlineStr">
        <is>
          <t>JÄMTLANDS LÄN</t>
        </is>
      </c>
      <c r="E942" t="inlineStr">
        <is>
          <t>HÄRJEDALEN</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59125-2024</t>
        </is>
      </c>
      <c r="B943" s="1" t="n">
        <v>45637.39587962963</v>
      </c>
      <c r="C943" s="1" t="n">
        <v>46013</v>
      </c>
      <c r="D943" t="inlineStr">
        <is>
          <t>JÄMTLANDS LÄN</t>
        </is>
      </c>
      <c r="E943" t="inlineStr">
        <is>
          <t>HÄRJEDALEN</t>
        </is>
      </c>
      <c r="F943" t="inlineStr">
        <is>
          <t>Bergvik skog väst AB</t>
        </is>
      </c>
      <c r="G943" t="n">
        <v>7.3</v>
      </c>
      <c r="H943" t="n">
        <v>0</v>
      </c>
      <c r="I943" t="n">
        <v>0</v>
      </c>
      <c r="J943" t="n">
        <v>0</v>
      </c>
      <c r="K943" t="n">
        <v>0</v>
      </c>
      <c r="L943" t="n">
        <v>0</v>
      </c>
      <c r="M943" t="n">
        <v>0</v>
      </c>
      <c r="N943" t="n">
        <v>0</v>
      </c>
      <c r="O943" t="n">
        <v>0</v>
      </c>
      <c r="P943" t="n">
        <v>0</v>
      </c>
      <c r="Q943" t="n">
        <v>0</v>
      </c>
      <c r="R943" s="2" t="inlineStr"/>
    </row>
    <row r="944" ht="15" customHeight="1">
      <c r="A944" t="inlineStr">
        <is>
          <t>A 62170-2025</t>
        </is>
      </c>
      <c r="B944" s="1" t="n">
        <v>46006.51112268519</v>
      </c>
      <c r="C944" s="1" t="n">
        <v>46013</v>
      </c>
      <c r="D944" t="inlineStr">
        <is>
          <t>JÄMTLANDS LÄN</t>
        </is>
      </c>
      <c r="E944" t="inlineStr">
        <is>
          <t>HÄRJEDALEN</t>
        </is>
      </c>
      <c r="G944" t="n">
        <v>0.3</v>
      </c>
      <c r="H944" t="n">
        <v>0</v>
      </c>
      <c r="I944" t="n">
        <v>0</v>
      </c>
      <c r="J944" t="n">
        <v>0</v>
      </c>
      <c r="K944" t="n">
        <v>0</v>
      </c>
      <c r="L944" t="n">
        <v>0</v>
      </c>
      <c r="M944" t="n">
        <v>0</v>
      </c>
      <c r="N944" t="n">
        <v>0</v>
      </c>
      <c r="O944" t="n">
        <v>0</v>
      </c>
      <c r="P944" t="n">
        <v>0</v>
      </c>
      <c r="Q944" t="n">
        <v>0</v>
      </c>
      <c r="R944" s="2" t="inlineStr"/>
    </row>
    <row r="945" ht="15" customHeight="1">
      <c r="A945" t="inlineStr">
        <is>
          <t>A 62171-2025</t>
        </is>
      </c>
      <c r="B945" s="1" t="n">
        <v>46006.51116898148</v>
      </c>
      <c r="C945" s="1" t="n">
        <v>46013</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45559.43645833333</v>
      </c>
      <c r="C946" s="1" t="n">
        <v>46013</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33096-2024</t>
        </is>
      </c>
      <c r="B947" s="1" t="n">
        <v>45517.69590277778</v>
      </c>
      <c r="C947" s="1" t="n">
        <v>46013</v>
      </c>
      <c r="D947" t="inlineStr">
        <is>
          <t>JÄMTLANDS LÄN</t>
        </is>
      </c>
      <c r="E947" t="inlineStr">
        <is>
          <t>HÄRJEDALEN</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48198-2024</t>
        </is>
      </c>
      <c r="B948" s="1" t="n">
        <v>45590.31899305555</v>
      </c>
      <c r="C948" s="1" t="n">
        <v>46013</v>
      </c>
      <c r="D948" t="inlineStr">
        <is>
          <t>JÄMTLANDS LÄN</t>
        </is>
      </c>
      <c r="E948" t="inlineStr">
        <is>
          <t>HÄRJEDALEN</t>
        </is>
      </c>
      <c r="G948" t="n">
        <v>1.9</v>
      </c>
      <c r="H948" t="n">
        <v>0</v>
      </c>
      <c r="I948" t="n">
        <v>0</v>
      </c>
      <c r="J948" t="n">
        <v>0</v>
      </c>
      <c r="K948" t="n">
        <v>0</v>
      </c>
      <c r="L948" t="n">
        <v>0</v>
      </c>
      <c r="M948" t="n">
        <v>0</v>
      </c>
      <c r="N948" t="n">
        <v>0</v>
      </c>
      <c r="O948" t="n">
        <v>0</v>
      </c>
      <c r="P948" t="n">
        <v>0</v>
      </c>
      <c r="Q948" t="n">
        <v>0</v>
      </c>
      <c r="R948" s="2" t="inlineStr"/>
    </row>
    <row r="949" ht="15" customHeight="1">
      <c r="A949" t="inlineStr">
        <is>
          <t>A 60006-2024</t>
        </is>
      </c>
      <c r="B949" s="1" t="n">
        <v>45642.41907407407</v>
      </c>
      <c r="C949" s="1" t="n">
        <v>46013</v>
      </c>
      <c r="D949" t="inlineStr">
        <is>
          <t>JÄMTLANDS LÄN</t>
        </is>
      </c>
      <c r="E949" t="inlineStr">
        <is>
          <t>HÄRJEDALEN</t>
        </is>
      </c>
      <c r="G949" t="n">
        <v>7.3</v>
      </c>
      <c r="H949" t="n">
        <v>0</v>
      </c>
      <c r="I949" t="n">
        <v>0</v>
      </c>
      <c r="J949" t="n">
        <v>0</v>
      </c>
      <c r="K949" t="n">
        <v>0</v>
      </c>
      <c r="L949" t="n">
        <v>0</v>
      </c>
      <c r="M949" t="n">
        <v>0</v>
      </c>
      <c r="N949" t="n">
        <v>0</v>
      </c>
      <c r="O949" t="n">
        <v>0</v>
      </c>
      <c r="P949" t="n">
        <v>0</v>
      </c>
      <c r="Q949" t="n">
        <v>0</v>
      </c>
      <c r="R949" s="2" t="inlineStr"/>
    </row>
    <row r="950" ht="15" customHeight="1">
      <c r="A950" t="inlineStr">
        <is>
          <t>A 34181-2025</t>
        </is>
      </c>
      <c r="B950" s="1" t="n">
        <v>45845</v>
      </c>
      <c r="C950" s="1" t="n">
        <v>46013</v>
      </c>
      <c r="D950" t="inlineStr">
        <is>
          <t>JÄMTLANDS LÄN</t>
        </is>
      </c>
      <c r="E950" t="inlineStr">
        <is>
          <t>HÄRJEDALEN</t>
        </is>
      </c>
      <c r="G950" t="n">
        <v>2.8</v>
      </c>
      <c r="H950" t="n">
        <v>0</v>
      </c>
      <c r="I950" t="n">
        <v>0</v>
      </c>
      <c r="J950" t="n">
        <v>0</v>
      </c>
      <c r="K950" t="n">
        <v>0</v>
      </c>
      <c r="L950" t="n">
        <v>0</v>
      </c>
      <c r="M950" t="n">
        <v>0</v>
      </c>
      <c r="N950" t="n">
        <v>0</v>
      </c>
      <c r="O950" t="n">
        <v>0</v>
      </c>
      <c r="P950" t="n">
        <v>0</v>
      </c>
      <c r="Q950" t="n">
        <v>0</v>
      </c>
      <c r="R950" s="2" t="inlineStr"/>
    </row>
    <row r="951" ht="15" customHeight="1">
      <c r="A951" t="inlineStr">
        <is>
          <t>A 19353-2023</t>
        </is>
      </c>
      <c r="B951" s="1" t="n">
        <v>45049.59826388889</v>
      </c>
      <c r="C951" s="1" t="n">
        <v>46013</v>
      </c>
      <c r="D951" t="inlineStr">
        <is>
          <t>JÄMTLANDS LÄN</t>
        </is>
      </c>
      <c r="E951" t="inlineStr">
        <is>
          <t>HÄRJEDALEN</t>
        </is>
      </c>
      <c r="G951" t="n">
        <v>3.9</v>
      </c>
      <c r="H951" t="n">
        <v>0</v>
      </c>
      <c r="I951" t="n">
        <v>0</v>
      </c>
      <c r="J951" t="n">
        <v>0</v>
      </c>
      <c r="K951" t="n">
        <v>0</v>
      </c>
      <c r="L951" t="n">
        <v>0</v>
      </c>
      <c r="M951" t="n">
        <v>0</v>
      </c>
      <c r="N951" t="n">
        <v>0</v>
      </c>
      <c r="O951" t="n">
        <v>0</v>
      </c>
      <c r="P951" t="n">
        <v>0</v>
      </c>
      <c r="Q951" t="n">
        <v>0</v>
      </c>
      <c r="R951" s="2" t="inlineStr"/>
    </row>
    <row r="952" ht="15" customHeight="1">
      <c r="A952" t="inlineStr">
        <is>
          <t>A 3965-2025</t>
        </is>
      </c>
      <c r="B952" s="1" t="n">
        <v>45684.51006944444</v>
      </c>
      <c r="C952" s="1" t="n">
        <v>46013</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53992-2025</t>
        </is>
      </c>
      <c r="B953" s="1" t="n">
        <v>45961.58226851852</v>
      </c>
      <c r="C953" s="1" t="n">
        <v>46013</v>
      </c>
      <c r="D953" t="inlineStr">
        <is>
          <t>JÄMTLANDS LÄN</t>
        </is>
      </c>
      <c r="E953" t="inlineStr">
        <is>
          <t>HÄRJEDALEN</t>
        </is>
      </c>
      <c r="G953" t="n">
        <v>1.9</v>
      </c>
      <c r="H953" t="n">
        <v>0</v>
      </c>
      <c r="I953" t="n">
        <v>0</v>
      </c>
      <c r="J953" t="n">
        <v>0</v>
      </c>
      <c r="K953" t="n">
        <v>0</v>
      </c>
      <c r="L953" t="n">
        <v>0</v>
      </c>
      <c r="M953" t="n">
        <v>0</v>
      </c>
      <c r="N953" t="n">
        <v>0</v>
      </c>
      <c r="O953" t="n">
        <v>0</v>
      </c>
      <c r="P953" t="n">
        <v>0</v>
      </c>
      <c r="Q953" t="n">
        <v>0</v>
      </c>
      <c r="R953" s="2" t="inlineStr"/>
    </row>
    <row r="954" ht="15" customHeight="1">
      <c r="A954" t="inlineStr">
        <is>
          <t>A 53980-2025</t>
        </is>
      </c>
      <c r="B954" s="1" t="n">
        <v>45961.56611111111</v>
      </c>
      <c r="C954" s="1" t="n">
        <v>46013</v>
      </c>
      <c r="D954" t="inlineStr">
        <is>
          <t>JÄMTLANDS LÄN</t>
        </is>
      </c>
      <c r="E954" t="inlineStr">
        <is>
          <t>HÄRJEDALEN</t>
        </is>
      </c>
      <c r="G954" t="n">
        <v>2.3</v>
      </c>
      <c r="H954" t="n">
        <v>0</v>
      </c>
      <c r="I954" t="n">
        <v>0</v>
      </c>
      <c r="J954" t="n">
        <v>0</v>
      </c>
      <c r="K954" t="n">
        <v>0</v>
      </c>
      <c r="L954" t="n">
        <v>0</v>
      </c>
      <c r="M954" t="n">
        <v>0</v>
      </c>
      <c r="N954" t="n">
        <v>0</v>
      </c>
      <c r="O954" t="n">
        <v>0</v>
      </c>
      <c r="P954" t="n">
        <v>0</v>
      </c>
      <c r="Q954" t="n">
        <v>0</v>
      </c>
      <c r="R954" s="2" t="inlineStr"/>
    </row>
    <row r="955" ht="15" customHeight="1">
      <c r="A955" t="inlineStr">
        <is>
          <t>A 45705-2024</t>
        </is>
      </c>
      <c r="B955" s="1" t="n">
        <v>45579.57390046296</v>
      </c>
      <c r="C955" s="1" t="n">
        <v>46013</v>
      </c>
      <c r="D955" t="inlineStr">
        <is>
          <t>JÄMTLANDS LÄN</t>
        </is>
      </c>
      <c r="E955" t="inlineStr">
        <is>
          <t>HÄRJEDALEN</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13081-2022</t>
        </is>
      </c>
      <c r="B956" s="1" t="n">
        <v>44643.81518518519</v>
      </c>
      <c r="C956" s="1" t="n">
        <v>46013</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12462-2023</t>
        </is>
      </c>
      <c r="B957" s="1" t="n">
        <v>44999.60127314815</v>
      </c>
      <c r="C957" s="1" t="n">
        <v>46013</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54476-2025</t>
        </is>
      </c>
      <c r="B958" s="1" t="n">
        <v>45965.57791666667</v>
      </c>
      <c r="C958" s="1" t="n">
        <v>46013</v>
      </c>
      <c r="D958" t="inlineStr">
        <is>
          <t>JÄMTLANDS LÄN</t>
        </is>
      </c>
      <c r="E958" t="inlineStr">
        <is>
          <t>HÄRJEDALEN</t>
        </is>
      </c>
      <c r="F958" t="inlineStr">
        <is>
          <t>Bergvik skog väst AB</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62451-2025</t>
        </is>
      </c>
      <c r="B959" s="1" t="n">
        <v>46007.48997685185</v>
      </c>
      <c r="C959" s="1" t="n">
        <v>46013</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2855-2021</t>
        </is>
      </c>
      <c r="B960" s="1" t="n">
        <v>44216</v>
      </c>
      <c r="C960" s="1" t="n">
        <v>46013</v>
      </c>
      <c r="D960" t="inlineStr">
        <is>
          <t>JÄMTLANDS LÄN</t>
        </is>
      </c>
      <c r="E960" t="inlineStr">
        <is>
          <t>HÄRJEDALEN</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54336-2025</t>
        </is>
      </c>
      <c r="B961" s="1" t="n">
        <v>45965.35207175926</v>
      </c>
      <c r="C961" s="1" t="n">
        <v>46013</v>
      </c>
      <c r="D961" t="inlineStr">
        <is>
          <t>JÄMTLANDS LÄN</t>
        </is>
      </c>
      <c r="E961" t="inlineStr">
        <is>
          <t>HÄRJEDALEN</t>
        </is>
      </c>
      <c r="G961" t="n">
        <v>1.2</v>
      </c>
      <c r="H961" t="n">
        <v>0</v>
      </c>
      <c r="I961" t="n">
        <v>0</v>
      </c>
      <c r="J961" t="n">
        <v>0</v>
      </c>
      <c r="K961" t="n">
        <v>0</v>
      </c>
      <c r="L961" t="n">
        <v>0</v>
      </c>
      <c r="M961" t="n">
        <v>0</v>
      </c>
      <c r="N961" t="n">
        <v>0</v>
      </c>
      <c r="O961" t="n">
        <v>0</v>
      </c>
      <c r="P961" t="n">
        <v>0</v>
      </c>
      <c r="Q961" t="n">
        <v>0</v>
      </c>
      <c r="R961" s="2" t="inlineStr"/>
    </row>
    <row r="962" ht="15" customHeight="1">
      <c r="A962" t="inlineStr">
        <is>
          <t>A 54358-2025</t>
        </is>
      </c>
      <c r="B962" s="1" t="n">
        <v>45965.38599537037</v>
      </c>
      <c r="C962" s="1" t="n">
        <v>46013</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57840-2024</t>
        </is>
      </c>
      <c r="B963" s="1" t="n">
        <v>45631</v>
      </c>
      <c r="C963" s="1" t="n">
        <v>46013</v>
      </c>
      <c r="D963" t="inlineStr">
        <is>
          <t>JÄMTLANDS LÄN</t>
        </is>
      </c>
      <c r="E963" t="inlineStr">
        <is>
          <t>HÄRJEDALEN</t>
        </is>
      </c>
      <c r="F963" t="inlineStr">
        <is>
          <t>Bergvik skog väst AB</t>
        </is>
      </c>
      <c r="G963" t="n">
        <v>98.8</v>
      </c>
      <c r="H963" t="n">
        <v>0</v>
      </c>
      <c r="I963" t="n">
        <v>0</v>
      </c>
      <c r="J963" t="n">
        <v>0</v>
      </c>
      <c r="K963" t="n">
        <v>0</v>
      </c>
      <c r="L963" t="n">
        <v>0</v>
      </c>
      <c r="M963" t="n">
        <v>0</v>
      </c>
      <c r="N963" t="n">
        <v>0</v>
      </c>
      <c r="O963" t="n">
        <v>0</v>
      </c>
      <c r="P963" t="n">
        <v>0</v>
      </c>
      <c r="Q963" t="n">
        <v>0</v>
      </c>
      <c r="R963" s="2" t="inlineStr"/>
    </row>
    <row r="964" ht="15" customHeight="1">
      <c r="A964" t="inlineStr">
        <is>
          <t>A 62528-2025</t>
        </is>
      </c>
      <c r="B964" s="1" t="n">
        <v>46007.63605324074</v>
      </c>
      <c r="C964" s="1" t="n">
        <v>46013</v>
      </c>
      <c r="D964" t="inlineStr">
        <is>
          <t>JÄMTLANDS LÄN</t>
        </is>
      </c>
      <c r="E964" t="inlineStr">
        <is>
          <t>HÄRJEDALEN</t>
        </is>
      </c>
      <c r="G964" t="n">
        <v>3.2</v>
      </c>
      <c r="H964" t="n">
        <v>0</v>
      </c>
      <c r="I964" t="n">
        <v>0</v>
      </c>
      <c r="J964" t="n">
        <v>0</v>
      </c>
      <c r="K964" t="n">
        <v>0</v>
      </c>
      <c r="L964" t="n">
        <v>0</v>
      </c>
      <c r="M964" t="n">
        <v>0</v>
      </c>
      <c r="N964" t="n">
        <v>0</v>
      </c>
      <c r="O964" t="n">
        <v>0</v>
      </c>
      <c r="P964" t="n">
        <v>0</v>
      </c>
      <c r="Q964" t="n">
        <v>0</v>
      </c>
      <c r="R964" s="2" t="inlineStr"/>
    </row>
    <row r="965" ht="15" customHeight="1">
      <c r="A965" t="inlineStr">
        <is>
          <t>A 54354-2025</t>
        </is>
      </c>
      <c r="B965" s="1" t="n">
        <v>45965.37909722222</v>
      </c>
      <c r="C965" s="1" t="n">
        <v>46013</v>
      </c>
      <c r="D965" t="inlineStr">
        <is>
          <t>JÄMTLANDS LÄN</t>
        </is>
      </c>
      <c r="E965" t="inlineStr">
        <is>
          <t>HÄRJEDALEN</t>
        </is>
      </c>
      <c r="F965" t="inlineStr">
        <is>
          <t>Bergvik skog väst AB</t>
        </is>
      </c>
      <c r="G965" t="n">
        <v>10.9</v>
      </c>
      <c r="H965" t="n">
        <v>0</v>
      </c>
      <c r="I965" t="n">
        <v>0</v>
      </c>
      <c r="J965" t="n">
        <v>0</v>
      </c>
      <c r="K965" t="n">
        <v>0</v>
      </c>
      <c r="L965" t="n">
        <v>0</v>
      </c>
      <c r="M965" t="n">
        <v>0</v>
      </c>
      <c r="N965" t="n">
        <v>0</v>
      </c>
      <c r="O965" t="n">
        <v>0</v>
      </c>
      <c r="P965" t="n">
        <v>0</v>
      </c>
      <c r="Q965" t="n">
        <v>0</v>
      </c>
      <c r="R965" s="2" t="inlineStr"/>
    </row>
    <row r="966" ht="15" customHeight="1">
      <c r="A966" t="inlineStr">
        <is>
          <t>A 35076-2025</t>
        </is>
      </c>
      <c r="B966" s="1" t="n">
        <v>45852.48290509259</v>
      </c>
      <c r="C966" s="1" t="n">
        <v>46013</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54764-2025</t>
        </is>
      </c>
      <c r="B967" s="1" t="n">
        <v>45966.60278935185</v>
      </c>
      <c r="C967" s="1" t="n">
        <v>46013</v>
      </c>
      <c r="D967" t="inlineStr">
        <is>
          <t>JÄMTLANDS LÄN</t>
        </is>
      </c>
      <c r="E967" t="inlineStr">
        <is>
          <t>HÄRJEDALEN</t>
        </is>
      </c>
      <c r="F967" t="inlineStr">
        <is>
          <t>Bergvik skog väst AB</t>
        </is>
      </c>
      <c r="G967" t="n">
        <v>6.9</v>
      </c>
      <c r="H967" t="n">
        <v>0</v>
      </c>
      <c r="I967" t="n">
        <v>0</v>
      </c>
      <c r="J967" t="n">
        <v>0</v>
      </c>
      <c r="K967" t="n">
        <v>0</v>
      </c>
      <c r="L967" t="n">
        <v>0</v>
      </c>
      <c r="M967" t="n">
        <v>0</v>
      </c>
      <c r="N967" t="n">
        <v>0</v>
      </c>
      <c r="O967" t="n">
        <v>0</v>
      </c>
      <c r="P967" t="n">
        <v>0</v>
      </c>
      <c r="Q967" t="n">
        <v>0</v>
      </c>
      <c r="R967" s="2" t="inlineStr"/>
    </row>
    <row r="968" ht="15" customHeight="1">
      <c r="A968" t="inlineStr">
        <is>
          <t>A 1172-2025</t>
        </is>
      </c>
      <c r="B968" s="1" t="n">
        <v>45667</v>
      </c>
      <c r="C968" s="1" t="n">
        <v>46013</v>
      </c>
      <c r="D968" t="inlineStr">
        <is>
          <t>JÄMTLANDS LÄN</t>
        </is>
      </c>
      <c r="E968" t="inlineStr">
        <is>
          <t>HÄRJEDALEN</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62450-2025</t>
        </is>
      </c>
      <c r="B969" s="1" t="n">
        <v>46007.48996527777</v>
      </c>
      <c r="C969" s="1" t="n">
        <v>46013</v>
      </c>
      <c r="D969" t="inlineStr">
        <is>
          <t>JÄMTLANDS LÄN</t>
        </is>
      </c>
      <c r="E969" t="inlineStr">
        <is>
          <t>HÄRJEDALEN</t>
        </is>
      </c>
      <c r="G969" t="n">
        <v>2.5</v>
      </c>
      <c r="H969" t="n">
        <v>0</v>
      </c>
      <c r="I969" t="n">
        <v>0</v>
      </c>
      <c r="J969" t="n">
        <v>0</v>
      </c>
      <c r="K969" t="n">
        <v>0</v>
      </c>
      <c r="L969" t="n">
        <v>0</v>
      </c>
      <c r="M969" t="n">
        <v>0</v>
      </c>
      <c r="N969" t="n">
        <v>0</v>
      </c>
      <c r="O969" t="n">
        <v>0</v>
      </c>
      <c r="P969" t="n">
        <v>0</v>
      </c>
      <c r="Q969" t="n">
        <v>0</v>
      </c>
      <c r="R969" s="2" t="inlineStr"/>
    </row>
    <row r="970" ht="15" customHeight="1">
      <c r="A970" t="inlineStr">
        <is>
          <t>A 62531-2025</t>
        </is>
      </c>
      <c r="B970" s="1" t="n">
        <v>46007.63625</v>
      </c>
      <c r="C970" s="1" t="n">
        <v>46013</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55034-2025</t>
        </is>
      </c>
      <c r="B971" s="1" t="n">
        <v>45967.64570601852</v>
      </c>
      <c r="C971" s="1" t="n">
        <v>46013</v>
      </c>
      <c r="D971" t="inlineStr">
        <is>
          <t>JÄMTLANDS LÄN</t>
        </is>
      </c>
      <c r="E971" t="inlineStr">
        <is>
          <t>HÄRJEDALEN</t>
        </is>
      </c>
      <c r="G971" t="n">
        <v>9.1</v>
      </c>
      <c r="H971" t="n">
        <v>0</v>
      </c>
      <c r="I971" t="n">
        <v>0</v>
      </c>
      <c r="J971" t="n">
        <v>0</v>
      </c>
      <c r="K971" t="n">
        <v>0</v>
      </c>
      <c r="L971" t="n">
        <v>0</v>
      </c>
      <c r="M971" t="n">
        <v>0</v>
      </c>
      <c r="N971" t="n">
        <v>0</v>
      </c>
      <c r="O971" t="n">
        <v>0</v>
      </c>
      <c r="P971" t="n">
        <v>0</v>
      </c>
      <c r="Q971" t="n">
        <v>0</v>
      </c>
      <c r="R971" s="2" t="inlineStr"/>
    </row>
    <row r="972" ht="15" customHeight="1">
      <c r="A972" t="inlineStr">
        <is>
          <t>A 44955-2024</t>
        </is>
      </c>
      <c r="B972" s="1" t="n">
        <v>45575</v>
      </c>
      <c r="C972" s="1" t="n">
        <v>46013</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43574-2024</t>
        </is>
      </c>
      <c r="B973" s="1" t="n">
        <v>45569</v>
      </c>
      <c r="C973" s="1" t="n">
        <v>46013</v>
      </c>
      <c r="D973" t="inlineStr">
        <is>
          <t>JÄMTLANDS LÄN</t>
        </is>
      </c>
      <c r="E973" t="inlineStr">
        <is>
          <t>HÄRJEDALEN</t>
        </is>
      </c>
      <c r="F973" t="inlineStr">
        <is>
          <t>Bergvik skog väst AB</t>
        </is>
      </c>
      <c r="G973" t="n">
        <v>254.2</v>
      </c>
      <c r="H973" t="n">
        <v>0</v>
      </c>
      <c r="I973" t="n">
        <v>0</v>
      </c>
      <c r="J973" t="n">
        <v>0</v>
      </c>
      <c r="K973" t="n">
        <v>0</v>
      </c>
      <c r="L973" t="n">
        <v>0</v>
      </c>
      <c r="M973" t="n">
        <v>0</v>
      </c>
      <c r="N973" t="n">
        <v>0</v>
      </c>
      <c r="O973" t="n">
        <v>0</v>
      </c>
      <c r="P973" t="n">
        <v>0</v>
      </c>
      <c r="Q973" t="n">
        <v>0</v>
      </c>
      <c r="R973" s="2" t="inlineStr"/>
    </row>
    <row r="974" ht="15" customHeight="1">
      <c r="A974" t="inlineStr">
        <is>
          <t>A 43586-2024</t>
        </is>
      </c>
      <c r="B974" s="1" t="n">
        <v>45569</v>
      </c>
      <c r="C974" s="1" t="n">
        <v>46013</v>
      </c>
      <c r="D974" t="inlineStr">
        <is>
          <t>JÄMTLANDS LÄN</t>
        </is>
      </c>
      <c r="E974" t="inlineStr">
        <is>
          <t>HÄRJEDALEN</t>
        </is>
      </c>
      <c r="F974" t="inlineStr">
        <is>
          <t>Bergvik skog väst AB</t>
        </is>
      </c>
      <c r="G974" t="n">
        <v>96.2</v>
      </c>
      <c r="H974" t="n">
        <v>0</v>
      </c>
      <c r="I974" t="n">
        <v>0</v>
      </c>
      <c r="J974" t="n">
        <v>0</v>
      </c>
      <c r="K974" t="n">
        <v>0</v>
      </c>
      <c r="L974" t="n">
        <v>0</v>
      </c>
      <c r="M974" t="n">
        <v>0</v>
      </c>
      <c r="N974" t="n">
        <v>0</v>
      </c>
      <c r="O974" t="n">
        <v>0</v>
      </c>
      <c r="P974" t="n">
        <v>0</v>
      </c>
      <c r="Q974" t="n">
        <v>0</v>
      </c>
      <c r="R974" s="2" t="inlineStr"/>
    </row>
    <row r="975" ht="15" customHeight="1">
      <c r="A975" t="inlineStr">
        <is>
          <t>A 54331-2021</t>
        </is>
      </c>
      <c r="B975" s="1" t="n">
        <v>44472</v>
      </c>
      <c r="C975" s="1" t="n">
        <v>46013</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59424-2023</t>
        </is>
      </c>
      <c r="B976" s="1" t="n">
        <v>45254</v>
      </c>
      <c r="C976" s="1" t="n">
        <v>46013</v>
      </c>
      <c r="D976" t="inlineStr">
        <is>
          <t>JÄMTLANDS LÄN</t>
        </is>
      </c>
      <c r="E976" t="inlineStr">
        <is>
          <t>HÄRJEDALEN</t>
        </is>
      </c>
      <c r="G976" t="n">
        <v>3.3</v>
      </c>
      <c r="H976" t="n">
        <v>0</v>
      </c>
      <c r="I976" t="n">
        <v>0</v>
      </c>
      <c r="J976" t="n">
        <v>0</v>
      </c>
      <c r="K976" t="n">
        <v>0</v>
      </c>
      <c r="L976" t="n">
        <v>0</v>
      </c>
      <c r="M976" t="n">
        <v>0</v>
      </c>
      <c r="N976" t="n">
        <v>0</v>
      </c>
      <c r="O976" t="n">
        <v>0</v>
      </c>
      <c r="P976" t="n">
        <v>0</v>
      </c>
      <c r="Q976" t="n">
        <v>0</v>
      </c>
      <c r="R976" s="2" t="inlineStr"/>
    </row>
    <row r="977" ht="15" customHeight="1">
      <c r="A977" t="inlineStr">
        <is>
          <t>A 7313-2024</t>
        </is>
      </c>
      <c r="B977" s="1" t="n">
        <v>45345.35003472222</v>
      </c>
      <c r="C977" s="1" t="n">
        <v>46013</v>
      </c>
      <c r="D977" t="inlineStr">
        <is>
          <t>JÄMTLANDS LÄN</t>
        </is>
      </c>
      <c r="E977" t="inlineStr">
        <is>
          <t>HÄRJEDALEN</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62932-2025</t>
        </is>
      </c>
      <c r="B978" s="1" t="n">
        <v>46009.4019675926</v>
      </c>
      <c r="C978" s="1" t="n">
        <v>46013</v>
      </c>
      <c r="D978" t="inlineStr">
        <is>
          <t>JÄMTLANDS LÄN</t>
        </is>
      </c>
      <c r="E978" t="inlineStr">
        <is>
          <t>HÄRJEDALEN</t>
        </is>
      </c>
      <c r="G978" t="n">
        <v>1</v>
      </c>
      <c r="H978" t="n">
        <v>0</v>
      </c>
      <c r="I978" t="n">
        <v>0</v>
      </c>
      <c r="J978" t="n">
        <v>0</v>
      </c>
      <c r="K978" t="n">
        <v>0</v>
      </c>
      <c r="L978" t="n">
        <v>0</v>
      </c>
      <c r="M978" t="n">
        <v>0</v>
      </c>
      <c r="N978" t="n">
        <v>0</v>
      </c>
      <c r="O978" t="n">
        <v>0</v>
      </c>
      <c r="P978" t="n">
        <v>0</v>
      </c>
      <c r="Q978" t="n">
        <v>0</v>
      </c>
      <c r="R978" s="2" t="inlineStr"/>
    </row>
    <row r="979" ht="15" customHeight="1">
      <c r="A979" t="inlineStr">
        <is>
          <t>A 36645-2024</t>
        </is>
      </c>
      <c r="B979" s="1" t="n">
        <v>45537.60471064815</v>
      </c>
      <c r="C979" s="1" t="n">
        <v>46013</v>
      </c>
      <c r="D979" t="inlineStr">
        <is>
          <t>JÄMTLANDS LÄN</t>
        </is>
      </c>
      <c r="E979" t="inlineStr">
        <is>
          <t>HÄRJEDALEN</t>
        </is>
      </c>
      <c r="F979" t="inlineStr">
        <is>
          <t>Holmen skog AB</t>
        </is>
      </c>
      <c r="G979" t="n">
        <v>16.8</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46013</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57849-2024</t>
        </is>
      </c>
      <c r="B981" s="1" t="n">
        <v>45631</v>
      </c>
      <c r="C981" s="1" t="n">
        <v>46013</v>
      </c>
      <c r="D981" t="inlineStr">
        <is>
          <t>JÄMTLANDS LÄN</t>
        </is>
      </c>
      <c r="E981" t="inlineStr">
        <is>
          <t>HÄRJEDALEN</t>
        </is>
      </c>
      <c r="F981" t="inlineStr">
        <is>
          <t>Bergvik skog väst AB</t>
        </is>
      </c>
      <c r="G981" t="n">
        <v>36.7</v>
      </c>
      <c r="H981" t="n">
        <v>0</v>
      </c>
      <c r="I981" t="n">
        <v>0</v>
      </c>
      <c r="J981" t="n">
        <v>0</v>
      </c>
      <c r="K981" t="n">
        <v>0</v>
      </c>
      <c r="L981" t="n">
        <v>0</v>
      </c>
      <c r="M981" t="n">
        <v>0</v>
      </c>
      <c r="N981" t="n">
        <v>0</v>
      </c>
      <c r="O981" t="n">
        <v>0</v>
      </c>
      <c r="P981" t="n">
        <v>0</v>
      </c>
      <c r="Q981" t="n">
        <v>0</v>
      </c>
      <c r="R981" s="2" t="inlineStr"/>
    </row>
    <row r="982" ht="15" customHeight="1">
      <c r="A982" t="inlineStr">
        <is>
          <t>A 62924-2025</t>
        </is>
      </c>
      <c r="B982" s="1" t="n">
        <v>46009.38528935185</v>
      </c>
      <c r="C982" s="1" t="n">
        <v>46013</v>
      </c>
      <c r="D982" t="inlineStr">
        <is>
          <t>JÄMTLANDS LÄN</t>
        </is>
      </c>
      <c r="E982" t="inlineStr">
        <is>
          <t>HÄRJEDALEN</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55318-2024</t>
        </is>
      </c>
      <c r="B983" s="1" t="n">
        <v>45621</v>
      </c>
      <c r="C983" s="1" t="n">
        <v>46013</v>
      </c>
      <c r="D983" t="inlineStr">
        <is>
          <t>JÄMTLANDS LÄN</t>
        </is>
      </c>
      <c r="E983" t="inlineStr">
        <is>
          <t>HÄRJEDALEN</t>
        </is>
      </c>
      <c r="F983" t="inlineStr">
        <is>
          <t>Bergvik skog väst AB</t>
        </is>
      </c>
      <c r="G983" t="n">
        <v>136.1</v>
      </c>
      <c r="H983" t="n">
        <v>0</v>
      </c>
      <c r="I983" t="n">
        <v>0</v>
      </c>
      <c r="J983" t="n">
        <v>0</v>
      </c>
      <c r="K983" t="n">
        <v>0</v>
      </c>
      <c r="L983" t="n">
        <v>0</v>
      </c>
      <c r="M983" t="n">
        <v>0</v>
      </c>
      <c r="N983" t="n">
        <v>0</v>
      </c>
      <c r="O983" t="n">
        <v>0</v>
      </c>
      <c r="P983" t="n">
        <v>0</v>
      </c>
      <c r="Q983" t="n">
        <v>0</v>
      </c>
      <c r="R983" s="2" t="inlineStr"/>
    </row>
    <row r="984" ht="15" customHeight="1">
      <c r="A984" t="inlineStr">
        <is>
          <t>A 19100-2025</t>
        </is>
      </c>
      <c r="B984" s="1" t="n">
        <v>45768.29630787037</v>
      </c>
      <c r="C984" s="1" t="n">
        <v>46013</v>
      </c>
      <c r="D984" t="inlineStr">
        <is>
          <t>JÄMTLANDS LÄN</t>
        </is>
      </c>
      <c r="E984" t="inlineStr">
        <is>
          <t>HÄRJEDALEN</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19106-2025</t>
        </is>
      </c>
      <c r="B985" s="1" t="n">
        <v>45768.30954861111</v>
      </c>
      <c r="C985" s="1" t="n">
        <v>46013</v>
      </c>
      <c r="D985" t="inlineStr">
        <is>
          <t>JÄMTLANDS LÄN</t>
        </is>
      </c>
      <c r="E985" t="inlineStr">
        <is>
          <t>HÄRJEDALEN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63546-2023</t>
        </is>
      </c>
      <c r="B986" s="1" t="n">
        <v>45275</v>
      </c>
      <c r="C986" s="1" t="n">
        <v>46013</v>
      </c>
      <c r="D986" t="inlineStr">
        <is>
          <t>JÄMTLANDS LÄN</t>
        </is>
      </c>
      <c r="E986" t="inlineStr">
        <is>
          <t>HÄRJEDALEN</t>
        </is>
      </c>
      <c r="G986" t="n">
        <v>4.5</v>
      </c>
      <c r="H986" t="n">
        <v>0</v>
      </c>
      <c r="I986" t="n">
        <v>0</v>
      </c>
      <c r="J986" t="n">
        <v>0</v>
      </c>
      <c r="K986" t="n">
        <v>0</v>
      </c>
      <c r="L986" t="n">
        <v>0</v>
      </c>
      <c r="M986" t="n">
        <v>0</v>
      </c>
      <c r="N986" t="n">
        <v>0</v>
      </c>
      <c r="O986" t="n">
        <v>0</v>
      </c>
      <c r="P986" t="n">
        <v>0</v>
      </c>
      <c r="Q986" t="n">
        <v>0</v>
      </c>
      <c r="R986" s="2" t="inlineStr"/>
    </row>
    <row r="987" ht="15" customHeight="1">
      <c r="A987" t="inlineStr">
        <is>
          <t>A 43294-2024</t>
        </is>
      </c>
      <c r="B987" s="1" t="n">
        <v>45568</v>
      </c>
      <c r="C987" s="1" t="n">
        <v>46013</v>
      </c>
      <c r="D987" t="inlineStr">
        <is>
          <t>JÄMTLANDS LÄN</t>
        </is>
      </c>
      <c r="E987" t="inlineStr">
        <is>
          <t>HÄRJEDALEN</t>
        </is>
      </c>
      <c r="F987" t="inlineStr">
        <is>
          <t>SCA</t>
        </is>
      </c>
      <c r="G987" t="n">
        <v>18.5</v>
      </c>
      <c r="H987" t="n">
        <v>0</v>
      </c>
      <c r="I987" t="n">
        <v>0</v>
      </c>
      <c r="J987" t="n">
        <v>0</v>
      </c>
      <c r="K987" t="n">
        <v>0</v>
      </c>
      <c r="L987" t="n">
        <v>0</v>
      </c>
      <c r="M987" t="n">
        <v>0</v>
      </c>
      <c r="N987" t="n">
        <v>0</v>
      </c>
      <c r="O987" t="n">
        <v>0</v>
      </c>
      <c r="P987" t="n">
        <v>0</v>
      </c>
      <c r="Q987" t="n">
        <v>0</v>
      </c>
      <c r="R987" s="2" t="inlineStr"/>
    </row>
    <row r="988" ht="15" customHeight="1">
      <c r="A988" t="inlineStr">
        <is>
          <t>A 62641-2022</t>
        </is>
      </c>
      <c r="B988" s="1" t="n">
        <v>44925</v>
      </c>
      <c r="C988" s="1" t="n">
        <v>46013</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25500-2022</t>
        </is>
      </c>
      <c r="B989" s="1" t="n">
        <v>44732</v>
      </c>
      <c r="C989" s="1" t="n">
        <v>46013</v>
      </c>
      <c r="D989" t="inlineStr">
        <is>
          <t>JÄMTLANDS LÄN</t>
        </is>
      </c>
      <c r="E989" t="inlineStr">
        <is>
          <t>HÄRJEDALEN</t>
        </is>
      </c>
      <c r="G989" t="n">
        <v>2.6</v>
      </c>
      <c r="H989" t="n">
        <v>0</v>
      </c>
      <c r="I989" t="n">
        <v>0</v>
      </c>
      <c r="J989" t="n">
        <v>0</v>
      </c>
      <c r="K989" t="n">
        <v>0</v>
      </c>
      <c r="L989" t="n">
        <v>0</v>
      </c>
      <c r="M989" t="n">
        <v>0</v>
      </c>
      <c r="N989" t="n">
        <v>0</v>
      </c>
      <c r="O989" t="n">
        <v>0</v>
      </c>
      <c r="P989" t="n">
        <v>0</v>
      </c>
      <c r="Q989" t="n">
        <v>0</v>
      </c>
      <c r="R989" s="2" t="inlineStr"/>
    </row>
    <row r="990" ht="15" customHeight="1">
      <c r="A990" t="inlineStr">
        <is>
          <t>A 41401-2024</t>
        </is>
      </c>
      <c r="B990" s="1" t="n">
        <v>45560.33311342593</v>
      </c>
      <c r="C990" s="1" t="n">
        <v>46013</v>
      </c>
      <c r="D990" t="inlineStr">
        <is>
          <t>JÄMTLANDS LÄN</t>
        </is>
      </c>
      <c r="E990" t="inlineStr">
        <is>
          <t>HÄRJEDALEN</t>
        </is>
      </c>
      <c r="F990" t="inlineStr">
        <is>
          <t>Bergvik skog väst AB</t>
        </is>
      </c>
      <c r="G990" t="n">
        <v>6.6</v>
      </c>
      <c r="H990" t="n">
        <v>0</v>
      </c>
      <c r="I990" t="n">
        <v>0</v>
      </c>
      <c r="J990" t="n">
        <v>0</v>
      </c>
      <c r="K990" t="n">
        <v>0</v>
      </c>
      <c r="L990" t="n">
        <v>0</v>
      </c>
      <c r="M990" t="n">
        <v>0</v>
      </c>
      <c r="N990" t="n">
        <v>0</v>
      </c>
      <c r="O990" t="n">
        <v>0</v>
      </c>
      <c r="P990" t="n">
        <v>0</v>
      </c>
      <c r="Q990" t="n">
        <v>0</v>
      </c>
      <c r="R990" s="2" t="inlineStr"/>
    </row>
    <row r="991" ht="15" customHeight="1">
      <c r="A991" t="inlineStr">
        <is>
          <t>A 37281-2024</t>
        </is>
      </c>
      <c r="B991" s="1" t="n">
        <v>45540.4264699074</v>
      </c>
      <c r="C991" s="1" t="n">
        <v>46013</v>
      </c>
      <c r="D991" t="inlineStr">
        <is>
          <t>JÄMTLANDS LÄN</t>
        </is>
      </c>
      <c r="E991" t="inlineStr">
        <is>
          <t>HÄRJEDALEN</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52798-2024</t>
        </is>
      </c>
      <c r="B992" s="1" t="n">
        <v>45610.56706018518</v>
      </c>
      <c r="C992" s="1" t="n">
        <v>46013</v>
      </c>
      <c r="D992" t="inlineStr">
        <is>
          <t>JÄMTLANDS LÄN</t>
        </is>
      </c>
      <c r="E992" t="inlineStr">
        <is>
          <t>HÄRJEDALEN</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10000-2023</t>
        </is>
      </c>
      <c r="B993" s="1" t="n">
        <v>44985</v>
      </c>
      <c r="C993" s="1" t="n">
        <v>46013</v>
      </c>
      <c r="D993" t="inlineStr">
        <is>
          <t>JÄMTLANDS LÄN</t>
        </is>
      </c>
      <c r="E993" t="inlineStr">
        <is>
          <t>HÄRJEDALEN</t>
        </is>
      </c>
      <c r="F993" t="inlineStr">
        <is>
          <t>Holmen skog AB</t>
        </is>
      </c>
      <c r="G993" t="n">
        <v>12.6</v>
      </c>
      <c r="H993" t="n">
        <v>0</v>
      </c>
      <c r="I993" t="n">
        <v>0</v>
      </c>
      <c r="J993" t="n">
        <v>0</v>
      </c>
      <c r="K993" t="n">
        <v>0</v>
      </c>
      <c r="L993" t="n">
        <v>0</v>
      </c>
      <c r="M993" t="n">
        <v>0</v>
      </c>
      <c r="N993" t="n">
        <v>0</v>
      </c>
      <c r="O993" t="n">
        <v>0</v>
      </c>
      <c r="P993" t="n">
        <v>0</v>
      </c>
      <c r="Q993" t="n">
        <v>0</v>
      </c>
      <c r="R993" s="2" t="inlineStr"/>
    </row>
    <row r="994" ht="15" customHeight="1">
      <c r="A994" t="inlineStr">
        <is>
          <t>A 58866-2023</t>
        </is>
      </c>
      <c r="B994" s="1" t="n">
        <v>45252.45481481482</v>
      </c>
      <c r="C994" s="1" t="n">
        <v>46013</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46499-2024</t>
        </is>
      </c>
      <c r="B995" s="1" t="n">
        <v>45582.59753472222</v>
      </c>
      <c r="C995" s="1" t="n">
        <v>46013</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42143-2023</t>
        </is>
      </c>
      <c r="B996" s="1" t="n">
        <v>45177.9224537037</v>
      </c>
      <c r="C996" s="1" t="n">
        <v>46013</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58105-2024</t>
        </is>
      </c>
      <c r="B997" s="1" t="n">
        <v>45632</v>
      </c>
      <c r="C997" s="1" t="n">
        <v>46013</v>
      </c>
      <c r="D997" t="inlineStr">
        <is>
          <t>JÄMTLANDS LÄN</t>
        </is>
      </c>
      <c r="E997" t="inlineStr">
        <is>
          <t>HÄRJEDALEN</t>
        </is>
      </c>
      <c r="G997" t="n">
        <v>0.3</v>
      </c>
      <c r="H997" t="n">
        <v>0</v>
      </c>
      <c r="I997" t="n">
        <v>0</v>
      </c>
      <c r="J997" t="n">
        <v>0</v>
      </c>
      <c r="K997" t="n">
        <v>0</v>
      </c>
      <c r="L997" t="n">
        <v>0</v>
      </c>
      <c r="M997" t="n">
        <v>0</v>
      </c>
      <c r="N997" t="n">
        <v>0</v>
      </c>
      <c r="O997" t="n">
        <v>0</v>
      </c>
      <c r="P997" t="n">
        <v>0</v>
      </c>
      <c r="Q997" t="n">
        <v>0</v>
      </c>
      <c r="R997" s="2" t="inlineStr"/>
    </row>
    <row r="998" ht="15" customHeight="1">
      <c r="A998" t="inlineStr">
        <is>
          <t>A 56061-2024</t>
        </is>
      </c>
      <c r="B998" s="1" t="n">
        <v>45624.36858796296</v>
      </c>
      <c r="C998" s="1" t="n">
        <v>46013</v>
      </c>
      <c r="D998" t="inlineStr">
        <is>
          <t>JÄMTLANDS LÄN</t>
        </is>
      </c>
      <c r="E998" t="inlineStr">
        <is>
          <t>HÄRJEDALEN</t>
        </is>
      </c>
      <c r="G998" t="n">
        <v>7.9</v>
      </c>
      <c r="H998" t="n">
        <v>0</v>
      </c>
      <c r="I998" t="n">
        <v>0</v>
      </c>
      <c r="J998" t="n">
        <v>0</v>
      </c>
      <c r="K998" t="n">
        <v>0</v>
      </c>
      <c r="L998" t="n">
        <v>0</v>
      </c>
      <c r="M998" t="n">
        <v>0</v>
      </c>
      <c r="N998" t="n">
        <v>0</v>
      </c>
      <c r="O998" t="n">
        <v>0</v>
      </c>
      <c r="P998" t="n">
        <v>0</v>
      </c>
      <c r="Q998" t="n">
        <v>0</v>
      </c>
      <c r="R998" s="2" t="inlineStr"/>
    </row>
    <row r="999" ht="15" customHeight="1">
      <c r="A999" t="inlineStr">
        <is>
          <t>A 59427-2024</t>
        </is>
      </c>
      <c r="B999" s="1" t="n">
        <v>45638.416875</v>
      </c>
      <c r="C999" s="1" t="n">
        <v>46013</v>
      </c>
      <c r="D999" t="inlineStr">
        <is>
          <t>JÄMTLANDS LÄN</t>
        </is>
      </c>
      <c r="E999" t="inlineStr">
        <is>
          <t>HÄRJEDALEN</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10342-2023</t>
        </is>
      </c>
      <c r="B1000" s="1" t="n">
        <v>44987.35282407407</v>
      </c>
      <c r="C1000" s="1" t="n">
        <v>46013</v>
      </c>
      <c r="D1000" t="inlineStr">
        <is>
          <t>JÄMTLANDS LÄN</t>
        </is>
      </c>
      <c r="E1000" t="inlineStr">
        <is>
          <t>HÄRJEDALEN</t>
        </is>
      </c>
      <c r="F1000" t="inlineStr">
        <is>
          <t>Holmen skog AB</t>
        </is>
      </c>
      <c r="G1000" t="n">
        <v>32.6</v>
      </c>
      <c r="H1000" t="n">
        <v>0</v>
      </c>
      <c r="I1000" t="n">
        <v>0</v>
      </c>
      <c r="J1000" t="n">
        <v>0</v>
      </c>
      <c r="K1000" t="n">
        <v>0</v>
      </c>
      <c r="L1000" t="n">
        <v>0</v>
      </c>
      <c r="M1000" t="n">
        <v>0</v>
      </c>
      <c r="N1000" t="n">
        <v>0</v>
      </c>
      <c r="O1000" t="n">
        <v>0</v>
      </c>
      <c r="P1000" t="n">
        <v>0</v>
      </c>
      <c r="Q1000" t="n">
        <v>0</v>
      </c>
      <c r="R1000" s="2" t="inlineStr"/>
    </row>
    <row r="1001" ht="15" customHeight="1">
      <c r="A1001" t="inlineStr">
        <is>
          <t>A 20238-2025</t>
        </is>
      </c>
      <c r="B1001" s="1" t="n">
        <v>45772.69290509259</v>
      </c>
      <c r="C1001" s="1" t="n">
        <v>46013</v>
      </c>
      <c r="D1001" t="inlineStr">
        <is>
          <t>JÄMTLANDS LÄN</t>
        </is>
      </c>
      <c r="E1001" t="inlineStr">
        <is>
          <t>HÄRJEDALEN</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29774-2024</t>
        </is>
      </c>
      <c r="B1002" s="1" t="n">
        <v>45485</v>
      </c>
      <c r="C1002" s="1" t="n">
        <v>46013</v>
      </c>
      <c r="D1002" t="inlineStr">
        <is>
          <t>JÄMTLANDS LÄN</t>
        </is>
      </c>
      <c r="E1002" t="inlineStr">
        <is>
          <t>HÄRJEDALEN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46013</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41058-2023</t>
        </is>
      </c>
      <c r="B1004" s="1" t="n">
        <v>45173</v>
      </c>
      <c r="C1004" s="1" t="n">
        <v>46013</v>
      </c>
      <c r="D1004" t="inlineStr">
        <is>
          <t>JÄMTLANDS LÄN</t>
        </is>
      </c>
      <c r="E1004" t="inlineStr">
        <is>
          <t>HÄRJEDALEN</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40569-2023</t>
        </is>
      </c>
      <c r="B1005" s="1" t="n">
        <v>45170.4643287037</v>
      </c>
      <c r="C1005" s="1" t="n">
        <v>46013</v>
      </c>
      <c r="D1005" t="inlineStr">
        <is>
          <t>JÄMTLANDS LÄN</t>
        </is>
      </c>
      <c r="E1005" t="inlineStr">
        <is>
          <t>HÄRJEDALEN</t>
        </is>
      </c>
      <c r="F1005" t="inlineStr">
        <is>
          <t>Holmen skog AB</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59293-2024</t>
        </is>
      </c>
      <c r="B1006" s="1" t="n">
        <v>45637</v>
      </c>
      <c r="C1006" s="1" t="n">
        <v>46013</v>
      </c>
      <c r="D1006" t="inlineStr">
        <is>
          <t>JÄMTLANDS LÄN</t>
        </is>
      </c>
      <c r="E1006" t="inlineStr">
        <is>
          <t>HÄRJEDALEN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28930-2024</t>
        </is>
      </c>
      <c r="B1007" s="1" t="n">
        <v>45481.3330787037</v>
      </c>
      <c r="C1007" s="1" t="n">
        <v>46013</v>
      </c>
      <c r="D1007" t="inlineStr">
        <is>
          <t>JÄMTLANDS LÄN</t>
        </is>
      </c>
      <c r="E1007" t="inlineStr">
        <is>
          <t>HÄRJEDALEN</t>
        </is>
      </c>
      <c r="F1007" t="inlineStr">
        <is>
          <t>Holmen skog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31588-2024</t>
        </is>
      </c>
      <c r="B1008" s="1" t="n">
        <v>45506.36702546296</v>
      </c>
      <c r="C1008" s="1" t="n">
        <v>46013</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31783-2024</t>
        </is>
      </c>
      <c r="B1009" s="1" t="n">
        <v>45509</v>
      </c>
      <c r="C1009" s="1" t="n">
        <v>46013</v>
      </c>
      <c r="D1009" t="inlineStr">
        <is>
          <t>JÄMTLANDS LÄN</t>
        </is>
      </c>
      <c r="E1009" t="inlineStr">
        <is>
          <t>HÄRJEDALEN</t>
        </is>
      </c>
      <c r="F1009" t="inlineStr">
        <is>
          <t>Övriga statliga verk och myndigheter</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31834-2024</t>
        </is>
      </c>
      <c r="B1010" s="1" t="n">
        <v>45509.6427662037</v>
      </c>
      <c r="C1010" s="1" t="n">
        <v>46013</v>
      </c>
      <c r="D1010" t="inlineStr">
        <is>
          <t>JÄMTLANDS LÄN</t>
        </is>
      </c>
      <c r="E1010" t="inlineStr">
        <is>
          <t>HÄRJEDALEN</t>
        </is>
      </c>
      <c r="F1010" t="inlineStr">
        <is>
          <t>Kommuner</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29343-2024</t>
        </is>
      </c>
      <c r="B1011" s="1" t="n">
        <v>45483.47207175926</v>
      </c>
      <c r="C1011" s="1" t="n">
        <v>46013</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48818-2024</t>
        </is>
      </c>
      <c r="B1012" s="1" t="n">
        <v>45593.67809027778</v>
      </c>
      <c r="C1012" s="1" t="n">
        <v>46013</v>
      </c>
      <c r="D1012" t="inlineStr">
        <is>
          <t>JÄMTLANDS LÄN</t>
        </is>
      </c>
      <c r="E1012" t="inlineStr">
        <is>
          <t>HÄRJEDALEN</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10959-2022</t>
        </is>
      </c>
      <c r="B1013" s="1" t="n">
        <v>44628.36402777778</v>
      </c>
      <c r="C1013" s="1" t="n">
        <v>46013</v>
      </c>
      <c r="D1013" t="inlineStr">
        <is>
          <t>JÄMTLANDS LÄN</t>
        </is>
      </c>
      <c r="E1013" t="inlineStr">
        <is>
          <t>HÄRJEDALEN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60709-2024</t>
        </is>
      </c>
      <c r="B1014" s="1" t="n">
        <v>45644.50141203704</v>
      </c>
      <c r="C1014" s="1" t="n">
        <v>46013</v>
      </c>
      <c r="D1014" t="inlineStr">
        <is>
          <t>JÄMTLANDS LÄN</t>
        </is>
      </c>
      <c r="E1014" t="inlineStr">
        <is>
          <t>HÄRJEDALEN</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7362-2024</t>
        </is>
      </c>
      <c r="B1015" s="1" t="n">
        <v>45345.47642361111</v>
      </c>
      <c r="C1015" s="1" t="n">
        <v>46013</v>
      </c>
      <c r="D1015" t="inlineStr">
        <is>
          <t>JÄMTLANDS LÄN</t>
        </is>
      </c>
      <c r="E1015" t="inlineStr">
        <is>
          <t>HÄRJEDALEN</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7368-2024</t>
        </is>
      </c>
      <c r="B1016" s="1" t="n">
        <v>45345.48181712963</v>
      </c>
      <c r="C1016" s="1" t="n">
        <v>46013</v>
      </c>
      <c r="D1016" t="inlineStr">
        <is>
          <t>JÄMTLANDS LÄN</t>
        </is>
      </c>
      <c r="E1016" t="inlineStr">
        <is>
          <t>HÄRJEDALEN</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7371-2024</t>
        </is>
      </c>
      <c r="B1017" s="1" t="n">
        <v>45345.4940625</v>
      </c>
      <c r="C1017" s="1" t="n">
        <v>46013</v>
      </c>
      <c r="D1017" t="inlineStr">
        <is>
          <t>JÄMTLANDS LÄN</t>
        </is>
      </c>
      <c r="E1017" t="inlineStr">
        <is>
          <t>HÄRJEDALEN</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816-2025</t>
        </is>
      </c>
      <c r="B1018" s="1" t="n">
        <v>45665.563125</v>
      </c>
      <c r="C1018" s="1" t="n">
        <v>46013</v>
      </c>
      <c r="D1018" t="inlineStr">
        <is>
          <t>JÄMTLANDS LÄN</t>
        </is>
      </c>
      <c r="E1018" t="inlineStr">
        <is>
          <t>HÄRJEDALEN</t>
        </is>
      </c>
      <c r="F1018" t="inlineStr">
        <is>
          <t>Bergvik skog väst AB</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9784-2024</t>
        </is>
      </c>
      <c r="B1019" s="1" t="n">
        <v>45362.67293981482</v>
      </c>
      <c r="C1019" s="1" t="n">
        <v>46013</v>
      </c>
      <c r="D1019" t="inlineStr">
        <is>
          <t>JÄMTLANDS LÄN</t>
        </is>
      </c>
      <c r="E1019" t="inlineStr">
        <is>
          <t>HÄRJEDALEN</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53386-2024</t>
        </is>
      </c>
      <c r="B1020" s="1" t="n">
        <v>45614.47960648148</v>
      </c>
      <c r="C1020" s="1" t="n">
        <v>46013</v>
      </c>
      <c r="D1020" t="inlineStr">
        <is>
          <t>JÄMTLANDS LÄN</t>
        </is>
      </c>
      <c r="E1020" t="inlineStr">
        <is>
          <t>HÄRJEDALEN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18389-2021</t>
        </is>
      </c>
      <c r="B1021" s="1" t="n">
        <v>44305</v>
      </c>
      <c r="C1021" s="1" t="n">
        <v>46013</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32962-2024</t>
        </is>
      </c>
      <c r="B1022" s="1" t="n">
        <v>45517.38320601852</v>
      </c>
      <c r="C1022" s="1" t="n">
        <v>46013</v>
      </c>
      <c r="D1022" t="inlineStr">
        <is>
          <t>JÄMTLANDS LÄN</t>
        </is>
      </c>
      <c r="E1022" t="inlineStr">
        <is>
          <t>HÄRJEDALEN</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60752-2024</t>
        </is>
      </c>
      <c r="B1023" s="1" t="n">
        <v>45644.56674768519</v>
      </c>
      <c r="C1023" s="1" t="n">
        <v>46013</v>
      </c>
      <c r="D1023" t="inlineStr">
        <is>
          <t>JÄMTLANDS LÄN</t>
        </is>
      </c>
      <c r="E1023" t="inlineStr">
        <is>
          <t>HÄRJEDALEN</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29749-2024</t>
        </is>
      </c>
      <c r="B1024" s="1" t="n">
        <v>45485.42287037037</v>
      </c>
      <c r="C1024" s="1" t="n">
        <v>46013</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29766-2024</t>
        </is>
      </c>
      <c r="B1025" s="1" t="n">
        <v>45485</v>
      </c>
      <c r="C1025" s="1" t="n">
        <v>46013</v>
      </c>
      <c r="D1025" t="inlineStr">
        <is>
          <t>JÄMTLANDS LÄN</t>
        </is>
      </c>
      <c r="E1025" t="inlineStr">
        <is>
          <t>HÄRJEDALEN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29768-2024</t>
        </is>
      </c>
      <c r="B1026" s="1" t="n">
        <v>45485.44258101852</v>
      </c>
      <c r="C1026" s="1" t="n">
        <v>46013</v>
      </c>
      <c r="D1026" t="inlineStr">
        <is>
          <t>JÄMTLANDS LÄN</t>
        </is>
      </c>
      <c r="E1026" t="inlineStr">
        <is>
          <t>HÄRJEDALEN</t>
        </is>
      </c>
      <c r="F1026" t="inlineStr">
        <is>
          <t>Holmen skog AB</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37719-2023</t>
        </is>
      </c>
      <c r="B1027" s="1" t="n">
        <v>45159.60288194445</v>
      </c>
      <c r="C1027" s="1" t="n">
        <v>46013</v>
      </c>
      <c r="D1027" t="inlineStr">
        <is>
          <t>JÄMTLANDS LÄN</t>
        </is>
      </c>
      <c r="E1027" t="inlineStr">
        <is>
          <t>HÄRJEDALEN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51223-2024</t>
        </is>
      </c>
      <c r="B1028" s="1" t="n">
        <v>45603</v>
      </c>
      <c r="C1028" s="1" t="n">
        <v>46013</v>
      </c>
      <c r="D1028" t="inlineStr">
        <is>
          <t>JÄMTLANDS LÄN</t>
        </is>
      </c>
      <c r="E1028" t="inlineStr">
        <is>
          <t>HÄRJEDALEN</t>
        </is>
      </c>
      <c r="F1028" t="inlineStr">
        <is>
          <t>Holmen skog AB</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55859-2024</t>
        </is>
      </c>
      <c r="B1029" s="1" t="n">
        <v>45622</v>
      </c>
      <c r="C1029" s="1" t="n">
        <v>46013</v>
      </c>
      <c r="D1029" t="inlineStr">
        <is>
          <t>JÄMTLANDS LÄN</t>
        </is>
      </c>
      <c r="E1029" t="inlineStr">
        <is>
          <t>HÄRJEDALEN</t>
        </is>
      </c>
      <c r="F1029" t="inlineStr">
        <is>
          <t>Bergvik skog väst AB</t>
        </is>
      </c>
      <c r="G1029" t="n">
        <v>28.1</v>
      </c>
      <c r="H1029" t="n">
        <v>0</v>
      </c>
      <c r="I1029" t="n">
        <v>0</v>
      </c>
      <c r="J1029" t="n">
        <v>0</v>
      </c>
      <c r="K1029" t="n">
        <v>0</v>
      </c>
      <c r="L1029" t="n">
        <v>0</v>
      </c>
      <c r="M1029" t="n">
        <v>0</v>
      </c>
      <c r="N1029" t="n">
        <v>0</v>
      </c>
      <c r="O1029" t="n">
        <v>0</v>
      </c>
      <c r="P1029" t="n">
        <v>0</v>
      </c>
      <c r="Q1029" t="n">
        <v>0</v>
      </c>
      <c r="R1029" s="2" t="inlineStr"/>
    </row>
    <row r="1030" ht="15" customHeight="1">
      <c r="A1030" t="inlineStr">
        <is>
          <t>A 52565-2023</t>
        </is>
      </c>
      <c r="B1030" s="1" t="n">
        <v>45225.58005787037</v>
      </c>
      <c r="C1030" s="1" t="n">
        <v>46013</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16535-2024</t>
        </is>
      </c>
      <c r="B1031" s="1" t="n">
        <v>45408</v>
      </c>
      <c r="C1031" s="1" t="n">
        <v>46013</v>
      </c>
      <c r="D1031" t="inlineStr">
        <is>
          <t>JÄMTLANDS LÄN</t>
        </is>
      </c>
      <c r="E1031" t="inlineStr">
        <is>
          <t>HÄRJEDALEN</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62134-2024</t>
        </is>
      </c>
      <c r="B1032" s="1" t="n">
        <v>45646</v>
      </c>
      <c r="C1032" s="1" t="n">
        <v>46013</v>
      </c>
      <c r="D1032" t="inlineStr">
        <is>
          <t>JÄMTLANDS LÄN</t>
        </is>
      </c>
      <c r="E1032" t="inlineStr">
        <is>
          <t>HÄRJEDALEN</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8178-2024</t>
        </is>
      </c>
      <c r="B1033" s="1" t="n">
        <v>45350</v>
      </c>
      <c r="C1033" s="1" t="n">
        <v>46013</v>
      </c>
      <c r="D1033" t="inlineStr">
        <is>
          <t>JÄMTLANDS LÄN</t>
        </is>
      </c>
      <c r="E1033" t="inlineStr">
        <is>
          <t>HÄRJEDALEN</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8215-2024</t>
        </is>
      </c>
      <c r="B1034" s="1" t="n">
        <v>45351</v>
      </c>
      <c r="C1034" s="1" t="n">
        <v>46013</v>
      </c>
      <c r="D1034" t="inlineStr">
        <is>
          <t>JÄMTLANDS LÄN</t>
        </is>
      </c>
      <c r="E1034" t="inlineStr">
        <is>
          <t>HÄRJEDALEN</t>
        </is>
      </c>
      <c r="G1034" t="n">
        <v>49.2</v>
      </c>
      <c r="H1034" t="n">
        <v>0</v>
      </c>
      <c r="I1034" t="n">
        <v>0</v>
      </c>
      <c r="J1034" t="n">
        <v>0</v>
      </c>
      <c r="K1034" t="n">
        <v>0</v>
      </c>
      <c r="L1034" t="n">
        <v>0</v>
      </c>
      <c r="M1034" t="n">
        <v>0</v>
      </c>
      <c r="N1034" t="n">
        <v>0</v>
      </c>
      <c r="O1034" t="n">
        <v>0</v>
      </c>
      <c r="P1034" t="n">
        <v>0</v>
      </c>
      <c r="Q1034" t="n">
        <v>0</v>
      </c>
      <c r="R1034" s="2" t="inlineStr"/>
    </row>
    <row r="1035" ht="15" customHeight="1">
      <c r="A1035" t="inlineStr">
        <is>
          <t>A 7311-2024</t>
        </is>
      </c>
      <c r="B1035" s="1" t="n">
        <v>45345.34219907408</v>
      </c>
      <c r="C1035" s="1" t="n">
        <v>46013</v>
      </c>
      <c r="D1035" t="inlineStr">
        <is>
          <t>JÄMTLANDS LÄN</t>
        </is>
      </c>
      <c r="E1035" t="inlineStr">
        <is>
          <t>HÄRJEDALEN</t>
        </is>
      </c>
      <c r="F1035" t="inlineStr">
        <is>
          <t>Holmen skog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46013</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40567-2023</t>
        </is>
      </c>
      <c r="B1037" s="1" t="n">
        <v>45170.46134259259</v>
      </c>
      <c r="C1037" s="1" t="n">
        <v>46013</v>
      </c>
      <c r="D1037" t="inlineStr">
        <is>
          <t>JÄMTLANDS LÄN</t>
        </is>
      </c>
      <c r="E1037" t="inlineStr">
        <is>
          <t>HÄRJEDALEN</t>
        </is>
      </c>
      <c r="F1037" t="inlineStr">
        <is>
          <t>Holmen skog AB</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46013</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19098-2025</t>
        </is>
      </c>
      <c r="B1039" s="1" t="n">
        <v>45768.29289351852</v>
      </c>
      <c r="C1039" s="1" t="n">
        <v>46013</v>
      </c>
      <c r="D1039" t="inlineStr">
        <is>
          <t>JÄMTLANDS LÄN</t>
        </is>
      </c>
      <c r="E1039" t="inlineStr">
        <is>
          <t>HÄRJEDALEN</t>
        </is>
      </c>
      <c r="F1039" t="inlineStr">
        <is>
          <t>Sveaskog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19101-2025</t>
        </is>
      </c>
      <c r="B1040" s="1" t="n">
        <v>45768.30086805556</v>
      </c>
      <c r="C1040" s="1" t="n">
        <v>46013</v>
      </c>
      <c r="D1040" t="inlineStr">
        <is>
          <t>JÄMTLANDS LÄN</t>
        </is>
      </c>
      <c r="E1040" t="inlineStr">
        <is>
          <t>HÄRJEDALEN</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45119.38675925926</v>
      </c>
      <c r="C1041" s="1" t="n">
        <v>46013</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12468-2022</t>
        </is>
      </c>
      <c r="B1042" s="1" t="n">
        <v>44638.44958333333</v>
      </c>
      <c r="C1042" s="1" t="n">
        <v>46013</v>
      </c>
      <c r="D1042" t="inlineStr">
        <is>
          <t>JÄMTLANDS LÄN</t>
        </is>
      </c>
      <c r="E1042" t="inlineStr">
        <is>
          <t>HÄRJEDALEN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59946-2024</t>
        </is>
      </c>
      <c r="B1043" s="1" t="n">
        <v>45642.33616898148</v>
      </c>
      <c r="C1043" s="1" t="n">
        <v>46013</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21054-2023</t>
        </is>
      </c>
      <c r="B1044" s="1" t="n">
        <v>45061.61002314815</v>
      </c>
      <c r="C1044" s="1" t="n">
        <v>46013</v>
      </c>
      <c r="D1044" t="inlineStr">
        <is>
          <t>JÄMTLANDS LÄN</t>
        </is>
      </c>
      <c r="E1044" t="inlineStr">
        <is>
          <t>HÄRJEDALEN</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18362-2025</t>
        </is>
      </c>
      <c r="B1045" s="1" t="n">
        <v>45762.55899305556</v>
      </c>
      <c r="C1045" s="1" t="n">
        <v>46013</v>
      </c>
      <c r="D1045" t="inlineStr">
        <is>
          <t>JÄMTLANDS LÄN</t>
        </is>
      </c>
      <c r="E1045" t="inlineStr">
        <is>
          <t>HÄRJEDALEN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53993-2023</t>
        </is>
      </c>
      <c r="B1046" s="1" t="n">
        <v>45231</v>
      </c>
      <c r="C1046" s="1" t="n">
        <v>46013</v>
      </c>
      <c r="D1046" t="inlineStr">
        <is>
          <t>JÄMTLANDS LÄN</t>
        </is>
      </c>
      <c r="E1046" t="inlineStr">
        <is>
          <t>HÄRJEDALEN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46013</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21011-2024</t>
        </is>
      </c>
      <c r="B1048" s="1" t="n">
        <v>45439.62893518519</v>
      </c>
      <c r="C1048" s="1" t="n">
        <v>46013</v>
      </c>
      <c r="D1048" t="inlineStr">
        <is>
          <t>JÄMTLANDS LÄN</t>
        </is>
      </c>
      <c r="E1048" t="inlineStr">
        <is>
          <t>HÄRJEDALEN</t>
        </is>
      </c>
      <c r="G1048" t="n">
        <v>92.40000000000001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45864-2023</t>
        </is>
      </c>
      <c r="B1049" s="1" t="n">
        <v>45195.61476851852</v>
      </c>
      <c r="C1049" s="1" t="n">
        <v>46013</v>
      </c>
      <c r="D1049" t="inlineStr">
        <is>
          <t>JÄMTLANDS LÄN</t>
        </is>
      </c>
      <c r="E1049" t="inlineStr">
        <is>
          <t>HÄRJEDALEN</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56013-2023</t>
        </is>
      </c>
      <c r="B1050" s="1" t="n">
        <v>45240</v>
      </c>
      <c r="C1050" s="1" t="n">
        <v>46013</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49969-2023</t>
        </is>
      </c>
      <c r="B1051" s="1" t="n">
        <v>45215</v>
      </c>
      <c r="C1051" s="1" t="n">
        <v>46013</v>
      </c>
      <c r="D1051" t="inlineStr">
        <is>
          <t>JÄMTLANDS LÄN</t>
        </is>
      </c>
      <c r="E1051" t="inlineStr">
        <is>
          <t>HÄRJEDALEN</t>
        </is>
      </c>
      <c r="G1051" t="n">
        <v>43.7</v>
      </c>
      <c r="H1051" t="n">
        <v>0</v>
      </c>
      <c r="I1051" t="n">
        <v>0</v>
      </c>
      <c r="J1051" t="n">
        <v>0</v>
      </c>
      <c r="K1051" t="n">
        <v>0</v>
      </c>
      <c r="L1051" t="n">
        <v>0</v>
      </c>
      <c r="M1051" t="n">
        <v>0</v>
      </c>
      <c r="N1051" t="n">
        <v>0</v>
      </c>
      <c r="O1051" t="n">
        <v>0</v>
      </c>
      <c r="P1051" t="n">
        <v>0</v>
      </c>
      <c r="Q1051" t="n">
        <v>0</v>
      </c>
      <c r="R1051" s="2" t="inlineStr"/>
    </row>
    <row r="1052" ht="15" customHeight="1">
      <c r="A1052" t="inlineStr">
        <is>
          <t>A 45999-2023</t>
        </is>
      </c>
      <c r="B1052" s="1" t="n">
        <v>45196</v>
      </c>
      <c r="C1052" s="1" t="n">
        <v>46013</v>
      </c>
      <c r="D1052" t="inlineStr">
        <is>
          <t>JÄMTLANDS LÄN</t>
        </is>
      </c>
      <c r="E1052" t="inlineStr">
        <is>
          <t>HÄRJEDALEN</t>
        </is>
      </c>
      <c r="F1052" t="inlineStr">
        <is>
          <t>Bergvik skog väst AB</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21767-2022</t>
        </is>
      </c>
      <c r="B1053" s="1" t="n">
        <v>44708.45504629629</v>
      </c>
      <c r="C1053" s="1" t="n">
        <v>46013</v>
      </c>
      <c r="D1053" t="inlineStr">
        <is>
          <t>JÄMTLANDS LÄN</t>
        </is>
      </c>
      <c r="E1053" t="inlineStr">
        <is>
          <t>HÄRJEDALEN</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21796-2022</t>
        </is>
      </c>
      <c r="B1054" s="1" t="n">
        <v>44708</v>
      </c>
      <c r="C1054" s="1" t="n">
        <v>46013</v>
      </c>
      <c r="D1054" t="inlineStr">
        <is>
          <t>JÄMTLANDS LÄN</t>
        </is>
      </c>
      <c r="E1054" t="inlineStr">
        <is>
          <t>HÄRJEDALEN</t>
        </is>
      </c>
      <c r="F1054" t="inlineStr">
        <is>
          <t>Holmen skog AB</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45118.47491898148</v>
      </c>
      <c r="C1055" s="1" t="n">
        <v>46013</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50331-2023</t>
        </is>
      </c>
      <c r="B1056" s="1" t="n">
        <v>45216</v>
      </c>
      <c r="C1056" s="1" t="n">
        <v>46013</v>
      </c>
      <c r="D1056" t="inlineStr">
        <is>
          <t>JÄMTLANDS LÄN</t>
        </is>
      </c>
      <c r="E1056" t="inlineStr">
        <is>
          <t>HÄRJEDALEN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11877-2025</t>
        </is>
      </c>
      <c r="B1057" s="1" t="n">
        <v>45728.44329861111</v>
      </c>
      <c r="C1057" s="1" t="n">
        <v>46013</v>
      </c>
      <c r="D1057" t="inlineStr">
        <is>
          <t>JÄMTLANDS LÄN</t>
        </is>
      </c>
      <c r="E1057" t="inlineStr">
        <is>
          <t>HÄRJEDALEN</t>
        </is>
      </c>
      <c r="F1057" t="inlineStr">
        <is>
          <t>Bergvik skog väst AB</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46013</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31527-2024</t>
        </is>
      </c>
      <c r="B1059" s="1" t="n">
        <v>45505</v>
      </c>
      <c r="C1059" s="1" t="n">
        <v>46013</v>
      </c>
      <c r="D1059" t="inlineStr">
        <is>
          <t>JÄMTLANDS LÄN</t>
        </is>
      </c>
      <c r="E1059" t="inlineStr">
        <is>
          <t>HÄRJEDALEN</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61042-2024</t>
        </is>
      </c>
      <c r="B1060" s="1" t="n">
        <v>45645.47609953704</v>
      </c>
      <c r="C1060" s="1" t="n">
        <v>46013</v>
      </c>
      <c r="D1060" t="inlineStr">
        <is>
          <t>JÄMTLANDS LÄN</t>
        </is>
      </c>
      <c r="E1060" t="inlineStr">
        <is>
          <t>HÄRJEDALEN</t>
        </is>
      </c>
      <c r="F1060" t="inlineStr">
        <is>
          <t>Bergvik skog väst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2531-2021</t>
        </is>
      </c>
      <c r="B1061" s="1" t="n">
        <v>44214</v>
      </c>
      <c r="C1061" s="1" t="n">
        <v>46013</v>
      </c>
      <c r="D1061" t="inlineStr">
        <is>
          <t>JÄMTLANDS LÄN</t>
        </is>
      </c>
      <c r="E1061" t="inlineStr">
        <is>
          <t>HÄRJEDALEN</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48213-2023</t>
        </is>
      </c>
      <c r="B1062" s="1" t="n">
        <v>45205</v>
      </c>
      <c r="C1062" s="1" t="n">
        <v>46013</v>
      </c>
      <c r="D1062" t="inlineStr">
        <is>
          <t>JÄMTLANDS LÄN</t>
        </is>
      </c>
      <c r="E1062" t="inlineStr">
        <is>
          <t>HÄRJEDALEN</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53537-2024</t>
        </is>
      </c>
      <c r="B1063" s="1" t="n">
        <v>45614.62445601852</v>
      </c>
      <c r="C1063" s="1" t="n">
        <v>46013</v>
      </c>
      <c r="D1063" t="inlineStr">
        <is>
          <t>JÄMTLANDS LÄN</t>
        </is>
      </c>
      <c r="E1063" t="inlineStr">
        <is>
          <t>HÄRJEDALEN</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24834-2022</t>
        </is>
      </c>
      <c r="B1064" s="1" t="n">
        <v>44728</v>
      </c>
      <c r="C1064" s="1" t="n">
        <v>46013</v>
      </c>
      <c r="D1064" t="inlineStr">
        <is>
          <t>JÄMTLANDS LÄN</t>
        </is>
      </c>
      <c r="E1064" t="inlineStr">
        <is>
          <t>HÄRJEDALEN</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1658-2025</t>
        </is>
      </c>
      <c r="B1065" s="1" t="n">
        <v>45670.66085648148</v>
      </c>
      <c r="C1065" s="1" t="n">
        <v>46013</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46383-2023</t>
        </is>
      </c>
      <c r="B1066" s="1" t="n">
        <v>45197.46966435185</v>
      </c>
      <c r="C1066" s="1" t="n">
        <v>46013</v>
      </c>
      <c r="D1066" t="inlineStr">
        <is>
          <t>JÄMTLANDS LÄN</t>
        </is>
      </c>
      <c r="E1066" t="inlineStr">
        <is>
          <t>HÄRJEDALEN</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41955-2023</t>
        </is>
      </c>
      <c r="B1067" s="1" t="n">
        <v>45174</v>
      </c>
      <c r="C1067" s="1" t="n">
        <v>46013</v>
      </c>
      <c r="D1067" t="inlineStr">
        <is>
          <t>JÄMTLANDS LÄN</t>
        </is>
      </c>
      <c r="E1067" t="inlineStr">
        <is>
          <t>HÄRJEDALEN</t>
        </is>
      </c>
      <c r="G1067" t="n">
        <v>60.5</v>
      </c>
      <c r="H1067" t="n">
        <v>0</v>
      </c>
      <c r="I1067" t="n">
        <v>0</v>
      </c>
      <c r="J1067" t="n">
        <v>0</v>
      </c>
      <c r="K1067" t="n">
        <v>0</v>
      </c>
      <c r="L1067" t="n">
        <v>0</v>
      </c>
      <c r="M1067" t="n">
        <v>0</v>
      </c>
      <c r="N1067" t="n">
        <v>0</v>
      </c>
      <c r="O1067" t="n">
        <v>0</v>
      </c>
      <c r="P1067" t="n">
        <v>0</v>
      </c>
      <c r="Q1067" t="n">
        <v>0</v>
      </c>
      <c r="R1067" s="2" t="inlineStr"/>
    </row>
    <row r="1068" ht="15" customHeight="1">
      <c r="A1068" t="inlineStr">
        <is>
          <t>A 16517-2025</t>
        </is>
      </c>
      <c r="B1068" s="1" t="n">
        <v>45751.63266203704</v>
      </c>
      <c r="C1068" s="1" t="n">
        <v>46013</v>
      </c>
      <c r="D1068" t="inlineStr">
        <is>
          <t>JÄMTLANDS LÄN</t>
        </is>
      </c>
      <c r="E1068" t="inlineStr">
        <is>
          <t>HÄRJEDALEN</t>
        </is>
      </c>
      <c r="F1068" t="inlineStr">
        <is>
          <t>Övriga Aktiebolag</t>
        </is>
      </c>
      <c r="G1068" t="n">
        <v>18.6</v>
      </c>
      <c r="H1068" t="n">
        <v>0</v>
      </c>
      <c r="I1068" t="n">
        <v>0</v>
      </c>
      <c r="J1068" t="n">
        <v>0</v>
      </c>
      <c r="K1068" t="n">
        <v>0</v>
      </c>
      <c r="L1068" t="n">
        <v>0</v>
      </c>
      <c r="M1068" t="n">
        <v>0</v>
      </c>
      <c r="N1068" t="n">
        <v>0</v>
      </c>
      <c r="O1068" t="n">
        <v>0</v>
      </c>
      <c r="P1068" t="n">
        <v>0</v>
      </c>
      <c r="Q1068" t="n">
        <v>0</v>
      </c>
      <c r="R1068" s="2" t="inlineStr"/>
    </row>
    <row r="1069" ht="15" customHeight="1">
      <c r="A1069" t="inlineStr">
        <is>
          <t>A 55562-2023</t>
        </is>
      </c>
      <c r="B1069" s="1" t="n">
        <v>45238.64153935185</v>
      </c>
      <c r="C1069" s="1" t="n">
        <v>46013</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61751-2023</t>
        </is>
      </c>
      <c r="B1070" s="1" t="n">
        <v>45265</v>
      </c>
      <c r="C1070" s="1" t="n">
        <v>46013</v>
      </c>
      <c r="D1070" t="inlineStr">
        <is>
          <t>JÄMTLANDS LÄN</t>
        </is>
      </c>
      <c r="E1070" t="inlineStr">
        <is>
          <t>HÄRJEDALEN</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45716-2023</t>
        </is>
      </c>
      <c r="B1071" s="1" t="n">
        <v>45195.35877314815</v>
      </c>
      <c r="C1071" s="1" t="n">
        <v>46013</v>
      </c>
      <c r="D1071" t="inlineStr">
        <is>
          <t>JÄMTLANDS LÄN</t>
        </is>
      </c>
      <c r="E1071" t="inlineStr">
        <is>
          <t>HÄRJEDALEN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46013</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24494-2024</t>
        </is>
      </c>
      <c r="B1073" s="1" t="n">
        <v>45459</v>
      </c>
      <c r="C1073" s="1" t="n">
        <v>46013</v>
      </c>
      <c r="D1073" t="inlineStr">
        <is>
          <t>JÄMTLANDS LÄN</t>
        </is>
      </c>
      <c r="E1073" t="inlineStr">
        <is>
          <t>HÄRJEDALEN</t>
        </is>
      </c>
      <c r="G1073" t="n">
        <v>20.1</v>
      </c>
      <c r="H1073" t="n">
        <v>0</v>
      </c>
      <c r="I1073" t="n">
        <v>0</v>
      </c>
      <c r="J1073" t="n">
        <v>0</v>
      </c>
      <c r="K1073" t="n">
        <v>0</v>
      </c>
      <c r="L1073" t="n">
        <v>0</v>
      </c>
      <c r="M1073" t="n">
        <v>0</v>
      </c>
      <c r="N1073" t="n">
        <v>0</v>
      </c>
      <c r="O1073" t="n">
        <v>0</v>
      </c>
      <c r="P1073" t="n">
        <v>0</v>
      </c>
      <c r="Q1073" t="n">
        <v>0</v>
      </c>
      <c r="R1073" s="2" t="inlineStr"/>
    </row>
    <row r="1074" ht="15" customHeight="1">
      <c r="A1074" t="inlineStr">
        <is>
          <t>A 51017-2023</t>
        </is>
      </c>
      <c r="B1074" s="1" t="n">
        <v>45218.58609953704</v>
      </c>
      <c r="C1074" s="1" t="n">
        <v>46013</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16552-2025</t>
        </is>
      </c>
      <c r="B1075" s="1" t="n">
        <v>45751.69827546296</v>
      </c>
      <c r="C1075" s="1" t="n">
        <v>46013</v>
      </c>
      <c r="D1075" t="inlineStr">
        <is>
          <t>JÄMTLANDS LÄN</t>
        </is>
      </c>
      <c r="E1075" t="inlineStr">
        <is>
          <t>HÄRJEDALEN</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10483-2025</t>
        </is>
      </c>
      <c r="B1076" s="1" t="n">
        <v>45721.33868055556</v>
      </c>
      <c r="C1076" s="1" t="n">
        <v>46013</v>
      </c>
      <c r="D1076" t="inlineStr">
        <is>
          <t>JÄMTLANDS LÄN</t>
        </is>
      </c>
      <c r="E1076" t="inlineStr">
        <is>
          <t>HÄRJEDALEN</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27512-2024</t>
        </is>
      </c>
      <c r="B1077" s="1" t="n">
        <v>45474.54432870371</v>
      </c>
      <c r="C1077" s="1" t="n">
        <v>46013</v>
      </c>
      <c r="D1077" t="inlineStr">
        <is>
          <t>JÄMTLANDS LÄN</t>
        </is>
      </c>
      <c r="E1077" t="inlineStr">
        <is>
          <t>HÄRJEDALEN</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24426-2022</t>
        </is>
      </c>
      <c r="B1078" s="1" t="n">
        <v>44726</v>
      </c>
      <c r="C1078" s="1" t="n">
        <v>46013</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16014-2022</t>
        </is>
      </c>
      <c r="B1079" s="1" t="n">
        <v>44665</v>
      </c>
      <c r="C1079" s="1" t="n">
        <v>46013</v>
      </c>
      <c r="D1079" t="inlineStr">
        <is>
          <t>JÄMTLANDS LÄN</t>
        </is>
      </c>
      <c r="E1079" t="inlineStr">
        <is>
          <t>HÄRJEDALEN</t>
        </is>
      </c>
      <c r="G1079" t="n">
        <v>38.7</v>
      </c>
      <c r="H1079" t="n">
        <v>0</v>
      </c>
      <c r="I1079" t="n">
        <v>0</v>
      </c>
      <c r="J1079" t="n">
        <v>0</v>
      </c>
      <c r="K1079" t="n">
        <v>0</v>
      </c>
      <c r="L1079" t="n">
        <v>0</v>
      </c>
      <c r="M1079" t="n">
        <v>0</v>
      </c>
      <c r="N1079" t="n">
        <v>0</v>
      </c>
      <c r="O1079" t="n">
        <v>0</v>
      </c>
      <c r="P1079" t="n">
        <v>0</v>
      </c>
      <c r="Q1079" t="n">
        <v>0</v>
      </c>
      <c r="R1079" s="2" t="inlineStr"/>
    </row>
    <row r="1080" ht="15" customHeight="1">
      <c r="A1080" t="inlineStr">
        <is>
          <t>A 41094-2023</t>
        </is>
      </c>
      <c r="B1080" s="1" t="n">
        <v>45173</v>
      </c>
      <c r="C1080" s="1" t="n">
        <v>46013</v>
      </c>
      <c r="D1080" t="inlineStr">
        <is>
          <t>JÄMTLANDS LÄN</t>
        </is>
      </c>
      <c r="E1080" t="inlineStr">
        <is>
          <t>HÄRJEDALEN</t>
        </is>
      </c>
      <c r="F1080" t="inlineStr">
        <is>
          <t>Sveaskog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11096-2025</t>
        </is>
      </c>
      <c r="B1081" s="1" t="n">
        <v>45723.58140046296</v>
      </c>
      <c r="C1081" s="1" t="n">
        <v>46013</v>
      </c>
      <c r="D1081" t="inlineStr">
        <is>
          <t>JÄMTLANDS LÄN</t>
        </is>
      </c>
      <c r="E1081" t="inlineStr">
        <is>
          <t>HÄRJEDALEN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57202-2023</t>
        </is>
      </c>
      <c r="B1082" s="1" t="n">
        <v>45245</v>
      </c>
      <c r="C1082" s="1" t="n">
        <v>46013</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5273-2021</t>
        </is>
      </c>
      <c r="B1083" s="1" t="n">
        <v>44229</v>
      </c>
      <c r="C1083" s="1" t="n">
        <v>46013</v>
      </c>
      <c r="D1083" t="inlineStr">
        <is>
          <t>JÄMTLANDS LÄN</t>
        </is>
      </c>
      <c r="E1083" t="inlineStr">
        <is>
          <t>HÄRJEDALEN</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5283-2021</t>
        </is>
      </c>
      <c r="B1084" s="1" t="n">
        <v>44225</v>
      </c>
      <c r="C1084" s="1" t="n">
        <v>46013</v>
      </c>
      <c r="D1084" t="inlineStr">
        <is>
          <t>JÄMTLANDS LÄN</t>
        </is>
      </c>
      <c r="E1084" t="inlineStr">
        <is>
          <t>HÄRJEDALEN</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14752-2024</t>
        </is>
      </c>
      <c r="B1085" s="1" t="n">
        <v>45397.64855324074</v>
      </c>
      <c r="C1085" s="1" t="n">
        <v>46013</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39625-2022</t>
        </is>
      </c>
      <c r="B1086" s="1" t="n">
        <v>44818</v>
      </c>
      <c r="C1086" s="1" t="n">
        <v>46013</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57637-2024</t>
        </is>
      </c>
      <c r="B1087" s="1" t="n">
        <v>45630.5731712963</v>
      </c>
      <c r="C1087" s="1" t="n">
        <v>46013</v>
      </c>
      <c r="D1087" t="inlineStr">
        <is>
          <t>JÄMTLANDS LÄN</t>
        </is>
      </c>
      <c r="E1087" t="inlineStr">
        <is>
          <t>HÄRJEDALEN</t>
        </is>
      </c>
      <c r="F1087" t="inlineStr">
        <is>
          <t>Bergvik skog väst AB</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31778-2023</t>
        </is>
      </c>
      <c r="B1088" s="1" t="n">
        <v>45118.3959375</v>
      </c>
      <c r="C1088" s="1" t="n">
        <v>46013</v>
      </c>
      <c r="D1088" t="inlineStr">
        <is>
          <t>JÄMTLANDS LÄN</t>
        </is>
      </c>
      <c r="E1088" t="inlineStr">
        <is>
          <t>HÄRJEDALEN</t>
        </is>
      </c>
      <c r="F1088" t="inlineStr">
        <is>
          <t>Bergvik skog väst AB</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12781-2025</t>
        </is>
      </c>
      <c r="B1089" s="1" t="n">
        <v>45733.59667824074</v>
      </c>
      <c r="C1089" s="1" t="n">
        <v>46013</v>
      </c>
      <c r="D1089" t="inlineStr">
        <is>
          <t>JÄMTLANDS LÄN</t>
        </is>
      </c>
      <c r="E1089" t="inlineStr">
        <is>
          <t>HÄRJEDALEN</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27812-2023</t>
        </is>
      </c>
      <c r="B1090" s="1" t="n">
        <v>45098.48666666666</v>
      </c>
      <c r="C1090" s="1" t="n">
        <v>46013</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62639-2022</t>
        </is>
      </c>
      <c r="B1091" s="1" t="n">
        <v>44925</v>
      </c>
      <c r="C1091" s="1" t="n">
        <v>46013</v>
      </c>
      <c r="D1091" t="inlineStr">
        <is>
          <t>JÄMTLANDS LÄN</t>
        </is>
      </c>
      <c r="E1091" t="inlineStr">
        <is>
          <t>HÄRJEDALEN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30744-2024</t>
        </is>
      </c>
      <c r="B1092" s="1" t="n">
        <v>45496.67342592592</v>
      </c>
      <c r="C1092" s="1" t="n">
        <v>46013</v>
      </c>
      <c r="D1092" t="inlineStr">
        <is>
          <t>JÄMTLANDS LÄN</t>
        </is>
      </c>
      <c r="E1092" t="inlineStr">
        <is>
          <t>HÄRJEDALEN</t>
        </is>
      </c>
      <c r="F1092" t="inlineStr">
        <is>
          <t>Bergvik skog väst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31747-2024</t>
        </is>
      </c>
      <c r="B1093" s="1" t="n">
        <v>45509</v>
      </c>
      <c r="C1093" s="1" t="n">
        <v>46013</v>
      </c>
      <c r="D1093" t="inlineStr">
        <is>
          <t>JÄMTLANDS LÄN</t>
        </is>
      </c>
      <c r="E1093" t="inlineStr">
        <is>
          <t>HÄRJEDALEN</t>
        </is>
      </c>
      <c r="F1093" t="inlineStr">
        <is>
          <t>Övriga statliga verk och myndigheter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5013-2023</t>
        </is>
      </c>
      <c r="B1094" s="1" t="n">
        <v>44958</v>
      </c>
      <c r="C1094" s="1" t="n">
        <v>46013</v>
      </c>
      <c r="D1094" t="inlineStr">
        <is>
          <t>JÄMTLANDS LÄN</t>
        </is>
      </c>
      <c r="E1094" t="inlineStr">
        <is>
          <t>HÄRJEDALEN</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14837-2025</t>
        </is>
      </c>
      <c r="B1095" s="1" t="n">
        <v>45743.38449074074</v>
      </c>
      <c r="C1095" s="1" t="n">
        <v>46013</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4898-2025</t>
        </is>
      </c>
      <c r="B1096" s="1" t="n">
        <v>45688.67932870371</v>
      </c>
      <c r="C1096" s="1" t="n">
        <v>46013</v>
      </c>
      <c r="D1096" t="inlineStr">
        <is>
          <t>JÄMTLANDS LÄN</t>
        </is>
      </c>
      <c r="E1096" t="inlineStr">
        <is>
          <t>HÄRJEDALEN</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20341-2025</t>
        </is>
      </c>
      <c r="B1097" s="1" t="n">
        <v>45775.36587962963</v>
      </c>
      <c r="C1097" s="1" t="n">
        <v>46013</v>
      </c>
      <c r="D1097" t="inlineStr">
        <is>
          <t>JÄMTLANDS LÄN</t>
        </is>
      </c>
      <c r="E1097" t="inlineStr">
        <is>
          <t>HÄRJEDALEN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20342-2025</t>
        </is>
      </c>
      <c r="B1098" s="1" t="n">
        <v>45775.36589120371</v>
      </c>
      <c r="C1098" s="1" t="n">
        <v>46013</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57373-2021</t>
        </is>
      </c>
      <c r="B1099" s="1" t="n">
        <v>44483</v>
      </c>
      <c r="C1099" s="1" t="n">
        <v>46013</v>
      </c>
      <c r="D1099" t="inlineStr">
        <is>
          <t>JÄMTLANDS LÄN</t>
        </is>
      </c>
      <c r="E1099" t="inlineStr">
        <is>
          <t>HÄRJEDALEN</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576-2025</t>
        </is>
      </c>
      <c r="B1100" s="1" t="n">
        <v>45664.56502314815</v>
      </c>
      <c r="C1100" s="1" t="n">
        <v>46013</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29536-2024</t>
        </is>
      </c>
      <c r="B1101" s="1" t="n">
        <v>45484.48854166667</v>
      </c>
      <c r="C1101" s="1" t="n">
        <v>46013</v>
      </c>
      <c r="D1101" t="inlineStr">
        <is>
          <t>JÄMTLANDS LÄN</t>
        </is>
      </c>
      <c r="E1101" t="inlineStr">
        <is>
          <t>HÄRJEDALEN</t>
        </is>
      </c>
      <c r="F1101" t="inlineStr">
        <is>
          <t>Holmen skog AB</t>
        </is>
      </c>
      <c r="G1101" t="n">
        <v>25.2</v>
      </c>
      <c r="H1101" t="n">
        <v>0</v>
      </c>
      <c r="I1101" t="n">
        <v>0</v>
      </c>
      <c r="J1101" t="n">
        <v>0</v>
      </c>
      <c r="K1101" t="n">
        <v>0</v>
      </c>
      <c r="L1101" t="n">
        <v>0</v>
      </c>
      <c r="M1101" t="n">
        <v>0</v>
      </c>
      <c r="N1101" t="n">
        <v>0</v>
      </c>
      <c r="O1101" t="n">
        <v>0</v>
      </c>
      <c r="P1101" t="n">
        <v>0</v>
      </c>
      <c r="Q1101" t="n">
        <v>0</v>
      </c>
      <c r="R1101" s="2" t="inlineStr"/>
    </row>
    <row r="1102" ht="15" customHeight="1">
      <c r="A1102" t="inlineStr">
        <is>
          <t>A 29935-2024</t>
        </is>
      </c>
      <c r="B1102" s="1" t="n">
        <v>45488</v>
      </c>
      <c r="C1102" s="1" t="n">
        <v>46013</v>
      </c>
      <c r="D1102" t="inlineStr">
        <is>
          <t>JÄMTLANDS LÄN</t>
        </is>
      </c>
      <c r="E1102" t="inlineStr">
        <is>
          <t>HÄRJEDALEN</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48438-2022</t>
        </is>
      </c>
      <c r="B1103" s="1" t="n">
        <v>44858</v>
      </c>
      <c r="C1103" s="1" t="n">
        <v>46013</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65150-2023</t>
        </is>
      </c>
      <c r="B1104" s="1" t="n">
        <v>45288.58685185185</v>
      </c>
      <c r="C1104" s="1" t="n">
        <v>46013</v>
      </c>
      <c r="D1104" t="inlineStr">
        <is>
          <t>JÄMTLANDS LÄN</t>
        </is>
      </c>
      <c r="E1104" t="inlineStr">
        <is>
          <t>HÄRJEDALEN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38840-2024</t>
        </is>
      </c>
      <c r="B1105" s="1" t="n">
        <v>45547.59543981482</v>
      </c>
      <c r="C1105" s="1" t="n">
        <v>46013</v>
      </c>
      <c r="D1105" t="inlineStr">
        <is>
          <t>JÄMTLANDS LÄN</t>
        </is>
      </c>
      <c r="E1105" t="inlineStr">
        <is>
          <t>HÄRJEDALEN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31816-2024</t>
        </is>
      </c>
      <c r="B1106" s="1" t="n">
        <v>45509.5980787037</v>
      </c>
      <c r="C1106" s="1" t="n">
        <v>46013</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34453-2021</t>
        </is>
      </c>
      <c r="B1107" s="1" t="n">
        <v>44381</v>
      </c>
      <c r="C1107" s="1" t="n">
        <v>46013</v>
      </c>
      <c r="D1107" t="inlineStr">
        <is>
          <t>JÄMTLANDS LÄN</t>
        </is>
      </c>
      <c r="E1107" t="inlineStr">
        <is>
          <t>HÄRJEDALEN</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19105-2025</t>
        </is>
      </c>
      <c r="B1108" s="1" t="n">
        <v>45768.30814814815</v>
      </c>
      <c r="C1108" s="1" t="n">
        <v>46013</v>
      </c>
      <c r="D1108" t="inlineStr">
        <is>
          <t>JÄMTLANDS LÄN</t>
        </is>
      </c>
      <c r="E1108" t="inlineStr">
        <is>
          <t>HÄRJEDALEN</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62104-2024</t>
        </is>
      </c>
      <c r="B1109" s="1" t="n">
        <v>45656.51157407407</v>
      </c>
      <c r="C1109" s="1" t="n">
        <v>46013</v>
      </c>
      <c r="D1109" t="inlineStr">
        <is>
          <t>JÄMTLANDS LÄN</t>
        </is>
      </c>
      <c r="E1109" t="inlineStr">
        <is>
          <t>HÄRJEDALEN</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6001-2023</t>
        </is>
      </c>
      <c r="B1110" s="1" t="n">
        <v>44964</v>
      </c>
      <c r="C1110" s="1" t="n">
        <v>46013</v>
      </c>
      <c r="D1110" t="inlineStr">
        <is>
          <t>JÄMTLANDS LÄN</t>
        </is>
      </c>
      <c r="E1110" t="inlineStr">
        <is>
          <t>HÄRJEDALEN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62699-2022</t>
        </is>
      </c>
      <c r="B1111" s="1" t="n">
        <v>44925.59333333333</v>
      </c>
      <c r="C1111" s="1" t="n">
        <v>46013</v>
      </c>
      <c r="D1111" t="inlineStr">
        <is>
          <t>JÄMTLANDS LÄN</t>
        </is>
      </c>
      <c r="E1111" t="inlineStr">
        <is>
          <t>HÄRJEDALEN</t>
        </is>
      </c>
      <c r="F1111" t="inlineStr">
        <is>
          <t>Holmen skog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12929-2024</t>
        </is>
      </c>
      <c r="B1112" s="1" t="n">
        <v>45385</v>
      </c>
      <c r="C1112" s="1" t="n">
        <v>46013</v>
      </c>
      <c r="D1112" t="inlineStr">
        <is>
          <t>JÄMTLANDS LÄN</t>
        </is>
      </c>
      <c r="E1112" t="inlineStr">
        <is>
          <t>HÄRJEDALEN</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2862-2021</t>
        </is>
      </c>
      <c r="B1113" s="1" t="n">
        <v>44216</v>
      </c>
      <c r="C1113" s="1" t="n">
        <v>46013</v>
      </c>
      <c r="D1113" t="inlineStr">
        <is>
          <t>JÄMTLANDS LÄN</t>
        </is>
      </c>
      <c r="E1113" t="inlineStr">
        <is>
          <t>HÄRJEDALEN</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10014-2023</t>
        </is>
      </c>
      <c r="B1114" s="1" t="n">
        <v>44985.61403935185</v>
      </c>
      <c r="C1114" s="1" t="n">
        <v>46013</v>
      </c>
      <c r="D1114" t="inlineStr">
        <is>
          <t>JÄMTLANDS LÄN</t>
        </is>
      </c>
      <c r="E1114" t="inlineStr">
        <is>
          <t>HÄRJEDALEN</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19863-2024</t>
        </is>
      </c>
      <c r="B1115" s="1" t="n">
        <v>45433</v>
      </c>
      <c r="C1115" s="1" t="n">
        <v>46013</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45166.34795138889</v>
      </c>
      <c r="C1116" s="1" t="n">
        <v>46013</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78-2023</t>
        </is>
      </c>
      <c r="B1117" s="1" t="n">
        <v>44928</v>
      </c>
      <c r="C1117" s="1" t="n">
        <v>46013</v>
      </c>
      <c r="D1117" t="inlineStr">
        <is>
          <t>JÄMTLANDS LÄN</t>
        </is>
      </c>
      <c r="E1117" t="inlineStr">
        <is>
          <t>HÄRJEDALEN</t>
        </is>
      </c>
      <c r="F1117" t="inlineStr">
        <is>
          <t>Holmen skog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10348-2023</t>
        </is>
      </c>
      <c r="B1118" s="1" t="n">
        <v>44987.35637731481</v>
      </c>
      <c r="C1118" s="1" t="n">
        <v>46013</v>
      </c>
      <c r="D1118" t="inlineStr">
        <is>
          <t>JÄMTLANDS LÄN</t>
        </is>
      </c>
      <c r="E1118" t="inlineStr">
        <is>
          <t>HÄRJEDALEN</t>
        </is>
      </c>
      <c r="F1118" t="inlineStr">
        <is>
          <t>Holmen skog AB</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10353-2023</t>
        </is>
      </c>
      <c r="B1119" s="1" t="n">
        <v>44987</v>
      </c>
      <c r="C1119" s="1" t="n">
        <v>46013</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1515-2025</t>
        </is>
      </c>
      <c r="B1120" s="1" t="n">
        <v>45670.4570949074</v>
      </c>
      <c r="C1120" s="1" t="n">
        <v>46013</v>
      </c>
      <c r="D1120" t="inlineStr">
        <is>
          <t>JÄMTLANDS LÄN</t>
        </is>
      </c>
      <c r="E1120" t="inlineStr">
        <is>
          <t>HÄRJEDALEN</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28408-2024</t>
        </is>
      </c>
      <c r="B1121" s="1" t="n">
        <v>45477.62255787037</v>
      </c>
      <c r="C1121" s="1" t="n">
        <v>46013</v>
      </c>
      <c r="D1121" t="inlineStr">
        <is>
          <t>JÄMTLANDS LÄN</t>
        </is>
      </c>
      <c r="E1121" t="inlineStr">
        <is>
          <t>HÄRJEDALEN</t>
        </is>
      </c>
      <c r="F1121" t="inlineStr">
        <is>
          <t>Holmen skog AB</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56251-2024</t>
        </is>
      </c>
      <c r="B1122" s="1" t="n">
        <v>45624.63614583333</v>
      </c>
      <c r="C1122" s="1" t="n">
        <v>46013</v>
      </c>
      <c r="D1122" t="inlineStr">
        <is>
          <t>JÄMTLANDS LÄN</t>
        </is>
      </c>
      <c r="E1122" t="inlineStr">
        <is>
          <t>HÄRJEDALEN</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18646-2023</t>
        </is>
      </c>
      <c r="B1123" s="1" t="n">
        <v>45041</v>
      </c>
      <c r="C1123" s="1" t="n">
        <v>46013</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18659-2023</t>
        </is>
      </c>
      <c r="B1124" s="1" t="n">
        <v>45041</v>
      </c>
      <c r="C1124" s="1" t="n">
        <v>46013</v>
      </c>
      <c r="D1124" t="inlineStr">
        <is>
          <t>JÄMTLANDS LÄN</t>
        </is>
      </c>
      <c r="E1124" t="inlineStr">
        <is>
          <t>HÄRJEDALEN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73051-2021</t>
        </is>
      </c>
      <c r="B1125" s="1" t="n">
        <v>44550.39550925926</v>
      </c>
      <c r="C1125" s="1" t="n">
        <v>46013</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23358-2025</t>
        </is>
      </c>
      <c r="B1126" s="1" t="n">
        <v>45791</v>
      </c>
      <c r="C1126" s="1" t="n">
        <v>46013</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23731-2022</t>
        </is>
      </c>
      <c r="B1127" s="1" t="n">
        <v>44722</v>
      </c>
      <c r="C1127" s="1" t="n">
        <v>46013</v>
      </c>
      <c r="D1127" t="inlineStr">
        <is>
          <t>JÄMTLANDS LÄN</t>
        </is>
      </c>
      <c r="E1127" t="inlineStr">
        <is>
          <t>HÄRJEDALEN</t>
        </is>
      </c>
      <c r="G1127" t="n">
        <v>15.6</v>
      </c>
      <c r="H1127" t="n">
        <v>0</v>
      </c>
      <c r="I1127" t="n">
        <v>0</v>
      </c>
      <c r="J1127" t="n">
        <v>0</v>
      </c>
      <c r="K1127" t="n">
        <v>0</v>
      </c>
      <c r="L1127" t="n">
        <v>0</v>
      </c>
      <c r="M1127" t="n">
        <v>0</v>
      </c>
      <c r="N1127" t="n">
        <v>0</v>
      </c>
      <c r="O1127" t="n">
        <v>0</v>
      </c>
      <c r="P1127" t="n">
        <v>0</v>
      </c>
      <c r="Q1127" t="n">
        <v>0</v>
      </c>
      <c r="R1127" s="2" t="inlineStr"/>
    </row>
    <row r="1128" ht="15" customHeight="1">
      <c r="A1128" t="inlineStr">
        <is>
          <t>A 37054-2023</t>
        </is>
      </c>
      <c r="B1128" s="1" t="n">
        <v>45154</v>
      </c>
      <c r="C1128" s="1" t="n">
        <v>46013</v>
      </c>
      <c r="D1128" t="inlineStr">
        <is>
          <t>JÄMTLANDS LÄN</t>
        </is>
      </c>
      <c r="E1128" t="inlineStr">
        <is>
          <t>HÄRJEDALEN</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30743-2024</t>
        </is>
      </c>
      <c r="B1129" s="1" t="n">
        <v>45496.67178240741</v>
      </c>
      <c r="C1129" s="1" t="n">
        <v>46013</v>
      </c>
      <c r="D1129" t="inlineStr">
        <is>
          <t>JÄMTLANDS LÄN</t>
        </is>
      </c>
      <c r="E1129" t="inlineStr">
        <is>
          <t>HÄRJEDALEN</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64909-2023</t>
        </is>
      </c>
      <c r="B1130" s="1" t="n">
        <v>45282.64012731481</v>
      </c>
      <c r="C1130" s="1" t="n">
        <v>46013</v>
      </c>
      <c r="D1130" t="inlineStr">
        <is>
          <t>JÄMTLANDS LÄN</t>
        </is>
      </c>
      <c r="E1130" t="inlineStr">
        <is>
          <t>HÄRJEDALEN</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2336-2025</t>
        </is>
      </c>
      <c r="B1131" s="1" t="n">
        <v>45673.65925925926</v>
      </c>
      <c r="C1131" s="1" t="n">
        <v>46013</v>
      </c>
      <c r="D1131" t="inlineStr">
        <is>
          <t>JÄMTLANDS LÄN</t>
        </is>
      </c>
      <c r="E1131" t="inlineStr">
        <is>
          <t>HÄRJEDALEN</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18080-2024</t>
        </is>
      </c>
      <c r="B1132" s="1" t="n">
        <v>45420.44414351852</v>
      </c>
      <c r="C1132" s="1" t="n">
        <v>46013</v>
      </c>
      <c r="D1132" t="inlineStr">
        <is>
          <t>JÄMTLANDS LÄN</t>
        </is>
      </c>
      <c r="E1132" t="inlineStr">
        <is>
          <t>HÄRJEDALEN</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2718-2025</t>
        </is>
      </c>
      <c r="B1133" s="1" t="n">
        <v>45677.43028935185</v>
      </c>
      <c r="C1133" s="1" t="n">
        <v>46013</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50775-2021</t>
        </is>
      </c>
      <c r="B1134" s="1" t="n">
        <v>44460.44315972222</v>
      </c>
      <c r="C1134" s="1" t="n">
        <v>46013</v>
      </c>
      <c r="D1134" t="inlineStr">
        <is>
          <t>JÄMTLANDS LÄN</t>
        </is>
      </c>
      <c r="E1134" t="inlineStr">
        <is>
          <t>HÄRJEDALEN</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55736-2023</t>
        </is>
      </c>
      <c r="B1135" s="1" t="n">
        <v>45239.43173611111</v>
      </c>
      <c r="C1135" s="1" t="n">
        <v>46013</v>
      </c>
      <c r="D1135" t="inlineStr">
        <is>
          <t>JÄMTLANDS LÄN</t>
        </is>
      </c>
      <c r="E1135" t="inlineStr">
        <is>
          <t>HÄRJEDALEN</t>
        </is>
      </c>
      <c r="F1135" t="inlineStr">
        <is>
          <t>Holmen skog AB</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56054-2024</t>
        </is>
      </c>
      <c r="B1136" s="1" t="n">
        <v>45624.36090277778</v>
      </c>
      <c r="C1136" s="1" t="n">
        <v>46013</v>
      </c>
      <c r="D1136" t="inlineStr">
        <is>
          <t>JÄMTLANDS LÄN</t>
        </is>
      </c>
      <c r="E1136" t="inlineStr">
        <is>
          <t>HÄRJEDALEN</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15747-2023</t>
        </is>
      </c>
      <c r="B1137" s="1" t="n">
        <v>45020</v>
      </c>
      <c r="C1137" s="1" t="n">
        <v>46013</v>
      </c>
      <c r="D1137" t="inlineStr">
        <is>
          <t>JÄMTLANDS LÄN</t>
        </is>
      </c>
      <c r="E1137" t="inlineStr">
        <is>
          <t>HÄRJEDALEN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52867-2022</t>
        </is>
      </c>
      <c r="B1138" s="1" t="n">
        <v>44872</v>
      </c>
      <c r="C1138" s="1" t="n">
        <v>46013</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23186-2023</t>
        </is>
      </c>
      <c r="B1139" s="1" t="n">
        <v>45075.59358796296</v>
      </c>
      <c r="C1139" s="1" t="n">
        <v>46013</v>
      </c>
      <c r="D1139" t="inlineStr">
        <is>
          <t>JÄMTLANDS LÄN</t>
        </is>
      </c>
      <c r="E1139" t="inlineStr">
        <is>
          <t>HÄRJEDALEN</t>
        </is>
      </c>
      <c r="F1139" t="inlineStr">
        <is>
          <t>Bergvik skog väst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4221-2025</t>
        </is>
      </c>
      <c r="B1140" s="1" t="n">
        <v>45685.52405092592</v>
      </c>
      <c r="C1140" s="1" t="n">
        <v>46013</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4225-2025</t>
        </is>
      </c>
      <c r="B1141" s="1" t="n">
        <v>45685.5349074074</v>
      </c>
      <c r="C1141" s="1" t="n">
        <v>46013</v>
      </c>
      <c r="D1141" t="inlineStr">
        <is>
          <t>JÄMTLANDS LÄN</t>
        </is>
      </c>
      <c r="E1141" t="inlineStr">
        <is>
          <t>HÄRJEDALEN</t>
        </is>
      </c>
      <c r="F1141" t="inlineStr">
        <is>
          <t>Bergvik skog väst AB</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2106-2025</t>
        </is>
      </c>
      <c r="B1142" s="1" t="n">
        <v>45672.61748842592</v>
      </c>
      <c r="C1142" s="1" t="n">
        <v>46013</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13723-2024</t>
        </is>
      </c>
      <c r="B1143" s="1" t="n">
        <v>45390</v>
      </c>
      <c r="C1143" s="1" t="n">
        <v>46013</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13328-2025</t>
        </is>
      </c>
      <c r="B1144" s="1" t="n">
        <v>45735.60342592592</v>
      </c>
      <c r="C1144" s="1" t="n">
        <v>46013</v>
      </c>
      <c r="D1144" t="inlineStr">
        <is>
          <t>JÄMTLANDS LÄN</t>
        </is>
      </c>
      <c r="E1144" t="inlineStr">
        <is>
          <t>HÄRJEDALEN</t>
        </is>
      </c>
      <c r="G1144" t="n">
        <v>30.8</v>
      </c>
      <c r="H1144" t="n">
        <v>0</v>
      </c>
      <c r="I1144" t="n">
        <v>0</v>
      </c>
      <c r="J1144" t="n">
        <v>0</v>
      </c>
      <c r="K1144" t="n">
        <v>0</v>
      </c>
      <c r="L1144" t="n">
        <v>0</v>
      </c>
      <c r="M1144" t="n">
        <v>0</v>
      </c>
      <c r="N1144" t="n">
        <v>0</v>
      </c>
      <c r="O1144" t="n">
        <v>0</v>
      </c>
      <c r="P1144" t="n">
        <v>0</v>
      </c>
      <c r="Q1144" t="n">
        <v>0</v>
      </c>
      <c r="R1144" s="2" t="inlineStr"/>
    </row>
    <row r="1145" ht="15" customHeight="1">
      <c r="A1145" t="inlineStr">
        <is>
          <t>A 10004-2025</t>
        </is>
      </c>
      <c r="B1145" s="1" t="n">
        <v>45719.45277777778</v>
      </c>
      <c r="C1145" s="1" t="n">
        <v>46013</v>
      </c>
      <c r="D1145" t="inlineStr">
        <is>
          <t>JÄMTLANDS LÄN</t>
        </is>
      </c>
      <c r="E1145" t="inlineStr">
        <is>
          <t>HÄRJEDALEN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18542-2025</t>
        </is>
      </c>
      <c r="B1146" s="1" t="n">
        <v>45763.4178587963</v>
      </c>
      <c r="C1146" s="1" t="n">
        <v>46013</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8136-2024</t>
        </is>
      </c>
      <c r="B1147" s="1" t="n">
        <v>45351</v>
      </c>
      <c r="C1147" s="1" t="n">
        <v>46013</v>
      </c>
      <c r="D1147" t="inlineStr">
        <is>
          <t>JÄMTLANDS LÄN</t>
        </is>
      </c>
      <c r="E1147" t="inlineStr">
        <is>
          <t>HÄRJEDALEN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44967-2024</t>
        </is>
      </c>
      <c r="B1148" s="1" t="n">
        <v>45575</v>
      </c>
      <c r="C1148" s="1" t="n">
        <v>46013</v>
      </c>
      <c r="D1148" t="inlineStr">
        <is>
          <t>JÄMTLANDS LÄN</t>
        </is>
      </c>
      <c r="E1148" t="inlineStr">
        <is>
          <t>HÄRJEDALEN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54079-2024</t>
        </is>
      </c>
      <c r="B1149" s="1" t="n">
        <v>45616.49530092593</v>
      </c>
      <c r="C1149" s="1" t="n">
        <v>46013</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36926-2023</t>
        </is>
      </c>
      <c r="B1150" s="1" t="n">
        <v>45154</v>
      </c>
      <c r="C1150" s="1" t="n">
        <v>46013</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4752-2025</t>
        </is>
      </c>
      <c r="B1151" s="1" t="n">
        <v>45688.46570601852</v>
      </c>
      <c r="C1151" s="1" t="n">
        <v>46013</v>
      </c>
      <c r="D1151" t="inlineStr">
        <is>
          <t>JÄMTLANDS LÄN</t>
        </is>
      </c>
      <c r="E1151" t="inlineStr">
        <is>
          <t>HÄRJEDALEN</t>
        </is>
      </c>
      <c r="F1151" t="inlineStr">
        <is>
          <t>Bergvik skog väst AB</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60050-2024</t>
        </is>
      </c>
      <c r="B1152" s="1" t="n">
        <v>45642</v>
      </c>
      <c r="C1152" s="1" t="n">
        <v>46013</v>
      </c>
      <c r="D1152" t="inlineStr">
        <is>
          <t>JÄMTLANDS LÄN</t>
        </is>
      </c>
      <c r="E1152" t="inlineStr">
        <is>
          <t>HÄRJEDALEN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29594-2024</t>
        </is>
      </c>
      <c r="B1153" s="1" t="n">
        <v>45484.58422453704</v>
      </c>
      <c r="C1153" s="1" t="n">
        <v>46013</v>
      </c>
      <c r="D1153" t="inlineStr">
        <is>
          <t>JÄMTLANDS LÄN</t>
        </is>
      </c>
      <c r="E1153" t="inlineStr">
        <is>
          <t>HÄRJEDALEN</t>
        </is>
      </c>
      <c r="F1153" t="inlineStr">
        <is>
          <t>Holmen skog AB</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11255-2024</t>
        </is>
      </c>
      <c r="B1154" s="1" t="n">
        <v>45371.66217592593</v>
      </c>
      <c r="C1154" s="1" t="n">
        <v>46013</v>
      </c>
      <c r="D1154" t="inlineStr">
        <is>
          <t>JÄMTLANDS LÄN</t>
        </is>
      </c>
      <c r="E1154" t="inlineStr">
        <is>
          <t>HÄRJEDALEN</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55931-2022</t>
        </is>
      </c>
      <c r="B1155" s="1" t="n">
        <v>44886</v>
      </c>
      <c r="C1155" s="1" t="n">
        <v>46013</v>
      </c>
      <c r="D1155" t="inlineStr">
        <is>
          <t>JÄMTLANDS LÄN</t>
        </is>
      </c>
      <c r="E1155" t="inlineStr">
        <is>
          <t>HÄRJEDALEN</t>
        </is>
      </c>
      <c r="F1155" t="inlineStr">
        <is>
          <t>Övriga statliga verk och myndigheter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1361-2024</t>
        </is>
      </c>
      <c r="B1156" s="1" t="n">
        <v>45303.5047337963</v>
      </c>
      <c r="C1156" s="1" t="n">
        <v>46013</v>
      </c>
      <c r="D1156" t="inlineStr">
        <is>
          <t>JÄMTLANDS LÄN</t>
        </is>
      </c>
      <c r="E1156" t="inlineStr">
        <is>
          <t>HÄRJEDALEN</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13297-2025</t>
        </is>
      </c>
      <c r="B1157" s="1" t="n">
        <v>45735.57390046296</v>
      </c>
      <c r="C1157" s="1" t="n">
        <v>46013</v>
      </c>
      <c r="D1157" t="inlineStr">
        <is>
          <t>JÄMTLANDS LÄN</t>
        </is>
      </c>
      <c r="E1157" t="inlineStr">
        <is>
          <t>HÄRJEDALEN</t>
        </is>
      </c>
      <c r="G1157" t="n">
        <v>24.7</v>
      </c>
      <c r="H1157" t="n">
        <v>0</v>
      </c>
      <c r="I1157" t="n">
        <v>0</v>
      </c>
      <c r="J1157" t="n">
        <v>0</v>
      </c>
      <c r="K1157" t="n">
        <v>0</v>
      </c>
      <c r="L1157" t="n">
        <v>0</v>
      </c>
      <c r="M1157" t="n">
        <v>0</v>
      </c>
      <c r="N1157" t="n">
        <v>0</v>
      </c>
      <c r="O1157" t="n">
        <v>0</v>
      </c>
      <c r="P1157" t="n">
        <v>0</v>
      </c>
      <c r="Q1157" t="n">
        <v>0</v>
      </c>
      <c r="R1157" s="2" t="inlineStr"/>
    </row>
    <row r="1158" ht="15" customHeight="1">
      <c r="A1158" t="inlineStr">
        <is>
          <t>A 31956-2023</t>
        </is>
      </c>
      <c r="B1158" s="1" t="n">
        <v>45119.38151620371</v>
      </c>
      <c r="C1158" s="1" t="n">
        <v>46013</v>
      </c>
      <c r="D1158" t="inlineStr">
        <is>
          <t>JÄMTLANDS LÄN</t>
        </is>
      </c>
      <c r="E1158" t="inlineStr">
        <is>
          <t>HÄRJEDALEN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848-2025</t>
        </is>
      </c>
      <c r="B1159" s="1" t="n">
        <v>45665.59925925926</v>
      </c>
      <c r="C1159" s="1" t="n">
        <v>46013</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48822-2024</t>
        </is>
      </c>
      <c r="B1160" s="1" t="n">
        <v>45593.6821412037</v>
      </c>
      <c r="C1160" s="1" t="n">
        <v>46013</v>
      </c>
      <c r="D1160" t="inlineStr">
        <is>
          <t>JÄMTLANDS LÄN</t>
        </is>
      </c>
      <c r="E1160" t="inlineStr">
        <is>
          <t>HÄRJEDALEN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48823-2024</t>
        </is>
      </c>
      <c r="B1161" s="1" t="n">
        <v>45593.68434027778</v>
      </c>
      <c r="C1161" s="1" t="n">
        <v>46013</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56547-2024</t>
        </is>
      </c>
      <c r="B1162" s="1" t="n">
        <v>45625.56934027778</v>
      </c>
      <c r="C1162" s="1" t="n">
        <v>46013</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63323-2023</t>
        </is>
      </c>
      <c r="B1163" s="1" t="n">
        <v>45274</v>
      </c>
      <c r="C1163" s="1" t="n">
        <v>46013</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16801-2024</t>
        </is>
      </c>
      <c r="B1164" s="1" t="n">
        <v>45411.44549768518</v>
      </c>
      <c r="C1164" s="1" t="n">
        <v>46013</v>
      </c>
      <c r="D1164" t="inlineStr">
        <is>
          <t>JÄMTLANDS LÄN</t>
        </is>
      </c>
      <c r="E1164" t="inlineStr">
        <is>
          <t>HÄRJEDALEN</t>
        </is>
      </c>
      <c r="F1164" t="inlineStr">
        <is>
          <t>Bergvik skog väst AB</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1364-2024</t>
        </is>
      </c>
      <c r="B1165" s="1" t="n">
        <v>45303.5187037037</v>
      </c>
      <c r="C1165" s="1" t="n">
        <v>46013</v>
      </c>
      <c r="D1165" t="inlineStr">
        <is>
          <t>JÄMTLANDS LÄN</t>
        </is>
      </c>
      <c r="E1165" t="inlineStr">
        <is>
          <t>HÄRJEDALEN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58507-2024</t>
        </is>
      </c>
      <c r="B1166" s="1" t="n">
        <v>45635.42027777778</v>
      </c>
      <c r="C1166" s="1" t="n">
        <v>46013</v>
      </c>
      <c r="D1166" t="inlineStr">
        <is>
          <t>JÄMTLANDS LÄN</t>
        </is>
      </c>
      <c r="E1166" t="inlineStr">
        <is>
          <t>HÄRJEDALEN</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11997-2025</t>
        </is>
      </c>
      <c r="B1167" s="1" t="n">
        <v>45728.61006944445</v>
      </c>
      <c r="C1167" s="1" t="n">
        <v>46013</v>
      </c>
      <c r="D1167" t="inlineStr">
        <is>
          <t>JÄMTLANDS LÄN</t>
        </is>
      </c>
      <c r="E1167" t="inlineStr">
        <is>
          <t>HÄRJEDALEN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12810-2022</t>
        </is>
      </c>
      <c r="B1168" s="1" t="n">
        <v>44642</v>
      </c>
      <c r="C1168" s="1" t="n">
        <v>46013</v>
      </c>
      <c r="D1168" t="inlineStr">
        <is>
          <t>JÄMTLANDS LÄN</t>
        </is>
      </c>
      <c r="E1168" t="inlineStr">
        <is>
          <t>HÄRJEDALEN</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56906-2023</t>
        </is>
      </c>
      <c r="B1169" s="1" t="n">
        <v>45244</v>
      </c>
      <c r="C1169" s="1" t="n">
        <v>46013</v>
      </c>
      <c r="D1169" t="inlineStr">
        <is>
          <t>JÄMTLANDS LÄN</t>
        </is>
      </c>
      <c r="E1169" t="inlineStr">
        <is>
          <t>HÄRJEDALEN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45252.48409722222</v>
      </c>
      <c r="C1170" s="1" t="n">
        <v>46013</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46013</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1394-2025</t>
        </is>
      </c>
      <c r="B1172" s="1" t="n">
        <v>45667</v>
      </c>
      <c r="C1172" s="1" t="n">
        <v>46013</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31791-2024</t>
        </is>
      </c>
      <c r="B1173" s="1" t="n">
        <v>45509</v>
      </c>
      <c r="C1173" s="1" t="n">
        <v>46013</v>
      </c>
      <c r="D1173" t="inlineStr">
        <is>
          <t>JÄMTLANDS LÄN</t>
        </is>
      </c>
      <c r="E1173" t="inlineStr">
        <is>
          <t>HÄRJEDALEN</t>
        </is>
      </c>
      <c r="F1173" t="inlineStr">
        <is>
          <t>Övriga statliga verk och myndigheter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1366-2024</t>
        </is>
      </c>
      <c r="B1174" s="1" t="n">
        <v>45303.52626157407</v>
      </c>
      <c r="C1174" s="1" t="n">
        <v>46013</v>
      </c>
      <c r="D1174" t="inlineStr">
        <is>
          <t>JÄMTLANDS LÄN</t>
        </is>
      </c>
      <c r="E1174" t="inlineStr">
        <is>
          <t>HÄRJEDALEN</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10024-2025</t>
        </is>
      </c>
      <c r="B1175" s="1" t="n">
        <v>45719.48778935185</v>
      </c>
      <c r="C1175" s="1" t="n">
        <v>46013</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44819-2024</t>
        </is>
      </c>
      <c r="B1176" s="1" t="n">
        <v>45574.66106481481</v>
      </c>
      <c r="C1176" s="1" t="n">
        <v>46013</v>
      </c>
      <c r="D1176" t="inlineStr">
        <is>
          <t>JÄMTLANDS LÄN</t>
        </is>
      </c>
      <c r="E1176" t="inlineStr">
        <is>
          <t>HÄRJEDALEN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61465-2023</t>
        </is>
      </c>
      <c r="B1177" s="1" t="n">
        <v>45264.92637731481</v>
      </c>
      <c r="C1177" s="1" t="n">
        <v>46013</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60749-2023</t>
        </is>
      </c>
      <c r="B1178" s="1" t="n">
        <v>45260.59042824074</v>
      </c>
      <c r="C1178" s="1" t="n">
        <v>46013</v>
      </c>
      <c r="D1178" t="inlineStr">
        <is>
          <t>JÄMTLANDS LÄN</t>
        </is>
      </c>
      <c r="E1178" t="inlineStr">
        <is>
          <t>HÄRJEDALEN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46013</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21666-2023</t>
        </is>
      </c>
      <c r="B1180" s="1" t="n">
        <v>45063.92605324074</v>
      </c>
      <c r="C1180" s="1" t="n">
        <v>46013</v>
      </c>
      <c r="D1180" t="inlineStr">
        <is>
          <t>JÄMTLANDS LÄN</t>
        </is>
      </c>
      <c r="E1180" t="inlineStr">
        <is>
          <t>HÄRJEDALEN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45120-2024</t>
        </is>
      </c>
      <c r="B1181" s="1" t="n">
        <v>45575.60996527778</v>
      </c>
      <c r="C1181" s="1" t="n">
        <v>46013</v>
      </c>
      <c r="D1181" t="inlineStr">
        <is>
          <t>JÄMTLANDS LÄN</t>
        </is>
      </c>
      <c r="E1181" t="inlineStr">
        <is>
          <t>HÄRJEDALEN</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24613-2024</t>
        </is>
      </c>
      <c r="B1182" s="1" t="n">
        <v>45460.48582175926</v>
      </c>
      <c r="C1182" s="1" t="n">
        <v>46013</v>
      </c>
      <c r="D1182" t="inlineStr">
        <is>
          <t>JÄMTLANDS LÄN</t>
        </is>
      </c>
      <c r="E1182" t="inlineStr">
        <is>
          <t>HÄRJEDALEN</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3425-2025</t>
        </is>
      </c>
      <c r="B1183" s="1" t="n">
        <v>45680.42497685185</v>
      </c>
      <c r="C1183" s="1" t="n">
        <v>46013</v>
      </c>
      <c r="D1183" t="inlineStr">
        <is>
          <t>JÄMTLANDS LÄN</t>
        </is>
      </c>
      <c r="E1183" t="inlineStr">
        <is>
          <t>HÄRJEDALEN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36568-2023</t>
        </is>
      </c>
      <c r="B1184" s="1" t="n">
        <v>45153.42725694444</v>
      </c>
      <c r="C1184" s="1" t="n">
        <v>46013</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43297-2024</t>
        </is>
      </c>
      <c r="B1185" s="1" t="n">
        <v>45568</v>
      </c>
      <c r="C1185" s="1" t="n">
        <v>46013</v>
      </c>
      <c r="D1185" t="inlineStr">
        <is>
          <t>JÄMTLANDS LÄN</t>
        </is>
      </c>
      <c r="E1185" t="inlineStr">
        <is>
          <t>HÄRJEDALEN</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4252-2025</t>
        </is>
      </c>
      <c r="B1186" s="1" t="n">
        <v>45685</v>
      </c>
      <c r="C1186" s="1" t="n">
        <v>46013</v>
      </c>
      <c r="D1186" t="inlineStr">
        <is>
          <t>JÄMTLANDS LÄN</t>
        </is>
      </c>
      <c r="E1186" t="inlineStr">
        <is>
          <t>HÄRJEDALEN</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28444-2024</t>
        </is>
      </c>
      <c r="B1187" s="1" t="n">
        <v>45477.66773148148</v>
      </c>
      <c r="C1187" s="1" t="n">
        <v>46013</v>
      </c>
      <c r="D1187" t="inlineStr">
        <is>
          <t>JÄMTLANDS LÄN</t>
        </is>
      </c>
      <c r="E1187" t="inlineStr">
        <is>
          <t>HÄRJEDALEN</t>
        </is>
      </c>
      <c r="F1187" t="inlineStr">
        <is>
          <t>Holmen skog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60062-2023</t>
        </is>
      </c>
      <c r="B1188" s="1" t="n">
        <v>45257</v>
      </c>
      <c r="C1188" s="1" t="n">
        <v>46013</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50544-2024</t>
        </is>
      </c>
      <c r="B1189" s="1" t="n">
        <v>45601.58355324074</v>
      </c>
      <c r="C1189" s="1" t="n">
        <v>46013</v>
      </c>
      <c r="D1189" t="inlineStr">
        <is>
          <t>JÄMTLANDS LÄN</t>
        </is>
      </c>
      <c r="E1189" t="inlineStr">
        <is>
          <t>HÄRJEDALEN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19402-2024</t>
        </is>
      </c>
      <c r="B1190" s="1" t="n">
        <v>45429.39</v>
      </c>
      <c r="C1190" s="1" t="n">
        <v>46013</v>
      </c>
      <c r="D1190" t="inlineStr">
        <is>
          <t>JÄMTLANDS LÄN</t>
        </is>
      </c>
      <c r="E1190" t="inlineStr">
        <is>
          <t>HÄRJEDALEN</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58581-2024</t>
        </is>
      </c>
      <c r="B1191" s="1" t="n">
        <v>45635.4916087963</v>
      </c>
      <c r="C1191" s="1" t="n">
        <v>46013</v>
      </c>
      <c r="D1191" t="inlineStr">
        <is>
          <t>JÄMTLANDS LÄN</t>
        </is>
      </c>
      <c r="E1191" t="inlineStr">
        <is>
          <t>HÄRJEDALEN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14631-2023</t>
        </is>
      </c>
      <c r="B1192" s="1" t="n">
        <v>45012</v>
      </c>
      <c r="C1192" s="1" t="n">
        <v>46013</v>
      </c>
      <c r="D1192" t="inlineStr">
        <is>
          <t>JÄMTLANDS LÄN</t>
        </is>
      </c>
      <c r="E1192" t="inlineStr">
        <is>
          <t>HÄRJEDALEN</t>
        </is>
      </c>
      <c r="F1192" t="inlineStr">
        <is>
          <t>Bergvik skog väst AB</t>
        </is>
      </c>
      <c r="G1192" t="n">
        <v>14.2</v>
      </c>
      <c r="H1192" t="n">
        <v>0</v>
      </c>
      <c r="I1192" t="n">
        <v>0</v>
      </c>
      <c r="J1192" t="n">
        <v>0</v>
      </c>
      <c r="K1192" t="n">
        <v>0</v>
      </c>
      <c r="L1192" t="n">
        <v>0</v>
      </c>
      <c r="M1192" t="n">
        <v>0</v>
      </c>
      <c r="N1192" t="n">
        <v>0</v>
      </c>
      <c r="O1192" t="n">
        <v>0</v>
      </c>
      <c r="P1192" t="n">
        <v>0</v>
      </c>
      <c r="Q1192" t="n">
        <v>0</v>
      </c>
      <c r="R1192" s="2" t="inlineStr"/>
    </row>
    <row r="1193" ht="15" customHeight="1">
      <c r="A1193" t="inlineStr">
        <is>
          <t>A 51994-2024</t>
        </is>
      </c>
      <c r="B1193" s="1" t="n">
        <v>45607</v>
      </c>
      <c r="C1193" s="1" t="n">
        <v>46013</v>
      </c>
      <c r="D1193" t="inlineStr">
        <is>
          <t>JÄMTLANDS LÄN</t>
        </is>
      </c>
      <c r="E1193" t="inlineStr">
        <is>
          <t>HÄRJEDALEN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859-2022</t>
        </is>
      </c>
      <c r="B1194" s="1" t="n">
        <v>44571</v>
      </c>
      <c r="C1194" s="1" t="n">
        <v>46013</v>
      </c>
      <c r="D1194" t="inlineStr">
        <is>
          <t>JÄMTLANDS LÄN</t>
        </is>
      </c>
      <c r="E1194" t="inlineStr">
        <is>
          <t>HÄRJEDALEN</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45731-2024</t>
        </is>
      </c>
      <c r="B1195" s="1" t="n">
        <v>45579.59980324074</v>
      </c>
      <c r="C1195" s="1" t="n">
        <v>46013</v>
      </c>
      <c r="D1195" t="inlineStr">
        <is>
          <t>JÄMTLANDS LÄN</t>
        </is>
      </c>
      <c r="E1195" t="inlineStr">
        <is>
          <t>HÄRJEDALEN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58110-2024</t>
        </is>
      </c>
      <c r="B1196" s="1" t="n">
        <v>45632</v>
      </c>
      <c r="C1196" s="1" t="n">
        <v>46013</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58117-2024</t>
        </is>
      </c>
      <c r="B1197" s="1" t="n">
        <v>45632</v>
      </c>
      <c r="C1197" s="1" t="n">
        <v>46013</v>
      </c>
      <c r="D1197" t="inlineStr">
        <is>
          <t>JÄMTLANDS LÄN</t>
        </is>
      </c>
      <c r="E1197" t="inlineStr">
        <is>
          <t>HÄRJEDALEN</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51315-2024</t>
        </is>
      </c>
      <c r="B1198" s="1" t="n">
        <v>45604.32543981481</v>
      </c>
      <c r="C1198" s="1" t="n">
        <v>46013</v>
      </c>
      <c r="D1198" t="inlineStr">
        <is>
          <t>JÄMTLANDS LÄN</t>
        </is>
      </c>
      <c r="E1198" t="inlineStr">
        <is>
          <t>HÄRJEDALEN</t>
        </is>
      </c>
      <c r="F1198" t="inlineStr">
        <is>
          <t>Holmen skog AB</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51188-2024</t>
        </is>
      </c>
      <c r="B1199" s="1" t="n">
        <v>45603</v>
      </c>
      <c r="C1199" s="1" t="n">
        <v>46013</v>
      </c>
      <c r="D1199" t="inlineStr">
        <is>
          <t>JÄMTLANDS LÄN</t>
        </is>
      </c>
      <c r="E1199" t="inlineStr">
        <is>
          <t>HÄRJEDALEN</t>
        </is>
      </c>
      <c r="F1199" t="inlineStr">
        <is>
          <t>Holmen skog AB</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31764-2024</t>
        </is>
      </c>
      <c r="B1200" s="1" t="n">
        <v>45509</v>
      </c>
      <c r="C1200" s="1" t="n">
        <v>46013</v>
      </c>
      <c r="D1200" t="inlineStr">
        <is>
          <t>JÄMTLANDS LÄN</t>
        </is>
      </c>
      <c r="E1200" t="inlineStr">
        <is>
          <t>HÄRJEDALEN</t>
        </is>
      </c>
      <c r="F1200" t="inlineStr">
        <is>
          <t>Övriga statliga verk och myndigheter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12279-2025</t>
        </is>
      </c>
      <c r="B1201" s="1" t="n">
        <v>45729.65261574074</v>
      </c>
      <c r="C1201" s="1" t="n">
        <v>46013</v>
      </c>
      <c r="D1201" t="inlineStr">
        <is>
          <t>JÄMTLANDS LÄN</t>
        </is>
      </c>
      <c r="E1201" t="inlineStr">
        <is>
          <t>HÄRJEDALEN</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4642-2025</t>
        </is>
      </c>
      <c r="B1202" s="1" t="n">
        <v>45687.65449074074</v>
      </c>
      <c r="C1202" s="1" t="n">
        <v>46013</v>
      </c>
      <c r="D1202" t="inlineStr">
        <is>
          <t>JÄMTLANDS LÄN</t>
        </is>
      </c>
      <c r="E1202" t="inlineStr">
        <is>
          <t>HÄRJEDALEN</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29631-2024</t>
        </is>
      </c>
      <c r="B1203" s="1" t="n">
        <v>45484.66521990741</v>
      </c>
      <c r="C1203" s="1" t="n">
        <v>46013</v>
      </c>
      <c r="D1203" t="inlineStr">
        <is>
          <t>JÄMTLANDS LÄN</t>
        </is>
      </c>
      <c r="E1203" t="inlineStr">
        <is>
          <t>HÄRJEDALEN</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20672-2025</t>
        </is>
      </c>
      <c r="B1204" s="1" t="n">
        <v>45776.43898148148</v>
      </c>
      <c r="C1204" s="1" t="n">
        <v>46013</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21161-2025</t>
        </is>
      </c>
      <c r="B1205" s="1" t="n">
        <v>45779.38211805555</v>
      </c>
      <c r="C1205" s="1" t="n">
        <v>46013</v>
      </c>
      <c r="D1205" t="inlineStr">
        <is>
          <t>JÄMTLANDS LÄN</t>
        </is>
      </c>
      <c r="E1205" t="inlineStr">
        <is>
          <t>HÄRJEDALEN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21221-2025</t>
        </is>
      </c>
      <c r="B1206" s="1" t="n">
        <v>45779.50052083333</v>
      </c>
      <c r="C1206" s="1" t="n">
        <v>46013</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21169-2025</t>
        </is>
      </c>
      <c r="B1207" s="1" t="n">
        <v>45779.41844907407</v>
      </c>
      <c r="C1207" s="1" t="n">
        <v>46013</v>
      </c>
      <c r="D1207" t="inlineStr">
        <is>
          <t>JÄMTLANDS LÄN</t>
        </is>
      </c>
      <c r="E1207" t="inlineStr">
        <is>
          <t>HÄRJEDALEN</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13783-2025</t>
        </is>
      </c>
      <c r="B1208" s="1" t="n">
        <v>45737</v>
      </c>
      <c r="C1208" s="1" t="n">
        <v>46013</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21355-2025</t>
        </is>
      </c>
      <c r="B1209" s="1" t="n">
        <v>45782.41581018519</v>
      </c>
      <c r="C1209" s="1" t="n">
        <v>46013</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21223-2025</t>
        </is>
      </c>
      <c r="B1210" s="1" t="n">
        <v>45779.50886574074</v>
      </c>
      <c r="C1210" s="1" t="n">
        <v>46013</v>
      </c>
      <c r="D1210" t="inlineStr">
        <is>
          <t>JÄMTLANDS LÄN</t>
        </is>
      </c>
      <c r="E1210" t="inlineStr">
        <is>
          <t>HÄRJEDALEN</t>
        </is>
      </c>
      <c r="F1210" t="inlineStr">
        <is>
          <t>Holmen skog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21226-2025</t>
        </is>
      </c>
      <c r="B1211" s="1" t="n">
        <v>45779.51943287037</v>
      </c>
      <c r="C1211" s="1" t="n">
        <v>46013</v>
      </c>
      <c r="D1211" t="inlineStr">
        <is>
          <t>JÄMTLANDS LÄN</t>
        </is>
      </c>
      <c r="E1211" t="inlineStr">
        <is>
          <t>HÄRJEDALEN</t>
        </is>
      </c>
      <c r="F1211" t="inlineStr">
        <is>
          <t>Holmen skog AB</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21227-2025</t>
        </is>
      </c>
      <c r="B1212" s="1" t="n">
        <v>45779.52488425926</v>
      </c>
      <c r="C1212" s="1" t="n">
        <v>46013</v>
      </c>
      <c r="D1212" t="inlineStr">
        <is>
          <t>JÄMTLANDS LÄN</t>
        </is>
      </c>
      <c r="E1212" t="inlineStr">
        <is>
          <t>HÄRJEDALEN</t>
        </is>
      </c>
      <c r="F1212" t="inlineStr">
        <is>
          <t>Holmen skog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21358-2025</t>
        </is>
      </c>
      <c r="B1213" s="1" t="n">
        <v>45782.42744212963</v>
      </c>
      <c r="C1213" s="1" t="n">
        <v>46013</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21225-2025</t>
        </is>
      </c>
      <c r="B1214" s="1" t="n">
        <v>45779.51357638889</v>
      </c>
      <c r="C1214" s="1" t="n">
        <v>46013</v>
      </c>
      <c r="D1214" t="inlineStr">
        <is>
          <t>JÄMTLANDS LÄN</t>
        </is>
      </c>
      <c r="E1214" t="inlineStr">
        <is>
          <t>HÄRJEDALEN</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54684-2024</t>
        </is>
      </c>
      <c r="B1215" s="1" t="n">
        <v>45618.35961805555</v>
      </c>
      <c r="C1215" s="1" t="n">
        <v>46013</v>
      </c>
      <c r="D1215" t="inlineStr">
        <is>
          <t>JÄMTLANDS LÄN</t>
        </is>
      </c>
      <c r="E1215" t="inlineStr">
        <is>
          <t>HÄRJEDALEN</t>
        </is>
      </c>
      <c r="G1215" t="n">
        <v>18.1</v>
      </c>
      <c r="H1215" t="n">
        <v>0</v>
      </c>
      <c r="I1215" t="n">
        <v>0</v>
      </c>
      <c r="J1215" t="n">
        <v>0</v>
      </c>
      <c r="K1215" t="n">
        <v>0</v>
      </c>
      <c r="L1215" t="n">
        <v>0</v>
      </c>
      <c r="M1215" t="n">
        <v>0</v>
      </c>
      <c r="N1215" t="n">
        <v>0</v>
      </c>
      <c r="O1215" t="n">
        <v>0</v>
      </c>
      <c r="P1215" t="n">
        <v>0</v>
      </c>
      <c r="Q1215" t="n">
        <v>0</v>
      </c>
      <c r="R1215" s="2" t="inlineStr"/>
    </row>
    <row r="1216" ht="15" customHeight="1">
      <c r="A1216" t="inlineStr">
        <is>
          <t>A 21797-2025</t>
        </is>
      </c>
      <c r="B1216" s="1" t="n">
        <v>45783.68547453704</v>
      </c>
      <c r="C1216" s="1" t="n">
        <v>46013</v>
      </c>
      <c r="D1216" t="inlineStr">
        <is>
          <t>JÄMTLANDS LÄN</t>
        </is>
      </c>
      <c r="E1216" t="inlineStr">
        <is>
          <t>HÄRJEDALEN</t>
        </is>
      </c>
      <c r="F1216" t="inlineStr">
        <is>
          <t>Sveaskog</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58341-2024</t>
        </is>
      </c>
      <c r="B1217" s="1" t="n">
        <v>45632.64078703704</v>
      </c>
      <c r="C1217" s="1" t="n">
        <v>46013</v>
      </c>
      <c r="D1217" t="inlineStr">
        <is>
          <t>JÄMTLANDS LÄN</t>
        </is>
      </c>
      <c r="E1217" t="inlineStr">
        <is>
          <t>HÄRJEDALEN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29347-2024</t>
        </is>
      </c>
      <c r="B1218" s="1" t="n">
        <v>45483.47572916667</v>
      </c>
      <c r="C1218" s="1" t="n">
        <v>46013</v>
      </c>
      <c r="D1218" t="inlineStr">
        <is>
          <t>JÄMTLANDS LÄN</t>
        </is>
      </c>
      <c r="E1218" t="inlineStr">
        <is>
          <t>HÄRJEDALEN</t>
        </is>
      </c>
      <c r="G1218" t="n">
        <v>35.8</v>
      </c>
      <c r="H1218" t="n">
        <v>0</v>
      </c>
      <c r="I1218" t="n">
        <v>0</v>
      </c>
      <c r="J1218" t="n">
        <v>0</v>
      </c>
      <c r="K1218" t="n">
        <v>0</v>
      </c>
      <c r="L1218" t="n">
        <v>0</v>
      </c>
      <c r="M1218" t="n">
        <v>0</v>
      </c>
      <c r="N1218" t="n">
        <v>0</v>
      </c>
      <c r="O1218" t="n">
        <v>0</v>
      </c>
      <c r="P1218" t="n">
        <v>0</v>
      </c>
      <c r="Q1218" t="n">
        <v>0</v>
      </c>
      <c r="R1218" s="2" t="inlineStr"/>
    </row>
    <row r="1219" ht="15" customHeight="1">
      <c r="A1219" t="inlineStr">
        <is>
          <t>A 60054-2024</t>
        </is>
      </c>
      <c r="B1219" s="1" t="n">
        <v>45642</v>
      </c>
      <c r="C1219" s="1" t="n">
        <v>46013</v>
      </c>
      <c r="D1219" t="inlineStr">
        <is>
          <t>JÄMTLANDS LÄN</t>
        </is>
      </c>
      <c r="E1219" t="inlineStr">
        <is>
          <t>HÄRJEDALEN</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43760-2024</t>
        </is>
      </c>
      <c r="B1220" s="1" t="n">
        <v>45569.6909837963</v>
      </c>
      <c r="C1220" s="1" t="n">
        <v>46013</v>
      </c>
      <c r="D1220" t="inlineStr">
        <is>
          <t>JÄMTLANDS LÄN</t>
        </is>
      </c>
      <c r="E1220" t="inlineStr">
        <is>
          <t>HÄRJEDALEN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22502-2025</t>
        </is>
      </c>
      <c r="B1221" s="1" t="n">
        <v>45786.66032407407</v>
      </c>
      <c r="C1221" s="1" t="n">
        <v>46013</v>
      </c>
      <c r="D1221" t="inlineStr">
        <is>
          <t>JÄMTLANDS LÄN</t>
        </is>
      </c>
      <c r="E1221" t="inlineStr">
        <is>
          <t>HÄRJEDALEN</t>
        </is>
      </c>
      <c r="F1221" t="inlineStr">
        <is>
          <t>Sveaskog</t>
        </is>
      </c>
      <c r="G1221" t="n">
        <v>20.1</v>
      </c>
      <c r="H1221" t="n">
        <v>0</v>
      </c>
      <c r="I1221" t="n">
        <v>0</v>
      </c>
      <c r="J1221" t="n">
        <v>0</v>
      </c>
      <c r="K1221" t="n">
        <v>0</v>
      </c>
      <c r="L1221" t="n">
        <v>0</v>
      </c>
      <c r="M1221" t="n">
        <v>0</v>
      </c>
      <c r="N1221" t="n">
        <v>0</v>
      </c>
      <c r="O1221" t="n">
        <v>0</v>
      </c>
      <c r="P1221" t="n">
        <v>0</v>
      </c>
      <c r="Q1221" t="n">
        <v>0</v>
      </c>
      <c r="R1221" s="2" t="inlineStr"/>
    </row>
    <row r="1222" ht="15" customHeight="1">
      <c r="A1222" t="inlineStr">
        <is>
          <t>A 22509-2025</t>
        </is>
      </c>
      <c r="B1222" s="1" t="n">
        <v>45786.66853009259</v>
      </c>
      <c r="C1222" s="1" t="n">
        <v>46013</v>
      </c>
      <c r="D1222" t="inlineStr">
        <is>
          <t>JÄMTLANDS LÄN</t>
        </is>
      </c>
      <c r="E1222" t="inlineStr">
        <is>
          <t>HÄRJEDALEN</t>
        </is>
      </c>
      <c r="F1222" t="inlineStr">
        <is>
          <t>Sveaskog</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23467-2024</t>
        </is>
      </c>
      <c r="B1223" s="1" t="n">
        <v>45453.6619212963</v>
      </c>
      <c r="C1223" s="1" t="n">
        <v>46013</v>
      </c>
      <c r="D1223" t="inlineStr">
        <is>
          <t>JÄMTLANDS LÄN</t>
        </is>
      </c>
      <c r="E1223" t="inlineStr">
        <is>
          <t>HÄRJEDALEN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22504-2025</t>
        </is>
      </c>
      <c r="B1224" s="1" t="n">
        <v>45786.66209490741</v>
      </c>
      <c r="C1224" s="1" t="n">
        <v>46013</v>
      </c>
      <c r="D1224" t="inlineStr">
        <is>
          <t>JÄMTLANDS LÄN</t>
        </is>
      </c>
      <c r="E1224" t="inlineStr">
        <is>
          <t>HÄRJEDALEN</t>
        </is>
      </c>
      <c r="F1224" t="inlineStr">
        <is>
          <t>Sveaskog</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1459-2025</t>
        </is>
      </c>
      <c r="B1225" s="1" t="n">
        <v>45670.34313657408</v>
      </c>
      <c r="C1225" s="1" t="n">
        <v>46013</v>
      </c>
      <c r="D1225" t="inlineStr">
        <is>
          <t>JÄMTLANDS LÄN</t>
        </is>
      </c>
      <c r="E1225" t="inlineStr">
        <is>
          <t>HÄRJEDALEN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22505-2025</t>
        </is>
      </c>
      <c r="B1226" s="1" t="n">
        <v>45786.66425925926</v>
      </c>
      <c r="C1226" s="1" t="n">
        <v>46013</v>
      </c>
      <c r="D1226" t="inlineStr">
        <is>
          <t>JÄMTLANDS LÄN</t>
        </is>
      </c>
      <c r="E1226" t="inlineStr">
        <is>
          <t>HÄRJEDALEN</t>
        </is>
      </c>
      <c r="F1226" t="inlineStr">
        <is>
          <t>Sveaskog</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13543-2024</t>
        </is>
      </c>
      <c r="B1227" s="1" t="n">
        <v>45387</v>
      </c>
      <c r="C1227" s="1" t="n">
        <v>46013</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24425-2024</t>
        </is>
      </c>
      <c r="B1228" s="1" t="n">
        <v>45457.92854166667</v>
      </c>
      <c r="C1228" s="1" t="n">
        <v>46013</v>
      </c>
      <c r="D1228" t="inlineStr">
        <is>
          <t>JÄMTLANDS LÄN</t>
        </is>
      </c>
      <c r="E1228" t="inlineStr">
        <is>
          <t>HÄRJEDALEN</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22045-2025</t>
        </is>
      </c>
      <c r="B1229" s="1" t="n">
        <v>45785.34165509259</v>
      </c>
      <c r="C1229" s="1" t="n">
        <v>46013</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22040-2025</t>
        </is>
      </c>
      <c r="B1230" s="1" t="n">
        <v>45785.33164351852</v>
      </c>
      <c r="C1230" s="1" t="n">
        <v>46013</v>
      </c>
      <c r="D1230" t="inlineStr">
        <is>
          <t>JÄMTLANDS LÄN</t>
        </is>
      </c>
      <c r="E1230" t="inlineStr">
        <is>
          <t>HÄRJEDALEN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22915-2025</t>
        </is>
      </c>
      <c r="B1231" s="1" t="n">
        <v>45790.43</v>
      </c>
      <c r="C1231" s="1" t="n">
        <v>46013</v>
      </c>
      <c r="D1231" t="inlineStr">
        <is>
          <t>JÄMTLANDS LÄN</t>
        </is>
      </c>
      <c r="E1231" t="inlineStr">
        <is>
          <t>HÄRJEDALEN</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23596-2025</t>
        </is>
      </c>
      <c r="B1232" s="1" t="n">
        <v>45792.64795138889</v>
      </c>
      <c r="C1232" s="1" t="n">
        <v>46013</v>
      </c>
      <c r="D1232" t="inlineStr">
        <is>
          <t>JÄMTLANDS LÄN</t>
        </is>
      </c>
      <c r="E1232" t="inlineStr">
        <is>
          <t>HÄRJEDALEN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23068-2025</t>
        </is>
      </c>
      <c r="B1233" s="1" t="n">
        <v>45790.87653935186</v>
      </c>
      <c r="C1233" s="1" t="n">
        <v>46013</v>
      </c>
      <c r="D1233" t="inlineStr">
        <is>
          <t>JÄMTLANDS LÄN</t>
        </is>
      </c>
      <c r="E1233" t="inlineStr">
        <is>
          <t>HÄRJEDALEN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23600-2025</t>
        </is>
      </c>
      <c r="B1234" s="1" t="n">
        <v>45792.65047453704</v>
      </c>
      <c r="C1234" s="1" t="n">
        <v>46013</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32964-2024</t>
        </is>
      </c>
      <c r="B1235" s="1" t="n">
        <v>45517.39274305556</v>
      </c>
      <c r="C1235" s="1" t="n">
        <v>46013</v>
      </c>
      <c r="D1235" t="inlineStr">
        <is>
          <t>JÄMTLANDS LÄN</t>
        </is>
      </c>
      <c r="E1235" t="inlineStr">
        <is>
          <t>HÄRJEDALEN</t>
        </is>
      </c>
      <c r="F1235" t="inlineStr">
        <is>
          <t>Kommuner</t>
        </is>
      </c>
      <c r="G1235" t="n">
        <v>30.3</v>
      </c>
      <c r="H1235" t="n">
        <v>0</v>
      </c>
      <c r="I1235" t="n">
        <v>0</v>
      </c>
      <c r="J1235" t="n">
        <v>0</v>
      </c>
      <c r="K1235" t="n">
        <v>0</v>
      </c>
      <c r="L1235" t="n">
        <v>0</v>
      </c>
      <c r="M1235" t="n">
        <v>0</v>
      </c>
      <c r="N1235" t="n">
        <v>0</v>
      </c>
      <c r="O1235" t="n">
        <v>0</v>
      </c>
      <c r="P1235" t="n">
        <v>0</v>
      </c>
      <c r="Q1235" t="n">
        <v>0</v>
      </c>
      <c r="R1235" s="2" t="inlineStr"/>
    </row>
    <row r="1236" ht="15" customHeight="1">
      <c r="A1236" t="inlineStr">
        <is>
          <t>A 23518-2025</t>
        </is>
      </c>
      <c r="B1236" s="1" t="n">
        <v>45792.50942129629</v>
      </c>
      <c r="C1236" s="1" t="n">
        <v>46013</v>
      </c>
      <c r="D1236" t="inlineStr">
        <is>
          <t>JÄMTLANDS LÄN</t>
        </is>
      </c>
      <c r="E1236" t="inlineStr">
        <is>
          <t>HÄRJEDALEN</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41387-2021</t>
        </is>
      </c>
      <c r="B1237" s="1" t="n">
        <v>44424</v>
      </c>
      <c r="C1237" s="1" t="n">
        <v>46013</v>
      </c>
      <c r="D1237" t="inlineStr">
        <is>
          <t>JÄMTLANDS LÄN</t>
        </is>
      </c>
      <c r="E1237" t="inlineStr">
        <is>
          <t>HÄRJEDALEN</t>
        </is>
      </c>
      <c r="G1237" t="n">
        <v>9.5</v>
      </c>
      <c r="H1237" t="n">
        <v>0</v>
      </c>
      <c r="I1237" t="n">
        <v>0</v>
      </c>
      <c r="J1237" t="n">
        <v>0</v>
      </c>
      <c r="K1237" t="n">
        <v>0</v>
      </c>
      <c r="L1237" t="n">
        <v>0</v>
      </c>
      <c r="M1237" t="n">
        <v>0</v>
      </c>
      <c r="N1237" t="n">
        <v>0</v>
      </c>
      <c r="O1237" t="n">
        <v>0</v>
      </c>
      <c r="P1237" t="n">
        <v>0</v>
      </c>
      <c r="Q1237" t="n">
        <v>0</v>
      </c>
      <c r="R1237" s="2" t="inlineStr"/>
    </row>
    <row r="1238">
      <c r="A1238" t="inlineStr">
        <is>
          <t>A 54678-2024</t>
        </is>
      </c>
      <c r="B1238" s="1" t="n">
        <v>45618.35097222222</v>
      </c>
      <c r="C1238" s="1" t="n">
        <v>46013</v>
      </c>
      <c r="D1238" t="inlineStr">
        <is>
          <t>JÄMTLANDS LÄN</t>
        </is>
      </c>
      <c r="E1238" t="inlineStr">
        <is>
          <t>HÄRJEDALEN</t>
        </is>
      </c>
      <c r="G1238" t="n">
        <v>16.9</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2025-12-22T10:27:20Z</dcterms:created>
  <dcterms:modified xmlns:dcterms="http://purl.org/dc/terms/" xmlns:xsi="http://www.w3.org/2001/XMLSchema-instance" xsi:type="dcterms:W3CDTF">2025-12-22T10:27:21Z</dcterms:modified>
</cp:coreProperties>
</file>