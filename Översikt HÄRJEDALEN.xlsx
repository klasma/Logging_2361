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45675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45675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45675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45675</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45675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45675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45675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45675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45675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45675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45675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45675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45675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45675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45675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45675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45675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45675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45675</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45675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45675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45675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45675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45675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45675</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45675</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45675</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45675</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45675</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45675</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45675</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45675</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45675</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45675</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45675</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45675</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45675</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45675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45675</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45675</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45675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45675</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45675</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45675</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45675</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45675</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45675</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45675</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45675</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45675</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45675</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45675</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45675</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45675</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45675</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45675</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45675</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45675</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45675</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45675</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45675</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45675</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45675</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45675</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45675</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45675</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45675</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45675</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45675</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45675</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45675</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45675</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45675</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45675</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45675</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45675</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45675</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45675</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45675</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45675</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45675</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45675</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45675</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45675</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45675</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45675</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45675</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45675</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45675</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45675</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45675</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45675</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45675</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45675</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45675</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45675</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45675</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45675</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45675</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45675</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45675</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45675</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45675</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45675</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45675</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45675</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45675</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45675</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45675</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45675</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45675</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45675</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45675</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45675</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45675</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45675</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45675</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45675</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45675</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45675</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45675</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45675</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45675</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45675</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45675</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45675</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45675</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45675</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45675</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45675</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45675</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45675</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45675</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45675</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45675</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45675</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45675</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45675</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45675</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45675</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45675</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45675</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45675</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45675</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45675</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45675</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45675</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45675</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45675</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45675</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45675</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45675</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45675</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45675</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45675</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45675</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45675</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45675</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45675</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45675</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45675</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45675</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45675</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45675</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45675</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45675</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45675</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45675</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45675</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45675</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45675</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45675</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45675</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45675</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45675</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45675</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45675</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45675</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45675</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45675</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45675</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45675</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45675</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45675</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45675</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45675</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45675</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45675</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45675</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45675</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45675</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45675</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45675</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45675</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45675</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45675</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45675</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45675</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45675</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45675</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45675</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45675</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45675</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45675</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45675</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45675</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45675</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45675</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45675</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45675</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45675</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45675</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45675</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45675</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55214-2024</t>
        </is>
      </c>
      <c r="B216" s="1" t="n">
        <v>45621</v>
      </c>
      <c r="C216" s="1" t="n">
        <v>45675</v>
      </c>
      <c r="D216" t="inlineStr">
        <is>
          <t>JÄMTLANDS LÄN</t>
        </is>
      </c>
      <c r="E216" t="inlineStr">
        <is>
          <t>HÄRJEDALEN</t>
        </is>
      </c>
      <c r="F216" t="inlineStr">
        <is>
          <t>Sveaskog</t>
        </is>
      </c>
      <c r="G216" t="n">
        <v>1.1</v>
      </c>
      <c r="H216" t="n">
        <v>0</v>
      </c>
      <c r="I216" t="n">
        <v>0</v>
      </c>
      <c r="J216" t="n">
        <v>1</v>
      </c>
      <c r="K216" t="n">
        <v>0</v>
      </c>
      <c r="L216" t="n">
        <v>0</v>
      </c>
      <c r="M216" t="n">
        <v>0</v>
      </c>
      <c r="N216" t="n">
        <v>0</v>
      </c>
      <c r="O216" t="n">
        <v>1</v>
      </c>
      <c r="P216" t="n">
        <v>0</v>
      </c>
      <c r="Q216" t="n">
        <v>1</v>
      </c>
      <c r="R216" s="2" t="inlineStr">
        <is>
          <t>Kolflarnlav</t>
        </is>
      </c>
      <c r="S216">
        <f>HYPERLINK("https://klasma.github.io/Logging_2361/artfynd/A 55214-2024 artfynd.xlsx", "A 55214-2024")</f>
        <v/>
      </c>
      <c r="T216">
        <f>HYPERLINK("https://klasma.github.io/Logging_2361/kartor/A 55214-2024 karta.png", "A 55214-2024")</f>
        <v/>
      </c>
      <c r="V216">
        <f>HYPERLINK("https://klasma.github.io/Logging_2361/klagomål/A 55214-2024 FSC-klagomål.docx", "A 55214-2024")</f>
        <v/>
      </c>
      <c r="W216">
        <f>HYPERLINK("https://klasma.github.io/Logging_2361/klagomålsmail/A 55214-2024 FSC-klagomål mail.docx", "A 55214-2024")</f>
        <v/>
      </c>
      <c r="X216">
        <f>HYPERLINK("https://klasma.github.io/Logging_2361/tillsyn/A 55214-2024 tillsynsbegäran.docx", "A 55214-2024")</f>
        <v/>
      </c>
      <c r="Y216">
        <f>HYPERLINK("https://klasma.github.io/Logging_2361/tillsynsmail/A 55214-2024 tillsynsbegäran mail.docx", "A 55214-2024")</f>
        <v/>
      </c>
    </row>
    <row r="217" ht="15" customHeight="1">
      <c r="A217" t="inlineStr">
        <is>
          <t>A 59367-2024</t>
        </is>
      </c>
      <c r="B217" s="1" t="n">
        <v>45638</v>
      </c>
      <c r="C217" s="1" t="n">
        <v>45675</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2041-2025</t>
        </is>
      </c>
      <c r="B218" s="1" t="n">
        <v>45672</v>
      </c>
      <c r="C218" s="1" t="n">
        <v>45675</v>
      </c>
      <c r="D218" t="inlineStr">
        <is>
          <t>JÄMTLANDS LÄN</t>
        </is>
      </c>
      <c r="E218" t="inlineStr">
        <is>
          <t>HÄRJEDALEN</t>
        </is>
      </c>
      <c r="G218" t="n">
        <v>10</v>
      </c>
      <c r="H218" t="n">
        <v>0</v>
      </c>
      <c r="I218" t="n">
        <v>0</v>
      </c>
      <c r="J218" t="n">
        <v>1</v>
      </c>
      <c r="K218" t="n">
        <v>0</v>
      </c>
      <c r="L218" t="n">
        <v>0</v>
      </c>
      <c r="M218" t="n">
        <v>0</v>
      </c>
      <c r="N218" t="n">
        <v>0</v>
      </c>
      <c r="O218" t="n">
        <v>1</v>
      </c>
      <c r="P218" t="n">
        <v>0</v>
      </c>
      <c r="Q218" t="n">
        <v>1</v>
      </c>
      <c r="R218" s="2" t="inlineStr">
        <is>
          <t>Gränsticka</t>
        </is>
      </c>
      <c r="S218">
        <f>HYPERLINK("https://klasma.github.io/Logging_2361/artfynd/A 2041-2025 artfynd.xlsx", "A 2041-2025")</f>
        <v/>
      </c>
      <c r="T218">
        <f>HYPERLINK("https://klasma.github.io/Logging_2361/kartor/A 2041-2025 karta.png", "A 2041-2025")</f>
        <v/>
      </c>
      <c r="V218">
        <f>HYPERLINK("https://klasma.github.io/Logging_2361/klagomål/A 2041-2025 FSC-klagomål.docx", "A 2041-2025")</f>
        <v/>
      </c>
      <c r="W218">
        <f>HYPERLINK("https://klasma.github.io/Logging_2361/klagomålsmail/A 2041-2025 FSC-klagomål mail.docx", "A 2041-2025")</f>
        <v/>
      </c>
      <c r="X218">
        <f>HYPERLINK("https://klasma.github.io/Logging_2361/tillsyn/A 2041-2025 tillsynsbegäran.docx", "A 2041-2025")</f>
        <v/>
      </c>
      <c r="Y218">
        <f>HYPERLINK("https://klasma.github.io/Logging_2361/tillsynsmail/A 2041-2025 tillsynsbegäran mail.docx", "A 2041-2025")</f>
        <v/>
      </c>
    </row>
    <row r="219" ht="15" customHeight="1">
      <c r="A219" t="inlineStr">
        <is>
          <t>A 17811-2019</t>
        </is>
      </c>
      <c r="B219" s="1" t="n">
        <v>43556</v>
      </c>
      <c r="C219" s="1" t="n">
        <v>45675</v>
      </c>
      <c r="D219" t="inlineStr">
        <is>
          <t>JÄMTLANDS LÄN</t>
        </is>
      </c>
      <c r="E219" t="inlineStr">
        <is>
          <t>HÄRJEDALEN</t>
        </is>
      </c>
      <c r="G219" t="n">
        <v>10.3</v>
      </c>
      <c r="H219" t="n">
        <v>0</v>
      </c>
      <c r="I219" t="n">
        <v>0</v>
      </c>
      <c r="J219" t="n">
        <v>0</v>
      </c>
      <c r="K219" t="n">
        <v>0</v>
      </c>
      <c r="L219" t="n">
        <v>0</v>
      </c>
      <c r="M219" t="n">
        <v>0</v>
      </c>
      <c r="N219" t="n">
        <v>0</v>
      </c>
      <c r="O219" t="n">
        <v>0</v>
      </c>
      <c r="P219" t="n">
        <v>0</v>
      </c>
      <c r="Q219" t="n">
        <v>0</v>
      </c>
      <c r="R219" s="2" t="inlineStr"/>
    </row>
    <row r="220" ht="15" customHeight="1">
      <c r="A220" t="inlineStr">
        <is>
          <t>A 17986-2019</t>
        </is>
      </c>
      <c r="B220" s="1" t="n">
        <v>43557</v>
      </c>
      <c r="C220" s="1" t="n">
        <v>45675</v>
      </c>
      <c r="D220" t="inlineStr">
        <is>
          <t>JÄMTLANDS LÄN</t>
        </is>
      </c>
      <c r="E220" t="inlineStr">
        <is>
          <t>HÄRJEDALEN</t>
        </is>
      </c>
      <c r="F220" t="inlineStr">
        <is>
          <t>Kyrkan</t>
        </is>
      </c>
      <c r="G220" t="n">
        <v>17.5</v>
      </c>
      <c r="H220" t="n">
        <v>0</v>
      </c>
      <c r="I220" t="n">
        <v>0</v>
      </c>
      <c r="J220" t="n">
        <v>0</v>
      </c>
      <c r="K220" t="n">
        <v>0</v>
      </c>
      <c r="L220" t="n">
        <v>0</v>
      </c>
      <c r="M220" t="n">
        <v>0</v>
      </c>
      <c r="N220" t="n">
        <v>0</v>
      </c>
      <c r="O220" t="n">
        <v>0</v>
      </c>
      <c r="P220" t="n">
        <v>0</v>
      </c>
      <c r="Q220" t="n">
        <v>0</v>
      </c>
      <c r="R220" s="2" t="inlineStr"/>
    </row>
    <row r="221" ht="15" customHeight="1">
      <c r="A221" t="inlineStr">
        <is>
          <t>A 17917-2019</t>
        </is>
      </c>
      <c r="B221" s="1" t="n">
        <v>43557</v>
      </c>
      <c r="C221" s="1" t="n">
        <v>45675</v>
      </c>
      <c r="D221" t="inlineStr">
        <is>
          <t>JÄMTLANDS LÄN</t>
        </is>
      </c>
      <c r="E221" t="inlineStr">
        <is>
          <t>HÄRJEDALEN</t>
        </is>
      </c>
      <c r="F221" t="inlineStr">
        <is>
          <t>Bergvik skog väst AB</t>
        </is>
      </c>
      <c r="G221" t="n">
        <v>166.3</v>
      </c>
      <c r="H221" t="n">
        <v>0</v>
      </c>
      <c r="I221" t="n">
        <v>0</v>
      </c>
      <c r="J221" t="n">
        <v>0</v>
      </c>
      <c r="K221" t="n">
        <v>0</v>
      </c>
      <c r="L221" t="n">
        <v>0</v>
      </c>
      <c r="M221" t="n">
        <v>0</v>
      </c>
      <c r="N221" t="n">
        <v>0</v>
      </c>
      <c r="O221" t="n">
        <v>0</v>
      </c>
      <c r="P221" t="n">
        <v>0</v>
      </c>
      <c r="Q221" t="n">
        <v>0</v>
      </c>
      <c r="R221" s="2" t="inlineStr"/>
    </row>
    <row r="222" ht="15" customHeight="1">
      <c r="A222" t="inlineStr">
        <is>
          <t>A 18539-2019</t>
        </is>
      </c>
      <c r="B222" s="1" t="n">
        <v>43559</v>
      </c>
      <c r="C222" s="1" t="n">
        <v>45675</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18648-2019</t>
        </is>
      </c>
      <c r="B223" s="1" t="n">
        <v>43560</v>
      </c>
      <c r="C223" s="1" t="n">
        <v>45675</v>
      </c>
      <c r="D223" t="inlineStr">
        <is>
          <t>JÄMTLANDS LÄN</t>
        </is>
      </c>
      <c r="E223" t="inlineStr">
        <is>
          <t>HÄRJEDALEN</t>
        </is>
      </c>
      <c r="G223" t="n">
        <v>5.5</v>
      </c>
      <c r="H223" t="n">
        <v>0</v>
      </c>
      <c r="I223" t="n">
        <v>0</v>
      </c>
      <c r="J223" t="n">
        <v>0</v>
      </c>
      <c r="K223" t="n">
        <v>0</v>
      </c>
      <c r="L223" t="n">
        <v>0</v>
      </c>
      <c r="M223" t="n">
        <v>0</v>
      </c>
      <c r="N223" t="n">
        <v>0</v>
      </c>
      <c r="O223" t="n">
        <v>0</v>
      </c>
      <c r="P223" t="n">
        <v>0</v>
      </c>
      <c r="Q223" t="n">
        <v>0</v>
      </c>
      <c r="R223" s="2" t="inlineStr"/>
    </row>
    <row r="224" ht="15" customHeight="1">
      <c r="A224" t="inlineStr">
        <is>
          <t>A 19114-2019</t>
        </is>
      </c>
      <c r="B224" s="1" t="n">
        <v>43563</v>
      </c>
      <c r="C224" s="1" t="n">
        <v>45675</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20063-2019</t>
        </is>
      </c>
      <c r="B225" s="1" t="n">
        <v>43567</v>
      </c>
      <c r="C225" s="1" t="n">
        <v>45675</v>
      </c>
      <c r="D225" t="inlineStr">
        <is>
          <t>JÄMTLANDS LÄN</t>
        </is>
      </c>
      <c r="E225" t="inlineStr">
        <is>
          <t>HÄRJEDALEN</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19864-2019</t>
        </is>
      </c>
      <c r="B226" s="1" t="n">
        <v>43567</v>
      </c>
      <c r="C226" s="1" t="n">
        <v>45675</v>
      </c>
      <c r="D226" t="inlineStr">
        <is>
          <t>JÄMTLANDS LÄN</t>
        </is>
      </c>
      <c r="E226" t="inlineStr">
        <is>
          <t>HÄRJEDALEN</t>
        </is>
      </c>
      <c r="G226" t="n">
        <v>2.6</v>
      </c>
      <c r="H226" t="n">
        <v>0</v>
      </c>
      <c r="I226" t="n">
        <v>0</v>
      </c>
      <c r="J226" t="n">
        <v>0</v>
      </c>
      <c r="K226" t="n">
        <v>0</v>
      </c>
      <c r="L226" t="n">
        <v>0</v>
      </c>
      <c r="M226" t="n">
        <v>0</v>
      </c>
      <c r="N226" t="n">
        <v>0</v>
      </c>
      <c r="O226" t="n">
        <v>0</v>
      </c>
      <c r="P226" t="n">
        <v>0</v>
      </c>
      <c r="Q226" t="n">
        <v>0</v>
      </c>
      <c r="R226" s="2" t="inlineStr"/>
    </row>
    <row r="227" ht="15" customHeight="1">
      <c r="A227" t="inlineStr">
        <is>
          <t>A 20403-2019</t>
        </is>
      </c>
      <c r="B227" s="1" t="n">
        <v>43571</v>
      </c>
      <c r="C227" s="1" t="n">
        <v>45675</v>
      </c>
      <c r="D227" t="inlineStr">
        <is>
          <t>JÄMTLANDS LÄN</t>
        </is>
      </c>
      <c r="E227" t="inlineStr">
        <is>
          <t>HÄRJEDALEN</t>
        </is>
      </c>
      <c r="F227" t="inlineStr">
        <is>
          <t>Bergvik skog väst AB</t>
        </is>
      </c>
      <c r="G227" t="n">
        <v>7.8</v>
      </c>
      <c r="H227" t="n">
        <v>0</v>
      </c>
      <c r="I227" t="n">
        <v>0</v>
      </c>
      <c r="J227" t="n">
        <v>0</v>
      </c>
      <c r="K227" t="n">
        <v>0</v>
      </c>
      <c r="L227" t="n">
        <v>0</v>
      </c>
      <c r="M227" t="n">
        <v>0</v>
      </c>
      <c r="N227" t="n">
        <v>0</v>
      </c>
      <c r="O227" t="n">
        <v>0</v>
      </c>
      <c r="P227" t="n">
        <v>0</v>
      </c>
      <c r="Q227" t="n">
        <v>0</v>
      </c>
      <c r="R227" s="2" t="inlineStr"/>
    </row>
    <row r="228" ht="15" customHeight="1">
      <c r="A228" t="inlineStr">
        <is>
          <t>A 20373-2019</t>
        </is>
      </c>
      <c r="B228" s="1" t="n">
        <v>43571</v>
      </c>
      <c r="C228" s="1" t="n">
        <v>45675</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20851-2019</t>
        </is>
      </c>
      <c r="B229" s="1" t="n">
        <v>43577</v>
      </c>
      <c r="C229" s="1" t="n">
        <v>45675</v>
      </c>
      <c r="D229" t="inlineStr">
        <is>
          <t>JÄMTLANDS LÄN</t>
        </is>
      </c>
      <c r="E229" t="inlineStr">
        <is>
          <t>HÄRJEDALEN</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21040-2019</t>
        </is>
      </c>
      <c r="B230" s="1" t="n">
        <v>43578</v>
      </c>
      <c r="C230" s="1" t="n">
        <v>45675</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21189-2019</t>
        </is>
      </c>
      <c r="B231" s="1" t="n">
        <v>43579</v>
      </c>
      <c r="C231" s="1" t="n">
        <v>45675</v>
      </c>
      <c r="D231" t="inlineStr">
        <is>
          <t>JÄMTLANDS LÄN</t>
        </is>
      </c>
      <c r="E231" t="inlineStr">
        <is>
          <t>HÄRJEDALEN</t>
        </is>
      </c>
      <c r="G231" t="n">
        <v>2.3</v>
      </c>
      <c r="H231" t="n">
        <v>0</v>
      </c>
      <c r="I231" t="n">
        <v>0</v>
      </c>
      <c r="J231" t="n">
        <v>0</v>
      </c>
      <c r="K231" t="n">
        <v>0</v>
      </c>
      <c r="L231" t="n">
        <v>0</v>
      </c>
      <c r="M231" t="n">
        <v>0</v>
      </c>
      <c r="N231" t="n">
        <v>0</v>
      </c>
      <c r="O231" t="n">
        <v>0</v>
      </c>
      <c r="P231" t="n">
        <v>0</v>
      </c>
      <c r="Q231" t="n">
        <v>0</v>
      </c>
      <c r="R231" s="2" t="inlineStr"/>
    </row>
    <row r="232" ht="15" customHeight="1">
      <c r="A232" t="inlineStr">
        <is>
          <t>A 22622-2019</t>
        </is>
      </c>
      <c r="B232" s="1" t="n">
        <v>43588</v>
      </c>
      <c r="C232" s="1" t="n">
        <v>45675</v>
      </c>
      <c r="D232" t="inlineStr">
        <is>
          <t>JÄMTLANDS LÄN</t>
        </is>
      </c>
      <c r="E232" t="inlineStr">
        <is>
          <t>HÄRJEDALEN</t>
        </is>
      </c>
      <c r="G232" t="n">
        <v>1.5</v>
      </c>
      <c r="H232" t="n">
        <v>0</v>
      </c>
      <c r="I232" t="n">
        <v>0</v>
      </c>
      <c r="J232" t="n">
        <v>0</v>
      </c>
      <c r="K232" t="n">
        <v>0</v>
      </c>
      <c r="L232" t="n">
        <v>0</v>
      </c>
      <c r="M232" t="n">
        <v>0</v>
      </c>
      <c r="N232" t="n">
        <v>0</v>
      </c>
      <c r="O232" t="n">
        <v>0</v>
      </c>
      <c r="P232" t="n">
        <v>0</v>
      </c>
      <c r="Q232" t="n">
        <v>0</v>
      </c>
      <c r="R232" s="2" t="inlineStr"/>
    </row>
    <row r="233" ht="15" customHeight="1">
      <c r="A233" t="inlineStr">
        <is>
          <t>A 24030-2019</t>
        </is>
      </c>
      <c r="B233" s="1" t="n">
        <v>43598</v>
      </c>
      <c r="C233" s="1" t="n">
        <v>45675</v>
      </c>
      <c r="D233" t="inlineStr">
        <is>
          <t>JÄMTLANDS LÄN</t>
        </is>
      </c>
      <c r="E233" t="inlineStr">
        <is>
          <t>HÄRJEDALEN</t>
        </is>
      </c>
      <c r="F233" t="inlineStr">
        <is>
          <t>Sveaskog</t>
        </is>
      </c>
      <c r="G233" t="n">
        <v>39.9</v>
      </c>
      <c r="H233" t="n">
        <v>0</v>
      </c>
      <c r="I233" t="n">
        <v>0</v>
      </c>
      <c r="J233" t="n">
        <v>0</v>
      </c>
      <c r="K233" t="n">
        <v>0</v>
      </c>
      <c r="L233" t="n">
        <v>0</v>
      </c>
      <c r="M233" t="n">
        <v>0</v>
      </c>
      <c r="N233" t="n">
        <v>0</v>
      </c>
      <c r="O233" t="n">
        <v>0</v>
      </c>
      <c r="P233" t="n">
        <v>0</v>
      </c>
      <c r="Q233" t="n">
        <v>0</v>
      </c>
      <c r="R233" s="2" t="inlineStr"/>
    </row>
    <row r="234" ht="15" customHeight="1">
      <c r="A234" t="inlineStr">
        <is>
          <t>A 24760-2019</t>
        </is>
      </c>
      <c r="B234" s="1" t="n">
        <v>43601</v>
      </c>
      <c r="C234" s="1" t="n">
        <v>45675</v>
      </c>
      <c r="D234" t="inlineStr">
        <is>
          <t>JÄMTLANDS LÄN</t>
        </is>
      </c>
      <c r="E234" t="inlineStr">
        <is>
          <t>HÄRJEDALEN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25309-2019</t>
        </is>
      </c>
      <c r="B235" s="1" t="n">
        <v>43605</v>
      </c>
      <c r="C235" s="1" t="n">
        <v>45675</v>
      </c>
      <c r="D235" t="inlineStr">
        <is>
          <t>JÄMTLANDS LÄN</t>
        </is>
      </c>
      <c r="E235" t="inlineStr">
        <is>
          <t>HÄRJEDALEN</t>
        </is>
      </c>
      <c r="G235" t="n">
        <v>0.1</v>
      </c>
      <c r="H235" t="n">
        <v>0</v>
      </c>
      <c r="I235" t="n">
        <v>0</v>
      </c>
      <c r="J235" t="n">
        <v>0</v>
      </c>
      <c r="K235" t="n">
        <v>0</v>
      </c>
      <c r="L235" t="n">
        <v>0</v>
      </c>
      <c r="M235" t="n">
        <v>0</v>
      </c>
      <c r="N235" t="n">
        <v>0</v>
      </c>
      <c r="O235" t="n">
        <v>0</v>
      </c>
      <c r="P235" t="n">
        <v>0</v>
      </c>
      <c r="Q235" t="n">
        <v>0</v>
      </c>
      <c r="R235" s="2" t="inlineStr"/>
    </row>
    <row r="236" ht="15" customHeight="1">
      <c r="A236" t="inlineStr">
        <is>
          <t>A 25470-2019</t>
        </is>
      </c>
      <c r="B236" s="1" t="n">
        <v>43606</v>
      </c>
      <c r="C236" s="1" t="n">
        <v>45675</v>
      </c>
      <c r="D236" t="inlineStr">
        <is>
          <t>JÄMTLANDS LÄN</t>
        </is>
      </c>
      <c r="E236" t="inlineStr">
        <is>
          <t>HÄRJEDALEN</t>
        </is>
      </c>
      <c r="G236" t="n">
        <v>36.8</v>
      </c>
      <c r="H236" t="n">
        <v>0</v>
      </c>
      <c r="I236" t="n">
        <v>0</v>
      </c>
      <c r="J236" t="n">
        <v>0</v>
      </c>
      <c r="K236" t="n">
        <v>0</v>
      </c>
      <c r="L236" t="n">
        <v>0</v>
      </c>
      <c r="M236" t="n">
        <v>0</v>
      </c>
      <c r="N236" t="n">
        <v>0</v>
      </c>
      <c r="O236" t="n">
        <v>0</v>
      </c>
      <c r="P236" t="n">
        <v>0</v>
      </c>
      <c r="Q236" t="n">
        <v>0</v>
      </c>
      <c r="R236" s="2" t="inlineStr"/>
    </row>
    <row r="237" ht="15" customHeight="1">
      <c r="A237" t="inlineStr">
        <is>
          <t>A 26166-2019</t>
        </is>
      </c>
      <c r="B237" s="1" t="n">
        <v>43609</v>
      </c>
      <c r="C237" s="1" t="n">
        <v>45675</v>
      </c>
      <c r="D237" t="inlineStr">
        <is>
          <t>JÄMTLANDS LÄN</t>
        </is>
      </c>
      <c r="E237" t="inlineStr">
        <is>
          <t>HÄRJEDALEN</t>
        </is>
      </c>
      <c r="G237" t="n">
        <v>85.2</v>
      </c>
      <c r="H237" t="n">
        <v>0</v>
      </c>
      <c r="I237" t="n">
        <v>0</v>
      </c>
      <c r="J237" t="n">
        <v>0</v>
      </c>
      <c r="K237" t="n">
        <v>0</v>
      </c>
      <c r="L237" t="n">
        <v>0</v>
      </c>
      <c r="M237" t="n">
        <v>0</v>
      </c>
      <c r="N237" t="n">
        <v>0</v>
      </c>
      <c r="O237" t="n">
        <v>0</v>
      </c>
      <c r="P237" t="n">
        <v>0</v>
      </c>
      <c r="Q237" t="n">
        <v>0</v>
      </c>
      <c r="R237" s="2" t="inlineStr"/>
    </row>
    <row r="238" ht="15" customHeight="1">
      <c r="A238" t="inlineStr">
        <is>
          <t>A 26310-2019</t>
        </is>
      </c>
      <c r="B238" s="1" t="n">
        <v>43612</v>
      </c>
      <c r="C238" s="1" t="n">
        <v>45675</v>
      </c>
      <c r="D238" t="inlineStr">
        <is>
          <t>JÄMTLANDS LÄN</t>
        </is>
      </c>
      <c r="E238" t="inlineStr">
        <is>
          <t>HÄRJEDALEN</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26423-2019</t>
        </is>
      </c>
      <c r="B239" s="1" t="n">
        <v>43612</v>
      </c>
      <c r="C239" s="1" t="n">
        <v>45675</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27683-2019</t>
        </is>
      </c>
      <c r="B240" s="1" t="n">
        <v>43619</v>
      </c>
      <c r="C240" s="1" t="n">
        <v>45675</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27903-2019</t>
        </is>
      </c>
      <c r="B241" s="1" t="n">
        <v>43620</v>
      </c>
      <c r="C241" s="1" t="n">
        <v>45675</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28312-2019</t>
        </is>
      </c>
      <c r="B242" s="1" t="n">
        <v>43623</v>
      </c>
      <c r="C242" s="1" t="n">
        <v>45675</v>
      </c>
      <c r="D242" t="inlineStr">
        <is>
          <t>JÄMTLANDS LÄN</t>
        </is>
      </c>
      <c r="E242" t="inlineStr">
        <is>
          <t>HÄRJEDALEN</t>
        </is>
      </c>
      <c r="G242" t="n">
        <v>6.5</v>
      </c>
      <c r="H242" t="n">
        <v>0</v>
      </c>
      <c r="I242" t="n">
        <v>0</v>
      </c>
      <c r="J242" t="n">
        <v>0</v>
      </c>
      <c r="K242" t="n">
        <v>0</v>
      </c>
      <c r="L242" t="n">
        <v>0</v>
      </c>
      <c r="M242" t="n">
        <v>0</v>
      </c>
      <c r="N242" t="n">
        <v>0</v>
      </c>
      <c r="O242" t="n">
        <v>0</v>
      </c>
      <c r="P242" t="n">
        <v>0</v>
      </c>
      <c r="Q242" t="n">
        <v>0</v>
      </c>
      <c r="R242" s="2" t="inlineStr"/>
    </row>
    <row r="243" ht="15" customHeight="1">
      <c r="A243" t="inlineStr">
        <is>
          <t>A 28326-2019</t>
        </is>
      </c>
      <c r="B243" s="1" t="n">
        <v>43623</v>
      </c>
      <c r="C243" s="1" t="n">
        <v>45675</v>
      </c>
      <c r="D243" t="inlineStr">
        <is>
          <t>JÄMTLANDS LÄN</t>
        </is>
      </c>
      <c r="E243" t="inlineStr">
        <is>
          <t>HÄRJEDALEN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28513-2019</t>
        </is>
      </c>
      <c r="B244" s="1" t="n">
        <v>43626</v>
      </c>
      <c r="C244" s="1" t="n">
        <v>45675</v>
      </c>
      <c r="D244" t="inlineStr">
        <is>
          <t>JÄMTLANDS LÄN</t>
        </is>
      </c>
      <c r="E244" t="inlineStr">
        <is>
          <t>HÄRJEDALEN</t>
        </is>
      </c>
      <c r="G244" t="n">
        <v>0.9</v>
      </c>
      <c r="H244" t="n">
        <v>0</v>
      </c>
      <c r="I244" t="n">
        <v>0</v>
      </c>
      <c r="J244" t="n">
        <v>0</v>
      </c>
      <c r="K244" t="n">
        <v>0</v>
      </c>
      <c r="L244" t="n">
        <v>0</v>
      </c>
      <c r="M244" t="n">
        <v>0</v>
      </c>
      <c r="N244" t="n">
        <v>0</v>
      </c>
      <c r="O244" t="n">
        <v>0</v>
      </c>
      <c r="P244" t="n">
        <v>0</v>
      </c>
      <c r="Q244" t="n">
        <v>0</v>
      </c>
      <c r="R244" s="2" t="inlineStr"/>
    </row>
    <row r="245" ht="15" customHeight="1">
      <c r="A245" t="inlineStr">
        <is>
          <t>A 29263-2019</t>
        </is>
      </c>
      <c r="B245" s="1" t="n">
        <v>43629</v>
      </c>
      <c r="C245" s="1" t="n">
        <v>45675</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29822-2019</t>
        </is>
      </c>
      <c r="B246" s="1" t="n">
        <v>43633</v>
      </c>
      <c r="C246" s="1" t="n">
        <v>45675</v>
      </c>
      <c r="D246" t="inlineStr">
        <is>
          <t>JÄMTLANDS LÄN</t>
        </is>
      </c>
      <c r="E246" t="inlineStr">
        <is>
          <t>HÄRJEDALEN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34618-2019</t>
        </is>
      </c>
      <c r="B247" s="1" t="n">
        <v>43647</v>
      </c>
      <c r="C247" s="1" t="n">
        <v>45675</v>
      </c>
      <c r="D247" t="inlineStr">
        <is>
          <t>JÄMTLANDS LÄN</t>
        </is>
      </c>
      <c r="E247" t="inlineStr">
        <is>
          <t>HÄRJEDALEN</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32878-2019</t>
        </is>
      </c>
      <c r="B248" s="1" t="n">
        <v>43648</v>
      </c>
      <c r="C248" s="1" t="n">
        <v>45675</v>
      </c>
      <c r="D248" t="inlineStr">
        <is>
          <t>JÄMTLANDS LÄN</t>
        </is>
      </c>
      <c r="E248" t="inlineStr">
        <is>
          <t>HÄRJEDALEN</t>
        </is>
      </c>
      <c r="F248" t="inlineStr">
        <is>
          <t>Övriga Aktiebolag</t>
        </is>
      </c>
      <c r="G248" t="n">
        <v>91.8</v>
      </c>
      <c r="H248" t="n">
        <v>0</v>
      </c>
      <c r="I248" t="n">
        <v>0</v>
      </c>
      <c r="J248" t="n">
        <v>0</v>
      </c>
      <c r="K248" t="n">
        <v>0</v>
      </c>
      <c r="L248" t="n">
        <v>0</v>
      </c>
      <c r="M248" t="n">
        <v>0</v>
      </c>
      <c r="N248" t="n">
        <v>0</v>
      </c>
      <c r="O248" t="n">
        <v>0</v>
      </c>
      <c r="P248" t="n">
        <v>0</v>
      </c>
      <c r="Q248" t="n">
        <v>0</v>
      </c>
      <c r="R248" s="2" t="inlineStr"/>
    </row>
    <row r="249" ht="15" customHeight="1">
      <c r="A249" t="inlineStr">
        <is>
          <t>A 33496-2019</t>
        </is>
      </c>
      <c r="B249" s="1" t="n">
        <v>43651</v>
      </c>
      <c r="C249" s="1" t="n">
        <v>45675</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33497-2019</t>
        </is>
      </c>
      <c r="B250" s="1" t="n">
        <v>43651</v>
      </c>
      <c r="C250" s="1" t="n">
        <v>45675</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34688-2019</t>
        </is>
      </c>
      <c r="B251" s="1" t="n">
        <v>43657</v>
      </c>
      <c r="C251" s="1" t="n">
        <v>45675</v>
      </c>
      <c r="D251" t="inlineStr">
        <is>
          <t>JÄMTLANDS LÄN</t>
        </is>
      </c>
      <c r="E251" t="inlineStr">
        <is>
          <t>HÄRJEDALEN</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34805-2019</t>
        </is>
      </c>
      <c r="B252" s="1" t="n">
        <v>43658</v>
      </c>
      <c r="C252" s="1" t="n">
        <v>45675</v>
      </c>
      <c r="D252" t="inlineStr">
        <is>
          <t>JÄMTLANDS LÄN</t>
        </is>
      </c>
      <c r="E252" t="inlineStr">
        <is>
          <t>HÄRJEDALEN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35160-2019</t>
        </is>
      </c>
      <c r="B253" s="1" t="n">
        <v>43661</v>
      </c>
      <c r="C253" s="1" t="n">
        <v>45675</v>
      </c>
      <c r="D253" t="inlineStr">
        <is>
          <t>JÄMTLANDS LÄN</t>
        </is>
      </c>
      <c r="E253" t="inlineStr">
        <is>
          <t>HÄRJEDALEN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36343-2019</t>
        </is>
      </c>
      <c r="B254" s="1" t="n">
        <v>43662</v>
      </c>
      <c r="C254" s="1" t="n">
        <v>45675</v>
      </c>
      <c r="D254" t="inlineStr">
        <is>
          <t>JÄMTLANDS LÄN</t>
        </is>
      </c>
      <c r="E254" t="inlineStr">
        <is>
          <t>HÄRJEDALEN</t>
        </is>
      </c>
      <c r="G254" t="n">
        <v>8</v>
      </c>
      <c r="H254" t="n">
        <v>0</v>
      </c>
      <c r="I254" t="n">
        <v>0</v>
      </c>
      <c r="J254" t="n">
        <v>0</v>
      </c>
      <c r="K254" t="n">
        <v>0</v>
      </c>
      <c r="L254" t="n">
        <v>0</v>
      </c>
      <c r="M254" t="n">
        <v>0</v>
      </c>
      <c r="N254" t="n">
        <v>0</v>
      </c>
      <c r="O254" t="n">
        <v>0</v>
      </c>
      <c r="P254" t="n">
        <v>0</v>
      </c>
      <c r="Q254" t="n">
        <v>0</v>
      </c>
      <c r="R254" s="2" t="inlineStr"/>
    </row>
    <row r="255" ht="15" customHeight="1">
      <c r="A255" t="inlineStr">
        <is>
          <t>A 38283-2019</t>
        </is>
      </c>
      <c r="B255" s="1" t="n">
        <v>43684</v>
      </c>
      <c r="C255" s="1" t="n">
        <v>45675</v>
      </c>
      <c r="D255" t="inlineStr">
        <is>
          <t>JÄMTLANDS LÄN</t>
        </is>
      </c>
      <c r="E255" t="inlineStr">
        <is>
          <t>HÄRJEDALEN</t>
        </is>
      </c>
      <c r="F255" t="inlineStr">
        <is>
          <t>Bergvik skog väst AB</t>
        </is>
      </c>
      <c r="G255" t="n">
        <v>29.5</v>
      </c>
      <c r="H255" t="n">
        <v>0</v>
      </c>
      <c r="I255" t="n">
        <v>0</v>
      </c>
      <c r="J255" t="n">
        <v>0</v>
      </c>
      <c r="K255" t="n">
        <v>0</v>
      </c>
      <c r="L255" t="n">
        <v>0</v>
      </c>
      <c r="M255" t="n">
        <v>0</v>
      </c>
      <c r="N255" t="n">
        <v>0</v>
      </c>
      <c r="O255" t="n">
        <v>0</v>
      </c>
      <c r="P255" t="n">
        <v>0</v>
      </c>
      <c r="Q255" t="n">
        <v>0</v>
      </c>
      <c r="R255" s="2" t="inlineStr"/>
    </row>
    <row r="256" ht="15" customHeight="1">
      <c r="A256" t="inlineStr">
        <is>
          <t>A 38859-2019</t>
        </is>
      </c>
      <c r="B256" s="1" t="n">
        <v>43689</v>
      </c>
      <c r="C256" s="1" t="n">
        <v>45675</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38884-2019</t>
        </is>
      </c>
      <c r="B257" s="1" t="n">
        <v>43689</v>
      </c>
      <c r="C257" s="1" t="n">
        <v>45675</v>
      </c>
      <c r="D257" t="inlineStr">
        <is>
          <t>JÄMTLANDS LÄN</t>
        </is>
      </c>
      <c r="E257" t="inlineStr">
        <is>
          <t>HÄRJEDALEN</t>
        </is>
      </c>
      <c r="G257" t="n">
        <v>2.5</v>
      </c>
      <c r="H257" t="n">
        <v>0</v>
      </c>
      <c r="I257" t="n">
        <v>0</v>
      </c>
      <c r="J257" t="n">
        <v>0</v>
      </c>
      <c r="K257" t="n">
        <v>0</v>
      </c>
      <c r="L257" t="n">
        <v>0</v>
      </c>
      <c r="M257" t="n">
        <v>0</v>
      </c>
      <c r="N257" t="n">
        <v>0</v>
      </c>
      <c r="O257" t="n">
        <v>0</v>
      </c>
      <c r="P257" t="n">
        <v>0</v>
      </c>
      <c r="Q257" t="n">
        <v>0</v>
      </c>
      <c r="R257" s="2" t="inlineStr"/>
    </row>
    <row r="258" ht="15" customHeight="1">
      <c r="A258" t="inlineStr">
        <is>
          <t>A 40244-2019</t>
        </is>
      </c>
      <c r="B258" s="1" t="n">
        <v>43694</v>
      </c>
      <c r="C258" s="1" t="n">
        <v>45675</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42123-2019</t>
        </is>
      </c>
      <c r="B259" s="1" t="n">
        <v>43703</v>
      </c>
      <c r="C259" s="1" t="n">
        <v>45675</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43103-2019</t>
        </is>
      </c>
      <c r="B260" s="1" t="n">
        <v>43705</v>
      </c>
      <c r="C260" s="1" t="n">
        <v>45675</v>
      </c>
      <c r="D260" t="inlineStr">
        <is>
          <t>JÄMTLANDS LÄN</t>
        </is>
      </c>
      <c r="E260" t="inlineStr">
        <is>
          <t>HÄRJEDALEN</t>
        </is>
      </c>
      <c r="G260" t="n">
        <v>38.6</v>
      </c>
      <c r="H260" t="n">
        <v>0</v>
      </c>
      <c r="I260" t="n">
        <v>0</v>
      </c>
      <c r="J260" t="n">
        <v>0</v>
      </c>
      <c r="K260" t="n">
        <v>0</v>
      </c>
      <c r="L260" t="n">
        <v>0</v>
      </c>
      <c r="M260" t="n">
        <v>0</v>
      </c>
      <c r="N260" t="n">
        <v>0</v>
      </c>
      <c r="O260" t="n">
        <v>0</v>
      </c>
      <c r="P260" t="n">
        <v>0</v>
      </c>
      <c r="Q260" t="n">
        <v>0</v>
      </c>
      <c r="R260" s="2" t="inlineStr"/>
    </row>
    <row r="261" ht="15" customHeight="1">
      <c r="A261" t="inlineStr">
        <is>
          <t>A 43142-2019</t>
        </is>
      </c>
      <c r="B261" s="1" t="n">
        <v>43705</v>
      </c>
      <c r="C261" s="1" t="n">
        <v>45675</v>
      </c>
      <c r="D261" t="inlineStr">
        <is>
          <t>JÄMTLANDS LÄN</t>
        </is>
      </c>
      <c r="E261" t="inlineStr">
        <is>
          <t>HÄRJEDALEN</t>
        </is>
      </c>
      <c r="G261" t="n">
        <v>3.2</v>
      </c>
      <c r="H261" t="n">
        <v>0</v>
      </c>
      <c r="I261" t="n">
        <v>0</v>
      </c>
      <c r="J261" t="n">
        <v>0</v>
      </c>
      <c r="K261" t="n">
        <v>0</v>
      </c>
      <c r="L261" t="n">
        <v>0</v>
      </c>
      <c r="M261" t="n">
        <v>0</v>
      </c>
      <c r="N261" t="n">
        <v>0</v>
      </c>
      <c r="O261" t="n">
        <v>0</v>
      </c>
      <c r="P261" t="n">
        <v>0</v>
      </c>
      <c r="Q261" t="n">
        <v>0</v>
      </c>
      <c r="R261" s="2" t="inlineStr"/>
    </row>
    <row r="262" ht="15" customHeight="1">
      <c r="A262" t="inlineStr">
        <is>
          <t>A 43649-2019</t>
        </is>
      </c>
      <c r="B262" s="1" t="n">
        <v>43707</v>
      </c>
      <c r="C262" s="1" t="n">
        <v>45675</v>
      </c>
      <c r="D262" t="inlineStr">
        <is>
          <t>JÄMTLANDS LÄN</t>
        </is>
      </c>
      <c r="E262" t="inlineStr">
        <is>
          <t>HÄRJEDALEN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43896-2019</t>
        </is>
      </c>
      <c r="B263" s="1" t="n">
        <v>43707</v>
      </c>
      <c r="C263" s="1" t="n">
        <v>45675</v>
      </c>
      <c r="D263" t="inlineStr">
        <is>
          <t>JÄMTLANDS LÄN</t>
        </is>
      </c>
      <c r="E263" t="inlineStr">
        <is>
          <t>HÄRJEDALEN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45167-2019</t>
        </is>
      </c>
      <c r="B264" s="1" t="n">
        <v>43713</v>
      </c>
      <c r="C264" s="1" t="n">
        <v>45675</v>
      </c>
      <c r="D264" t="inlineStr">
        <is>
          <t>JÄMTLANDS LÄN</t>
        </is>
      </c>
      <c r="E264" t="inlineStr">
        <is>
          <t>HÄRJEDALEN</t>
        </is>
      </c>
      <c r="F264" t="inlineStr">
        <is>
          <t>Holmen skog AB</t>
        </is>
      </c>
      <c r="G264" t="n">
        <v>15.9</v>
      </c>
      <c r="H264" t="n">
        <v>0</v>
      </c>
      <c r="I264" t="n">
        <v>0</v>
      </c>
      <c r="J264" t="n">
        <v>0</v>
      </c>
      <c r="K264" t="n">
        <v>0</v>
      </c>
      <c r="L264" t="n">
        <v>0</v>
      </c>
      <c r="M264" t="n">
        <v>0</v>
      </c>
      <c r="N264" t="n">
        <v>0</v>
      </c>
      <c r="O264" t="n">
        <v>0</v>
      </c>
      <c r="P264" t="n">
        <v>0</v>
      </c>
      <c r="Q264" t="n">
        <v>0</v>
      </c>
      <c r="R264" s="2" t="inlineStr"/>
    </row>
    <row r="265" ht="15" customHeight="1">
      <c r="A265" t="inlineStr">
        <is>
          <t>A 44939-2019</t>
        </is>
      </c>
      <c r="B265" s="1" t="n">
        <v>43713</v>
      </c>
      <c r="C265" s="1" t="n">
        <v>45675</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45858-2019</t>
        </is>
      </c>
      <c r="B266" s="1" t="n">
        <v>43717</v>
      </c>
      <c r="C266" s="1" t="n">
        <v>45675</v>
      </c>
      <c r="D266" t="inlineStr">
        <is>
          <t>JÄMTLANDS LÄN</t>
        </is>
      </c>
      <c r="E266" t="inlineStr">
        <is>
          <t>HÄRJEDALEN</t>
        </is>
      </c>
      <c r="F266" t="inlineStr">
        <is>
          <t>Holmen skog AB</t>
        </is>
      </c>
      <c r="G266" t="n">
        <v>3.9</v>
      </c>
      <c r="H266" t="n">
        <v>0</v>
      </c>
      <c r="I266" t="n">
        <v>0</v>
      </c>
      <c r="J266" t="n">
        <v>0</v>
      </c>
      <c r="K266" t="n">
        <v>0</v>
      </c>
      <c r="L266" t="n">
        <v>0</v>
      </c>
      <c r="M266" t="n">
        <v>0</v>
      </c>
      <c r="N266" t="n">
        <v>0</v>
      </c>
      <c r="O266" t="n">
        <v>0</v>
      </c>
      <c r="P266" t="n">
        <v>0</v>
      </c>
      <c r="Q266" t="n">
        <v>0</v>
      </c>
      <c r="R266" s="2" t="inlineStr"/>
    </row>
    <row r="267" ht="15" customHeight="1">
      <c r="A267" t="inlineStr">
        <is>
          <t>A 45781-2019</t>
        </is>
      </c>
      <c r="B267" s="1" t="n">
        <v>43717</v>
      </c>
      <c r="C267" s="1" t="n">
        <v>45675</v>
      </c>
      <c r="D267" t="inlineStr">
        <is>
          <t>JÄMTLANDS LÄN</t>
        </is>
      </c>
      <c r="E267" t="inlineStr">
        <is>
          <t>HÄRJEDALEN</t>
        </is>
      </c>
      <c r="F267" t="inlineStr">
        <is>
          <t>Holmen skog AB</t>
        </is>
      </c>
      <c r="G267" t="n">
        <v>13.8</v>
      </c>
      <c r="H267" t="n">
        <v>0</v>
      </c>
      <c r="I267" t="n">
        <v>0</v>
      </c>
      <c r="J267" t="n">
        <v>0</v>
      </c>
      <c r="K267" t="n">
        <v>0</v>
      </c>
      <c r="L267" t="n">
        <v>0</v>
      </c>
      <c r="M267" t="n">
        <v>0</v>
      </c>
      <c r="N267" t="n">
        <v>0</v>
      </c>
      <c r="O267" t="n">
        <v>0</v>
      </c>
      <c r="P267" t="n">
        <v>0</v>
      </c>
      <c r="Q267" t="n">
        <v>0</v>
      </c>
      <c r="R267" s="2" t="inlineStr"/>
    </row>
    <row r="268" ht="15" customHeight="1">
      <c r="A268" t="inlineStr">
        <is>
          <t>A 46156-2019</t>
        </is>
      </c>
      <c r="B268" s="1" t="n">
        <v>43718</v>
      </c>
      <c r="C268" s="1" t="n">
        <v>45675</v>
      </c>
      <c r="D268" t="inlineStr">
        <is>
          <t>JÄMTLANDS LÄN</t>
        </is>
      </c>
      <c r="E268" t="inlineStr">
        <is>
          <t>HÄRJEDALEN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46133-2019</t>
        </is>
      </c>
      <c r="B269" s="1" t="n">
        <v>43718</v>
      </c>
      <c r="C269" s="1" t="n">
        <v>45675</v>
      </c>
      <c r="D269" t="inlineStr">
        <is>
          <t>JÄMTLANDS LÄN</t>
        </is>
      </c>
      <c r="E269" t="inlineStr">
        <is>
          <t>HÄRJEDALEN</t>
        </is>
      </c>
      <c r="G269" t="n">
        <v>17.6</v>
      </c>
      <c r="H269" t="n">
        <v>0</v>
      </c>
      <c r="I269" t="n">
        <v>0</v>
      </c>
      <c r="J269" t="n">
        <v>0</v>
      </c>
      <c r="K269" t="n">
        <v>0</v>
      </c>
      <c r="L269" t="n">
        <v>0</v>
      </c>
      <c r="M269" t="n">
        <v>0</v>
      </c>
      <c r="N269" t="n">
        <v>0</v>
      </c>
      <c r="O269" t="n">
        <v>0</v>
      </c>
      <c r="P269" t="n">
        <v>0</v>
      </c>
      <c r="Q269" t="n">
        <v>0</v>
      </c>
      <c r="R269" s="2" t="inlineStr"/>
    </row>
    <row r="270" ht="15" customHeight="1">
      <c r="A270" t="inlineStr">
        <is>
          <t>A 46163-2019</t>
        </is>
      </c>
      <c r="B270" s="1" t="n">
        <v>43718</v>
      </c>
      <c r="C270" s="1" t="n">
        <v>45675</v>
      </c>
      <c r="D270" t="inlineStr">
        <is>
          <t>JÄMTLANDS LÄN</t>
        </is>
      </c>
      <c r="E270" t="inlineStr">
        <is>
          <t>HÄRJEDALEN</t>
        </is>
      </c>
      <c r="G270" t="n">
        <v>28.9</v>
      </c>
      <c r="H270" t="n">
        <v>0</v>
      </c>
      <c r="I270" t="n">
        <v>0</v>
      </c>
      <c r="J270" t="n">
        <v>0</v>
      </c>
      <c r="K270" t="n">
        <v>0</v>
      </c>
      <c r="L270" t="n">
        <v>0</v>
      </c>
      <c r="M270" t="n">
        <v>0</v>
      </c>
      <c r="N270" t="n">
        <v>0</v>
      </c>
      <c r="O270" t="n">
        <v>0</v>
      </c>
      <c r="P270" t="n">
        <v>0</v>
      </c>
      <c r="Q270" t="n">
        <v>0</v>
      </c>
      <c r="R270" s="2" t="inlineStr"/>
    </row>
    <row r="271" ht="15" customHeight="1">
      <c r="A271" t="inlineStr">
        <is>
          <t>A 47004-2019</t>
        </is>
      </c>
      <c r="B271" s="1" t="n">
        <v>43720</v>
      </c>
      <c r="C271" s="1" t="n">
        <v>45675</v>
      </c>
      <c r="D271" t="inlineStr">
        <is>
          <t>JÄMTLANDS LÄN</t>
        </is>
      </c>
      <c r="E271" t="inlineStr">
        <is>
          <t>HÄRJEDALEN</t>
        </is>
      </c>
      <c r="F271" t="inlineStr">
        <is>
          <t>Bergvik skog väst AB</t>
        </is>
      </c>
      <c r="G271" t="n">
        <v>13.7</v>
      </c>
      <c r="H271" t="n">
        <v>0</v>
      </c>
      <c r="I271" t="n">
        <v>0</v>
      </c>
      <c r="J271" t="n">
        <v>0</v>
      </c>
      <c r="K271" t="n">
        <v>0</v>
      </c>
      <c r="L271" t="n">
        <v>0</v>
      </c>
      <c r="M271" t="n">
        <v>0</v>
      </c>
      <c r="N271" t="n">
        <v>0</v>
      </c>
      <c r="O271" t="n">
        <v>0</v>
      </c>
      <c r="P271" t="n">
        <v>0</v>
      </c>
      <c r="Q271" t="n">
        <v>0</v>
      </c>
      <c r="R271" s="2" t="inlineStr"/>
    </row>
    <row r="272" ht="15" customHeight="1">
      <c r="A272" t="inlineStr">
        <is>
          <t>A 49328-2019</t>
        </is>
      </c>
      <c r="B272" s="1" t="n">
        <v>43731</v>
      </c>
      <c r="C272" s="1" t="n">
        <v>45675</v>
      </c>
      <c r="D272" t="inlineStr">
        <is>
          <t>JÄMTLANDS LÄN</t>
        </is>
      </c>
      <c r="E272" t="inlineStr">
        <is>
          <t>HÄRJEDALEN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49336-2019</t>
        </is>
      </c>
      <c r="B273" s="1" t="n">
        <v>43731</v>
      </c>
      <c r="C273" s="1" t="n">
        <v>45675</v>
      </c>
      <c r="D273" t="inlineStr">
        <is>
          <t>JÄMTLANDS LÄN</t>
        </is>
      </c>
      <c r="E273" t="inlineStr">
        <is>
          <t>HÄRJEDALEN</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50310-2019</t>
        </is>
      </c>
      <c r="B274" s="1" t="n">
        <v>43735</v>
      </c>
      <c r="C274" s="1" t="n">
        <v>45675</v>
      </c>
      <c r="D274" t="inlineStr">
        <is>
          <t>JÄMTLANDS LÄN</t>
        </is>
      </c>
      <c r="E274" t="inlineStr">
        <is>
          <t>HÄRJEDALEN</t>
        </is>
      </c>
      <c r="G274" t="n">
        <v>9.1</v>
      </c>
      <c r="H274" t="n">
        <v>0</v>
      </c>
      <c r="I274" t="n">
        <v>0</v>
      </c>
      <c r="J274" t="n">
        <v>0</v>
      </c>
      <c r="K274" t="n">
        <v>0</v>
      </c>
      <c r="L274" t="n">
        <v>0</v>
      </c>
      <c r="M274" t="n">
        <v>0</v>
      </c>
      <c r="N274" t="n">
        <v>0</v>
      </c>
      <c r="O274" t="n">
        <v>0</v>
      </c>
      <c r="P274" t="n">
        <v>0</v>
      </c>
      <c r="Q274" t="n">
        <v>0</v>
      </c>
      <c r="R274" s="2" t="inlineStr"/>
    </row>
    <row r="275" ht="15" customHeight="1">
      <c r="A275" t="inlineStr">
        <is>
          <t>A 50411-2019</t>
        </is>
      </c>
      <c r="B275" s="1" t="n">
        <v>43735</v>
      </c>
      <c r="C275" s="1" t="n">
        <v>45675</v>
      </c>
      <c r="D275" t="inlineStr">
        <is>
          <t>JÄMTLANDS LÄN</t>
        </is>
      </c>
      <c r="E275" t="inlineStr">
        <is>
          <t>HÄRJEDALEN</t>
        </is>
      </c>
      <c r="F275" t="inlineStr">
        <is>
          <t>Sveaskog</t>
        </is>
      </c>
      <c r="G275" t="n">
        <v>7</v>
      </c>
      <c r="H275" t="n">
        <v>0</v>
      </c>
      <c r="I275" t="n">
        <v>0</v>
      </c>
      <c r="J275" t="n">
        <v>0</v>
      </c>
      <c r="K275" t="n">
        <v>0</v>
      </c>
      <c r="L275" t="n">
        <v>0</v>
      </c>
      <c r="M275" t="n">
        <v>0</v>
      </c>
      <c r="N275" t="n">
        <v>0</v>
      </c>
      <c r="O275" t="n">
        <v>0</v>
      </c>
      <c r="P275" t="n">
        <v>0</v>
      </c>
      <c r="Q275" t="n">
        <v>0</v>
      </c>
      <c r="R275" s="2" t="inlineStr"/>
    </row>
    <row r="276" ht="15" customHeight="1">
      <c r="A276" t="inlineStr">
        <is>
          <t>A 50519-2019</t>
        </is>
      </c>
      <c r="B276" s="1" t="n">
        <v>43735</v>
      </c>
      <c r="C276" s="1" t="n">
        <v>45675</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50624-2019</t>
        </is>
      </c>
      <c r="B277" s="1" t="n">
        <v>43736</v>
      </c>
      <c r="C277" s="1" t="n">
        <v>45675</v>
      </c>
      <c r="D277" t="inlineStr">
        <is>
          <t>JÄMTLANDS LÄN</t>
        </is>
      </c>
      <c r="E277" t="inlineStr">
        <is>
          <t>HÄRJEDALEN</t>
        </is>
      </c>
      <c r="G277" t="n">
        <v>2.4</v>
      </c>
      <c r="H277" t="n">
        <v>0</v>
      </c>
      <c r="I277" t="n">
        <v>0</v>
      </c>
      <c r="J277" t="n">
        <v>0</v>
      </c>
      <c r="K277" t="n">
        <v>0</v>
      </c>
      <c r="L277" t="n">
        <v>0</v>
      </c>
      <c r="M277" t="n">
        <v>0</v>
      </c>
      <c r="N277" t="n">
        <v>0</v>
      </c>
      <c r="O277" t="n">
        <v>0</v>
      </c>
      <c r="P277" t="n">
        <v>0</v>
      </c>
      <c r="Q277" t="n">
        <v>0</v>
      </c>
      <c r="R277" s="2" t="inlineStr"/>
    </row>
    <row r="278" ht="15" customHeight="1">
      <c r="A278" t="inlineStr">
        <is>
          <t>A 51108-2019</t>
        </is>
      </c>
      <c r="B278" s="1" t="n">
        <v>43739</v>
      </c>
      <c r="C278" s="1" t="n">
        <v>45675</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51118-2019</t>
        </is>
      </c>
      <c r="B279" s="1" t="n">
        <v>43739</v>
      </c>
      <c r="C279" s="1" t="n">
        <v>45675</v>
      </c>
      <c r="D279" t="inlineStr">
        <is>
          <t>JÄMTLANDS LÄN</t>
        </is>
      </c>
      <c r="E279" t="inlineStr">
        <is>
          <t>HÄRJEDALEN</t>
        </is>
      </c>
      <c r="G279" t="n">
        <v>12.5</v>
      </c>
      <c r="H279" t="n">
        <v>0</v>
      </c>
      <c r="I279" t="n">
        <v>0</v>
      </c>
      <c r="J279" t="n">
        <v>0</v>
      </c>
      <c r="K279" t="n">
        <v>0</v>
      </c>
      <c r="L279" t="n">
        <v>0</v>
      </c>
      <c r="M279" t="n">
        <v>0</v>
      </c>
      <c r="N279" t="n">
        <v>0</v>
      </c>
      <c r="O279" t="n">
        <v>0</v>
      </c>
      <c r="P279" t="n">
        <v>0</v>
      </c>
      <c r="Q279" t="n">
        <v>0</v>
      </c>
      <c r="R279" s="2" t="inlineStr"/>
    </row>
    <row r="280" ht="15" customHeight="1">
      <c r="A280" t="inlineStr">
        <is>
          <t>A 51123-2019</t>
        </is>
      </c>
      <c r="B280" s="1" t="n">
        <v>43739</v>
      </c>
      <c r="C280" s="1" t="n">
        <v>45675</v>
      </c>
      <c r="D280" t="inlineStr">
        <is>
          <t>JÄMTLANDS LÄN</t>
        </is>
      </c>
      <c r="E280" t="inlineStr">
        <is>
          <t>HÄRJEDALEN</t>
        </is>
      </c>
      <c r="G280" t="n">
        <v>1.6</v>
      </c>
      <c r="H280" t="n">
        <v>0</v>
      </c>
      <c r="I280" t="n">
        <v>0</v>
      </c>
      <c r="J280" t="n">
        <v>0</v>
      </c>
      <c r="K280" t="n">
        <v>0</v>
      </c>
      <c r="L280" t="n">
        <v>0</v>
      </c>
      <c r="M280" t="n">
        <v>0</v>
      </c>
      <c r="N280" t="n">
        <v>0</v>
      </c>
      <c r="O280" t="n">
        <v>0</v>
      </c>
      <c r="P280" t="n">
        <v>0</v>
      </c>
      <c r="Q280" t="n">
        <v>0</v>
      </c>
      <c r="R280" s="2" t="inlineStr"/>
    </row>
    <row r="281" ht="15" customHeight="1">
      <c r="A281" t="inlineStr">
        <is>
          <t>A 51105-2019</t>
        </is>
      </c>
      <c r="B281" s="1" t="n">
        <v>43739</v>
      </c>
      <c r="C281" s="1" t="n">
        <v>45675</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51111-2019</t>
        </is>
      </c>
      <c r="B282" s="1" t="n">
        <v>43739</v>
      </c>
      <c r="C282" s="1" t="n">
        <v>45675</v>
      </c>
      <c r="D282" t="inlineStr">
        <is>
          <t>JÄMTLANDS LÄN</t>
        </is>
      </c>
      <c r="E282" t="inlineStr">
        <is>
          <t>HÄRJEDALEN</t>
        </is>
      </c>
      <c r="G282" t="n">
        <v>3.7</v>
      </c>
      <c r="H282" t="n">
        <v>0</v>
      </c>
      <c r="I282" t="n">
        <v>0</v>
      </c>
      <c r="J282" t="n">
        <v>0</v>
      </c>
      <c r="K282" t="n">
        <v>0</v>
      </c>
      <c r="L282" t="n">
        <v>0</v>
      </c>
      <c r="M282" t="n">
        <v>0</v>
      </c>
      <c r="N282" t="n">
        <v>0</v>
      </c>
      <c r="O282" t="n">
        <v>0</v>
      </c>
      <c r="P282" t="n">
        <v>0</v>
      </c>
      <c r="Q282" t="n">
        <v>0</v>
      </c>
      <c r="R282" s="2" t="inlineStr"/>
    </row>
    <row r="283" ht="15" customHeight="1">
      <c r="A283" t="inlineStr">
        <is>
          <t>A 52304-2019</t>
        </is>
      </c>
      <c r="B283" s="1" t="n">
        <v>43745</v>
      </c>
      <c r="C283" s="1" t="n">
        <v>45675</v>
      </c>
      <c r="D283" t="inlineStr">
        <is>
          <t>JÄMTLANDS LÄN</t>
        </is>
      </c>
      <c r="E283" t="inlineStr">
        <is>
          <t>HÄRJEDALEN</t>
        </is>
      </c>
      <c r="G283" t="n">
        <v>4.8</v>
      </c>
      <c r="H283" t="n">
        <v>0</v>
      </c>
      <c r="I283" t="n">
        <v>0</v>
      </c>
      <c r="J283" t="n">
        <v>0</v>
      </c>
      <c r="K283" t="n">
        <v>0</v>
      </c>
      <c r="L283" t="n">
        <v>0</v>
      </c>
      <c r="M283" t="n">
        <v>0</v>
      </c>
      <c r="N283" t="n">
        <v>0</v>
      </c>
      <c r="O283" t="n">
        <v>0</v>
      </c>
      <c r="P283" t="n">
        <v>0</v>
      </c>
      <c r="Q283" t="n">
        <v>0</v>
      </c>
      <c r="R283" s="2" t="inlineStr"/>
    </row>
    <row r="284" ht="15" customHeight="1">
      <c r="A284" t="inlineStr">
        <is>
          <t>A 52709-2019</t>
        </is>
      </c>
      <c r="B284" s="1" t="n">
        <v>43746</v>
      </c>
      <c r="C284" s="1" t="n">
        <v>45675</v>
      </c>
      <c r="D284" t="inlineStr">
        <is>
          <t>JÄMTLANDS LÄN</t>
        </is>
      </c>
      <c r="E284" t="inlineStr">
        <is>
          <t>HÄRJEDALEN</t>
        </is>
      </c>
      <c r="G284" t="n">
        <v>10.6</v>
      </c>
      <c r="H284" t="n">
        <v>0</v>
      </c>
      <c r="I284" t="n">
        <v>0</v>
      </c>
      <c r="J284" t="n">
        <v>0</v>
      </c>
      <c r="K284" t="n">
        <v>0</v>
      </c>
      <c r="L284" t="n">
        <v>0</v>
      </c>
      <c r="M284" t="n">
        <v>0</v>
      </c>
      <c r="N284" t="n">
        <v>0</v>
      </c>
      <c r="O284" t="n">
        <v>0</v>
      </c>
      <c r="P284" t="n">
        <v>0</v>
      </c>
      <c r="Q284" t="n">
        <v>0</v>
      </c>
      <c r="R284" s="2" t="inlineStr"/>
    </row>
    <row r="285" ht="15" customHeight="1">
      <c r="A285" t="inlineStr">
        <is>
          <t>A 52992-2019</t>
        </is>
      </c>
      <c r="B285" s="1" t="n">
        <v>43747</v>
      </c>
      <c r="C285" s="1" t="n">
        <v>45675</v>
      </c>
      <c r="D285" t="inlineStr">
        <is>
          <t>JÄMTLANDS LÄN</t>
        </is>
      </c>
      <c r="E285" t="inlineStr">
        <is>
          <t>HÄRJEDALEN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52991-2019</t>
        </is>
      </c>
      <c r="B286" s="1" t="n">
        <v>43747</v>
      </c>
      <c r="C286" s="1" t="n">
        <v>45675</v>
      </c>
      <c r="D286" t="inlineStr">
        <is>
          <t>JÄMTLANDS LÄN</t>
        </is>
      </c>
      <c r="E286" t="inlineStr">
        <is>
          <t>HÄRJEDALEN</t>
        </is>
      </c>
      <c r="F286" t="inlineStr">
        <is>
          <t>Sveaskog</t>
        </is>
      </c>
      <c r="G286" t="n">
        <v>13.6</v>
      </c>
      <c r="H286" t="n">
        <v>0</v>
      </c>
      <c r="I286" t="n">
        <v>0</v>
      </c>
      <c r="J286" t="n">
        <v>0</v>
      </c>
      <c r="K286" t="n">
        <v>0</v>
      </c>
      <c r="L286" t="n">
        <v>0</v>
      </c>
      <c r="M286" t="n">
        <v>0</v>
      </c>
      <c r="N286" t="n">
        <v>0</v>
      </c>
      <c r="O286" t="n">
        <v>0</v>
      </c>
      <c r="P286" t="n">
        <v>0</v>
      </c>
      <c r="Q286" t="n">
        <v>0</v>
      </c>
      <c r="R286" s="2" t="inlineStr"/>
    </row>
    <row r="287" ht="15" customHeight="1">
      <c r="A287" t="inlineStr">
        <is>
          <t>A 53418-2019</t>
        </is>
      </c>
      <c r="B287" s="1" t="n">
        <v>43748</v>
      </c>
      <c r="C287" s="1" t="n">
        <v>45675</v>
      </c>
      <c r="D287" t="inlineStr">
        <is>
          <t>JÄMTLANDS LÄN</t>
        </is>
      </c>
      <c r="E287" t="inlineStr">
        <is>
          <t>HÄRJEDALEN</t>
        </is>
      </c>
      <c r="G287" t="n">
        <v>0.4</v>
      </c>
      <c r="H287" t="n">
        <v>0</v>
      </c>
      <c r="I287" t="n">
        <v>0</v>
      </c>
      <c r="J287" t="n">
        <v>0</v>
      </c>
      <c r="K287" t="n">
        <v>0</v>
      </c>
      <c r="L287" t="n">
        <v>0</v>
      </c>
      <c r="M287" t="n">
        <v>0</v>
      </c>
      <c r="N287" t="n">
        <v>0</v>
      </c>
      <c r="O287" t="n">
        <v>0</v>
      </c>
      <c r="P287" t="n">
        <v>0</v>
      </c>
      <c r="Q287" t="n">
        <v>0</v>
      </c>
      <c r="R287" s="2" t="inlineStr"/>
    </row>
    <row r="288" ht="15" customHeight="1">
      <c r="A288" t="inlineStr">
        <is>
          <t>A 53952-2019</t>
        </is>
      </c>
      <c r="B288" s="1" t="n">
        <v>43752</v>
      </c>
      <c r="C288" s="1" t="n">
        <v>45675</v>
      </c>
      <c r="D288" t="inlineStr">
        <is>
          <t>JÄMTLANDS LÄN</t>
        </is>
      </c>
      <c r="E288" t="inlineStr">
        <is>
          <t>HÄRJEDALEN</t>
        </is>
      </c>
      <c r="G288" t="n">
        <v>8.6</v>
      </c>
      <c r="H288" t="n">
        <v>0</v>
      </c>
      <c r="I288" t="n">
        <v>0</v>
      </c>
      <c r="J288" t="n">
        <v>0</v>
      </c>
      <c r="K288" t="n">
        <v>0</v>
      </c>
      <c r="L288" t="n">
        <v>0</v>
      </c>
      <c r="M288" t="n">
        <v>0</v>
      </c>
      <c r="N288" t="n">
        <v>0</v>
      </c>
      <c r="O288" t="n">
        <v>0</v>
      </c>
      <c r="P288" t="n">
        <v>0</v>
      </c>
      <c r="Q288" t="n">
        <v>0</v>
      </c>
      <c r="R288" s="2" t="inlineStr"/>
    </row>
    <row r="289" ht="15" customHeight="1">
      <c r="A289" t="inlineStr">
        <is>
          <t>A 53962-2019</t>
        </is>
      </c>
      <c r="B289" s="1" t="n">
        <v>43752</v>
      </c>
      <c r="C289" s="1" t="n">
        <v>45675</v>
      </c>
      <c r="D289" t="inlineStr">
        <is>
          <t>JÄMTLANDS LÄN</t>
        </is>
      </c>
      <c r="E289" t="inlineStr">
        <is>
          <t>HÄRJEDALEN</t>
        </is>
      </c>
      <c r="G289" t="n">
        <v>19.4</v>
      </c>
      <c r="H289" t="n">
        <v>0</v>
      </c>
      <c r="I289" t="n">
        <v>0</v>
      </c>
      <c r="J289" t="n">
        <v>0</v>
      </c>
      <c r="K289" t="n">
        <v>0</v>
      </c>
      <c r="L289" t="n">
        <v>0</v>
      </c>
      <c r="M289" t="n">
        <v>0</v>
      </c>
      <c r="N289" t="n">
        <v>0</v>
      </c>
      <c r="O289" t="n">
        <v>0</v>
      </c>
      <c r="P289" t="n">
        <v>0</v>
      </c>
      <c r="Q289" t="n">
        <v>0</v>
      </c>
      <c r="R289" s="2" t="inlineStr"/>
    </row>
    <row r="290" ht="15" customHeight="1">
      <c r="A290" t="inlineStr">
        <is>
          <t>A 54905-2019</t>
        </is>
      </c>
      <c r="B290" s="1" t="n">
        <v>43755</v>
      </c>
      <c r="C290" s="1" t="n">
        <v>45675</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55197-2019</t>
        </is>
      </c>
      <c r="B291" s="1" t="n">
        <v>43756</v>
      </c>
      <c r="C291" s="1" t="n">
        <v>45675</v>
      </c>
      <c r="D291" t="inlineStr">
        <is>
          <t>JÄMTLANDS LÄN</t>
        </is>
      </c>
      <c r="E291" t="inlineStr">
        <is>
          <t>HÄRJEDALEN</t>
        </is>
      </c>
      <c r="F291" t="inlineStr">
        <is>
          <t>Sveaskog</t>
        </is>
      </c>
      <c r="G291" t="n">
        <v>9</v>
      </c>
      <c r="H291" t="n">
        <v>0</v>
      </c>
      <c r="I291" t="n">
        <v>0</v>
      </c>
      <c r="J291" t="n">
        <v>0</v>
      </c>
      <c r="K291" t="n">
        <v>0</v>
      </c>
      <c r="L291" t="n">
        <v>0</v>
      </c>
      <c r="M291" t="n">
        <v>0</v>
      </c>
      <c r="N291" t="n">
        <v>0</v>
      </c>
      <c r="O291" t="n">
        <v>0</v>
      </c>
      <c r="P291" t="n">
        <v>0</v>
      </c>
      <c r="Q291" t="n">
        <v>0</v>
      </c>
      <c r="R291" s="2" t="inlineStr"/>
    </row>
    <row r="292" ht="15" customHeight="1">
      <c r="A292" t="inlineStr">
        <is>
          <t>A 55241-2019</t>
        </is>
      </c>
      <c r="B292" s="1" t="n">
        <v>43756</v>
      </c>
      <c r="C292" s="1" t="n">
        <v>45675</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55193-2019</t>
        </is>
      </c>
      <c r="B293" s="1" t="n">
        <v>43756</v>
      </c>
      <c r="C293" s="1" t="n">
        <v>45675</v>
      </c>
      <c r="D293" t="inlineStr">
        <is>
          <t>JÄMTLANDS LÄN</t>
        </is>
      </c>
      <c r="E293" t="inlineStr">
        <is>
          <t>HÄRJEDALEN</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55238-2019</t>
        </is>
      </c>
      <c r="B294" s="1" t="n">
        <v>43756</v>
      </c>
      <c r="C294" s="1" t="n">
        <v>45675</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55801-2019</t>
        </is>
      </c>
      <c r="B295" s="1" t="n">
        <v>43759</v>
      </c>
      <c r="C295" s="1" t="n">
        <v>45675</v>
      </c>
      <c r="D295" t="inlineStr">
        <is>
          <t>JÄMTLANDS LÄN</t>
        </is>
      </c>
      <c r="E295" t="inlineStr">
        <is>
          <t>HÄRJEDALEN</t>
        </is>
      </c>
      <c r="F295" t="inlineStr">
        <is>
          <t>Bergvik skog väst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55554-2019</t>
        </is>
      </c>
      <c r="B296" s="1" t="n">
        <v>43759</v>
      </c>
      <c r="C296" s="1" t="n">
        <v>45675</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57281-2019</t>
        </is>
      </c>
      <c r="B297" s="1" t="n">
        <v>43759</v>
      </c>
      <c r="C297" s="1" t="n">
        <v>45675</v>
      </c>
      <c r="D297" t="inlineStr">
        <is>
          <t>JÄMTLANDS LÄN</t>
        </is>
      </c>
      <c r="E297" t="inlineStr">
        <is>
          <t>HÄRJEDALEN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55578-2019</t>
        </is>
      </c>
      <c r="B298" s="1" t="n">
        <v>43760</v>
      </c>
      <c r="C298" s="1" t="n">
        <v>45675</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55607-2019</t>
        </is>
      </c>
      <c r="B299" s="1" t="n">
        <v>43760</v>
      </c>
      <c r="C299" s="1" t="n">
        <v>45675</v>
      </c>
      <c r="D299" t="inlineStr">
        <is>
          <t>JÄMTLANDS LÄN</t>
        </is>
      </c>
      <c r="E299" t="inlineStr">
        <is>
          <t>HÄRJEDALEN</t>
        </is>
      </c>
      <c r="G299" t="n">
        <v>3.7</v>
      </c>
      <c r="H299" t="n">
        <v>0</v>
      </c>
      <c r="I299" t="n">
        <v>0</v>
      </c>
      <c r="J299" t="n">
        <v>0</v>
      </c>
      <c r="K299" t="n">
        <v>0</v>
      </c>
      <c r="L299" t="n">
        <v>0</v>
      </c>
      <c r="M299" t="n">
        <v>0</v>
      </c>
      <c r="N299" t="n">
        <v>0</v>
      </c>
      <c r="O299" t="n">
        <v>0</v>
      </c>
      <c r="P299" t="n">
        <v>0</v>
      </c>
      <c r="Q299" t="n">
        <v>0</v>
      </c>
      <c r="R299" s="2" t="inlineStr"/>
    </row>
    <row r="300" ht="15" customHeight="1">
      <c r="A300" t="inlineStr">
        <is>
          <t>A 56217-2019</t>
        </is>
      </c>
      <c r="B300" s="1" t="n">
        <v>43762</v>
      </c>
      <c r="C300" s="1" t="n">
        <v>45675</v>
      </c>
      <c r="D300" t="inlineStr">
        <is>
          <t>JÄMTLANDS LÄN</t>
        </is>
      </c>
      <c r="E300" t="inlineStr">
        <is>
          <t>HÄRJEDALEN</t>
        </is>
      </c>
      <c r="G300" t="n">
        <v>43.2</v>
      </c>
      <c r="H300" t="n">
        <v>0</v>
      </c>
      <c r="I300" t="n">
        <v>0</v>
      </c>
      <c r="J300" t="n">
        <v>0</v>
      </c>
      <c r="K300" t="n">
        <v>0</v>
      </c>
      <c r="L300" t="n">
        <v>0</v>
      </c>
      <c r="M300" t="n">
        <v>0</v>
      </c>
      <c r="N300" t="n">
        <v>0</v>
      </c>
      <c r="O300" t="n">
        <v>0</v>
      </c>
      <c r="P300" t="n">
        <v>0</v>
      </c>
      <c r="Q300" t="n">
        <v>0</v>
      </c>
      <c r="R300" s="2" t="inlineStr"/>
    </row>
    <row r="301" ht="15" customHeight="1">
      <c r="A301" t="inlineStr">
        <is>
          <t>A 58175-2019</t>
        </is>
      </c>
      <c r="B301" s="1" t="n">
        <v>43769</v>
      </c>
      <c r="C301" s="1" t="n">
        <v>45675</v>
      </c>
      <c r="D301" t="inlineStr">
        <is>
          <t>JÄMTLANDS LÄN</t>
        </is>
      </c>
      <c r="E301" t="inlineStr">
        <is>
          <t>HÄRJEDALEN</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59347-2019</t>
        </is>
      </c>
      <c r="B302" s="1" t="n">
        <v>43770</v>
      </c>
      <c r="C302" s="1" t="n">
        <v>45675</v>
      </c>
      <c r="D302" t="inlineStr">
        <is>
          <t>JÄMTLANDS LÄN</t>
        </is>
      </c>
      <c r="E302" t="inlineStr">
        <is>
          <t>HÄRJEDALEN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58742-2019</t>
        </is>
      </c>
      <c r="B303" s="1" t="n">
        <v>43773</v>
      </c>
      <c r="C303" s="1" t="n">
        <v>45675</v>
      </c>
      <c r="D303" t="inlineStr">
        <is>
          <t>JÄMTLANDS LÄN</t>
        </is>
      </c>
      <c r="E303" t="inlineStr">
        <is>
          <t>HÄRJEDALEN</t>
        </is>
      </c>
      <c r="G303" t="n">
        <v>4</v>
      </c>
      <c r="H303" t="n">
        <v>0</v>
      </c>
      <c r="I303" t="n">
        <v>0</v>
      </c>
      <c r="J303" t="n">
        <v>0</v>
      </c>
      <c r="K303" t="n">
        <v>0</v>
      </c>
      <c r="L303" t="n">
        <v>0</v>
      </c>
      <c r="M303" t="n">
        <v>0</v>
      </c>
      <c r="N303" t="n">
        <v>0</v>
      </c>
      <c r="O303" t="n">
        <v>0</v>
      </c>
      <c r="P303" t="n">
        <v>0</v>
      </c>
      <c r="Q303" t="n">
        <v>0</v>
      </c>
      <c r="R303" s="2" t="inlineStr"/>
    </row>
    <row r="304" ht="15" customHeight="1">
      <c r="A304" t="inlineStr">
        <is>
          <t>A 59984-2019</t>
        </is>
      </c>
      <c r="B304" s="1" t="n">
        <v>43775</v>
      </c>
      <c r="C304" s="1" t="n">
        <v>45675</v>
      </c>
      <c r="D304" t="inlineStr">
        <is>
          <t>JÄMTLANDS LÄN</t>
        </is>
      </c>
      <c r="E304" t="inlineStr">
        <is>
          <t>HÄRJEDALEN</t>
        </is>
      </c>
      <c r="G304" t="n">
        <v>20.4</v>
      </c>
      <c r="H304" t="n">
        <v>0</v>
      </c>
      <c r="I304" t="n">
        <v>0</v>
      </c>
      <c r="J304" t="n">
        <v>0</v>
      </c>
      <c r="K304" t="n">
        <v>0</v>
      </c>
      <c r="L304" t="n">
        <v>0</v>
      </c>
      <c r="M304" t="n">
        <v>0</v>
      </c>
      <c r="N304" t="n">
        <v>0</v>
      </c>
      <c r="O304" t="n">
        <v>0</v>
      </c>
      <c r="P304" t="n">
        <v>0</v>
      </c>
      <c r="Q304" t="n">
        <v>0</v>
      </c>
      <c r="R304" s="2" t="inlineStr"/>
    </row>
    <row r="305" ht="15" customHeight="1">
      <c r="A305" t="inlineStr">
        <is>
          <t>A 59733-2019</t>
        </is>
      </c>
      <c r="B305" s="1" t="n">
        <v>43776</v>
      </c>
      <c r="C305" s="1" t="n">
        <v>45675</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60213-2019</t>
        </is>
      </c>
      <c r="B306" s="1" t="n">
        <v>43780</v>
      </c>
      <c r="C306" s="1" t="n">
        <v>45675</v>
      </c>
      <c r="D306" t="inlineStr">
        <is>
          <t>JÄMTLANDS LÄN</t>
        </is>
      </c>
      <c r="E306" t="inlineStr">
        <is>
          <t>HÄRJEDALEN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62342-2019</t>
        </is>
      </c>
      <c r="B307" s="1" t="n">
        <v>43782</v>
      </c>
      <c r="C307" s="1" t="n">
        <v>45675</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60919-2019</t>
        </is>
      </c>
      <c r="B308" s="1" t="n">
        <v>43782</v>
      </c>
      <c r="C308" s="1" t="n">
        <v>45675</v>
      </c>
      <c r="D308" t="inlineStr">
        <is>
          <t>JÄMTLANDS LÄN</t>
        </is>
      </c>
      <c r="E308" t="inlineStr">
        <is>
          <t>HÄRJEDALEN</t>
        </is>
      </c>
      <c r="G308" t="n">
        <v>6.4</v>
      </c>
      <c r="H308" t="n">
        <v>0</v>
      </c>
      <c r="I308" t="n">
        <v>0</v>
      </c>
      <c r="J308" t="n">
        <v>0</v>
      </c>
      <c r="K308" t="n">
        <v>0</v>
      </c>
      <c r="L308" t="n">
        <v>0</v>
      </c>
      <c r="M308" t="n">
        <v>0</v>
      </c>
      <c r="N308" t="n">
        <v>0</v>
      </c>
      <c r="O308" t="n">
        <v>0</v>
      </c>
      <c r="P308" t="n">
        <v>0</v>
      </c>
      <c r="Q308" t="n">
        <v>0</v>
      </c>
      <c r="R308" s="2" t="inlineStr"/>
    </row>
    <row r="309" ht="15" customHeight="1">
      <c r="A309" t="inlineStr">
        <is>
          <t>A 62115-2019</t>
        </is>
      </c>
      <c r="B309" s="1" t="n">
        <v>43787</v>
      </c>
      <c r="C309" s="1" t="n">
        <v>45675</v>
      </c>
      <c r="D309" t="inlineStr">
        <is>
          <t>JÄMTLANDS LÄN</t>
        </is>
      </c>
      <c r="E309" t="inlineStr">
        <is>
          <t>HÄRJEDALEN</t>
        </is>
      </c>
      <c r="G309" t="n">
        <v>0.5</v>
      </c>
      <c r="H309" t="n">
        <v>0</v>
      </c>
      <c r="I309" t="n">
        <v>0</v>
      </c>
      <c r="J309" t="n">
        <v>0</v>
      </c>
      <c r="K309" t="n">
        <v>0</v>
      </c>
      <c r="L309" t="n">
        <v>0</v>
      </c>
      <c r="M309" t="n">
        <v>0</v>
      </c>
      <c r="N309" t="n">
        <v>0</v>
      </c>
      <c r="O309" t="n">
        <v>0</v>
      </c>
      <c r="P309" t="n">
        <v>0</v>
      </c>
      <c r="Q309" t="n">
        <v>0</v>
      </c>
      <c r="R309" s="2" t="inlineStr"/>
    </row>
    <row r="310" ht="15" customHeight="1">
      <c r="A310" t="inlineStr">
        <is>
          <t>A 62451-2019</t>
        </is>
      </c>
      <c r="B310" s="1" t="n">
        <v>43788</v>
      </c>
      <c r="C310" s="1" t="n">
        <v>45675</v>
      </c>
      <c r="D310" t="inlineStr">
        <is>
          <t>JÄMTLANDS LÄN</t>
        </is>
      </c>
      <c r="E310" t="inlineStr">
        <is>
          <t>HÄRJEDALEN</t>
        </is>
      </c>
      <c r="F310" t="inlineStr">
        <is>
          <t>Bergvik skog väst AB</t>
        </is>
      </c>
      <c r="G310" t="n">
        <v>22.2</v>
      </c>
      <c r="H310" t="n">
        <v>0</v>
      </c>
      <c r="I310" t="n">
        <v>0</v>
      </c>
      <c r="J310" t="n">
        <v>0</v>
      </c>
      <c r="K310" t="n">
        <v>0</v>
      </c>
      <c r="L310" t="n">
        <v>0</v>
      </c>
      <c r="M310" t="n">
        <v>0</v>
      </c>
      <c r="N310" t="n">
        <v>0</v>
      </c>
      <c r="O310" t="n">
        <v>0</v>
      </c>
      <c r="P310" t="n">
        <v>0</v>
      </c>
      <c r="Q310" t="n">
        <v>0</v>
      </c>
      <c r="R310" s="2" t="inlineStr"/>
    </row>
    <row r="311" ht="15" customHeight="1">
      <c r="A311" t="inlineStr">
        <is>
          <t>A 62971-2019</t>
        </is>
      </c>
      <c r="B311" s="1" t="n">
        <v>43790</v>
      </c>
      <c r="C311" s="1" t="n">
        <v>45675</v>
      </c>
      <c r="D311" t="inlineStr">
        <is>
          <t>JÄMTLANDS LÄN</t>
        </is>
      </c>
      <c r="E311" t="inlineStr">
        <is>
          <t>HÄRJEDALEN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64417-2019</t>
        </is>
      </c>
      <c r="B312" s="1" t="n">
        <v>43794</v>
      </c>
      <c r="C312" s="1" t="n">
        <v>45675</v>
      </c>
      <c r="D312" t="inlineStr">
        <is>
          <t>JÄMTLANDS LÄN</t>
        </is>
      </c>
      <c r="E312" t="inlineStr">
        <is>
          <t>HÄRJEDALEN</t>
        </is>
      </c>
      <c r="G312" t="n">
        <v>6.9</v>
      </c>
      <c r="H312" t="n">
        <v>0</v>
      </c>
      <c r="I312" t="n">
        <v>0</v>
      </c>
      <c r="J312" t="n">
        <v>0</v>
      </c>
      <c r="K312" t="n">
        <v>0</v>
      </c>
      <c r="L312" t="n">
        <v>0</v>
      </c>
      <c r="M312" t="n">
        <v>0</v>
      </c>
      <c r="N312" t="n">
        <v>0</v>
      </c>
      <c r="O312" t="n">
        <v>0</v>
      </c>
      <c r="P312" t="n">
        <v>0</v>
      </c>
      <c r="Q312" t="n">
        <v>0</v>
      </c>
      <c r="R312" s="2" t="inlineStr"/>
    </row>
    <row r="313" ht="15" customHeight="1">
      <c r="A313" t="inlineStr">
        <is>
          <t>A 64229-2019</t>
        </is>
      </c>
      <c r="B313" s="1" t="n">
        <v>43797</v>
      </c>
      <c r="C313" s="1" t="n">
        <v>45675</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64689-2019</t>
        </is>
      </c>
      <c r="B314" s="1" t="n">
        <v>43798</v>
      </c>
      <c r="C314" s="1" t="n">
        <v>45675</v>
      </c>
      <c r="D314" t="inlineStr">
        <is>
          <t>JÄMTLANDS LÄN</t>
        </is>
      </c>
      <c r="E314" t="inlineStr">
        <is>
          <t>HÄRJEDALEN</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65759-2019</t>
        </is>
      </c>
      <c r="B315" s="1" t="n">
        <v>43804</v>
      </c>
      <c r="C315" s="1" t="n">
        <v>45675</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66255-2019</t>
        </is>
      </c>
      <c r="B316" s="1" t="n">
        <v>43808</v>
      </c>
      <c r="C316" s="1" t="n">
        <v>45675</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66735-2019</t>
        </is>
      </c>
      <c r="B317" s="1" t="n">
        <v>43810</v>
      </c>
      <c r="C317" s="1" t="n">
        <v>45675</v>
      </c>
      <c r="D317" t="inlineStr">
        <is>
          <t>JÄMTLANDS LÄN</t>
        </is>
      </c>
      <c r="E317" t="inlineStr">
        <is>
          <t>HÄRJEDALEN</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67619-2019</t>
        </is>
      </c>
      <c r="B318" s="1" t="n">
        <v>43815</v>
      </c>
      <c r="C318" s="1" t="n">
        <v>45675</v>
      </c>
      <c r="D318" t="inlineStr">
        <is>
          <t>JÄMTLANDS LÄN</t>
        </is>
      </c>
      <c r="E318" t="inlineStr">
        <is>
          <t>HÄRJEDALEN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67693-2019</t>
        </is>
      </c>
      <c r="B319" s="1" t="n">
        <v>43815</v>
      </c>
      <c r="C319" s="1" t="n">
        <v>45675</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67500-2019</t>
        </is>
      </c>
      <c r="B320" s="1" t="n">
        <v>43815</v>
      </c>
      <c r="C320" s="1" t="n">
        <v>45675</v>
      </c>
      <c r="D320" t="inlineStr">
        <is>
          <t>JÄMTLANDS LÄN</t>
        </is>
      </c>
      <c r="E320" t="inlineStr">
        <is>
          <t>HÄRJEDALEN</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67695-2019</t>
        </is>
      </c>
      <c r="B321" s="1" t="n">
        <v>43815</v>
      </c>
      <c r="C321" s="1" t="n">
        <v>45675</v>
      </c>
      <c r="D321" t="inlineStr">
        <is>
          <t>JÄMTLANDS LÄN</t>
        </is>
      </c>
      <c r="E321" t="inlineStr">
        <is>
          <t>HÄRJEDALEN</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67757-2019</t>
        </is>
      </c>
      <c r="B322" s="1" t="n">
        <v>43815</v>
      </c>
      <c r="C322" s="1" t="n">
        <v>45675</v>
      </c>
      <c r="D322" t="inlineStr">
        <is>
          <t>JÄMTLANDS LÄN</t>
        </is>
      </c>
      <c r="E322" t="inlineStr">
        <is>
          <t>HÄRJEDALEN</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67688-2019</t>
        </is>
      </c>
      <c r="B323" s="1" t="n">
        <v>43815</v>
      </c>
      <c r="C323" s="1" t="n">
        <v>45675</v>
      </c>
      <c r="D323" t="inlineStr">
        <is>
          <t>JÄMTLANDS LÄN</t>
        </is>
      </c>
      <c r="E323" t="inlineStr">
        <is>
          <t>HÄRJEDALEN</t>
        </is>
      </c>
      <c r="F323" t="inlineStr">
        <is>
          <t>Holmen skog AB</t>
        </is>
      </c>
      <c r="G323" t="n">
        <v>4.2</v>
      </c>
      <c r="H323" t="n">
        <v>0</v>
      </c>
      <c r="I323" t="n">
        <v>0</v>
      </c>
      <c r="J323" t="n">
        <v>0</v>
      </c>
      <c r="K323" t="n">
        <v>0</v>
      </c>
      <c r="L323" t="n">
        <v>0</v>
      </c>
      <c r="M323" t="n">
        <v>0</v>
      </c>
      <c r="N323" t="n">
        <v>0</v>
      </c>
      <c r="O323" t="n">
        <v>0</v>
      </c>
      <c r="P323" t="n">
        <v>0</v>
      </c>
      <c r="Q323" t="n">
        <v>0</v>
      </c>
      <c r="R323" s="2" t="inlineStr"/>
    </row>
    <row r="324" ht="15" customHeight="1">
      <c r="A324" t="inlineStr">
        <is>
          <t>A 67738-2019</t>
        </is>
      </c>
      <c r="B324" s="1" t="n">
        <v>43815</v>
      </c>
      <c r="C324" s="1" t="n">
        <v>45675</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67506-2019</t>
        </is>
      </c>
      <c r="B325" s="1" t="n">
        <v>43815</v>
      </c>
      <c r="C325" s="1" t="n">
        <v>45675</v>
      </c>
      <c r="D325" t="inlineStr">
        <is>
          <t>JÄMTLANDS LÄN</t>
        </is>
      </c>
      <c r="E325" t="inlineStr">
        <is>
          <t>HÄRJEDALEN</t>
        </is>
      </c>
      <c r="F325" t="inlineStr">
        <is>
          <t>Holmen skog AB</t>
        </is>
      </c>
      <c r="G325" t="n">
        <v>27</v>
      </c>
      <c r="H325" t="n">
        <v>0</v>
      </c>
      <c r="I325" t="n">
        <v>0</v>
      </c>
      <c r="J325" t="n">
        <v>0</v>
      </c>
      <c r="K325" t="n">
        <v>0</v>
      </c>
      <c r="L325" t="n">
        <v>0</v>
      </c>
      <c r="M325" t="n">
        <v>0</v>
      </c>
      <c r="N325" t="n">
        <v>0</v>
      </c>
      <c r="O325" t="n">
        <v>0</v>
      </c>
      <c r="P325" t="n">
        <v>0</v>
      </c>
      <c r="Q325" t="n">
        <v>0</v>
      </c>
      <c r="R325" s="2" t="inlineStr"/>
    </row>
    <row r="326" ht="15" customHeight="1">
      <c r="A326" t="inlineStr">
        <is>
          <t>A 67692-2019</t>
        </is>
      </c>
      <c r="B326" s="1" t="n">
        <v>43815</v>
      </c>
      <c r="C326" s="1" t="n">
        <v>45675</v>
      </c>
      <c r="D326" t="inlineStr">
        <is>
          <t>JÄMTLANDS LÄN</t>
        </is>
      </c>
      <c r="E326" t="inlineStr">
        <is>
          <t>HÄRJEDALEN</t>
        </is>
      </c>
      <c r="F326" t="inlineStr">
        <is>
          <t>Holmen skog AB</t>
        </is>
      </c>
      <c r="G326" t="n">
        <v>12.9</v>
      </c>
      <c r="H326" t="n">
        <v>0</v>
      </c>
      <c r="I326" t="n">
        <v>0</v>
      </c>
      <c r="J326" t="n">
        <v>0</v>
      </c>
      <c r="K326" t="n">
        <v>0</v>
      </c>
      <c r="L326" t="n">
        <v>0</v>
      </c>
      <c r="M326" t="n">
        <v>0</v>
      </c>
      <c r="N326" t="n">
        <v>0</v>
      </c>
      <c r="O326" t="n">
        <v>0</v>
      </c>
      <c r="P326" t="n">
        <v>0</v>
      </c>
      <c r="Q326" t="n">
        <v>0</v>
      </c>
      <c r="R326" s="2" t="inlineStr"/>
    </row>
    <row r="327" ht="15" customHeight="1">
      <c r="A327" t="inlineStr">
        <is>
          <t>A 67733-2019</t>
        </is>
      </c>
      <c r="B327" s="1" t="n">
        <v>43815</v>
      </c>
      <c r="C327" s="1" t="n">
        <v>45675</v>
      </c>
      <c r="D327" t="inlineStr">
        <is>
          <t>JÄMTLANDS LÄN</t>
        </is>
      </c>
      <c r="E327" t="inlineStr">
        <is>
          <t>HÄRJEDALEN</t>
        </is>
      </c>
      <c r="F327" t="inlineStr">
        <is>
          <t>Holmen skog AB</t>
        </is>
      </c>
      <c r="G327" t="n">
        <v>15.5</v>
      </c>
      <c r="H327" t="n">
        <v>0</v>
      </c>
      <c r="I327" t="n">
        <v>0</v>
      </c>
      <c r="J327" t="n">
        <v>0</v>
      </c>
      <c r="K327" t="n">
        <v>0</v>
      </c>
      <c r="L327" t="n">
        <v>0</v>
      </c>
      <c r="M327" t="n">
        <v>0</v>
      </c>
      <c r="N327" t="n">
        <v>0</v>
      </c>
      <c r="O327" t="n">
        <v>0</v>
      </c>
      <c r="P327" t="n">
        <v>0</v>
      </c>
      <c r="Q327" t="n">
        <v>0</v>
      </c>
      <c r="R327" s="2" t="inlineStr"/>
    </row>
    <row r="328" ht="15" customHeight="1">
      <c r="A328" t="inlineStr">
        <is>
          <t>A 67593-2019</t>
        </is>
      </c>
      <c r="B328" s="1" t="n">
        <v>43815</v>
      </c>
      <c r="C328" s="1" t="n">
        <v>45675</v>
      </c>
      <c r="D328" t="inlineStr">
        <is>
          <t>JÄMTLANDS LÄN</t>
        </is>
      </c>
      <c r="E328" t="inlineStr">
        <is>
          <t>HÄRJEDALEN</t>
        </is>
      </c>
      <c r="F328" t="inlineStr">
        <is>
          <t>Holmen skog AB</t>
        </is>
      </c>
      <c r="G328" t="n">
        <v>7.9</v>
      </c>
      <c r="H328" t="n">
        <v>0</v>
      </c>
      <c r="I328" t="n">
        <v>0</v>
      </c>
      <c r="J328" t="n">
        <v>0</v>
      </c>
      <c r="K328" t="n">
        <v>0</v>
      </c>
      <c r="L328" t="n">
        <v>0</v>
      </c>
      <c r="M328" t="n">
        <v>0</v>
      </c>
      <c r="N328" t="n">
        <v>0</v>
      </c>
      <c r="O328" t="n">
        <v>0</v>
      </c>
      <c r="P328" t="n">
        <v>0</v>
      </c>
      <c r="Q328" t="n">
        <v>0</v>
      </c>
      <c r="R328" s="2" t="inlineStr"/>
    </row>
    <row r="329" ht="15" customHeight="1">
      <c r="A329" t="inlineStr">
        <is>
          <t>A 67535-2019</t>
        </is>
      </c>
      <c r="B329" s="1" t="n">
        <v>43815</v>
      </c>
      <c r="C329" s="1" t="n">
        <v>45675</v>
      </c>
      <c r="D329" t="inlineStr">
        <is>
          <t>JÄMTLANDS LÄN</t>
        </is>
      </c>
      <c r="E329" t="inlineStr">
        <is>
          <t>HÄRJEDALEN</t>
        </is>
      </c>
      <c r="F329" t="inlineStr">
        <is>
          <t>Holmen skog AB</t>
        </is>
      </c>
      <c r="G329" t="n">
        <v>34.3</v>
      </c>
      <c r="H329" t="n">
        <v>0</v>
      </c>
      <c r="I329" t="n">
        <v>0</v>
      </c>
      <c r="J329" t="n">
        <v>0</v>
      </c>
      <c r="K329" t="n">
        <v>0</v>
      </c>
      <c r="L329" t="n">
        <v>0</v>
      </c>
      <c r="M329" t="n">
        <v>0</v>
      </c>
      <c r="N329" t="n">
        <v>0</v>
      </c>
      <c r="O329" t="n">
        <v>0</v>
      </c>
      <c r="P329" t="n">
        <v>0</v>
      </c>
      <c r="Q329" t="n">
        <v>0</v>
      </c>
      <c r="R329" s="2" t="inlineStr"/>
    </row>
    <row r="330" ht="15" customHeight="1">
      <c r="A330" t="inlineStr">
        <is>
          <t>A 67972-2019</t>
        </is>
      </c>
      <c r="B330" s="1" t="n">
        <v>43816</v>
      </c>
      <c r="C330" s="1" t="n">
        <v>45675</v>
      </c>
      <c r="D330" t="inlineStr">
        <is>
          <t>JÄMTLANDS LÄN</t>
        </is>
      </c>
      <c r="E330" t="inlineStr">
        <is>
          <t>HÄRJEDALEN</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642-2020</t>
        </is>
      </c>
      <c r="B331" s="1" t="n">
        <v>43817</v>
      </c>
      <c r="C331" s="1" t="n">
        <v>45675</v>
      </c>
      <c r="D331" t="inlineStr">
        <is>
          <t>JÄMTLANDS LÄN</t>
        </is>
      </c>
      <c r="E331" t="inlineStr">
        <is>
          <t>HÄRJEDALEN</t>
        </is>
      </c>
      <c r="G331" t="n">
        <v>15.5</v>
      </c>
      <c r="H331" t="n">
        <v>0</v>
      </c>
      <c r="I331" t="n">
        <v>0</v>
      </c>
      <c r="J331" t="n">
        <v>0</v>
      </c>
      <c r="K331" t="n">
        <v>0</v>
      </c>
      <c r="L331" t="n">
        <v>0</v>
      </c>
      <c r="M331" t="n">
        <v>0</v>
      </c>
      <c r="N331" t="n">
        <v>0</v>
      </c>
      <c r="O331" t="n">
        <v>0</v>
      </c>
      <c r="P331" t="n">
        <v>0</v>
      </c>
      <c r="Q331" t="n">
        <v>0</v>
      </c>
      <c r="R331" s="2" t="inlineStr"/>
    </row>
    <row r="332" ht="15" customHeight="1">
      <c r="A332" t="inlineStr">
        <is>
          <t>A 159-2020</t>
        </is>
      </c>
      <c r="B332" s="1" t="n">
        <v>43833</v>
      </c>
      <c r="C332" s="1" t="n">
        <v>45675</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2320-2020</t>
        </is>
      </c>
      <c r="B333" s="1" t="n">
        <v>43846</v>
      </c>
      <c r="C333" s="1" t="n">
        <v>45675</v>
      </c>
      <c r="D333" t="inlineStr">
        <is>
          <t>JÄMTLANDS LÄN</t>
        </is>
      </c>
      <c r="E333" t="inlineStr">
        <is>
          <t>HÄRJEDALEN</t>
        </is>
      </c>
      <c r="F333" t="inlineStr">
        <is>
          <t>Bergvik skog väst AB</t>
        </is>
      </c>
      <c r="G333" t="n">
        <v>3.3</v>
      </c>
      <c r="H333" t="n">
        <v>0</v>
      </c>
      <c r="I333" t="n">
        <v>0</v>
      </c>
      <c r="J333" t="n">
        <v>0</v>
      </c>
      <c r="K333" t="n">
        <v>0</v>
      </c>
      <c r="L333" t="n">
        <v>0</v>
      </c>
      <c r="M333" t="n">
        <v>0</v>
      </c>
      <c r="N333" t="n">
        <v>0</v>
      </c>
      <c r="O333" t="n">
        <v>0</v>
      </c>
      <c r="P333" t="n">
        <v>0</v>
      </c>
      <c r="Q333" t="n">
        <v>0</v>
      </c>
      <c r="R333" s="2" t="inlineStr"/>
    </row>
    <row r="334" ht="15" customHeight="1">
      <c r="A334" t="inlineStr">
        <is>
          <t>A 4663-2020</t>
        </is>
      </c>
      <c r="B334" s="1" t="n">
        <v>43858</v>
      </c>
      <c r="C334" s="1" t="n">
        <v>45675</v>
      </c>
      <c r="D334" t="inlineStr">
        <is>
          <t>JÄMTLANDS LÄN</t>
        </is>
      </c>
      <c r="E334" t="inlineStr">
        <is>
          <t>HÄRJEDALEN</t>
        </is>
      </c>
      <c r="G334" t="n">
        <v>10.2</v>
      </c>
      <c r="H334" t="n">
        <v>0</v>
      </c>
      <c r="I334" t="n">
        <v>0</v>
      </c>
      <c r="J334" t="n">
        <v>0</v>
      </c>
      <c r="K334" t="n">
        <v>0</v>
      </c>
      <c r="L334" t="n">
        <v>0</v>
      </c>
      <c r="M334" t="n">
        <v>0</v>
      </c>
      <c r="N334" t="n">
        <v>0</v>
      </c>
      <c r="O334" t="n">
        <v>0</v>
      </c>
      <c r="P334" t="n">
        <v>0</v>
      </c>
      <c r="Q334" t="n">
        <v>0</v>
      </c>
      <c r="R334" s="2" t="inlineStr"/>
    </row>
    <row r="335" ht="15" customHeight="1">
      <c r="A335" t="inlineStr">
        <is>
          <t>A 6719-2020</t>
        </is>
      </c>
      <c r="B335" s="1" t="n">
        <v>43866</v>
      </c>
      <c r="C335" s="1" t="n">
        <v>45675</v>
      </c>
      <c r="D335" t="inlineStr">
        <is>
          <t>JÄMTLANDS LÄN</t>
        </is>
      </c>
      <c r="E335" t="inlineStr">
        <is>
          <t>HÄRJEDALEN</t>
        </is>
      </c>
      <c r="G335" t="n">
        <v>1.2</v>
      </c>
      <c r="H335" t="n">
        <v>0</v>
      </c>
      <c r="I335" t="n">
        <v>0</v>
      </c>
      <c r="J335" t="n">
        <v>0</v>
      </c>
      <c r="K335" t="n">
        <v>0</v>
      </c>
      <c r="L335" t="n">
        <v>0</v>
      </c>
      <c r="M335" t="n">
        <v>0</v>
      </c>
      <c r="N335" t="n">
        <v>0</v>
      </c>
      <c r="O335" t="n">
        <v>0</v>
      </c>
      <c r="P335" t="n">
        <v>0</v>
      </c>
      <c r="Q335" t="n">
        <v>0</v>
      </c>
      <c r="R335" s="2" t="inlineStr"/>
    </row>
    <row r="336" ht="15" customHeight="1">
      <c r="A336" t="inlineStr">
        <is>
          <t>A 6715-2020</t>
        </is>
      </c>
      <c r="B336" s="1" t="n">
        <v>43866</v>
      </c>
      <c r="C336" s="1" t="n">
        <v>45675</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6675-2020</t>
        </is>
      </c>
      <c r="B337" s="1" t="n">
        <v>43866</v>
      </c>
      <c r="C337" s="1" t="n">
        <v>45675</v>
      </c>
      <c r="D337" t="inlineStr">
        <is>
          <t>JÄMTLANDS LÄN</t>
        </is>
      </c>
      <c r="E337" t="inlineStr">
        <is>
          <t>HÄRJEDALEN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6584-2020</t>
        </is>
      </c>
      <c r="B338" s="1" t="n">
        <v>43867</v>
      </c>
      <c r="C338" s="1" t="n">
        <v>45675</v>
      </c>
      <c r="D338" t="inlineStr">
        <is>
          <t>JÄMTLANDS LÄN</t>
        </is>
      </c>
      <c r="E338" t="inlineStr">
        <is>
          <t>HÄRJEDALEN</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6903-2020</t>
        </is>
      </c>
      <c r="B339" s="1" t="n">
        <v>43867</v>
      </c>
      <c r="C339" s="1" t="n">
        <v>45675</v>
      </c>
      <c r="D339" t="inlineStr">
        <is>
          <t>JÄMTLANDS LÄN</t>
        </is>
      </c>
      <c r="E339" t="inlineStr">
        <is>
          <t>HÄRJEDALEN</t>
        </is>
      </c>
      <c r="G339" t="n">
        <v>10.5</v>
      </c>
      <c r="H339" t="n">
        <v>0</v>
      </c>
      <c r="I339" t="n">
        <v>0</v>
      </c>
      <c r="J339" t="n">
        <v>0</v>
      </c>
      <c r="K339" t="n">
        <v>0</v>
      </c>
      <c r="L339" t="n">
        <v>0</v>
      </c>
      <c r="M339" t="n">
        <v>0</v>
      </c>
      <c r="N339" t="n">
        <v>0</v>
      </c>
      <c r="O339" t="n">
        <v>0</v>
      </c>
      <c r="P339" t="n">
        <v>0</v>
      </c>
      <c r="Q339" t="n">
        <v>0</v>
      </c>
      <c r="R339" s="2" t="inlineStr"/>
    </row>
    <row r="340" ht="15" customHeight="1">
      <c r="A340" t="inlineStr">
        <is>
          <t>A 7184-2020</t>
        </is>
      </c>
      <c r="B340" s="1" t="n">
        <v>43871</v>
      </c>
      <c r="C340" s="1" t="n">
        <v>45675</v>
      </c>
      <c r="D340" t="inlineStr">
        <is>
          <t>JÄMTLANDS LÄN</t>
        </is>
      </c>
      <c r="E340" t="inlineStr">
        <is>
          <t>HÄRJEDALEN</t>
        </is>
      </c>
      <c r="G340" t="n">
        <v>41.4</v>
      </c>
      <c r="H340" t="n">
        <v>0</v>
      </c>
      <c r="I340" t="n">
        <v>0</v>
      </c>
      <c r="J340" t="n">
        <v>0</v>
      </c>
      <c r="K340" t="n">
        <v>0</v>
      </c>
      <c r="L340" t="n">
        <v>0</v>
      </c>
      <c r="M340" t="n">
        <v>0</v>
      </c>
      <c r="N340" t="n">
        <v>0</v>
      </c>
      <c r="O340" t="n">
        <v>0</v>
      </c>
      <c r="P340" t="n">
        <v>0</v>
      </c>
      <c r="Q340" t="n">
        <v>0</v>
      </c>
      <c r="R340" s="2" t="inlineStr"/>
    </row>
    <row r="341" ht="15" customHeight="1">
      <c r="A341" t="inlineStr">
        <is>
          <t>A 8111-2020</t>
        </is>
      </c>
      <c r="B341" s="1" t="n">
        <v>43874</v>
      </c>
      <c r="C341" s="1" t="n">
        <v>45675</v>
      </c>
      <c r="D341" t="inlineStr">
        <is>
          <t>JÄMTLANDS LÄN</t>
        </is>
      </c>
      <c r="E341" t="inlineStr">
        <is>
          <t>HÄRJEDALEN</t>
        </is>
      </c>
      <c r="G341" t="n">
        <v>15.4</v>
      </c>
      <c r="H341" t="n">
        <v>0</v>
      </c>
      <c r="I341" t="n">
        <v>0</v>
      </c>
      <c r="J341" t="n">
        <v>0</v>
      </c>
      <c r="K341" t="n">
        <v>0</v>
      </c>
      <c r="L341" t="n">
        <v>0</v>
      </c>
      <c r="M341" t="n">
        <v>0</v>
      </c>
      <c r="N341" t="n">
        <v>0</v>
      </c>
      <c r="O341" t="n">
        <v>0</v>
      </c>
      <c r="P341" t="n">
        <v>0</v>
      </c>
      <c r="Q341" t="n">
        <v>0</v>
      </c>
      <c r="R341" s="2" t="inlineStr"/>
    </row>
    <row r="342" ht="15" customHeight="1">
      <c r="A342" t="inlineStr">
        <is>
          <t>A 8762-2020</t>
        </is>
      </c>
      <c r="B342" s="1" t="n">
        <v>43875</v>
      </c>
      <c r="C342" s="1" t="n">
        <v>45675</v>
      </c>
      <c r="D342" t="inlineStr">
        <is>
          <t>JÄMTLANDS LÄN</t>
        </is>
      </c>
      <c r="E342" t="inlineStr">
        <is>
          <t>HÄRJEDALEN</t>
        </is>
      </c>
      <c r="G342" t="n">
        <v>11</v>
      </c>
      <c r="H342" t="n">
        <v>0</v>
      </c>
      <c r="I342" t="n">
        <v>0</v>
      </c>
      <c r="J342" t="n">
        <v>0</v>
      </c>
      <c r="K342" t="n">
        <v>0</v>
      </c>
      <c r="L342" t="n">
        <v>0</v>
      </c>
      <c r="M342" t="n">
        <v>0</v>
      </c>
      <c r="N342" t="n">
        <v>0</v>
      </c>
      <c r="O342" t="n">
        <v>0</v>
      </c>
      <c r="P342" t="n">
        <v>0</v>
      </c>
      <c r="Q342" t="n">
        <v>0</v>
      </c>
      <c r="R342" s="2" t="inlineStr"/>
    </row>
    <row r="343" ht="15" customHeight="1">
      <c r="A343" t="inlineStr">
        <is>
          <t>A 8908-2020</t>
        </is>
      </c>
      <c r="B343" s="1" t="n">
        <v>43878</v>
      </c>
      <c r="C343" s="1" t="n">
        <v>45675</v>
      </c>
      <c r="D343" t="inlineStr">
        <is>
          <t>JÄMTLANDS LÄN</t>
        </is>
      </c>
      <c r="E343" t="inlineStr">
        <is>
          <t>HÄRJEDALEN</t>
        </is>
      </c>
      <c r="G343" t="n">
        <v>18.1</v>
      </c>
      <c r="H343" t="n">
        <v>0</v>
      </c>
      <c r="I343" t="n">
        <v>0</v>
      </c>
      <c r="J343" t="n">
        <v>0</v>
      </c>
      <c r="K343" t="n">
        <v>0</v>
      </c>
      <c r="L343" t="n">
        <v>0</v>
      </c>
      <c r="M343" t="n">
        <v>0</v>
      </c>
      <c r="N343" t="n">
        <v>0</v>
      </c>
      <c r="O343" t="n">
        <v>0</v>
      </c>
      <c r="P343" t="n">
        <v>0</v>
      </c>
      <c r="Q343" t="n">
        <v>0</v>
      </c>
      <c r="R343" s="2" t="inlineStr"/>
    </row>
    <row r="344" ht="15" customHeight="1">
      <c r="A344" t="inlineStr">
        <is>
          <t>A 9034-2020</t>
        </is>
      </c>
      <c r="B344" s="1" t="n">
        <v>43879</v>
      </c>
      <c r="C344" s="1" t="n">
        <v>45675</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9591-2020</t>
        </is>
      </c>
      <c r="B345" s="1" t="n">
        <v>43881</v>
      </c>
      <c r="C345" s="1" t="n">
        <v>45675</v>
      </c>
      <c r="D345" t="inlineStr">
        <is>
          <t>JÄMTLANDS LÄN</t>
        </is>
      </c>
      <c r="E345" t="inlineStr">
        <is>
          <t>HÄRJEDALEN</t>
        </is>
      </c>
      <c r="G345" t="n">
        <v>6.4</v>
      </c>
      <c r="H345" t="n">
        <v>0</v>
      </c>
      <c r="I345" t="n">
        <v>0</v>
      </c>
      <c r="J345" t="n">
        <v>0</v>
      </c>
      <c r="K345" t="n">
        <v>0</v>
      </c>
      <c r="L345" t="n">
        <v>0</v>
      </c>
      <c r="M345" t="n">
        <v>0</v>
      </c>
      <c r="N345" t="n">
        <v>0</v>
      </c>
      <c r="O345" t="n">
        <v>0</v>
      </c>
      <c r="P345" t="n">
        <v>0</v>
      </c>
      <c r="Q345" t="n">
        <v>0</v>
      </c>
      <c r="R345" s="2" t="inlineStr"/>
    </row>
    <row r="346" ht="15" customHeight="1">
      <c r="A346" t="inlineStr">
        <is>
          <t>A 11731-2020</t>
        </is>
      </c>
      <c r="B346" s="1" t="n">
        <v>43894</v>
      </c>
      <c r="C346" s="1" t="n">
        <v>45675</v>
      </c>
      <c r="D346" t="inlineStr">
        <is>
          <t>JÄMTLANDS LÄN</t>
        </is>
      </c>
      <c r="E346" t="inlineStr">
        <is>
          <t>HÄRJEDALEN</t>
        </is>
      </c>
      <c r="F346" t="inlineStr">
        <is>
          <t>Holmen skog AB</t>
        </is>
      </c>
      <c r="G346" t="n">
        <v>0.4</v>
      </c>
      <c r="H346" t="n">
        <v>0</v>
      </c>
      <c r="I346" t="n">
        <v>0</v>
      </c>
      <c r="J346" t="n">
        <v>0</v>
      </c>
      <c r="K346" t="n">
        <v>0</v>
      </c>
      <c r="L346" t="n">
        <v>0</v>
      </c>
      <c r="M346" t="n">
        <v>0</v>
      </c>
      <c r="N346" t="n">
        <v>0</v>
      </c>
      <c r="O346" t="n">
        <v>0</v>
      </c>
      <c r="P346" t="n">
        <v>0</v>
      </c>
      <c r="Q346" t="n">
        <v>0</v>
      </c>
      <c r="R346" s="2" t="inlineStr"/>
    </row>
    <row r="347" ht="15" customHeight="1">
      <c r="A347" t="inlineStr">
        <is>
          <t>A 11816-2020</t>
        </is>
      </c>
      <c r="B347" s="1" t="n">
        <v>43894</v>
      </c>
      <c r="C347" s="1" t="n">
        <v>45675</v>
      </c>
      <c r="D347" t="inlineStr">
        <is>
          <t>JÄMTLANDS LÄN</t>
        </is>
      </c>
      <c r="E347" t="inlineStr">
        <is>
          <t>HÄRJEDALEN</t>
        </is>
      </c>
      <c r="F347" t="inlineStr">
        <is>
          <t>Holmen skog AB</t>
        </is>
      </c>
      <c r="G347" t="n">
        <v>20.4</v>
      </c>
      <c r="H347" t="n">
        <v>0</v>
      </c>
      <c r="I347" t="n">
        <v>0</v>
      </c>
      <c r="J347" t="n">
        <v>0</v>
      </c>
      <c r="K347" t="n">
        <v>0</v>
      </c>
      <c r="L347" t="n">
        <v>0</v>
      </c>
      <c r="M347" t="n">
        <v>0</v>
      </c>
      <c r="N347" t="n">
        <v>0</v>
      </c>
      <c r="O347" t="n">
        <v>0</v>
      </c>
      <c r="P347" t="n">
        <v>0</v>
      </c>
      <c r="Q347" t="n">
        <v>0</v>
      </c>
      <c r="R347" s="2" t="inlineStr"/>
    </row>
    <row r="348" ht="15" customHeight="1">
      <c r="A348" t="inlineStr">
        <is>
          <t>A 11818-2020</t>
        </is>
      </c>
      <c r="B348" s="1" t="n">
        <v>43894</v>
      </c>
      <c r="C348" s="1" t="n">
        <v>45675</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11885-2020</t>
        </is>
      </c>
      <c r="B349" s="1" t="n">
        <v>43894</v>
      </c>
      <c r="C349" s="1" t="n">
        <v>45675</v>
      </c>
      <c r="D349" t="inlineStr">
        <is>
          <t>JÄMTLANDS LÄN</t>
        </is>
      </c>
      <c r="E349" t="inlineStr">
        <is>
          <t>HÄRJEDALEN</t>
        </is>
      </c>
      <c r="F349" t="inlineStr">
        <is>
          <t>Holmen skog AB</t>
        </is>
      </c>
      <c r="G349" t="n">
        <v>3.5</v>
      </c>
      <c r="H349" t="n">
        <v>0</v>
      </c>
      <c r="I349" t="n">
        <v>0</v>
      </c>
      <c r="J349" t="n">
        <v>0</v>
      </c>
      <c r="K349" t="n">
        <v>0</v>
      </c>
      <c r="L349" t="n">
        <v>0</v>
      </c>
      <c r="M349" t="n">
        <v>0</v>
      </c>
      <c r="N349" t="n">
        <v>0</v>
      </c>
      <c r="O349" t="n">
        <v>0</v>
      </c>
      <c r="P349" t="n">
        <v>0</v>
      </c>
      <c r="Q349" t="n">
        <v>0</v>
      </c>
      <c r="R349" s="2" t="inlineStr"/>
    </row>
    <row r="350" ht="15" customHeight="1">
      <c r="A350" t="inlineStr">
        <is>
          <t>A 11828-2020</t>
        </is>
      </c>
      <c r="B350" s="1" t="n">
        <v>43894</v>
      </c>
      <c r="C350" s="1" t="n">
        <v>45675</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11905-2020</t>
        </is>
      </c>
      <c r="B351" s="1" t="n">
        <v>43894</v>
      </c>
      <c r="C351" s="1" t="n">
        <v>45675</v>
      </c>
      <c r="D351" t="inlineStr">
        <is>
          <t>JÄMTLANDS LÄN</t>
        </is>
      </c>
      <c r="E351" t="inlineStr">
        <is>
          <t>HÄRJEDALEN</t>
        </is>
      </c>
      <c r="F351" t="inlineStr">
        <is>
          <t>Holmen skog AB</t>
        </is>
      </c>
      <c r="G351" t="n">
        <v>10.3</v>
      </c>
      <c r="H351" t="n">
        <v>0</v>
      </c>
      <c r="I351" t="n">
        <v>0</v>
      </c>
      <c r="J351" t="n">
        <v>0</v>
      </c>
      <c r="K351" t="n">
        <v>0</v>
      </c>
      <c r="L351" t="n">
        <v>0</v>
      </c>
      <c r="M351" t="n">
        <v>0</v>
      </c>
      <c r="N351" t="n">
        <v>0</v>
      </c>
      <c r="O351" t="n">
        <v>0</v>
      </c>
      <c r="P351" t="n">
        <v>0</v>
      </c>
      <c r="Q351" t="n">
        <v>0</v>
      </c>
      <c r="R351" s="2" t="inlineStr"/>
    </row>
    <row r="352" ht="15" customHeight="1">
      <c r="A352" t="inlineStr">
        <is>
          <t>A 13604-2020</t>
        </is>
      </c>
      <c r="B352" s="1" t="n">
        <v>43895</v>
      </c>
      <c r="C352" s="1" t="n">
        <v>45675</v>
      </c>
      <c r="D352" t="inlineStr">
        <is>
          <t>JÄMTLANDS LÄN</t>
        </is>
      </c>
      <c r="E352" t="inlineStr">
        <is>
          <t>HÄRJEDALEN</t>
        </is>
      </c>
      <c r="G352" t="n">
        <v>0.6</v>
      </c>
      <c r="H352" t="n">
        <v>0</v>
      </c>
      <c r="I352" t="n">
        <v>0</v>
      </c>
      <c r="J352" t="n">
        <v>0</v>
      </c>
      <c r="K352" t="n">
        <v>0</v>
      </c>
      <c r="L352" t="n">
        <v>0</v>
      </c>
      <c r="M352" t="n">
        <v>0</v>
      </c>
      <c r="N352" t="n">
        <v>0</v>
      </c>
      <c r="O352" t="n">
        <v>0</v>
      </c>
      <c r="P352" t="n">
        <v>0</v>
      </c>
      <c r="Q352" t="n">
        <v>0</v>
      </c>
      <c r="R352" s="2" t="inlineStr"/>
    </row>
    <row r="353" ht="15" customHeight="1">
      <c r="A353" t="inlineStr">
        <is>
          <t>A 12398-2020</t>
        </is>
      </c>
      <c r="B353" s="1" t="n">
        <v>43896</v>
      </c>
      <c r="C353" s="1" t="n">
        <v>45675</v>
      </c>
      <c r="D353" t="inlineStr">
        <is>
          <t>JÄMTLANDS LÄN</t>
        </is>
      </c>
      <c r="E353" t="inlineStr">
        <is>
          <t>HÄRJEDALEN</t>
        </is>
      </c>
      <c r="G353" t="n">
        <v>12.3</v>
      </c>
      <c r="H353" t="n">
        <v>0</v>
      </c>
      <c r="I353" t="n">
        <v>0</v>
      </c>
      <c r="J353" t="n">
        <v>0</v>
      </c>
      <c r="K353" t="n">
        <v>0</v>
      </c>
      <c r="L353" t="n">
        <v>0</v>
      </c>
      <c r="M353" t="n">
        <v>0</v>
      </c>
      <c r="N353" t="n">
        <v>0</v>
      </c>
      <c r="O353" t="n">
        <v>0</v>
      </c>
      <c r="P353" t="n">
        <v>0</v>
      </c>
      <c r="Q353" t="n">
        <v>0</v>
      </c>
      <c r="R353" s="2" t="inlineStr"/>
    </row>
    <row r="354" ht="15" customHeight="1">
      <c r="A354" t="inlineStr">
        <is>
          <t>A 12410-2020</t>
        </is>
      </c>
      <c r="B354" s="1" t="n">
        <v>43896</v>
      </c>
      <c r="C354" s="1" t="n">
        <v>45675</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13588-2020</t>
        </is>
      </c>
      <c r="B355" s="1" t="n">
        <v>43896</v>
      </c>
      <c r="C355" s="1" t="n">
        <v>45675</v>
      </c>
      <c r="D355" t="inlineStr">
        <is>
          <t>JÄMTLANDS LÄN</t>
        </is>
      </c>
      <c r="E355" t="inlineStr">
        <is>
          <t>HÄRJEDALEN</t>
        </is>
      </c>
      <c r="G355" t="n">
        <v>0.6</v>
      </c>
      <c r="H355" t="n">
        <v>0</v>
      </c>
      <c r="I355" t="n">
        <v>0</v>
      </c>
      <c r="J355" t="n">
        <v>0</v>
      </c>
      <c r="K355" t="n">
        <v>0</v>
      </c>
      <c r="L355" t="n">
        <v>0</v>
      </c>
      <c r="M355" t="n">
        <v>0</v>
      </c>
      <c r="N355" t="n">
        <v>0</v>
      </c>
      <c r="O355" t="n">
        <v>0</v>
      </c>
      <c r="P355" t="n">
        <v>0</v>
      </c>
      <c r="Q355" t="n">
        <v>0</v>
      </c>
      <c r="R355" s="2" t="inlineStr"/>
    </row>
    <row r="356" ht="15" customHeight="1">
      <c r="A356" t="inlineStr">
        <is>
          <t>A 12898-2020</t>
        </is>
      </c>
      <c r="B356" s="1" t="n">
        <v>43900</v>
      </c>
      <c r="C356" s="1" t="n">
        <v>45675</v>
      </c>
      <c r="D356" t="inlineStr">
        <is>
          <t>JÄMTLANDS LÄN</t>
        </is>
      </c>
      <c r="E356" t="inlineStr">
        <is>
          <t>HÄRJEDALEN</t>
        </is>
      </c>
      <c r="G356" t="n">
        <v>2.6</v>
      </c>
      <c r="H356" t="n">
        <v>0</v>
      </c>
      <c r="I356" t="n">
        <v>0</v>
      </c>
      <c r="J356" t="n">
        <v>0</v>
      </c>
      <c r="K356" t="n">
        <v>0</v>
      </c>
      <c r="L356" t="n">
        <v>0</v>
      </c>
      <c r="M356" t="n">
        <v>0</v>
      </c>
      <c r="N356" t="n">
        <v>0</v>
      </c>
      <c r="O356" t="n">
        <v>0</v>
      </c>
      <c r="P356" t="n">
        <v>0</v>
      </c>
      <c r="Q356" t="n">
        <v>0</v>
      </c>
      <c r="R356" s="2" t="inlineStr"/>
    </row>
    <row r="357" ht="15" customHeight="1">
      <c r="A357" t="inlineStr">
        <is>
          <t>A 15020-2020</t>
        </is>
      </c>
      <c r="B357" s="1" t="n">
        <v>43907</v>
      </c>
      <c r="C357" s="1" t="n">
        <v>45675</v>
      </c>
      <c r="D357" t="inlineStr">
        <is>
          <t>JÄMTLANDS LÄN</t>
        </is>
      </c>
      <c r="E357" t="inlineStr">
        <is>
          <t>HÄRJEDALEN</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15576-2020</t>
        </is>
      </c>
      <c r="B358" s="1" t="n">
        <v>43914</v>
      </c>
      <c r="C358" s="1" t="n">
        <v>45675</v>
      </c>
      <c r="D358" t="inlineStr">
        <is>
          <t>JÄMTLANDS LÄN</t>
        </is>
      </c>
      <c r="E358" t="inlineStr">
        <is>
          <t>HÄRJEDALEN</t>
        </is>
      </c>
      <c r="F358" t="inlineStr">
        <is>
          <t>Kyrkan</t>
        </is>
      </c>
      <c r="G358" t="n">
        <v>8.1</v>
      </c>
      <c r="H358" t="n">
        <v>0</v>
      </c>
      <c r="I358" t="n">
        <v>0</v>
      </c>
      <c r="J358" t="n">
        <v>0</v>
      </c>
      <c r="K358" t="n">
        <v>0</v>
      </c>
      <c r="L358" t="n">
        <v>0</v>
      </c>
      <c r="M358" t="n">
        <v>0</v>
      </c>
      <c r="N358" t="n">
        <v>0</v>
      </c>
      <c r="O358" t="n">
        <v>0</v>
      </c>
      <c r="P358" t="n">
        <v>0</v>
      </c>
      <c r="Q358" t="n">
        <v>0</v>
      </c>
      <c r="R358" s="2" t="inlineStr"/>
    </row>
    <row r="359" ht="15" customHeight="1">
      <c r="A359" t="inlineStr">
        <is>
          <t>A 17515-2020</t>
        </is>
      </c>
      <c r="B359" s="1" t="n">
        <v>43920</v>
      </c>
      <c r="C359" s="1" t="n">
        <v>45675</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17024-2020</t>
        </is>
      </c>
      <c r="B360" s="1" t="n">
        <v>43921</v>
      </c>
      <c r="C360" s="1" t="n">
        <v>45675</v>
      </c>
      <c r="D360" t="inlineStr">
        <is>
          <t>JÄMTLANDS LÄN</t>
        </is>
      </c>
      <c r="E360" t="inlineStr">
        <is>
          <t>HÄRJEDALEN</t>
        </is>
      </c>
      <c r="G360" t="n">
        <v>0.8</v>
      </c>
      <c r="H360" t="n">
        <v>0</v>
      </c>
      <c r="I360" t="n">
        <v>0</v>
      </c>
      <c r="J360" t="n">
        <v>0</v>
      </c>
      <c r="K360" t="n">
        <v>0</v>
      </c>
      <c r="L360" t="n">
        <v>0</v>
      </c>
      <c r="M360" t="n">
        <v>0</v>
      </c>
      <c r="N360" t="n">
        <v>0</v>
      </c>
      <c r="O360" t="n">
        <v>0</v>
      </c>
      <c r="P360" t="n">
        <v>0</v>
      </c>
      <c r="Q360" t="n">
        <v>0</v>
      </c>
      <c r="R360" s="2" t="inlineStr"/>
    </row>
    <row r="361" ht="15" customHeight="1">
      <c r="A361" t="inlineStr">
        <is>
          <t>A 17676-2020</t>
        </is>
      </c>
      <c r="B361" s="1" t="n">
        <v>43924</v>
      </c>
      <c r="C361" s="1" t="n">
        <v>45675</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18038-2020</t>
        </is>
      </c>
      <c r="B362" s="1" t="n">
        <v>43927</v>
      </c>
      <c r="C362" s="1" t="n">
        <v>45675</v>
      </c>
      <c r="D362" t="inlineStr">
        <is>
          <t>JÄMTLANDS LÄN</t>
        </is>
      </c>
      <c r="E362" t="inlineStr">
        <is>
          <t>HÄRJEDALEN</t>
        </is>
      </c>
      <c r="G362" t="n">
        <v>13.5</v>
      </c>
      <c r="H362" t="n">
        <v>0</v>
      </c>
      <c r="I362" t="n">
        <v>0</v>
      </c>
      <c r="J362" t="n">
        <v>0</v>
      </c>
      <c r="K362" t="n">
        <v>0</v>
      </c>
      <c r="L362" t="n">
        <v>0</v>
      </c>
      <c r="M362" t="n">
        <v>0</v>
      </c>
      <c r="N362" t="n">
        <v>0</v>
      </c>
      <c r="O362" t="n">
        <v>0</v>
      </c>
      <c r="P362" t="n">
        <v>0</v>
      </c>
      <c r="Q362" t="n">
        <v>0</v>
      </c>
      <c r="R362" s="2" t="inlineStr"/>
    </row>
    <row r="363" ht="15" customHeight="1">
      <c r="A363" t="inlineStr">
        <is>
          <t>A 18761-2020</t>
        </is>
      </c>
      <c r="B363" s="1" t="n">
        <v>43930</v>
      </c>
      <c r="C363" s="1" t="n">
        <v>45675</v>
      </c>
      <c r="D363" t="inlineStr">
        <is>
          <t>JÄMTLANDS LÄN</t>
        </is>
      </c>
      <c r="E363" t="inlineStr">
        <is>
          <t>HÄRJEDALEN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18760-2020</t>
        </is>
      </c>
      <c r="B364" s="1" t="n">
        <v>43930</v>
      </c>
      <c r="C364" s="1" t="n">
        <v>45675</v>
      </c>
      <c r="D364" t="inlineStr">
        <is>
          <t>JÄMTLANDS LÄN</t>
        </is>
      </c>
      <c r="E364" t="inlineStr">
        <is>
          <t>HÄRJEDALEN</t>
        </is>
      </c>
      <c r="F364" t="inlineStr">
        <is>
          <t>Sveaskog</t>
        </is>
      </c>
      <c r="G364" t="n">
        <v>16.1</v>
      </c>
      <c r="H364" t="n">
        <v>0</v>
      </c>
      <c r="I364" t="n">
        <v>0</v>
      </c>
      <c r="J364" t="n">
        <v>0</v>
      </c>
      <c r="K364" t="n">
        <v>0</v>
      </c>
      <c r="L364" t="n">
        <v>0</v>
      </c>
      <c r="M364" t="n">
        <v>0</v>
      </c>
      <c r="N364" t="n">
        <v>0</v>
      </c>
      <c r="O364" t="n">
        <v>0</v>
      </c>
      <c r="P364" t="n">
        <v>0</v>
      </c>
      <c r="Q364" t="n">
        <v>0</v>
      </c>
      <c r="R364" s="2" t="inlineStr"/>
    </row>
    <row r="365" ht="15" customHeight="1">
      <c r="A365" t="inlineStr">
        <is>
          <t>A 18759-2020</t>
        </is>
      </c>
      <c r="B365" s="1" t="n">
        <v>43930</v>
      </c>
      <c r="C365" s="1" t="n">
        <v>45675</v>
      </c>
      <c r="D365" t="inlineStr">
        <is>
          <t>JÄMTLANDS LÄN</t>
        </is>
      </c>
      <c r="E365" t="inlineStr">
        <is>
          <t>HÄRJEDALEN</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18877-2020</t>
        </is>
      </c>
      <c r="B366" s="1" t="n">
        <v>43935</v>
      </c>
      <c r="C366" s="1" t="n">
        <v>45675</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18879-2020</t>
        </is>
      </c>
      <c r="B367" s="1" t="n">
        <v>43935</v>
      </c>
      <c r="C367" s="1" t="n">
        <v>45675</v>
      </c>
      <c r="D367" t="inlineStr">
        <is>
          <t>JÄMTLANDS LÄN</t>
        </is>
      </c>
      <c r="E367" t="inlineStr">
        <is>
          <t>HÄRJEDALEN</t>
        </is>
      </c>
      <c r="G367" t="n">
        <v>5.5</v>
      </c>
      <c r="H367" t="n">
        <v>0</v>
      </c>
      <c r="I367" t="n">
        <v>0</v>
      </c>
      <c r="J367" t="n">
        <v>0</v>
      </c>
      <c r="K367" t="n">
        <v>0</v>
      </c>
      <c r="L367" t="n">
        <v>0</v>
      </c>
      <c r="M367" t="n">
        <v>0</v>
      </c>
      <c r="N367" t="n">
        <v>0</v>
      </c>
      <c r="O367" t="n">
        <v>0</v>
      </c>
      <c r="P367" t="n">
        <v>0</v>
      </c>
      <c r="Q367" t="n">
        <v>0</v>
      </c>
      <c r="R367" s="2" t="inlineStr"/>
    </row>
    <row r="368" ht="15" customHeight="1">
      <c r="A368" t="inlineStr">
        <is>
          <t>A 19304-2020</t>
        </is>
      </c>
      <c r="B368" s="1" t="n">
        <v>43937</v>
      </c>
      <c r="C368" s="1" t="n">
        <v>45675</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19506-2020</t>
        </is>
      </c>
      <c r="B369" s="1" t="n">
        <v>43938</v>
      </c>
      <c r="C369" s="1" t="n">
        <v>45675</v>
      </c>
      <c r="D369" t="inlineStr">
        <is>
          <t>JÄMTLANDS LÄN</t>
        </is>
      </c>
      <c r="E369" t="inlineStr">
        <is>
          <t>HÄRJEDALEN</t>
        </is>
      </c>
      <c r="F369" t="inlineStr">
        <is>
          <t>Sveaskog</t>
        </is>
      </c>
      <c r="G369" t="n">
        <v>6.8</v>
      </c>
      <c r="H369" t="n">
        <v>0</v>
      </c>
      <c r="I369" t="n">
        <v>0</v>
      </c>
      <c r="J369" t="n">
        <v>0</v>
      </c>
      <c r="K369" t="n">
        <v>0</v>
      </c>
      <c r="L369" t="n">
        <v>0</v>
      </c>
      <c r="M369" t="n">
        <v>0</v>
      </c>
      <c r="N369" t="n">
        <v>0</v>
      </c>
      <c r="O369" t="n">
        <v>0</v>
      </c>
      <c r="P369" t="n">
        <v>0</v>
      </c>
      <c r="Q369" t="n">
        <v>0</v>
      </c>
      <c r="R369" s="2" t="inlineStr"/>
    </row>
    <row r="370" ht="15" customHeight="1">
      <c r="A370" t="inlineStr">
        <is>
          <t>A 20781-2020</t>
        </is>
      </c>
      <c r="B370" s="1" t="n">
        <v>43949</v>
      </c>
      <c r="C370" s="1" t="n">
        <v>45675</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21537-2020</t>
        </is>
      </c>
      <c r="B371" s="1" t="n">
        <v>43956</v>
      </c>
      <c r="C371" s="1" t="n">
        <v>45675</v>
      </c>
      <c r="D371" t="inlineStr">
        <is>
          <t>JÄMTLANDS LÄN</t>
        </is>
      </c>
      <c r="E371" t="inlineStr">
        <is>
          <t>HÄRJEDALEN</t>
        </is>
      </c>
      <c r="G371" t="n">
        <v>4.3</v>
      </c>
      <c r="H371" t="n">
        <v>0</v>
      </c>
      <c r="I371" t="n">
        <v>0</v>
      </c>
      <c r="J371" t="n">
        <v>0</v>
      </c>
      <c r="K371" t="n">
        <v>0</v>
      </c>
      <c r="L371" t="n">
        <v>0</v>
      </c>
      <c r="M371" t="n">
        <v>0</v>
      </c>
      <c r="N371" t="n">
        <v>0</v>
      </c>
      <c r="O371" t="n">
        <v>0</v>
      </c>
      <c r="P371" t="n">
        <v>0</v>
      </c>
      <c r="Q371" t="n">
        <v>0</v>
      </c>
      <c r="R371" s="2" t="inlineStr"/>
    </row>
    <row r="372" ht="15" customHeight="1">
      <c r="A372" t="inlineStr">
        <is>
          <t>A 23082-2020</t>
        </is>
      </c>
      <c r="B372" s="1" t="n">
        <v>43964</v>
      </c>
      <c r="C372" s="1" t="n">
        <v>45675</v>
      </c>
      <c r="D372" t="inlineStr">
        <is>
          <t>JÄMTLANDS LÄN</t>
        </is>
      </c>
      <c r="E372" t="inlineStr">
        <is>
          <t>HÄRJEDALEN</t>
        </is>
      </c>
      <c r="G372" t="n">
        <v>2.1</v>
      </c>
      <c r="H372" t="n">
        <v>0</v>
      </c>
      <c r="I372" t="n">
        <v>0</v>
      </c>
      <c r="J372" t="n">
        <v>0</v>
      </c>
      <c r="K372" t="n">
        <v>0</v>
      </c>
      <c r="L372" t="n">
        <v>0</v>
      </c>
      <c r="M372" t="n">
        <v>0</v>
      </c>
      <c r="N372" t="n">
        <v>0</v>
      </c>
      <c r="O372" t="n">
        <v>0</v>
      </c>
      <c r="P372" t="n">
        <v>0</v>
      </c>
      <c r="Q372" t="n">
        <v>0</v>
      </c>
      <c r="R372" s="2" t="inlineStr"/>
    </row>
    <row r="373" ht="15" customHeight="1">
      <c r="A373" t="inlineStr">
        <is>
          <t>A 23310-2020</t>
        </is>
      </c>
      <c r="B373" s="1" t="n">
        <v>43966</v>
      </c>
      <c r="C373" s="1" t="n">
        <v>45675</v>
      </c>
      <c r="D373" t="inlineStr">
        <is>
          <t>JÄMTLANDS LÄN</t>
        </is>
      </c>
      <c r="E373" t="inlineStr">
        <is>
          <t>HÄRJEDALEN</t>
        </is>
      </c>
      <c r="G373" t="n">
        <v>1.6</v>
      </c>
      <c r="H373" t="n">
        <v>0</v>
      </c>
      <c r="I373" t="n">
        <v>0</v>
      </c>
      <c r="J373" t="n">
        <v>0</v>
      </c>
      <c r="K373" t="n">
        <v>0</v>
      </c>
      <c r="L373" t="n">
        <v>0</v>
      </c>
      <c r="M373" t="n">
        <v>0</v>
      </c>
      <c r="N373" t="n">
        <v>0</v>
      </c>
      <c r="O373" t="n">
        <v>0</v>
      </c>
      <c r="P373" t="n">
        <v>0</v>
      </c>
      <c r="Q373" t="n">
        <v>0</v>
      </c>
      <c r="R373" s="2" t="inlineStr"/>
    </row>
    <row r="374" ht="15" customHeight="1">
      <c r="A374" t="inlineStr">
        <is>
          <t>A 23174-2020</t>
        </is>
      </c>
      <c r="B374" s="1" t="n">
        <v>43966</v>
      </c>
      <c r="C374" s="1" t="n">
        <v>45675</v>
      </c>
      <c r="D374" t="inlineStr">
        <is>
          <t>JÄMTLANDS LÄN</t>
        </is>
      </c>
      <c r="E374" t="inlineStr">
        <is>
          <t>HÄRJEDALEN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23560-2020</t>
        </is>
      </c>
      <c r="B375" s="1" t="n">
        <v>43969</v>
      </c>
      <c r="C375" s="1" t="n">
        <v>45675</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24077-2020</t>
        </is>
      </c>
      <c r="B376" s="1" t="n">
        <v>43972</v>
      </c>
      <c r="C376" s="1" t="n">
        <v>45675</v>
      </c>
      <c r="D376" t="inlineStr">
        <is>
          <t>JÄMTLANDS LÄN</t>
        </is>
      </c>
      <c r="E376" t="inlineStr">
        <is>
          <t>HÄRJEDALEN</t>
        </is>
      </c>
      <c r="F376" t="inlineStr">
        <is>
          <t>Sveaskog</t>
        </is>
      </c>
      <c r="G376" t="n">
        <v>9.6</v>
      </c>
      <c r="H376" t="n">
        <v>0</v>
      </c>
      <c r="I376" t="n">
        <v>0</v>
      </c>
      <c r="J376" t="n">
        <v>0</v>
      </c>
      <c r="K376" t="n">
        <v>0</v>
      </c>
      <c r="L376" t="n">
        <v>0</v>
      </c>
      <c r="M376" t="n">
        <v>0</v>
      </c>
      <c r="N376" t="n">
        <v>0</v>
      </c>
      <c r="O376" t="n">
        <v>0</v>
      </c>
      <c r="P376" t="n">
        <v>0</v>
      </c>
      <c r="Q376" t="n">
        <v>0</v>
      </c>
      <c r="R376" s="2" t="inlineStr"/>
    </row>
    <row r="377" ht="15" customHeight="1">
      <c r="A377" t="inlineStr">
        <is>
          <t>A 24127-2020</t>
        </is>
      </c>
      <c r="B377" s="1" t="n">
        <v>43973</v>
      </c>
      <c r="C377" s="1" t="n">
        <v>45675</v>
      </c>
      <c r="D377" t="inlineStr">
        <is>
          <t>JÄMTLANDS LÄN</t>
        </is>
      </c>
      <c r="E377" t="inlineStr">
        <is>
          <t>HÄRJEDALEN</t>
        </is>
      </c>
      <c r="G377" t="n">
        <v>4.6</v>
      </c>
      <c r="H377" t="n">
        <v>0</v>
      </c>
      <c r="I377" t="n">
        <v>0</v>
      </c>
      <c r="J377" t="n">
        <v>0</v>
      </c>
      <c r="K377" t="n">
        <v>0</v>
      </c>
      <c r="L377" t="n">
        <v>0</v>
      </c>
      <c r="M377" t="n">
        <v>0</v>
      </c>
      <c r="N377" t="n">
        <v>0</v>
      </c>
      <c r="O377" t="n">
        <v>0</v>
      </c>
      <c r="P377" t="n">
        <v>0</v>
      </c>
      <c r="Q377" t="n">
        <v>0</v>
      </c>
      <c r="R377" s="2" t="inlineStr"/>
    </row>
    <row r="378" ht="15" customHeight="1">
      <c r="A378" t="inlineStr">
        <is>
          <t>A 25240-2020</t>
        </is>
      </c>
      <c r="B378" s="1" t="n">
        <v>43980</v>
      </c>
      <c r="C378" s="1" t="n">
        <v>45675</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25341-2020</t>
        </is>
      </c>
      <c r="B379" s="1" t="n">
        <v>43980</v>
      </c>
      <c r="C379" s="1" t="n">
        <v>45675</v>
      </c>
      <c r="D379" t="inlineStr">
        <is>
          <t>JÄMTLANDS LÄN</t>
        </is>
      </c>
      <c r="E379" t="inlineStr">
        <is>
          <t>HÄRJEDALEN</t>
        </is>
      </c>
      <c r="G379" t="n">
        <v>2</v>
      </c>
      <c r="H379" t="n">
        <v>0</v>
      </c>
      <c r="I379" t="n">
        <v>0</v>
      </c>
      <c r="J379" t="n">
        <v>0</v>
      </c>
      <c r="K379" t="n">
        <v>0</v>
      </c>
      <c r="L379" t="n">
        <v>0</v>
      </c>
      <c r="M379" t="n">
        <v>0</v>
      </c>
      <c r="N379" t="n">
        <v>0</v>
      </c>
      <c r="O379" t="n">
        <v>0</v>
      </c>
      <c r="P379" t="n">
        <v>0</v>
      </c>
      <c r="Q379" t="n">
        <v>0</v>
      </c>
      <c r="R379" s="2" t="inlineStr"/>
    </row>
    <row r="380" ht="15" customHeight="1">
      <c r="A380" t="inlineStr">
        <is>
          <t>A 25232-2020</t>
        </is>
      </c>
      <c r="B380" s="1" t="n">
        <v>43980</v>
      </c>
      <c r="C380" s="1" t="n">
        <v>45675</v>
      </c>
      <c r="D380" t="inlineStr">
        <is>
          <t>JÄMTLANDS LÄN</t>
        </is>
      </c>
      <c r="E380" t="inlineStr">
        <is>
          <t>HÄRJEDALEN</t>
        </is>
      </c>
      <c r="G380" t="n">
        <v>14.9</v>
      </c>
      <c r="H380" t="n">
        <v>0</v>
      </c>
      <c r="I380" t="n">
        <v>0</v>
      </c>
      <c r="J380" t="n">
        <v>0</v>
      </c>
      <c r="K380" t="n">
        <v>0</v>
      </c>
      <c r="L380" t="n">
        <v>0</v>
      </c>
      <c r="M380" t="n">
        <v>0</v>
      </c>
      <c r="N380" t="n">
        <v>0</v>
      </c>
      <c r="O380" t="n">
        <v>0</v>
      </c>
      <c r="P380" t="n">
        <v>0</v>
      </c>
      <c r="Q380" t="n">
        <v>0</v>
      </c>
      <c r="R380" s="2" t="inlineStr"/>
    </row>
    <row r="381" ht="15" customHeight="1">
      <c r="A381" t="inlineStr">
        <is>
          <t>A 25238-2020</t>
        </is>
      </c>
      <c r="B381" s="1" t="n">
        <v>43980</v>
      </c>
      <c r="C381" s="1" t="n">
        <v>45675</v>
      </c>
      <c r="D381" t="inlineStr">
        <is>
          <t>JÄMTLANDS LÄN</t>
        </is>
      </c>
      <c r="E381" t="inlineStr">
        <is>
          <t>HÄRJEDALEN</t>
        </is>
      </c>
      <c r="G381" t="n">
        <v>2.6</v>
      </c>
      <c r="H381" t="n">
        <v>0</v>
      </c>
      <c r="I381" t="n">
        <v>0</v>
      </c>
      <c r="J381" t="n">
        <v>0</v>
      </c>
      <c r="K381" t="n">
        <v>0</v>
      </c>
      <c r="L381" t="n">
        <v>0</v>
      </c>
      <c r="M381" t="n">
        <v>0</v>
      </c>
      <c r="N381" t="n">
        <v>0</v>
      </c>
      <c r="O381" t="n">
        <v>0</v>
      </c>
      <c r="P381" t="n">
        <v>0</v>
      </c>
      <c r="Q381" t="n">
        <v>0</v>
      </c>
      <c r="R381" s="2" t="inlineStr"/>
    </row>
    <row r="382" ht="15" customHeight="1">
      <c r="A382" t="inlineStr">
        <is>
          <t>A 25236-2020</t>
        </is>
      </c>
      <c r="B382" s="1" t="n">
        <v>43980</v>
      </c>
      <c r="C382" s="1" t="n">
        <v>45675</v>
      </c>
      <c r="D382" t="inlineStr">
        <is>
          <t>JÄMTLANDS LÄN</t>
        </is>
      </c>
      <c r="E382" t="inlineStr">
        <is>
          <t>HÄRJEDALEN</t>
        </is>
      </c>
      <c r="G382" t="n">
        <v>2.2</v>
      </c>
      <c r="H382" t="n">
        <v>0</v>
      </c>
      <c r="I382" t="n">
        <v>0</v>
      </c>
      <c r="J382" t="n">
        <v>0</v>
      </c>
      <c r="K382" t="n">
        <v>0</v>
      </c>
      <c r="L382" t="n">
        <v>0</v>
      </c>
      <c r="M382" t="n">
        <v>0</v>
      </c>
      <c r="N382" t="n">
        <v>0</v>
      </c>
      <c r="O382" t="n">
        <v>0</v>
      </c>
      <c r="P382" t="n">
        <v>0</v>
      </c>
      <c r="Q382" t="n">
        <v>0</v>
      </c>
      <c r="R382" s="2" t="inlineStr"/>
    </row>
    <row r="383" ht="15" customHeight="1">
      <c r="A383" t="inlineStr">
        <is>
          <t>A 25779-2020</t>
        </is>
      </c>
      <c r="B383" s="1" t="n">
        <v>43984</v>
      </c>
      <c r="C383" s="1" t="n">
        <v>45675</v>
      </c>
      <c r="D383" t="inlineStr">
        <is>
          <t>JÄMTLANDS LÄN</t>
        </is>
      </c>
      <c r="E383" t="inlineStr">
        <is>
          <t>HÄRJEDALEN</t>
        </is>
      </c>
      <c r="G383" t="n">
        <v>22.2</v>
      </c>
      <c r="H383" t="n">
        <v>0</v>
      </c>
      <c r="I383" t="n">
        <v>0</v>
      </c>
      <c r="J383" t="n">
        <v>0</v>
      </c>
      <c r="K383" t="n">
        <v>0</v>
      </c>
      <c r="L383" t="n">
        <v>0</v>
      </c>
      <c r="M383" t="n">
        <v>0</v>
      </c>
      <c r="N383" t="n">
        <v>0</v>
      </c>
      <c r="O383" t="n">
        <v>0</v>
      </c>
      <c r="P383" t="n">
        <v>0</v>
      </c>
      <c r="Q383" t="n">
        <v>0</v>
      </c>
      <c r="R383" s="2" t="inlineStr"/>
    </row>
    <row r="384" ht="15" customHeight="1">
      <c r="A384" t="inlineStr">
        <is>
          <t>A 26056-2020</t>
        </is>
      </c>
      <c r="B384" s="1" t="n">
        <v>43984</v>
      </c>
      <c r="C384" s="1" t="n">
        <v>45675</v>
      </c>
      <c r="D384" t="inlineStr">
        <is>
          <t>JÄMTLANDS LÄN</t>
        </is>
      </c>
      <c r="E384" t="inlineStr">
        <is>
          <t>HÄRJEDALEN</t>
        </is>
      </c>
      <c r="G384" t="n">
        <v>53.1</v>
      </c>
      <c r="H384" t="n">
        <v>0</v>
      </c>
      <c r="I384" t="n">
        <v>0</v>
      </c>
      <c r="J384" t="n">
        <v>0</v>
      </c>
      <c r="K384" t="n">
        <v>0</v>
      </c>
      <c r="L384" t="n">
        <v>0</v>
      </c>
      <c r="M384" t="n">
        <v>0</v>
      </c>
      <c r="N384" t="n">
        <v>0</v>
      </c>
      <c r="O384" t="n">
        <v>0</v>
      </c>
      <c r="P384" t="n">
        <v>0</v>
      </c>
      <c r="Q384" t="n">
        <v>0</v>
      </c>
      <c r="R384" s="2" t="inlineStr"/>
    </row>
    <row r="385" ht="15" customHeight="1">
      <c r="A385" t="inlineStr">
        <is>
          <t>A 27854-2020</t>
        </is>
      </c>
      <c r="B385" s="1" t="n">
        <v>43994</v>
      </c>
      <c r="C385" s="1" t="n">
        <v>45675</v>
      </c>
      <c r="D385" t="inlineStr">
        <is>
          <t>JÄMTLANDS LÄN</t>
        </is>
      </c>
      <c r="E385" t="inlineStr">
        <is>
          <t>HÄRJEDALEN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28543-2020</t>
        </is>
      </c>
      <c r="B386" s="1" t="n">
        <v>43999</v>
      </c>
      <c r="C386" s="1" t="n">
        <v>45675</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29158-2020</t>
        </is>
      </c>
      <c r="B387" s="1" t="n">
        <v>44004</v>
      </c>
      <c r="C387" s="1" t="n">
        <v>45675</v>
      </c>
      <c r="D387" t="inlineStr">
        <is>
          <t>JÄMTLANDS LÄN</t>
        </is>
      </c>
      <c r="E387" t="inlineStr">
        <is>
          <t>HÄRJEDALEN</t>
        </is>
      </c>
      <c r="F387" t="inlineStr">
        <is>
          <t>Sveaskog</t>
        </is>
      </c>
      <c r="G387" t="n">
        <v>6.6</v>
      </c>
      <c r="H387" t="n">
        <v>0</v>
      </c>
      <c r="I387" t="n">
        <v>0</v>
      </c>
      <c r="J387" t="n">
        <v>0</v>
      </c>
      <c r="K387" t="n">
        <v>0</v>
      </c>
      <c r="L387" t="n">
        <v>0</v>
      </c>
      <c r="M387" t="n">
        <v>0</v>
      </c>
      <c r="N387" t="n">
        <v>0</v>
      </c>
      <c r="O387" t="n">
        <v>0</v>
      </c>
      <c r="P387" t="n">
        <v>0</v>
      </c>
      <c r="Q387" t="n">
        <v>0</v>
      </c>
      <c r="R387" s="2" t="inlineStr"/>
    </row>
    <row r="388" ht="15" customHeight="1">
      <c r="A388" t="inlineStr">
        <is>
          <t>A 29154-2020</t>
        </is>
      </c>
      <c r="B388" s="1" t="n">
        <v>44004</v>
      </c>
      <c r="C388" s="1" t="n">
        <v>45675</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30963-2020</t>
        </is>
      </c>
      <c r="B389" s="1" t="n">
        <v>44011</v>
      </c>
      <c r="C389" s="1" t="n">
        <v>45675</v>
      </c>
      <c r="D389" t="inlineStr">
        <is>
          <t>JÄMTLANDS LÄN</t>
        </is>
      </c>
      <c r="E389" t="inlineStr">
        <is>
          <t>HÄRJEDALEN</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30936-2020</t>
        </is>
      </c>
      <c r="B390" s="1" t="n">
        <v>44011</v>
      </c>
      <c r="C390" s="1" t="n">
        <v>45675</v>
      </c>
      <c r="D390" t="inlineStr">
        <is>
          <t>JÄMTLANDS LÄN</t>
        </is>
      </c>
      <c r="E390" t="inlineStr">
        <is>
          <t>HÄRJEDALEN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30940-2020</t>
        </is>
      </c>
      <c r="B391" s="1" t="n">
        <v>44011</v>
      </c>
      <c r="C391" s="1" t="n">
        <v>45675</v>
      </c>
      <c r="D391" t="inlineStr">
        <is>
          <t>JÄMTLANDS LÄN</t>
        </is>
      </c>
      <c r="E391" t="inlineStr">
        <is>
          <t>HÄRJEDALEN</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31264-2020</t>
        </is>
      </c>
      <c r="B392" s="1" t="n">
        <v>44012</v>
      </c>
      <c r="C392" s="1" t="n">
        <v>45675</v>
      </c>
      <c r="D392" t="inlineStr">
        <is>
          <t>JÄMTLANDS LÄN</t>
        </is>
      </c>
      <c r="E392" t="inlineStr">
        <is>
          <t>HÄRJEDALEN</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31872-2020</t>
        </is>
      </c>
      <c r="B393" s="1" t="n">
        <v>44014</v>
      </c>
      <c r="C393" s="1" t="n">
        <v>45675</v>
      </c>
      <c r="D393" t="inlineStr">
        <is>
          <t>JÄMTLANDS LÄN</t>
        </is>
      </c>
      <c r="E393" t="inlineStr">
        <is>
          <t>HÄRJEDALEN</t>
        </is>
      </c>
      <c r="G393" t="n">
        <v>21.4</v>
      </c>
      <c r="H393" t="n">
        <v>0</v>
      </c>
      <c r="I393" t="n">
        <v>0</v>
      </c>
      <c r="J393" t="n">
        <v>0</v>
      </c>
      <c r="K393" t="n">
        <v>0</v>
      </c>
      <c r="L393" t="n">
        <v>0</v>
      </c>
      <c r="M393" t="n">
        <v>0</v>
      </c>
      <c r="N393" t="n">
        <v>0</v>
      </c>
      <c r="O393" t="n">
        <v>0</v>
      </c>
      <c r="P393" t="n">
        <v>0</v>
      </c>
      <c r="Q393" t="n">
        <v>0</v>
      </c>
      <c r="R393" s="2" t="inlineStr"/>
    </row>
    <row r="394" ht="15" customHeight="1">
      <c r="A394" t="inlineStr">
        <is>
          <t>A 31920-2020</t>
        </is>
      </c>
      <c r="B394" s="1" t="n">
        <v>44014</v>
      </c>
      <c r="C394" s="1" t="n">
        <v>45675</v>
      </c>
      <c r="D394" t="inlineStr">
        <is>
          <t>JÄMTLANDS LÄN</t>
        </is>
      </c>
      <c r="E394" t="inlineStr">
        <is>
          <t>HÄRJEDALEN</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33020-2020</t>
        </is>
      </c>
      <c r="B395" s="1" t="n">
        <v>44021</v>
      </c>
      <c r="C395" s="1" t="n">
        <v>45675</v>
      </c>
      <c r="D395" t="inlineStr">
        <is>
          <t>JÄMTLANDS LÄN</t>
        </is>
      </c>
      <c r="E395" t="inlineStr">
        <is>
          <t>HÄRJEDALEN</t>
        </is>
      </c>
      <c r="G395" t="n">
        <v>1.7</v>
      </c>
      <c r="H395" t="n">
        <v>0</v>
      </c>
      <c r="I395" t="n">
        <v>0</v>
      </c>
      <c r="J395" t="n">
        <v>0</v>
      </c>
      <c r="K395" t="n">
        <v>0</v>
      </c>
      <c r="L395" t="n">
        <v>0</v>
      </c>
      <c r="M395" t="n">
        <v>0</v>
      </c>
      <c r="N395" t="n">
        <v>0</v>
      </c>
      <c r="O395" t="n">
        <v>0</v>
      </c>
      <c r="P395" t="n">
        <v>0</v>
      </c>
      <c r="Q395" t="n">
        <v>0</v>
      </c>
      <c r="R395" s="2" t="inlineStr"/>
    </row>
    <row r="396" ht="15" customHeight="1">
      <c r="A396" t="inlineStr">
        <is>
          <t>A 33812-2020</t>
        </is>
      </c>
      <c r="B396" s="1" t="n">
        <v>44025</v>
      </c>
      <c r="C396" s="1" t="n">
        <v>45675</v>
      </c>
      <c r="D396" t="inlineStr">
        <is>
          <t>JÄMTLANDS LÄN</t>
        </is>
      </c>
      <c r="E396" t="inlineStr">
        <is>
          <t>HÄRJEDALEN</t>
        </is>
      </c>
      <c r="G396" t="n">
        <v>3.2</v>
      </c>
      <c r="H396" t="n">
        <v>0</v>
      </c>
      <c r="I396" t="n">
        <v>0</v>
      </c>
      <c r="J396" t="n">
        <v>0</v>
      </c>
      <c r="K396" t="n">
        <v>0</v>
      </c>
      <c r="L396" t="n">
        <v>0</v>
      </c>
      <c r="M396" t="n">
        <v>0</v>
      </c>
      <c r="N396" t="n">
        <v>0</v>
      </c>
      <c r="O396" t="n">
        <v>0</v>
      </c>
      <c r="P396" t="n">
        <v>0</v>
      </c>
      <c r="Q396" t="n">
        <v>0</v>
      </c>
      <c r="R396" s="2" t="inlineStr"/>
    </row>
    <row r="397" ht="15" customHeight="1">
      <c r="A397" t="inlineStr">
        <is>
          <t>A 33513-2020</t>
        </is>
      </c>
      <c r="B397" s="1" t="n">
        <v>44025</v>
      </c>
      <c r="C397" s="1" t="n">
        <v>45675</v>
      </c>
      <c r="D397" t="inlineStr">
        <is>
          <t>JÄMTLANDS LÄN</t>
        </is>
      </c>
      <c r="E397" t="inlineStr">
        <is>
          <t>HÄRJEDALEN</t>
        </is>
      </c>
      <c r="G397" t="n">
        <v>3.5</v>
      </c>
      <c r="H397" t="n">
        <v>0</v>
      </c>
      <c r="I397" t="n">
        <v>0</v>
      </c>
      <c r="J397" t="n">
        <v>0</v>
      </c>
      <c r="K397" t="n">
        <v>0</v>
      </c>
      <c r="L397" t="n">
        <v>0</v>
      </c>
      <c r="M397" t="n">
        <v>0</v>
      </c>
      <c r="N397" t="n">
        <v>0</v>
      </c>
      <c r="O397" t="n">
        <v>0</v>
      </c>
      <c r="P397" t="n">
        <v>0</v>
      </c>
      <c r="Q397" t="n">
        <v>0</v>
      </c>
      <c r="R397" s="2" t="inlineStr"/>
    </row>
    <row r="398" ht="15" customHeight="1">
      <c r="A398" t="inlineStr">
        <is>
          <t>A 33701-2020</t>
        </is>
      </c>
      <c r="B398" s="1" t="n">
        <v>44026</v>
      </c>
      <c r="C398" s="1" t="n">
        <v>45675</v>
      </c>
      <c r="D398" t="inlineStr">
        <is>
          <t>JÄMTLANDS LÄN</t>
        </is>
      </c>
      <c r="E398" t="inlineStr">
        <is>
          <t>HÄRJEDALEN</t>
        </is>
      </c>
      <c r="F398" t="inlineStr">
        <is>
          <t>Bergvik skog väst AB</t>
        </is>
      </c>
      <c r="G398" t="n">
        <v>7.2</v>
      </c>
      <c r="H398" t="n">
        <v>0</v>
      </c>
      <c r="I398" t="n">
        <v>0</v>
      </c>
      <c r="J398" t="n">
        <v>0</v>
      </c>
      <c r="K398" t="n">
        <v>0</v>
      </c>
      <c r="L398" t="n">
        <v>0</v>
      </c>
      <c r="M398" t="n">
        <v>0</v>
      </c>
      <c r="N398" t="n">
        <v>0</v>
      </c>
      <c r="O398" t="n">
        <v>0</v>
      </c>
      <c r="P398" t="n">
        <v>0</v>
      </c>
      <c r="Q398" t="n">
        <v>0</v>
      </c>
      <c r="R398" s="2" t="inlineStr"/>
    </row>
    <row r="399" ht="15" customHeight="1">
      <c r="A399" t="inlineStr">
        <is>
          <t>A 33942-2020</t>
        </is>
      </c>
      <c r="B399" s="1" t="n">
        <v>44028</v>
      </c>
      <c r="C399" s="1" t="n">
        <v>45675</v>
      </c>
      <c r="D399" t="inlineStr">
        <is>
          <t>JÄMTLANDS LÄN</t>
        </is>
      </c>
      <c r="E399" t="inlineStr">
        <is>
          <t>HÄRJEDALEN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34894-2020</t>
        </is>
      </c>
      <c r="B400" s="1" t="n">
        <v>44036</v>
      </c>
      <c r="C400" s="1" t="n">
        <v>45675</v>
      </c>
      <c r="D400" t="inlineStr">
        <is>
          <t>JÄMTLANDS LÄN</t>
        </is>
      </c>
      <c r="E400" t="inlineStr">
        <is>
          <t>HÄRJEDALEN</t>
        </is>
      </c>
      <c r="G400" t="n">
        <v>4</v>
      </c>
      <c r="H400" t="n">
        <v>0</v>
      </c>
      <c r="I400" t="n">
        <v>0</v>
      </c>
      <c r="J400" t="n">
        <v>0</v>
      </c>
      <c r="K400" t="n">
        <v>0</v>
      </c>
      <c r="L400" t="n">
        <v>0</v>
      </c>
      <c r="M400" t="n">
        <v>0</v>
      </c>
      <c r="N400" t="n">
        <v>0</v>
      </c>
      <c r="O400" t="n">
        <v>0</v>
      </c>
      <c r="P400" t="n">
        <v>0</v>
      </c>
      <c r="Q400" t="n">
        <v>0</v>
      </c>
      <c r="R400" s="2" t="inlineStr"/>
    </row>
    <row r="401" ht="15" customHeight="1">
      <c r="A401" t="inlineStr">
        <is>
          <t>A 34900-2020</t>
        </is>
      </c>
      <c r="B401" s="1" t="n">
        <v>44036</v>
      </c>
      <c r="C401" s="1" t="n">
        <v>45675</v>
      </c>
      <c r="D401" t="inlineStr">
        <is>
          <t>JÄMTLANDS LÄN</t>
        </is>
      </c>
      <c r="E401" t="inlineStr">
        <is>
          <t>HÄRJEDALEN</t>
        </is>
      </c>
      <c r="G401" t="n">
        <v>13.1</v>
      </c>
      <c r="H401" t="n">
        <v>0</v>
      </c>
      <c r="I401" t="n">
        <v>0</v>
      </c>
      <c r="J401" t="n">
        <v>0</v>
      </c>
      <c r="K401" t="n">
        <v>0</v>
      </c>
      <c r="L401" t="n">
        <v>0</v>
      </c>
      <c r="M401" t="n">
        <v>0</v>
      </c>
      <c r="N401" t="n">
        <v>0</v>
      </c>
      <c r="O401" t="n">
        <v>0</v>
      </c>
      <c r="P401" t="n">
        <v>0</v>
      </c>
      <c r="Q401" t="n">
        <v>0</v>
      </c>
      <c r="R401" s="2" t="inlineStr"/>
    </row>
    <row r="402" ht="15" customHeight="1">
      <c r="A402" t="inlineStr">
        <is>
          <t>A 34975-2020</t>
        </is>
      </c>
      <c r="B402" s="1" t="n">
        <v>44039</v>
      </c>
      <c r="C402" s="1" t="n">
        <v>45675</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34963-2020</t>
        </is>
      </c>
      <c r="B403" s="1" t="n">
        <v>44039</v>
      </c>
      <c r="C403" s="1" t="n">
        <v>45675</v>
      </c>
      <c r="D403" t="inlineStr">
        <is>
          <t>JÄMTLANDS LÄN</t>
        </is>
      </c>
      <c r="E403" t="inlineStr">
        <is>
          <t>HÄRJEDALEN</t>
        </is>
      </c>
      <c r="G403" t="n">
        <v>1.2</v>
      </c>
      <c r="H403" t="n">
        <v>0</v>
      </c>
      <c r="I403" t="n">
        <v>0</v>
      </c>
      <c r="J403" t="n">
        <v>0</v>
      </c>
      <c r="K403" t="n">
        <v>0</v>
      </c>
      <c r="L403" t="n">
        <v>0</v>
      </c>
      <c r="M403" t="n">
        <v>0</v>
      </c>
      <c r="N403" t="n">
        <v>0</v>
      </c>
      <c r="O403" t="n">
        <v>0</v>
      </c>
      <c r="P403" t="n">
        <v>0</v>
      </c>
      <c r="Q403" t="n">
        <v>0</v>
      </c>
      <c r="R403" s="2" t="inlineStr"/>
    </row>
    <row r="404" ht="15" customHeight="1">
      <c r="A404" t="inlineStr">
        <is>
          <t>A 35160-2020</t>
        </is>
      </c>
      <c r="B404" s="1" t="n">
        <v>44040</v>
      </c>
      <c r="C404" s="1" t="n">
        <v>45675</v>
      </c>
      <c r="D404" t="inlineStr">
        <is>
          <t>JÄMTLANDS LÄN</t>
        </is>
      </c>
      <c r="E404" t="inlineStr">
        <is>
          <t>HÄRJEDALEN</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35436-2020</t>
        </is>
      </c>
      <c r="B405" s="1" t="n">
        <v>44042</v>
      </c>
      <c r="C405" s="1" t="n">
        <v>45675</v>
      </c>
      <c r="D405" t="inlineStr">
        <is>
          <t>JÄMTLANDS LÄN</t>
        </is>
      </c>
      <c r="E405" t="inlineStr">
        <is>
          <t>HÄRJEDALEN</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35548-2020</t>
        </is>
      </c>
      <c r="B406" s="1" t="n">
        <v>44043</v>
      </c>
      <c r="C406" s="1" t="n">
        <v>45675</v>
      </c>
      <c r="D406" t="inlineStr">
        <is>
          <t>JÄMTLANDS LÄN</t>
        </is>
      </c>
      <c r="E406" t="inlineStr">
        <is>
          <t>HÄRJEDALEN</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36471-2020</t>
        </is>
      </c>
      <c r="B407" s="1" t="n">
        <v>44050</v>
      </c>
      <c r="C407" s="1" t="n">
        <v>45675</v>
      </c>
      <c r="D407" t="inlineStr">
        <is>
          <t>JÄMTLANDS LÄN</t>
        </is>
      </c>
      <c r="E407" t="inlineStr">
        <is>
          <t>HÄRJEDALEN</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36790-2020</t>
        </is>
      </c>
      <c r="B408" s="1" t="n">
        <v>44053</v>
      </c>
      <c r="C408" s="1" t="n">
        <v>45675</v>
      </c>
      <c r="D408" t="inlineStr">
        <is>
          <t>JÄMTLANDS LÄN</t>
        </is>
      </c>
      <c r="E408" t="inlineStr">
        <is>
          <t>HÄRJEDALEN</t>
        </is>
      </c>
      <c r="G408" t="n">
        <v>3.8</v>
      </c>
      <c r="H408" t="n">
        <v>0</v>
      </c>
      <c r="I408" t="n">
        <v>0</v>
      </c>
      <c r="J408" t="n">
        <v>0</v>
      </c>
      <c r="K408" t="n">
        <v>0</v>
      </c>
      <c r="L408" t="n">
        <v>0</v>
      </c>
      <c r="M408" t="n">
        <v>0</v>
      </c>
      <c r="N408" t="n">
        <v>0</v>
      </c>
      <c r="O408" t="n">
        <v>0</v>
      </c>
      <c r="P408" t="n">
        <v>0</v>
      </c>
      <c r="Q408" t="n">
        <v>0</v>
      </c>
      <c r="R408" s="2" t="inlineStr"/>
    </row>
    <row r="409" ht="15" customHeight="1">
      <c r="A409" t="inlineStr">
        <is>
          <t>A 37780-2020</t>
        </is>
      </c>
      <c r="B409" s="1" t="n">
        <v>44056</v>
      </c>
      <c r="C409" s="1" t="n">
        <v>45675</v>
      </c>
      <c r="D409" t="inlineStr">
        <is>
          <t>JÄMTLANDS LÄN</t>
        </is>
      </c>
      <c r="E409" t="inlineStr">
        <is>
          <t>HÄRJEDALEN</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38044-2020</t>
        </is>
      </c>
      <c r="B410" s="1" t="n">
        <v>44057</v>
      </c>
      <c r="C410" s="1" t="n">
        <v>45675</v>
      </c>
      <c r="D410" t="inlineStr">
        <is>
          <t>JÄMTLANDS LÄN</t>
        </is>
      </c>
      <c r="E410" t="inlineStr">
        <is>
          <t>HÄRJEDALEN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38107-2020</t>
        </is>
      </c>
      <c r="B411" s="1" t="n">
        <v>44057</v>
      </c>
      <c r="C411" s="1" t="n">
        <v>45675</v>
      </c>
      <c r="D411" t="inlineStr">
        <is>
          <t>JÄMTLANDS LÄN</t>
        </is>
      </c>
      <c r="E411" t="inlineStr">
        <is>
          <t>HÄRJEDALEN</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38403-2020</t>
        </is>
      </c>
      <c r="B412" s="1" t="n">
        <v>44060</v>
      </c>
      <c r="C412" s="1" t="n">
        <v>45675</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c r="U412">
        <f>HYPERLINK("https://klasma.github.io/Logging_2361/knärot/A 38403-2020 karta knärot.png", "A 38403-2020")</f>
        <v/>
      </c>
      <c r="V412">
        <f>HYPERLINK("https://klasma.github.io/Logging_2361/klagomål/A 38403-2020 FSC-klagomål.docx", "A 38403-2020")</f>
        <v/>
      </c>
      <c r="W412">
        <f>HYPERLINK("https://klasma.github.io/Logging_2361/klagomålsmail/A 38403-2020 FSC-klagomål mail.docx", "A 38403-2020")</f>
        <v/>
      </c>
      <c r="X412">
        <f>HYPERLINK("https://klasma.github.io/Logging_2361/tillsyn/A 38403-2020 tillsynsbegäran.docx", "A 38403-2020")</f>
        <v/>
      </c>
      <c r="Y412">
        <f>HYPERLINK("https://klasma.github.io/Logging_2361/tillsynsmail/A 38403-2020 tillsynsbegäran mail.docx", "A 38403-2020")</f>
        <v/>
      </c>
    </row>
    <row r="413" ht="15" customHeight="1">
      <c r="A413" t="inlineStr">
        <is>
          <t>A 42078-2020</t>
        </is>
      </c>
      <c r="B413" s="1" t="n">
        <v>44075</v>
      </c>
      <c r="C413" s="1" t="n">
        <v>45675</v>
      </c>
      <c r="D413" t="inlineStr">
        <is>
          <t>JÄMTLANDS LÄN</t>
        </is>
      </c>
      <c r="E413" t="inlineStr">
        <is>
          <t>HÄRJEDALEN</t>
        </is>
      </c>
      <c r="G413" t="n">
        <v>3.9</v>
      </c>
      <c r="H413" t="n">
        <v>0</v>
      </c>
      <c r="I413" t="n">
        <v>0</v>
      </c>
      <c r="J413" t="n">
        <v>0</v>
      </c>
      <c r="K413" t="n">
        <v>0</v>
      </c>
      <c r="L413" t="n">
        <v>0</v>
      </c>
      <c r="M413" t="n">
        <v>0</v>
      </c>
      <c r="N413" t="n">
        <v>0</v>
      </c>
      <c r="O413" t="n">
        <v>0</v>
      </c>
      <c r="P413" t="n">
        <v>0</v>
      </c>
      <c r="Q413" t="n">
        <v>0</v>
      </c>
      <c r="R413" s="2" t="inlineStr"/>
    </row>
    <row r="414" ht="15" customHeight="1">
      <c r="A414" t="inlineStr">
        <is>
          <t>A 43417-2020</t>
        </is>
      </c>
      <c r="B414" s="1" t="n">
        <v>44078</v>
      </c>
      <c r="C414" s="1" t="n">
        <v>45675</v>
      </c>
      <c r="D414" t="inlineStr">
        <is>
          <t>JÄMTLANDS LÄN</t>
        </is>
      </c>
      <c r="E414" t="inlineStr">
        <is>
          <t>HÄRJEDALEN</t>
        </is>
      </c>
      <c r="G414" t="n">
        <v>8</v>
      </c>
      <c r="H414" t="n">
        <v>0</v>
      </c>
      <c r="I414" t="n">
        <v>0</v>
      </c>
      <c r="J414" t="n">
        <v>0</v>
      </c>
      <c r="K414" t="n">
        <v>0</v>
      </c>
      <c r="L414" t="n">
        <v>0</v>
      </c>
      <c r="M414" t="n">
        <v>0</v>
      </c>
      <c r="N414" t="n">
        <v>0</v>
      </c>
      <c r="O414" t="n">
        <v>0</v>
      </c>
      <c r="P414" t="n">
        <v>0</v>
      </c>
      <c r="Q414" t="n">
        <v>0</v>
      </c>
      <c r="R414" s="2" t="inlineStr"/>
    </row>
    <row r="415" ht="15" customHeight="1">
      <c r="A415" t="inlineStr">
        <is>
          <t>A 43748-2020</t>
        </is>
      </c>
      <c r="B415" s="1" t="n">
        <v>44082</v>
      </c>
      <c r="C415" s="1" t="n">
        <v>45675</v>
      </c>
      <c r="D415" t="inlineStr">
        <is>
          <t>JÄMTLANDS LÄN</t>
        </is>
      </c>
      <c r="E415" t="inlineStr">
        <is>
          <t>HÄRJEDALEN</t>
        </is>
      </c>
      <c r="F415" t="inlineStr">
        <is>
          <t>Holmen skog AB</t>
        </is>
      </c>
      <c r="G415" t="n">
        <v>0.4</v>
      </c>
      <c r="H415" t="n">
        <v>0</v>
      </c>
      <c r="I415" t="n">
        <v>0</v>
      </c>
      <c r="J415" t="n">
        <v>0</v>
      </c>
      <c r="K415" t="n">
        <v>0</v>
      </c>
      <c r="L415" t="n">
        <v>0</v>
      </c>
      <c r="M415" t="n">
        <v>0</v>
      </c>
      <c r="N415" t="n">
        <v>0</v>
      </c>
      <c r="O415" t="n">
        <v>0</v>
      </c>
      <c r="P415" t="n">
        <v>0</v>
      </c>
      <c r="Q415" t="n">
        <v>0</v>
      </c>
      <c r="R415" s="2" t="inlineStr"/>
    </row>
    <row r="416" ht="15" customHeight="1">
      <c r="A416" t="inlineStr">
        <is>
          <t>A 43750-2020</t>
        </is>
      </c>
      <c r="B416" s="1" t="n">
        <v>44082</v>
      </c>
      <c r="C416" s="1" t="n">
        <v>45675</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44381-2020</t>
        </is>
      </c>
      <c r="B417" s="1" t="n">
        <v>44084</v>
      </c>
      <c r="C417" s="1" t="n">
        <v>45675</v>
      </c>
      <c r="D417" t="inlineStr">
        <is>
          <t>JÄMTLANDS LÄN</t>
        </is>
      </c>
      <c r="E417" t="inlineStr">
        <is>
          <t>HÄRJEDALEN</t>
        </is>
      </c>
      <c r="F417" t="inlineStr">
        <is>
          <t>Holmen skog AB</t>
        </is>
      </c>
      <c r="G417" t="n">
        <v>2.3</v>
      </c>
      <c r="H417" t="n">
        <v>0</v>
      </c>
      <c r="I417" t="n">
        <v>0</v>
      </c>
      <c r="J417" t="n">
        <v>0</v>
      </c>
      <c r="K417" t="n">
        <v>0</v>
      </c>
      <c r="L417" t="n">
        <v>0</v>
      </c>
      <c r="M417" t="n">
        <v>0</v>
      </c>
      <c r="N417" t="n">
        <v>0</v>
      </c>
      <c r="O417" t="n">
        <v>0</v>
      </c>
      <c r="P417" t="n">
        <v>0</v>
      </c>
      <c r="Q417" t="n">
        <v>0</v>
      </c>
      <c r="R417" s="2" t="inlineStr"/>
    </row>
    <row r="418" ht="15" customHeight="1">
      <c r="A418" t="inlineStr">
        <is>
          <t>A 45426-2020</t>
        </is>
      </c>
      <c r="B418" s="1" t="n">
        <v>44088</v>
      </c>
      <c r="C418" s="1" t="n">
        <v>45675</v>
      </c>
      <c r="D418" t="inlineStr">
        <is>
          <t>JÄMTLANDS LÄN</t>
        </is>
      </c>
      <c r="E418" t="inlineStr">
        <is>
          <t>HÄRJEDALEN</t>
        </is>
      </c>
      <c r="G418" t="n">
        <v>6.1</v>
      </c>
      <c r="H418" t="n">
        <v>0</v>
      </c>
      <c r="I418" t="n">
        <v>0</v>
      </c>
      <c r="J418" t="n">
        <v>0</v>
      </c>
      <c r="K418" t="n">
        <v>0</v>
      </c>
      <c r="L418" t="n">
        <v>0</v>
      </c>
      <c r="M418" t="n">
        <v>0</v>
      </c>
      <c r="N418" t="n">
        <v>0</v>
      </c>
      <c r="O418" t="n">
        <v>0</v>
      </c>
      <c r="P418" t="n">
        <v>0</v>
      </c>
      <c r="Q418" t="n">
        <v>0</v>
      </c>
      <c r="R418" s="2" t="inlineStr"/>
    </row>
    <row r="419" ht="15" customHeight="1">
      <c r="A419" t="inlineStr">
        <is>
          <t>A 45866-2020</t>
        </is>
      </c>
      <c r="B419" s="1" t="n">
        <v>44091</v>
      </c>
      <c r="C419" s="1" t="n">
        <v>45675</v>
      </c>
      <c r="D419" t="inlineStr">
        <is>
          <t>JÄMTLANDS LÄN</t>
        </is>
      </c>
      <c r="E419" t="inlineStr">
        <is>
          <t>HÄRJEDALEN</t>
        </is>
      </c>
      <c r="G419" t="n">
        <v>0.2</v>
      </c>
      <c r="H419" t="n">
        <v>0</v>
      </c>
      <c r="I419" t="n">
        <v>0</v>
      </c>
      <c r="J419" t="n">
        <v>0</v>
      </c>
      <c r="K419" t="n">
        <v>0</v>
      </c>
      <c r="L419" t="n">
        <v>0</v>
      </c>
      <c r="M419" t="n">
        <v>0</v>
      </c>
      <c r="N419" t="n">
        <v>0</v>
      </c>
      <c r="O419" t="n">
        <v>0</v>
      </c>
      <c r="P419" t="n">
        <v>0</v>
      </c>
      <c r="Q419" t="n">
        <v>0</v>
      </c>
      <c r="R419" s="2" t="inlineStr"/>
    </row>
    <row r="420" ht="15" customHeight="1">
      <c r="A420" t="inlineStr">
        <is>
          <t>A 46103-2020</t>
        </is>
      </c>
      <c r="B420" s="1" t="n">
        <v>44091</v>
      </c>
      <c r="C420" s="1" t="n">
        <v>45675</v>
      </c>
      <c r="D420" t="inlineStr">
        <is>
          <t>JÄMTLANDS LÄN</t>
        </is>
      </c>
      <c r="E420" t="inlineStr">
        <is>
          <t>HÄRJEDALEN</t>
        </is>
      </c>
      <c r="G420" t="n">
        <v>2.8</v>
      </c>
      <c r="H420" t="n">
        <v>0</v>
      </c>
      <c r="I420" t="n">
        <v>0</v>
      </c>
      <c r="J420" t="n">
        <v>0</v>
      </c>
      <c r="K420" t="n">
        <v>0</v>
      </c>
      <c r="L420" t="n">
        <v>0</v>
      </c>
      <c r="M420" t="n">
        <v>0</v>
      </c>
      <c r="N420" t="n">
        <v>0</v>
      </c>
      <c r="O420" t="n">
        <v>0</v>
      </c>
      <c r="P420" t="n">
        <v>0</v>
      </c>
      <c r="Q420" t="n">
        <v>0</v>
      </c>
      <c r="R420" s="2" t="inlineStr"/>
    </row>
    <row r="421" ht="15" customHeight="1">
      <c r="A421" t="inlineStr">
        <is>
          <t>A 46310-2020</t>
        </is>
      </c>
      <c r="B421" s="1" t="n">
        <v>44092</v>
      </c>
      <c r="C421" s="1" t="n">
        <v>45675</v>
      </c>
      <c r="D421" t="inlineStr">
        <is>
          <t>JÄMTLANDS LÄN</t>
        </is>
      </c>
      <c r="E421" t="inlineStr">
        <is>
          <t>HÄRJEDALEN</t>
        </is>
      </c>
      <c r="F421" t="inlineStr">
        <is>
          <t>Bergvik skog väst AB</t>
        </is>
      </c>
      <c r="G421" t="n">
        <v>26.6</v>
      </c>
      <c r="H421" t="n">
        <v>0</v>
      </c>
      <c r="I421" t="n">
        <v>0</v>
      </c>
      <c r="J421" t="n">
        <v>0</v>
      </c>
      <c r="K421" t="n">
        <v>0</v>
      </c>
      <c r="L421" t="n">
        <v>0</v>
      </c>
      <c r="M421" t="n">
        <v>0</v>
      </c>
      <c r="N421" t="n">
        <v>0</v>
      </c>
      <c r="O421" t="n">
        <v>0</v>
      </c>
      <c r="P421" t="n">
        <v>0</v>
      </c>
      <c r="Q421" t="n">
        <v>0</v>
      </c>
      <c r="R421" s="2" t="inlineStr"/>
    </row>
    <row r="422" ht="15" customHeight="1">
      <c r="A422" t="inlineStr">
        <is>
          <t>A 49430-2020</t>
        </is>
      </c>
      <c r="B422" s="1" t="n">
        <v>44102</v>
      </c>
      <c r="C422" s="1" t="n">
        <v>45675</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49447-2020</t>
        </is>
      </c>
      <c r="B423" s="1" t="n">
        <v>44102</v>
      </c>
      <c r="C423" s="1" t="n">
        <v>45675</v>
      </c>
      <c r="D423" t="inlineStr">
        <is>
          <t>JÄMTLANDS LÄN</t>
        </is>
      </c>
      <c r="E423" t="inlineStr">
        <is>
          <t>HÄRJEDALEN</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49248-2020</t>
        </is>
      </c>
      <c r="B424" s="1" t="n">
        <v>44105</v>
      </c>
      <c r="C424" s="1" t="n">
        <v>45675</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49246-2020</t>
        </is>
      </c>
      <c r="B425" s="1" t="n">
        <v>44105</v>
      </c>
      <c r="C425" s="1" t="n">
        <v>45675</v>
      </c>
      <c r="D425" t="inlineStr">
        <is>
          <t>JÄMTLANDS LÄN</t>
        </is>
      </c>
      <c r="E425" t="inlineStr">
        <is>
          <t>HÄRJEDALEN</t>
        </is>
      </c>
      <c r="G425" t="n">
        <v>3.7</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45675</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45675</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45675</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45675</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45675</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45675</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45675</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45675</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45675</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45675</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45675</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45675</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45675</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45675</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45675</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45675</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45675</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45675</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45675</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45675</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45675</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45675</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45675</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45675</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45675</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45675</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45675</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45675</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45675</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45675</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45675</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45675</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45675</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45675</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45675</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45675</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45675</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45675</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45675</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45675</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45675</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45675</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45675</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45675</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45675</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45675</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45675</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45675</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45675</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45675</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45675</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45675</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45675</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45675</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45675</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45675</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45675</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45675</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45675</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45675</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45675</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45675</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45675</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45675</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45675</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45675</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45675</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45675</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45675</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45675</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45675</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45675</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45675</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45675</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45675</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45675</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45675</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45675</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45675</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45675</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45675</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45675</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45675</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45675</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45675</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45675</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45675</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45675</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45675</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45675</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45675</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45675</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45675</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45675</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45675</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45675</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45675</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45675</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45675</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45675</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45675</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45675</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45675</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45675</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45675</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45675</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45675</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45675</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45675</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45675</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45675</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45675</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45675</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45675</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45675</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45675</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45675</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45675</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45675</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45675</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45675</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45675</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45675</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45675</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45675</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45675</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45675</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45675</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45675</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45675</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45675</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45675</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45675</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45675</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45675</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45675</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45675</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45675</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45675</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45675</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45675</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45675</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45675</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45675</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45675</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45675</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45675</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45675</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45675</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45675</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45675</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45675</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45675</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45675</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45675</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45675</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45675</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45675</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45675</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45675</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45675</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45675</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45675</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45675</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45675</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45675</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45675</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45675</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45675</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45675</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45675</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45675</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45675</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45675</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45675</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45675</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45675</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45675</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45675</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45675</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45675</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45675</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45675</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45675</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45675</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45675</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45675</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45675</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45675</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45675</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45675</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45675</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45675</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45675</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45675</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45675</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45675</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45675</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45675</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45675</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45675</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45675</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45675</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45675</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45675</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45675</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45675</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45675</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45675</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45675</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45675</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45675</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45675</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45675</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45675</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45675</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45675</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45675</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45675</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45675</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45675</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45675</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45675</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45675</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45675</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45675</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45675</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45675</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45675</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45675</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45675</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45675</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45675</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45675</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45675</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45675</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45675</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45675</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45675</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45675</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45675</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45675</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45675</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45675</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45675</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45675</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45675</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45675</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45675</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45675</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45675</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45675</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45675</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45675</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45675</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45675</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45675</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45675</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45675</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45675</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45675</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45675</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45675</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45675</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45675</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45675</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45675</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45675</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45675</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45675</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45675</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45675</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45675</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45675</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45675</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45675</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45675</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45675</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45675</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45675</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45675</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45675</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45675</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45675</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45675</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45675</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45675</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45675</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45675</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45675</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45675</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45675</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45675</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45675</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45675</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45675</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45675</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45675</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45675</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45675</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45675</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45675</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45675</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45675</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45675</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45675</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45675</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45675</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45675</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45675</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45675</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45675</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45675</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45675</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45675</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45675</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45675</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45675</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45675</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45675</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45675</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45675</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45675</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45675</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45675</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45675</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45675</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45675</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45675</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45675</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45675</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45675</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45675</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45675</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45675</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45675</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45675</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45675</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45675</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45675</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45675</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45675</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45675</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45675</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45675</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45675</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45675</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45675</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45675</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45675</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45675</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45675</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45675</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45675</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45675</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45675</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45675</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45675</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45675</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45675</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45675</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45675</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45675</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45675</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45675</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45675</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45675</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45675</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45675</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45675</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45675</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45675</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45675</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45675</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45675</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45675</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45675</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45675</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45675</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45675</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45675</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45675</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45675</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45675</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45675</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45675</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45675</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45675</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45675</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45675</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45675</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45675</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45675</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45675</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45675</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45675</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45675</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45675</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45675</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45675</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45675</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45675</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45675</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45675</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45675</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45675</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45675</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45675</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45675</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45675</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45675</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45675</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45675</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45675</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45675</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45675</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45675</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45675</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45675</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45675</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45675</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45675</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45675</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45675</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45675</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45675</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45675</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45675</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45675</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45675</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45675</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45675</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45675</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45675</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45675</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45675</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45675</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45675</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45675</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45675</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45675</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45675</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45675</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45675</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45675</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45675</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45675</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45675</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45675</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45675</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45675</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45675</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45675</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45675</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45675</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45675</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45675</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45675</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45675</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45675</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45675</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45675</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45675</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45675</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45675</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45675</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45675</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45675</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45675</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45675</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45675</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45675</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45675</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45675</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45675</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45675</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45675</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45675</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45675</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45675</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45675</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45675</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45675</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45675</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45675</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45675</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45675</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45675</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45675</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45675</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45675</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45675</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45675</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45675</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45675</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45675</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45675</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45675</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45675</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45675</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45675</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45675</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45675</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45675</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45675</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45675</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45675</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45675</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45675</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45675</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45675</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45675</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45675</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45675</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45675</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45675</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45675</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45675</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45675</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45675</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45675</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45675</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45675</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45675</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45675</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45675</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45675</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45675</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45675</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45675</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45675</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45675</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45675</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45675</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45675</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45675</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45675</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45675</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45675</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45675</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45675</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45675</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45675</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45675</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45675</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45675</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45675</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45675</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45675</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45675</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45675</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45675</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45675</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45675</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45675</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45675</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45675</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45675</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45675</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45675</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45675</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45675</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45675</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45675</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45675</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45675</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45675</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45675</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45675</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45675</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45675</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45675</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45675</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45675</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45675</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45675</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45675</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45675</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45675</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45675</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45675</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45675</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45675</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45675</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45675</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45675</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45675</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45675</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45675</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45675</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45675</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45675</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45675</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45675</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45675</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45675</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45675</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45675</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45675</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45675</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45675</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45675</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45675</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45675</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45675</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45675</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45675</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45675</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45675</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45675</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45675</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45675</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45675</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45675</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45675</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45675</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45675</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45675</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45675</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45675</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45675</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45675</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45675</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45675</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45675</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45675</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45675</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45675</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45675</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45675</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45675</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45675</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45675</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45675</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45675</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45675</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45675</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45675</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45675</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45675</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45675</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45675</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45675</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45675</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45675</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45675</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45675</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45675</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45675</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45675</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45675</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45675</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45675</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45675</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45675</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45675</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45675</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45675</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45675</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45675</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45675</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45675</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45675</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45675</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45675</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45675</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45675</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45675</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45675</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45675</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45675</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45675</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45675</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45675</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45675</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45675</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45675</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45675</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45675</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45675</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45675</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45675</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45675</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45675</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45675</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45675</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45675</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45675</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45675</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45675</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45675</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45675</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45675</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45675</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45675</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45675</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45675</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45675</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45675</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45675</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45675</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45675</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45675</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45675</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45675</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45675</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45675</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45675</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45675</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45675</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45675</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45675</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45675</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45675</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45675</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45675</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45675</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45675</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45675</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45675</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45675</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45675</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45675</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45675</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45675</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45675</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45675</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45675</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45675</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45675</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45675</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45675</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45675</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45675</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45675</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45675</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45675</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45675</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45675</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45675</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45675</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45675</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45675</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45675</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45675</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45675</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45675</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45675</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45675</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45675</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45675</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45675</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45675</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45675</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45675</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45675</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45675</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45675</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45675</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45675</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45675</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45675</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45675</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45675</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45675</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45675</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45675</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45675</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45675</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45675</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45675</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45675</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45675</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45675</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45675</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45675</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45675</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45675</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45675</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45675</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45675</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45675</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45675</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45675</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45675</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45675</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45675</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45675</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45675</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45675</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45675</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45675</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45675</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45675</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45675</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45675</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45675</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45675</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45675</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45675</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45675</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45675</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45675</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45675</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45675</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45675</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45675</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45675</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45675</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45675</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45675</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45675</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45675</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45675</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45675</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45675</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45675</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45675</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45675</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45675</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45675</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45675</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45675</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45675</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45675</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45675</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45675</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45675</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45675</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45675</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45675</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45675</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45675</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45675</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45675</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45675</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45675</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45675</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45675</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45675</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45675</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45675</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45675</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45675</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45675</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45675</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45675</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45675</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45675</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45675</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45675</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45675</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45675</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45675</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45675</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45675</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45675</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45675</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45675</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45675</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45675</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45675</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45675</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45675</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45675</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45675</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45675</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45675</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45675</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45675</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45675</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45675</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45675</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45675</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45675</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45675</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45675</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45675</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45675</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45675</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45675</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45675</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45675</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45675</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45675</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45675</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45675</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45675</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45675</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45675</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45675</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45675</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45675</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45675</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45675</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45675</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45675</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45675</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45675</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45675</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45675</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45675</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45675</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45675</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45675</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45675</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45675</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45675</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45675</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45675</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45675</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45675</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45675</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45675</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45675</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45675</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45675</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45675</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45675</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45675</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45675</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45675</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45675</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45675</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45675</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45675</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45675</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45675</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45675</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45675</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45675</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45675</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45675</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45675</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45675</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45675</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45675</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45675</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45675</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45675</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45675</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45675</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45675</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45675</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45675</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45675</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45675</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45675</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45675</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45675</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45675</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45675</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45675</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45675</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45675</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45675</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45675</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45675</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45675</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45675</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45675</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45675</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45675</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45675</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45675</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45675</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45675</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45675</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45675</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45675</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45675</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45675</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45675</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45675</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45675</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45675</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45675</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45675</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45675</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45675</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45675</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45675</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45675</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45675</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45675</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45675</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45675</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45675</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45675</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45675</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45675</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45675</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45675</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45675</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45675</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45675</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45675</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45675</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45675</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45675</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45675</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45675</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45675</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45675</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45675</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45675</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45675</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45675</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45675</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45675</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45675</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45675</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45675</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45675</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45675</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45675</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45675</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45675</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45675</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45675</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45675</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45675</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45675</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45675</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45675</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45675</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45675</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45675</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45675</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45675</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45675</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45675</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45675</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45675</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45675</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45675</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45675</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45675</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45675</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45675</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45675</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45675</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45675</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45675</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45675</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45675</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45675</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45675</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45675</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45675</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45675</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45675</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45675</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45675</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45675</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45675</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45675</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45675</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45675</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45675</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45675</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45675</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45675</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45675</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45675</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45675</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45675</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45675</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45675</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45675</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45675</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45675</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45675</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45675</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45675</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45675</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45675</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45675</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45675</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45675</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45675</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45675</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45675</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45675</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45675</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45675</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45675</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45675</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45675</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45675</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45675</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45675</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45675</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45675</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45675</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45675</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45675</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45675</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45675</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45675</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45675</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45675</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45675</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45675</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45675</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45675</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45675</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45675</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45675</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45675</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45675</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45675</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45675</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45675</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45675</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45675</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45675</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45675</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45675</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45675</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45675</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45675</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45675</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45675</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45675</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45675</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45675</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45675</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45675</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45675</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45675</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45675</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45675</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45675</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45675</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45675</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45675</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45675</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45675</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45675</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45675</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45675</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45675</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45675</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45675</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45675</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45675</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45675</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45675</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45675</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45675</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45675</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45675</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45675</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45675</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45675</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45675</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45675</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45675</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45675</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45675</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45675</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45675</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45675</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45675</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45675</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45675</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45675</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45675</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45675</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45675</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45675</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45675</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45675</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45675</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45675</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45675</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45675</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45675</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45675</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45675</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45675</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45675</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45675</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45675</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45675</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45675</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45675</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45675</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45675</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45675</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45675</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45675</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45675</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45675</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45675</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45675</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45675</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45675</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45675</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45675</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45675</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45675</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45675</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45675</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45675</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45675</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45675</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45675</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45675</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45675</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45675</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45675</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45675</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45675</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45675</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45675</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45675</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45675</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45675</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45675</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45675</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45675</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45675</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45675</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45675</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45675</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45675</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45675</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45675</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45675</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45675</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45675</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45675</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45675</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45675</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45675</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45675</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45675</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45675</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45675</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45675</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45675</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45675</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45675</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45675</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45675</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45675</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45675</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45675</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45675</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45675</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45675</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45675</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45675</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45675</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45675</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45675</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45675</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45675</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45675</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45675</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45675</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45675</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45675</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45675</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45675</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45675</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45675</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45675</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45675</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45675</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45675</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45675</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45675</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45675</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45675</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45675</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45675</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45675</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45675</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45675</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45675</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45675</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45675</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45675</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45675</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45675</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45675</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45675</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45675</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45675</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45675</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45675</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45675</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45675</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45675</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45675</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45675</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45675</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45675</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45675</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45675</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45675</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45675</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45675</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45675</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45675</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45675</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45675</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45675</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45675</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45675</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45675</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45675</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45675</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45675</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45675</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45675</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45675</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45675</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45675</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45675</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45675</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45675</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45675</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45675</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576-2025</t>
        </is>
      </c>
      <c r="B1753" s="1" t="n">
        <v>45664</v>
      </c>
      <c r="C1753" s="1" t="n">
        <v>45675</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515-2025</t>
        </is>
      </c>
      <c r="B1754" s="1" t="n">
        <v>45664</v>
      </c>
      <c r="C1754" s="1" t="n">
        <v>45675</v>
      </c>
      <c r="D1754" t="inlineStr">
        <is>
          <t>JÄMTLANDS LÄN</t>
        </is>
      </c>
      <c r="E1754" t="inlineStr">
        <is>
          <t>HÄRJEDALEN</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523-2025</t>
        </is>
      </c>
      <c r="B1755" s="1" t="n">
        <v>45664</v>
      </c>
      <c r="C1755" s="1" t="n">
        <v>45675</v>
      </c>
      <c r="D1755" t="inlineStr">
        <is>
          <t>JÄMTLANDS LÄN</t>
        </is>
      </c>
      <c r="E1755" t="inlineStr">
        <is>
          <t>HÄRJEDALEN</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816-2025</t>
        </is>
      </c>
      <c r="B1756" s="1" t="n">
        <v>45665</v>
      </c>
      <c r="C1756" s="1" t="n">
        <v>45675</v>
      </c>
      <c r="D1756" t="inlineStr">
        <is>
          <t>JÄMTLANDS LÄN</t>
        </is>
      </c>
      <c r="E1756" t="inlineStr">
        <is>
          <t>HÄRJEDALEN</t>
        </is>
      </c>
      <c r="F1756" t="inlineStr">
        <is>
          <t>Bergvik skog väst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837-2025</t>
        </is>
      </c>
      <c r="B1757" s="1" t="n">
        <v>45665</v>
      </c>
      <c r="C1757" s="1" t="n">
        <v>45675</v>
      </c>
      <c r="D1757" t="inlineStr">
        <is>
          <t>JÄMTLANDS LÄN</t>
        </is>
      </c>
      <c r="E1757" t="inlineStr">
        <is>
          <t>HÄRJEDALEN</t>
        </is>
      </c>
      <c r="F1757" t="inlineStr">
        <is>
          <t>Bergvik skog väst AB</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846-2025</t>
        </is>
      </c>
      <c r="B1758" s="1" t="n">
        <v>45665</v>
      </c>
      <c r="C1758" s="1" t="n">
        <v>45675</v>
      </c>
      <c r="D1758" t="inlineStr">
        <is>
          <t>JÄMTLANDS LÄN</t>
        </is>
      </c>
      <c r="E1758" t="inlineStr">
        <is>
          <t>HÄRJEDALEN</t>
        </is>
      </c>
      <c r="F1758" t="inlineStr">
        <is>
          <t>Bergvik skog väst AB</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848-2025</t>
        </is>
      </c>
      <c r="B1759" s="1" t="n">
        <v>45665</v>
      </c>
      <c r="C1759" s="1" t="n">
        <v>45675</v>
      </c>
      <c r="D1759" t="inlineStr">
        <is>
          <t>JÄMTLANDS LÄN</t>
        </is>
      </c>
      <c r="E1759" t="inlineStr">
        <is>
          <t>HÄRJEDALEN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45675</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45675</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1242-2025</t>
        </is>
      </c>
      <c r="B1762" s="1" t="n">
        <v>45667</v>
      </c>
      <c r="C1762" s="1" t="n">
        <v>45675</v>
      </c>
      <c r="D1762" t="inlineStr">
        <is>
          <t>JÄMTLANDS LÄN</t>
        </is>
      </c>
      <c r="E1762" t="inlineStr">
        <is>
          <t>HÄRJEDALEN</t>
        </is>
      </c>
      <c r="F1762" t="inlineStr">
        <is>
          <t>Bergvik skog väst AB</t>
        </is>
      </c>
      <c r="G1762" t="n">
        <v>80.5</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45675</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1658-2025</t>
        </is>
      </c>
      <c r="B1764" s="1" t="n">
        <v>45670</v>
      </c>
      <c r="C1764" s="1" t="n">
        <v>45675</v>
      </c>
      <c r="D1764" t="inlineStr">
        <is>
          <t>JÄMTLANDS LÄN</t>
        </is>
      </c>
      <c r="E1764" t="inlineStr">
        <is>
          <t>HÄRJEDALEN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1459-2025</t>
        </is>
      </c>
      <c r="B1765" s="1" t="n">
        <v>45670</v>
      </c>
      <c r="C1765" s="1" t="n">
        <v>45675</v>
      </c>
      <c r="D1765" t="inlineStr">
        <is>
          <t>JÄMTLANDS LÄN</t>
        </is>
      </c>
      <c r="E1765" t="inlineStr">
        <is>
          <t>HÄRJEDALEN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1515-2025</t>
        </is>
      </c>
      <c r="B1766" s="1" t="n">
        <v>45670</v>
      </c>
      <c r="C1766" s="1" t="n">
        <v>45675</v>
      </c>
      <c r="D1766" t="inlineStr">
        <is>
          <t>JÄMTLANDS LÄN</t>
        </is>
      </c>
      <c r="E1766" t="inlineStr">
        <is>
          <t>HÄRJEDALEN</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45675</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1906-2025</t>
        </is>
      </c>
      <c r="B1768" s="1" t="n">
        <v>45671</v>
      </c>
      <c r="C1768" s="1" t="n">
        <v>45675</v>
      </c>
      <c r="D1768" t="inlineStr">
        <is>
          <t>JÄMTLANDS LÄN</t>
        </is>
      </c>
      <c r="E1768" t="inlineStr">
        <is>
          <t>HÄRJEDALEN</t>
        </is>
      </c>
      <c r="F1768" t="inlineStr">
        <is>
          <t>Bergvik skog väst AB</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1754-2025</t>
        </is>
      </c>
      <c r="B1769" s="1" t="n">
        <v>45671</v>
      </c>
      <c r="C1769" s="1" t="n">
        <v>45675</v>
      </c>
      <c r="D1769" t="inlineStr">
        <is>
          <t>JÄMTLANDS LÄN</t>
        </is>
      </c>
      <c r="E1769" t="inlineStr">
        <is>
          <t>HÄRJEDALEN</t>
        </is>
      </c>
      <c r="F1769" t="inlineStr">
        <is>
          <t>Bergvik skog väst AB</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2105-2025</t>
        </is>
      </c>
      <c r="B1770" s="1" t="n">
        <v>45672</v>
      </c>
      <c r="C1770" s="1" t="n">
        <v>45675</v>
      </c>
      <c r="D1770" t="inlineStr">
        <is>
          <t>JÄMTLANDS LÄN</t>
        </is>
      </c>
      <c r="E1770" t="inlineStr">
        <is>
          <t>HÄRJEDALEN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1998-2025</t>
        </is>
      </c>
      <c r="B1771" s="1" t="n">
        <v>45672</v>
      </c>
      <c r="C1771" s="1" t="n">
        <v>45675</v>
      </c>
      <c r="D1771" t="inlineStr">
        <is>
          <t>JÄMTLANDS LÄN</t>
        </is>
      </c>
      <c r="E1771" t="inlineStr">
        <is>
          <t>HÄRJEDALEN</t>
        </is>
      </c>
      <c r="G1771" t="n">
        <v>15.2</v>
      </c>
      <c r="H1771" t="n">
        <v>0</v>
      </c>
      <c r="I1771" t="n">
        <v>0</v>
      </c>
      <c r="J1771" t="n">
        <v>0</v>
      </c>
      <c r="K1771" t="n">
        <v>0</v>
      </c>
      <c r="L1771" t="n">
        <v>0</v>
      </c>
      <c r="M1771" t="n">
        <v>0</v>
      </c>
      <c r="N1771" t="n">
        <v>0</v>
      </c>
      <c r="O1771" t="n">
        <v>0</v>
      </c>
      <c r="P1771" t="n">
        <v>0</v>
      </c>
      <c r="Q1771" t="n">
        <v>0</v>
      </c>
      <c r="R1771" s="2" t="inlineStr"/>
    </row>
    <row r="1772" ht="15" customHeight="1">
      <c r="A1772" t="inlineStr">
        <is>
          <t>A 1999-2025</t>
        </is>
      </c>
      <c r="B1772" s="1" t="n">
        <v>45672</v>
      </c>
      <c r="C1772" s="1" t="n">
        <v>45675</v>
      </c>
      <c r="D1772" t="inlineStr">
        <is>
          <t>JÄMTLANDS LÄN</t>
        </is>
      </c>
      <c r="E1772" t="inlineStr">
        <is>
          <t>HÄRJEDALEN</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2003-2025</t>
        </is>
      </c>
      <c r="B1773" s="1" t="n">
        <v>45672</v>
      </c>
      <c r="C1773" s="1" t="n">
        <v>45675</v>
      </c>
      <c r="D1773" t="inlineStr">
        <is>
          <t>JÄMTLANDS LÄN</t>
        </is>
      </c>
      <c r="E1773" t="inlineStr">
        <is>
          <t>HÄRJEDALEN</t>
        </is>
      </c>
      <c r="F1773" t="inlineStr">
        <is>
          <t>SCA</t>
        </is>
      </c>
      <c r="G1773" t="n">
        <v>75.3</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45675</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45675</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2207-2025</t>
        </is>
      </c>
      <c r="B1776" s="1" t="n">
        <v>45673</v>
      </c>
      <c r="C1776" s="1" t="n">
        <v>45675</v>
      </c>
      <c r="D1776" t="inlineStr">
        <is>
          <t>JÄMTLANDS LÄN</t>
        </is>
      </c>
      <c r="E1776" t="inlineStr">
        <is>
          <t>HÄRJEDALEN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2312-2025</t>
        </is>
      </c>
      <c r="B1777" s="1" t="n">
        <v>45673</v>
      </c>
      <c r="C1777" s="1" t="n">
        <v>45675</v>
      </c>
      <c r="D1777" t="inlineStr">
        <is>
          <t>JÄMTLANDS LÄN</t>
        </is>
      </c>
      <c r="E1777" t="inlineStr">
        <is>
          <t>HÄRJEDALEN</t>
        </is>
      </c>
      <c r="F1777" t="inlineStr">
        <is>
          <t>Bergvik skog väst AB</t>
        </is>
      </c>
      <c r="G1777" t="n">
        <v>25.7</v>
      </c>
      <c r="H1777" t="n">
        <v>0</v>
      </c>
      <c r="I1777" t="n">
        <v>0</v>
      </c>
      <c r="J1777" t="n">
        <v>0</v>
      </c>
      <c r="K1777" t="n">
        <v>0</v>
      </c>
      <c r="L1777" t="n">
        <v>0</v>
      </c>
      <c r="M1777" t="n">
        <v>0</v>
      </c>
      <c r="N1777" t="n">
        <v>0</v>
      </c>
      <c r="O1777" t="n">
        <v>0</v>
      </c>
      <c r="P1777" t="n">
        <v>0</v>
      </c>
      <c r="Q1777" t="n">
        <v>0</v>
      </c>
      <c r="R1777" s="2" t="inlineStr"/>
    </row>
    <row r="1778" ht="15" customHeight="1">
      <c r="A1778" t="inlineStr">
        <is>
          <t>A 2336-2025</t>
        </is>
      </c>
      <c r="B1778" s="1" t="n">
        <v>45673</v>
      </c>
      <c r="C1778" s="1" t="n">
        <v>45675</v>
      </c>
      <c r="D1778" t="inlineStr">
        <is>
          <t>JÄMTLANDS LÄN</t>
        </is>
      </c>
      <c r="E1778" t="inlineStr">
        <is>
          <t>HÄRJEDALEN</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2281-2025</t>
        </is>
      </c>
      <c r="B1779" s="1" t="n">
        <v>45673</v>
      </c>
      <c r="C1779" s="1" t="n">
        <v>45675</v>
      </c>
      <c r="D1779" t="inlineStr">
        <is>
          <t>JÄMTLANDS LÄN</t>
        </is>
      </c>
      <c r="E1779" t="inlineStr">
        <is>
          <t>HÄRJEDALEN</t>
        </is>
      </c>
      <c r="G1779" t="n">
        <v>15</v>
      </c>
      <c r="H1779" t="n">
        <v>0</v>
      </c>
      <c r="I1779" t="n">
        <v>0</v>
      </c>
      <c r="J1779" t="n">
        <v>0</v>
      </c>
      <c r="K1779" t="n">
        <v>0</v>
      </c>
      <c r="L1779" t="n">
        <v>0</v>
      </c>
      <c r="M1779" t="n">
        <v>0</v>
      </c>
      <c r="N1779" t="n">
        <v>0</v>
      </c>
      <c r="O1779" t="n">
        <v>0</v>
      </c>
      <c r="P1779" t="n">
        <v>0</v>
      </c>
      <c r="Q1779" t="n">
        <v>0</v>
      </c>
      <c r="R1779" s="2" t="inlineStr"/>
    </row>
    <row r="1780">
      <c r="A1780" t="inlineStr">
        <is>
          <t>A 2510-2025</t>
        </is>
      </c>
      <c r="B1780" s="1" t="n">
        <v>45674</v>
      </c>
      <c r="C1780" s="1" t="n">
        <v>45675</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2025-01-18T15:37:56Z</dcterms:created>
  <dcterms:modified xmlns:dcterms="http://purl.org/dc/terms/" xmlns:xsi="http://www.w3.org/2001/XMLSchema-instance" xsi:type="dcterms:W3CDTF">2025-01-18T15:37:57Z</dcterms:modified>
</cp:coreProperties>
</file>