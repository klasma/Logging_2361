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45900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45900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45900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45900</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45900</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45900</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45900</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45900</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45900</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45900</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45900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45900</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45900</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45900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45900</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45900</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45900</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45900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45900</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45900</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45900</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45900</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45900</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45900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45900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45900</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45900</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45900</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45900</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56499-2024</t>
        </is>
      </c>
      <c r="B35" s="1" t="n">
        <v>45625.49736111111</v>
      </c>
      <c r="C35" s="1" t="n">
        <v>45900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38354-2021</t>
        </is>
      </c>
      <c r="B36" s="1" t="n">
        <v>44406</v>
      </c>
      <c r="C36" s="1" t="n">
        <v>45900</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45900</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45900</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45900</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45900</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45900</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45900</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45900</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38070-2024</t>
        </is>
      </c>
      <c r="B44" s="1" t="n">
        <v>45544</v>
      </c>
      <c r="C44" s="1" t="n">
        <v>45900</v>
      </c>
      <c r="D44" t="inlineStr">
        <is>
          <t>JÄMTLANDS LÄN</t>
        </is>
      </c>
      <c r="E44" t="inlineStr">
        <is>
          <t>HÄRJEDALEN</t>
        </is>
      </c>
      <c r="G44" t="n">
        <v>5.1</v>
      </c>
      <c r="H44" t="n">
        <v>2</v>
      </c>
      <c r="I44" t="n">
        <v>1</v>
      </c>
      <c r="J44" t="n">
        <v>9</v>
      </c>
      <c r="K44" t="n">
        <v>0</v>
      </c>
      <c r="L44" t="n">
        <v>0</v>
      </c>
      <c r="M44" t="n">
        <v>0</v>
      </c>
      <c r="N44" t="n">
        <v>0</v>
      </c>
      <c r="O44" t="n">
        <v>9</v>
      </c>
      <c r="P44" t="n">
        <v>0</v>
      </c>
      <c r="Q44" t="n">
        <v>11</v>
      </c>
      <c r="R44" s="2" t="inlineStr">
        <is>
          <t>Garnlav
Granticka
Gränsticka
Rosenticka
Skrovellav
Talltita
Ullticka
Vitgrynig nållav
Vitskaftad svartspik
Stuplav
Lavskrika</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46633-2023</t>
        </is>
      </c>
      <c r="B45" s="1" t="n">
        <v>45198</v>
      </c>
      <c r="C45" s="1" t="n">
        <v>45900</v>
      </c>
      <c r="D45" t="inlineStr">
        <is>
          <t>JÄMTLANDS LÄN</t>
        </is>
      </c>
      <c r="E45" t="inlineStr">
        <is>
          <t>HÄRJEDALEN</t>
        </is>
      </c>
      <c r="F45" t="inlineStr">
        <is>
          <t>Bergvik skog väst AB</t>
        </is>
      </c>
      <c r="G45" t="n">
        <v>13.3</v>
      </c>
      <c r="H45" t="n">
        <v>5</v>
      </c>
      <c r="I45" t="n">
        <v>4</v>
      </c>
      <c r="J45" t="n">
        <v>5</v>
      </c>
      <c r="K45" t="n">
        <v>1</v>
      </c>
      <c r="L45" t="n">
        <v>0</v>
      </c>
      <c r="M45" t="n">
        <v>0</v>
      </c>
      <c r="N45" t="n">
        <v>0</v>
      </c>
      <c r="O45" t="n">
        <v>6</v>
      </c>
      <c r="P45" t="n">
        <v>1</v>
      </c>
      <c r="Q45" t="n">
        <v>11</v>
      </c>
      <c r="R45" s="2" t="inlineStr">
        <is>
          <t>Knärot
Dvärgbägarlav
Garnlav
Lunglav
Skrovellav
Talltita
Korallrot
Spindelblomster
Stuplav
Vedticka
Huggorm</t>
        </is>
      </c>
      <c r="S45">
        <f>HYPERLINK("https://klasma.github.io/Logging_2361/artfynd/A 46633-2023 artfynd.xlsx", "A 46633-2023")</f>
        <v/>
      </c>
      <c r="T45">
        <f>HYPERLINK("https://klasma.github.io/Logging_2361/kartor/A 46633-2023 karta.png", "A 46633-2023")</f>
        <v/>
      </c>
      <c r="U45">
        <f>HYPERLINK("https://klasma.github.io/Logging_2361/knärot/A 46633-2023 karta knärot.png", "A 46633-2023")</f>
        <v/>
      </c>
      <c r="V45">
        <f>HYPERLINK("https://klasma.github.io/Logging_2361/klagomål/A 46633-2023 FSC-klagomål.docx", "A 46633-2023")</f>
        <v/>
      </c>
      <c r="W45">
        <f>HYPERLINK("https://klasma.github.io/Logging_2361/klagomålsmail/A 46633-2023 FSC-klagomål mail.docx", "A 46633-2023")</f>
        <v/>
      </c>
      <c r="X45">
        <f>HYPERLINK("https://klasma.github.io/Logging_2361/tillsyn/A 46633-2023 tillsynsbegäran.docx", "A 46633-2023")</f>
        <v/>
      </c>
      <c r="Y45">
        <f>HYPERLINK("https://klasma.github.io/Logging_2361/tillsynsmail/A 46633-2023 tillsynsbegäran mail.docx", "A 46633-2023")</f>
        <v/>
      </c>
      <c r="Z45">
        <f>HYPERLINK("https://klasma.github.io/Logging_2361/fåglar/A 46633-2023 prioriterade fågelarter.docx", "A 46633-2023")</f>
        <v/>
      </c>
    </row>
    <row r="46" ht="15" customHeight="1">
      <c r="A46" t="inlineStr">
        <is>
          <t>A 24249-2024</t>
        </is>
      </c>
      <c r="B46" s="1" t="n">
        <v>45457.38396990741</v>
      </c>
      <c r="C46" s="1" t="n">
        <v>45900</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45900</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35369-2024</t>
        </is>
      </c>
      <c r="B48" s="1" t="n">
        <v>45531</v>
      </c>
      <c r="C48" s="1" t="n">
        <v>45900</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16890-2024</t>
        </is>
      </c>
      <c r="B49" s="1" t="n">
        <v>45411</v>
      </c>
      <c r="C49" s="1" t="n">
        <v>45900</v>
      </c>
      <c r="D49" t="inlineStr">
        <is>
          <t>JÄMTLANDS LÄN</t>
        </is>
      </c>
      <c r="E49" t="inlineStr">
        <is>
          <t>HÄRJEDALEN</t>
        </is>
      </c>
      <c r="G49" t="n">
        <v>2.3</v>
      </c>
      <c r="H49" t="n">
        <v>1</v>
      </c>
      <c r="I49" t="n">
        <v>2</v>
      </c>
      <c r="J49" t="n">
        <v>7</v>
      </c>
      <c r="K49" t="n">
        <v>1</v>
      </c>
      <c r="L49" t="n">
        <v>0</v>
      </c>
      <c r="M49" t="n">
        <v>0</v>
      </c>
      <c r="N49" t="n">
        <v>0</v>
      </c>
      <c r="O49" t="n">
        <v>8</v>
      </c>
      <c r="P49" t="n">
        <v>1</v>
      </c>
      <c r="Q49" t="n">
        <v>10</v>
      </c>
      <c r="R49" s="2" t="inlineStr">
        <is>
          <t>Knärot
Brunpudrad nållav
Garnlav
Gränsticka
Leptoporus mollis
Lunglav
Vitgrynig nållav
Äggvaxskivling
Luddlav
Stuplav</t>
        </is>
      </c>
      <c r="S49">
        <f>HYPERLINK("https://klasma.github.io/Logging_2361/artfynd/A 16890-2024 artfynd.xlsx", "A 16890-2024")</f>
        <v/>
      </c>
      <c r="T49">
        <f>HYPERLINK("https://klasma.github.io/Logging_2361/kartor/A 16890-2024 karta.png", "A 16890-2024")</f>
        <v/>
      </c>
      <c r="U49">
        <f>HYPERLINK("https://klasma.github.io/Logging_2361/knärot/A 16890-2024 karta knärot.png", "A 16890-2024")</f>
        <v/>
      </c>
      <c r="V49">
        <f>HYPERLINK("https://klasma.github.io/Logging_2361/klagomål/A 16890-2024 FSC-klagomål.docx", "A 16890-2024")</f>
        <v/>
      </c>
      <c r="W49">
        <f>HYPERLINK("https://klasma.github.io/Logging_2361/klagomålsmail/A 16890-2024 FSC-klagomål mail.docx", "A 16890-2024")</f>
        <v/>
      </c>
      <c r="X49">
        <f>HYPERLINK("https://klasma.github.io/Logging_2361/tillsyn/A 16890-2024 tillsynsbegäran.docx", "A 16890-2024")</f>
        <v/>
      </c>
      <c r="Y49">
        <f>HYPERLINK("https://klasma.github.io/Logging_2361/tillsynsmail/A 16890-2024 tillsynsbegäran mail.docx", "A 16890-2024")</f>
        <v/>
      </c>
    </row>
    <row r="50" ht="15" customHeight="1">
      <c r="A50" t="inlineStr">
        <is>
          <t>A 31367-2025</t>
        </is>
      </c>
      <c r="B50" s="1" t="n">
        <v>45833.43898148148</v>
      </c>
      <c r="C50" s="1" t="n">
        <v>45900</v>
      </c>
      <c r="D50" t="inlineStr">
        <is>
          <t>JÄMTLANDS LÄN</t>
        </is>
      </c>
      <c r="E50" t="inlineStr">
        <is>
          <t>HÄRJEDALEN</t>
        </is>
      </c>
      <c r="F50" t="inlineStr">
        <is>
          <t>Bergvik skog väst AB</t>
        </is>
      </c>
      <c r="G50" t="n">
        <v>31.8</v>
      </c>
      <c r="H50" t="n">
        <v>2</v>
      </c>
      <c r="I50" t="n">
        <v>0</v>
      </c>
      <c r="J50" t="n">
        <v>8</v>
      </c>
      <c r="K50" t="n">
        <v>0</v>
      </c>
      <c r="L50" t="n">
        <v>0</v>
      </c>
      <c r="M50" t="n">
        <v>0</v>
      </c>
      <c r="N50" t="n">
        <v>0</v>
      </c>
      <c r="O50" t="n">
        <v>8</v>
      </c>
      <c r="P50" t="n">
        <v>0</v>
      </c>
      <c r="Q50" t="n">
        <v>10</v>
      </c>
      <c r="R50" s="2" t="inlineStr">
        <is>
          <t>Blanksvart spiklav
Blågrå svartspik
Dvärgbägarlav
Garnlav
Kolflarnlav
Mörk kolflarnlav
Vedflamlav
Vedskivlav
Lavskrika
Tjäder</t>
        </is>
      </c>
      <c r="S50">
        <f>HYPERLINK("https://klasma.github.io/Logging_2361/artfynd/A 31367-2025 artfynd.xlsx", "A 31367-2025")</f>
        <v/>
      </c>
      <c r="T50">
        <f>HYPERLINK("https://klasma.github.io/Logging_2361/kartor/A 31367-2025 karta.png", "A 31367-2025")</f>
        <v/>
      </c>
      <c r="V50">
        <f>HYPERLINK("https://klasma.github.io/Logging_2361/klagomål/A 31367-2025 FSC-klagomål.docx", "A 31367-2025")</f>
        <v/>
      </c>
      <c r="W50">
        <f>HYPERLINK("https://klasma.github.io/Logging_2361/klagomålsmail/A 31367-2025 FSC-klagomål mail.docx", "A 31367-2025")</f>
        <v/>
      </c>
      <c r="X50">
        <f>HYPERLINK("https://klasma.github.io/Logging_2361/tillsyn/A 31367-2025 tillsynsbegäran.docx", "A 31367-2025")</f>
        <v/>
      </c>
      <c r="Y50">
        <f>HYPERLINK("https://klasma.github.io/Logging_2361/tillsynsmail/A 31367-2025 tillsynsbegäran mail.docx", "A 31367-2025")</f>
        <v/>
      </c>
      <c r="Z50">
        <f>HYPERLINK("https://klasma.github.io/Logging_2361/fåglar/A 31367-2025 prioriterade fågelarter.docx", "A 31367-2025")</f>
        <v/>
      </c>
    </row>
    <row r="51" ht="15" customHeight="1">
      <c r="A51" t="inlineStr">
        <is>
          <t>A 28288-2024</t>
        </is>
      </c>
      <c r="B51" s="1" t="n">
        <v>45477.46537037037</v>
      </c>
      <c r="C51" s="1" t="n">
        <v>45900</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5780-2025</t>
        </is>
      </c>
      <c r="B52" s="1" t="n">
        <v>45694</v>
      </c>
      <c r="C52" s="1" t="n">
        <v>45900</v>
      </c>
      <c r="D52" t="inlineStr">
        <is>
          <t>JÄMTLANDS LÄN</t>
        </is>
      </c>
      <c r="E52" t="inlineStr">
        <is>
          <t>HÄRJEDALEN</t>
        </is>
      </c>
      <c r="G52" t="n">
        <v>14.5</v>
      </c>
      <c r="H52" t="n">
        <v>2</v>
      </c>
      <c r="I52" t="n">
        <v>2</v>
      </c>
      <c r="J52" t="n">
        <v>7</v>
      </c>
      <c r="K52" t="n">
        <v>0</v>
      </c>
      <c r="L52" t="n">
        <v>0</v>
      </c>
      <c r="M52" t="n">
        <v>0</v>
      </c>
      <c r="N52" t="n">
        <v>0</v>
      </c>
      <c r="O52" t="n">
        <v>7</v>
      </c>
      <c r="P52" t="n">
        <v>0</v>
      </c>
      <c r="Q52" t="n">
        <v>10</v>
      </c>
      <c r="R52" s="2" t="inlineStr">
        <is>
          <t>Gammelgransskål
Garnlav
Granticka
Harticka
Tretåig hackspett
Ullticka
Vitgrynig nållav
Stuplav
Trådticka
Lavskrika</t>
        </is>
      </c>
      <c r="S52">
        <f>HYPERLINK("https://klasma.github.io/Logging_2361/artfynd/A 5780-2025 artfynd.xlsx", "A 5780-2025")</f>
        <v/>
      </c>
      <c r="T52">
        <f>HYPERLINK("https://klasma.github.io/Logging_2361/kartor/A 5780-2025 karta.png", "A 5780-2025")</f>
        <v/>
      </c>
      <c r="V52">
        <f>HYPERLINK("https://klasma.github.io/Logging_2361/klagomål/A 5780-2025 FSC-klagomål.docx", "A 5780-2025")</f>
        <v/>
      </c>
      <c r="W52">
        <f>HYPERLINK("https://klasma.github.io/Logging_2361/klagomålsmail/A 5780-2025 FSC-klagomål mail.docx", "A 5780-2025")</f>
        <v/>
      </c>
      <c r="X52">
        <f>HYPERLINK("https://klasma.github.io/Logging_2361/tillsyn/A 5780-2025 tillsynsbegäran.docx", "A 5780-2025")</f>
        <v/>
      </c>
      <c r="Y52">
        <f>HYPERLINK("https://klasma.github.io/Logging_2361/tillsynsmail/A 5780-2025 tillsynsbegäran mail.docx", "A 5780-2025")</f>
        <v/>
      </c>
      <c r="Z52">
        <f>HYPERLINK("https://klasma.github.io/Logging_2361/fåglar/A 5780-2025 prioriterade fågelarter.docx", "A 5780-2025")</f>
        <v/>
      </c>
    </row>
    <row r="53" ht="15" customHeight="1">
      <c r="A53" t="inlineStr">
        <is>
          <t>A 74002-2021</t>
        </is>
      </c>
      <c r="B53" s="1" t="n">
        <v>44553</v>
      </c>
      <c r="C53" s="1" t="n">
        <v>45900</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45900</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45900</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45900</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45900</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45900</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45900</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45900</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45900</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45900</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45900</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45900</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45900</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45900</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45900</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45900</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45900</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45900</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45900</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45900</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45900</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36522-2025</t>
        </is>
      </c>
      <c r="B74" s="1" t="n">
        <v>45869</v>
      </c>
      <c r="C74" s="1" t="n">
        <v>45900</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41185-2024</t>
        </is>
      </c>
      <c r="B75" s="1" t="n">
        <v>45559</v>
      </c>
      <c r="C75" s="1" t="n">
        <v>45900</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45900</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19799-2024</t>
        </is>
      </c>
      <c r="B77" s="1" t="n">
        <v>45432.94736111111</v>
      </c>
      <c r="C77" s="1" t="n">
        <v>45900</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45900</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45900</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45900</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45900</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45900</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45900</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45900</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45900</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45900</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45900</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45900</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45900</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8587-2023</t>
        </is>
      </c>
      <c r="B90" s="1" t="n">
        <v>44977</v>
      </c>
      <c r="C90" s="1" t="n">
        <v>45900</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4757-2023</t>
        </is>
      </c>
      <c r="B91" s="1" t="n">
        <v>44957</v>
      </c>
      <c r="C91" s="1" t="n">
        <v>45900</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32676-2025</t>
        </is>
      </c>
      <c r="B92" s="1" t="n">
        <v>45838.73927083334</v>
      </c>
      <c r="C92" s="1" t="n">
        <v>45900</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38234-2025</t>
        </is>
      </c>
      <c r="B93" s="1" t="n">
        <v>45883.35789351852</v>
      </c>
      <c r="C93" s="1" t="n">
        <v>45900</v>
      </c>
      <c r="D93" t="inlineStr">
        <is>
          <t>JÄMTLANDS LÄN</t>
        </is>
      </c>
      <c r="E93" t="inlineStr">
        <is>
          <t>HÄRJEDALEN</t>
        </is>
      </c>
      <c r="G93" t="n">
        <v>14.1</v>
      </c>
      <c r="H93" t="n">
        <v>1</v>
      </c>
      <c r="I93" t="n">
        <v>0</v>
      </c>
      <c r="J93" t="n">
        <v>4</v>
      </c>
      <c r="K93" t="n">
        <v>0</v>
      </c>
      <c r="L93" t="n">
        <v>0</v>
      </c>
      <c r="M93" t="n">
        <v>0</v>
      </c>
      <c r="N93" t="n">
        <v>0</v>
      </c>
      <c r="O93" t="n">
        <v>4</v>
      </c>
      <c r="P93" t="n">
        <v>0</v>
      </c>
      <c r="Q93" t="n">
        <v>4</v>
      </c>
      <c r="R93" s="2" t="inlineStr">
        <is>
          <t>Garnlav
Mörk kolflarnlav
Tretåig hackspett
Vedflamlav</t>
        </is>
      </c>
      <c r="S93">
        <f>HYPERLINK("https://klasma.github.io/Logging_2361/artfynd/A 38234-2025 artfynd.xlsx", "A 38234-2025")</f>
        <v/>
      </c>
      <c r="T93">
        <f>HYPERLINK("https://klasma.github.io/Logging_2361/kartor/A 38234-2025 karta.png", "A 38234-2025")</f>
        <v/>
      </c>
      <c r="V93">
        <f>HYPERLINK("https://klasma.github.io/Logging_2361/klagomål/A 38234-2025 FSC-klagomål.docx", "A 38234-2025")</f>
        <v/>
      </c>
      <c r="W93">
        <f>HYPERLINK("https://klasma.github.io/Logging_2361/klagomålsmail/A 38234-2025 FSC-klagomål mail.docx", "A 38234-2025")</f>
        <v/>
      </c>
      <c r="X93">
        <f>HYPERLINK("https://klasma.github.io/Logging_2361/tillsyn/A 38234-2025 tillsynsbegäran.docx", "A 38234-2025")</f>
        <v/>
      </c>
      <c r="Y93">
        <f>HYPERLINK("https://klasma.github.io/Logging_2361/tillsynsmail/A 38234-2025 tillsynsbegäran mail.docx", "A 38234-2025")</f>
        <v/>
      </c>
      <c r="Z93">
        <f>HYPERLINK("https://klasma.github.io/Logging_2361/fåglar/A 38234-2025 prioriterade fågelarter.docx", "A 38234-2025")</f>
        <v/>
      </c>
    </row>
    <row r="94" ht="15" customHeight="1">
      <c r="A94" t="inlineStr">
        <is>
          <t>A 39687-2024</t>
        </is>
      </c>
      <c r="B94" s="1" t="n">
        <v>45552</v>
      </c>
      <c r="C94" s="1" t="n">
        <v>45900</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999-2025</t>
        </is>
      </c>
      <c r="B95" s="1" t="n">
        <v>45666</v>
      </c>
      <c r="C95" s="1" t="n">
        <v>45900</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14059-2023</t>
        </is>
      </c>
      <c r="B96" s="1" t="n">
        <v>45007</v>
      </c>
      <c r="C96" s="1" t="n">
        <v>45900</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45900</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24955-2023</t>
        </is>
      </c>
      <c r="B98" s="1" t="n">
        <v>45085</v>
      </c>
      <c r="C98" s="1" t="n">
        <v>45900</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31584-2024</t>
        </is>
      </c>
      <c r="B99" s="1" t="n">
        <v>45506.35658564815</v>
      </c>
      <c r="C99" s="1" t="n">
        <v>45900</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33421-2021</t>
        </is>
      </c>
      <c r="B100" s="1" t="n">
        <v>44377</v>
      </c>
      <c r="C100" s="1" t="n">
        <v>45900</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55244-2021</t>
        </is>
      </c>
      <c r="B101" s="1" t="n">
        <v>44475</v>
      </c>
      <c r="C101" s="1" t="n">
        <v>45900</v>
      </c>
      <c r="D101" t="inlineStr">
        <is>
          <t>JÄMTLANDS LÄN</t>
        </is>
      </c>
      <c r="E101" t="inlineStr">
        <is>
          <t>HÄRJEDALEN</t>
        </is>
      </c>
      <c r="G101" t="n">
        <v>1.6</v>
      </c>
      <c r="H101" t="n">
        <v>1</v>
      </c>
      <c r="I101" t="n">
        <v>0</v>
      </c>
      <c r="J101" t="n">
        <v>3</v>
      </c>
      <c r="K101" t="n">
        <v>0</v>
      </c>
      <c r="L101" t="n">
        <v>0</v>
      </c>
      <c r="M101" t="n">
        <v>0</v>
      </c>
      <c r="N101" t="n">
        <v>0</v>
      </c>
      <c r="O101" t="n">
        <v>3</v>
      </c>
      <c r="P101" t="n">
        <v>0</v>
      </c>
      <c r="Q101" t="n">
        <v>3</v>
      </c>
      <c r="R101" s="2" t="inlineStr">
        <is>
          <t>Tallticka
Varglav
Vedflamlav</t>
        </is>
      </c>
      <c r="S101">
        <f>HYPERLINK("https://klasma.github.io/Logging_2361/artfynd/A 55244-2021 artfynd.xlsx", "A 55244-2021")</f>
        <v/>
      </c>
      <c r="T101">
        <f>HYPERLINK("https://klasma.github.io/Logging_2361/kartor/A 55244-2021 karta.png", "A 55244-2021")</f>
        <v/>
      </c>
      <c r="V101">
        <f>HYPERLINK("https://klasma.github.io/Logging_2361/klagomål/A 55244-2021 FSC-klagomål.docx", "A 55244-2021")</f>
        <v/>
      </c>
      <c r="W101">
        <f>HYPERLINK("https://klasma.github.io/Logging_2361/klagomålsmail/A 55244-2021 FSC-klagomål mail.docx", "A 55244-2021")</f>
        <v/>
      </c>
      <c r="X101">
        <f>HYPERLINK("https://klasma.github.io/Logging_2361/tillsyn/A 55244-2021 tillsynsbegäran.docx", "A 55244-2021")</f>
        <v/>
      </c>
      <c r="Y101">
        <f>HYPERLINK("https://klasma.github.io/Logging_2361/tillsynsmail/A 55244-2021 tillsynsbegäran mail.docx", "A 55244-2021")</f>
        <v/>
      </c>
    </row>
    <row r="102" ht="15" customHeight="1">
      <c r="A102" t="inlineStr">
        <is>
          <t>A 45717-2021</t>
        </is>
      </c>
      <c r="B102" s="1" t="n">
        <v>44441</v>
      </c>
      <c r="C102" s="1" t="n">
        <v>45900</v>
      </c>
      <c r="D102" t="inlineStr">
        <is>
          <t>JÄMTLANDS LÄN</t>
        </is>
      </c>
      <c r="E102" t="inlineStr">
        <is>
          <t>HÄRJEDALEN</t>
        </is>
      </c>
      <c r="G102" t="n">
        <v>1</v>
      </c>
      <c r="H102" t="n">
        <v>1</v>
      </c>
      <c r="I102" t="n">
        <v>2</v>
      </c>
      <c r="J102" t="n">
        <v>1</v>
      </c>
      <c r="K102" t="n">
        <v>0</v>
      </c>
      <c r="L102" t="n">
        <v>0</v>
      </c>
      <c r="M102" t="n">
        <v>0</v>
      </c>
      <c r="N102" t="n">
        <v>0</v>
      </c>
      <c r="O102" t="n">
        <v>1</v>
      </c>
      <c r="P102" t="n">
        <v>0</v>
      </c>
      <c r="Q102" t="n">
        <v>3</v>
      </c>
      <c r="R102" s="2" t="inlineStr">
        <is>
          <t>Granticka
Spindelblomster
Ögonpyrola</t>
        </is>
      </c>
      <c r="S102">
        <f>HYPERLINK("https://klasma.github.io/Logging_2361/artfynd/A 45717-2021 artfynd.xlsx", "A 45717-2021")</f>
        <v/>
      </c>
      <c r="T102">
        <f>HYPERLINK("https://klasma.github.io/Logging_2361/kartor/A 45717-2021 karta.png", "A 45717-2021")</f>
        <v/>
      </c>
      <c r="V102">
        <f>HYPERLINK("https://klasma.github.io/Logging_2361/klagomål/A 45717-2021 FSC-klagomål.docx", "A 45717-2021")</f>
        <v/>
      </c>
      <c r="W102">
        <f>HYPERLINK("https://klasma.github.io/Logging_2361/klagomålsmail/A 45717-2021 FSC-klagomål mail.docx", "A 45717-2021")</f>
        <v/>
      </c>
      <c r="X102">
        <f>HYPERLINK("https://klasma.github.io/Logging_2361/tillsyn/A 45717-2021 tillsynsbegäran.docx", "A 45717-2021")</f>
        <v/>
      </c>
      <c r="Y102">
        <f>HYPERLINK("https://klasma.github.io/Logging_2361/tillsynsmail/A 45717-2021 tillsynsbegäran mail.docx", "A 45717-2021")</f>
        <v/>
      </c>
    </row>
    <row r="103" ht="15" customHeight="1">
      <c r="A103" t="inlineStr">
        <is>
          <t>A 55394-2021</t>
        </is>
      </c>
      <c r="B103" s="1" t="n">
        <v>44475</v>
      </c>
      <c r="C103" s="1" t="n">
        <v>45900</v>
      </c>
      <c r="D103" t="inlineStr">
        <is>
          <t>JÄMTLANDS LÄN</t>
        </is>
      </c>
      <c r="E103" t="inlineStr">
        <is>
          <t>HÄRJEDALEN</t>
        </is>
      </c>
      <c r="G103" t="n">
        <v>2.7</v>
      </c>
      <c r="H103" t="n">
        <v>1</v>
      </c>
      <c r="I103" t="n">
        <v>0</v>
      </c>
      <c r="J103" t="n">
        <v>3</v>
      </c>
      <c r="K103" t="n">
        <v>0</v>
      </c>
      <c r="L103" t="n">
        <v>0</v>
      </c>
      <c r="M103" t="n">
        <v>0</v>
      </c>
      <c r="N103" t="n">
        <v>0</v>
      </c>
      <c r="O103" t="n">
        <v>3</v>
      </c>
      <c r="P103" t="n">
        <v>0</v>
      </c>
      <c r="Q103" t="n">
        <v>3</v>
      </c>
      <c r="R103" s="2" t="inlineStr">
        <is>
          <t>Blanksvart spiklav
Varglav
Vedflamlav</t>
        </is>
      </c>
      <c r="S103">
        <f>HYPERLINK("https://klasma.github.io/Logging_2361/artfynd/A 55394-2021 artfynd.xlsx", "A 55394-2021")</f>
        <v/>
      </c>
      <c r="T103">
        <f>HYPERLINK("https://klasma.github.io/Logging_2361/kartor/A 55394-2021 karta.png", "A 55394-2021")</f>
        <v/>
      </c>
      <c r="V103">
        <f>HYPERLINK("https://klasma.github.io/Logging_2361/klagomål/A 55394-2021 FSC-klagomål.docx", "A 55394-2021")</f>
        <v/>
      </c>
      <c r="W103">
        <f>HYPERLINK("https://klasma.github.io/Logging_2361/klagomålsmail/A 55394-2021 FSC-klagomål mail.docx", "A 55394-2021")</f>
        <v/>
      </c>
      <c r="X103">
        <f>HYPERLINK("https://klasma.github.io/Logging_2361/tillsyn/A 55394-2021 tillsynsbegäran.docx", "A 55394-2021")</f>
        <v/>
      </c>
      <c r="Y103">
        <f>HYPERLINK("https://klasma.github.io/Logging_2361/tillsynsmail/A 55394-2021 tillsynsbegäran mail.docx", "A 55394-2021")</f>
        <v/>
      </c>
    </row>
    <row r="104" ht="15" customHeight="1">
      <c r="A104" t="inlineStr">
        <is>
          <t>A 55233-2021</t>
        </is>
      </c>
      <c r="B104" s="1" t="n">
        <v>44475</v>
      </c>
      <c r="C104" s="1" t="n">
        <v>45900</v>
      </c>
      <c r="D104" t="inlineStr">
        <is>
          <t>JÄMTLANDS LÄN</t>
        </is>
      </c>
      <c r="E104" t="inlineStr">
        <is>
          <t>HÄRJEDALEN</t>
        </is>
      </c>
      <c r="G104" t="n">
        <v>15.3</v>
      </c>
      <c r="H104" t="n">
        <v>1</v>
      </c>
      <c r="I104" t="n">
        <v>0</v>
      </c>
      <c r="J104" t="n">
        <v>3</v>
      </c>
      <c r="K104" t="n">
        <v>0</v>
      </c>
      <c r="L104" t="n">
        <v>0</v>
      </c>
      <c r="M104" t="n">
        <v>0</v>
      </c>
      <c r="N104" t="n">
        <v>0</v>
      </c>
      <c r="O104" t="n">
        <v>3</v>
      </c>
      <c r="P104" t="n">
        <v>0</v>
      </c>
      <c r="Q104" t="n">
        <v>3</v>
      </c>
      <c r="R104" s="2" t="inlineStr">
        <is>
          <t>Reliktbock
Varglav
Vedflamlav</t>
        </is>
      </c>
      <c r="S104">
        <f>HYPERLINK("https://klasma.github.io/Logging_2361/artfynd/A 55233-2021 artfynd.xlsx", "A 55233-2021")</f>
        <v/>
      </c>
      <c r="T104">
        <f>HYPERLINK("https://klasma.github.io/Logging_2361/kartor/A 55233-2021 karta.png", "A 55233-2021")</f>
        <v/>
      </c>
      <c r="V104">
        <f>HYPERLINK("https://klasma.github.io/Logging_2361/klagomål/A 55233-2021 FSC-klagomål.docx", "A 55233-2021")</f>
        <v/>
      </c>
      <c r="W104">
        <f>HYPERLINK("https://klasma.github.io/Logging_2361/klagomålsmail/A 55233-2021 FSC-klagomål mail.docx", "A 55233-2021")</f>
        <v/>
      </c>
      <c r="X104">
        <f>HYPERLINK("https://klasma.github.io/Logging_2361/tillsyn/A 55233-2021 tillsynsbegäran.docx", "A 55233-2021")</f>
        <v/>
      </c>
      <c r="Y104">
        <f>HYPERLINK("https://klasma.github.io/Logging_2361/tillsynsmail/A 55233-2021 tillsynsbegäran mail.docx", "A 55233-2021")</f>
        <v/>
      </c>
    </row>
    <row r="105" ht="15" customHeight="1">
      <c r="A105" t="inlineStr">
        <is>
          <t>A 22464-2022</t>
        </is>
      </c>
      <c r="B105" s="1" t="n">
        <v>44713</v>
      </c>
      <c r="C105" s="1" t="n">
        <v>45900</v>
      </c>
      <c r="D105" t="inlineStr">
        <is>
          <t>JÄMTLANDS LÄN</t>
        </is>
      </c>
      <c r="E105" t="inlineStr">
        <is>
          <t>HÄRJEDALEN</t>
        </is>
      </c>
      <c r="F105" t="inlineStr">
        <is>
          <t>Sveaskog</t>
        </is>
      </c>
      <c r="G105" t="n">
        <v>4.3</v>
      </c>
      <c r="H105" t="n">
        <v>1</v>
      </c>
      <c r="I105" t="n">
        <v>1</v>
      </c>
      <c r="J105" t="n">
        <v>2</v>
      </c>
      <c r="K105" t="n">
        <v>0</v>
      </c>
      <c r="L105" t="n">
        <v>0</v>
      </c>
      <c r="M105" t="n">
        <v>0</v>
      </c>
      <c r="N105" t="n">
        <v>0</v>
      </c>
      <c r="O105" t="n">
        <v>2</v>
      </c>
      <c r="P105" t="n">
        <v>0</v>
      </c>
      <c r="Q105" t="n">
        <v>3</v>
      </c>
      <c r="R105" s="2" t="inlineStr">
        <is>
          <t>Lunglav
Tretåig hackspett
Dropptaggsvamp</t>
        </is>
      </c>
      <c r="S105">
        <f>HYPERLINK("https://klasma.github.io/Logging_2361/artfynd/A 22464-2022 artfynd.xlsx", "A 22464-2022")</f>
        <v/>
      </c>
      <c r="T105">
        <f>HYPERLINK("https://klasma.github.io/Logging_2361/kartor/A 22464-2022 karta.png", "A 22464-2022")</f>
        <v/>
      </c>
      <c r="U105">
        <f>HYPERLINK("https://klasma.github.io/Logging_2361/knärot/A 22464-2022 karta knärot.png", "A 22464-2022")</f>
        <v/>
      </c>
      <c r="V105">
        <f>HYPERLINK("https://klasma.github.io/Logging_2361/klagomål/A 22464-2022 FSC-klagomål.docx", "A 22464-2022")</f>
        <v/>
      </c>
      <c r="W105">
        <f>HYPERLINK("https://klasma.github.io/Logging_2361/klagomålsmail/A 22464-2022 FSC-klagomål mail.docx", "A 22464-2022")</f>
        <v/>
      </c>
      <c r="X105">
        <f>HYPERLINK("https://klasma.github.io/Logging_2361/tillsyn/A 22464-2022 tillsynsbegäran.docx", "A 22464-2022")</f>
        <v/>
      </c>
      <c r="Y105">
        <f>HYPERLINK("https://klasma.github.io/Logging_2361/tillsynsmail/A 22464-2022 tillsynsbegäran mail.docx", "A 22464-2022")</f>
        <v/>
      </c>
      <c r="Z105">
        <f>HYPERLINK("https://klasma.github.io/Logging_2361/fåglar/A 22464-2022 prioriterade fågelarter.docx", "A 22464-2022")</f>
        <v/>
      </c>
    </row>
    <row r="106" ht="15" customHeight="1">
      <c r="A106" t="inlineStr">
        <is>
          <t>A 26225-2024</t>
        </is>
      </c>
      <c r="B106" s="1" t="n">
        <v>45468</v>
      </c>
      <c r="C106" s="1" t="n">
        <v>45900</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45900</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23337-2025</t>
        </is>
      </c>
      <c r="B108" s="1" t="n">
        <v>45791</v>
      </c>
      <c r="C108" s="1" t="n">
        <v>45900</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25107-2025</t>
        </is>
      </c>
      <c r="B109" s="1" t="n">
        <v>45800.3484375</v>
      </c>
      <c r="C109" s="1" t="n">
        <v>45900</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49863-2020</t>
        </is>
      </c>
      <c r="B110" s="1" t="n">
        <v>44107</v>
      </c>
      <c r="C110" s="1" t="n">
        <v>45900</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54545-2024</t>
        </is>
      </c>
      <c r="B111" s="1" t="n">
        <v>45617</v>
      </c>
      <c r="C111" s="1" t="n">
        <v>45900</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45900</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45900</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34814-2025</t>
        </is>
      </c>
      <c r="B114" s="1" t="n">
        <v>45849.35011574074</v>
      </c>
      <c r="C114" s="1" t="n">
        <v>45900</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34814-2025 artfynd.xlsx", "A 34814-2025")</f>
        <v/>
      </c>
      <c r="T114">
        <f>HYPERLINK("https://klasma.github.io/Logging_2361/kartor/A 34814-2025 karta.png", "A 34814-2025")</f>
        <v/>
      </c>
      <c r="V114">
        <f>HYPERLINK("https://klasma.github.io/Logging_2361/klagomål/A 34814-2025 FSC-klagomål.docx", "A 34814-2025")</f>
        <v/>
      </c>
      <c r="W114">
        <f>HYPERLINK("https://klasma.github.io/Logging_2361/klagomålsmail/A 34814-2025 FSC-klagomål mail.docx", "A 34814-2025")</f>
        <v/>
      </c>
      <c r="X114">
        <f>HYPERLINK("https://klasma.github.io/Logging_2361/tillsyn/A 34814-2025 tillsynsbegäran.docx", "A 34814-2025")</f>
        <v/>
      </c>
      <c r="Y114">
        <f>HYPERLINK("https://klasma.github.io/Logging_2361/tillsynsmail/A 34814-2025 tillsynsbegäran mail.docx", "A 34814-2025")</f>
        <v/>
      </c>
    </row>
    <row r="115" ht="15" customHeight="1">
      <c r="A115" t="inlineStr">
        <is>
          <t>A 67126-2020</t>
        </is>
      </c>
      <c r="B115" s="1" t="n">
        <v>44180</v>
      </c>
      <c r="C115" s="1" t="n">
        <v>45900</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45900</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45900</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45900</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55240-2021</t>
        </is>
      </c>
      <c r="B119" s="1" t="n">
        <v>44475</v>
      </c>
      <c r="C119" s="1" t="n">
        <v>45900</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20132-2025</t>
        </is>
      </c>
      <c r="B120" s="1" t="n">
        <v>45772.51070601852</v>
      </c>
      <c r="C120" s="1" t="n">
        <v>45900</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36924-2024</t>
        </is>
      </c>
      <c r="B121" s="1" t="n">
        <v>45538</v>
      </c>
      <c r="C121" s="1" t="n">
        <v>45900</v>
      </c>
      <c r="D121" t="inlineStr">
        <is>
          <t>JÄMTLANDS LÄN</t>
        </is>
      </c>
      <c r="E121" t="inlineStr">
        <is>
          <t>HÄRJEDALEN</t>
        </is>
      </c>
      <c r="F121" t="inlineStr">
        <is>
          <t>Holmen skog AB</t>
        </is>
      </c>
      <c r="G121" t="n">
        <v>4.3</v>
      </c>
      <c r="H121" t="n">
        <v>1</v>
      </c>
      <c r="I121" t="n">
        <v>1</v>
      </c>
      <c r="J121" t="n">
        <v>0</v>
      </c>
      <c r="K121" t="n">
        <v>0</v>
      </c>
      <c r="L121" t="n">
        <v>0</v>
      </c>
      <c r="M121" t="n">
        <v>0</v>
      </c>
      <c r="N121" t="n">
        <v>0</v>
      </c>
      <c r="O121" t="n">
        <v>0</v>
      </c>
      <c r="P121" t="n">
        <v>0</v>
      </c>
      <c r="Q121" t="n">
        <v>2</v>
      </c>
      <c r="R121" s="2" t="inlineStr">
        <is>
          <t>Dvärgtufs
Nattviol</t>
        </is>
      </c>
      <c r="S121">
        <f>HYPERLINK("https://klasma.github.io/Logging_2361/artfynd/A 36924-2024 artfynd.xlsx", "A 36924-2024")</f>
        <v/>
      </c>
      <c r="T121">
        <f>HYPERLINK("https://klasma.github.io/Logging_2361/kartor/A 36924-2024 karta.png", "A 36924-2024")</f>
        <v/>
      </c>
      <c r="V121">
        <f>HYPERLINK("https://klasma.github.io/Logging_2361/klagomål/A 36924-2024 FSC-klagomål.docx", "A 36924-2024")</f>
        <v/>
      </c>
      <c r="W121">
        <f>HYPERLINK("https://klasma.github.io/Logging_2361/klagomålsmail/A 36924-2024 FSC-klagomål mail.docx", "A 36924-2024")</f>
        <v/>
      </c>
      <c r="X121">
        <f>HYPERLINK("https://klasma.github.io/Logging_2361/tillsyn/A 36924-2024 tillsynsbegäran.docx", "A 36924-2024")</f>
        <v/>
      </c>
      <c r="Y121">
        <f>HYPERLINK("https://klasma.github.io/Logging_2361/tillsynsmail/A 36924-2024 tillsynsbegäran mail.docx", "A 36924-2024")</f>
        <v/>
      </c>
    </row>
    <row r="122" ht="15" customHeight="1">
      <c r="A122" t="inlineStr">
        <is>
          <t>A 17368-2023</t>
        </is>
      </c>
      <c r="B122" s="1" t="n">
        <v>45035</v>
      </c>
      <c r="C122" s="1" t="n">
        <v>45900</v>
      </c>
      <c r="D122" t="inlineStr">
        <is>
          <t>JÄMTLANDS LÄN</t>
        </is>
      </c>
      <c r="E122" t="inlineStr">
        <is>
          <t>HÄRJEDALEN</t>
        </is>
      </c>
      <c r="F122" t="inlineStr">
        <is>
          <t>Kyrkan</t>
        </is>
      </c>
      <c r="G122" t="n">
        <v>1.3</v>
      </c>
      <c r="H122" t="n">
        <v>1</v>
      </c>
      <c r="I122" t="n">
        <v>0</v>
      </c>
      <c r="J122" t="n">
        <v>1</v>
      </c>
      <c r="K122" t="n">
        <v>1</v>
      </c>
      <c r="L122" t="n">
        <v>0</v>
      </c>
      <c r="M122" t="n">
        <v>0</v>
      </c>
      <c r="N122" t="n">
        <v>0</v>
      </c>
      <c r="O122" t="n">
        <v>2</v>
      </c>
      <c r="P122" t="n">
        <v>1</v>
      </c>
      <c r="Q122" t="n">
        <v>2</v>
      </c>
      <c r="R122" s="2" t="inlineStr">
        <is>
          <t>Knärot
Mörk kolflarnlav</t>
        </is>
      </c>
      <c r="S122">
        <f>HYPERLINK("https://klasma.github.io/Logging_2361/artfynd/A 17368-2023 artfynd.xlsx", "A 17368-2023")</f>
        <v/>
      </c>
      <c r="T122">
        <f>HYPERLINK("https://klasma.github.io/Logging_2361/kartor/A 17368-2023 karta.png", "A 17368-2023")</f>
        <v/>
      </c>
      <c r="U122">
        <f>HYPERLINK("https://klasma.github.io/Logging_2361/knärot/A 17368-2023 karta knärot.png", "A 17368-2023")</f>
        <v/>
      </c>
      <c r="V122">
        <f>HYPERLINK("https://klasma.github.io/Logging_2361/klagomål/A 17368-2023 FSC-klagomål.docx", "A 17368-2023")</f>
        <v/>
      </c>
      <c r="W122">
        <f>HYPERLINK("https://klasma.github.io/Logging_2361/klagomålsmail/A 17368-2023 FSC-klagomål mail.docx", "A 17368-2023")</f>
        <v/>
      </c>
      <c r="X122">
        <f>HYPERLINK("https://klasma.github.io/Logging_2361/tillsyn/A 17368-2023 tillsynsbegäran.docx", "A 17368-2023")</f>
        <v/>
      </c>
      <c r="Y122">
        <f>HYPERLINK("https://klasma.github.io/Logging_2361/tillsynsmail/A 17368-2023 tillsynsbegäran mail.docx", "A 17368-2023")</f>
        <v/>
      </c>
    </row>
    <row r="123" ht="15" customHeight="1">
      <c r="A123" t="inlineStr">
        <is>
          <t>A 22501-2025</t>
        </is>
      </c>
      <c r="B123" s="1" t="n">
        <v>45786.6590625</v>
      </c>
      <c r="C123" s="1" t="n">
        <v>45900</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22501-2025 artfynd.xlsx", "A 22501-2025")</f>
        <v/>
      </c>
      <c r="T123">
        <f>HYPERLINK("https://klasma.github.io/Logging_2361/kartor/A 22501-2025 karta.png", "A 22501-2025")</f>
        <v/>
      </c>
      <c r="V123">
        <f>HYPERLINK("https://klasma.github.io/Logging_2361/klagomål/A 22501-2025 FSC-klagomål.docx", "A 22501-2025")</f>
        <v/>
      </c>
      <c r="W123">
        <f>HYPERLINK("https://klasma.github.io/Logging_2361/klagomålsmail/A 22501-2025 FSC-klagomål mail.docx", "A 22501-2025")</f>
        <v/>
      </c>
      <c r="X123">
        <f>HYPERLINK("https://klasma.github.io/Logging_2361/tillsyn/A 22501-2025 tillsynsbegäran.docx", "A 22501-2025")</f>
        <v/>
      </c>
      <c r="Y123">
        <f>HYPERLINK("https://klasma.github.io/Logging_2361/tillsynsmail/A 22501-2025 tillsynsbegäran mail.docx", "A 22501-2025")</f>
        <v/>
      </c>
    </row>
    <row r="124" ht="15" customHeight="1">
      <c r="A124" t="inlineStr">
        <is>
          <t>A 22508-2025</t>
        </is>
      </c>
      <c r="B124" s="1" t="n">
        <v>45786.66594907407</v>
      </c>
      <c r="C124" s="1" t="n">
        <v>45900</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22508-2025 artfynd.xlsx", "A 22508-2025")</f>
        <v/>
      </c>
      <c r="T124">
        <f>HYPERLINK("https://klasma.github.io/Logging_2361/kartor/A 22508-2025 karta.png", "A 22508-2025")</f>
        <v/>
      </c>
      <c r="V124">
        <f>HYPERLINK("https://klasma.github.io/Logging_2361/klagomål/A 22508-2025 FSC-klagomål.docx", "A 22508-2025")</f>
        <v/>
      </c>
      <c r="W124">
        <f>HYPERLINK("https://klasma.github.io/Logging_2361/klagomålsmail/A 22508-2025 FSC-klagomål mail.docx", "A 22508-2025")</f>
        <v/>
      </c>
      <c r="X124">
        <f>HYPERLINK("https://klasma.github.io/Logging_2361/tillsyn/A 22508-2025 tillsynsbegäran.docx", "A 22508-2025")</f>
        <v/>
      </c>
      <c r="Y124">
        <f>HYPERLINK("https://klasma.github.io/Logging_2361/tillsynsmail/A 22508-2025 tillsynsbegäran mail.docx", "A 22508-2025")</f>
        <v/>
      </c>
    </row>
    <row r="125" ht="15" customHeight="1">
      <c r="A125" t="inlineStr">
        <is>
          <t>A 22494-2025</t>
        </is>
      </c>
      <c r="B125" s="1" t="n">
        <v>45786.65452546296</v>
      </c>
      <c r="C125" s="1" t="n">
        <v>45900</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22494-2025 artfynd.xlsx", "A 22494-2025")</f>
        <v/>
      </c>
      <c r="T125">
        <f>HYPERLINK("https://klasma.github.io/Logging_2361/kartor/A 22494-2025 karta.png", "A 22494-2025")</f>
        <v/>
      </c>
      <c r="V125">
        <f>HYPERLINK("https://klasma.github.io/Logging_2361/klagomål/A 22494-2025 FSC-klagomål.docx", "A 22494-2025")</f>
        <v/>
      </c>
      <c r="W125">
        <f>HYPERLINK("https://klasma.github.io/Logging_2361/klagomålsmail/A 22494-2025 FSC-klagomål mail.docx", "A 22494-2025")</f>
        <v/>
      </c>
      <c r="X125">
        <f>HYPERLINK("https://klasma.github.io/Logging_2361/tillsyn/A 22494-2025 tillsynsbegäran.docx", "A 22494-2025")</f>
        <v/>
      </c>
      <c r="Y125">
        <f>HYPERLINK("https://klasma.github.io/Logging_2361/tillsynsmail/A 22494-2025 tillsynsbegäran mail.docx", "A 22494-2025")</f>
        <v/>
      </c>
    </row>
    <row r="126" ht="15" customHeight="1">
      <c r="A126" t="inlineStr">
        <is>
          <t>A 22513-2025</t>
        </is>
      </c>
      <c r="B126" s="1" t="n">
        <v>45786.6768287037</v>
      </c>
      <c r="C126" s="1" t="n">
        <v>45900</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22513-2025 artfynd.xlsx", "A 22513-2025")</f>
        <v/>
      </c>
      <c r="T126">
        <f>HYPERLINK("https://klasma.github.io/Logging_2361/kartor/A 22513-2025 karta.png", "A 22513-2025")</f>
        <v/>
      </c>
      <c r="V126">
        <f>HYPERLINK("https://klasma.github.io/Logging_2361/klagomål/A 22513-2025 FSC-klagomål.docx", "A 22513-2025")</f>
        <v/>
      </c>
      <c r="W126">
        <f>HYPERLINK("https://klasma.github.io/Logging_2361/klagomålsmail/A 22513-2025 FSC-klagomål mail.docx", "A 22513-2025")</f>
        <v/>
      </c>
      <c r="X126">
        <f>HYPERLINK("https://klasma.github.io/Logging_2361/tillsyn/A 22513-2025 tillsynsbegäran.docx", "A 22513-2025")</f>
        <v/>
      </c>
      <c r="Y126">
        <f>HYPERLINK("https://klasma.github.io/Logging_2361/tillsynsmail/A 22513-2025 tillsynsbegäran mail.docx", "A 22513-2025")</f>
        <v/>
      </c>
    </row>
    <row r="127" ht="15" customHeight="1">
      <c r="A127" t="inlineStr">
        <is>
          <t>A 22512-2025</t>
        </is>
      </c>
      <c r="B127" s="1" t="n">
        <v>45786.67261574074</v>
      </c>
      <c r="C127" s="1" t="n">
        <v>45900</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22511-2025</t>
        </is>
      </c>
      <c r="B128" s="1" t="n">
        <v>45786.67016203704</v>
      </c>
      <c r="C128" s="1" t="n">
        <v>45900</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22511-2025 artfynd.xlsx", "A 22511-2025")</f>
        <v/>
      </c>
      <c r="T128">
        <f>HYPERLINK("https://klasma.github.io/Logging_2361/kartor/A 22511-2025 karta.png", "A 22511-2025")</f>
        <v/>
      </c>
      <c r="V128">
        <f>HYPERLINK("https://klasma.github.io/Logging_2361/klagomål/A 22511-2025 FSC-klagomål.docx", "A 22511-2025")</f>
        <v/>
      </c>
      <c r="W128">
        <f>HYPERLINK("https://klasma.github.io/Logging_2361/klagomålsmail/A 22511-2025 FSC-klagomål mail.docx", "A 22511-2025")</f>
        <v/>
      </c>
      <c r="X128">
        <f>HYPERLINK("https://klasma.github.io/Logging_2361/tillsyn/A 22511-2025 tillsynsbegäran.docx", "A 22511-2025")</f>
        <v/>
      </c>
      <c r="Y128">
        <f>HYPERLINK("https://klasma.github.io/Logging_2361/tillsynsmail/A 22511-2025 tillsynsbegäran mail.docx", "A 22511-2025")</f>
        <v/>
      </c>
    </row>
    <row r="129" ht="15" customHeight="1">
      <c r="A129" t="inlineStr">
        <is>
          <t>A 10344-2023</t>
        </is>
      </c>
      <c r="B129" s="1" t="n">
        <v>44987</v>
      </c>
      <c r="C129" s="1" t="n">
        <v>45900</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26346-2025</t>
        </is>
      </c>
      <c r="B130" s="1" t="n">
        <v>45805.73822916667</v>
      </c>
      <c r="C130" s="1" t="n">
        <v>45900</v>
      </c>
      <c r="D130" t="inlineStr">
        <is>
          <t>JÄMTLANDS LÄN</t>
        </is>
      </c>
      <c r="E130" t="inlineStr">
        <is>
          <t>HÄRJEDALEN</t>
        </is>
      </c>
      <c r="F130" t="inlineStr">
        <is>
          <t>Sveaskog</t>
        </is>
      </c>
      <c r="G130" t="n">
        <v>3.6</v>
      </c>
      <c r="H130" t="n">
        <v>0</v>
      </c>
      <c r="I130" t="n">
        <v>0</v>
      </c>
      <c r="J130" t="n">
        <v>2</v>
      </c>
      <c r="K130" t="n">
        <v>0</v>
      </c>
      <c r="L130" t="n">
        <v>0</v>
      </c>
      <c r="M130" t="n">
        <v>0</v>
      </c>
      <c r="N130" t="n">
        <v>0</v>
      </c>
      <c r="O130" t="n">
        <v>2</v>
      </c>
      <c r="P130" t="n">
        <v>0</v>
      </c>
      <c r="Q130" t="n">
        <v>2</v>
      </c>
      <c r="R130" s="2" t="inlineStr">
        <is>
          <t>Garnlav
Lunglav</t>
        </is>
      </c>
      <c r="S130">
        <f>HYPERLINK("https://klasma.github.io/Logging_2361/artfynd/A 26346-2025 artfynd.xlsx", "A 26346-2025")</f>
        <v/>
      </c>
      <c r="T130">
        <f>HYPERLINK("https://klasma.github.io/Logging_2361/kartor/A 26346-2025 karta.png", "A 26346-2025")</f>
        <v/>
      </c>
      <c r="V130">
        <f>HYPERLINK("https://klasma.github.io/Logging_2361/klagomål/A 26346-2025 FSC-klagomål.docx", "A 26346-2025")</f>
        <v/>
      </c>
      <c r="W130">
        <f>HYPERLINK("https://klasma.github.io/Logging_2361/klagomålsmail/A 26346-2025 FSC-klagomål mail.docx", "A 26346-2025")</f>
        <v/>
      </c>
      <c r="X130">
        <f>HYPERLINK("https://klasma.github.io/Logging_2361/tillsyn/A 26346-2025 tillsynsbegäran.docx", "A 26346-2025")</f>
        <v/>
      </c>
      <c r="Y130">
        <f>HYPERLINK("https://klasma.github.io/Logging_2361/tillsynsmail/A 26346-2025 tillsynsbegäran mail.docx", "A 26346-2025")</f>
        <v/>
      </c>
    </row>
    <row r="131" ht="15" customHeight="1">
      <c r="A131" t="inlineStr">
        <is>
          <t>A 60750-2024</t>
        </is>
      </c>
      <c r="B131" s="1" t="n">
        <v>45644.56555555556</v>
      </c>
      <c r="C131" s="1" t="n">
        <v>45900</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31414-2025</t>
        </is>
      </c>
      <c r="B132" s="1" t="n">
        <v>45833</v>
      </c>
      <c r="C132" s="1" t="n">
        <v>45900</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55228-2021</t>
        </is>
      </c>
      <c r="B133" s="1" t="n">
        <v>44475</v>
      </c>
      <c r="C133" s="1" t="n">
        <v>45900</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3699-2021</t>
        </is>
      </c>
      <c r="B134" s="1" t="n">
        <v>44221</v>
      </c>
      <c r="C134" s="1" t="n">
        <v>45900</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55298-2024</t>
        </is>
      </c>
      <c r="B135" s="1" t="n">
        <v>45621</v>
      </c>
      <c r="C135" s="1" t="n">
        <v>45900</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45191-2023</t>
        </is>
      </c>
      <c r="B136" s="1" t="n">
        <v>45191</v>
      </c>
      <c r="C136" s="1" t="n">
        <v>45900</v>
      </c>
      <c r="D136" t="inlineStr">
        <is>
          <t>JÄMTLANDS LÄN</t>
        </is>
      </c>
      <c r="E136" t="inlineStr">
        <is>
          <t>HÄRJEDALEN</t>
        </is>
      </c>
      <c r="F136" t="inlineStr">
        <is>
          <t>Sveaskog</t>
        </is>
      </c>
      <c r="G136" t="n">
        <v>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45191-2023 artfynd.xlsx", "A 45191-2023")</f>
        <v/>
      </c>
      <c r="T136">
        <f>HYPERLINK("https://klasma.github.io/Logging_2361/kartor/A 45191-2023 karta.png", "A 45191-2023")</f>
        <v/>
      </c>
      <c r="V136">
        <f>HYPERLINK("https://klasma.github.io/Logging_2361/klagomål/A 45191-2023 FSC-klagomål.docx", "A 45191-2023")</f>
        <v/>
      </c>
      <c r="W136">
        <f>HYPERLINK("https://klasma.github.io/Logging_2361/klagomålsmail/A 45191-2023 FSC-klagomål mail.docx", "A 45191-2023")</f>
        <v/>
      </c>
      <c r="X136">
        <f>HYPERLINK("https://klasma.github.io/Logging_2361/tillsyn/A 45191-2023 tillsynsbegäran.docx", "A 45191-2023")</f>
        <v/>
      </c>
      <c r="Y136">
        <f>HYPERLINK("https://klasma.github.io/Logging_2361/tillsynsmail/A 45191-2023 tillsynsbegäran mail.docx", "A 45191-2023")</f>
        <v/>
      </c>
    </row>
    <row r="137" ht="15" customHeight="1">
      <c r="A137" t="inlineStr">
        <is>
          <t>A 37572-2025</t>
        </is>
      </c>
      <c r="B137" s="1" t="n">
        <v>45880.37559027778</v>
      </c>
      <c r="C137" s="1" t="n">
        <v>45900</v>
      </c>
      <c r="D137" t="inlineStr">
        <is>
          <t>JÄMTLANDS LÄN</t>
        </is>
      </c>
      <c r="E137" t="inlineStr">
        <is>
          <t>HÄRJEDALEN</t>
        </is>
      </c>
      <c r="G137" t="n">
        <v>29.6</v>
      </c>
      <c r="H137" t="n">
        <v>1</v>
      </c>
      <c r="I137" t="n">
        <v>0</v>
      </c>
      <c r="J137" t="n">
        <v>1</v>
      </c>
      <c r="K137" t="n">
        <v>0</v>
      </c>
      <c r="L137" t="n">
        <v>0</v>
      </c>
      <c r="M137" t="n">
        <v>0</v>
      </c>
      <c r="N137" t="n">
        <v>0</v>
      </c>
      <c r="O137" t="n">
        <v>1</v>
      </c>
      <c r="P137" t="n">
        <v>0</v>
      </c>
      <c r="Q137" t="n">
        <v>2</v>
      </c>
      <c r="R137" s="2" t="inlineStr">
        <is>
          <t>Lunglav
Fläcknycklar</t>
        </is>
      </c>
      <c r="S137">
        <f>HYPERLINK("https://klasma.github.io/Logging_2361/artfynd/A 37572-2025 artfynd.xlsx", "A 37572-2025")</f>
        <v/>
      </c>
      <c r="T137">
        <f>HYPERLINK("https://klasma.github.io/Logging_2361/kartor/A 37572-2025 karta.png", "A 37572-2025")</f>
        <v/>
      </c>
      <c r="V137">
        <f>HYPERLINK("https://klasma.github.io/Logging_2361/klagomål/A 37572-2025 FSC-klagomål.docx", "A 37572-2025")</f>
        <v/>
      </c>
      <c r="W137">
        <f>HYPERLINK("https://klasma.github.io/Logging_2361/klagomålsmail/A 37572-2025 FSC-klagomål mail.docx", "A 37572-2025")</f>
        <v/>
      </c>
      <c r="X137">
        <f>HYPERLINK("https://klasma.github.io/Logging_2361/tillsyn/A 37572-2025 tillsynsbegäran.docx", "A 37572-2025")</f>
        <v/>
      </c>
      <c r="Y137">
        <f>HYPERLINK("https://klasma.github.io/Logging_2361/tillsynsmail/A 37572-2025 tillsynsbegäran mail.docx", "A 37572-2025")</f>
        <v/>
      </c>
    </row>
    <row r="138" ht="15" customHeight="1">
      <c r="A138" t="inlineStr">
        <is>
          <t>A 20035-2025</t>
        </is>
      </c>
      <c r="B138" s="1" t="n">
        <v>45772.36488425926</v>
      </c>
      <c r="C138" s="1" t="n">
        <v>45900</v>
      </c>
      <c r="D138" t="inlineStr">
        <is>
          <t>JÄMTLANDS LÄN</t>
        </is>
      </c>
      <c r="E138" t="inlineStr">
        <is>
          <t>HÄRJEDALEN</t>
        </is>
      </c>
      <c r="F138" t="inlineStr">
        <is>
          <t>Sveaskog</t>
        </is>
      </c>
      <c r="G138" t="n">
        <v>11.7</v>
      </c>
      <c r="H138" t="n">
        <v>1</v>
      </c>
      <c r="I138" t="n">
        <v>0</v>
      </c>
      <c r="J138" t="n">
        <v>2</v>
      </c>
      <c r="K138" t="n">
        <v>0</v>
      </c>
      <c r="L138" t="n">
        <v>0</v>
      </c>
      <c r="M138" t="n">
        <v>0</v>
      </c>
      <c r="N138" t="n">
        <v>0</v>
      </c>
      <c r="O138" t="n">
        <v>2</v>
      </c>
      <c r="P138" t="n">
        <v>0</v>
      </c>
      <c r="Q138" t="n">
        <v>2</v>
      </c>
      <c r="R138" s="2" t="inlineStr">
        <is>
          <t>Lunglav
Talltita</t>
        </is>
      </c>
      <c r="S138">
        <f>HYPERLINK("https://klasma.github.io/Logging_2361/artfynd/A 20035-2025 artfynd.xlsx", "A 20035-2025")</f>
        <v/>
      </c>
      <c r="T138">
        <f>HYPERLINK("https://klasma.github.io/Logging_2361/kartor/A 20035-2025 karta.png", "A 20035-2025")</f>
        <v/>
      </c>
      <c r="V138">
        <f>HYPERLINK("https://klasma.github.io/Logging_2361/klagomål/A 20035-2025 FSC-klagomål.docx", "A 20035-2025")</f>
        <v/>
      </c>
      <c r="W138">
        <f>HYPERLINK("https://klasma.github.io/Logging_2361/klagomålsmail/A 20035-2025 FSC-klagomål mail.docx", "A 20035-2025")</f>
        <v/>
      </c>
      <c r="X138">
        <f>HYPERLINK("https://klasma.github.io/Logging_2361/tillsyn/A 20035-2025 tillsynsbegäran.docx", "A 20035-2025")</f>
        <v/>
      </c>
      <c r="Y138">
        <f>HYPERLINK("https://klasma.github.io/Logging_2361/tillsynsmail/A 20035-2025 tillsynsbegäran mail.docx", "A 20035-2025")</f>
        <v/>
      </c>
      <c r="Z138">
        <f>HYPERLINK("https://klasma.github.io/Logging_2361/fåglar/A 20035-2025 prioriterade fågelarter.docx", "A 20035-2025")</f>
        <v/>
      </c>
    </row>
    <row r="139" ht="15" customHeight="1">
      <c r="A139" t="inlineStr">
        <is>
          <t>A 39718-2024</t>
        </is>
      </c>
      <c r="B139" s="1" t="n">
        <v>45552</v>
      </c>
      <c r="C139" s="1" t="n">
        <v>45900</v>
      </c>
      <c r="D139" t="inlineStr">
        <is>
          <t>JÄMTLANDS LÄN</t>
        </is>
      </c>
      <c r="E139" t="inlineStr">
        <is>
          <t>HÄRJEDALEN</t>
        </is>
      </c>
      <c r="G139" t="n">
        <v>9.4</v>
      </c>
      <c r="H139" t="n">
        <v>0</v>
      </c>
      <c r="I139" t="n">
        <v>0</v>
      </c>
      <c r="J139" t="n">
        <v>1</v>
      </c>
      <c r="K139" t="n">
        <v>1</v>
      </c>
      <c r="L139" t="n">
        <v>0</v>
      </c>
      <c r="M139" t="n">
        <v>0</v>
      </c>
      <c r="N139" t="n">
        <v>0</v>
      </c>
      <c r="O139" t="n">
        <v>2</v>
      </c>
      <c r="P139" t="n">
        <v>1</v>
      </c>
      <c r="Q139" t="n">
        <v>2</v>
      </c>
      <c r="R139" s="2" t="inlineStr">
        <is>
          <t>Gräddporing
Slåtterfibbla</t>
        </is>
      </c>
      <c r="S139">
        <f>HYPERLINK("https://klasma.github.io/Logging_2361/artfynd/A 39718-2024 artfynd.xlsx", "A 39718-2024")</f>
        <v/>
      </c>
      <c r="T139">
        <f>HYPERLINK("https://klasma.github.io/Logging_2361/kartor/A 39718-2024 karta.png", "A 39718-2024")</f>
        <v/>
      </c>
      <c r="U139">
        <f>HYPERLINK("https://klasma.github.io/Logging_2361/knärot/A 39718-2024 karta knärot.png", "A 39718-2024")</f>
        <v/>
      </c>
      <c r="V139">
        <f>HYPERLINK("https://klasma.github.io/Logging_2361/klagomål/A 39718-2024 FSC-klagomål.docx", "A 39718-2024")</f>
        <v/>
      </c>
      <c r="W139">
        <f>HYPERLINK("https://klasma.github.io/Logging_2361/klagomålsmail/A 39718-2024 FSC-klagomål mail.docx", "A 39718-2024")</f>
        <v/>
      </c>
      <c r="X139">
        <f>HYPERLINK("https://klasma.github.io/Logging_2361/tillsyn/A 39718-2024 tillsynsbegäran.docx", "A 39718-2024")</f>
        <v/>
      </c>
      <c r="Y139">
        <f>HYPERLINK("https://klasma.github.io/Logging_2361/tillsynsmail/A 39718-2024 tillsynsbegäran mail.docx", "A 39718-2024")</f>
        <v/>
      </c>
    </row>
    <row r="140" ht="15" customHeight="1">
      <c r="A140" t="inlineStr">
        <is>
          <t>A 47348-2022</t>
        </is>
      </c>
      <c r="B140" s="1" t="n">
        <v>44853</v>
      </c>
      <c r="C140" s="1" t="n">
        <v>45900</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50438-2022</t>
        </is>
      </c>
      <c r="B141" s="1" t="n">
        <v>44866.46503472222</v>
      </c>
      <c r="C141" s="1" t="n">
        <v>45900</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4372-2023</t>
        </is>
      </c>
      <c r="B142" s="1" t="n">
        <v>44955</v>
      </c>
      <c r="C142" s="1" t="n">
        <v>45900</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49329-2024</t>
        </is>
      </c>
      <c r="B143" s="1" t="n">
        <v>45595.58056712963</v>
      </c>
      <c r="C143" s="1" t="n">
        <v>45900</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5781-2025</t>
        </is>
      </c>
      <c r="B144" s="1" t="n">
        <v>45694</v>
      </c>
      <c r="C144" s="1" t="n">
        <v>45900</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36750-2023</t>
        </is>
      </c>
      <c r="B145" s="1" t="n">
        <v>45153</v>
      </c>
      <c r="C145" s="1" t="n">
        <v>45900</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48065-2021</t>
        </is>
      </c>
      <c r="B146" s="1" t="n">
        <v>44449</v>
      </c>
      <c r="C146" s="1" t="n">
        <v>45900</v>
      </c>
      <c r="D146" t="inlineStr">
        <is>
          <t>JÄMTLANDS LÄN</t>
        </is>
      </c>
      <c r="E146" t="inlineStr">
        <is>
          <t>HÄRJEDALEN</t>
        </is>
      </c>
      <c r="G146" t="n">
        <v>24.8</v>
      </c>
      <c r="H146" t="n">
        <v>0</v>
      </c>
      <c r="I146" t="n">
        <v>0</v>
      </c>
      <c r="J146" t="n">
        <v>2</v>
      </c>
      <c r="K146" t="n">
        <v>0</v>
      </c>
      <c r="L146" t="n">
        <v>0</v>
      </c>
      <c r="M146" t="n">
        <v>0</v>
      </c>
      <c r="N146" t="n">
        <v>0</v>
      </c>
      <c r="O146" t="n">
        <v>2</v>
      </c>
      <c r="P146" t="n">
        <v>0</v>
      </c>
      <c r="Q146" t="n">
        <v>2</v>
      </c>
      <c r="R146" s="2" t="inlineStr">
        <is>
          <t>Garnlav
Vitplätt</t>
        </is>
      </c>
      <c r="S146">
        <f>HYPERLINK("https://klasma.github.io/Logging_2361/artfynd/A 48065-2021 artfynd.xlsx", "A 48065-2021")</f>
        <v/>
      </c>
      <c r="T146">
        <f>HYPERLINK("https://klasma.github.io/Logging_2361/kartor/A 48065-2021 karta.png", "A 48065-2021")</f>
        <v/>
      </c>
      <c r="V146">
        <f>HYPERLINK("https://klasma.github.io/Logging_2361/klagomål/A 48065-2021 FSC-klagomål.docx", "A 48065-2021")</f>
        <v/>
      </c>
      <c r="W146">
        <f>HYPERLINK("https://klasma.github.io/Logging_2361/klagomålsmail/A 48065-2021 FSC-klagomål mail.docx", "A 48065-2021")</f>
        <v/>
      </c>
      <c r="X146">
        <f>HYPERLINK("https://klasma.github.io/Logging_2361/tillsyn/A 48065-2021 tillsynsbegäran.docx", "A 48065-2021")</f>
        <v/>
      </c>
      <c r="Y146">
        <f>HYPERLINK("https://klasma.github.io/Logging_2361/tillsynsmail/A 48065-2021 tillsynsbegäran mail.docx", "A 48065-2021")</f>
        <v/>
      </c>
    </row>
    <row r="147" ht="15" customHeight="1">
      <c r="A147" t="inlineStr">
        <is>
          <t>A 47685-2020</t>
        </is>
      </c>
      <c r="B147" s="1" t="n">
        <v>44096</v>
      </c>
      <c r="C147" s="1" t="n">
        <v>45900</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45900</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21572-2021</t>
        </is>
      </c>
      <c r="B149" s="1" t="n">
        <v>44321</v>
      </c>
      <c r="C149" s="1" t="n">
        <v>45900</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55222-2021</t>
        </is>
      </c>
      <c r="B150" s="1" t="n">
        <v>44475</v>
      </c>
      <c r="C150" s="1" t="n">
        <v>45900</v>
      </c>
      <c r="D150" t="inlineStr">
        <is>
          <t>JÄMTLANDS LÄN</t>
        </is>
      </c>
      <c r="E150" t="inlineStr">
        <is>
          <t>HÄRJEDALEN</t>
        </is>
      </c>
      <c r="G150" t="n">
        <v>1.1</v>
      </c>
      <c r="H150" t="n">
        <v>1</v>
      </c>
      <c r="I150" t="n">
        <v>0</v>
      </c>
      <c r="J150" t="n">
        <v>1</v>
      </c>
      <c r="K150" t="n">
        <v>0</v>
      </c>
      <c r="L150" t="n">
        <v>0</v>
      </c>
      <c r="M150" t="n">
        <v>0</v>
      </c>
      <c r="N150" t="n">
        <v>0</v>
      </c>
      <c r="O150" t="n">
        <v>1</v>
      </c>
      <c r="P150" t="n">
        <v>0</v>
      </c>
      <c r="Q150" t="n">
        <v>1</v>
      </c>
      <c r="R150" s="2" t="inlineStr">
        <is>
          <t>Varglav</t>
        </is>
      </c>
      <c r="S150">
        <f>HYPERLINK("https://klasma.github.io/Logging_2361/artfynd/A 55222-2021 artfynd.xlsx", "A 55222-2021")</f>
        <v/>
      </c>
      <c r="T150">
        <f>HYPERLINK("https://klasma.github.io/Logging_2361/kartor/A 55222-2021 karta.png", "A 55222-2021")</f>
        <v/>
      </c>
      <c r="V150">
        <f>HYPERLINK("https://klasma.github.io/Logging_2361/klagomål/A 55222-2021 FSC-klagomål.docx", "A 55222-2021")</f>
        <v/>
      </c>
      <c r="W150">
        <f>HYPERLINK("https://klasma.github.io/Logging_2361/klagomålsmail/A 55222-2021 FSC-klagomål mail.docx", "A 55222-2021")</f>
        <v/>
      </c>
      <c r="X150">
        <f>HYPERLINK("https://klasma.github.io/Logging_2361/tillsyn/A 55222-2021 tillsynsbegäran.docx", "A 55222-2021")</f>
        <v/>
      </c>
      <c r="Y150">
        <f>HYPERLINK("https://klasma.github.io/Logging_2361/tillsynsmail/A 55222-2021 tillsynsbegäran mail.docx", "A 55222-2021")</f>
        <v/>
      </c>
    </row>
    <row r="151" ht="15" customHeight="1">
      <c r="A151" t="inlineStr">
        <is>
          <t>A 55245-2021</t>
        </is>
      </c>
      <c r="B151" s="1" t="n">
        <v>44475</v>
      </c>
      <c r="C151" s="1" t="n">
        <v>45900</v>
      </c>
      <c r="D151" t="inlineStr">
        <is>
          <t>JÄMTLANDS LÄN</t>
        </is>
      </c>
      <c r="E151" t="inlineStr">
        <is>
          <t>HÄRJEDALEN</t>
        </is>
      </c>
      <c r="G151" t="n">
        <v>5.1</v>
      </c>
      <c r="H151" t="n">
        <v>0</v>
      </c>
      <c r="I151" t="n">
        <v>0</v>
      </c>
      <c r="J151" t="n">
        <v>1</v>
      </c>
      <c r="K151" t="n">
        <v>0</v>
      </c>
      <c r="L151" t="n">
        <v>0</v>
      </c>
      <c r="M151" t="n">
        <v>0</v>
      </c>
      <c r="N151" t="n">
        <v>0</v>
      </c>
      <c r="O151" t="n">
        <v>1</v>
      </c>
      <c r="P151" t="n">
        <v>0</v>
      </c>
      <c r="Q151" t="n">
        <v>1</v>
      </c>
      <c r="R151" s="2" t="inlineStr">
        <is>
          <t>Blanksvart spiklav</t>
        </is>
      </c>
      <c r="S151">
        <f>HYPERLINK("https://klasma.github.io/Logging_2361/artfynd/A 55245-2021 artfynd.xlsx", "A 55245-2021")</f>
        <v/>
      </c>
      <c r="T151">
        <f>HYPERLINK("https://klasma.github.io/Logging_2361/kartor/A 55245-2021 karta.png", "A 55245-2021")</f>
        <v/>
      </c>
      <c r="V151">
        <f>HYPERLINK("https://klasma.github.io/Logging_2361/klagomål/A 55245-2021 FSC-klagomål.docx", "A 55245-2021")</f>
        <v/>
      </c>
      <c r="W151">
        <f>HYPERLINK("https://klasma.github.io/Logging_2361/klagomålsmail/A 55245-2021 FSC-klagomål mail.docx", "A 55245-2021")</f>
        <v/>
      </c>
      <c r="X151">
        <f>HYPERLINK("https://klasma.github.io/Logging_2361/tillsyn/A 55245-2021 tillsynsbegäran.docx", "A 55245-2021")</f>
        <v/>
      </c>
      <c r="Y151">
        <f>HYPERLINK("https://klasma.github.io/Logging_2361/tillsynsmail/A 55245-2021 tillsynsbegäran mail.docx", "A 55245-2021")</f>
        <v/>
      </c>
    </row>
    <row r="152" ht="15" customHeight="1">
      <c r="A152" t="inlineStr">
        <is>
          <t>A 51387-2020</t>
        </is>
      </c>
      <c r="B152" s="1" t="n">
        <v>44113</v>
      </c>
      <c r="C152" s="1" t="n">
        <v>45900</v>
      </c>
      <c r="D152" t="inlineStr">
        <is>
          <t>JÄMTLANDS LÄN</t>
        </is>
      </c>
      <c r="E152" t="inlineStr">
        <is>
          <t>HÄRJEDALEN</t>
        </is>
      </c>
      <c r="G152" t="n">
        <v>1</v>
      </c>
      <c r="H152" t="n">
        <v>0</v>
      </c>
      <c r="I152" t="n">
        <v>0</v>
      </c>
      <c r="J152" t="n">
        <v>0</v>
      </c>
      <c r="K152" t="n">
        <v>1</v>
      </c>
      <c r="L152" t="n">
        <v>0</v>
      </c>
      <c r="M152" t="n">
        <v>0</v>
      </c>
      <c r="N152" t="n">
        <v>0</v>
      </c>
      <c r="O152" t="n">
        <v>1</v>
      </c>
      <c r="P152" t="n">
        <v>1</v>
      </c>
      <c r="Q152" t="n">
        <v>1</v>
      </c>
      <c r="R152" s="2" t="inlineStr">
        <is>
          <t>Goliatmusseron</t>
        </is>
      </c>
      <c r="S152">
        <f>HYPERLINK("https://klasma.github.io/Logging_2361/artfynd/A 51387-2020 artfynd.xlsx", "A 51387-2020")</f>
        <v/>
      </c>
      <c r="T152">
        <f>HYPERLINK("https://klasma.github.io/Logging_2361/kartor/A 51387-2020 karta.png", "A 51387-2020")</f>
        <v/>
      </c>
      <c r="V152">
        <f>HYPERLINK("https://klasma.github.io/Logging_2361/klagomål/A 51387-2020 FSC-klagomål.docx", "A 51387-2020")</f>
        <v/>
      </c>
      <c r="W152">
        <f>HYPERLINK("https://klasma.github.io/Logging_2361/klagomålsmail/A 51387-2020 FSC-klagomål mail.docx", "A 51387-2020")</f>
        <v/>
      </c>
      <c r="X152">
        <f>HYPERLINK("https://klasma.github.io/Logging_2361/tillsyn/A 51387-2020 tillsynsbegäran.docx", "A 51387-2020")</f>
        <v/>
      </c>
      <c r="Y152">
        <f>HYPERLINK("https://klasma.github.io/Logging_2361/tillsynsmail/A 51387-2020 tillsynsbegäran mail.docx", "A 51387-2020")</f>
        <v/>
      </c>
    </row>
    <row r="153" ht="15" customHeight="1">
      <c r="A153" t="inlineStr">
        <is>
          <t>A 49246-2020</t>
        </is>
      </c>
      <c r="B153" s="1" t="n">
        <v>44105</v>
      </c>
      <c r="C153" s="1" t="n">
        <v>45900</v>
      </c>
      <c r="D153" t="inlineStr">
        <is>
          <t>JÄMTLANDS LÄN</t>
        </is>
      </c>
      <c r="E153" t="inlineStr">
        <is>
          <t>HÄRJEDALEN</t>
        </is>
      </c>
      <c r="G153" t="n">
        <v>3.7</v>
      </c>
      <c r="H153" t="n">
        <v>0</v>
      </c>
      <c r="I153" t="n">
        <v>0</v>
      </c>
      <c r="J153" t="n">
        <v>1</v>
      </c>
      <c r="K153" t="n">
        <v>0</v>
      </c>
      <c r="L153" t="n">
        <v>0</v>
      </c>
      <c r="M153" t="n">
        <v>0</v>
      </c>
      <c r="N153" t="n">
        <v>0</v>
      </c>
      <c r="O153" t="n">
        <v>1</v>
      </c>
      <c r="P153" t="n">
        <v>0</v>
      </c>
      <c r="Q153" t="n">
        <v>1</v>
      </c>
      <c r="R153" s="2" t="inlineStr">
        <is>
          <t>Granticka</t>
        </is>
      </c>
      <c r="S153">
        <f>HYPERLINK("https://klasma.github.io/Logging_2361/artfynd/A 49246-2020 artfynd.xlsx", "A 49246-2020")</f>
        <v/>
      </c>
      <c r="T153">
        <f>HYPERLINK("https://klasma.github.io/Logging_2361/kartor/A 49246-2020 karta.png", "A 49246-2020")</f>
        <v/>
      </c>
      <c r="V153">
        <f>HYPERLINK("https://klasma.github.io/Logging_2361/klagomål/A 49246-2020 FSC-klagomål.docx", "A 49246-2020")</f>
        <v/>
      </c>
      <c r="W153">
        <f>HYPERLINK("https://klasma.github.io/Logging_2361/klagomålsmail/A 49246-2020 FSC-klagomål mail.docx", "A 49246-2020")</f>
        <v/>
      </c>
      <c r="X153">
        <f>HYPERLINK("https://klasma.github.io/Logging_2361/tillsyn/A 49246-2020 tillsynsbegäran.docx", "A 49246-2020")</f>
        <v/>
      </c>
      <c r="Y153">
        <f>HYPERLINK("https://klasma.github.io/Logging_2361/tillsynsmail/A 49246-2020 tillsynsbegäran mail.docx", "A 49246-2020")</f>
        <v/>
      </c>
    </row>
    <row r="154" ht="15" customHeight="1">
      <c r="A154" t="inlineStr">
        <is>
          <t>A 31061-2022</t>
        </is>
      </c>
      <c r="B154" s="1" t="n">
        <v>44769.48783564815</v>
      </c>
      <c r="C154" s="1" t="n">
        <v>45900</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12274-2025</t>
        </is>
      </c>
      <c r="B155" s="1" t="n">
        <v>45729.64623842593</v>
      </c>
      <c r="C155" s="1" t="n">
        <v>45900</v>
      </c>
      <c r="D155" t="inlineStr">
        <is>
          <t>JÄMTLANDS LÄN</t>
        </is>
      </c>
      <c r="E155" t="inlineStr">
        <is>
          <t>HÄRJEDALEN</t>
        </is>
      </c>
      <c r="F155" t="inlineStr">
        <is>
          <t>Holmen skog AB</t>
        </is>
      </c>
      <c r="G155" t="n">
        <v>1</v>
      </c>
      <c r="H155" t="n">
        <v>0</v>
      </c>
      <c r="I155" t="n">
        <v>0</v>
      </c>
      <c r="J155" t="n">
        <v>1</v>
      </c>
      <c r="K155" t="n">
        <v>0</v>
      </c>
      <c r="L155" t="n">
        <v>0</v>
      </c>
      <c r="M155" t="n">
        <v>0</v>
      </c>
      <c r="N155" t="n">
        <v>0</v>
      </c>
      <c r="O155" t="n">
        <v>1</v>
      </c>
      <c r="P155" t="n">
        <v>0</v>
      </c>
      <c r="Q155" t="n">
        <v>1</v>
      </c>
      <c r="R155" s="2" t="inlineStr">
        <is>
          <t>Garnlav</t>
        </is>
      </c>
      <c r="S155">
        <f>HYPERLINK("https://klasma.github.io/Logging_2361/artfynd/A 12274-2025 artfynd.xlsx", "A 12274-2025")</f>
        <v/>
      </c>
      <c r="T155">
        <f>HYPERLINK("https://klasma.github.io/Logging_2361/kartor/A 12274-2025 karta.png", "A 12274-2025")</f>
        <v/>
      </c>
      <c r="V155">
        <f>HYPERLINK("https://klasma.github.io/Logging_2361/klagomål/A 12274-2025 FSC-klagomål.docx", "A 12274-2025")</f>
        <v/>
      </c>
      <c r="W155">
        <f>HYPERLINK("https://klasma.github.io/Logging_2361/klagomålsmail/A 12274-2025 FSC-klagomål mail.docx", "A 12274-2025")</f>
        <v/>
      </c>
      <c r="X155">
        <f>HYPERLINK("https://klasma.github.io/Logging_2361/tillsyn/A 12274-2025 tillsynsbegäran.docx", "A 12274-2025")</f>
        <v/>
      </c>
      <c r="Y155">
        <f>HYPERLINK("https://klasma.github.io/Logging_2361/tillsynsmail/A 12274-2025 tillsynsbegäran mail.docx", "A 12274-2025")</f>
        <v/>
      </c>
    </row>
    <row r="156" ht="15" customHeight="1">
      <c r="A156" t="inlineStr">
        <is>
          <t>A 7327-2024</t>
        </is>
      </c>
      <c r="B156" s="1" t="n">
        <v>45345</v>
      </c>
      <c r="C156" s="1" t="n">
        <v>45900</v>
      </c>
      <c r="D156" t="inlineStr">
        <is>
          <t>JÄMTLANDS LÄN</t>
        </is>
      </c>
      <c r="E156" t="inlineStr">
        <is>
          <t>HÄRJEDALEN</t>
        </is>
      </c>
      <c r="F156" t="inlineStr">
        <is>
          <t>Sveaskog</t>
        </is>
      </c>
      <c r="G156" t="n">
        <v>0.3</v>
      </c>
      <c r="H156" t="n">
        <v>0</v>
      </c>
      <c r="I156" t="n">
        <v>0</v>
      </c>
      <c r="J156" t="n">
        <v>1</v>
      </c>
      <c r="K156" t="n">
        <v>0</v>
      </c>
      <c r="L156" t="n">
        <v>0</v>
      </c>
      <c r="M156" t="n">
        <v>0</v>
      </c>
      <c r="N156" t="n">
        <v>0</v>
      </c>
      <c r="O156" t="n">
        <v>1</v>
      </c>
      <c r="P156" t="n">
        <v>0</v>
      </c>
      <c r="Q156" t="n">
        <v>1</v>
      </c>
      <c r="R156" s="2" t="inlineStr">
        <is>
          <t>Kolflarnlav</t>
        </is>
      </c>
      <c r="S156">
        <f>HYPERLINK("https://klasma.github.io/Logging_2361/artfynd/A 7327-2024 artfynd.xlsx", "A 7327-2024")</f>
        <v/>
      </c>
      <c r="T156">
        <f>HYPERLINK("https://klasma.github.io/Logging_2361/kartor/A 7327-2024 karta.png", "A 7327-2024")</f>
        <v/>
      </c>
      <c r="V156">
        <f>HYPERLINK("https://klasma.github.io/Logging_2361/klagomål/A 7327-2024 FSC-klagomål.docx", "A 7327-2024")</f>
        <v/>
      </c>
      <c r="W156">
        <f>HYPERLINK("https://klasma.github.io/Logging_2361/klagomålsmail/A 7327-2024 FSC-klagomål mail.docx", "A 7327-2024")</f>
        <v/>
      </c>
      <c r="X156">
        <f>HYPERLINK("https://klasma.github.io/Logging_2361/tillsyn/A 7327-2024 tillsynsbegäran.docx", "A 7327-2024")</f>
        <v/>
      </c>
      <c r="Y156">
        <f>HYPERLINK("https://klasma.github.io/Logging_2361/tillsynsmail/A 7327-2024 tillsynsbegäran mail.docx", "A 7327-2024")</f>
        <v/>
      </c>
    </row>
    <row r="157" ht="15" customHeight="1">
      <c r="A157" t="inlineStr">
        <is>
          <t>A 24251-2024</t>
        </is>
      </c>
      <c r="B157" s="1" t="n">
        <v>45457.38677083333</v>
      </c>
      <c r="C157" s="1" t="n">
        <v>45900</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45900</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55135-2024</t>
        </is>
      </c>
      <c r="B159" s="1" t="n">
        <v>45621.47555555555</v>
      </c>
      <c r="C159" s="1" t="n">
        <v>45900</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9233-2025</t>
        </is>
      </c>
      <c r="B160" s="1" t="n">
        <v>45714.55248842593</v>
      </c>
      <c r="C160" s="1" t="n">
        <v>45900</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25368-2025</t>
        </is>
      </c>
      <c r="B161" s="1" t="n">
        <v>45800.63043981481</v>
      </c>
      <c r="C161" s="1" t="n">
        <v>45900</v>
      </c>
      <c r="D161" t="inlineStr">
        <is>
          <t>JÄMTLANDS LÄN</t>
        </is>
      </c>
      <c r="E161" t="inlineStr">
        <is>
          <t>HÄRJEDALEN</t>
        </is>
      </c>
      <c r="F161" t="inlineStr">
        <is>
          <t>Sveaskog</t>
        </is>
      </c>
      <c r="G161" t="n">
        <v>5.8</v>
      </c>
      <c r="H161" t="n">
        <v>1</v>
      </c>
      <c r="I161" t="n">
        <v>0</v>
      </c>
      <c r="J161" t="n">
        <v>0</v>
      </c>
      <c r="K161" t="n">
        <v>1</v>
      </c>
      <c r="L161" t="n">
        <v>0</v>
      </c>
      <c r="M161" t="n">
        <v>0</v>
      </c>
      <c r="N161" t="n">
        <v>0</v>
      </c>
      <c r="O161" t="n">
        <v>1</v>
      </c>
      <c r="P161" t="n">
        <v>1</v>
      </c>
      <c r="Q161" t="n">
        <v>1</v>
      </c>
      <c r="R161" s="2" t="inlineStr">
        <is>
          <t>Knärot</t>
        </is>
      </c>
      <c r="S161">
        <f>HYPERLINK("https://klasma.github.io/Logging_2361/artfynd/A 25368-2025 artfynd.xlsx", "A 25368-2025")</f>
        <v/>
      </c>
      <c r="T161">
        <f>HYPERLINK("https://klasma.github.io/Logging_2361/kartor/A 25368-2025 karta.png", "A 25368-2025")</f>
        <v/>
      </c>
      <c r="U161">
        <f>HYPERLINK("https://klasma.github.io/Logging_2361/knärot/A 25368-2025 karta knärot.png", "A 25368-2025")</f>
        <v/>
      </c>
      <c r="V161">
        <f>HYPERLINK("https://klasma.github.io/Logging_2361/klagomål/A 25368-2025 FSC-klagomål.docx", "A 25368-2025")</f>
        <v/>
      </c>
      <c r="W161">
        <f>HYPERLINK("https://klasma.github.io/Logging_2361/klagomålsmail/A 25368-2025 FSC-klagomål mail.docx", "A 25368-2025")</f>
        <v/>
      </c>
      <c r="X161">
        <f>HYPERLINK("https://klasma.github.io/Logging_2361/tillsyn/A 25368-2025 tillsynsbegäran.docx", "A 25368-2025")</f>
        <v/>
      </c>
      <c r="Y161">
        <f>HYPERLINK("https://klasma.github.io/Logging_2361/tillsynsmail/A 25368-2025 tillsynsbegäran mail.docx", "A 25368-2025")</f>
        <v/>
      </c>
    </row>
    <row r="162" ht="15" customHeight="1">
      <c r="A162" t="inlineStr">
        <is>
          <t>A 36941-2024</t>
        </is>
      </c>
      <c r="B162" s="1" t="n">
        <v>45538.57630787037</v>
      </c>
      <c r="C162" s="1" t="n">
        <v>45900</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26325-2025</t>
        </is>
      </c>
      <c r="B163" s="1" t="n">
        <v>45805.66601851852</v>
      </c>
      <c r="C163" s="1" t="n">
        <v>45900</v>
      </c>
      <c r="D163" t="inlineStr">
        <is>
          <t>JÄMTLANDS LÄN</t>
        </is>
      </c>
      <c r="E163" t="inlineStr">
        <is>
          <t>HÄRJEDALEN</t>
        </is>
      </c>
      <c r="F163" t="inlineStr">
        <is>
          <t>Övriga Aktiebolag</t>
        </is>
      </c>
      <c r="G163" t="n">
        <v>34</v>
      </c>
      <c r="H163" t="n">
        <v>1</v>
      </c>
      <c r="I163" t="n">
        <v>0</v>
      </c>
      <c r="J163" t="n">
        <v>0</v>
      </c>
      <c r="K163" t="n">
        <v>0</v>
      </c>
      <c r="L163" t="n">
        <v>0</v>
      </c>
      <c r="M163" t="n">
        <v>0</v>
      </c>
      <c r="N163" t="n">
        <v>0</v>
      </c>
      <c r="O163" t="n">
        <v>0</v>
      </c>
      <c r="P163" t="n">
        <v>0</v>
      </c>
      <c r="Q163" t="n">
        <v>1</v>
      </c>
      <c r="R163" s="2" t="inlineStr">
        <is>
          <t>Tjäder</t>
        </is>
      </c>
      <c r="S163">
        <f>HYPERLINK("https://klasma.github.io/Logging_2361/artfynd/A 26325-2025 artfynd.xlsx", "A 26325-2025")</f>
        <v/>
      </c>
      <c r="T163">
        <f>HYPERLINK("https://klasma.github.io/Logging_2361/kartor/A 26325-2025 karta.png", "A 26325-2025")</f>
        <v/>
      </c>
      <c r="V163">
        <f>HYPERLINK("https://klasma.github.io/Logging_2361/klagomål/A 26325-2025 FSC-klagomål.docx", "A 26325-2025")</f>
        <v/>
      </c>
      <c r="W163">
        <f>HYPERLINK("https://klasma.github.io/Logging_2361/klagomålsmail/A 26325-2025 FSC-klagomål mail.docx", "A 26325-2025")</f>
        <v/>
      </c>
      <c r="X163">
        <f>HYPERLINK("https://klasma.github.io/Logging_2361/tillsyn/A 26325-2025 tillsynsbegäran.docx", "A 26325-2025")</f>
        <v/>
      </c>
      <c r="Y163">
        <f>HYPERLINK("https://klasma.github.io/Logging_2361/tillsynsmail/A 26325-2025 tillsynsbegäran mail.docx", "A 26325-2025")</f>
        <v/>
      </c>
      <c r="Z163">
        <f>HYPERLINK("https://klasma.github.io/Logging_2361/fåglar/A 26325-2025 prioriterade fågelarter.docx", "A 26325-2025")</f>
        <v/>
      </c>
    </row>
    <row r="164" ht="15" customHeight="1">
      <c r="A164" t="inlineStr">
        <is>
          <t>A 26345-2025</t>
        </is>
      </c>
      <c r="B164" s="1" t="n">
        <v>45805.73546296296</v>
      </c>
      <c r="C164" s="1" t="n">
        <v>45900</v>
      </c>
      <c r="D164" t="inlineStr">
        <is>
          <t>JÄMTLANDS LÄN</t>
        </is>
      </c>
      <c r="E164" t="inlineStr">
        <is>
          <t>HÄRJEDALEN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HYPERLINK("https://klasma.github.io/Logging_2361/artfynd/A 26345-2025 artfynd.xlsx", "A 26345-2025")</f>
        <v/>
      </c>
      <c r="T164">
        <f>HYPERLINK("https://klasma.github.io/Logging_2361/kartor/A 26345-2025 karta.png", "A 26345-2025")</f>
        <v/>
      </c>
      <c r="V164">
        <f>HYPERLINK("https://klasma.github.io/Logging_2361/klagomål/A 26345-2025 FSC-klagomål.docx", "A 26345-2025")</f>
        <v/>
      </c>
      <c r="W164">
        <f>HYPERLINK("https://klasma.github.io/Logging_2361/klagomålsmail/A 26345-2025 FSC-klagomål mail.docx", "A 26345-2025")</f>
        <v/>
      </c>
      <c r="X164">
        <f>HYPERLINK("https://klasma.github.io/Logging_2361/tillsyn/A 26345-2025 tillsynsbegäran.docx", "A 26345-2025")</f>
        <v/>
      </c>
      <c r="Y164">
        <f>HYPERLINK("https://klasma.github.io/Logging_2361/tillsynsmail/A 26345-2025 tillsynsbegäran mail.docx", "A 26345-2025")</f>
        <v/>
      </c>
    </row>
    <row r="165" ht="15" customHeight="1">
      <c r="A165" t="inlineStr">
        <is>
          <t>A 51234-2024</t>
        </is>
      </c>
      <c r="B165" s="1" t="n">
        <v>45603</v>
      </c>
      <c r="C165" s="1" t="n">
        <v>45900</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54520-2024</t>
        </is>
      </c>
      <c r="B166" s="1" t="n">
        <v>45617</v>
      </c>
      <c r="C166" s="1" t="n">
        <v>45900</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45900</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30330-2023</t>
        </is>
      </c>
      <c r="B168" s="1" t="n">
        <v>45111</v>
      </c>
      <c r="C168" s="1" t="n">
        <v>45900</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27412-2025</t>
        </is>
      </c>
      <c r="B169" s="1" t="n">
        <v>45812.82244212963</v>
      </c>
      <c r="C169" s="1" t="n">
        <v>45900</v>
      </c>
      <c r="D169" t="inlineStr">
        <is>
          <t>JÄMTLANDS LÄN</t>
        </is>
      </c>
      <c r="E169" t="inlineStr">
        <is>
          <t>HÄRJEDALEN</t>
        </is>
      </c>
      <c r="F169" t="inlineStr">
        <is>
          <t>Sveaskog</t>
        </is>
      </c>
      <c r="G169" t="n">
        <v>6.2</v>
      </c>
      <c r="H169" t="n">
        <v>0</v>
      </c>
      <c r="I169" t="n">
        <v>0</v>
      </c>
      <c r="J169" t="n">
        <v>1</v>
      </c>
      <c r="K169" t="n">
        <v>0</v>
      </c>
      <c r="L169" t="n">
        <v>0</v>
      </c>
      <c r="M169" t="n">
        <v>0</v>
      </c>
      <c r="N169" t="n">
        <v>0</v>
      </c>
      <c r="O169" t="n">
        <v>1</v>
      </c>
      <c r="P169" t="n">
        <v>0</v>
      </c>
      <c r="Q169" t="n">
        <v>1</v>
      </c>
      <c r="R169" s="2" t="inlineStr">
        <is>
          <t>Kolflarnlav</t>
        </is>
      </c>
      <c r="S169">
        <f>HYPERLINK("https://klasma.github.io/Logging_2361/artfynd/A 27412-2025 artfynd.xlsx", "A 27412-2025")</f>
        <v/>
      </c>
      <c r="T169">
        <f>HYPERLINK("https://klasma.github.io/Logging_2361/kartor/A 27412-2025 karta.png", "A 27412-2025")</f>
        <v/>
      </c>
      <c r="V169">
        <f>HYPERLINK("https://klasma.github.io/Logging_2361/klagomål/A 27412-2025 FSC-klagomål.docx", "A 27412-2025")</f>
        <v/>
      </c>
      <c r="W169">
        <f>HYPERLINK("https://klasma.github.io/Logging_2361/klagomålsmail/A 27412-2025 FSC-klagomål mail.docx", "A 27412-2025")</f>
        <v/>
      </c>
      <c r="X169">
        <f>HYPERLINK("https://klasma.github.io/Logging_2361/tillsyn/A 27412-2025 tillsynsbegäran.docx", "A 27412-2025")</f>
        <v/>
      </c>
      <c r="Y169">
        <f>HYPERLINK("https://klasma.github.io/Logging_2361/tillsynsmail/A 27412-2025 tillsynsbegäran mail.docx", "A 27412-2025")</f>
        <v/>
      </c>
    </row>
    <row r="170" ht="15" customHeight="1">
      <c r="A170" t="inlineStr">
        <is>
          <t>A 59367-2024</t>
        </is>
      </c>
      <c r="B170" s="1" t="n">
        <v>45638.33607638889</v>
      </c>
      <c r="C170" s="1" t="n">
        <v>45900</v>
      </c>
      <c r="D170" t="inlineStr">
        <is>
          <t>JÄMTLANDS LÄN</t>
        </is>
      </c>
      <c r="E170" t="inlineStr">
        <is>
          <t>HÄRJEDALEN</t>
        </is>
      </c>
      <c r="F170" t="inlineStr">
        <is>
          <t>Holmen skog AB</t>
        </is>
      </c>
      <c r="G170" t="n">
        <v>5.9</v>
      </c>
      <c r="H170" t="n">
        <v>0</v>
      </c>
      <c r="I170" t="n">
        <v>0</v>
      </c>
      <c r="J170" t="n">
        <v>1</v>
      </c>
      <c r="K170" t="n">
        <v>0</v>
      </c>
      <c r="L170" t="n">
        <v>0</v>
      </c>
      <c r="M170" t="n">
        <v>0</v>
      </c>
      <c r="N170" t="n">
        <v>0</v>
      </c>
      <c r="O170" t="n">
        <v>1</v>
      </c>
      <c r="P170" t="n">
        <v>0</v>
      </c>
      <c r="Q170" t="n">
        <v>1</v>
      </c>
      <c r="R170" s="2" t="inlineStr">
        <is>
          <t>Vedflamlav</t>
        </is>
      </c>
      <c r="S170">
        <f>HYPERLINK("https://klasma.github.io/Logging_2361/artfynd/A 59367-2024 artfynd.xlsx", "A 59367-2024")</f>
        <v/>
      </c>
      <c r="T170">
        <f>HYPERLINK("https://klasma.github.io/Logging_2361/kartor/A 59367-2024 karta.png", "A 59367-2024")</f>
        <v/>
      </c>
      <c r="V170">
        <f>HYPERLINK("https://klasma.github.io/Logging_2361/klagomål/A 59367-2024 FSC-klagomål.docx", "A 59367-2024")</f>
        <v/>
      </c>
      <c r="W170">
        <f>HYPERLINK("https://klasma.github.io/Logging_2361/klagomålsmail/A 59367-2024 FSC-klagomål mail.docx", "A 59367-2024")</f>
        <v/>
      </c>
      <c r="X170">
        <f>HYPERLINK("https://klasma.github.io/Logging_2361/tillsyn/A 59367-2024 tillsynsbegäran.docx", "A 59367-2024")</f>
        <v/>
      </c>
      <c r="Y170">
        <f>HYPERLINK("https://klasma.github.io/Logging_2361/tillsynsmail/A 59367-2024 tillsynsbegäran mail.docx", "A 59367-2024")</f>
        <v/>
      </c>
    </row>
    <row r="171" ht="15" customHeight="1">
      <c r="A171" t="inlineStr">
        <is>
          <t>A 55223-2021</t>
        </is>
      </c>
      <c r="B171" s="1" t="n">
        <v>44475</v>
      </c>
      <c r="C171" s="1" t="n">
        <v>45900</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23331-2025</t>
        </is>
      </c>
      <c r="B172" s="1" t="n">
        <v>45791</v>
      </c>
      <c r="C172" s="1" t="n">
        <v>45900</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32310-2025</t>
        </is>
      </c>
      <c r="B173" s="1" t="n">
        <v>45835.7499537037</v>
      </c>
      <c r="C173" s="1" t="n">
        <v>45900</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45900</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45900</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45900</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37092-2025</t>
        </is>
      </c>
      <c r="B177" s="1" t="n">
        <v>45875</v>
      </c>
      <c r="C177" s="1" t="n">
        <v>45900</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17902-2025</t>
        </is>
      </c>
      <c r="B178" s="1" t="n">
        <v>45758.70164351852</v>
      </c>
      <c r="C178" s="1" t="n">
        <v>45900</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2066-2024</t>
        </is>
      </c>
      <c r="B179" s="1" t="n">
        <v>45308</v>
      </c>
      <c r="C179" s="1" t="n">
        <v>45900</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45900</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2041-2025</t>
        </is>
      </c>
      <c r="B181" s="1" t="n">
        <v>45672.50416666667</v>
      </c>
      <c r="C181" s="1" t="n">
        <v>45900</v>
      </c>
      <c r="D181" t="inlineStr">
        <is>
          <t>JÄMTLANDS LÄN</t>
        </is>
      </c>
      <c r="E181" t="inlineStr">
        <is>
          <t>HÄRJEDALEN</t>
        </is>
      </c>
      <c r="G181" t="n">
        <v>10</v>
      </c>
      <c r="H181" t="n">
        <v>0</v>
      </c>
      <c r="I181" t="n">
        <v>0</v>
      </c>
      <c r="J181" t="n">
        <v>1</v>
      </c>
      <c r="K181" t="n">
        <v>0</v>
      </c>
      <c r="L181" t="n">
        <v>0</v>
      </c>
      <c r="M181" t="n">
        <v>0</v>
      </c>
      <c r="N181" t="n">
        <v>0</v>
      </c>
      <c r="O181" t="n">
        <v>1</v>
      </c>
      <c r="P181" t="n">
        <v>0</v>
      </c>
      <c r="Q181" t="n">
        <v>1</v>
      </c>
      <c r="R181" s="2" t="inlineStr">
        <is>
          <t>Gränsticka</t>
        </is>
      </c>
      <c r="S181">
        <f>HYPERLINK("https://klasma.github.io/Logging_2361/artfynd/A 2041-2025 artfynd.xlsx", "A 2041-2025")</f>
        <v/>
      </c>
      <c r="T181">
        <f>HYPERLINK("https://klasma.github.io/Logging_2361/kartor/A 2041-2025 karta.png", "A 2041-2025")</f>
        <v/>
      </c>
      <c r="V181">
        <f>HYPERLINK("https://klasma.github.io/Logging_2361/klagomål/A 2041-2025 FSC-klagomål.docx", "A 2041-2025")</f>
        <v/>
      </c>
      <c r="W181">
        <f>HYPERLINK("https://klasma.github.io/Logging_2361/klagomålsmail/A 2041-2025 FSC-klagomål mail.docx", "A 2041-2025")</f>
        <v/>
      </c>
      <c r="X181">
        <f>HYPERLINK("https://klasma.github.io/Logging_2361/tillsyn/A 2041-2025 tillsynsbegäran.docx", "A 2041-2025")</f>
        <v/>
      </c>
      <c r="Y181">
        <f>HYPERLINK("https://klasma.github.io/Logging_2361/tillsynsmail/A 2041-2025 tillsynsbegäran mail.docx", "A 2041-2025")</f>
        <v/>
      </c>
    </row>
    <row r="182" ht="15" customHeight="1">
      <c r="A182" t="inlineStr">
        <is>
          <t>A 21334-2021</t>
        </is>
      </c>
      <c r="B182" s="1" t="n">
        <v>44320</v>
      </c>
      <c r="C182" s="1" t="n">
        <v>45900</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45900</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45900</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45900</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45900</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45900</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45900</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45900</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45900</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45900</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45900</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45900</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45900</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45900</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45900</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29585-2021</t>
        </is>
      </c>
      <c r="B197" s="1" t="n">
        <v>44361</v>
      </c>
      <c r="C197" s="1" t="n">
        <v>45900</v>
      </c>
      <c r="D197" t="inlineStr">
        <is>
          <t>JÄMTLANDS LÄN</t>
        </is>
      </c>
      <c r="E197" t="inlineStr">
        <is>
          <t>HÄRJEDALEN</t>
        </is>
      </c>
      <c r="G197" t="n">
        <v>3.4</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45900</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45900</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45900</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45900</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71668-2021</t>
        </is>
      </c>
      <c r="B202" s="1" t="n">
        <v>44538</v>
      </c>
      <c r="C202" s="1" t="n">
        <v>45900</v>
      </c>
      <c r="D202" t="inlineStr">
        <is>
          <t>JÄMTLANDS LÄN</t>
        </is>
      </c>
      <c r="E202" t="inlineStr">
        <is>
          <t>HÄRJEDALEN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45900</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45900</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45900</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45900</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45900</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45900</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45900</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45900</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45900</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45900</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45900</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45900</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45900</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45900</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45900</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45900</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45900</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45900</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45900</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45900</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45900</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45900</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45900</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45900</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45900</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37690-2022</t>
        </is>
      </c>
      <c r="B228" s="1" t="n">
        <v>44810</v>
      </c>
      <c r="C228" s="1" t="n">
        <v>45900</v>
      </c>
      <c r="D228" t="inlineStr">
        <is>
          <t>JÄMTLANDS LÄN</t>
        </is>
      </c>
      <c r="E228" t="inlineStr">
        <is>
          <t>HÄRJEDALEN</t>
        </is>
      </c>
      <c r="F228" t="inlineStr">
        <is>
          <t>Holmen skog AB</t>
        </is>
      </c>
      <c r="G228" t="n">
        <v>7.8</v>
      </c>
      <c r="H228" t="n">
        <v>0</v>
      </c>
      <c r="I228" t="n">
        <v>0</v>
      </c>
      <c r="J228" t="n">
        <v>0</v>
      </c>
      <c r="K228" t="n">
        <v>0</v>
      </c>
      <c r="L228" t="n">
        <v>0</v>
      </c>
      <c r="M228" t="n">
        <v>0</v>
      </c>
      <c r="N228" t="n">
        <v>0</v>
      </c>
      <c r="O228" t="n">
        <v>0</v>
      </c>
      <c r="P228" t="n">
        <v>0</v>
      </c>
      <c r="Q228" t="n">
        <v>0</v>
      </c>
      <c r="R228" s="2" t="inlineStr"/>
    </row>
    <row r="229" ht="15" customHeight="1">
      <c r="A229" t="inlineStr">
        <is>
          <t>A 11541-2022</t>
        </is>
      </c>
      <c r="B229" s="1" t="n">
        <v>44631.41535879629</v>
      </c>
      <c r="C229" s="1" t="n">
        <v>45900</v>
      </c>
      <c r="D229" t="inlineStr">
        <is>
          <t>JÄMTLANDS LÄN</t>
        </is>
      </c>
      <c r="E229" t="inlineStr">
        <is>
          <t>HÄRJEDALEN</t>
        </is>
      </c>
      <c r="F229" t="inlineStr">
        <is>
          <t>Holmen skog AB</t>
        </is>
      </c>
      <c r="G229" t="n">
        <v>5.5</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45900</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45900</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45900</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45900</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45900</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45900</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43417-2020</t>
        </is>
      </c>
      <c r="B236" s="1" t="n">
        <v>44078</v>
      </c>
      <c r="C236" s="1" t="n">
        <v>45900</v>
      </c>
      <c r="D236" t="inlineStr">
        <is>
          <t>JÄMTLANDS LÄN</t>
        </is>
      </c>
      <c r="E236" t="inlineStr">
        <is>
          <t>HÄRJEDALEN</t>
        </is>
      </c>
      <c r="G236" t="n">
        <v>8</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45900</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45900</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10530-2021</t>
        </is>
      </c>
      <c r="B239" s="1" t="n">
        <v>44258</v>
      </c>
      <c r="C239" s="1" t="n">
        <v>45900</v>
      </c>
      <c r="D239" t="inlineStr">
        <is>
          <t>JÄMTLANDS LÄN</t>
        </is>
      </c>
      <c r="E239" t="inlineStr">
        <is>
          <t>HÄRJEDALEN</t>
        </is>
      </c>
      <c r="G239" t="n">
        <v>19.5</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45900</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45900</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45900</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45900</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45900</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45900</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45900</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45900</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45900</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45900</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45900</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45900</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45900</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45900</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45900</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45900</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45900</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45900</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45900</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45900</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45900</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45900</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45900</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45900</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45900</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45900</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45900</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45900</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45900</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45900</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45900</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45900</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45900</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45900</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45900</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24693-2022</t>
        </is>
      </c>
      <c r="B275" s="1" t="n">
        <v>44727.71858796296</v>
      </c>
      <c r="C275" s="1" t="n">
        <v>45900</v>
      </c>
      <c r="D275" t="inlineStr">
        <is>
          <t>JÄMTLANDS LÄN</t>
        </is>
      </c>
      <c r="E275" t="inlineStr">
        <is>
          <t>HÄRJEDALEN</t>
        </is>
      </c>
      <c r="F275" t="inlineStr">
        <is>
          <t>Kyrkan</t>
        </is>
      </c>
      <c r="G275" t="n">
        <v>0.9</v>
      </c>
      <c r="H275" t="n">
        <v>0</v>
      </c>
      <c r="I275" t="n">
        <v>0</v>
      </c>
      <c r="J275" t="n">
        <v>0</v>
      </c>
      <c r="K275" t="n">
        <v>0</v>
      </c>
      <c r="L275" t="n">
        <v>0</v>
      </c>
      <c r="M275" t="n">
        <v>0</v>
      </c>
      <c r="N275" t="n">
        <v>0</v>
      </c>
      <c r="O275" t="n">
        <v>0</v>
      </c>
      <c r="P275" t="n">
        <v>0</v>
      </c>
      <c r="Q275" t="n">
        <v>0</v>
      </c>
      <c r="R275" s="2" t="inlineStr"/>
    </row>
    <row r="276" ht="15" customHeight="1">
      <c r="A276" t="inlineStr">
        <is>
          <t>A 55542-2021</t>
        </is>
      </c>
      <c r="B276" s="1" t="n">
        <v>44475</v>
      </c>
      <c r="C276" s="1" t="n">
        <v>45900</v>
      </c>
      <c r="D276" t="inlineStr">
        <is>
          <t>JÄMTLANDS LÄN</t>
        </is>
      </c>
      <c r="E276" t="inlineStr">
        <is>
          <t>HÄRJEDALEN</t>
        </is>
      </c>
      <c r="G276" t="n">
        <v>1.3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45900</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55381-2021</t>
        </is>
      </c>
      <c r="B278" s="1" t="n">
        <v>44475</v>
      </c>
      <c r="C278" s="1" t="n">
        <v>45900</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55396-2021</t>
        </is>
      </c>
      <c r="B279" s="1" t="n">
        <v>44475</v>
      </c>
      <c r="C279" s="1" t="n">
        <v>45900</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45900</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45900</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45900</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45900</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45900</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45900</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11527-2022</t>
        </is>
      </c>
      <c r="B286" s="1" t="n">
        <v>44631.37421296296</v>
      </c>
      <c r="C286" s="1" t="n">
        <v>45900</v>
      </c>
      <c r="D286" t="inlineStr">
        <is>
          <t>JÄMTLANDS LÄN</t>
        </is>
      </c>
      <c r="E286" t="inlineStr">
        <is>
          <t>HÄRJEDALEN</t>
        </is>
      </c>
      <c r="F286" t="inlineStr">
        <is>
          <t>Holmen skog AB</t>
        </is>
      </c>
      <c r="G286" t="n">
        <v>4.6</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45900</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5519-2021</t>
        </is>
      </c>
      <c r="B288" s="1" t="n">
        <v>44230</v>
      </c>
      <c r="C288" s="1" t="n">
        <v>45900</v>
      </c>
      <c r="D288" t="inlineStr">
        <is>
          <t>JÄMTLANDS LÄN</t>
        </is>
      </c>
      <c r="E288" t="inlineStr">
        <is>
          <t>HÄRJEDALEN</t>
        </is>
      </c>
      <c r="G288" t="n">
        <v>10.8</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45900</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45900</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45900</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45900</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45900</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45900</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45900</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55238-2021</t>
        </is>
      </c>
      <c r="B296" s="1" t="n">
        <v>44475</v>
      </c>
      <c r="C296" s="1" t="n">
        <v>45900</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55246-2021</t>
        </is>
      </c>
      <c r="B297" s="1" t="n">
        <v>44475</v>
      </c>
      <c r="C297" s="1" t="n">
        <v>45900</v>
      </c>
      <c r="D297" t="inlineStr">
        <is>
          <t>JÄMTLANDS LÄN</t>
        </is>
      </c>
      <c r="E297" t="inlineStr">
        <is>
          <t>HÄRJEDALEN</t>
        </is>
      </c>
      <c r="G297" t="n">
        <v>3.8</v>
      </c>
      <c r="H297" t="n">
        <v>0</v>
      </c>
      <c r="I297" t="n">
        <v>0</v>
      </c>
      <c r="J297" t="n">
        <v>0</v>
      </c>
      <c r="K297" t="n">
        <v>0</v>
      </c>
      <c r="L297" t="n">
        <v>0</v>
      </c>
      <c r="M297" t="n">
        <v>0</v>
      </c>
      <c r="N297" t="n">
        <v>0</v>
      </c>
      <c r="O297" t="n">
        <v>0</v>
      </c>
      <c r="P297" t="n">
        <v>0</v>
      </c>
      <c r="Q297" t="n">
        <v>0</v>
      </c>
      <c r="R297" s="2" t="inlineStr"/>
    </row>
    <row r="298" ht="15" customHeight="1">
      <c r="A298" t="inlineStr">
        <is>
          <t>A 55252-2021</t>
        </is>
      </c>
      <c r="B298" s="1" t="n">
        <v>44475</v>
      </c>
      <c r="C298" s="1" t="n">
        <v>45900</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55257-2021</t>
        </is>
      </c>
      <c r="B299" s="1" t="n">
        <v>44475</v>
      </c>
      <c r="C299" s="1" t="n">
        <v>45900</v>
      </c>
      <c r="D299" t="inlineStr">
        <is>
          <t>JÄMTLANDS LÄN</t>
        </is>
      </c>
      <c r="E299" t="inlineStr">
        <is>
          <t>HÄRJEDALEN</t>
        </is>
      </c>
      <c r="G299" t="n">
        <v>0</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45900</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45900</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45900</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45900</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21770-2022</t>
        </is>
      </c>
      <c r="B304" s="1" t="n">
        <v>44708.46081018518</v>
      </c>
      <c r="C304" s="1" t="n">
        <v>45900</v>
      </c>
      <c r="D304" t="inlineStr">
        <is>
          <t>JÄMTLANDS LÄN</t>
        </is>
      </c>
      <c r="E304" t="inlineStr">
        <is>
          <t>HÄRJEDALEN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18169-2022</t>
        </is>
      </c>
      <c r="B305" s="1" t="n">
        <v>44684</v>
      </c>
      <c r="C305" s="1" t="n">
        <v>45900</v>
      </c>
      <c r="D305" t="inlineStr">
        <is>
          <t>JÄMTLANDS LÄN</t>
        </is>
      </c>
      <c r="E305" t="inlineStr">
        <is>
          <t>HÄRJEDALEN</t>
        </is>
      </c>
      <c r="F305" t="inlineStr">
        <is>
          <t>Kyrkan</t>
        </is>
      </c>
      <c r="G305" t="n">
        <v>2.4</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45900</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69101-2020</t>
        </is>
      </c>
      <c r="B307" s="1" t="n">
        <v>44188</v>
      </c>
      <c r="C307" s="1" t="n">
        <v>45900</v>
      </c>
      <c r="D307" t="inlineStr">
        <is>
          <t>JÄMTLANDS LÄN</t>
        </is>
      </c>
      <c r="E307" t="inlineStr">
        <is>
          <t>HÄRJEDALEN</t>
        </is>
      </c>
      <c r="G307" t="n">
        <v>3.1</v>
      </c>
      <c r="H307" t="n">
        <v>0</v>
      </c>
      <c r="I307" t="n">
        <v>0</v>
      </c>
      <c r="J307" t="n">
        <v>0</v>
      </c>
      <c r="K307" t="n">
        <v>0</v>
      </c>
      <c r="L307" t="n">
        <v>0</v>
      </c>
      <c r="M307" t="n">
        <v>0</v>
      </c>
      <c r="N307" t="n">
        <v>0</v>
      </c>
      <c r="O307" t="n">
        <v>0</v>
      </c>
      <c r="P307" t="n">
        <v>0</v>
      </c>
      <c r="Q307" t="n">
        <v>0</v>
      </c>
      <c r="R307" s="2" t="inlineStr"/>
    </row>
    <row r="308" ht="15" customHeight="1">
      <c r="A308" t="inlineStr">
        <is>
          <t>A 12629-2021</t>
        </is>
      </c>
      <c r="B308" s="1" t="n">
        <v>44270</v>
      </c>
      <c r="C308" s="1" t="n">
        <v>45900</v>
      </c>
      <c r="D308" t="inlineStr">
        <is>
          <t>JÄMTLANDS LÄN</t>
        </is>
      </c>
      <c r="E308" t="inlineStr">
        <is>
          <t>HÄRJEDALEN</t>
        </is>
      </c>
      <c r="G308" t="n">
        <v>20.7</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45900</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45900</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64539-2020</t>
        </is>
      </c>
      <c r="B311" s="1" t="n">
        <v>44169</v>
      </c>
      <c r="C311" s="1" t="n">
        <v>45900</v>
      </c>
      <c r="D311" t="inlineStr">
        <is>
          <t>JÄMTLANDS LÄN</t>
        </is>
      </c>
      <c r="E311" t="inlineStr">
        <is>
          <t>HÄRJEDALEN</t>
        </is>
      </c>
      <c r="G311" t="n">
        <v>5.6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45900</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45900</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67182-2020</t>
        </is>
      </c>
      <c r="B314" s="1" t="n">
        <v>44180</v>
      </c>
      <c r="C314" s="1" t="n">
        <v>45900</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39321-2021</t>
        </is>
      </c>
      <c r="B315" s="1" t="n">
        <v>44413</v>
      </c>
      <c r="C315" s="1" t="n">
        <v>45900</v>
      </c>
      <c r="D315" t="inlineStr">
        <is>
          <t>JÄMTLANDS LÄN</t>
        </is>
      </c>
      <c r="E315" t="inlineStr">
        <is>
          <t>HÄRJEDALEN</t>
        </is>
      </c>
      <c r="G315" t="n">
        <v>3.6</v>
      </c>
      <c r="H315" t="n">
        <v>0</v>
      </c>
      <c r="I315" t="n">
        <v>0</v>
      </c>
      <c r="J315" t="n">
        <v>0</v>
      </c>
      <c r="K315" t="n">
        <v>0</v>
      </c>
      <c r="L315" t="n">
        <v>0</v>
      </c>
      <c r="M315" t="n">
        <v>0</v>
      </c>
      <c r="N315" t="n">
        <v>0</v>
      </c>
      <c r="O315" t="n">
        <v>0</v>
      </c>
      <c r="P315" t="n">
        <v>0</v>
      </c>
      <c r="Q315" t="n">
        <v>0</v>
      </c>
      <c r="R315" s="2" t="inlineStr"/>
    </row>
    <row r="316" ht="15" customHeight="1">
      <c r="A316" t="inlineStr">
        <is>
          <t>A 1088-2021</t>
        </is>
      </c>
      <c r="B316" s="1" t="n">
        <v>44207</v>
      </c>
      <c r="C316" s="1" t="n">
        <v>45900</v>
      </c>
      <c r="D316" t="inlineStr">
        <is>
          <t>JÄMTLANDS LÄN</t>
        </is>
      </c>
      <c r="E316" t="inlineStr">
        <is>
          <t>HÄRJEDALEN</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45900</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55250-2021</t>
        </is>
      </c>
      <c r="B318" s="1" t="n">
        <v>44475</v>
      </c>
      <c r="C318" s="1" t="n">
        <v>45900</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21843-2021</t>
        </is>
      </c>
      <c r="B319" s="1" t="n">
        <v>44316</v>
      </c>
      <c r="C319" s="1" t="n">
        <v>45900</v>
      </c>
      <c r="D319" t="inlineStr">
        <is>
          <t>JÄMTLANDS LÄN</t>
        </is>
      </c>
      <c r="E319" t="inlineStr">
        <is>
          <t>HÄRJEDALEN</t>
        </is>
      </c>
      <c r="G319" t="n">
        <v>15.1</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45900</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36235-2021</t>
        </is>
      </c>
      <c r="B321" s="1" t="n">
        <v>44389</v>
      </c>
      <c r="C321" s="1" t="n">
        <v>45900</v>
      </c>
      <c r="D321" t="inlineStr">
        <is>
          <t>JÄMTLANDS LÄN</t>
        </is>
      </c>
      <c r="E321" t="inlineStr">
        <is>
          <t>HÄRJEDALEN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45900</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15594-2021</t>
        </is>
      </c>
      <c r="B323" s="1" t="n">
        <v>44285</v>
      </c>
      <c r="C323" s="1" t="n">
        <v>45900</v>
      </c>
      <c r="D323" t="inlineStr">
        <is>
          <t>JÄMTLANDS LÄN</t>
        </is>
      </c>
      <c r="E323" t="inlineStr">
        <is>
          <t>HÄRJEDALEN</t>
        </is>
      </c>
      <c r="G323" t="n">
        <v>28.5</v>
      </c>
      <c r="H323" t="n">
        <v>0</v>
      </c>
      <c r="I323" t="n">
        <v>0</v>
      </c>
      <c r="J323" t="n">
        <v>0</v>
      </c>
      <c r="K323" t="n">
        <v>0</v>
      </c>
      <c r="L323" t="n">
        <v>0</v>
      </c>
      <c r="M323" t="n">
        <v>0</v>
      </c>
      <c r="N323" t="n">
        <v>0</v>
      </c>
      <c r="O323" t="n">
        <v>0</v>
      </c>
      <c r="P323" t="n">
        <v>0</v>
      </c>
      <c r="Q323" t="n">
        <v>0</v>
      </c>
      <c r="R323" s="2" t="inlineStr"/>
    </row>
    <row r="324" ht="15" customHeight="1">
      <c r="A324" t="inlineStr">
        <is>
          <t>A 33424-2021</t>
        </is>
      </c>
      <c r="B324" s="1" t="n">
        <v>44377</v>
      </c>
      <c r="C324" s="1" t="n">
        <v>45900</v>
      </c>
      <c r="D324" t="inlineStr">
        <is>
          <t>JÄMTLANDS LÄN</t>
        </is>
      </c>
      <c r="E324" t="inlineStr">
        <is>
          <t>HÄRJEDALEN</t>
        </is>
      </c>
      <c r="G324" t="n">
        <v>2.5</v>
      </c>
      <c r="H324" t="n">
        <v>0</v>
      </c>
      <c r="I324" t="n">
        <v>0</v>
      </c>
      <c r="J324" t="n">
        <v>0</v>
      </c>
      <c r="K324" t="n">
        <v>0</v>
      </c>
      <c r="L324" t="n">
        <v>0</v>
      </c>
      <c r="M324" t="n">
        <v>0</v>
      </c>
      <c r="N324" t="n">
        <v>0</v>
      </c>
      <c r="O324" t="n">
        <v>0</v>
      </c>
      <c r="P324" t="n">
        <v>0</v>
      </c>
      <c r="Q324" t="n">
        <v>0</v>
      </c>
      <c r="R324" s="2" t="inlineStr"/>
    </row>
    <row r="325" ht="15" customHeight="1">
      <c r="A325" t="inlineStr">
        <is>
          <t>A 10741-2022</t>
        </is>
      </c>
      <c r="B325" s="1" t="n">
        <v>44627.36047453704</v>
      </c>
      <c r="C325" s="1" t="n">
        <v>45900</v>
      </c>
      <c r="D325" t="inlineStr">
        <is>
          <t>JÄMTLANDS LÄN</t>
        </is>
      </c>
      <c r="E325" t="inlineStr">
        <is>
          <t>HÄRJEDALEN</t>
        </is>
      </c>
      <c r="F325" t="inlineStr">
        <is>
          <t>Holmen skog AB</t>
        </is>
      </c>
      <c r="G325" t="n">
        <v>8</v>
      </c>
      <c r="H325" t="n">
        <v>0</v>
      </c>
      <c r="I325" t="n">
        <v>0</v>
      </c>
      <c r="J325" t="n">
        <v>0</v>
      </c>
      <c r="K325" t="n">
        <v>0</v>
      </c>
      <c r="L325" t="n">
        <v>0</v>
      </c>
      <c r="M325" t="n">
        <v>0</v>
      </c>
      <c r="N325" t="n">
        <v>0</v>
      </c>
      <c r="O325" t="n">
        <v>0</v>
      </c>
      <c r="P325" t="n">
        <v>0</v>
      </c>
      <c r="Q325" t="n">
        <v>0</v>
      </c>
      <c r="R325" s="2" t="inlineStr"/>
    </row>
    <row r="326" ht="15" customHeight="1">
      <c r="A326" t="inlineStr">
        <is>
          <t>A 22728-2023</t>
        </is>
      </c>
      <c r="B326" s="1" t="n">
        <v>45071.92488425926</v>
      </c>
      <c r="C326" s="1" t="n">
        <v>45900</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45900</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3965-2025</t>
        </is>
      </c>
      <c r="B328" s="1" t="n">
        <v>45684.51006944444</v>
      </c>
      <c r="C328" s="1" t="n">
        <v>45900</v>
      </c>
      <c r="D328" t="inlineStr">
        <is>
          <t>JÄMTLANDS LÄN</t>
        </is>
      </c>
      <c r="E328" t="inlineStr">
        <is>
          <t>HÄRJEDALEN</t>
        </is>
      </c>
      <c r="G328" t="n">
        <v>1.3</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45900</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7433-2024</t>
        </is>
      </c>
      <c r="B330" s="1" t="n">
        <v>45345.66555555556</v>
      </c>
      <c r="C330" s="1" t="n">
        <v>45900</v>
      </c>
      <c r="D330" t="inlineStr">
        <is>
          <t>JÄMTLANDS LÄN</t>
        </is>
      </c>
      <c r="E330" t="inlineStr">
        <is>
          <t>HÄRJEDALEN</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45900</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45900</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45900</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45900</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45900</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45900</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13081-2022</t>
        </is>
      </c>
      <c r="B337" s="1" t="n">
        <v>44643.81518518519</v>
      </c>
      <c r="C337" s="1" t="n">
        <v>45900</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64484-2023</t>
        </is>
      </c>
      <c r="B338" s="1" t="n">
        <v>45280</v>
      </c>
      <c r="C338" s="1" t="n">
        <v>45900</v>
      </c>
      <c r="D338" t="inlineStr">
        <is>
          <t>JÄMTLANDS LÄN</t>
        </is>
      </c>
      <c r="E338" t="inlineStr">
        <is>
          <t>HÄRJEDALEN</t>
        </is>
      </c>
      <c r="G338" t="n">
        <v>7.1</v>
      </c>
      <c r="H338" t="n">
        <v>0</v>
      </c>
      <c r="I338" t="n">
        <v>0</v>
      </c>
      <c r="J338" t="n">
        <v>0</v>
      </c>
      <c r="K338" t="n">
        <v>0</v>
      </c>
      <c r="L338" t="n">
        <v>0</v>
      </c>
      <c r="M338" t="n">
        <v>0</v>
      </c>
      <c r="N338" t="n">
        <v>0</v>
      </c>
      <c r="O338" t="n">
        <v>0</v>
      </c>
      <c r="P338" t="n">
        <v>0</v>
      </c>
      <c r="Q338" t="n">
        <v>0</v>
      </c>
      <c r="R338" s="2" t="inlineStr"/>
    </row>
    <row r="339" ht="15" customHeight="1">
      <c r="A339" t="inlineStr">
        <is>
          <t>A 12462-2023</t>
        </is>
      </c>
      <c r="B339" s="1" t="n">
        <v>44999.60127314815</v>
      </c>
      <c r="C339" s="1" t="n">
        <v>45900</v>
      </c>
      <c r="D339" t="inlineStr">
        <is>
          <t>JÄMTLANDS LÄN</t>
        </is>
      </c>
      <c r="E339" t="inlineStr">
        <is>
          <t>HÄRJEDALEN</t>
        </is>
      </c>
      <c r="G339" t="n">
        <v>7.8</v>
      </c>
      <c r="H339" t="n">
        <v>0</v>
      </c>
      <c r="I339" t="n">
        <v>0</v>
      </c>
      <c r="J339" t="n">
        <v>0</v>
      </c>
      <c r="K339" t="n">
        <v>0</v>
      </c>
      <c r="L339" t="n">
        <v>0</v>
      </c>
      <c r="M339" t="n">
        <v>0</v>
      </c>
      <c r="N339" t="n">
        <v>0</v>
      </c>
      <c r="O339" t="n">
        <v>0</v>
      </c>
      <c r="P339" t="n">
        <v>0</v>
      </c>
      <c r="Q339" t="n">
        <v>0</v>
      </c>
      <c r="R339" s="2" t="inlineStr"/>
    </row>
    <row r="340" ht="15" customHeight="1">
      <c r="A340" t="inlineStr">
        <is>
          <t>A 20104-2025</t>
        </is>
      </c>
      <c r="B340" s="1" t="n">
        <v>45772.46965277778</v>
      </c>
      <c r="C340" s="1" t="n">
        <v>45900</v>
      </c>
      <c r="D340" t="inlineStr">
        <is>
          <t>JÄMTLANDS LÄN</t>
        </is>
      </c>
      <c r="E340" t="inlineStr">
        <is>
          <t>HÄRJEDALEN</t>
        </is>
      </c>
      <c r="F340" t="inlineStr">
        <is>
          <t>SCA</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20106-2025</t>
        </is>
      </c>
      <c r="B341" s="1" t="n">
        <v>45772.46988425926</v>
      </c>
      <c r="C341" s="1" t="n">
        <v>45900</v>
      </c>
      <c r="D341" t="inlineStr">
        <is>
          <t>JÄMTLANDS LÄN</t>
        </is>
      </c>
      <c r="E341" t="inlineStr">
        <is>
          <t>HÄRJEDALEN</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45900</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45900</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51315-2024</t>
        </is>
      </c>
      <c r="B344" s="1" t="n">
        <v>45604.32543981481</v>
      </c>
      <c r="C344" s="1" t="n">
        <v>45900</v>
      </c>
      <c r="D344" t="inlineStr">
        <is>
          <t>JÄMTLANDS LÄN</t>
        </is>
      </c>
      <c r="E344" t="inlineStr">
        <is>
          <t>HÄRJEDALEN</t>
        </is>
      </c>
      <c r="F344" t="inlineStr">
        <is>
          <t>Holmen skog AB</t>
        </is>
      </c>
      <c r="G344" t="n">
        <v>7.3</v>
      </c>
      <c r="H344" t="n">
        <v>0</v>
      </c>
      <c r="I344" t="n">
        <v>0</v>
      </c>
      <c r="J344" t="n">
        <v>0</v>
      </c>
      <c r="K344" t="n">
        <v>0</v>
      </c>
      <c r="L344" t="n">
        <v>0</v>
      </c>
      <c r="M344" t="n">
        <v>0</v>
      </c>
      <c r="N344" t="n">
        <v>0</v>
      </c>
      <c r="O344" t="n">
        <v>0</v>
      </c>
      <c r="P344" t="n">
        <v>0</v>
      </c>
      <c r="Q344" t="n">
        <v>0</v>
      </c>
      <c r="R344" s="2" t="inlineStr"/>
    </row>
    <row r="345" ht="15" customHeight="1">
      <c r="A345" t="inlineStr">
        <is>
          <t>A 16151-2024</t>
        </is>
      </c>
      <c r="B345" s="1" t="n">
        <v>45406</v>
      </c>
      <c r="C345" s="1" t="n">
        <v>45900</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16185-2024</t>
        </is>
      </c>
      <c r="B346" s="1" t="n">
        <v>45406</v>
      </c>
      <c r="C346" s="1" t="n">
        <v>45900</v>
      </c>
      <c r="D346" t="inlineStr">
        <is>
          <t>JÄMTLANDS LÄN</t>
        </is>
      </c>
      <c r="E346" t="inlineStr">
        <is>
          <t>HÄRJEDALEN</t>
        </is>
      </c>
      <c r="F346" t="inlineStr">
        <is>
          <t>Holmen skog AB</t>
        </is>
      </c>
      <c r="G346" t="n">
        <v>21.6</v>
      </c>
      <c r="H346" t="n">
        <v>0</v>
      </c>
      <c r="I346" t="n">
        <v>0</v>
      </c>
      <c r="J346" t="n">
        <v>0</v>
      </c>
      <c r="K346" t="n">
        <v>0</v>
      </c>
      <c r="L346" t="n">
        <v>0</v>
      </c>
      <c r="M346" t="n">
        <v>0</v>
      </c>
      <c r="N346" t="n">
        <v>0</v>
      </c>
      <c r="O346" t="n">
        <v>0</v>
      </c>
      <c r="P346" t="n">
        <v>0</v>
      </c>
      <c r="Q346" t="n">
        <v>0</v>
      </c>
      <c r="R346" s="2" t="inlineStr"/>
    </row>
    <row r="347" ht="15" customHeight="1">
      <c r="A347" t="inlineStr">
        <is>
          <t>A 40596-2022</t>
        </is>
      </c>
      <c r="B347" s="1" t="n">
        <v>44823.84673611111</v>
      </c>
      <c r="C347" s="1" t="n">
        <v>45900</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29581-2021</t>
        </is>
      </c>
      <c r="B348" s="1" t="n">
        <v>44361</v>
      </c>
      <c r="C348" s="1" t="n">
        <v>45900</v>
      </c>
      <c r="D348" t="inlineStr">
        <is>
          <t>JÄMTLANDS LÄN</t>
        </is>
      </c>
      <c r="E348" t="inlineStr">
        <is>
          <t>HÄRJEDALEN</t>
        </is>
      </c>
      <c r="G348" t="n">
        <v>50.9</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45900</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4899-2025</t>
        </is>
      </c>
      <c r="B350" s="1" t="n">
        <v>45688.67935185185</v>
      </c>
      <c r="C350" s="1" t="n">
        <v>45900</v>
      </c>
      <c r="D350" t="inlineStr">
        <is>
          <t>JÄMTLANDS LÄN</t>
        </is>
      </c>
      <c r="E350" t="inlineStr">
        <is>
          <t>HÄRJEDALEN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4837-2025</t>
        </is>
      </c>
      <c r="B351" s="1" t="n">
        <v>45688.67145833333</v>
      </c>
      <c r="C351" s="1" t="n">
        <v>45900</v>
      </c>
      <c r="D351" t="inlineStr">
        <is>
          <t>JÄMTLANDS LÄN</t>
        </is>
      </c>
      <c r="E351" t="inlineStr">
        <is>
          <t>HÄRJEDALEN</t>
        </is>
      </c>
      <c r="F351" t="inlineStr">
        <is>
          <t>SCA</t>
        </is>
      </c>
      <c r="G351" t="n">
        <v>21.9</v>
      </c>
      <c r="H351" t="n">
        <v>0</v>
      </c>
      <c r="I351" t="n">
        <v>0</v>
      </c>
      <c r="J351" t="n">
        <v>0</v>
      </c>
      <c r="K351" t="n">
        <v>0</v>
      </c>
      <c r="L351" t="n">
        <v>0</v>
      </c>
      <c r="M351" t="n">
        <v>0</v>
      </c>
      <c r="N351" t="n">
        <v>0</v>
      </c>
      <c r="O351" t="n">
        <v>0</v>
      </c>
      <c r="P351" t="n">
        <v>0</v>
      </c>
      <c r="Q351" t="n">
        <v>0</v>
      </c>
      <c r="R351" s="2" t="inlineStr"/>
    </row>
    <row r="352" ht="15" customHeight="1">
      <c r="A352" t="inlineStr">
        <is>
          <t>A 19962-2021</t>
        </is>
      </c>
      <c r="B352" s="1" t="n">
        <v>44312</v>
      </c>
      <c r="C352" s="1" t="n">
        <v>45900</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51188-2024</t>
        </is>
      </c>
      <c r="B353" s="1" t="n">
        <v>45603</v>
      </c>
      <c r="C353" s="1" t="n">
        <v>45900</v>
      </c>
      <c r="D353" t="inlineStr">
        <is>
          <t>JÄMTLANDS LÄN</t>
        </is>
      </c>
      <c r="E353" t="inlineStr">
        <is>
          <t>HÄRJEDALEN</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45900</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45900</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12642-2025</t>
        </is>
      </c>
      <c r="B356" s="1" t="n">
        <v>45733.38637731481</v>
      </c>
      <c r="C356" s="1" t="n">
        <v>45900</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24964-2023</t>
        </is>
      </c>
      <c r="B357" s="1" t="n">
        <v>45085</v>
      </c>
      <c r="C357" s="1" t="n">
        <v>45900</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31764-2024</t>
        </is>
      </c>
      <c r="B358" s="1" t="n">
        <v>45509</v>
      </c>
      <c r="C358" s="1" t="n">
        <v>45900</v>
      </c>
      <c r="D358" t="inlineStr">
        <is>
          <t>JÄMTLANDS LÄN</t>
        </is>
      </c>
      <c r="E358" t="inlineStr">
        <is>
          <t>HÄRJEDALEN</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12279-2025</t>
        </is>
      </c>
      <c r="B359" s="1" t="n">
        <v>45729.65261574074</v>
      </c>
      <c r="C359" s="1" t="n">
        <v>45900</v>
      </c>
      <c r="D359" t="inlineStr">
        <is>
          <t>JÄMTLANDS LÄN</t>
        </is>
      </c>
      <c r="E359" t="inlineStr">
        <is>
          <t>HÄRJEDALEN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4642-2025</t>
        </is>
      </c>
      <c r="B360" s="1" t="n">
        <v>45687.65449074074</v>
      </c>
      <c r="C360" s="1" t="n">
        <v>45900</v>
      </c>
      <c r="D360" t="inlineStr">
        <is>
          <t>JÄMTLANDS LÄN</t>
        </is>
      </c>
      <c r="E360" t="inlineStr">
        <is>
          <t>HÄRJEDALEN</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29431-2023</t>
        </is>
      </c>
      <c r="B361" s="1" t="n">
        <v>45106</v>
      </c>
      <c r="C361" s="1" t="n">
        <v>45900</v>
      </c>
      <c r="D361" t="inlineStr">
        <is>
          <t>JÄMTLANDS LÄN</t>
        </is>
      </c>
      <c r="E361" t="inlineStr">
        <is>
          <t>HÄRJEDALEN</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45900</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14095-2025</t>
        </is>
      </c>
      <c r="B363" s="1" t="n">
        <v>45740.44842592593</v>
      </c>
      <c r="C363" s="1" t="n">
        <v>45900</v>
      </c>
      <c r="D363" t="inlineStr">
        <is>
          <t>JÄMTLANDS LÄN</t>
        </is>
      </c>
      <c r="E363" t="inlineStr">
        <is>
          <t>HÄRJEDALEN</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20817-2025</t>
        </is>
      </c>
      <c r="B364" s="1" t="n">
        <v>45776.69569444445</v>
      </c>
      <c r="C364" s="1" t="n">
        <v>45900</v>
      </c>
      <c r="D364" t="inlineStr">
        <is>
          <t>JÄMTLANDS LÄN</t>
        </is>
      </c>
      <c r="E364" t="inlineStr">
        <is>
          <t>HÄRJEDALEN</t>
        </is>
      </c>
      <c r="G364" t="n">
        <v>26.4</v>
      </c>
      <c r="H364" t="n">
        <v>0</v>
      </c>
      <c r="I364" t="n">
        <v>0</v>
      </c>
      <c r="J364" t="n">
        <v>0</v>
      </c>
      <c r="K364" t="n">
        <v>0</v>
      </c>
      <c r="L364" t="n">
        <v>0</v>
      </c>
      <c r="M364" t="n">
        <v>0</v>
      </c>
      <c r="N364" t="n">
        <v>0</v>
      </c>
      <c r="O364" t="n">
        <v>0</v>
      </c>
      <c r="P364" t="n">
        <v>0</v>
      </c>
      <c r="Q364" t="n">
        <v>0</v>
      </c>
      <c r="R364" s="2" t="inlineStr"/>
    </row>
    <row r="365" ht="15" customHeight="1">
      <c r="A365" t="inlineStr">
        <is>
          <t>A 44955-2024</t>
        </is>
      </c>
      <c r="B365" s="1" t="n">
        <v>45575</v>
      </c>
      <c r="C365" s="1" t="n">
        <v>45900</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20672-2025</t>
        </is>
      </c>
      <c r="B366" s="1" t="n">
        <v>45776.43898148148</v>
      </c>
      <c r="C366" s="1" t="n">
        <v>45900</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49689-2022</t>
        </is>
      </c>
      <c r="B367" s="1" t="n">
        <v>44862</v>
      </c>
      <c r="C367" s="1" t="n">
        <v>45900</v>
      </c>
      <c r="D367" t="inlineStr">
        <is>
          <t>JÄMTLANDS LÄN</t>
        </is>
      </c>
      <c r="E367" t="inlineStr">
        <is>
          <t>HÄRJEDALEN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56587-2023</t>
        </is>
      </c>
      <c r="B368" s="1" t="n">
        <v>45243.63798611111</v>
      </c>
      <c r="C368" s="1" t="n">
        <v>45900</v>
      </c>
      <c r="D368" t="inlineStr">
        <is>
          <t>JÄMTLANDS LÄN</t>
        </is>
      </c>
      <c r="E368" t="inlineStr">
        <is>
          <t>HÄRJEDALEN</t>
        </is>
      </c>
      <c r="G368" t="n">
        <v>13.4</v>
      </c>
      <c r="H368" t="n">
        <v>0</v>
      </c>
      <c r="I368" t="n">
        <v>0</v>
      </c>
      <c r="J368" t="n">
        <v>0</v>
      </c>
      <c r="K368" t="n">
        <v>0</v>
      </c>
      <c r="L368" t="n">
        <v>0</v>
      </c>
      <c r="M368" t="n">
        <v>0</v>
      </c>
      <c r="N368" t="n">
        <v>0</v>
      </c>
      <c r="O368" t="n">
        <v>0</v>
      </c>
      <c r="P368" t="n">
        <v>0</v>
      </c>
      <c r="Q368" t="n">
        <v>0</v>
      </c>
      <c r="R368" s="2" t="inlineStr"/>
    </row>
    <row r="369" ht="15" customHeight="1">
      <c r="A369" t="inlineStr">
        <is>
          <t>A 54331-2021</t>
        </is>
      </c>
      <c r="B369" s="1" t="n">
        <v>44472</v>
      </c>
      <c r="C369" s="1" t="n">
        <v>45900</v>
      </c>
      <c r="D369" t="inlineStr">
        <is>
          <t>JÄMTLANDS LÄN</t>
        </is>
      </c>
      <c r="E369" t="inlineStr">
        <is>
          <t>HÄRJEDALEN</t>
        </is>
      </c>
      <c r="G369" t="n">
        <v>0.7</v>
      </c>
      <c r="H369" t="n">
        <v>0</v>
      </c>
      <c r="I369" t="n">
        <v>0</v>
      </c>
      <c r="J369" t="n">
        <v>0</v>
      </c>
      <c r="K369" t="n">
        <v>0</v>
      </c>
      <c r="L369" t="n">
        <v>0</v>
      </c>
      <c r="M369" t="n">
        <v>0</v>
      </c>
      <c r="N369" t="n">
        <v>0</v>
      </c>
      <c r="O369" t="n">
        <v>0</v>
      </c>
      <c r="P369" t="n">
        <v>0</v>
      </c>
      <c r="Q369" t="n">
        <v>0</v>
      </c>
      <c r="R369" s="2" t="inlineStr"/>
    </row>
    <row r="370" ht="15" customHeight="1">
      <c r="A370" t="inlineStr">
        <is>
          <t>A 59424-2023</t>
        </is>
      </c>
      <c r="B370" s="1" t="n">
        <v>45254</v>
      </c>
      <c r="C370" s="1" t="n">
        <v>45900</v>
      </c>
      <c r="D370" t="inlineStr">
        <is>
          <t>JÄMTLANDS LÄN</t>
        </is>
      </c>
      <c r="E370" t="inlineStr">
        <is>
          <t>HÄRJEDALEN</t>
        </is>
      </c>
      <c r="G370" t="n">
        <v>3.3</v>
      </c>
      <c r="H370" t="n">
        <v>0</v>
      </c>
      <c r="I370" t="n">
        <v>0</v>
      </c>
      <c r="J370" t="n">
        <v>0</v>
      </c>
      <c r="K370" t="n">
        <v>0</v>
      </c>
      <c r="L370" t="n">
        <v>0</v>
      </c>
      <c r="M370" t="n">
        <v>0</v>
      </c>
      <c r="N370" t="n">
        <v>0</v>
      </c>
      <c r="O370" t="n">
        <v>0</v>
      </c>
      <c r="P370" t="n">
        <v>0</v>
      </c>
      <c r="Q370" t="n">
        <v>0</v>
      </c>
      <c r="R370" s="2" t="inlineStr"/>
    </row>
    <row r="371" ht="15" customHeight="1">
      <c r="A371" t="inlineStr">
        <is>
          <t>A 7313-2024</t>
        </is>
      </c>
      <c r="B371" s="1" t="n">
        <v>45345.35003472222</v>
      </c>
      <c r="C371" s="1" t="n">
        <v>45900</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21208-2025</t>
        </is>
      </c>
      <c r="B372" s="1" t="n">
        <v>45779.48611111111</v>
      </c>
      <c r="C372" s="1" t="n">
        <v>45900</v>
      </c>
      <c r="D372" t="inlineStr">
        <is>
          <t>JÄMTLANDS LÄN</t>
        </is>
      </c>
      <c r="E372" t="inlineStr">
        <is>
          <t>HÄRJEDALEN</t>
        </is>
      </c>
      <c r="F372" t="inlineStr">
        <is>
          <t>Holmen skog AB</t>
        </is>
      </c>
      <c r="G372" t="n">
        <v>8.5</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45900</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45900</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45900</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21161-2025</t>
        </is>
      </c>
      <c r="B376" s="1" t="n">
        <v>45779.38211805555</v>
      </c>
      <c r="C376" s="1" t="n">
        <v>45900</v>
      </c>
      <c r="D376" t="inlineStr">
        <is>
          <t>JÄMTLANDS LÄN</t>
        </is>
      </c>
      <c r="E376" t="inlineStr">
        <is>
          <t>HÄRJEDALEN</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21201-2025</t>
        </is>
      </c>
      <c r="B377" s="1" t="n">
        <v>45779.47704861111</v>
      </c>
      <c r="C377" s="1" t="n">
        <v>45900</v>
      </c>
      <c r="D377" t="inlineStr">
        <is>
          <t>JÄMTLANDS LÄN</t>
        </is>
      </c>
      <c r="E377" t="inlineStr">
        <is>
          <t>HÄRJEDALEN</t>
        </is>
      </c>
      <c r="F377" t="inlineStr">
        <is>
          <t>Holmen skog AB</t>
        </is>
      </c>
      <c r="G377" t="n">
        <v>10.9</v>
      </c>
      <c r="H377" t="n">
        <v>0</v>
      </c>
      <c r="I377" t="n">
        <v>0</v>
      </c>
      <c r="J377" t="n">
        <v>0</v>
      </c>
      <c r="K377" t="n">
        <v>0</v>
      </c>
      <c r="L377" t="n">
        <v>0</v>
      </c>
      <c r="M377" t="n">
        <v>0</v>
      </c>
      <c r="N377" t="n">
        <v>0</v>
      </c>
      <c r="O377" t="n">
        <v>0</v>
      </c>
      <c r="P377" t="n">
        <v>0</v>
      </c>
      <c r="Q377" t="n">
        <v>0</v>
      </c>
      <c r="R377" s="2" t="inlineStr"/>
    </row>
    <row r="378" ht="15" customHeight="1">
      <c r="A378" t="inlineStr">
        <is>
          <t>A 21221-2025</t>
        </is>
      </c>
      <c r="B378" s="1" t="n">
        <v>45779.50052083333</v>
      </c>
      <c r="C378" s="1" t="n">
        <v>45900</v>
      </c>
      <c r="D378" t="inlineStr">
        <is>
          <t>JÄMTLANDS LÄN</t>
        </is>
      </c>
      <c r="E378" t="inlineStr">
        <is>
          <t>HÄRJEDALEN</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21169-2025</t>
        </is>
      </c>
      <c r="B379" s="1" t="n">
        <v>45779.41844907407</v>
      </c>
      <c r="C379" s="1" t="n">
        <v>45900</v>
      </c>
      <c r="D379" t="inlineStr">
        <is>
          <t>JÄMTLANDS LÄN</t>
        </is>
      </c>
      <c r="E379" t="inlineStr">
        <is>
          <t>HÄRJEDALEN</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13783-2025</t>
        </is>
      </c>
      <c r="B380" s="1" t="n">
        <v>45737</v>
      </c>
      <c r="C380" s="1" t="n">
        <v>45900</v>
      </c>
      <c r="D380" t="inlineStr">
        <is>
          <t>JÄMTLANDS LÄN</t>
        </is>
      </c>
      <c r="E380" t="inlineStr">
        <is>
          <t>HÄRJEDALEN</t>
        </is>
      </c>
      <c r="G380" t="n">
        <v>1</v>
      </c>
      <c r="H380" t="n">
        <v>0</v>
      </c>
      <c r="I380" t="n">
        <v>0</v>
      </c>
      <c r="J380" t="n">
        <v>0</v>
      </c>
      <c r="K380" t="n">
        <v>0</v>
      </c>
      <c r="L380" t="n">
        <v>0</v>
      </c>
      <c r="M380" t="n">
        <v>0</v>
      </c>
      <c r="N380" t="n">
        <v>0</v>
      </c>
      <c r="O380" t="n">
        <v>0</v>
      </c>
      <c r="P380" t="n">
        <v>0</v>
      </c>
      <c r="Q380" t="n">
        <v>0</v>
      </c>
      <c r="R380" s="2" t="inlineStr"/>
    </row>
    <row r="381" ht="15" customHeight="1">
      <c r="A381" t="inlineStr">
        <is>
          <t>A 21355-2025</t>
        </is>
      </c>
      <c r="B381" s="1" t="n">
        <v>45782.41581018519</v>
      </c>
      <c r="C381" s="1" t="n">
        <v>45900</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21223-2025</t>
        </is>
      </c>
      <c r="B382" s="1" t="n">
        <v>45779.50886574074</v>
      </c>
      <c r="C382" s="1" t="n">
        <v>45900</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21226-2025</t>
        </is>
      </c>
      <c r="B383" s="1" t="n">
        <v>45779.51943287037</v>
      </c>
      <c r="C383" s="1" t="n">
        <v>45900</v>
      </c>
      <c r="D383" t="inlineStr">
        <is>
          <t>JÄMTLANDS LÄN</t>
        </is>
      </c>
      <c r="E383" t="inlineStr">
        <is>
          <t>HÄRJEDALEN</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21227-2025</t>
        </is>
      </c>
      <c r="B384" s="1" t="n">
        <v>45779.52488425926</v>
      </c>
      <c r="C384" s="1" t="n">
        <v>45900</v>
      </c>
      <c r="D384" t="inlineStr">
        <is>
          <t>JÄMTLANDS LÄN</t>
        </is>
      </c>
      <c r="E384" t="inlineStr">
        <is>
          <t>HÄRJEDALEN</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36645-2024</t>
        </is>
      </c>
      <c r="B385" s="1" t="n">
        <v>45537.60471064815</v>
      </c>
      <c r="C385" s="1" t="n">
        <v>45900</v>
      </c>
      <c r="D385" t="inlineStr">
        <is>
          <t>JÄMTLANDS LÄN</t>
        </is>
      </c>
      <c r="E385" t="inlineStr">
        <is>
          <t>HÄRJEDALEN</t>
        </is>
      </c>
      <c r="F385" t="inlineStr">
        <is>
          <t>Holmen skog AB</t>
        </is>
      </c>
      <c r="G385" t="n">
        <v>16.8</v>
      </c>
      <c r="H385" t="n">
        <v>0</v>
      </c>
      <c r="I385" t="n">
        <v>0</v>
      </c>
      <c r="J385" t="n">
        <v>0</v>
      </c>
      <c r="K385" t="n">
        <v>0</v>
      </c>
      <c r="L385" t="n">
        <v>0</v>
      </c>
      <c r="M385" t="n">
        <v>0</v>
      </c>
      <c r="N385" t="n">
        <v>0</v>
      </c>
      <c r="O385" t="n">
        <v>0</v>
      </c>
      <c r="P385" t="n">
        <v>0</v>
      </c>
      <c r="Q385" t="n">
        <v>0</v>
      </c>
      <c r="R385" s="2" t="inlineStr"/>
    </row>
    <row r="386" ht="15" customHeight="1">
      <c r="A386" t="inlineStr">
        <is>
          <t>A 21358-2025</t>
        </is>
      </c>
      <c r="B386" s="1" t="n">
        <v>45782.42744212963</v>
      </c>
      <c r="C386" s="1" t="n">
        <v>45900</v>
      </c>
      <c r="D386" t="inlineStr">
        <is>
          <t>JÄMTLANDS LÄN</t>
        </is>
      </c>
      <c r="E386" t="inlineStr">
        <is>
          <t>HÄRJEDALEN</t>
        </is>
      </c>
      <c r="G386" t="n">
        <v>0.8</v>
      </c>
      <c r="H386" t="n">
        <v>0</v>
      </c>
      <c r="I386" t="n">
        <v>0</v>
      </c>
      <c r="J386" t="n">
        <v>0</v>
      </c>
      <c r="K386" t="n">
        <v>0</v>
      </c>
      <c r="L386" t="n">
        <v>0</v>
      </c>
      <c r="M386" t="n">
        <v>0</v>
      </c>
      <c r="N386" t="n">
        <v>0</v>
      </c>
      <c r="O386" t="n">
        <v>0</v>
      </c>
      <c r="P386" t="n">
        <v>0</v>
      </c>
      <c r="Q386" t="n">
        <v>0</v>
      </c>
      <c r="R386" s="2" t="inlineStr"/>
    </row>
    <row r="387" ht="15" customHeight="1">
      <c r="A387" t="inlineStr">
        <is>
          <t>A 21225-2025</t>
        </is>
      </c>
      <c r="B387" s="1" t="n">
        <v>45779.51357638889</v>
      </c>
      <c r="C387" s="1" t="n">
        <v>45900</v>
      </c>
      <c r="D387" t="inlineStr">
        <is>
          <t>JÄMTLANDS LÄN</t>
        </is>
      </c>
      <c r="E387" t="inlineStr">
        <is>
          <t>HÄRJEDALEN</t>
        </is>
      </c>
      <c r="F387" t="inlineStr">
        <is>
          <t>Holmen skog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39453-2021</t>
        </is>
      </c>
      <c r="B388" s="1" t="n">
        <v>44414.58354166667</v>
      </c>
      <c r="C388" s="1" t="n">
        <v>45900</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63979-2020</t>
        </is>
      </c>
      <c r="B389" s="1" t="n">
        <v>44167</v>
      </c>
      <c r="C389" s="1" t="n">
        <v>45900</v>
      </c>
      <c r="D389" t="inlineStr">
        <is>
          <t>JÄMTLANDS LÄN</t>
        </is>
      </c>
      <c r="E389" t="inlineStr">
        <is>
          <t>HÄRJEDALEN</t>
        </is>
      </c>
      <c r="G389" t="n">
        <v>10</v>
      </c>
      <c r="H389" t="n">
        <v>0</v>
      </c>
      <c r="I389" t="n">
        <v>0</v>
      </c>
      <c r="J389" t="n">
        <v>0</v>
      </c>
      <c r="K389" t="n">
        <v>0</v>
      </c>
      <c r="L389" t="n">
        <v>0</v>
      </c>
      <c r="M389" t="n">
        <v>0</v>
      </c>
      <c r="N389" t="n">
        <v>0</v>
      </c>
      <c r="O389" t="n">
        <v>0</v>
      </c>
      <c r="P389" t="n">
        <v>0</v>
      </c>
      <c r="Q389" t="n">
        <v>0</v>
      </c>
      <c r="R389" s="2" t="inlineStr"/>
    </row>
    <row r="390" ht="15" customHeight="1">
      <c r="A390" t="inlineStr">
        <is>
          <t>A 21944-2025</t>
        </is>
      </c>
      <c r="B390" s="1" t="n">
        <v>45784.59012731481</v>
      </c>
      <c r="C390" s="1" t="n">
        <v>45900</v>
      </c>
      <c r="D390" t="inlineStr">
        <is>
          <t>JÄMTLANDS LÄN</t>
        </is>
      </c>
      <c r="E390" t="inlineStr">
        <is>
          <t>HÄRJEDALEN</t>
        </is>
      </c>
      <c r="F390" t="inlineStr">
        <is>
          <t>Holmen skog AB</t>
        </is>
      </c>
      <c r="G390" t="n">
        <v>22.9</v>
      </c>
      <c r="H390" t="n">
        <v>0</v>
      </c>
      <c r="I390" t="n">
        <v>0</v>
      </c>
      <c r="J390" t="n">
        <v>0</v>
      </c>
      <c r="K390" t="n">
        <v>0</v>
      </c>
      <c r="L390" t="n">
        <v>0</v>
      </c>
      <c r="M390" t="n">
        <v>0</v>
      </c>
      <c r="N390" t="n">
        <v>0</v>
      </c>
      <c r="O390" t="n">
        <v>0</v>
      </c>
      <c r="P390" t="n">
        <v>0</v>
      </c>
      <c r="Q390" t="n">
        <v>0</v>
      </c>
      <c r="R390" s="2" t="inlineStr"/>
    </row>
    <row r="391" ht="15" customHeight="1">
      <c r="A391" t="inlineStr">
        <is>
          <t>A 54684-2024</t>
        </is>
      </c>
      <c r="B391" s="1" t="n">
        <v>45618.35961805555</v>
      </c>
      <c r="C391" s="1" t="n">
        <v>45900</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21797-2025</t>
        </is>
      </c>
      <c r="B392" s="1" t="n">
        <v>45783.68547453704</v>
      </c>
      <c r="C392" s="1" t="n">
        <v>45900</v>
      </c>
      <c r="D392" t="inlineStr">
        <is>
          <t>JÄMTLANDS LÄN</t>
        </is>
      </c>
      <c r="E392" t="inlineStr">
        <is>
          <t>HÄRJEDALEN</t>
        </is>
      </c>
      <c r="F392" t="inlineStr">
        <is>
          <t>Sveaskog</t>
        </is>
      </c>
      <c r="G392" t="n">
        <v>15.1</v>
      </c>
      <c r="H392" t="n">
        <v>0</v>
      </c>
      <c r="I392" t="n">
        <v>0</v>
      </c>
      <c r="J392" t="n">
        <v>0</v>
      </c>
      <c r="K392" t="n">
        <v>0</v>
      </c>
      <c r="L392" t="n">
        <v>0</v>
      </c>
      <c r="M392" t="n">
        <v>0</v>
      </c>
      <c r="N392" t="n">
        <v>0</v>
      </c>
      <c r="O392" t="n">
        <v>0</v>
      </c>
      <c r="P392" t="n">
        <v>0</v>
      </c>
      <c r="Q392" t="n">
        <v>0</v>
      </c>
      <c r="R392" s="2" t="inlineStr"/>
    </row>
    <row r="393" ht="15" customHeight="1">
      <c r="A393" t="inlineStr">
        <is>
          <t>A 58341-2024</t>
        </is>
      </c>
      <c r="B393" s="1" t="n">
        <v>45632.64078703704</v>
      </c>
      <c r="C393" s="1" t="n">
        <v>45900</v>
      </c>
      <c r="D393" t="inlineStr">
        <is>
          <t>JÄMTLANDS LÄN</t>
        </is>
      </c>
      <c r="E393" t="inlineStr">
        <is>
          <t>HÄRJEDALEN</t>
        </is>
      </c>
      <c r="G393" t="n">
        <v>7.9</v>
      </c>
      <c r="H393" t="n">
        <v>0</v>
      </c>
      <c r="I393" t="n">
        <v>0</v>
      </c>
      <c r="J393" t="n">
        <v>0</v>
      </c>
      <c r="K393" t="n">
        <v>0</v>
      </c>
      <c r="L393" t="n">
        <v>0</v>
      </c>
      <c r="M393" t="n">
        <v>0</v>
      </c>
      <c r="N393" t="n">
        <v>0</v>
      </c>
      <c r="O393" t="n">
        <v>0</v>
      </c>
      <c r="P393" t="n">
        <v>0</v>
      </c>
      <c r="Q393" t="n">
        <v>0</v>
      </c>
      <c r="R393" s="2" t="inlineStr"/>
    </row>
    <row r="394" ht="15" customHeight="1">
      <c r="A394" t="inlineStr">
        <is>
          <t>A 19100-2025</t>
        </is>
      </c>
      <c r="B394" s="1" t="n">
        <v>45768.29630787037</v>
      </c>
      <c r="C394" s="1" t="n">
        <v>45900</v>
      </c>
      <c r="D394" t="inlineStr">
        <is>
          <t>JÄMTLANDS LÄN</t>
        </is>
      </c>
      <c r="E394" t="inlineStr">
        <is>
          <t>HÄRJEDALEN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19106-2025</t>
        </is>
      </c>
      <c r="B395" s="1" t="n">
        <v>45768.30954861111</v>
      </c>
      <c r="C395" s="1" t="n">
        <v>45900</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29347-2024</t>
        </is>
      </c>
      <c r="B396" s="1" t="n">
        <v>45483.47572916667</v>
      </c>
      <c r="C396" s="1" t="n">
        <v>45900</v>
      </c>
      <c r="D396" t="inlineStr">
        <is>
          <t>JÄMTLANDS LÄN</t>
        </is>
      </c>
      <c r="E396" t="inlineStr">
        <is>
          <t>HÄRJEDALEN</t>
        </is>
      </c>
      <c r="G396" t="n">
        <v>35.8</v>
      </c>
      <c r="H396" t="n">
        <v>0</v>
      </c>
      <c r="I396" t="n">
        <v>0</v>
      </c>
      <c r="J396" t="n">
        <v>0</v>
      </c>
      <c r="K396" t="n">
        <v>0</v>
      </c>
      <c r="L396" t="n">
        <v>0</v>
      </c>
      <c r="M396" t="n">
        <v>0</v>
      </c>
      <c r="N396" t="n">
        <v>0</v>
      </c>
      <c r="O396" t="n">
        <v>0</v>
      </c>
      <c r="P396" t="n">
        <v>0</v>
      </c>
      <c r="Q396" t="n">
        <v>0</v>
      </c>
      <c r="R396" s="2" t="inlineStr"/>
    </row>
    <row r="397" ht="15" customHeight="1">
      <c r="A397" t="inlineStr">
        <is>
          <t>A 19955-2021</t>
        </is>
      </c>
      <c r="B397" s="1" t="n">
        <v>44312</v>
      </c>
      <c r="C397" s="1" t="n">
        <v>45900</v>
      </c>
      <c r="D397" t="inlineStr">
        <is>
          <t>JÄMTLANDS LÄN</t>
        </is>
      </c>
      <c r="E397" t="inlineStr">
        <is>
          <t>HÄRJEDALEN</t>
        </is>
      </c>
      <c r="G397" t="n">
        <v>4.6</v>
      </c>
      <c r="H397" t="n">
        <v>0</v>
      </c>
      <c r="I397" t="n">
        <v>0</v>
      </c>
      <c r="J397" t="n">
        <v>0</v>
      </c>
      <c r="K397" t="n">
        <v>0</v>
      </c>
      <c r="L397" t="n">
        <v>0</v>
      </c>
      <c r="M397" t="n">
        <v>0</v>
      </c>
      <c r="N397" t="n">
        <v>0</v>
      </c>
      <c r="O397" t="n">
        <v>0</v>
      </c>
      <c r="P397" t="n">
        <v>0</v>
      </c>
      <c r="Q397" t="n">
        <v>0</v>
      </c>
      <c r="R397" s="2" t="inlineStr"/>
    </row>
    <row r="398" ht="15" customHeight="1">
      <c r="A398" t="inlineStr">
        <is>
          <t>A 60054-2024</t>
        </is>
      </c>
      <c r="B398" s="1" t="n">
        <v>45642</v>
      </c>
      <c r="C398" s="1" t="n">
        <v>45900</v>
      </c>
      <c r="D398" t="inlineStr">
        <is>
          <t>JÄMTLANDS LÄN</t>
        </is>
      </c>
      <c r="E398" t="inlineStr">
        <is>
          <t>HÄRJEDALEN</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43760-2024</t>
        </is>
      </c>
      <c r="B399" s="1" t="n">
        <v>45569.6909837963</v>
      </c>
      <c r="C399" s="1" t="n">
        <v>45900</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18541-2025</t>
        </is>
      </c>
      <c r="B400" s="1" t="n">
        <v>45763.41402777778</v>
      </c>
      <c r="C400" s="1" t="n">
        <v>45900</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22502-2025</t>
        </is>
      </c>
      <c r="B401" s="1" t="n">
        <v>45786.66032407407</v>
      </c>
      <c r="C401" s="1" t="n">
        <v>45900</v>
      </c>
      <c r="D401" t="inlineStr">
        <is>
          <t>JÄMTLANDS LÄN</t>
        </is>
      </c>
      <c r="E401" t="inlineStr">
        <is>
          <t>HÄRJEDALEN</t>
        </is>
      </c>
      <c r="F401" t="inlineStr">
        <is>
          <t>Sveaskog</t>
        </is>
      </c>
      <c r="G401" t="n">
        <v>20.1</v>
      </c>
      <c r="H401" t="n">
        <v>0</v>
      </c>
      <c r="I401" t="n">
        <v>0</v>
      </c>
      <c r="J401" t="n">
        <v>0</v>
      </c>
      <c r="K401" t="n">
        <v>0</v>
      </c>
      <c r="L401" t="n">
        <v>0</v>
      </c>
      <c r="M401" t="n">
        <v>0</v>
      </c>
      <c r="N401" t="n">
        <v>0</v>
      </c>
      <c r="O401" t="n">
        <v>0</v>
      </c>
      <c r="P401" t="n">
        <v>0</v>
      </c>
      <c r="Q401" t="n">
        <v>0</v>
      </c>
      <c r="R401" s="2" t="inlineStr"/>
    </row>
    <row r="402" ht="15" customHeight="1">
      <c r="A402" t="inlineStr">
        <is>
          <t>A 22509-2025</t>
        </is>
      </c>
      <c r="B402" s="1" t="n">
        <v>45786.66853009259</v>
      </c>
      <c r="C402" s="1" t="n">
        <v>45900</v>
      </c>
      <c r="D402" t="inlineStr">
        <is>
          <t>JÄMTLANDS LÄN</t>
        </is>
      </c>
      <c r="E402" t="inlineStr">
        <is>
          <t>HÄRJEDALEN</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63546-2023</t>
        </is>
      </c>
      <c r="B403" s="1" t="n">
        <v>45275</v>
      </c>
      <c r="C403" s="1" t="n">
        <v>45900</v>
      </c>
      <c r="D403" t="inlineStr">
        <is>
          <t>JÄMTLANDS LÄN</t>
        </is>
      </c>
      <c r="E403" t="inlineStr">
        <is>
          <t>HÄRJEDALEN</t>
        </is>
      </c>
      <c r="G403" t="n">
        <v>4.5</v>
      </c>
      <c r="H403" t="n">
        <v>0</v>
      </c>
      <c r="I403" t="n">
        <v>0</v>
      </c>
      <c r="J403" t="n">
        <v>0</v>
      </c>
      <c r="K403" t="n">
        <v>0</v>
      </c>
      <c r="L403" t="n">
        <v>0</v>
      </c>
      <c r="M403" t="n">
        <v>0</v>
      </c>
      <c r="N403" t="n">
        <v>0</v>
      </c>
      <c r="O403" t="n">
        <v>0</v>
      </c>
      <c r="P403" t="n">
        <v>0</v>
      </c>
      <c r="Q403" t="n">
        <v>0</v>
      </c>
      <c r="R403" s="2" t="inlineStr"/>
    </row>
    <row r="404" ht="15" customHeight="1">
      <c r="A404" t="inlineStr">
        <is>
          <t>A 43294-2024</t>
        </is>
      </c>
      <c r="B404" s="1" t="n">
        <v>45568</v>
      </c>
      <c r="C404" s="1" t="n">
        <v>45900</v>
      </c>
      <c r="D404" t="inlineStr">
        <is>
          <t>JÄMTLANDS LÄN</t>
        </is>
      </c>
      <c r="E404" t="inlineStr">
        <is>
          <t>HÄRJEDALEN</t>
        </is>
      </c>
      <c r="F404" t="inlineStr">
        <is>
          <t>SCA</t>
        </is>
      </c>
      <c r="G404" t="n">
        <v>18.5</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45900</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62641-2022</t>
        </is>
      </c>
      <c r="B406" s="1" t="n">
        <v>44925</v>
      </c>
      <c r="C406" s="1" t="n">
        <v>45900</v>
      </c>
      <c r="D406" t="inlineStr">
        <is>
          <t>JÄMTLANDS LÄN</t>
        </is>
      </c>
      <c r="E406" t="inlineStr">
        <is>
          <t>HÄRJEDALEN</t>
        </is>
      </c>
      <c r="G406" t="n">
        <v>2.7</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45900</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23467-2024</t>
        </is>
      </c>
      <c r="B408" s="1" t="n">
        <v>45453.6619212963</v>
      </c>
      <c r="C408" s="1" t="n">
        <v>45900</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45260.35777777778</v>
      </c>
      <c r="C409" s="1" t="n">
        <v>45900</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45900</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45900</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41401-2024</t>
        </is>
      </c>
      <c r="B412" s="1" t="n">
        <v>45560.33311342593</v>
      </c>
      <c r="C412" s="1" t="n">
        <v>45900</v>
      </c>
      <c r="D412" t="inlineStr">
        <is>
          <t>JÄMTLANDS LÄN</t>
        </is>
      </c>
      <c r="E412" t="inlineStr">
        <is>
          <t>HÄRJEDALEN</t>
        </is>
      </c>
      <c r="F412" t="inlineStr">
        <is>
          <t>Bergvik skog väst AB</t>
        </is>
      </c>
      <c r="G412" t="n">
        <v>6.6</v>
      </c>
      <c r="H412" t="n">
        <v>0</v>
      </c>
      <c r="I412" t="n">
        <v>0</v>
      </c>
      <c r="J412" t="n">
        <v>0</v>
      </c>
      <c r="K412" t="n">
        <v>0</v>
      </c>
      <c r="L412" t="n">
        <v>0</v>
      </c>
      <c r="M412" t="n">
        <v>0</v>
      </c>
      <c r="N412" t="n">
        <v>0</v>
      </c>
      <c r="O412" t="n">
        <v>0</v>
      </c>
      <c r="P412" t="n">
        <v>0</v>
      </c>
      <c r="Q412" t="n">
        <v>0</v>
      </c>
      <c r="R412" s="2" t="inlineStr"/>
    </row>
    <row r="413" ht="15" customHeight="1">
      <c r="A413" t="inlineStr">
        <is>
          <t>A 37281-2024</t>
        </is>
      </c>
      <c r="B413" s="1" t="n">
        <v>45540.4264699074</v>
      </c>
      <c r="C413" s="1" t="n">
        <v>45900</v>
      </c>
      <c r="D413" t="inlineStr">
        <is>
          <t>JÄMTLANDS LÄN</t>
        </is>
      </c>
      <c r="E413" t="inlineStr">
        <is>
          <t>HÄRJEDALEN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62721-2022</t>
        </is>
      </c>
      <c r="B414" s="1" t="n">
        <v>44925.64049768518</v>
      </c>
      <c r="C414" s="1" t="n">
        <v>45900</v>
      </c>
      <c r="D414" t="inlineStr">
        <is>
          <t>JÄMTLANDS LÄN</t>
        </is>
      </c>
      <c r="E414" t="inlineStr">
        <is>
          <t>HÄRJEDALEN</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22505-2025</t>
        </is>
      </c>
      <c r="B415" s="1" t="n">
        <v>45786.66425925926</v>
      </c>
      <c r="C415" s="1" t="n">
        <v>45900</v>
      </c>
      <c r="D415" t="inlineStr">
        <is>
          <t>JÄMTLANDS LÄN</t>
        </is>
      </c>
      <c r="E415" t="inlineStr">
        <is>
          <t>HÄRJEDALEN</t>
        </is>
      </c>
      <c r="F415" t="inlineStr">
        <is>
          <t>Sveaskog</t>
        </is>
      </c>
      <c r="G415" t="n">
        <v>9.4</v>
      </c>
      <c r="H415" t="n">
        <v>0</v>
      </c>
      <c r="I415" t="n">
        <v>0</v>
      </c>
      <c r="J415" t="n">
        <v>0</v>
      </c>
      <c r="K415" t="n">
        <v>0</v>
      </c>
      <c r="L415" t="n">
        <v>0</v>
      </c>
      <c r="M415" t="n">
        <v>0</v>
      </c>
      <c r="N415" t="n">
        <v>0</v>
      </c>
      <c r="O415" t="n">
        <v>0</v>
      </c>
      <c r="P415" t="n">
        <v>0</v>
      </c>
      <c r="Q415" t="n">
        <v>0</v>
      </c>
      <c r="R415" s="2" t="inlineStr"/>
    </row>
    <row r="416" ht="15" customHeight="1">
      <c r="A416" t="inlineStr">
        <is>
          <t>A 13543-2024</t>
        </is>
      </c>
      <c r="B416" s="1" t="n">
        <v>45387</v>
      </c>
      <c r="C416" s="1" t="n">
        <v>45900</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24425-2024</t>
        </is>
      </c>
      <c r="B417" s="1" t="n">
        <v>45457.92854166667</v>
      </c>
      <c r="C417" s="1" t="n">
        <v>45900</v>
      </c>
      <c r="D417" t="inlineStr">
        <is>
          <t>JÄMTLANDS LÄN</t>
        </is>
      </c>
      <c r="E417" t="inlineStr">
        <is>
          <t>HÄRJEDALEN</t>
        </is>
      </c>
      <c r="G417" t="n">
        <v>15.8</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45900</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45900</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47765-2024</t>
        </is>
      </c>
      <c r="B420" s="1" t="n">
        <v>45588.56039351852</v>
      </c>
      <c r="C420" s="1" t="n">
        <v>45900</v>
      </c>
      <c r="D420" t="inlineStr">
        <is>
          <t>JÄMTLANDS LÄN</t>
        </is>
      </c>
      <c r="E420" t="inlineStr">
        <is>
          <t>HÄRJEDALEN</t>
        </is>
      </c>
      <c r="G420" t="n">
        <v>53.6</v>
      </c>
      <c r="H420" t="n">
        <v>0</v>
      </c>
      <c r="I420" t="n">
        <v>0</v>
      </c>
      <c r="J420" t="n">
        <v>0</v>
      </c>
      <c r="K420" t="n">
        <v>0</v>
      </c>
      <c r="L420" t="n">
        <v>0</v>
      </c>
      <c r="M420" t="n">
        <v>0</v>
      </c>
      <c r="N420" t="n">
        <v>0</v>
      </c>
      <c r="O420" t="n">
        <v>0</v>
      </c>
      <c r="P420" t="n">
        <v>0</v>
      </c>
      <c r="Q420" t="n">
        <v>0</v>
      </c>
      <c r="R420" s="2" t="inlineStr"/>
    </row>
    <row r="421" ht="15" customHeight="1">
      <c r="A421" t="inlineStr">
        <is>
          <t>A 26656-2021</t>
        </is>
      </c>
      <c r="B421" s="1" t="n">
        <v>44348</v>
      </c>
      <c r="C421" s="1" t="n">
        <v>45900</v>
      </c>
      <c r="D421" t="inlineStr">
        <is>
          <t>JÄMTLANDS LÄN</t>
        </is>
      </c>
      <c r="E421" t="inlineStr">
        <is>
          <t>HÄRJEDALEN</t>
        </is>
      </c>
      <c r="G421" t="n">
        <v>1.6</v>
      </c>
      <c r="H421" t="n">
        <v>0</v>
      </c>
      <c r="I421" t="n">
        <v>0</v>
      </c>
      <c r="J421" t="n">
        <v>0</v>
      </c>
      <c r="K421" t="n">
        <v>0</v>
      </c>
      <c r="L421" t="n">
        <v>0</v>
      </c>
      <c r="M421" t="n">
        <v>0</v>
      </c>
      <c r="N421" t="n">
        <v>0</v>
      </c>
      <c r="O421" t="n">
        <v>0</v>
      </c>
      <c r="P421" t="n">
        <v>0</v>
      </c>
      <c r="Q421" t="n">
        <v>0</v>
      </c>
      <c r="R421" s="2" t="inlineStr"/>
    </row>
    <row r="422" ht="15" customHeight="1">
      <c r="A422" t="inlineStr">
        <is>
          <t>A 59738-2023</t>
        </is>
      </c>
      <c r="B422" s="1" t="n">
        <v>45257</v>
      </c>
      <c r="C422" s="1" t="n">
        <v>45900</v>
      </c>
      <c r="D422" t="inlineStr">
        <is>
          <t>JÄMTLANDS LÄN</t>
        </is>
      </c>
      <c r="E422" t="inlineStr">
        <is>
          <t>HÄRJEDALEN</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52798-2024</t>
        </is>
      </c>
      <c r="B423" s="1" t="n">
        <v>45610.56706018518</v>
      </c>
      <c r="C423" s="1" t="n">
        <v>45900</v>
      </c>
      <c r="D423" t="inlineStr">
        <is>
          <t>JÄMTLANDS LÄN</t>
        </is>
      </c>
      <c r="E423" t="inlineStr">
        <is>
          <t>HÄRJEDALEN</t>
        </is>
      </c>
      <c r="F423" t="inlineStr">
        <is>
          <t>Holmen skog AB</t>
        </is>
      </c>
      <c r="G423" t="n">
        <v>2.8</v>
      </c>
      <c r="H423" t="n">
        <v>0</v>
      </c>
      <c r="I423" t="n">
        <v>0</v>
      </c>
      <c r="J423" t="n">
        <v>0</v>
      </c>
      <c r="K423" t="n">
        <v>0</v>
      </c>
      <c r="L423" t="n">
        <v>0</v>
      </c>
      <c r="M423" t="n">
        <v>0</v>
      </c>
      <c r="N423" t="n">
        <v>0</v>
      </c>
      <c r="O423" t="n">
        <v>0</v>
      </c>
      <c r="P423" t="n">
        <v>0</v>
      </c>
      <c r="Q423" t="n">
        <v>0</v>
      </c>
      <c r="R423" s="2" t="inlineStr"/>
    </row>
    <row r="424" ht="15" customHeight="1">
      <c r="A424" t="inlineStr">
        <is>
          <t>A 22915-2025</t>
        </is>
      </c>
      <c r="B424" s="1" t="n">
        <v>45790.43</v>
      </c>
      <c r="C424" s="1" t="n">
        <v>45900</v>
      </c>
      <c r="D424" t="inlineStr">
        <is>
          <t>JÄMTLANDS LÄN</t>
        </is>
      </c>
      <c r="E424" t="inlineStr">
        <is>
          <t>HÄRJEDALEN</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64144-2023</t>
        </is>
      </c>
      <c r="B425" s="1" t="n">
        <v>45279.57732638889</v>
      </c>
      <c r="C425" s="1" t="n">
        <v>45900</v>
      </c>
      <c r="D425" t="inlineStr">
        <is>
          <t>JÄMTLANDS LÄN</t>
        </is>
      </c>
      <c r="E425" t="inlineStr">
        <is>
          <t>HÄRJEDALEN</t>
        </is>
      </c>
      <c r="G425" t="n">
        <v>0.5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45900</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45900</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45900</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10000-2023</t>
        </is>
      </c>
      <c r="B429" s="1" t="n">
        <v>44985</v>
      </c>
      <c r="C429" s="1" t="n">
        <v>45900</v>
      </c>
      <c r="D429" t="inlineStr">
        <is>
          <t>JÄMTLANDS LÄN</t>
        </is>
      </c>
      <c r="E429" t="inlineStr">
        <is>
          <t>HÄRJEDALEN</t>
        </is>
      </c>
      <c r="F429" t="inlineStr">
        <is>
          <t>Holmen skog AB</t>
        </is>
      </c>
      <c r="G429" t="n">
        <v>12.6</v>
      </c>
      <c r="H429" t="n">
        <v>0</v>
      </c>
      <c r="I429" t="n">
        <v>0</v>
      </c>
      <c r="J429" t="n">
        <v>0</v>
      </c>
      <c r="K429" t="n">
        <v>0</v>
      </c>
      <c r="L429" t="n">
        <v>0</v>
      </c>
      <c r="M429" t="n">
        <v>0</v>
      </c>
      <c r="N429" t="n">
        <v>0</v>
      </c>
      <c r="O429" t="n">
        <v>0</v>
      </c>
      <c r="P429" t="n">
        <v>0</v>
      </c>
      <c r="Q429" t="n">
        <v>0</v>
      </c>
      <c r="R429" s="2" t="inlineStr"/>
    </row>
    <row r="430" ht="15" customHeight="1">
      <c r="A430" t="inlineStr">
        <is>
          <t>A 47351-2022</t>
        </is>
      </c>
      <c r="B430" s="1" t="n">
        <v>44853.41693287037</v>
      </c>
      <c r="C430" s="1" t="n">
        <v>45900</v>
      </c>
      <c r="D430" t="inlineStr">
        <is>
          <t>JÄMTLANDS LÄN</t>
        </is>
      </c>
      <c r="E430" t="inlineStr">
        <is>
          <t>HÄRJEDALEN</t>
        </is>
      </c>
      <c r="G430" t="n">
        <v>1</v>
      </c>
      <c r="H430" t="n">
        <v>0</v>
      </c>
      <c r="I430" t="n">
        <v>0</v>
      </c>
      <c r="J430" t="n">
        <v>0</v>
      </c>
      <c r="K430" t="n">
        <v>0</v>
      </c>
      <c r="L430" t="n">
        <v>0</v>
      </c>
      <c r="M430" t="n">
        <v>0</v>
      </c>
      <c r="N430" t="n">
        <v>0</v>
      </c>
      <c r="O430" t="n">
        <v>0</v>
      </c>
      <c r="P430" t="n">
        <v>0</v>
      </c>
      <c r="Q430" t="n">
        <v>0</v>
      </c>
      <c r="R430" s="2" t="inlineStr"/>
    </row>
    <row r="431" ht="15" customHeight="1">
      <c r="A431" t="inlineStr">
        <is>
          <t>A 58866-2023</t>
        </is>
      </c>
      <c r="B431" s="1" t="n">
        <v>45252.45481481482</v>
      </c>
      <c r="C431" s="1" t="n">
        <v>45900</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4711-2023</t>
        </is>
      </c>
      <c r="B432" s="1" t="n">
        <v>44957</v>
      </c>
      <c r="C432" s="1" t="n">
        <v>45900</v>
      </c>
      <c r="D432" t="inlineStr">
        <is>
          <t>JÄMTLANDS LÄN</t>
        </is>
      </c>
      <c r="E432" t="inlineStr">
        <is>
          <t>HÄRJEDALEN</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46499-2024</t>
        </is>
      </c>
      <c r="B433" s="1" t="n">
        <v>45582.59753472222</v>
      </c>
      <c r="C433" s="1" t="n">
        <v>45900</v>
      </c>
      <c r="D433" t="inlineStr">
        <is>
          <t>JÄMTLANDS LÄN</t>
        </is>
      </c>
      <c r="E433" t="inlineStr">
        <is>
          <t>HÄRJEDALEN</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55388-2021</t>
        </is>
      </c>
      <c r="B434" s="1" t="n">
        <v>44475</v>
      </c>
      <c r="C434" s="1" t="n">
        <v>45900</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27261-2023</t>
        </is>
      </c>
      <c r="B435" s="1" t="n">
        <v>45096.62344907408</v>
      </c>
      <c r="C435" s="1" t="n">
        <v>45900</v>
      </c>
      <c r="D435" t="inlineStr">
        <is>
          <t>JÄMTLANDS LÄN</t>
        </is>
      </c>
      <c r="E435" t="inlineStr">
        <is>
          <t>HÄRJEDALEN</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23596-2025</t>
        </is>
      </c>
      <c r="B436" s="1" t="n">
        <v>45792.64795138889</v>
      </c>
      <c r="C436" s="1" t="n">
        <v>45900</v>
      </c>
      <c r="D436" t="inlineStr">
        <is>
          <t>JÄMTLANDS LÄN</t>
        </is>
      </c>
      <c r="E436" t="inlineStr">
        <is>
          <t>HÄRJEDALEN</t>
        </is>
      </c>
      <c r="G436" t="n">
        <v>3.4</v>
      </c>
      <c r="H436" t="n">
        <v>0</v>
      </c>
      <c r="I436" t="n">
        <v>0</v>
      </c>
      <c r="J436" t="n">
        <v>0</v>
      </c>
      <c r="K436" t="n">
        <v>0</v>
      </c>
      <c r="L436" t="n">
        <v>0</v>
      </c>
      <c r="M436" t="n">
        <v>0</v>
      </c>
      <c r="N436" t="n">
        <v>0</v>
      </c>
      <c r="O436" t="n">
        <v>0</v>
      </c>
      <c r="P436" t="n">
        <v>0</v>
      </c>
      <c r="Q436" t="n">
        <v>0</v>
      </c>
      <c r="R436" s="2" t="inlineStr"/>
    </row>
    <row r="437" ht="15" customHeight="1">
      <c r="A437" t="inlineStr">
        <is>
          <t>A 42143-2023</t>
        </is>
      </c>
      <c r="B437" s="1" t="n">
        <v>45177.9224537037</v>
      </c>
      <c r="C437" s="1" t="n">
        <v>45900</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58105-2024</t>
        </is>
      </c>
      <c r="B438" s="1" t="n">
        <v>45632</v>
      </c>
      <c r="C438" s="1" t="n">
        <v>45900</v>
      </c>
      <c r="D438" t="inlineStr">
        <is>
          <t>JÄMTLANDS LÄN</t>
        </is>
      </c>
      <c r="E438" t="inlineStr">
        <is>
          <t>HÄRJEDALEN</t>
        </is>
      </c>
      <c r="G438" t="n">
        <v>0.3</v>
      </c>
      <c r="H438" t="n">
        <v>0</v>
      </c>
      <c r="I438" t="n">
        <v>0</v>
      </c>
      <c r="J438" t="n">
        <v>0</v>
      </c>
      <c r="K438" t="n">
        <v>0</v>
      </c>
      <c r="L438" t="n">
        <v>0</v>
      </c>
      <c r="M438" t="n">
        <v>0</v>
      </c>
      <c r="N438" t="n">
        <v>0</v>
      </c>
      <c r="O438" t="n">
        <v>0</v>
      </c>
      <c r="P438" t="n">
        <v>0</v>
      </c>
      <c r="Q438" t="n">
        <v>0</v>
      </c>
      <c r="R438" s="2" t="inlineStr"/>
    </row>
    <row r="439" ht="15" customHeight="1">
      <c r="A439" t="inlineStr">
        <is>
          <t>A 56061-2024</t>
        </is>
      </c>
      <c r="B439" s="1" t="n">
        <v>45624.36858796296</v>
      </c>
      <c r="C439" s="1" t="n">
        <v>45900</v>
      </c>
      <c r="D439" t="inlineStr">
        <is>
          <t>JÄMTLANDS LÄN</t>
        </is>
      </c>
      <c r="E439" t="inlineStr">
        <is>
          <t>HÄRJEDALEN</t>
        </is>
      </c>
      <c r="G439" t="n">
        <v>7.9</v>
      </c>
      <c r="H439" t="n">
        <v>0</v>
      </c>
      <c r="I439" t="n">
        <v>0</v>
      </c>
      <c r="J439" t="n">
        <v>0</v>
      </c>
      <c r="K439" t="n">
        <v>0</v>
      </c>
      <c r="L439" t="n">
        <v>0</v>
      </c>
      <c r="M439" t="n">
        <v>0</v>
      </c>
      <c r="N439" t="n">
        <v>0</v>
      </c>
      <c r="O439" t="n">
        <v>0</v>
      </c>
      <c r="P439" t="n">
        <v>0</v>
      </c>
      <c r="Q439" t="n">
        <v>0</v>
      </c>
      <c r="R439" s="2" t="inlineStr"/>
    </row>
    <row r="440" ht="15" customHeight="1">
      <c r="A440" t="inlineStr">
        <is>
          <t>A 23068-2025</t>
        </is>
      </c>
      <c r="B440" s="1" t="n">
        <v>45790.87653935186</v>
      </c>
      <c r="C440" s="1" t="n">
        <v>45900</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29580-2024</t>
        </is>
      </c>
      <c r="B441" s="1" t="n">
        <v>45484.57285879629</v>
      </c>
      <c r="C441" s="1" t="n">
        <v>45900</v>
      </c>
      <c r="D441" t="inlineStr">
        <is>
          <t>JÄMTLANDS LÄN</t>
        </is>
      </c>
      <c r="E441" t="inlineStr">
        <is>
          <t>HÄRJEDALEN</t>
        </is>
      </c>
      <c r="F441" t="inlineStr">
        <is>
          <t>Holmen skog AB</t>
        </is>
      </c>
      <c r="G441" t="n">
        <v>38.1</v>
      </c>
      <c r="H441" t="n">
        <v>0</v>
      </c>
      <c r="I441" t="n">
        <v>0</v>
      </c>
      <c r="J441" t="n">
        <v>0</v>
      </c>
      <c r="K441" t="n">
        <v>0</v>
      </c>
      <c r="L441" t="n">
        <v>0</v>
      </c>
      <c r="M441" t="n">
        <v>0</v>
      </c>
      <c r="N441" t="n">
        <v>0</v>
      </c>
      <c r="O441" t="n">
        <v>0</v>
      </c>
      <c r="P441" t="n">
        <v>0</v>
      </c>
      <c r="Q441" t="n">
        <v>0</v>
      </c>
      <c r="R441" s="2" t="inlineStr"/>
    </row>
    <row r="442" ht="15" customHeight="1">
      <c r="A442" t="inlineStr">
        <is>
          <t>A 60429-2020</t>
        </is>
      </c>
      <c r="B442" s="1" t="n">
        <v>44153</v>
      </c>
      <c r="C442" s="1" t="n">
        <v>45900</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59427-2024</t>
        </is>
      </c>
      <c r="B443" s="1" t="n">
        <v>45638.416875</v>
      </c>
      <c r="C443" s="1" t="n">
        <v>45900</v>
      </c>
      <c r="D443" t="inlineStr">
        <is>
          <t>JÄMTLANDS LÄN</t>
        </is>
      </c>
      <c r="E443" t="inlineStr">
        <is>
          <t>HÄRJEDALEN</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23600-2025</t>
        </is>
      </c>
      <c r="B444" s="1" t="n">
        <v>45792.65047453704</v>
      </c>
      <c r="C444" s="1" t="n">
        <v>45900</v>
      </c>
      <c r="D444" t="inlineStr">
        <is>
          <t>JÄMTLANDS LÄN</t>
        </is>
      </c>
      <c r="E444" t="inlineStr">
        <is>
          <t>HÄRJEDALEN</t>
        </is>
      </c>
      <c r="G444" t="n">
        <v>0.7</v>
      </c>
      <c r="H444" t="n">
        <v>0</v>
      </c>
      <c r="I444" t="n">
        <v>0</v>
      </c>
      <c r="J444" t="n">
        <v>0</v>
      </c>
      <c r="K444" t="n">
        <v>0</v>
      </c>
      <c r="L444" t="n">
        <v>0</v>
      </c>
      <c r="M444" t="n">
        <v>0</v>
      </c>
      <c r="N444" t="n">
        <v>0</v>
      </c>
      <c r="O444" t="n">
        <v>0</v>
      </c>
      <c r="P444" t="n">
        <v>0</v>
      </c>
      <c r="Q444" t="n">
        <v>0</v>
      </c>
      <c r="R444" s="2" t="inlineStr"/>
    </row>
    <row r="445" ht="15" customHeight="1">
      <c r="A445" t="inlineStr">
        <is>
          <t>A 51964-2024</t>
        </is>
      </c>
      <c r="B445" s="1" t="n">
        <v>45607</v>
      </c>
      <c r="C445" s="1" t="n">
        <v>45900</v>
      </c>
      <c r="D445" t="inlineStr">
        <is>
          <t>JÄMTLANDS LÄN</t>
        </is>
      </c>
      <c r="E445" t="inlineStr">
        <is>
          <t>HÄRJEDALEN</t>
        </is>
      </c>
      <c r="F445" t="inlineStr">
        <is>
          <t>Holmen skog AB</t>
        </is>
      </c>
      <c r="G445" t="n">
        <v>5</v>
      </c>
      <c r="H445" t="n">
        <v>0</v>
      </c>
      <c r="I445" t="n">
        <v>0</v>
      </c>
      <c r="J445" t="n">
        <v>0</v>
      </c>
      <c r="K445" t="n">
        <v>0</v>
      </c>
      <c r="L445" t="n">
        <v>0</v>
      </c>
      <c r="M445" t="n">
        <v>0</v>
      </c>
      <c r="N445" t="n">
        <v>0</v>
      </c>
      <c r="O445" t="n">
        <v>0</v>
      </c>
      <c r="P445" t="n">
        <v>0</v>
      </c>
      <c r="Q445" t="n">
        <v>0</v>
      </c>
      <c r="R445" s="2" t="inlineStr"/>
    </row>
    <row r="446" ht="15" customHeight="1">
      <c r="A446" t="inlineStr">
        <is>
          <t>A 10342-2023</t>
        </is>
      </c>
      <c r="B446" s="1" t="n">
        <v>44987.35282407407</v>
      </c>
      <c r="C446" s="1" t="n">
        <v>45900</v>
      </c>
      <c r="D446" t="inlineStr">
        <is>
          <t>JÄMTLANDS LÄN</t>
        </is>
      </c>
      <c r="E446" t="inlineStr">
        <is>
          <t>HÄRJEDALEN</t>
        </is>
      </c>
      <c r="F446" t="inlineStr">
        <is>
          <t>Holmen skog AB</t>
        </is>
      </c>
      <c r="G446" t="n">
        <v>32.6</v>
      </c>
      <c r="H446" t="n">
        <v>0</v>
      </c>
      <c r="I446" t="n">
        <v>0</v>
      </c>
      <c r="J446" t="n">
        <v>0</v>
      </c>
      <c r="K446" t="n">
        <v>0</v>
      </c>
      <c r="L446" t="n">
        <v>0</v>
      </c>
      <c r="M446" t="n">
        <v>0</v>
      </c>
      <c r="N446" t="n">
        <v>0</v>
      </c>
      <c r="O446" t="n">
        <v>0</v>
      </c>
      <c r="P446" t="n">
        <v>0</v>
      </c>
      <c r="Q446" t="n">
        <v>0</v>
      </c>
      <c r="R446" s="2" t="inlineStr"/>
    </row>
    <row r="447" ht="15" customHeight="1">
      <c r="A447" t="inlineStr">
        <is>
          <t>A 32964-2024</t>
        </is>
      </c>
      <c r="B447" s="1" t="n">
        <v>45517.39274305556</v>
      </c>
      <c r="C447" s="1" t="n">
        <v>45900</v>
      </c>
      <c r="D447" t="inlineStr">
        <is>
          <t>JÄMTLANDS LÄN</t>
        </is>
      </c>
      <c r="E447" t="inlineStr">
        <is>
          <t>HÄRJEDALEN</t>
        </is>
      </c>
      <c r="F447" t="inlineStr">
        <is>
          <t>Kommuner</t>
        </is>
      </c>
      <c r="G447" t="n">
        <v>30.3</v>
      </c>
      <c r="H447" t="n">
        <v>0</v>
      </c>
      <c r="I447" t="n">
        <v>0</v>
      </c>
      <c r="J447" t="n">
        <v>0</v>
      </c>
      <c r="K447" t="n">
        <v>0</v>
      </c>
      <c r="L447" t="n">
        <v>0</v>
      </c>
      <c r="M447" t="n">
        <v>0</v>
      </c>
      <c r="N447" t="n">
        <v>0</v>
      </c>
      <c r="O447" t="n">
        <v>0</v>
      </c>
      <c r="P447" t="n">
        <v>0</v>
      </c>
      <c r="Q447" t="n">
        <v>0</v>
      </c>
      <c r="R447" s="2" t="inlineStr"/>
    </row>
    <row r="448" ht="15" customHeight="1">
      <c r="A448" t="inlineStr">
        <is>
          <t>A 20238-2025</t>
        </is>
      </c>
      <c r="B448" s="1" t="n">
        <v>45772.69290509259</v>
      </c>
      <c r="C448" s="1" t="n">
        <v>45900</v>
      </c>
      <c r="D448" t="inlineStr">
        <is>
          <t>JÄMTLANDS LÄN</t>
        </is>
      </c>
      <c r="E448" t="inlineStr">
        <is>
          <t>HÄRJEDALEN</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23518-2025</t>
        </is>
      </c>
      <c r="B449" s="1" t="n">
        <v>45792.50942129629</v>
      </c>
      <c r="C449" s="1" t="n">
        <v>45900</v>
      </c>
      <c r="D449" t="inlineStr">
        <is>
          <t>JÄMTLANDS LÄN</t>
        </is>
      </c>
      <c r="E449" t="inlineStr">
        <is>
          <t>HÄRJEDALEN</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29774-2024</t>
        </is>
      </c>
      <c r="B450" s="1" t="n">
        <v>45485</v>
      </c>
      <c r="C450" s="1" t="n">
        <v>45900</v>
      </c>
      <c r="D450" t="inlineStr">
        <is>
          <t>JÄMTLANDS LÄN</t>
        </is>
      </c>
      <c r="E450" t="inlineStr">
        <is>
          <t>HÄRJEDALEN</t>
        </is>
      </c>
      <c r="G450" t="n">
        <v>4.5</v>
      </c>
      <c r="H450" t="n">
        <v>0</v>
      </c>
      <c r="I450" t="n">
        <v>0</v>
      </c>
      <c r="J450" t="n">
        <v>0</v>
      </c>
      <c r="K450" t="n">
        <v>0</v>
      </c>
      <c r="L450" t="n">
        <v>0</v>
      </c>
      <c r="M450" t="n">
        <v>0</v>
      </c>
      <c r="N450" t="n">
        <v>0</v>
      </c>
      <c r="O450" t="n">
        <v>0</v>
      </c>
      <c r="P450" t="n">
        <v>0</v>
      </c>
      <c r="Q450" t="n">
        <v>0</v>
      </c>
      <c r="R450" s="2" t="inlineStr"/>
    </row>
    <row r="451" ht="15" customHeight="1">
      <c r="A451" t="inlineStr">
        <is>
          <t>A 18620-2023</t>
        </is>
      </c>
      <c r="B451" s="1" t="n">
        <v>45041</v>
      </c>
      <c r="C451" s="1" t="n">
        <v>45900</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41387-2021</t>
        </is>
      </c>
      <c r="B452" s="1" t="n">
        <v>44424</v>
      </c>
      <c r="C452" s="1" t="n">
        <v>45900</v>
      </c>
      <c r="D452" t="inlineStr">
        <is>
          <t>JÄMTLANDS LÄN</t>
        </is>
      </c>
      <c r="E452" t="inlineStr">
        <is>
          <t>HÄRJEDALEN</t>
        </is>
      </c>
      <c r="G452" t="n">
        <v>9.5</v>
      </c>
      <c r="H452" t="n">
        <v>0</v>
      </c>
      <c r="I452" t="n">
        <v>0</v>
      </c>
      <c r="J452" t="n">
        <v>0</v>
      </c>
      <c r="K452" t="n">
        <v>0</v>
      </c>
      <c r="L452" t="n">
        <v>0</v>
      </c>
      <c r="M452" t="n">
        <v>0</v>
      </c>
      <c r="N452" t="n">
        <v>0</v>
      </c>
      <c r="O452" t="n">
        <v>0</v>
      </c>
      <c r="P452" t="n">
        <v>0</v>
      </c>
      <c r="Q452" t="n">
        <v>0</v>
      </c>
      <c r="R452" s="2" t="inlineStr"/>
    </row>
    <row r="453" ht="15" customHeight="1">
      <c r="A453" t="inlineStr">
        <is>
          <t>A 41058-2023</t>
        </is>
      </c>
      <c r="B453" s="1" t="n">
        <v>45173</v>
      </c>
      <c r="C453" s="1" t="n">
        <v>45900</v>
      </c>
      <c r="D453" t="inlineStr">
        <is>
          <t>JÄMTLANDS LÄN</t>
        </is>
      </c>
      <c r="E453" t="inlineStr">
        <is>
          <t>HÄRJEDALEN</t>
        </is>
      </c>
      <c r="G453" t="n">
        <v>6</v>
      </c>
      <c r="H453" t="n">
        <v>0</v>
      </c>
      <c r="I453" t="n">
        <v>0</v>
      </c>
      <c r="J453" t="n">
        <v>0</v>
      </c>
      <c r="K453" t="n">
        <v>0</v>
      </c>
      <c r="L453" t="n">
        <v>0</v>
      </c>
      <c r="M453" t="n">
        <v>0</v>
      </c>
      <c r="N453" t="n">
        <v>0</v>
      </c>
      <c r="O453" t="n">
        <v>0</v>
      </c>
      <c r="P453" t="n">
        <v>0</v>
      </c>
      <c r="Q453" t="n">
        <v>0</v>
      </c>
      <c r="R453" s="2" t="inlineStr"/>
    </row>
    <row r="454" ht="15" customHeight="1">
      <c r="A454" t="inlineStr">
        <is>
          <t>A 40569-2023</t>
        </is>
      </c>
      <c r="B454" s="1" t="n">
        <v>45170.4643287037</v>
      </c>
      <c r="C454" s="1" t="n">
        <v>45900</v>
      </c>
      <c r="D454" t="inlineStr">
        <is>
          <t>JÄMTLANDS LÄN</t>
        </is>
      </c>
      <c r="E454" t="inlineStr">
        <is>
          <t>HÄRJEDALEN</t>
        </is>
      </c>
      <c r="F454" t="inlineStr">
        <is>
          <t>Holmen skog AB</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54678-2024</t>
        </is>
      </c>
      <c r="B455" s="1" t="n">
        <v>45618.35097222222</v>
      </c>
      <c r="C455" s="1" t="n">
        <v>45900</v>
      </c>
      <c r="D455" t="inlineStr">
        <is>
          <t>JÄMTLANDS LÄN</t>
        </is>
      </c>
      <c r="E455" t="inlineStr">
        <is>
          <t>HÄRJEDALEN</t>
        </is>
      </c>
      <c r="G455" t="n">
        <v>16.9</v>
      </c>
      <c r="H455" t="n">
        <v>0</v>
      </c>
      <c r="I455" t="n">
        <v>0</v>
      </c>
      <c r="J455" t="n">
        <v>0</v>
      </c>
      <c r="K455" t="n">
        <v>0</v>
      </c>
      <c r="L455" t="n">
        <v>0</v>
      </c>
      <c r="M455" t="n">
        <v>0</v>
      </c>
      <c r="N455" t="n">
        <v>0</v>
      </c>
      <c r="O455" t="n">
        <v>0</v>
      </c>
      <c r="P455" t="n">
        <v>0</v>
      </c>
      <c r="Q455" t="n">
        <v>0</v>
      </c>
      <c r="R455" s="2" t="inlineStr"/>
    </row>
    <row r="456" ht="15" customHeight="1">
      <c r="A456" t="inlineStr">
        <is>
          <t>A 25893-2024</t>
        </is>
      </c>
      <c r="B456" s="1" t="n">
        <v>45467</v>
      </c>
      <c r="C456" s="1" t="n">
        <v>45900</v>
      </c>
      <c r="D456" t="inlineStr">
        <is>
          <t>JÄMTLANDS LÄN</t>
        </is>
      </c>
      <c r="E456" t="inlineStr">
        <is>
          <t>HÄRJEDALEN</t>
        </is>
      </c>
      <c r="G456" t="n">
        <v>12.8</v>
      </c>
      <c r="H456" t="n">
        <v>0</v>
      </c>
      <c r="I456" t="n">
        <v>0</v>
      </c>
      <c r="J456" t="n">
        <v>0</v>
      </c>
      <c r="K456" t="n">
        <v>0</v>
      </c>
      <c r="L456" t="n">
        <v>0</v>
      </c>
      <c r="M456" t="n">
        <v>0</v>
      </c>
      <c r="N456" t="n">
        <v>0</v>
      </c>
      <c r="O456" t="n">
        <v>0</v>
      </c>
      <c r="P456" t="n">
        <v>0</v>
      </c>
      <c r="Q456" t="n">
        <v>0</v>
      </c>
      <c r="R456" s="2" t="inlineStr"/>
    </row>
    <row r="457" ht="15" customHeight="1">
      <c r="A457" t="inlineStr">
        <is>
          <t>A 59293-2024</t>
        </is>
      </c>
      <c r="B457" s="1" t="n">
        <v>45637</v>
      </c>
      <c r="C457" s="1" t="n">
        <v>45900</v>
      </c>
      <c r="D457" t="inlineStr">
        <is>
          <t>JÄMTLANDS LÄN</t>
        </is>
      </c>
      <c r="E457" t="inlineStr">
        <is>
          <t>HÄRJEDALEN</t>
        </is>
      </c>
      <c r="G457" t="n">
        <v>1.6</v>
      </c>
      <c r="H457" t="n">
        <v>0</v>
      </c>
      <c r="I457" t="n">
        <v>0</v>
      </c>
      <c r="J457" t="n">
        <v>0</v>
      </c>
      <c r="K457" t="n">
        <v>0</v>
      </c>
      <c r="L457" t="n">
        <v>0</v>
      </c>
      <c r="M457" t="n">
        <v>0</v>
      </c>
      <c r="N457" t="n">
        <v>0</v>
      </c>
      <c r="O457" t="n">
        <v>0</v>
      </c>
      <c r="P457" t="n">
        <v>0</v>
      </c>
      <c r="Q457" t="n">
        <v>0</v>
      </c>
      <c r="R457" s="2" t="inlineStr"/>
    </row>
    <row r="458" ht="15" customHeight="1">
      <c r="A458" t="inlineStr">
        <is>
          <t>A 29602-2024</t>
        </is>
      </c>
      <c r="B458" s="1" t="n">
        <v>45484</v>
      </c>
      <c r="C458" s="1" t="n">
        <v>45900</v>
      </c>
      <c r="D458" t="inlineStr">
        <is>
          <t>JÄMTLANDS LÄN</t>
        </is>
      </c>
      <c r="E458" t="inlineStr">
        <is>
          <t>HÄRJEDALEN</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28930-2024</t>
        </is>
      </c>
      <c r="B459" s="1" t="n">
        <v>45481.3330787037</v>
      </c>
      <c r="C459" s="1" t="n">
        <v>45900</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23986-2025</t>
        </is>
      </c>
      <c r="B460" s="1" t="n">
        <v>45796.39770833333</v>
      </c>
      <c r="C460" s="1" t="n">
        <v>45900</v>
      </c>
      <c r="D460" t="inlineStr">
        <is>
          <t>JÄMTLANDS LÄN</t>
        </is>
      </c>
      <c r="E460" t="inlineStr">
        <is>
          <t>HÄRJEDALEN</t>
        </is>
      </c>
      <c r="G460" t="n">
        <v>5.1</v>
      </c>
      <c r="H460" t="n">
        <v>0</v>
      </c>
      <c r="I460" t="n">
        <v>0</v>
      </c>
      <c r="J460" t="n">
        <v>0</v>
      </c>
      <c r="K460" t="n">
        <v>0</v>
      </c>
      <c r="L460" t="n">
        <v>0</v>
      </c>
      <c r="M460" t="n">
        <v>0</v>
      </c>
      <c r="N460" t="n">
        <v>0</v>
      </c>
      <c r="O460" t="n">
        <v>0</v>
      </c>
      <c r="P460" t="n">
        <v>0</v>
      </c>
      <c r="Q460" t="n">
        <v>0</v>
      </c>
      <c r="R460" s="2" t="inlineStr"/>
    </row>
    <row r="461" ht="15" customHeight="1">
      <c r="A461" t="inlineStr">
        <is>
          <t>A 31587-2024</t>
        </is>
      </c>
      <c r="B461" s="1" t="n">
        <v>45506.36534722222</v>
      </c>
      <c r="C461" s="1" t="n">
        <v>45900</v>
      </c>
      <c r="D461" t="inlineStr">
        <is>
          <t>JÄMTLANDS LÄN</t>
        </is>
      </c>
      <c r="E461" t="inlineStr">
        <is>
          <t>HÄRJEDALEN</t>
        </is>
      </c>
      <c r="G461" t="n">
        <v>3.3</v>
      </c>
      <c r="H461" t="n">
        <v>0</v>
      </c>
      <c r="I461" t="n">
        <v>0</v>
      </c>
      <c r="J461" t="n">
        <v>0</v>
      </c>
      <c r="K461" t="n">
        <v>0</v>
      </c>
      <c r="L461" t="n">
        <v>0</v>
      </c>
      <c r="M461" t="n">
        <v>0</v>
      </c>
      <c r="N461" t="n">
        <v>0</v>
      </c>
      <c r="O461" t="n">
        <v>0</v>
      </c>
      <c r="P461" t="n">
        <v>0</v>
      </c>
      <c r="Q461" t="n">
        <v>0</v>
      </c>
      <c r="R461" s="2" t="inlineStr"/>
    </row>
    <row r="462" ht="15" customHeight="1">
      <c r="A462" t="inlineStr">
        <is>
          <t>A 28686-2024</t>
        </is>
      </c>
      <c r="B462" s="1" t="n">
        <v>45478.48700231482</v>
      </c>
      <c r="C462" s="1" t="n">
        <v>45900</v>
      </c>
      <c r="D462" t="inlineStr">
        <is>
          <t>JÄMTLANDS LÄN</t>
        </is>
      </c>
      <c r="E462" t="inlineStr">
        <is>
          <t>HÄRJEDALEN</t>
        </is>
      </c>
      <c r="F462" t="inlineStr">
        <is>
          <t>Bergvik skog väst AB</t>
        </is>
      </c>
      <c r="G462" t="n">
        <v>0.2</v>
      </c>
      <c r="H462" t="n">
        <v>0</v>
      </c>
      <c r="I462" t="n">
        <v>0</v>
      </c>
      <c r="J462" t="n">
        <v>0</v>
      </c>
      <c r="K462" t="n">
        <v>0</v>
      </c>
      <c r="L462" t="n">
        <v>0</v>
      </c>
      <c r="M462" t="n">
        <v>0</v>
      </c>
      <c r="N462" t="n">
        <v>0</v>
      </c>
      <c r="O462" t="n">
        <v>0</v>
      </c>
      <c r="P462" t="n">
        <v>0</v>
      </c>
      <c r="Q462" t="n">
        <v>0</v>
      </c>
      <c r="R462" s="2" t="inlineStr"/>
    </row>
    <row r="463" ht="15" customHeight="1">
      <c r="A463" t="inlineStr">
        <is>
          <t>A 30404-2024</t>
        </is>
      </c>
      <c r="B463" s="1" t="n">
        <v>45491.5859375</v>
      </c>
      <c r="C463" s="1" t="n">
        <v>45900</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23731-2025</t>
        </is>
      </c>
      <c r="B464" s="1" t="n">
        <v>45793.41994212963</v>
      </c>
      <c r="C464" s="1" t="n">
        <v>45900</v>
      </c>
      <c r="D464" t="inlineStr">
        <is>
          <t>JÄMTLANDS LÄN</t>
        </is>
      </c>
      <c r="E464" t="inlineStr">
        <is>
          <t>HÄRJEDALEN</t>
        </is>
      </c>
      <c r="F464" t="inlineStr">
        <is>
          <t>Sveaskog</t>
        </is>
      </c>
      <c r="G464" t="n">
        <v>11.7</v>
      </c>
      <c r="H464" t="n">
        <v>0</v>
      </c>
      <c r="I464" t="n">
        <v>0</v>
      </c>
      <c r="J464" t="n">
        <v>0</v>
      </c>
      <c r="K464" t="n">
        <v>0</v>
      </c>
      <c r="L464" t="n">
        <v>0</v>
      </c>
      <c r="M464" t="n">
        <v>0</v>
      </c>
      <c r="N464" t="n">
        <v>0</v>
      </c>
      <c r="O464" t="n">
        <v>0</v>
      </c>
      <c r="P464" t="n">
        <v>0</v>
      </c>
      <c r="Q464" t="n">
        <v>0</v>
      </c>
      <c r="R464" s="2" t="inlineStr"/>
    </row>
    <row r="465" ht="15" customHeight="1">
      <c r="A465" t="inlineStr">
        <is>
          <t>A 41329-2024</t>
        </is>
      </c>
      <c r="B465" s="1" t="n">
        <v>45559</v>
      </c>
      <c r="C465" s="1" t="n">
        <v>45900</v>
      </c>
      <c r="D465" t="inlineStr">
        <is>
          <t>JÄMTLANDS LÄN</t>
        </is>
      </c>
      <c r="E465" t="inlineStr">
        <is>
          <t>HÄRJEDALEN</t>
        </is>
      </c>
      <c r="G465" t="n">
        <v>47.1</v>
      </c>
      <c r="H465" t="n">
        <v>0</v>
      </c>
      <c r="I465" t="n">
        <v>0</v>
      </c>
      <c r="J465" t="n">
        <v>0</v>
      </c>
      <c r="K465" t="n">
        <v>0</v>
      </c>
      <c r="L465" t="n">
        <v>0</v>
      </c>
      <c r="M465" t="n">
        <v>0</v>
      </c>
      <c r="N465" t="n">
        <v>0</v>
      </c>
      <c r="O465" t="n">
        <v>0</v>
      </c>
      <c r="P465" t="n">
        <v>0</v>
      </c>
      <c r="Q465" t="n">
        <v>0</v>
      </c>
      <c r="R465" s="2" t="inlineStr"/>
    </row>
    <row r="466" ht="15" customHeight="1">
      <c r="A466" t="inlineStr">
        <is>
          <t>A 51322-2024</t>
        </is>
      </c>
      <c r="B466" s="1" t="n">
        <v>45604.33195601852</v>
      </c>
      <c r="C466" s="1" t="n">
        <v>45900</v>
      </c>
      <c r="D466" t="inlineStr">
        <is>
          <t>JÄMTLANDS LÄN</t>
        </is>
      </c>
      <c r="E466" t="inlineStr">
        <is>
          <t>HÄRJEDALEN</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43750-2020</t>
        </is>
      </c>
      <c r="B467" s="1" t="n">
        <v>44082</v>
      </c>
      <c r="C467" s="1" t="n">
        <v>45900</v>
      </c>
      <c r="D467" t="inlineStr">
        <is>
          <t>JÄMTLANDS LÄN</t>
        </is>
      </c>
      <c r="E467" t="inlineStr">
        <is>
          <t>HÄRJEDALEN</t>
        </is>
      </c>
      <c r="F467" t="inlineStr">
        <is>
          <t>Holmen skog AB</t>
        </is>
      </c>
      <c r="G467" t="n">
        <v>0.4</v>
      </c>
      <c r="H467" t="n">
        <v>0</v>
      </c>
      <c r="I467" t="n">
        <v>0</v>
      </c>
      <c r="J467" t="n">
        <v>0</v>
      </c>
      <c r="K467" t="n">
        <v>0</v>
      </c>
      <c r="L467" t="n">
        <v>0</v>
      </c>
      <c r="M467" t="n">
        <v>0</v>
      </c>
      <c r="N467" t="n">
        <v>0</v>
      </c>
      <c r="O467" t="n">
        <v>0</v>
      </c>
      <c r="P467" t="n">
        <v>0</v>
      </c>
      <c r="Q467" t="n">
        <v>0</v>
      </c>
      <c r="R467" s="2" t="inlineStr"/>
    </row>
    <row r="468" ht="15" customHeight="1">
      <c r="A468" t="inlineStr">
        <is>
          <t>A 31588-2024</t>
        </is>
      </c>
      <c r="B468" s="1" t="n">
        <v>45506.36702546296</v>
      </c>
      <c r="C468" s="1" t="n">
        <v>45900</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24096-2025</t>
        </is>
      </c>
      <c r="B469" s="1" t="n">
        <v>45796.57802083333</v>
      </c>
      <c r="C469" s="1" t="n">
        <v>45900</v>
      </c>
      <c r="D469" t="inlineStr">
        <is>
          <t>JÄMTLANDS LÄN</t>
        </is>
      </c>
      <c r="E469" t="inlineStr">
        <is>
          <t>HÄRJEDALEN</t>
        </is>
      </c>
      <c r="G469" t="n">
        <v>14.4</v>
      </c>
      <c r="H469" t="n">
        <v>0</v>
      </c>
      <c r="I469" t="n">
        <v>0</v>
      </c>
      <c r="J469" t="n">
        <v>0</v>
      </c>
      <c r="K469" t="n">
        <v>0</v>
      </c>
      <c r="L469" t="n">
        <v>0</v>
      </c>
      <c r="M469" t="n">
        <v>0</v>
      </c>
      <c r="N469" t="n">
        <v>0</v>
      </c>
      <c r="O469" t="n">
        <v>0</v>
      </c>
      <c r="P469" t="n">
        <v>0</v>
      </c>
      <c r="Q469" t="n">
        <v>0</v>
      </c>
      <c r="R469" s="2" t="inlineStr"/>
    </row>
    <row r="470" ht="15" customHeight="1">
      <c r="A470" t="inlineStr">
        <is>
          <t>A 23474-2024</t>
        </is>
      </c>
      <c r="B470" s="1" t="n">
        <v>45453.6672800926</v>
      </c>
      <c r="C470" s="1" t="n">
        <v>45900</v>
      </c>
      <c r="D470" t="inlineStr">
        <is>
          <t>JÄMTLANDS LÄN</t>
        </is>
      </c>
      <c r="E470" t="inlineStr">
        <is>
          <t>HÄRJEDALEN</t>
        </is>
      </c>
      <c r="G470" t="n">
        <v>8.5</v>
      </c>
      <c r="H470" t="n">
        <v>0</v>
      </c>
      <c r="I470" t="n">
        <v>0</v>
      </c>
      <c r="J470" t="n">
        <v>0</v>
      </c>
      <c r="K470" t="n">
        <v>0</v>
      </c>
      <c r="L470" t="n">
        <v>0</v>
      </c>
      <c r="M470" t="n">
        <v>0</v>
      </c>
      <c r="N470" t="n">
        <v>0</v>
      </c>
      <c r="O470" t="n">
        <v>0</v>
      </c>
      <c r="P470" t="n">
        <v>0</v>
      </c>
      <c r="Q470" t="n">
        <v>0</v>
      </c>
      <c r="R470" s="2" t="inlineStr"/>
    </row>
    <row r="471" ht="15" customHeight="1">
      <c r="A471" t="inlineStr">
        <is>
          <t>A 31783-2024</t>
        </is>
      </c>
      <c r="B471" s="1" t="n">
        <v>45509</v>
      </c>
      <c r="C471" s="1" t="n">
        <v>45900</v>
      </c>
      <c r="D471" t="inlineStr">
        <is>
          <t>JÄMTLANDS LÄN</t>
        </is>
      </c>
      <c r="E471" t="inlineStr">
        <is>
          <t>HÄRJEDALEN</t>
        </is>
      </c>
      <c r="F471" t="inlineStr">
        <is>
          <t>Övriga statliga verk och myndigheter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31834-2024</t>
        </is>
      </c>
      <c r="B472" s="1" t="n">
        <v>45509.6427662037</v>
      </c>
      <c r="C472" s="1" t="n">
        <v>45900</v>
      </c>
      <c r="D472" t="inlineStr">
        <is>
          <t>JÄMTLANDS LÄN</t>
        </is>
      </c>
      <c r="E472" t="inlineStr">
        <is>
          <t>HÄRJEDALEN</t>
        </is>
      </c>
      <c r="F472" t="inlineStr">
        <is>
          <t>Kommuner</t>
        </is>
      </c>
      <c r="G472" t="n">
        <v>5.2</v>
      </c>
      <c r="H472" t="n">
        <v>0</v>
      </c>
      <c r="I472" t="n">
        <v>0</v>
      </c>
      <c r="J472" t="n">
        <v>0</v>
      </c>
      <c r="K472" t="n">
        <v>0</v>
      </c>
      <c r="L472" t="n">
        <v>0</v>
      </c>
      <c r="M472" t="n">
        <v>0</v>
      </c>
      <c r="N472" t="n">
        <v>0</v>
      </c>
      <c r="O472" t="n">
        <v>0</v>
      </c>
      <c r="P472" t="n">
        <v>0</v>
      </c>
      <c r="Q472" t="n">
        <v>0</v>
      </c>
      <c r="R472" s="2" t="inlineStr"/>
    </row>
    <row r="473" ht="15" customHeight="1">
      <c r="A473" t="inlineStr">
        <is>
          <t>A 58446-2024</t>
        </is>
      </c>
      <c r="B473" s="1" t="n">
        <v>45635.33439814814</v>
      </c>
      <c r="C473" s="1" t="n">
        <v>45900</v>
      </c>
      <c r="D473" t="inlineStr">
        <is>
          <t>JÄMTLANDS LÄN</t>
        </is>
      </c>
      <c r="E473" t="inlineStr">
        <is>
          <t>HÄRJEDALEN</t>
        </is>
      </c>
      <c r="F473" t="inlineStr">
        <is>
          <t>Bergvik skog väst AB</t>
        </is>
      </c>
      <c r="G473" t="n">
        <v>7.8</v>
      </c>
      <c r="H473" t="n">
        <v>0</v>
      </c>
      <c r="I473" t="n">
        <v>0</v>
      </c>
      <c r="J473" t="n">
        <v>0</v>
      </c>
      <c r="K473" t="n">
        <v>0</v>
      </c>
      <c r="L473" t="n">
        <v>0</v>
      </c>
      <c r="M473" t="n">
        <v>0</v>
      </c>
      <c r="N473" t="n">
        <v>0</v>
      </c>
      <c r="O473" t="n">
        <v>0</v>
      </c>
      <c r="P473" t="n">
        <v>0</v>
      </c>
      <c r="Q473" t="n">
        <v>0</v>
      </c>
      <c r="R473" s="2" t="inlineStr"/>
    </row>
    <row r="474" ht="15" customHeight="1">
      <c r="A474" t="inlineStr">
        <is>
          <t>A 57849-2024</t>
        </is>
      </c>
      <c r="B474" s="1" t="n">
        <v>45631</v>
      </c>
      <c r="C474" s="1" t="n">
        <v>45900</v>
      </c>
      <c r="D474" t="inlineStr">
        <is>
          <t>JÄMTLANDS LÄN</t>
        </is>
      </c>
      <c r="E474" t="inlineStr">
        <is>
          <t>HÄRJEDALEN</t>
        </is>
      </c>
      <c r="F474" t="inlineStr">
        <is>
          <t>Bergvik skog väst AB</t>
        </is>
      </c>
      <c r="G474" t="n">
        <v>36.7</v>
      </c>
      <c r="H474" t="n">
        <v>0</v>
      </c>
      <c r="I474" t="n">
        <v>0</v>
      </c>
      <c r="J474" t="n">
        <v>0</v>
      </c>
      <c r="K474" t="n">
        <v>0</v>
      </c>
      <c r="L474" t="n">
        <v>0</v>
      </c>
      <c r="M474" t="n">
        <v>0</v>
      </c>
      <c r="N474" t="n">
        <v>0</v>
      </c>
      <c r="O474" t="n">
        <v>0</v>
      </c>
      <c r="P474" t="n">
        <v>0</v>
      </c>
      <c r="Q474" t="n">
        <v>0</v>
      </c>
      <c r="R474" s="2" t="inlineStr"/>
    </row>
    <row r="475" ht="15" customHeight="1">
      <c r="A475" t="inlineStr">
        <is>
          <t>A 55318-2024</t>
        </is>
      </c>
      <c r="B475" s="1" t="n">
        <v>45621</v>
      </c>
      <c r="C475" s="1" t="n">
        <v>45900</v>
      </c>
      <c r="D475" t="inlineStr">
        <is>
          <t>JÄMTLANDS LÄN</t>
        </is>
      </c>
      <c r="E475" t="inlineStr">
        <is>
          <t>HÄRJEDALEN</t>
        </is>
      </c>
      <c r="F475" t="inlineStr">
        <is>
          <t>Bergvik skog väst AB</t>
        </is>
      </c>
      <c r="G475" t="n">
        <v>136.1</v>
      </c>
      <c r="H475" t="n">
        <v>0</v>
      </c>
      <c r="I475" t="n">
        <v>0</v>
      </c>
      <c r="J475" t="n">
        <v>0</v>
      </c>
      <c r="K475" t="n">
        <v>0</v>
      </c>
      <c r="L475" t="n">
        <v>0</v>
      </c>
      <c r="M475" t="n">
        <v>0</v>
      </c>
      <c r="N475" t="n">
        <v>0</v>
      </c>
      <c r="O475" t="n">
        <v>0</v>
      </c>
      <c r="P475" t="n">
        <v>0</v>
      </c>
      <c r="Q475" t="n">
        <v>0</v>
      </c>
      <c r="R475" s="2" t="inlineStr"/>
    </row>
    <row r="476" ht="15" customHeight="1">
      <c r="A476" t="inlineStr">
        <is>
          <t>A 10340-2023</t>
        </is>
      </c>
      <c r="B476" s="1" t="n">
        <v>44987.34981481481</v>
      </c>
      <c r="C476" s="1" t="n">
        <v>45900</v>
      </c>
      <c r="D476" t="inlineStr">
        <is>
          <t>JÄMTLANDS LÄN</t>
        </is>
      </c>
      <c r="E476" t="inlineStr">
        <is>
          <t>HÄRJEDALEN</t>
        </is>
      </c>
      <c r="F476" t="inlineStr">
        <is>
          <t>Holmen skog AB</t>
        </is>
      </c>
      <c r="G476" t="n">
        <v>5.7</v>
      </c>
      <c r="H476" t="n">
        <v>0</v>
      </c>
      <c r="I476" t="n">
        <v>0</v>
      </c>
      <c r="J476" t="n">
        <v>0</v>
      </c>
      <c r="K476" t="n">
        <v>0</v>
      </c>
      <c r="L476" t="n">
        <v>0</v>
      </c>
      <c r="M476" t="n">
        <v>0</v>
      </c>
      <c r="N476" t="n">
        <v>0</v>
      </c>
      <c r="O476" t="n">
        <v>0</v>
      </c>
      <c r="P476" t="n">
        <v>0</v>
      </c>
      <c r="Q476" t="n">
        <v>0</v>
      </c>
      <c r="R476" s="2" t="inlineStr"/>
    </row>
    <row r="477" ht="15" customHeight="1">
      <c r="A477" t="inlineStr">
        <is>
          <t>A 2510-2025</t>
        </is>
      </c>
      <c r="B477" s="1" t="n">
        <v>45674.57393518519</v>
      </c>
      <c r="C477" s="1" t="n">
        <v>45900</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43591-2024</t>
        </is>
      </c>
      <c r="B478" s="1" t="n">
        <v>45569</v>
      </c>
      <c r="C478" s="1" t="n">
        <v>45900</v>
      </c>
      <c r="D478" t="inlineStr">
        <is>
          <t>JÄMTLANDS LÄN</t>
        </is>
      </c>
      <c r="E478" t="inlineStr">
        <is>
          <t>HÄRJEDALEN</t>
        </is>
      </c>
      <c r="F478" t="inlineStr">
        <is>
          <t>Bergvik skog väst AB</t>
        </is>
      </c>
      <c r="G478" t="n">
        <v>50.5</v>
      </c>
      <c r="H478" t="n">
        <v>0</v>
      </c>
      <c r="I478" t="n">
        <v>0</v>
      </c>
      <c r="J478" t="n">
        <v>0</v>
      </c>
      <c r="K478" t="n">
        <v>0</v>
      </c>
      <c r="L478" t="n">
        <v>0</v>
      </c>
      <c r="M478" t="n">
        <v>0</v>
      </c>
      <c r="N478" t="n">
        <v>0</v>
      </c>
      <c r="O478" t="n">
        <v>0</v>
      </c>
      <c r="P478" t="n">
        <v>0</v>
      </c>
      <c r="Q478" t="n">
        <v>0</v>
      </c>
      <c r="R478" s="2" t="inlineStr"/>
    </row>
    <row r="479" ht="15" customHeight="1">
      <c r="A479" t="inlineStr">
        <is>
          <t>A 42078-2020</t>
        </is>
      </c>
      <c r="B479" s="1" t="n">
        <v>44075</v>
      </c>
      <c r="C479" s="1" t="n">
        <v>45900</v>
      </c>
      <c r="D479" t="inlineStr">
        <is>
          <t>JÄMTLANDS LÄN</t>
        </is>
      </c>
      <c r="E479" t="inlineStr">
        <is>
          <t>HÄRJEDALEN</t>
        </is>
      </c>
      <c r="G479" t="n">
        <v>3.9</v>
      </c>
      <c r="H479" t="n">
        <v>0</v>
      </c>
      <c r="I479" t="n">
        <v>0</v>
      </c>
      <c r="J479" t="n">
        <v>0</v>
      </c>
      <c r="K479" t="n">
        <v>0</v>
      </c>
      <c r="L479" t="n">
        <v>0</v>
      </c>
      <c r="M479" t="n">
        <v>0</v>
      </c>
      <c r="N479" t="n">
        <v>0</v>
      </c>
      <c r="O479" t="n">
        <v>0</v>
      </c>
      <c r="P479" t="n">
        <v>0</v>
      </c>
      <c r="Q479" t="n">
        <v>0</v>
      </c>
      <c r="R479" s="2" t="inlineStr"/>
    </row>
    <row r="480" ht="15" customHeight="1">
      <c r="A480" t="inlineStr">
        <is>
          <t>A 58347-2024</t>
        </is>
      </c>
      <c r="B480" s="1" t="n">
        <v>45632.64769675926</v>
      </c>
      <c r="C480" s="1" t="n">
        <v>45900</v>
      </c>
      <c r="D480" t="inlineStr">
        <is>
          <t>JÄMTLANDS LÄN</t>
        </is>
      </c>
      <c r="E480" t="inlineStr">
        <is>
          <t>HÄRJEDALEN</t>
        </is>
      </c>
      <c r="G480" t="n">
        <v>9.6</v>
      </c>
      <c r="H480" t="n">
        <v>0</v>
      </c>
      <c r="I480" t="n">
        <v>0</v>
      </c>
      <c r="J480" t="n">
        <v>0</v>
      </c>
      <c r="K480" t="n">
        <v>0</v>
      </c>
      <c r="L480" t="n">
        <v>0</v>
      </c>
      <c r="M480" t="n">
        <v>0</v>
      </c>
      <c r="N480" t="n">
        <v>0</v>
      </c>
      <c r="O480" t="n">
        <v>0</v>
      </c>
      <c r="P480" t="n">
        <v>0</v>
      </c>
      <c r="Q480" t="n">
        <v>0</v>
      </c>
      <c r="R480" s="2" t="inlineStr"/>
    </row>
    <row r="481" ht="15" customHeight="1">
      <c r="A481" t="inlineStr">
        <is>
          <t>A 29343-2024</t>
        </is>
      </c>
      <c r="B481" s="1" t="n">
        <v>45483.47207175926</v>
      </c>
      <c r="C481" s="1" t="n">
        <v>45900</v>
      </c>
      <c r="D481" t="inlineStr">
        <is>
          <t>JÄMTLANDS LÄN</t>
        </is>
      </c>
      <c r="E481" t="inlineStr">
        <is>
          <t>HÄRJEDALEN</t>
        </is>
      </c>
      <c r="G481" t="n">
        <v>19</v>
      </c>
      <c r="H481" t="n">
        <v>0</v>
      </c>
      <c r="I481" t="n">
        <v>0</v>
      </c>
      <c r="J481" t="n">
        <v>0</v>
      </c>
      <c r="K481" t="n">
        <v>0</v>
      </c>
      <c r="L481" t="n">
        <v>0</v>
      </c>
      <c r="M481" t="n">
        <v>0</v>
      </c>
      <c r="N481" t="n">
        <v>0</v>
      </c>
      <c r="O481" t="n">
        <v>0</v>
      </c>
      <c r="P481" t="n">
        <v>0</v>
      </c>
      <c r="Q481" t="n">
        <v>0</v>
      </c>
      <c r="R481" s="2" t="inlineStr"/>
    </row>
    <row r="482" ht="15" customHeight="1">
      <c r="A482" t="inlineStr">
        <is>
          <t>A 57840-2024</t>
        </is>
      </c>
      <c r="B482" s="1" t="n">
        <v>45631</v>
      </c>
      <c r="C482" s="1" t="n">
        <v>45900</v>
      </c>
      <c r="D482" t="inlineStr">
        <is>
          <t>JÄMTLANDS LÄN</t>
        </is>
      </c>
      <c r="E482" t="inlineStr">
        <is>
          <t>HÄRJEDALEN</t>
        </is>
      </c>
      <c r="F482" t="inlineStr">
        <is>
          <t>Bergvik skog väst AB</t>
        </is>
      </c>
      <c r="G482" t="n">
        <v>98.8</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45900</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45900</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48818-2024</t>
        </is>
      </c>
      <c r="B485" s="1" t="n">
        <v>45593.67809027778</v>
      </c>
      <c r="C485" s="1" t="n">
        <v>45900</v>
      </c>
      <c r="D485" t="inlineStr">
        <is>
          <t>JÄMTLANDS LÄN</t>
        </is>
      </c>
      <c r="E485" t="inlineStr">
        <is>
          <t>HÄRJEDALEN</t>
        </is>
      </c>
      <c r="G485" t="n">
        <v>0.1</v>
      </c>
      <c r="H485" t="n">
        <v>0</v>
      </c>
      <c r="I485" t="n">
        <v>0</v>
      </c>
      <c r="J485" t="n">
        <v>0</v>
      </c>
      <c r="K485" t="n">
        <v>0</v>
      </c>
      <c r="L485" t="n">
        <v>0</v>
      </c>
      <c r="M485" t="n">
        <v>0</v>
      </c>
      <c r="N485" t="n">
        <v>0</v>
      </c>
      <c r="O485" t="n">
        <v>0</v>
      </c>
      <c r="P485" t="n">
        <v>0</v>
      </c>
      <c r="Q485" t="n">
        <v>0</v>
      </c>
      <c r="R485" s="2" t="inlineStr"/>
    </row>
    <row r="486" ht="15" customHeight="1">
      <c r="A486" t="inlineStr">
        <is>
          <t>A 23351-2025</t>
        </is>
      </c>
      <c r="B486" s="1" t="n">
        <v>45791</v>
      </c>
      <c r="C486" s="1" t="n">
        <v>45900</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24226-2025</t>
        </is>
      </c>
      <c r="B487" s="1" t="n">
        <v>45797.37096064815</v>
      </c>
      <c r="C487" s="1" t="n">
        <v>45900</v>
      </c>
      <c r="D487" t="inlineStr">
        <is>
          <t>JÄMTLANDS LÄN</t>
        </is>
      </c>
      <c r="E487" t="inlineStr">
        <is>
          <t>HÄRJEDALEN</t>
        </is>
      </c>
      <c r="G487" t="n">
        <v>28.7</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45900</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25325-2025</t>
        </is>
      </c>
      <c r="B489" s="1" t="n">
        <v>45800.58859953703</v>
      </c>
      <c r="C489" s="1" t="n">
        <v>45900</v>
      </c>
      <c r="D489" t="inlineStr">
        <is>
          <t>JÄMTLANDS LÄN</t>
        </is>
      </c>
      <c r="E489" t="inlineStr">
        <is>
          <t>HÄRJEDALEN</t>
        </is>
      </c>
      <c r="G489" t="n">
        <v>5.6</v>
      </c>
      <c r="H489" t="n">
        <v>0</v>
      </c>
      <c r="I489" t="n">
        <v>0</v>
      </c>
      <c r="J489" t="n">
        <v>0</v>
      </c>
      <c r="K489" t="n">
        <v>0</v>
      </c>
      <c r="L489" t="n">
        <v>0</v>
      </c>
      <c r="M489" t="n">
        <v>0</v>
      </c>
      <c r="N489" t="n">
        <v>0</v>
      </c>
      <c r="O489" t="n">
        <v>0</v>
      </c>
      <c r="P489" t="n">
        <v>0</v>
      </c>
      <c r="Q489" t="n">
        <v>0</v>
      </c>
      <c r="R489" s="2" t="inlineStr"/>
    </row>
    <row r="490" ht="15" customHeight="1">
      <c r="A490" t="inlineStr">
        <is>
          <t>A 25334-2025</t>
        </is>
      </c>
      <c r="B490" s="1" t="n">
        <v>45800.59567129629</v>
      </c>
      <c r="C490" s="1" t="n">
        <v>45900</v>
      </c>
      <c r="D490" t="inlineStr">
        <is>
          <t>JÄMTLANDS LÄN</t>
        </is>
      </c>
      <c r="E490" t="inlineStr">
        <is>
          <t>HÄRJEDALEN</t>
        </is>
      </c>
      <c r="F490" t="inlineStr">
        <is>
          <t>Holmen skog AB</t>
        </is>
      </c>
      <c r="G490" t="n">
        <v>3.6</v>
      </c>
      <c r="H490" t="n">
        <v>0</v>
      </c>
      <c r="I490" t="n">
        <v>0</v>
      </c>
      <c r="J490" t="n">
        <v>0</v>
      </c>
      <c r="K490" t="n">
        <v>0</v>
      </c>
      <c r="L490" t="n">
        <v>0</v>
      </c>
      <c r="M490" t="n">
        <v>0</v>
      </c>
      <c r="N490" t="n">
        <v>0</v>
      </c>
      <c r="O490" t="n">
        <v>0</v>
      </c>
      <c r="P490" t="n">
        <v>0</v>
      </c>
      <c r="Q490" t="n">
        <v>0</v>
      </c>
      <c r="R490" s="2" t="inlineStr"/>
    </row>
    <row r="491" ht="15" customHeight="1">
      <c r="A491" t="inlineStr">
        <is>
          <t>A 25392-2025</t>
        </is>
      </c>
      <c r="B491" s="1" t="n">
        <v>45800.64719907408</v>
      </c>
      <c r="C491" s="1" t="n">
        <v>45900</v>
      </c>
      <c r="D491" t="inlineStr">
        <is>
          <t>JÄMTLANDS LÄN</t>
        </is>
      </c>
      <c r="E491" t="inlineStr">
        <is>
          <t>HÄRJEDALEN</t>
        </is>
      </c>
      <c r="F491" t="inlineStr">
        <is>
          <t>Holmen skog AB</t>
        </is>
      </c>
      <c r="G491" t="n">
        <v>10.3</v>
      </c>
      <c r="H491" t="n">
        <v>0</v>
      </c>
      <c r="I491" t="n">
        <v>0</v>
      </c>
      <c r="J491" t="n">
        <v>0</v>
      </c>
      <c r="K491" t="n">
        <v>0</v>
      </c>
      <c r="L491" t="n">
        <v>0</v>
      </c>
      <c r="M491" t="n">
        <v>0</v>
      </c>
      <c r="N491" t="n">
        <v>0</v>
      </c>
      <c r="O491" t="n">
        <v>0</v>
      </c>
      <c r="P491" t="n">
        <v>0</v>
      </c>
      <c r="Q491" t="n">
        <v>0</v>
      </c>
      <c r="R491" s="2" t="inlineStr"/>
    </row>
    <row r="492" ht="15" customHeight="1">
      <c r="A492" t="inlineStr">
        <is>
          <t>A 10959-2022</t>
        </is>
      </c>
      <c r="B492" s="1" t="n">
        <v>44628.36402777778</v>
      </c>
      <c r="C492" s="1" t="n">
        <v>45900</v>
      </c>
      <c r="D492" t="inlineStr">
        <is>
          <t>JÄMTLANDS LÄN</t>
        </is>
      </c>
      <c r="E492" t="inlineStr">
        <is>
          <t>HÄRJEDALEN</t>
        </is>
      </c>
      <c r="G492" t="n">
        <v>2.1</v>
      </c>
      <c r="H492" t="n">
        <v>0</v>
      </c>
      <c r="I492" t="n">
        <v>0</v>
      </c>
      <c r="J492" t="n">
        <v>0</v>
      </c>
      <c r="K492" t="n">
        <v>0</v>
      </c>
      <c r="L492" t="n">
        <v>0</v>
      </c>
      <c r="M492" t="n">
        <v>0</v>
      </c>
      <c r="N492" t="n">
        <v>0</v>
      </c>
      <c r="O492" t="n">
        <v>0</v>
      </c>
      <c r="P492" t="n">
        <v>0</v>
      </c>
      <c r="Q492" t="n">
        <v>0</v>
      </c>
      <c r="R492" s="2" t="inlineStr"/>
    </row>
    <row r="493" ht="15" customHeight="1">
      <c r="A493" t="inlineStr">
        <is>
          <t>A 25288-2025</t>
        </is>
      </c>
      <c r="B493" s="1" t="n">
        <v>45800.56313657408</v>
      </c>
      <c r="C493" s="1" t="n">
        <v>45900</v>
      </c>
      <c r="D493" t="inlineStr">
        <is>
          <t>JÄMTLANDS LÄN</t>
        </is>
      </c>
      <c r="E493" t="inlineStr">
        <is>
          <t>HÄRJEDALEN</t>
        </is>
      </c>
      <c r="G493" t="n">
        <v>4.6</v>
      </c>
      <c r="H493" t="n">
        <v>0</v>
      </c>
      <c r="I493" t="n">
        <v>0</v>
      </c>
      <c r="J493" t="n">
        <v>0</v>
      </c>
      <c r="K493" t="n">
        <v>0</v>
      </c>
      <c r="L493" t="n">
        <v>0</v>
      </c>
      <c r="M493" t="n">
        <v>0</v>
      </c>
      <c r="N493" t="n">
        <v>0</v>
      </c>
      <c r="O493" t="n">
        <v>0</v>
      </c>
      <c r="P493" t="n">
        <v>0</v>
      </c>
      <c r="Q493" t="n">
        <v>0</v>
      </c>
      <c r="R493" s="2" t="inlineStr"/>
    </row>
    <row r="494" ht="15" customHeight="1">
      <c r="A494" t="inlineStr">
        <is>
          <t>A 25315-2025</t>
        </is>
      </c>
      <c r="B494" s="1" t="n">
        <v>45800.57837962963</v>
      </c>
      <c r="C494" s="1" t="n">
        <v>45900</v>
      </c>
      <c r="D494" t="inlineStr">
        <is>
          <t>JÄMTLANDS LÄN</t>
        </is>
      </c>
      <c r="E494" t="inlineStr">
        <is>
          <t>HÄRJEDALEN</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30501-2025</t>
        </is>
      </c>
      <c r="B495" s="1" t="n">
        <v>45830</v>
      </c>
      <c r="C495" s="1" t="n">
        <v>45900</v>
      </c>
      <c r="D495" t="inlineStr">
        <is>
          <t>JÄMTLANDS LÄN</t>
        </is>
      </c>
      <c r="E495" t="inlineStr">
        <is>
          <t>HÄRJEDALEN</t>
        </is>
      </c>
      <c r="G495" t="n">
        <v>17</v>
      </c>
      <c r="H495" t="n">
        <v>0</v>
      </c>
      <c r="I495" t="n">
        <v>0</v>
      </c>
      <c r="J495" t="n">
        <v>0</v>
      </c>
      <c r="K495" t="n">
        <v>0</v>
      </c>
      <c r="L495" t="n">
        <v>0</v>
      </c>
      <c r="M495" t="n">
        <v>0</v>
      </c>
      <c r="N495" t="n">
        <v>0</v>
      </c>
      <c r="O495" t="n">
        <v>0</v>
      </c>
      <c r="P495" t="n">
        <v>0</v>
      </c>
      <c r="Q495" t="n">
        <v>0</v>
      </c>
      <c r="R495" s="2" t="inlineStr"/>
    </row>
    <row r="496" ht="15" customHeight="1">
      <c r="A496" t="inlineStr">
        <is>
          <t>A 25223-2025</t>
        </is>
      </c>
      <c r="B496" s="1" t="n">
        <v>45800.48060185185</v>
      </c>
      <c r="C496" s="1" t="n">
        <v>45900</v>
      </c>
      <c r="D496" t="inlineStr">
        <is>
          <t>JÄMTLANDS LÄN</t>
        </is>
      </c>
      <c r="E496" t="inlineStr">
        <is>
          <t>HÄRJEDALEN</t>
        </is>
      </c>
      <c r="F496" t="inlineStr">
        <is>
          <t>Holmen skog AB</t>
        </is>
      </c>
      <c r="G496" t="n">
        <v>7.9</v>
      </c>
      <c r="H496" t="n">
        <v>0</v>
      </c>
      <c r="I496" t="n">
        <v>0</v>
      </c>
      <c r="J496" t="n">
        <v>0</v>
      </c>
      <c r="K496" t="n">
        <v>0</v>
      </c>
      <c r="L496" t="n">
        <v>0</v>
      </c>
      <c r="M496" t="n">
        <v>0</v>
      </c>
      <c r="N496" t="n">
        <v>0</v>
      </c>
      <c r="O496" t="n">
        <v>0</v>
      </c>
      <c r="P496" t="n">
        <v>0</v>
      </c>
      <c r="Q496" t="n">
        <v>0</v>
      </c>
      <c r="R496" s="2" t="inlineStr"/>
    </row>
    <row r="497" ht="15" customHeight="1">
      <c r="A497" t="inlineStr">
        <is>
          <t>A 25024-2025</t>
        </is>
      </c>
      <c r="B497" s="1" t="n">
        <v>45799.64804398148</v>
      </c>
      <c r="C497" s="1" t="n">
        <v>45900</v>
      </c>
      <c r="D497" t="inlineStr">
        <is>
          <t>JÄMTLANDS LÄN</t>
        </is>
      </c>
      <c r="E497" t="inlineStr">
        <is>
          <t>HÄRJEDALEN</t>
        </is>
      </c>
      <c r="F497" t="inlineStr">
        <is>
          <t>Bergvik skog väst AB</t>
        </is>
      </c>
      <c r="G497" t="n">
        <v>31.2</v>
      </c>
      <c r="H497" t="n">
        <v>0</v>
      </c>
      <c r="I497" t="n">
        <v>0</v>
      </c>
      <c r="J497" t="n">
        <v>0</v>
      </c>
      <c r="K497" t="n">
        <v>0</v>
      </c>
      <c r="L497" t="n">
        <v>0</v>
      </c>
      <c r="M497" t="n">
        <v>0</v>
      </c>
      <c r="N497" t="n">
        <v>0</v>
      </c>
      <c r="O497" t="n">
        <v>0</v>
      </c>
      <c r="P497" t="n">
        <v>0</v>
      </c>
      <c r="Q497" t="n">
        <v>0</v>
      </c>
      <c r="R497" s="2" t="inlineStr"/>
    </row>
    <row r="498" ht="15" customHeight="1">
      <c r="A498" t="inlineStr">
        <is>
          <t>A 32341-2025</t>
        </is>
      </c>
      <c r="B498" s="1" t="n">
        <v>45837</v>
      </c>
      <c r="C498" s="1" t="n">
        <v>45900</v>
      </c>
      <c r="D498" t="inlineStr">
        <is>
          <t>JÄMTLANDS LÄN</t>
        </is>
      </c>
      <c r="E498" t="inlineStr">
        <is>
          <t>HÄRJEDALEN</t>
        </is>
      </c>
      <c r="G498" t="n">
        <v>19.5</v>
      </c>
      <c r="H498" t="n">
        <v>0</v>
      </c>
      <c r="I498" t="n">
        <v>0</v>
      </c>
      <c r="J498" t="n">
        <v>0</v>
      </c>
      <c r="K498" t="n">
        <v>0</v>
      </c>
      <c r="L498" t="n">
        <v>0</v>
      </c>
      <c r="M498" t="n">
        <v>0</v>
      </c>
      <c r="N498" t="n">
        <v>0</v>
      </c>
      <c r="O498" t="n">
        <v>0</v>
      </c>
      <c r="P498" t="n">
        <v>0</v>
      </c>
      <c r="Q498" t="n">
        <v>0</v>
      </c>
      <c r="R498" s="2" t="inlineStr"/>
    </row>
    <row r="499" ht="15" customHeight="1">
      <c r="A499" t="inlineStr">
        <is>
          <t>A 59279-2023</t>
        </is>
      </c>
      <c r="B499" s="1" t="n">
        <v>45253.55737268519</v>
      </c>
      <c r="C499" s="1" t="n">
        <v>45900</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25127-2025</t>
        </is>
      </c>
      <c r="B500" s="1" t="n">
        <v>45800.3787037037</v>
      </c>
      <c r="C500" s="1" t="n">
        <v>45900</v>
      </c>
      <c r="D500" t="inlineStr">
        <is>
          <t>JÄMTLANDS LÄN</t>
        </is>
      </c>
      <c r="E500" t="inlineStr">
        <is>
          <t>HÄRJEDALEN</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239-2022</t>
        </is>
      </c>
      <c r="B501" s="1" t="n">
        <v>44565.31975694445</v>
      </c>
      <c r="C501" s="1" t="n">
        <v>45900</v>
      </c>
      <c r="D501" t="inlineStr">
        <is>
          <t>JÄMTLANDS LÄN</t>
        </is>
      </c>
      <c r="E501" t="inlineStr">
        <is>
          <t>HÄRJEDALEN</t>
        </is>
      </c>
      <c r="F501" t="inlineStr">
        <is>
          <t>Övriga Aktiebolag</t>
        </is>
      </c>
      <c r="G501" t="n">
        <v>4.3</v>
      </c>
      <c r="H501" t="n">
        <v>0</v>
      </c>
      <c r="I501" t="n">
        <v>0</v>
      </c>
      <c r="J501" t="n">
        <v>0</v>
      </c>
      <c r="K501" t="n">
        <v>0</v>
      </c>
      <c r="L501" t="n">
        <v>0</v>
      </c>
      <c r="M501" t="n">
        <v>0</v>
      </c>
      <c r="N501" t="n">
        <v>0</v>
      </c>
      <c r="O501" t="n">
        <v>0</v>
      </c>
      <c r="P501" t="n">
        <v>0</v>
      </c>
      <c r="Q501" t="n">
        <v>0</v>
      </c>
      <c r="R501" s="2" t="inlineStr"/>
    </row>
    <row r="502" ht="15" customHeight="1">
      <c r="A502" t="inlineStr">
        <is>
          <t>A 241-2022</t>
        </is>
      </c>
      <c r="B502" s="1" t="n">
        <v>44565</v>
      </c>
      <c r="C502" s="1" t="n">
        <v>45900</v>
      </c>
      <c r="D502" t="inlineStr">
        <is>
          <t>JÄMTLANDS LÄN</t>
        </is>
      </c>
      <c r="E502" t="inlineStr">
        <is>
          <t>HÄRJEDALEN</t>
        </is>
      </c>
      <c r="F502" t="inlineStr">
        <is>
          <t>Övriga Aktiebolag</t>
        </is>
      </c>
      <c r="G502" t="n">
        <v>16.5</v>
      </c>
      <c r="H502" t="n">
        <v>0</v>
      </c>
      <c r="I502" t="n">
        <v>0</v>
      </c>
      <c r="J502" t="n">
        <v>0</v>
      </c>
      <c r="K502" t="n">
        <v>0</v>
      </c>
      <c r="L502" t="n">
        <v>0</v>
      </c>
      <c r="M502" t="n">
        <v>0</v>
      </c>
      <c r="N502" t="n">
        <v>0</v>
      </c>
      <c r="O502" t="n">
        <v>0</v>
      </c>
      <c r="P502" t="n">
        <v>0</v>
      </c>
      <c r="Q502" t="n">
        <v>0</v>
      </c>
      <c r="R502" s="2" t="inlineStr"/>
    </row>
    <row r="503" ht="15" customHeight="1">
      <c r="A503" t="inlineStr">
        <is>
          <t>A 31723-2025</t>
        </is>
      </c>
      <c r="B503" s="1" t="n">
        <v>45834</v>
      </c>
      <c r="C503" s="1" t="n">
        <v>45900</v>
      </c>
      <c r="D503" t="inlineStr">
        <is>
          <t>JÄMTLANDS LÄN</t>
        </is>
      </c>
      <c r="E503" t="inlineStr">
        <is>
          <t>HÄRJEDALEN</t>
        </is>
      </c>
      <c r="G503" t="n">
        <v>8.9</v>
      </c>
      <c r="H503" t="n">
        <v>0</v>
      </c>
      <c r="I503" t="n">
        <v>0</v>
      </c>
      <c r="J503" t="n">
        <v>0</v>
      </c>
      <c r="K503" t="n">
        <v>0</v>
      </c>
      <c r="L503" t="n">
        <v>0</v>
      </c>
      <c r="M503" t="n">
        <v>0</v>
      </c>
      <c r="N503" t="n">
        <v>0</v>
      </c>
      <c r="O503" t="n">
        <v>0</v>
      </c>
      <c r="P503" t="n">
        <v>0</v>
      </c>
      <c r="Q503" t="n">
        <v>0</v>
      </c>
      <c r="R503" s="2" t="inlineStr"/>
    </row>
    <row r="504" ht="15" customHeight="1">
      <c r="A504" t="inlineStr">
        <is>
          <t>A 25178-2025</t>
        </is>
      </c>
      <c r="B504" s="1" t="n">
        <v>45800.44868055556</v>
      </c>
      <c r="C504" s="1" t="n">
        <v>45900</v>
      </c>
      <c r="D504" t="inlineStr">
        <is>
          <t>JÄMTLANDS LÄN</t>
        </is>
      </c>
      <c r="E504" t="inlineStr">
        <is>
          <t>HÄRJEDALEN</t>
        </is>
      </c>
      <c r="F504" t="inlineStr">
        <is>
          <t>Holmen skog AB</t>
        </is>
      </c>
      <c r="G504" t="n">
        <v>5.1</v>
      </c>
      <c r="H504" t="n">
        <v>0</v>
      </c>
      <c r="I504" t="n">
        <v>0</v>
      </c>
      <c r="J504" t="n">
        <v>0</v>
      </c>
      <c r="K504" t="n">
        <v>0</v>
      </c>
      <c r="L504" t="n">
        <v>0</v>
      </c>
      <c r="M504" t="n">
        <v>0</v>
      </c>
      <c r="N504" t="n">
        <v>0</v>
      </c>
      <c r="O504" t="n">
        <v>0</v>
      </c>
      <c r="P504" t="n">
        <v>0</v>
      </c>
      <c r="Q504" t="n">
        <v>0</v>
      </c>
      <c r="R504" s="2" t="inlineStr"/>
    </row>
    <row r="505" ht="15" customHeight="1">
      <c r="A505" t="inlineStr">
        <is>
          <t>A 25204-2025</t>
        </is>
      </c>
      <c r="B505" s="1" t="n">
        <v>45800.4687962963</v>
      </c>
      <c r="C505" s="1" t="n">
        <v>45900</v>
      </c>
      <c r="D505" t="inlineStr">
        <is>
          <t>JÄMTLANDS LÄN</t>
        </is>
      </c>
      <c r="E505" t="inlineStr">
        <is>
          <t>HÄRJEDALEN</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25253-2025</t>
        </is>
      </c>
      <c r="B506" s="1" t="n">
        <v>45800.50431712963</v>
      </c>
      <c r="C506" s="1" t="n">
        <v>45900</v>
      </c>
      <c r="D506" t="inlineStr">
        <is>
          <t>JÄMTLANDS LÄN</t>
        </is>
      </c>
      <c r="E506" t="inlineStr">
        <is>
          <t>HÄRJEDALEN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45900</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59962-2024</t>
        </is>
      </c>
      <c r="B508" s="1" t="n">
        <v>45642.35256944445</v>
      </c>
      <c r="C508" s="1" t="n">
        <v>45900</v>
      </c>
      <c r="D508" t="inlineStr">
        <is>
          <t>JÄMTLANDS LÄN</t>
        </is>
      </c>
      <c r="E508" t="inlineStr">
        <is>
          <t>HÄRJEDALEN</t>
        </is>
      </c>
      <c r="G508" t="n">
        <v>2.4</v>
      </c>
      <c r="H508" t="n">
        <v>0</v>
      </c>
      <c r="I508" t="n">
        <v>0</v>
      </c>
      <c r="J508" t="n">
        <v>0</v>
      </c>
      <c r="K508" t="n">
        <v>0</v>
      </c>
      <c r="L508" t="n">
        <v>0</v>
      </c>
      <c r="M508" t="n">
        <v>0</v>
      </c>
      <c r="N508" t="n">
        <v>0</v>
      </c>
      <c r="O508" t="n">
        <v>0</v>
      </c>
      <c r="P508" t="n">
        <v>0</v>
      </c>
      <c r="Q508" t="n">
        <v>0</v>
      </c>
      <c r="R508" s="2" t="inlineStr"/>
    </row>
    <row r="509" ht="15" customHeight="1">
      <c r="A509" t="inlineStr">
        <is>
          <t>A 25286-2025</t>
        </is>
      </c>
      <c r="B509" s="1" t="n">
        <v>45800.56222222222</v>
      </c>
      <c r="C509" s="1" t="n">
        <v>45900</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24963-2025</t>
        </is>
      </c>
      <c r="B510" s="1" t="n">
        <v>45799.57883101852</v>
      </c>
      <c r="C510" s="1" t="n">
        <v>45900</v>
      </c>
      <c r="D510" t="inlineStr">
        <is>
          <t>JÄMTLANDS LÄN</t>
        </is>
      </c>
      <c r="E510" t="inlineStr">
        <is>
          <t>HÄRJEDALEN</t>
        </is>
      </c>
      <c r="G510" t="n">
        <v>3.5</v>
      </c>
      <c r="H510" t="n">
        <v>0</v>
      </c>
      <c r="I510" t="n">
        <v>0</v>
      </c>
      <c r="J510" t="n">
        <v>0</v>
      </c>
      <c r="K510" t="n">
        <v>0</v>
      </c>
      <c r="L510" t="n">
        <v>0</v>
      </c>
      <c r="M510" t="n">
        <v>0</v>
      </c>
      <c r="N510" t="n">
        <v>0</v>
      </c>
      <c r="O510" t="n">
        <v>0</v>
      </c>
      <c r="P510" t="n">
        <v>0</v>
      </c>
      <c r="Q510" t="n">
        <v>0</v>
      </c>
      <c r="R510" s="2" t="inlineStr"/>
    </row>
    <row r="511" ht="15" customHeight="1">
      <c r="A511" t="inlineStr">
        <is>
          <t>A 24828-2025</t>
        </is>
      </c>
      <c r="B511" s="1" t="n">
        <v>45799.45770833334</v>
      </c>
      <c r="C511" s="1" t="n">
        <v>45900</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30499-2025</t>
        </is>
      </c>
      <c r="B512" s="1" t="n">
        <v>45830</v>
      </c>
      <c r="C512" s="1" t="n">
        <v>45900</v>
      </c>
      <c r="D512" t="inlineStr">
        <is>
          <t>JÄMTLANDS LÄN</t>
        </is>
      </c>
      <c r="E512" t="inlineStr">
        <is>
          <t>HÄRJEDALEN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30500-2025</t>
        </is>
      </c>
      <c r="B513" s="1" t="n">
        <v>45830</v>
      </c>
      <c r="C513" s="1" t="n">
        <v>45900</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25399-2025</t>
        </is>
      </c>
      <c r="B514" s="1" t="n">
        <v>45800.65341435185</v>
      </c>
      <c r="C514" s="1" t="n">
        <v>45900</v>
      </c>
      <c r="D514" t="inlineStr">
        <is>
          <t>JÄMTLANDS LÄN</t>
        </is>
      </c>
      <c r="E514" t="inlineStr">
        <is>
          <t>HÄRJEDALEN</t>
        </is>
      </c>
      <c r="F514" t="inlineStr">
        <is>
          <t>Holmen skog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24853-2025</t>
        </is>
      </c>
      <c r="B515" s="1" t="n">
        <v>45799.47225694444</v>
      </c>
      <c r="C515" s="1" t="n">
        <v>45900</v>
      </c>
      <c r="D515" t="inlineStr">
        <is>
          <t>JÄMTLANDS LÄN</t>
        </is>
      </c>
      <c r="E515" t="inlineStr">
        <is>
          <t>HÄRJEDALEN</t>
        </is>
      </c>
      <c r="F515" t="inlineStr">
        <is>
          <t>Holmen skog AB</t>
        </is>
      </c>
      <c r="G515" t="n">
        <v>57.7</v>
      </c>
      <c r="H515" t="n">
        <v>0</v>
      </c>
      <c r="I515" t="n">
        <v>0</v>
      </c>
      <c r="J515" t="n">
        <v>0</v>
      </c>
      <c r="K515" t="n">
        <v>0</v>
      </c>
      <c r="L515" t="n">
        <v>0</v>
      </c>
      <c r="M515" t="n">
        <v>0</v>
      </c>
      <c r="N515" t="n">
        <v>0</v>
      </c>
      <c r="O515" t="n">
        <v>0</v>
      </c>
      <c r="P515" t="n">
        <v>0</v>
      </c>
      <c r="Q515" t="n">
        <v>0</v>
      </c>
      <c r="R515" s="2" t="inlineStr"/>
    </row>
    <row r="516" ht="15" customHeight="1">
      <c r="A516" t="inlineStr">
        <is>
          <t>A 60709-2024</t>
        </is>
      </c>
      <c r="B516" s="1" t="n">
        <v>45644.50141203704</v>
      </c>
      <c r="C516" s="1" t="n">
        <v>45900</v>
      </c>
      <c r="D516" t="inlineStr">
        <is>
          <t>JÄMTLANDS LÄN</t>
        </is>
      </c>
      <c r="E516" t="inlineStr">
        <is>
          <t>HÄRJEDALEN</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25094-2025</t>
        </is>
      </c>
      <c r="B517" s="1" t="n">
        <v>45800.33436342593</v>
      </c>
      <c r="C517" s="1" t="n">
        <v>45900</v>
      </c>
      <c r="D517" t="inlineStr">
        <is>
          <t>JÄMTLANDS LÄN</t>
        </is>
      </c>
      <c r="E517" t="inlineStr">
        <is>
          <t>HÄRJEDALEN</t>
        </is>
      </c>
      <c r="F517" t="inlineStr">
        <is>
          <t>Holmen skog AB</t>
        </is>
      </c>
      <c r="G517" t="n">
        <v>6.4</v>
      </c>
      <c r="H517" t="n">
        <v>0</v>
      </c>
      <c r="I517" t="n">
        <v>0</v>
      </c>
      <c r="J517" t="n">
        <v>0</v>
      </c>
      <c r="K517" t="n">
        <v>0</v>
      </c>
      <c r="L517" t="n">
        <v>0</v>
      </c>
      <c r="M517" t="n">
        <v>0</v>
      </c>
      <c r="N517" t="n">
        <v>0</v>
      </c>
      <c r="O517" t="n">
        <v>0</v>
      </c>
      <c r="P517" t="n">
        <v>0</v>
      </c>
      <c r="Q517" t="n">
        <v>0</v>
      </c>
      <c r="R517" s="2" t="inlineStr"/>
    </row>
    <row r="518" ht="15" customHeight="1">
      <c r="A518" t="inlineStr">
        <is>
          <t>A 25098-2025</t>
        </is>
      </c>
      <c r="B518" s="1" t="n">
        <v>45800.3425</v>
      </c>
      <c r="C518" s="1" t="n">
        <v>45900</v>
      </c>
      <c r="D518" t="inlineStr">
        <is>
          <t>JÄMTLANDS LÄN</t>
        </is>
      </c>
      <c r="E518" t="inlineStr">
        <is>
          <t>HÄRJEDALEN</t>
        </is>
      </c>
      <c r="F518" t="inlineStr">
        <is>
          <t>Holmen skog AB</t>
        </is>
      </c>
      <c r="G518" t="n">
        <v>3.2</v>
      </c>
      <c r="H518" t="n">
        <v>0</v>
      </c>
      <c r="I518" t="n">
        <v>0</v>
      </c>
      <c r="J518" t="n">
        <v>0</v>
      </c>
      <c r="K518" t="n">
        <v>0</v>
      </c>
      <c r="L518" t="n">
        <v>0</v>
      </c>
      <c r="M518" t="n">
        <v>0</v>
      </c>
      <c r="N518" t="n">
        <v>0</v>
      </c>
      <c r="O518" t="n">
        <v>0</v>
      </c>
      <c r="P518" t="n">
        <v>0</v>
      </c>
      <c r="Q518" t="n">
        <v>0</v>
      </c>
      <c r="R518" s="2" t="inlineStr"/>
    </row>
    <row r="519" ht="15" customHeight="1">
      <c r="A519" t="inlineStr">
        <is>
          <t>A 62513-2022</t>
        </is>
      </c>
      <c r="B519" s="1" t="n">
        <v>44924.61315972222</v>
      </c>
      <c r="C519" s="1" t="n">
        <v>45900</v>
      </c>
      <c r="D519" t="inlineStr">
        <is>
          <t>JÄMTLANDS LÄN</t>
        </is>
      </c>
      <c r="E519" t="inlineStr">
        <is>
          <t>HÄRJEDALEN</t>
        </is>
      </c>
      <c r="F519" t="inlineStr">
        <is>
          <t>Holmen skog AB</t>
        </is>
      </c>
      <c r="G519" t="n">
        <v>2.2</v>
      </c>
      <c r="H519" t="n">
        <v>0</v>
      </c>
      <c r="I519" t="n">
        <v>0</v>
      </c>
      <c r="J519" t="n">
        <v>0</v>
      </c>
      <c r="K519" t="n">
        <v>0</v>
      </c>
      <c r="L519" t="n">
        <v>0</v>
      </c>
      <c r="M519" t="n">
        <v>0</v>
      </c>
      <c r="N519" t="n">
        <v>0</v>
      </c>
      <c r="O519" t="n">
        <v>0</v>
      </c>
      <c r="P519" t="n">
        <v>0</v>
      </c>
      <c r="Q519" t="n">
        <v>0</v>
      </c>
      <c r="R519" s="2" t="inlineStr"/>
    </row>
    <row r="520" ht="15" customHeight="1">
      <c r="A520" t="inlineStr">
        <is>
          <t>A 7362-2024</t>
        </is>
      </c>
      <c r="B520" s="1" t="n">
        <v>45345.47642361111</v>
      </c>
      <c r="C520" s="1" t="n">
        <v>45900</v>
      </c>
      <c r="D520" t="inlineStr">
        <is>
          <t>JÄMTLANDS LÄN</t>
        </is>
      </c>
      <c r="E520" t="inlineStr">
        <is>
          <t>HÄRJEDALEN</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7368-2024</t>
        </is>
      </c>
      <c r="B521" s="1" t="n">
        <v>45345.48181712963</v>
      </c>
      <c r="C521" s="1" t="n">
        <v>45900</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7371-2024</t>
        </is>
      </c>
      <c r="B522" s="1" t="n">
        <v>45345.4940625</v>
      </c>
      <c r="C522" s="1" t="n">
        <v>45900</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24796-2025</t>
        </is>
      </c>
      <c r="B523" s="1" t="n">
        <v>45799.43550925926</v>
      </c>
      <c r="C523" s="1" t="n">
        <v>45900</v>
      </c>
      <c r="D523" t="inlineStr">
        <is>
          <t>JÄMTLANDS LÄN</t>
        </is>
      </c>
      <c r="E523" t="inlineStr">
        <is>
          <t>HÄRJEDALEN</t>
        </is>
      </c>
      <c r="F523" t="inlineStr">
        <is>
          <t>Holmen skog AB</t>
        </is>
      </c>
      <c r="G523" t="n">
        <v>5.3</v>
      </c>
      <c r="H523" t="n">
        <v>0</v>
      </c>
      <c r="I523" t="n">
        <v>0</v>
      </c>
      <c r="J523" t="n">
        <v>0</v>
      </c>
      <c r="K523" t="n">
        <v>0</v>
      </c>
      <c r="L523" t="n">
        <v>0</v>
      </c>
      <c r="M523" t="n">
        <v>0</v>
      </c>
      <c r="N523" t="n">
        <v>0</v>
      </c>
      <c r="O523" t="n">
        <v>0</v>
      </c>
      <c r="P523" t="n">
        <v>0</v>
      </c>
      <c r="Q523" t="n">
        <v>0</v>
      </c>
      <c r="R523" s="2" t="inlineStr"/>
    </row>
    <row r="524" ht="15" customHeight="1">
      <c r="A524" t="inlineStr">
        <is>
          <t>A 25198-2025</t>
        </is>
      </c>
      <c r="B524" s="1" t="n">
        <v>45800.46069444445</v>
      </c>
      <c r="C524" s="1" t="n">
        <v>45900</v>
      </c>
      <c r="D524" t="inlineStr">
        <is>
          <t>JÄMTLANDS LÄN</t>
        </is>
      </c>
      <c r="E524" t="inlineStr">
        <is>
          <t>HÄRJEDALEN</t>
        </is>
      </c>
      <c r="F524" t="inlineStr">
        <is>
          <t>Holmen skog AB</t>
        </is>
      </c>
      <c r="G524" t="n">
        <v>4.7</v>
      </c>
      <c r="H524" t="n">
        <v>0</v>
      </c>
      <c r="I524" t="n">
        <v>0</v>
      </c>
      <c r="J524" t="n">
        <v>0</v>
      </c>
      <c r="K524" t="n">
        <v>0</v>
      </c>
      <c r="L524" t="n">
        <v>0</v>
      </c>
      <c r="M524" t="n">
        <v>0</v>
      </c>
      <c r="N524" t="n">
        <v>0</v>
      </c>
      <c r="O524" t="n">
        <v>0</v>
      </c>
      <c r="P524" t="n">
        <v>0</v>
      </c>
      <c r="Q524" t="n">
        <v>0</v>
      </c>
      <c r="R524" s="2" t="inlineStr"/>
    </row>
    <row r="525" ht="15" customHeight="1">
      <c r="A525" t="inlineStr">
        <is>
          <t>A 25232-2025</t>
        </is>
      </c>
      <c r="B525" s="1" t="n">
        <v>45800.48515046296</v>
      </c>
      <c r="C525" s="1" t="n">
        <v>45900</v>
      </c>
      <c r="D525" t="inlineStr">
        <is>
          <t>JÄMTLANDS LÄN</t>
        </is>
      </c>
      <c r="E525" t="inlineStr">
        <is>
          <t>HÄRJEDALEN</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25298-2025</t>
        </is>
      </c>
      <c r="B526" s="1" t="n">
        <v>45800.56995370371</v>
      </c>
      <c r="C526" s="1" t="n">
        <v>45900</v>
      </c>
      <c r="D526" t="inlineStr">
        <is>
          <t>JÄMTLANDS LÄN</t>
        </is>
      </c>
      <c r="E526" t="inlineStr">
        <is>
          <t>HÄRJEDALEN</t>
        </is>
      </c>
      <c r="F526" t="inlineStr">
        <is>
          <t>Holmen skog AB</t>
        </is>
      </c>
      <c r="G526" t="n">
        <v>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45900</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25123-2025</t>
        </is>
      </c>
      <c r="B528" s="1" t="n">
        <v>45800.37524305555</v>
      </c>
      <c r="C528" s="1" t="n">
        <v>45900</v>
      </c>
      <c r="D528" t="inlineStr">
        <is>
          <t>JÄMTLANDS LÄN</t>
        </is>
      </c>
      <c r="E528" t="inlineStr">
        <is>
          <t>HÄRJEDALEN</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25158-2025</t>
        </is>
      </c>
      <c r="B529" s="1" t="n">
        <v>45800.42797453704</v>
      </c>
      <c r="C529" s="1" t="n">
        <v>45900</v>
      </c>
      <c r="D529" t="inlineStr">
        <is>
          <t>JÄMTLANDS LÄN</t>
        </is>
      </c>
      <c r="E529" t="inlineStr">
        <is>
          <t>HÄRJEDALEN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25171-2025</t>
        </is>
      </c>
      <c r="B530" s="1" t="n">
        <v>45800.44090277778</v>
      </c>
      <c r="C530" s="1" t="n">
        <v>45900</v>
      </c>
      <c r="D530" t="inlineStr">
        <is>
          <t>JÄMTLANDS LÄN</t>
        </is>
      </c>
      <c r="E530" t="inlineStr">
        <is>
          <t>HÄRJEDALEN</t>
        </is>
      </c>
      <c r="G530" t="n">
        <v>12.3</v>
      </c>
      <c r="H530" t="n">
        <v>0</v>
      </c>
      <c r="I530" t="n">
        <v>0</v>
      </c>
      <c r="J530" t="n">
        <v>0</v>
      </c>
      <c r="K530" t="n">
        <v>0</v>
      </c>
      <c r="L530" t="n">
        <v>0</v>
      </c>
      <c r="M530" t="n">
        <v>0</v>
      </c>
      <c r="N530" t="n">
        <v>0</v>
      </c>
      <c r="O530" t="n">
        <v>0</v>
      </c>
      <c r="P530" t="n">
        <v>0</v>
      </c>
      <c r="Q530" t="n">
        <v>0</v>
      </c>
      <c r="R530" s="2" t="inlineStr"/>
    </row>
    <row r="531" ht="15" customHeight="1">
      <c r="A531" t="inlineStr">
        <is>
          <t>A 25383-2025</t>
        </is>
      </c>
      <c r="B531" s="1" t="n">
        <v>45800.64065972222</v>
      </c>
      <c r="C531" s="1" t="n">
        <v>45900</v>
      </c>
      <c r="D531" t="inlineStr">
        <is>
          <t>JÄMTLANDS LÄN</t>
        </is>
      </c>
      <c r="E531" t="inlineStr">
        <is>
          <t>HÄRJEDALEN</t>
        </is>
      </c>
      <c r="F531" t="inlineStr">
        <is>
          <t>Holmen skog AB</t>
        </is>
      </c>
      <c r="G531" t="n">
        <v>6.2</v>
      </c>
      <c r="H531" t="n">
        <v>0</v>
      </c>
      <c r="I531" t="n">
        <v>0</v>
      </c>
      <c r="J531" t="n">
        <v>0</v>
      </c>
      <c r="K531" t="n">
        <v>0</v>
      </c>
      <c r="L531" t="n">
        <v>0</v>
      </c>
      <c r="M531" t="n">
        <v>0</v>
      </c>
      <c r="N531" t="n">
        <v>0</v>
      </c>
      <c r="O531" t="n">
        <v>0</v>
      </c>
      <c r="P531" t="n">
        <v>0</v>
      </c>
      <c r="Q531" t="n">
        <v>0</v>
      </c>
      <c r="R531" s="2" t="inlineStr"/>
    </row>
    <row r="532" ht="15" customHeight="1">
      <c r="A532" t="inlineStr">
        <is>
          <t>A 55193-2023</t>
        </is>
      </c>
      <c r="B532" s="1" t="n">
        <v>45237.5815162037</v>
      </c>
      <c r="C532" s="1" t="n">
        <v>45900</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25380-2025</t>
        </is>
      </c>
      <c r="B533" s="1" t="n">
        <v>45800.63738425926</v>
      </c>
      <c r="C533" s="1" t="n">
        <v>45900</v>
      </c>
      <c r="D533" t="inlineStr">
        <is>
          <t>JÄMTLANDS LÄN</t>
        </is>
      </c>
      <c r="E533" t="inlineStr">
        <is>
          <t>HÄRJEDALEN</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30498-2025</t>
        </is>
      </c>
      <c r="B534" s="1" t="n">
        <v>45830</v>
      </c>
      <c r="C534" s="1" t="n">
        <v>45900</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25343-2025</t>
        </is>
      </c>
      <c r="B535" s="1" t="n">
        <v>45800.60508101852</v>
      </c>
      <c r="C535" s="1" t="n">
        <v>45900</v>
      </c>
      <c r="D535" t="inlineStr">
        <is>
          <t>JÄMTLANDS LÄN</t>
        </is>
      </c>
      <c r="E535" t="inlineStr">
        <is>
          <t>HÄRJEDALEN</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25409-2025</t>
        </is>
      </c>
      <c r="B536" s="1" t="n">
        <v>45800.66043981481</v>
      </c>
      <c r="C536" s="1" t="n">
        <v>45900</v>
      </c>
      <c r="D536" t="inlineStr">
        <is>
          <t>JÄMTLANDS LÄN</t>
        </is>
      </c>
      <c r="E536" t="inlineStr">
        <is>
          <t>HÄRJEDALEN</t>
        </is>
      </c>
      <c r="F536" t="inlineStr">
        <is>
          <t>Holmen skog AB</t>
        </is>
      </c>
      <c r="G536" t="n">
        <v>3.1</v>
      </c>
      <c r="H536" t="n">
        <v>0</v>
      </c>
      <c r="I536" t="n">
        <v>0</v>
      </c>
      <c r="J536" t="n">
        <v>0</v>
      </c>
      <c r="K536" t="n">
        <v>0</v>
      </c>
      <c r="L536" t="n">
        <v>0</v>
      </c>
      <c r="M536" t="n">
        <v>0</v>
      </c>
      <c r="N536" t="n">
        <v>0</v>
      </c>
      <c r="O536" t="n">
        <v>0</v>
      </c>
      <c r="P536" t="n">
        <v>0</v>
      </c>
      <c r="Q536" t="n">
        <v>0</v>
      </c>
      <c r="R536" s="2" t="inlineStr"/>
    </row>
    <row r="537" ht="15" customHeight="1">
      <c r="A537" t="inlineStr">
        <is>
          <t>A 24842-2025</t>
        </is>
      </c>
      <c r="B537" s="1" t="n">
        <v>45799.4658912037</v>
      </c>
      <c r="C537" s="1" t="n">
        <v>45900</v>
      </c>
      <c r="D537" t="inlineStr">
        <is>
          <t>JÄMTLANDS LÄN</t>
        </is>
      </c>
      <c r="E537" t="inlineStr">
        <is>
          <t>HÄRJEDALEN</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24844-2025</t>
        </is>
      </c>
      <c r="B538" s="1" t="n">
        <v>45799.46642361111</v>
      </c>
      <c r="C538" s="1" t="n">
        <v>45900</v>
      </c>
      <c r="D538" t="inlineStr">
        <is>
          <t>JÄMTLANDS LÄN</t>
        </is>
      </c>
      <c r="E538" t="inlineStr">
        <is>
          <t>HÄRJEDALEN</t>
        </is>
      </c>
      <c r="G538" t="n">
        <v>3.6</v>
      </c>
      <c r="H538" t="n">
        <v>0</v>
      </c>
      <c r="I538" t="n">
        <v>0</v>
      </c>
      <c r="J538" t="n">
        <v>0</v>
      </c>
      <c r="K538" t="n">
        <v>0</v>
      </c>
      <c r="L538" t="n">
        <v>0</v>
      </c>
      <c r="M538" t="n">
        <v>0</v>
      </c>
      <c r="N538" t="n">
        <v>0</v>
      </c>
      <c r="O538" t="n">
        <v>0</v>
      </c>
      <c r="P538" t="n">
        <v>0</v>
      </c>
      <c r="Q538" t="n">
        <v>0</v>
      </c>
      <c r="R538" s="2" t="inlineStr"/>
    </row>
    <row r="539" ht="15" customHeight="1">
      <c r="A539" t="inlineStr">
        <is>
          <t>A 25109-2025</t>
        </is>
      </c>
      <c r="B539" s="1" t="n">
        <v>45800.3503587963</v>
      </c>
      <c r="C539" s="1" t="n">
        <v>45900</v>
      </c>
      <c r="D539" t="inlineStr">
        <is>
          <t>JÄMTLANDS LÄN</t>
        </is>
      </c>
      <c r="E539" t="inlineStr">
        <is>
          <t>HÄRJEDALEN</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25112-2025</t>
        </is>
      </c>
      <c r="B540" s="1" t="n">
        <v>45800.35670138889</v>
      </c>
      <c r="C540" s="1" t="n">
        <v>45900</v>
      </c>
      <c r="D540" t="inlineStr">
        <is>
          <t>JÄMTLANDS LÄN</t>
        </is>
      </c>
      <c r="E540" t="inlineStr">
        <is>
          <t>HÄRJEDALEN</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9784-2024</t>
        </is>
      </c>
      <c r="B541" s="1" t="n">
        <v>45362.67293981482</v>
      </c>
      <c r="C541" s="1" t="n">
        <v>45900</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25147-2025</t>
        </is>
      </c>
      <c r="B542" s="1" t="n">
        <v>45800.41883101852</v>
      </c>
      <c r="C542" s="1" t="n">
        <v>45900</v>
      </c>
      <c r="D542" t="inlineStr">
        <is>
          <t>JÄMTLANDS LÄN</t>
        </is>
      </c>
      <c r="E542" t="inlineStr">
        <is>
          <t>HÄRJEDALEN</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24791-2025</t>
        </is>
      </c>
      <c r="B543" s="1" t="n">
        <v>45799.43086805556</v>
      </c>
      <c r="C543" s="1" t="n">
        <v>45900</v>
      </c>
      <c r="D543" t="inlineStr">
        <is>
          <t>JÄMTLANDS LÄN</t>
        </is>
      </c>
      <c r="E543" t="inlineStr">
        <is>
          <t>HÄRJEDALEN</t>
        </is>
      </c>
      <c r="F543" t="inlineStr">
        <is>
          <t>Holmen skog AB</t>
        </is>
      </c>
      <c r="G543" t="n">
        <v>5.1</v>
      </c>
      <c r="H543" t="n">
        <v>0</v>
      </c>
      <c r="I543" t="n">
        <v>0</v>
      </c>
      <c r="J543" t="n">
        <v>0</v>
      </c>
      <c r="K543" t="n">
        <v>0</v>
      </c>
      <c r="L543" t="n">
        <v>0</v>
      </c>
      <c r="M543" t="n">
        <v>0</v>
      </c>
      <c r="N543" t="n">
        <v>0</v>
      </c>
      <c r="O543" t="n">
        <v>0</v>
      </c>
      <c r="P543" t="n">
        <v>0</v>
      </c>
      <c r="Q543" t="n">
        <v>0</v>
      </c>
      <c r="R543" s="2" t="inlineStr"/>
    </row>
    <row r="544" ht="15" customHeight="1">
      <c r="A544" t="inlineStr">
        <is>
          <t>A 53386-2024</t>
        </is>
      </c>
      <c r="B544" s="1" t="n">
        <v>45614.47960648148</v>
      </c>
      <c r="C544" s="1" t="n">
        <v>45900</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18389-2021</t>
        </is>
      </c>
      <c r="B545" s="1" t="n">
        <v>44305</v>
      </c>
      <c r="C545" s="1" t="n">
        <v>45900</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25931-2025</t>
        </is>
      </c>
      <c r="B546" s="1" t="n">
        <v>45804.5813425926</v>
      </c>
      <c r="C546" s="1" t="n">
        <v>45900</v>
      </c>
      <c r="D546" t="inlineStr">
        <is>
          <t>JÄMTLANDS LÄN</t>
        </is>
      </c>
      <c r="E546" t="inlineStr">
        <is>
          <t>HÄRJEDALEN</t>
        </is>
      </c>
      <c r="F546" t="inlineStr">
        <is>
          <t>Bergvik skog väst AB</t>
        </is>
      </c>
      <c r="G546" t="n">
        <v>14.2</v>
      </c>
      <c r="H546" t="n">
        <v>0</v>
      </c>
      <c r="I546" t="n">
        <v>0</v>
      </c>
      <c r="J546" t="n">
        <v>0</v>
      </c>
      <c r="K546" t="n">
        <v>0</v>
      </c>
      <c r="L546" t="n">
        <v>0</v>
      </c>
      <c r="M546" t="n">
        <v>0</v>
      </c>
      <c r="N546" t="n">
        <v>0</v>
      </c>
      <c r="O546" t="n">
        <v>0</v>
      </c>
      <c r="P546" t="n">
        <v>0</v>
      </c>
      <c r="Q546" t="n">
        <v>0</v>
      </c>
      <c r="R546" s="2" t="inlineStr"/>
    </row>
    <row r="547" ht="15" customHeight="1">
      <c r="A547" t="inlineStr">
        <is>
          <t>A 25515-2025</t>
        </is>
      </c>
      <c r="B547" s="1" t="n">
        <v>45803.37258101852</v>
      </c>
      <c r="C547" s="1" t="n">
        <v>45900</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32962-2024</t>
        </is>
      </c>
      <c r="B548" s="1" t="n">
        <v>45517.38320601852</v>
      </c>
      <c r="C548" s="1" t="n">
        <v>45900</v>
      </c>
      <c r="D548" t="inlineStr">
        <is>
          <t>JÄMTLANDS LÄN</t>
        </is>
      </c>
      <c r="E548" t="inlineStr">
        <is>
          <t>HÄRJEDALEN</t>
        </is>
      </c>
      <c r="G548" t="n">
        <v>7</v>
      </c>
      <c r="H548" t="n">
        <v>0</v>
      </c>
      <c r="I548" t="n">
        <v>0</v>
      </c>
      <c r="J548" t="n">
        <v>0</v>
      </c>
      <c r="K548" t="n">
        <v>0</v>
      </c>
      <c r="L548" t="n">
        <v>0</v>
      </c>
      <c r="M548" t="n">
        <v>0</v>
      </c>
      <c r="N548" t="n">
        <v>0</v>
      </c>
      <c r="O548" t="n">
        <v>0</v>
      </c>
      <c r="P548" t="n">
        <v>0</v>
      </c>
      <c r="Q548" t="n">
        <v>0</v>
      </c>
      <c r="R548" s="2" t="inlineStr"/>
    </row>
    <row r="549" ht="15" customHeight="1">
      <c r="A549" t="inlineStr">
        <is>
          <t>A 7318-2024</t>
        </is>
      </c>
      <c r="B549" s="1" t="n">
        <v>45345</v>
      </c>
      <c r="C549" s="1" t="n">
        <v>45900</v>
      </c>
      <c r="D549" t="inlineStr">
        <is>
          <t>JÄMTLANDS LÄN</t>
        </is>
      </c>
      <c r="E549" t="inlineStr">
        <is>
          <t>HÄRJEDALEN</t>
        </is>
      </c>
      <c r="F549" t="inlineStr">
        <is>
          <t>Holmen skog AB</t>
        </is>
      </c>
      <c r="G549" t="n">
        <v>3.6</v>
      </c>
      <c r="H549" t="n">
        <v>0</v>
      </c>
      <c r="I549" t="n">
        <v>0</v>
      </c>
      <c r="J549" t="n">
        <v>0</v>
      </c>
      <c r="K549" t="n">
        <v>0</v>
      </c>
      <c r="L549" t="n">
        <v>0</v>
      </c>
      <c r="M549" t="n">
        <v>0</v>
      </c>
      <c r="N549" t="n">
        <v>0</v>
      </c>
      <c r="O549" t="n">
        <v>0</v>
      </c>
      <c r="P549" t="n">
        <v>0</v>
      </c>
      <c r="Q549" t="n">
        <v>0</v>
      </c>
      <c r="R549" s="2" t="inlineStr"/>
    </row>
    <row r="550" ht="15" customHeight="1">
      <c r="A550" t="inlineStr">
        <is>
          <t>A 25933-2025</t>
        </is>
      </c>
      <c r="B550" s="1" t="n">
        <v>45804.589375</v>
      </c>
      <c r="C550" s="1" t="n">
        <v>45900</v>
      </c>
      <c r="D550" t="inlineStr">
        <is>
          <t>JÄMTLANDS LÄN</t>
        </is>
      </c>
      <c r="E550" t="inlineStr">
        <is>
          <t>HÄRJEDALEN</t>
        </is>
      </c>
      <c r="G550" t="n">
        <v>2.7</v>
      </c>
      <c r="H550" t="n">
        <v>0</v>
      </c>
      <c r="I550" t="n">
        <v>0</v>
      </c>
      <c r="J550" t="n">
        <v>0</v>
      </c>
      <c r="K550" t="n">
        <v>0</v>
      </c>
      <c r="L550" t="n">
        <v>0</v>
      </c>
      <c r="M550" t="n">
        <v>0</v>
      </c>
      <c r="N550" t="n">
        <v>0</v>
      </c>
      <c r="O550" t="n">
        <v>0</v>
      </c>
      <c r="P550" t="n">
        <v>0</v>
      </c>
      <c r="Q550" t="n">
        <v>0</v>
      </c>
      <c r="R550" s="2" t="inlineStr"/>
    </row>
    <row r="551" ht="15" customHeight="1">
      <c r="A551" t="inlineStr">
        <is>
          <t>A 56182-2024</t>
        </is>
      </c>
      <c r="B551" s="1" t="n">
        <v>45624.57098379629</v>
      </c>
      <c r="C551" s="1" t="n">
        <v>45900</v>
      </c>
      <c r="D551" t="inlineStr">
        <is>
          <t>JÄMTLANDS LÄN</t>
        </is>
      </c>
      <c r="E551" t="inlineStr">
        <is>
          <t>HÄRJEDALEN</t>
        </is>
      </c>
      <c r="G551" t="n">
        <v>9</v>
      </c>
      <c r="H551" t="n">
        <v>0</v>
      </c>
      <c r="I551" t="n">
        <v>0</v>
      </c>
      <c r="J551" t="n">
        <v>0</v>
      </c>
      <c r="K551" t="n">
        <v>0</v>
      </c>
      <c r="L551" t="n">
        <v>0</v>
      </c>
      <c r="M551" t="n">
        <v>0</v>
      </c>
      <c r="N551" t="n">
        <v>0</v>
      </c>
      <c r="O551" t="n">
        <v>0</v>
      </c>
      <c r="P551" t="n">
        <v>0</v>
      </c>
      <c r="Q551" t="n">
        <v>0</v>
      </c>
      <c r="R551" s="2" t="inlineStr"/>
    </row>
    <row r="552" ht="15" customHeight="1">
      <c r="A552" t="inlineStr">
        <is>
          <t>A 25516-2025</t>
        </is>
      </c>
      <c r="B552" s="1" t="n">
        <v>45803.37480324074</v>
      </c>
      <c r="C552" s="1" t="n">
        <v>45900</v>
      </c>
      <c r="D552" t="inlineStr">
        <is>
          <t>JÄMTLANDS LÄN</t>
        </is>
      </c>
      <c r="E552" t="inlineStr">
        <is>
          <t>HÄRJEDALEN</t>
        </is>
      </c>
      <c r="G552" t="n">
        <v>5</v>
      </c>
      <c r="H552" t="n">
        <v>0</v>
      </c>
      <c r="I552" t="n">
        <v>0</v>
      </c>
      <c r="J552" t="n">
        <v>0</v>
      </c>
      <c r="K552" t="n">
        <v>0</v>
      </c>
      <c r="L552" t="n">
        <v>0</v>
      </c>
      <c r="M552" t="n">
        <v>0</v>
      </c>
      <c r="N552" t="n">
        <v>0</v>
      </c>
      <c r="O552" t="n">
        <v>0</v>
      </c>
      <c r="P552" t="n">
        <v>0</v>
      </c>
      <c r="Q552" t="n">
        <v>0</v>
      </c>
      <c r="R552" s="2" t="inlineStr"/>
    </row>
    <row r="553" ht="15" customHeight="1">
      <c r="A553" t="inlineStr">
        <is>
          <t>A 4220-2025</t>
        </is>
      </c>
      <c r="B553" s="1" t="n">
        <v>45685</v>
      </c>
      <c r="C553" s="1" t="n">
        <v>45900</v>
      </c>
      <c r="D553" t="inlineStr">
        <is>
          <t>JÄMTLANDS LÄN</t>
        </is>
      </c>
      <c r="E553" t="inlineStr">
        <is>
          <t>HÄRJEDALEN</t>
        </is>
      </c>
      <c r="F553" t="inlineStr">
        <is>
          <t>Bergvik skog väst AB</t>
        </is>
      </c>
      <c r="G553" t="n">
        <v>19.8</v>
      </c>
      <c r="H553" t="n">
        <v>0</v>
      </c>
      <c r="I553" t="n">
        <v>0</v>
      </c>
      <c r="J553" t="n">
        <v>0</v>
      </c>
      <c r="K553" t="n">
        <v>0</v>
      </c>
      <c r="L553" t="n">
        <v>0</v>
      </c>
      <c r="M553" t="n">
        <v>0</v>
      </c>
      <c r="N553" t="n">
        <v>0</v>
      </c>
      <c r="O553" t="n">
        <v>0</v>
      </c>
      <c r="P553" t="n">
        <v>0</v>
      </c>
      <c r="Q553" t="n">
        <v>0</v>
      </c>
      <c r="R553" s="2" t="inlineStr"/>
    </row>
    <row r="554" ht="15" customHeight="1">
      <c r="A554" t="inlineStr">
        <is>
          <t>A 60897-2022</t>
        </is>
      </c>
      <c r="B554" s="1" t="n">
        <v>44914</v>
      </c>
      <c r="C554" s="1" t="n">
        <v>45900</v>
      </c>
      <c r="D554" t="inlineStr">
        <is>
          <t>JÄMTLANDS LÄN</t>
        </is>
      </c>
      <c r="E554" t="inlineStr">
        <is>
          <t>HÄRJEDALEN</t>
        </is>
      </c>
      <c r="F554" t="inlineStr">
        <is>
          <t>Holmen skog AB</t>
        </is>
      </c>
      <c r="G554" t="n">
        <v>0.3</v>
      </c>
      <c r="H554" t="n">
        <v>0</v>
      </c>
      <c r="I554" t="n">
        <v>0</v>
      </c>
      <c r="J554" t="n">
        <v>0</v>
      </c>
      <c r="K554" t="n">
        <v>0</v>
      </c>
      <c r="L554" t="n">
        <v>0</v>
      </c>
      <c r="M554" t="n">
        <v>0</v>
      </c>
      <c r="N554" t="n">
        <v>0</v>
      </c>
      <c r="O554" t="n">
        <v>0</v>
      </c>
      <c r="P554" t="n">
        <v>0</v>
      </c>
      <c r="Q554" t="n">
        <v>0</v>
      </c>
      <c r="R554" s="2" t="inlineStr"/>
      <c r="U554">
        <f>HYPERLINK("https://klasma.github.io/Logging_2361/knärot/A 60897-2022 karta knärot.png", "A 60897-2022")</f>
        <v/>
      </c>
      <c r="V554">
        <f>HYPERLINK("https://klasma.github.io/Logging_2361/klagomål/A 60897-2022 FSC-klagomål.docx", "A 60897-2022")</f>
        <v/>
      </c>
      <c r="W554">
        <f>HYPERLINK("https://klasma.github.io/Logging_2361/klagomålsmail/A 60897-2022 FSC-klagomål mail.docx", "A 60897-2022")</f>
        <v/>
      </c>
      <c r="X554">
        <f>HYPERLINK("https://klasma.github.io/Logging_2361/tillsyn/A 60897-2022 tillsynsbegäran.docx", "A 60897-2022")</f>
        <v/>
      </c>
      <c r="Y554">
        <f>HYPERLINK("https://klasma.github.io/Logging_2361/tillsynsmail/A 60897-2022 tillsynsbegäran mail.docx", "A 60897-2022")</f>
        <v/>
      </c>
    </row>
    <row r="555" ht="15" customHeight="1">
      <c r="A555" t="inlineStr">
        <is>
          <t>A 105-2023</t>
        </is>
      </c>
      <c r="B555" s="1" t="n">
        <v>44928.48072916667</v>
      </c>
      <c r="C555" s="1" t="n">
        <v>45900</v>
      </c>
      <c r="D555" t="inlineStr">
        <is>
          <t>JÄMTLANDS LÄN</t>
        </is>
      </c>
      <c r="E555" t="inlineStr">
        <is>
          <t>HÄRJEDALEN</t>
        </is>
      </c>
      <c r="F555" t="inlineStr">
        <is>
          <t>Holmen skog AB</t>
        </is>
      </c>
      <c r="G555" t="n">
        <v>17.5</v>
      </c>
      <c r="H555" t="n">
        <v>0</v>
      </c>
      <c r="I555" t="n">
        <v>0</v>
      </c>
      <c r="J555" t="n">
        <v>0</v>
      </c>
      <c r="K555" t="n">
        <v>0</v>
      </c>
      <c r="L555" t="n">
        <v>0</v>
      </c>
      <c r="M555" t="n">
        <v>0</v>
      </c>
      <c r="N555" t="n">
        <v>0</v>
      </c>
      <c r="O555" t="n">
        <v>0</v>
      </c>
      <c r="P555" t="n">
        <v>0</v>
      </c>
      <c r="Q555" t="n">
        <v>0</v>
      </c>
      <c r="R555" s="2" t="inlineStr"/>
    </row>
    <row r="556" ht="15" customHeight="1">
      <c r="A556" t="inlineStr">
        <is>
          <t>A 35635-2024</t>
        </is>
      </c>
      <c r="B556" s="1" t="n">
        <v>45531.78386574074</v>
      </c>
      <c r="C556" s="1" t="n">
        <v>45900</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26209-2025</t>
        </is>
      </c>
      <c r="B557" s="1" t="n">
        <v>45805.53280092592</v>
      </c>
      <c r="C557" s="1" t="n">
        <v>45900</v>
      </c>
      <c r="D557" t="inlineStr">
        <is>
          <t>JÄMTLANDS LÄN</t>
        </is>
      </c>
      <c r="E557" t="inlineStr">
        <is>
          <t>HÄRJEDALEN</t>
        </is>
      </c>
      <c r="F557" t="inlineStr">
        <is>
          <t>Bergvik skog väst AB</t>
        </is>
      </c>
      <c r="G557" t="n">
        <v>27.3</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45900</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45900</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45900</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60752-2024</t>
        </is>
      </c>
      <c r="B561" s="1" t="n">
        <v>45644.56674768519</v>
      </c>
      <c r="C561" s="1" t="n">
        <v>45900</v>
      </c>
      <c r="D561" t="inlineStr">
        <is>
          <t>JÄMTLANDS LÄN</t>
        </is>
      </c>
      <c r="E561" t="inlineStr">
        <is>
          <t>HÄRJEDALEN</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45900</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58452-2024</t>
        </is>
      </c>
      <c r="B563" s="1" t="n">
        <v>45635.35274305556</v>
      </c>
      <c r="C563" s="1" t="n">
        <v>45900</v>
      </c>
      <c r="D563" t="inlineStr">
        <is>
          <t>JÄMTLANDS LÄN</t>
        </is>
      </c>
      <c r="E563" t="inlineStr">
        <is>
          <t>HÄRJEDALEN</t>
        </is>
      </c>
      <c r="F563" t="inlineStr">
        <is>
          <t>Bergvik skog väst AB</t>
        </is>
      </c>
      <c r="G563" t="n">
        <v>15.6</v>
      </c>
      <c r="H563" t="n">
        <v>0</v>
      </c>
      <c r="I563" t="n">
        <v>0</v>
      </c>
      <c r="J563" t="n">
        <v>0</v>
      </c>
      <c r="K563" t="n">
        <v>0</v>
      </c>
      <c r="L563" t="n">
        <v>0</v>
      </c>
      <c r="M563" t="n">
        <v>0</v>
      </c>
      <c r="N563" t="n">
        <v>0</v>
      </c>
      <c r="O563" t="n">
        <v>0</v>
      </c>
      <c r="P563" t="n">
        <v>0</v>
      </c>
      <c r="Q563" t="n">
        <v>0</v>
      </c>
      <c r="R563" s="2" t="inlineStr"/>
    </row>
    <row r="564" ht="15" customHeight="1">
      <c r="A564" t="inlineStr">
        <is>
          <t>A 29749-2024</t>
        </is>
      </c>
      <c r="B564" s="1" t="n">
        <v>45485.42287037037</v>
      </c>
      <c r="C564" s="1" t="n">
        <v>45900</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29766-2024</t>
        </is>
      </c>
      <c r="B565" s="1" t="n">
        <v>45485</v>
      </c>
      <c r="C565" s="1" t="n">
        <v>45900</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29768-2024</t>
        </is>
      </c>
      <c r="B566" s="1" t="n">
        <v>45485.44258101852</v>
      </c>
      <c r="C566" s="1" t="n">
        <v>45900</v>
      </c>
      <c r="D566" t="inlineStr">
        <is>
          <t>JÄMTLANDS LÄN</t>
        </is>
      </c>
      <c r="E566" t="inlineStr">
        <is>
          <t>HÄRJEDALEN</t>
        </is>
      </c>
      <c r="F566" t="inlineStr">
        <is>
          <t>Holmen skog AB</t>
        </is>
      </c>
      <c r="G566" t="n">
        <v>11.1</v>
      </c>
      <c r="H566" t="n">
        <v>0</v>
      </c>
      <c r="I566" t="n">
        <v>0</v>
      </c>
      <c r="J566" t="n">
        <v>0</v>
      </c>
      <c r="K566" t="n">
        <v>0</v>
      </c>
      <c r="L566" t="n">
        <v>0</v>
      </c>
      <c r="M566" t="n">
        <v>0</v>
      </c>
      <c r="N566" t="n">
        <v>0</v>
      </c>
      <c r="O566" t="n">
        <v>0</v>
      </c>
      <c r="P566" t="n">
        <v>0</v>
      </c>
      <c r="Q566" t="n">
        <v>0</v>
      </c>
      <c r="R566" s="2" t="inlineStr"/>
    </row>
    <row r="567" ht="15" customHeight="1">
      <c r="A567" t="inlineStr">
        <is>
          <t>A 37719-2023</t>
        </is>
      </c>
      <c r="B567" s="1" t="n">
        <v>45159.60288194445</v>
      </c>
      <c r="C567" s="1" t="n">
        <v>45900</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26551-2025</t>
        </is>
      </c>
      <c r="B568" s="1" t="n">
        <v>45807.60333333333</v>
      </c>
      <c r="C568" s="1" t="n">
        <v>45900</v>
      </c>
      <c r="D568" t="inlineStr">
        <is>
          <t>JÄMTLANDS LÄN</t>
        </is>
      </c>
      <c r="E568" t="inlineStr">
        <is>
          <t>HÄRJEDALEN</t>
        </is>
      </c>
      <c r="F568" t="inlineStr">
        <is>
          <t>Holmen skog AB</t>
        </is>
      </c>
      <c r="G568" t="n">
        <v>12.3</v>
      </c>
      <c r="H568" t="n">
        <v>0</v>
      </c>
      <c r="I568" t="n">
        <v>0</v>
      </c>
      <c r="J568" t="n">
        <v>0</v>
      </c>
      <c r="K568" t="n">
        <v>0</v>
      </c>
      <c r="L568" t="n">
        <v>0</v>
      </c>
      <c r="M568" t="n">
        <v>0</v>
      </c>
      <c r="N568" t="n">
        <v>0</v>
      </c>
      <c r="O568" t="n">
        <v>0</v>
      </c>
      <c r="P568" t="n">
        <v>0</v>
      </c>
      <c r="Q568" t="n">
        <v>0</v>
      </c>
      <c r="R568" s="2" t="inlineStr"/>
    </row>
    <row r="569" ht="15" customHeight="1">
      <c r="A569" t="inlineStr">
        <is>
          <t>A 26543-2025</t>
        </is>
      </c>
      <c r="B569" s="1" t="n">
        <v>45807.58868055556</v>
      </c>
      <c r="C569" s="1" t="n">
        <v>45900</v>
      </c>
      <c r="D569" t="inlineStr">
        <is>
          <t>JÄMTLANDS LÄN</t>
        </is>
      </c>
      <c r="E569" t="inlineStr">
        <is>
          <t>HÄRJEDALEN</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51223-2024</t>
        </is>
      </c>
      <c r="B570" s="1" t="n">
        <v>45603</v>
      </c>
      <c r="C570" s="1" t="n">
        <v>45900</v>
      </c>
      <c r="D570" t="inlineStr">
        <is>
          <t>JÄMTLANDS LÄN</t>
        </is>
      </c>
      <c r="E570" t="inlineStr">
        <is>
          <t>HÄRJEDALEN</t>
        </is>
      </c>
      <c r="F570" t="inlineStr">
        <is>
          <t>Holmen skog AB</t>
        </is>
      </c>
      <c r="G570" t="n">
        <v>6.1</v>
      </c>
      <c r="H570" t="n">
        <v>0</v>
      </c>
      <c r="I570" t="n">
        <v>0</v>
      </c>
      <c r="J570" t="n">
        <v>0</v>
      </c>
      <c r="K570" t="n">
        <v>0</v>
      </c>
      <c r="L570" t="n">
        <v>0</v>
      </c>
      <c r="M570" t="n">
        <v>0</v>
      </c>
      <c r="N570" t="n">
        <v>0</v>
      </c>
      <c r="O570" t="n">
        <v>0</v>
      </c>
      <c r="P570" t="n">
        <v>0</v>
      </c>
      <c r="Q570" t="n">
        <v>0</v>
      </c>
      <c r="R570" s="2" t="inlineStr"/>
    </row>
    <row r="571" ht="15" customHeight="1">
      <c r="A571" t="inlineStr">
        <is>
          <t>A 54502-2024</t>
        </is>
      </c>
      <c r="B571" s="1" t="n">
        <v>45617</v>
      </c>
      <c r="C571" s="1" t="n">
        <v>45900</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26548-2025</t>
        </is>
      </c>
      <c r="B572" s="1" t="n">
        <v>45807.59407407408</v>
      </c>
      <c r="C572" s="1" t="n">
        <v>45900</v>
      </c>
      <c r="D572" t="inlineStr">
        <is>
          <t>JÄMTLANDS LÄN</t>
        </is>
      </c>
      <c r="E572" t="inlineStr">
        <is>
          <t>HÄRJEDALEN</t>
        </is>
      </c>
      <c r="F572" t="inlineStr">
        <is>
          <t>Holmen skog AB</t>
        </is>
      </c>
      <c r="G572" t="n">
        <v>10.5</v>
      </c>
      <c r="H572" t="n">
        <v>0</v>
      </c>
      <c r="I572" t="n">
        <v>0</v>
      </c>
      <c r="J572" t="n">
        <v>0</v>
      </c>
      <c r="K572" t="n">
        <v>0</v>
      </c>
      <c r="L572" t="n">
        <v>0</v>
      </c>
      <c r="M572" t="n">
        <v>0</v>
      </c>
      <c r="N572" t="n">
        <v>0</v>
      </c>
      <c r="O572" t="n">
        <v>0</v>
      </c>
      <c r="P572" t="n">
        <v>0</v>
      </c>
      <c r="Q572" t="n">
        <v>0</v>
      </c>
      <c r="R572" s="2" t="inlineStr"/>
    </row>
    <row r="573" ht="15" customHeight="1">
      <c r="A573" t="inlineStr">
        <is>
          <t>A 26443-2025</t>
        </is>
      </c>
      <c r="B573" s="1" t="n">
        <v>45807.41287037037</v>
      </c>
      <c r="C573" s="1" t="n">
        <v>45900</v>
      </c>
      <c r="D573" t="inlineStr">
        <is>
          <t>JÄMTLANDS LÄN</t>
        </is>
      </c>
      <c r="E573" t="inlineStr">
        <is>
          <t>HÄRJEDALEN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26451-2025</t>
        </is>
      </c>
      <c r="B574" s="1" t="n">
        <v>45807.42212962963</v>
      </c>
      <c r="C574" s="1" t="n">
        <v>45900</v>
      </c>
      <c r="D574" t="inlineStr">
        <is>
          <t>JÄMTLANDS LÄN</t>
        </is>
      </c>
      <c r="E574" t="inlineStr">
        <is>
          <t>HÄRJEDALEN</t>
        </is>
      </c>
      <c r="F574" t="inlineStr">
        <is>
          <t>Holmen skog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26468-2025</t>
        </is>
      </c>
      <c r="B575" s="1" t="n">
        <v>45807.45288194445</v>
      </c>
      <c r="C575" s="1" t="n">
        <v>45900</v>
      </c>
      <c r="D575" t="inlineStr">
        <is>
          <t>JÄMTLANDS LÄN</t>
        </is>
      </c>
      <c r="E575" t="inlineStr">
        <is>
          <t>HÄRJEDALEN</t>
        </is>
      </c>
      <c r="F575" t="inlineStr">
        <is>
          <t>Holmen skog AB</t>
        </is>
      </c>
      <c r="G575" t="n">
        <v>11.7</v>
      </c>
      <c r="H575" t="n">
        <v>0</v>
      </c>
      <c r="I575" t="n">
        <v>0</v>
      </c>
      <c r="J575" t="n">
        <v>0</v>
      </c>
      <c r="K575" t="n">
        <v>0</v>
      </c>
      <c r="L575" t="n">
        <v>0</v>
      </c>
      <c r="M575" t="n">
        <v>0</v>
      </c>
      <c r="N575" t="n">
        <v>0</v>
      </c>
      <c r="O575" t="n">
        <v>0</v>
      </c>
      <c r="P575" t="n">
        <v>0</v>
      </c>
      <c r="Q575" t="n">
        <v>0</v>
      </c>
      <c r="R575" s="2" t="inlineStr"/>
    </row>
    <row r="576" ht="15" customHeight="1">
      <c r="A576" t="inlineStr">
        <is>
          <t>A 26495-2025</t>
        </is>
      </c>
      <c r="B576" s="1" t="n">
        <v>45807.49436342593</v>
      </c>
      <c r="C576" s="1" t="n">
        <v>45900</v>
      </c>
      <c r="D576" t="inlineStr">
        <is>
          <t>JÄMTLANDS LÄN</t>
        </is>
      </c>
      <c r="E576" t="inlineStr">
        <is>
          <t>HÄRJEDALEN</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26496-2025</t>
        </is>
      </c>
      <c r="B577" s="1" t="n">
        <v>45807.49832175926</v>
      </c>
      <c r="C577" s="1" t="n">
        <v>45900</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55859-2024</t>
        </is>
      </c>
      <c r="B578" s="1" t="n">
        <v>45622</v>
      </c>
      <c r="C578" s="1" t="n">
        <v>45900</v>
      </c>
      <c r="D578" t="inlineStr">
        <is>
          <t>JÄMTLANDS LÄN</t>
        </is>
      </c>
      <c r="E578" t="inlineStr">
        <is>
          <t>HÄRJEDALEN</t>
        </is>
      </c>
      <c r="F578" t="inlineStr">
        <is>
          <t>Bergvik skog väst AB</t>
        </is>
      </c>
      <c r="G578" t="n">
        <v>28.1</v>
      </c>
      <c r="H578" t="n">
        <v>0</v>
      </c>
      <c r="I578" t="n">
        <v>0</v>
      </c>
      <c r="J578" t="n">
        <v>0</v>
      </c>
      <c r="K578" t="n">
        <v>0</v>
      </c>
      <c r="L578" t="n">
        <v>0</v>
      </c>
      <c r="M578" t="n">
        <v>0</v>
      </c>
      <c r="N578" t="n">
        <v>0</v>
      </c>
      <c r="O578" t="n">
        <v>0</v>
      </c>
      <c r="P578" t="n">
        <v>0</v>
      </c>
      <c r="Q578" t="n">
        <v>0</v>
      </c>
      <c r="R578" s="2" t="inlineStr"/>
    </row>
    <row r="579" ht="15" customHeight="1">
      <c r="A579" t="inlineStr">
        <is>
          <t>A 26540-2025</t>
        </is>
      </c>
      <c r="B579" s="1" t="n">
        <v>45807.58393518518</v>
      </c>
      <c r="C579" s="1" t="n">
        <v>45900</v>
      </c>
      <c r="D579" t="inlineStr">
        <is>
          <t>JÄMTLANDS LÄN</t>
        </is>
      </c>
      <c r="E579" t="inlineStr">
        <is>
          <t>HÄRJEDALEN</t>
        </is>
      </c>
      <c r="F579" t="inlineStr">
        <is>
          <t>Holmen skog AB</t>
        </is>
      </c>
      <c r="G579" t="n">
        <v>6</v>
      </c>
      <c r="H579" t="n">
        <v>0</v>
      </c>
      <c r="I579" t="n">
        <v>0</v>
      </c>
      <c r="J579" t="n">
        <v>0</v>
      </c>
      <c r="K579" t="n">
        <v>0</v>
      </c>
      <c r="L579" t="n">
        <v>0</v>
      </c>
      <c r="M579" t="n">
        <v>0</v>
      </c>
      <c r="N579" t="n">
        <v>0</v>
      </c>
      <c r="O579" t="n">
        <v>0</v>
      </c>
      <c r="P579" t="n">
        <v>0</v>
      </c>
      <c r="Q579" t="n">
        <v>0</v>
      </c>
      <c r="R579" s="2" t="inlineStr"/>
    </row>
    <row r="580" ht="15" customHeight="1">
      <c r="A580" t="inlineStr">
        <is>
          <t>A 26417-2025</t>
        </is>
      </c>
      <c r="B580" s="1" t="n">
        <v>45807.36304398148</v>
      </c>
      <c r="C580" s="1" t="n">
        <v>45900</v>
      </c>
      <c r="D580" t="inlineStr">
        <is>
          <t>JÄMTLANDS LÄN</t>
        </is>
      </c>
      <c r="E580" t="inlineStr">
        <is>
          <t>HÄRJEDALEN</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26448-2025</t>
        </is>
      </c>
      <c r="B581" s="1" t="n">
        <v>45807.41717592593</v>
      </c>
      <c r="C581" s="1" t="n">
        <v>45900</v>
      </c>
      <c r="D581" t="inlineStr">
        <is>
          <t>JÄMTLANDS LÄN</t>
        </is>
      </c>
      <c r="E581" t="inlineStr">
        <is>
          <t>HÄRJEDALEN</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26462-2025</t>
        </is>
      </c>
      <c r="B582" s="1" t="n">
        <v>45807.43461805556</v>
      </c>
      <c r="C582" s="1" t="n">
        <v>45900</v>
      </c>
      <c r="D582" t="inlineStr">
        <is>
          <t>JÄMTLANDS LÄN</t>
        </is>
      </c>
      <c r="E582" t="inlineStr">
        <is>
          <t>HÄRJEDALEN</t>
        </is>
      </c>
      <c r="F582" t="inlineStr">
        <is>
          <t>Holmen skog AB</t>
        </is>
      </c>
      <c r="G582" t="n">
        <v>4</v>
      </c>
      <c r="H582" t="n">
        <v>0</v>
      </c>
      <c r="I582" t="n">
        <v>0</v>
      </c>
      <c r="J582" t="n">
        <v>0</v>
      </c>
      <c r="K582" t="n">
        <v>0</v>
      </c>
      <c r="L582" t="n">
        <v>0</v>
      </c>
      <c r="M582" t="n">
        <v>0</v>
      </c>
      <c r="N582" t="n">
        <v>0</v>
      </c>
      <c r="O582" t="n">
        <v>0</v>
      </c>
      <c r="P582" t="n">
        <v>0</v>
      </c>
      <c r="Q582" t="n">
        <v>0</v>
      </c>
      <c r="R582" s="2" t="inlineStr"/>
    </row>
    <row r="583" ht="15" customHeight="1">
      <c r="A583" t="inlineStr">
        <is>
          <t>A 26464-2025</t>
        </is>
      </c>
      <c r="B583" s="1" t="n">
        <v>45807.44070601852</v>
      </c>
      <c r="C583" s="1" t="n">
        <v>45900</v>
      </c>
      <c r="D583" t="inlineStr">
        <is>
          <t>JÄMTLANDS LÄN</t>
        </is>
      </c>
      <c r="E583" t="inlineStr">
        <is>
          <t>HÄRJEDALEN</t>
        </is>
      </c>
      <c r="F583" t="inlineStr">
        <is>
          <t>Holmen skog AB</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26466-2025</t>
        </is>
      </c>
      <c r="B584" s="1" t="n">
        <v>45807.44608796296</v>
      </c>
      <c r="C584" s="1" t="n">
        <v>45900</v>
      </c>
      <c r="D584" t="inlineStr">
        <is>
          <t>JÄMTLANDS LÄN</t>
        </is>
      </c>
      <c r="E584" t="inlineStr">
        <is>
          <t>HÄRJEDALEN</t>
        </is>
      </c>
      <c r="F584" t="inlineStr">
        <is>
          <t>Holmen skog AB</t>
        </is>
      </c>
      <c r="G584" t="n">
        <v>4</v>
      </c>
      <c r="H584" t="n">
        <v>0</v>
      </c>
      <c r="I584" t="n">
        <v>0</v>
      </c>
      <c r="J584" t="n">
        <v>0</v>
      </c>
      <c r="K584" t="n">
        <v>0</v>
      </c>
      <c r="L584" t="n">
        <v>0</v>
      </c>
      <c r="M584" t="n">
        <v>0</v>
      </c>
      <c r="N584" t="n">
        <v>0</v>
      </c>
      <c r="O584" t="n">
        <v>0</v>
      </c>
      <c r="P584" t="n">
        <v>0</v>
      </c>
      <c r="Q584" t="n">
        <v>0</v>
      </c>
      <c r="R584" s="2" t="inlineStr"/>
    </row>
    <row r="585" ht="15" customHeight="1">
      <c r="A585" t="inlineStr">
        <is>
          <t>A 52565-2023</t>
        </is>
      </c>
      <c r="B585" s="1" t="n">
        <v>45225.58005787037</v>
      </c>
      <c r="C585" s="1" t="n">
        <v>45900</v>
      </c>
      <c r="D585" t="inlineStr">
        <is>
          <t>JÄMTLANDS LÄN</t>
        </is>
      </c>
      <c r="E585" t="inlineStr">
        <is>
          <t>HÄRJEDALEN</t>
        </is>
      </c>
      <c r="G585" t="n">
        <v>2.1</v>
      </c>
      <c r="H585" t="n">
        <v>0</v>
      </c>
      <c r="I585" t="n">
        <v>0</v>
      </c>
      <c r="J585" t="n">
        <v>0</v>
      </c>
      <c r="K585" t="n">
        <v>0</v>
      </c>
      <c r="L585" t="n">
        <v>0</v>
      </c>
      <c r="M585" t="n">
        <v>0</v>
      </c>
      <c r="N585" t="n">
        <v>0</v>
      </c>
      <c r="O585" t="n">
        <v>0</v>
      </c>
      <c r="P585" t="n">
        <v>0</v>
      </c>
      <c r="Q585" t="n">
        <v>0</v>
      </c>
      <c r="R585" s="2" t="inlineStr"/>
    </row>
    <row r="586" ht="15" customHeight="1">
      <c r="A586" t="inlineStr">
        <is>
          <t>A 26558-2025</t>
        </is>
      </c>
      <c r="B586" s="1" t="n">
        <v>45807.63334490741</v>
      </c>
      <c r="C586" s="1" t="n">
        <v>45900</v>
      </c>
      <c r="D586" t="inlineStr">
        <is>
          <t>JÄMTLANDS LÄN</t>
        </is>
      </c>
      <c r="E586" t="inlineStr">
        <is>
          <t>HÄRJEDALEN</t>
        </is>
      </c>
      <c r="F586" t="inlineStr">
        <is>
          <t>Holmen skog AB</t>
        </is>
      </c>
      <c r="G586" t="n">
        <v>7.4</v>
      </c>
      <c r="H586" t="n">
        <v>0</v>
      </c>
      <c r="I586" t="n">
        <v>0</v>
      </c>
      <c r="J586" t="n">
        <v>0</v>
      </c>
      <c r="K586" t="n">
        <v>0</v>
      </c>
      <c r="L586" t="n">
        <v>0</v>
      </c>
      <c r="M586" t="n">
        <v>0</v>
      </c>
      <c r="N586" t="n">
        <v>0</v>
      </c>
      <c r="O586" t="n">
        <v>0</v>
      </c>
      <c r="P586" t="n">
        <v>0</v>
      </c>
      <c r="Q586" t="n">
        <v>0</v>
      </c>
      <c r="R586" s="2" t="inlineStr"/>
    </row>
    <row r="587" ht="15" customHeight="1">
      <c r="A587" t="inlineStr">
        <is>
          <t>A 26486-2025</t>
        </is>
      </c>
      <c r="B587" s="1" t="n">
        <v>45807.47479166667</v>
      </c>
      <c r="C587" s="1" t="n">
        <v>45900</v>
      </c>
      <c r="D587" t="inlineStr">
        <is>
          <t>JÄMTLANDS LÄN</t>
        </is>
      </c>
      <c r="E587" t="inlineStr">
        <is>
          <t>HÄRJEDALEN</t>
        </is>
      </c>
      <c r="F587" t="inlineStr">
        <is>
          <t>Holmen skog AB</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26493-2025</t>
        </is>
      </c>
      <c r="B588" s="1" t="n">
        <v>45807.49045138889</v>
      </c>
      <c r="C588" s="1" t="n">
        <v>45900</v>
      </c>
      <c r="D588" t="inlineStr">
        <is>
          <t>JÄMTLANDS LÄN</t>
        </is>
      </c>
      <c r="E588" t="inlineStr">
        <is>
          <t>HÄRJEDALEN</t>
        </is>
      </c>
      <c r="F588" t="inlineStr">
        <is>
          <t>Holmen skog AB</t>
        </is>
      </c>
      <c r="G588" t="n">
        <v>4.8</v>
      </c>
      <c r="H588" t="n">
        <v>0</v>
      </c>
      <c r="I588" t="n">
        <v>0</v>
      </c>
      <c r="J588" t="n">
        <v>0</v>
      </c>
      <c r="K588" t="n">
        <v>0</v>
      </c>
      <c r="L588" t="n">
        <v>0</v>
      </c>
      <c r="M588" t="n">
        <v>0</v>
      </c>
      <c r="N588" t="n">
        <v>0</v>
      </c>
      <c r="O588" t="n">
        <v>0</v>
      </c>
      <c r="P588" t="n">
        <v>0</v>
      </c>
      <c r="Q588" t="n">
        <v>0</v>
      </c>
      <c r="R588" s="2" t="inlineStr"/>
    </row>
    <row r="589" ht="15" customHeight="1">
      <c r="A589" t="inlineStr">
        <is>
          <t>A 16535-2024</t>
        </is>
      </c>
      <c r="B589" s="1" t="n">
        <v>45408</v>
      </c>
      <c r="C589" s="1" t="n">
        <v>45900</v>
      </c>
      <c r="D589" t="inlineStr">
        <is>
          <t>JÄMTLANDS LÄN</t>
        </is>
      </c>
      <c r="E589" t="inlineStr">
        <is>
          <t>HÄRJEDALEN</t>
        </is>
      </c>
      <c r="G589" t="n">
        <v>3.7</v>
      </c>
      <c r="H589" t="n">
        <v>0</v>
      </c>
      <c r="I589" t="n">
        <v>0</v>
      </c>
      <c r="J589" t="n">
        <v>0</v>
      </c>
      <c r="K589" t="n">
        <v>0</v>
      </c>
      <c r="L589" t="n">
        <v>0</v>
      </c>
      <c r="M589" t="n">
        <v>0</v>
      </c>
      <c r="N589" t="n">
        <v>0</v>
      </c>
      <c r="O589" t="n">
        <v>0</v>
      </c>
      <c r="P589" t="n">
        <v>0</v>
      </c>
      <c r="Q589" t="n">
        <v>0</v>
      </c>
      <c r="R589" s="2" t="inlineStr"/>
    </row>
    <row r="590" ht="15" customHeight="1">
      <c r="A590" t="inlineStr">
        <is>
          <t>A 62134-2024</t>
        </is>
      </c>
      <c r="B590" s="1" t="n">
        <v>45646</v>
      </c>
      <c r="C590" s="1" t="n">
        <v>45900</v>
      </c>
      <c r="D590" t="inlineStr">
        <is>
          <t>JÄMTLANDS LÄN</t>
        </is>
      </c>
      <c r="E590" t="inlineStr">
        <is>
          <t>HÄRJEDALEN</t>
        </is>
      </c>
      <c r="G590" t="n">
        <v>13.1</v>
      </c>
      <c r="H590" t="n">
        <v>0</v>
      </c>
      <c r="I590" t="n">
        <v>0</v>
      </c>
      <c r="J590" t="n">
        <v>0</v>
      </c>
      <c r="K590" t="n">
        <v>0</v>
      </c>
      <c r="L590" t="n">
        <v>0</v>
      </c>
      <c r="M590" t="n">
        <v>0</v>
      </c>
      <c r="N590" t="n">
        <v>0</v>
      </c>
      <c r="O590" t="n">
        <v>0</v>
      </c>
      <c r="P590" t="n">
        <v>0</v>
      </c>
      <c r="Q590" t="n">
        <v>0</v>
      </c>
      <c r="R590" s="2" t="inlineStr"/>
    </row>
    <row r="591" ht="15" customHeight="1">
      <c r="A591" t="inlineStr">
        <is>
          <t>A 26561-2025</t>
        </is>
      </c>
      <c r="B591" s="1" t="n">
        <v>45807.65438657408</v>
      </c>
      <c r="C591" s="1" t="n">
        <v>45900</v>
      </c>
      <c r="D591" t="inlineStr">
        <is>
          <t>JÄMTLANDS LÄN</t>
        </is>
      </c>
      <c r="E591" t="inlineStr">
        <is>
          <t>HÄRJEDALEN</t>
        </is>
      </c>
      <c r="F591" t="inlineStr">
        <is>
          <t>Holmen skog AB</t>
        </is>
      </c>
      <c r="G591" t="n">
        <v>7.9</v>
      </c>
      <c r="H591" t="n">
        <v>0</v>
      </c>
      <c r="I591" t="n">
        <v>0</v>
      </c>
      <c r="J591" t="n">
        <v>0</v>
      </c>
      <c r="K591" t="n">
        <v>0</v>
      </c>
      <c r="L591" t="n">
        <v>0</v>
      </c>
      <c r="M591" t="n">
        <v>0</v>
      </c>
      <c r="N591" t="n">
        <v>0</v>
      </c>
      <c r="O591" t="n">
        <v>0</v>
      </c>
      <c r="P591" t="n">
        <v>0</v>
      </c>
      <c r="Q591" t="n">
        <v>0</v>
      </c>
      <c r="R591" s="2" t="inlineStr"/>
    </row>
    <row r="592" ht="15" customHeight="1">
      <c r="A592" t="inlineStr">
        <is>
          <t>A 26404-2025</t>
        </is>
      </c>
      <c r="B592" s="1" t="n">
        <v>45807.3409837963</v>
      </c>
      <c r="C592" s="1" t="n">
        <v>45900</v>
      </c>
      <c r="D592" t="inlineStr">
        <is>
          <t>JÄMTLANDS LÄN</t>
        </is>
      </c>
      <c r="E592" t="inlineStr">
        <is>
          <t>HÄRJEDALEN</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26411-2025</t>
        </is>
      </c>
      <c r="B593" s="1" t="n">
        <v>45807.35476851852</v>
      </c>
      <c r="C593" s="1" t="n">
        <v>45900</v>
      </c>
      <c r="D593" t="inlineStr">
        <is>
          <t>JÄMTLANDS LÄN</t>
        </is>
      </c>
      <c r="E593" t="inlineStr">
        <is>
          <t>HÄRJEDALEN</t>
        </is>
      </c>
      <c r="F593" t="inlineStr">
        <is>
          <t>Holmen skog AB</t>
        </is>
      </c>
      <c r="G593" t="n">
        <v>12.4</v>
      </c>
      <c r="H593" t="n">
        <v>0</v>
      </c>
      <c r="I593" t="n">
        <v>0</v>
      </c>
      <c r="J593" t="n">
        <v>0</v>
      </c>
      <c r="K593" t="n">
        <v>0</v>
      </c>
      <c r="L593" t="n">
        <v>0</v>
      </c>
      <c r="M593" t="n">
        <v>0</v>
      </c>
      <c r="N593" t="n">
        <v>0</v>
      </c>
      <c r="O593" t="n">
        <v>0</v>
      </c>
      <c r="P593" t="n">
        <v>0</v>
      </c>
      <c r="Q593" t="n">
        <v>0</v>
      </c>
      <c r="R593" s="2" t="inlineStr"/>
    </row>
    <row r="594" ht="15" customHeight="1">
      <c r="A594" t="inlineStr">
        <is>
          <t>A 26518-2025</t>
        </is>
      </c>
      <c r="B594" s="1" t="n">
        <v>45807.55893518519</v>
      </c>
      <c r="C594" s="1" t="n">
        <v>45900</v>
      </c>
      <c r="D594" t="inlineStr">
        <is>
          <t>JÄMTLANDS LÄN</t>
        </is>
      </c>
      <c r="E594" t="inlineStr">
        <is>
          <t>HÄRJEDALEN</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60422-2020</t>
        </is>
      </c>
      <c r="B595" s="1" t="n">
        <v>44153</v>
      </c>
      <c r="C595" s="1" t="n">
        <v>45900</v>
      </c>
      <c r="D595" t="inlineStr">
        <is>
          <t>JÄMTLANDS LÄN</t>
        </is>
      </c>
      <c r="E595" t="inlineStr">
        <is>
          <t>HÄRJEDALEN</t>
        </is>
      </c>
      <c r="F595" t="inlineStr">
        <is>
          <t>Bergvik skog väst AB</t>
        </is>
      </c>
      <c r="G595" t="n">
        <v>0.7</v>
      </c>
      <c r="H595" t="n">
        <v>0</v>
      </c>
      <c r="I595" t="n">
        <v>0</v>
      </c>
      <c r="J595" t="n">
        <v>0</v>
      </c>
      <c r="K595" t="n">
        <v>0</v>
      </c>
      <c r="L595" t="n">
        <v>0</v>
      </c>
      <c r="M595" t="n">
        <v>0</v>
      </c>
      <c r="N595" t="n">
        <v>0</v>
      </c>
      <c r="O595" t="n">
        <v>0</v>
      </c>
      <c r="P595" t="n">
        <v>0</v>
      </c>
      <c r="Q595" t="n">
        <v>0</v>
      </c>
      <c r="R595" s="2" t="inlineStr"/>
    </row>
    <row r="596" ht="15" customHeight="1">
      <c r="A596" t="inlineStr">
        <is>
          <t>A 26528-2025</t>
        </is>
      </c>
      <c r="B596" s="1" t="n">
        <v>45807.5684375</v>
      </c>
      <c r="C596" s="1" t="n">
        <v>45900</v>
      </c>
      <c r="D596" t="inlineStr">
        <is>
          <t>JÄMTLANDS LÄN</t>
        </is>
      </c>
      <c r="E596" t="inlineStr">
        <is>
          <t>HÄRJEDALEN</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8178-2024</t>
        </is>
      </c>
      <c r="B597" s="1" t="n">
        <v>45350</v>
      </c>
      <c r="C597" s="1" t="n">
        <v>45900</v>
      </c>
      <c r="D597" t="inlineStr">
        <is>
          <t>JÄMTLANDS LÄN</t>
        </is>
      </c>
      <c r="E597" t="inlineStr">
        <is>
          <t>HÄRJEDALEN</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8215-2024</t>
        </is>
      </c>
      <c r="B598" s="1" t="n">
        <v>45351</v>
      </c>
      <c r="C598" s="1" t="n">
        <v>45900</v>
      </c>
      <c r="D598" t="inlineStr">
        <is>
          <t>JÄMTLANDS LÄN</t>
        </is>
      </c>
      <c r="E598" t="inlineStr">
        <is>
          <t>HÄRJEDALEN</t>
        </is>
      </c>
      <c r="G598" t="n">
        <v>49.2</v>
      </c>
      <c r="H598" t="n">
        <v>0</v>
      </c>
      <c r="I598" t="n">
        <v>0</v>
      </c>
      <c r="J598" t="n">
        <v>0</v>
      </c>
      <c r="K598" t="n">
        <v>0</v>
      </c>
      <c r="L598" t="n">
        <v>0</v>
      </c>
      <c r="M598" t="n">
        <v>0</v>
      </c>
      <c r="N598" t="n">
        <v>0</v>
      </c>
      <c r="O598" t="n">
        <v>0</v>
      </c>
      <c r="P598" t="n">
        <v>0</v>
      </c>
      <c r="Q598" t="n">
        <v>0</v>
      </c>
      <c r="R598" s="2" t="inlineStr"/>
    </row>
    <row r="599" ht="15" customHeight="1">
      <c r="A599" t="inlineStr">
        <is>
          <t>A 7311-2024</t>
        </is>
      </c>
      <c r="B599" s="1" t="n">
        <v>45345.34219907408</v>
      </c>
      <c r="C599" s="1" t="n">
        <v>45900</v>
      </c>
      <c r="D599" t="inlineStr">
        <is>
          <t>JÄMTLANDS LÄN</t>
        </is>
      </c>
      <c r="E599" t="inlineStr">
        <is>
          <t>HÄRJEDALEN</t>
        </is>
      </c>
      <c r="F599" t="inlineStr">
        <is>
          <t>Holmen skog AB</t>
        </is>
      </c>
      <c r="G599" t="n">
        <v>3.7</v>
      </c>
      <c r="H599" t="n">
        <v>0</v>
      </c>
      <c r="I599" t="n">
        <v>0</v>
      </c>
      <c r="J599" t="n">
        <v>0</v>
      </c>
      <c r="K599" t="n">
        <v>0</v>
      </c>
      <c r="L599" t="n">
        <v>0</v>
      </c>
      <c r="M599" t="n">
        <v>0</v>
      </c>
      <c r="N599" t="n">
        <v>0</v>
      </c>
      <c r="O599" t="n">
        <v>0</v>
      </c>
      <c r="P599" t="n">
        <v>0</v>
      </c>
      <c r="Q599" t="n">
        <v>0</v>
      </c>
      <c r="R599" s="2" t="inlineStr"/>
    </row>
    <row r="600" ht="15" customHeight="1">
      <c r="A600" t="inlineStr">
        <is>
          <t>A 54527-2024</t>
        </is>
      </c>
      <c r="B600" s="1" t="n">
        <v>45617</v>
      </c>
      <c r="C600" s="1" t="n">
        <v>45900</v>
      </c>
      <c r="D600" t="inlineStr">
        <is>
          <t>JÄMTLANDS LÄN</t>
        </is>
      </c>
      <c r="E600" t="inlineStr">
        <is>
          <t>HÄRJEDALEN</t>
        </is>
      </c>
      <c r="F600" t="inlineStr">
        <is>
          <t>Holmen skog AB</t>
        </is>
      </c>
      <c r="G600" t="n">
        <v>8.5</v>
      </c>
      <c r="H600" t="n">
        <v>0</v>
      </c>
      <c r="I600" t="n">
        <v>0</v>
      </c>
      <c r="J600" t="n">
        <v>0</v>
      </c>
      <c r="K600" t="n">
        <v>0</v>
      </c>
      <c r="L600" t="n">
        <v>0</v>
      </c>
      <c r="M600" t="n">
        <v>0</v>
      </c>
      <c r="N600" t="n">
        <v>0</v>
      </c>
      <c r="O600" t="n">
        <v>0</v>
      </c>
      <c r="P600" t="n">
        <v>0</v>
      </c>
      <c r="Q600" t="n">
        <v>0</v>
      </c>
      <c r="R600" s="2" t="inlineStr"/>
    </row>
    <row r="601" ht="15" customHeight="1">
      <c r="A601" t="inlineStr">
        <is>
          <t>A 11528-2022</t>
        </is>
      </c>
      <c r="B601" s="1" t="n">
        <v>44631.37701388889</v>
      </c>
      <c r="C601" s="1" t="n">
        <v>45900</v>
      </c>
      <c r="D601" t="inlineStr">
        <is>
          <t>JÄMTLANDS LÄN</t>
        </is>
      </c>
      <c r="E601" t="inlineStr">
        <is>
          <t>HÄRJEDALEN</t>
        </is>
      </c>
      <c r="F601" t="inlineStr">
        <is>
          <t>Holmen skog AB</t>
        </is>
      </c>
      <c r="G601" t="n">
        <v>6.1</v>
      </c>
      <c r="H601" t="n">
        <v>0</v>
      </c>
      <c r="I601" t="n">
        <v>0</v>
      </c>
      <c r="J601" t="n">
        <v>0</v>
      </c>
      <c r="K601" t="n">
        <v>0</v>
      </c>
      <c r="L601" t="n">
        <v>0</v>
      </c>
      <c r="M601" t="n">
        <v>0</v>
      </c>
      <c r="N601" t="n">
        <v>0</v>
      </c>
      <c r="O601" t="n">
        <v>0</v>
      </c>
      <c r="P601" t="n">
        <v>0</v>
      </c>
      <c r="Q601" t="n">
        <v>0</v>
      </c>
      <c r="R601" s="2" t="inlineStr"/>
    </row>
    <row r="602" ht="15" customHeight="1">
      <c r="A602" t="inlineStr">
        <is>
          <t>A 12428-2025</t>
        </is>
      </c>
      <c r="B602" s="1" t="n">
        <v>45730</v>
      </c>
      <c r="C602" s="1" t="n">
        <v>45900</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11545-2022</t>
        </is>
      </c>
      <c r="B603" s="1" t="n">
        <v>44631.42353009259</v>
      </c>
      <c r="C603" s="1" t="n">
        <v>45900</v>
      </c>
      <c r="D603" t="inlineStr">
        <is>
          <t>JÄMTLANDS LÄN</t>
        </is>
      </c>
      <c r="E603" t="inlineStr">
        <is>
          <t>HÄRJEDALEN</t>
        </is>
      </c>
      <c r="F603" t="inlineStr">
        <is>
          <t>Holmen skog AB</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26523-2025</t>
        </is>
      </c>
      <c r="B604" s="1" t="n">
        <v>45807.56403935186</v>
      </c>
      <c r="C604" s="1" t="n">
        <v>45900</v>
      </c>
      <c r="D604" t="inlineStr">
        <is>
          <t>JÄMTLANDS LÄN</t>
        </is>
      </c>
      <c r="E604" t="inlineStr">
        <is>
          <t>HÄRJEDALEN</t>
        </is>
      </c>
      <c r="F604" t="inlineStr">
        <is>
          <t>Holmen skog AB</t>
        </is>
      </c>
      <c r="G604" t="n">
        <v>7.4</v>
      </c>
      <c r="H604" t="n">
        <v>0</v>
      </c>
      <c r="I604" t="n">
        <v>0</v>
      </c>
      <c r="J604" t="n">
        <v>0</v>
      </c>
      <c r="K604" t="n">
        <v>0</v>
      </c>
      <c r="L604" t="n">
        <v>0</v>
      </c>
      <c r="M604" t="n">
        <v>0</v>
      </c>
      <c r="N604" t="n">
        <v>0</v>
      </c>
      <c r="O604" t="n">
        <v>0</v>
      </c>
      <c r="P604" t="n">
        <v>0</v>
      </c>
      <c r="Q604" t="n">
        <v>0</v>
      </c>
      <c r="R604" s="2" t="inlineStr"/>
    </row>
    <row r="605" ht="15" customHeight="1">
      <c r="A605" t="inlineStr">
        <is>
          <t>A 40567-2023</t>
        </is>
      </c>
      <c r="B605" s="1" t="n">
        <v>45170.46134259259</v>
      </c>
      <c r="C605" s="1" t="n">
        <v>45900</v>
      </c>
      <c r="D605" t="inlineStr">
        <is>
          <t>JÄMTLANDS LÄN</t>
        </is>
      </c>
      <c r="E605" t="inlineStr">
        <is>
          <t>HÄRJEDALEN</t>
        </is>
      </c>
      <c r="F605" t="inlineStr">
        <is>
          <t>Holmen skog AB</t>
        </is>
      </c>
      <c r="G605" t="n">
        <v>19.4</v>
      </c>
      <c r="H605" t="n">
        <v>0</v>
      </c>
      <c r="I605" t="n">
        <v>0</v>
      </c>
      <c r="J605" t="n">
        <v>0</v>
      </c>
      <c r="K605" t="n">
        <v>0</v>
      </c>
      <c r="L605" t="n">
        <v>0</v>
      </c>
      <c r="M605" t="n">
        <v>0</v>
      </c>
      <c r="N605" t="n">
        <v>0</v>
      </c>
      <c r="O605" t="n">
        <v>0</v>
      </c>
      <c r="P605" t="n">
        <v>0</v>
      </c>
      <c r="Q605" t="n">
        <v>0</v>
      </c>
      <c r="R605" s="2" t="inlineStr"/>
    </row>
    <row r="606" ht="15" customHeight="1">
      <c r="A606" t="inlineStr">
        <is>
          <t>A 13723-2025</t>
        </is>
      </c>
      <c r="B606" s="1" t="n">
        <v>45737.37006944444</v>
      </c>
      <c r="C606" s="1" t="n">
        <v>45900</v>
      </c>
      <c r="D606" t="inlineStr">
        <is>
          <t>JÄMTLANDS LÄN</t>
        </is>
      </c>
      <c r="E606" t="inlineStr">
        <is>
          <t>HÄRJEDALEN</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60887-2022</t>
        </is>
      </c>
      <c r="B607" s="1" t="n">
        <v>44914</v>
      </c>
      <c r="C607" s="1" t="n">
        <v>45900</v>
      </c>
      <c r="D607" t="inlineStr">
        <is>
          <t>JÄMTLANDS LÄN</t>
        </is>
      </c>
      <c r="E607" t="inlineStr">
        <is>
          <t>HÄRJEDALEN</t>
        </is>
      </c>
      <c r="G607" t="n">
        <v>0.9</v>
      </c>
      <c r="H607" t="n">
        <v>0</v>
      </c>
      <c r="I607" t="n">
        <v>0</v>
      </c>
      <c r="J607" t="n">
        <v>0</v>
      </c>
      <c r="K607" t="n">
        <v>0</v>
      </c>
      <c r="L607" t="n">
        <v>0</v>
      </c>
      <c r="M607" t="n">
        <v>0</v>
      </c>
      <c r="N607" t="n">
        <v>0</v>
      </c>
      <c r="O607" t="n">
        <v>0</v>
      </c>
      <c r="P607" t="n">
        <v>0</v>
      </c>
      <c r="Q607" t="n">
        <v>0</v>
      </c>
      <c r="R607" s="2" t="inlineStr"/>
    </row>
    <row r="608" ht="15" customHeight="1">
      <c r="A608" t="inlineStr">
        <is>
          <t>A 5630-2024</t>
        </is>
      </c>
      <c r="B608" s="1" t="n">
        <v>45334</v>
      </c>
      <c r="C608" s="1" t="n">
        <v>45900</v>
      </c>
      <c r="D608" t="inlineStr">
        <is>
          <t>JÄMTLANDS LÄN</t>
        </is>
      </c>
      <c r="E608" t="inlineStr">
        <is>
          <t>HÄRJEDALEN</t>
        </is>
      </c>
      <c r="F608" t="inlineStr">
        <is>
          <t>Övriga statliga verk och myndigheter</t>
        </is>
      </c>
      <c r="G608" t="n">
        <v>5.4</v>
      </c>
      <c r="H608" t="n">
        <v>0</v>
      </c>
      <c r="I608" t="n">
        <v>0</v>
      </c>
      <c r="J608" t="n">
        <v>0</v>
      </c>
      <c r="K608" t="n">
        <v>0</v>
      </c>
      <c r="L608" t="n">
        <v>0</v>
      </c>
      <c r="M608" t="n">
        <v>0</v>
      </c>
      <c r="N608" t="n">
        <v>0</v>
      </c>
      <c r="O608" t="n">
        <v>0</v>
      </c>
      <c r="P608" t="n">
        <v>0</v>
      </c>
      <c r="Q608" t="n">
        <v>0</v>
      </c>
      <c r="R608" s="2" t="inlineStr"/>
    </row>
    <row r="609" ht="15" customHeight="1">
      <c r="A609" t="inlineStr">
        <is>
          <t>A 4128-2025</t>
        </is>
      </c>
      <c r="B609" s="1" t="n">
        <v>45685</v>
      </c>
      <c r="C609" s="1" t="n">
        <v>45900</v>
      </c>
      <c r="D609" t="inlineStr">
        <is>
          <t>JÄMTLANDS LÄN</t>
        </is>
      </c>
      <c r="E609" t="inlineStr">
        <is>
          <t>HÄRJEDALEN</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51769-2024</t>
        </is>
      </c>
      <c r="B610" s="1" t="n">
        <v>45607.44832175926</v>
      </c>
      <c r="C610" s="1" t="n">
        <v>45900</v>
      </c>
      <c r="D610" t="inlineStr">
        <is>
          <t>JÄMTLANDS LÄN</t>
        </is>
      </c>
      <c r="E610" t="inlineStr">
        <is>
          <t>HÄRJEDALEN</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20206-2022</t>
        </is>
      </c>
      <c r="B611" s="1" t="n">
        <v>44698</v>
      </c>
      <c r="C611" s="1" t="n">
        <v>45900</v>
      </c>
      <c r="D611" t="inlineStr">
        <is>
          <t>JÄMTLANDS LÄN</t>
        </is>
      </c>
      <c r="E611" t="inlineStr">
        <is>
          <t>HÄRJEDALEN</t>
        </is>
      </c>
      <c r="F611" t="inlineStr">
        <is>
          <t>Bergvik skog väst AB</t>
        </is>
      </c>
      <c r="G611" t="n">
        <v>5.8</v>
      </c>
      <c r="H611" t="n">
        <v>0</v>
      </c>
      <c r="I611" t="n">
        <v>0</v>
      </c>
      <c r="J611" t="n">
        <v>0</v>
      </c>
      <c r="K611" t="n">
        <v>0</v>
      </c>
      <c r="L611" t="n">
        <v>0</v>
      </c>
      <c r="M611" t="n">
        <v>0</v>
      </c>
      <c r="N611" t="n">
        <v>0</v>
      </c>
      <c r="O611" t="n">
        <v>0</v>
      </c>
      <c r="P611" t="n">
        <v>0</v>
      </c>
      <c r="Q611" t="n">
        <v>0</v>
      </c>
      <c r="R611" s="2" t="inlineStr"/>
    </row>
    <row r="612" ht="15" customHeight="1">
      <c r="A612" t="inlineStr">
        <is>
          <t>A 54364-2024</t>
        </is>
      </c>
      <c r="B612" s="1" t="n">
        <v>45617</v>
      </c>
      <c r="C612" s="1" t="n">
        <v>45900</v>
      </c>
      <c r="D612" t="inlineStr">
        <is>
          <t>JÄMTLANDS LÄN</t>
        </is>
      </c>
      <c r="E612" t="inlineStr">
        <is>
          <t>HÄRJEDALEN</t>
        </is>
      </c>
      <c r="F612" t="inlineStr">
        <is>
          <t>Holmen skog AB</t>
        </is>
      </c>
      <c r="G612" t="n">
        <v>41.1</v>
      </c>
      <c r="H612" t="n">
        <v>0</v>
      </c>
      <c r="I612" t="n">
        <v>0</v>
      </c>
      <c r="J612" t="n">
        <v>0</v>
      </c>
      <c r="K612" t="n">
        <v>0</v>
      </c>
      <c r="L612" t="n">
        <v>0</v>
      </c>
      <c r="M612" t="n">
        <v>0</v>
      </c>
      <c r="N612" t="n">
        <v>0</v>
      </c>
      <c r="O612" t="n">
        <v>0</v>
      </c>
      <c r="P612" t="n">
        <v>0</v>
      </c>
      <c r="Q612" t="n">
        <v>0</v>
      </c>
      <c r="R612" s="2" t="inlineStr"/>
    </row>
    <row r="613" ht="15" customHeight="1">
      <c r="A613" t="inlineStr">
        <is>
          <t>A 64485-2023</t>
        </is>
      </c>
      <c r="B613" s="1" t="n">
        <v>45280</v>
      </c>
      <c r="C613" s="1" t="n">
        <v>45900</v>
      </c>
      <c r="D613" t="inlineStr">
        <is>
          <t>JÄMTLANDS LÄN</t>
        </is>
      </c>
      <c r="E613" t="inlineStr">
        <is>
          <t>HÄRJEDALEN</t>
        </is>
      </c>
      <c r="G613" t="n">
        <v>21.3</v>
      </c>
      <c r="H613" t="n">
        <v>0</v>
      </c>
      <c r="I613" t="n">
        <v>0</v>
      </c>
      <c r="J613" t="n">
        <v>0</v>
      </c>
      <c r="K613" t="n">
        <v>0</v>
      </c>
      <c r="L613" t="n">
        <v>0</v>
      </c>
      <c r="M613" t="n">
        <v>0</v>
      </c>
      <c r="N613" t="n">
        <v>0</v>
      </c>
      <c r="O613" t="n">
        <v>0</v>
      </c>
      <c r="P613" t="n">
        <v>0</v>
      </c>
      <c r="Q613" t="n">
        <v>0</v>
      </c>
      <c r="R613" s="2" t="inlineStr"/>
    </row>
    <row r="614" ht="15" customHeight="1">
      <c r="A614" t="inlineStr">
        <is>
          <t>A 26905-2025</t>
        </is>
      </c>
      <c r="B614" s="1" t="n">
        <v>45811.34540509259</v>
      </c>
      <c r="C614" s="1" t="n">
        <v>45900</v>
      </c>
      <c r="D614" t="inlineStr">
        <is>
          <t>JÄMTLANDS LÄN</t>
        </is>
      </c>
      <c r="E614" t="inlineStr">
        <is>
          <t>HÄRJEDALEN</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49792-2023</t>
        </is>
      </c>
      <c r="B615" s="1" t="n">
        <v>45212</v>
      </c>
      <c r="C615" s="1" t="n">
        <v>45900</v>
      </c>
      <c r="D615" t="inlineStr">
        <is>
          <t>JÄMTLANDS LÄN</t>
        </is>
      </c>
      <c r="E615" t="inlineStr">
        <is>
          <t>HÄRJEDALEN</t>
        </is>
      </c>
      <c r="G615" t="n">
        <v>5.6</v>
      </c>
      <c r="H615" t="n">
        <v>0</v>
      </c>
      <c r="I615" t="n">
        <v>0</v>
      </c>
      <c r="J615" t="n">
        <v>0</v>
      </c>
      <c r="K615" t="n">
        <v>0</v>
      </c>
      <c r="L615" t="n">
        <v>0</v>
      </c>
      <c r="M615" t="n">
        <v>0</v>
      </c>
      <c r="N615" t="n">
        <v>0</v>
      </c>
      <c r="O615" t="n">
        <v>0</v>
      </c>
      <c r="P615" t="n">
        <v>0</v>
      </c>
      <c r="Q615" t="n">
        <v>0</v>
      </c>
      <c r="R615" s="2" t="inlineStr"/>
    </row>
    <row r="616" ht="15" customHeight="1">
      <c r="A616" t="inlineStr">
        <is>
          <t>A 62719-2022</t>
        </is>
      </c>
      <c r="B616" s="1" t="n">
        <v>44925</v>
      </c>
      <c r="C616" s="1" t="n">
        <v>45900</v>
      </c>
      <c r="D616" t="inlineStr">
        <is>
          <t>JÄMTLANDS LÄN</t>
        </is>
      </c>
      <c r="E616" t="inlineStr">
        <is>
          <t>HÄRJEDALEN</t>
        </is>
      </c>
      <c r="F616" t="inlineStr">
        <is>
          <t>Holmen skog AB</t>
        </is>
      </c>
      <c r="G616" t="n">
        <v>3.1</v>
      </c>
      <c r="H616" t="n">
        <v>0</v>
      </c>
      <c r="I616" t="n">
        <v>0</v>
      </c>
      <c r="J616" t="n">
        <v>0</v>
      </c>
      <c r="K616" t="n">
        <v>0</v>
      </c>
      <c r="L616" t="n">
        <v>0</v>
      </c>
      <c r="M616" t="n">
        <v>0</v>
      </c>
      <c r="N616" t="n">
        <v>0</v>
      </c>
      <c r="O616" t="n">
        <v>0</v>
      </c>
      <c r="P616" t="n">
        <v>0</v>
      </c>
      <c r="Q616" t="n">
        <v>0</v>
      </c>
      <c r="R616" s="2" t="inlineStr"/>
    </row>
    <row r="617" ht="15" customHeight="1">
      <c r="A617" t="inlineStr">
        <is>
          <t>A 26907-2025</t>
        </is>
      </c>
      <c r="B617" s="1" t="n">
        <v>45811.34564814815</v>
      </c>
      <c r="C617" s="1" t="n">
        <v>45900</v>
      </c>
      <c r="D617" t="inlineStr">
        <is>
          <t>JÄMTLANDS LÄN</t>
        </is>
      </c>
      <c r="E617" t="inlineStr">
        <is>
          <t>HÄRJEDALEN</t>
        </is>
      </c>
      <c r="F617" t="inlineStr">
        <is>
          <t>SCA</t>
        </is>
      </c>
      <c r="G617" t="n">
        <v>10.8</v>
      </c>
      <c r="H617" t="n">
        <v>0</v>
      </c>
      <c r="I617" t="n">
        <v>0</v>
      </c>
      <c r="J617" t="n">
        <v>0</v>
      </c>
      <c r="K617" t="n">
        <v>0</v>
      </c>
      <c r="L617" t="n">
        <v>0</v>
      </c>
      <c r="M617" t="n">
        <v>0</v>
      </c>
      <c r="N617" t="n">
        <v>0</v>
      </c>
      <c r="O617" t="n">
        <v>0</v>
      </c>
      <c r="P617" t="n">
        <v>0</v>
      </c>
      <c r="Q617" t="n">
        <v>0</v>
      </c>
      <c r="R617" s="2" t="inlineStr"/>
    </row>
    <row r="618" ht="15" customHeight="1">
      <c r="A618" t="inlineStr">
        <is>
          <t>A 5098-2025</t>
        </is>
      </c>
      <c r="B618" s="1" t="n">
        <v>45691</v>
      </c>
      <c r="C618" s="1" t="n">
        <v>45900</v>
      </c>
      <c r="D618" t="inlineStr">
        <is>
          <t>JÄMTLANDS LÄN</t>
        </is>
      </c>
      <c r="E618" t="inlineStr">
        <is>
          <t>HÄRJEDALEN</t>
        </is>
      </c>
      <c r="F618" t="inlineStr">
        <is>
          <t>Holmen skog AB</t>
        </is>
      </c>
      <c r="G618" t="n">
        <v>15.2</v>
      </c>
      <c r="H618" t="n">
        <v>0</v>
      </c>
      <c r="I618" t="n">
        <v>0</v>
      </c>
      <c r="J618" t="n">
        <v>0</v>
      </c>
      <c r="K618" t="n">
        <v>0</v>
      </c>
      <c r="L618" t="n">
        <v>0</v>
      </c>
      <c r="M618" t="n">
        <v>0</v>
      </c>
      <c r="N618" t="n">
        <v>0</v>
      </c>
      <c r="O618" t="n">
        <v>0</v>
      </c>
      <c r="P618" t="n">
        <v>0</v>
      </c>
      <c r="Q618" t="n">
        <v>0</v>
      </c>
      <c r="R618" s="2" t="inlineStr"/>
    </row>
    <row r="619" ht="15" customHeight="1">
      <c r="A619" t="inlineStr">
        <is>
          <t>A 5102-2025</t>
        </is>
      </c>
      <c r="B619" s="1" t="n">
        <v>45691</v>
      </c>
      <c r="C619" s="1" t="n">
        <v>45900</v>
      </c>
      <c r="D619" t="inlineStr">
        <is>
          <t>JÄMTLANDS LÄN</t>
        </is>
      </c>
      <c r="E619" t="inlineStr">
        <is>
          <t>HÄRJEDALEN</t>
        </is>
      </c>
      <c r="F619" t="inlineStr">
        <is>
          <t>Holmen skog AB</t>
        </is>
      </c>
      <c r="G619" t="n">
        <v>19.3</v>
      </c>
      <c r="H619" t="n">
        <v>0</v>
      </c>
      <c r="I619" t="n">
        <v>0</v>
      </c>
      <c r="J619" t="n">
        <v>0</v>
      </c>
      <c r="K619" t="n">
        <v>0</v>
      </c>
      <c r="L619" t="n">
        <v>0</v>
      </c>
      <c r="M619" t="n">
        <v>0</v>
      </c>
      <c r="N619" t="n">
        <v>0</v>
      </c>
      <c r="O619" t="n">
        <v>0</v>
      </c>
      <c r="P619" t="n">
        <v>0</v>
      </c>
      <c r="Q619" t="n">
        <v>0</v>
      </c>
      <c r="R619" s="2" t="inlineStr"/>
    </row>
    <row r="620" ht="15" customHeight="1">
      <c r="A620" t="inlineStr">
        <is>
          <t>A 12747-2025</t>
        </is>
      </c>
      <c r="B620" s="1" t="n">
        <v>45733</v>
      </c>
      <c r="C620" s="1" t="n">
        <v>45900</v>
      </c>
      <c r="D620" t="inlineStr">
        <is>
          <t>JÄMTLANDS LÄN</t>
        </is>
      </c>
      <c r="E620" t="inlineStr">
        <is>
          <t>HÄRJEDALEN</t>
        </is>
      </c>
      <c r="G620" t="n">
        <v>12.1</v>
      </c>
      <c r="H620" t="n">
        <v>0</v>
      </c>
      <c r="I620" t="n">
        <v>0</v>
      </c>
      <c r="J620" t="n">
        <v>0</v>
      </c>
      <c r="K620" t="n">
        <v>0</v>
      </c>
      <c r="L620" t="n">
        <v>0</v>
      </c>
      <c r="M620" t="n">
        <v>0</v>
      </c>
      <c r="N620" t="n">
        <v>0</v>
      </c>
      <c r="O620" t="n">
        <v>0</v>
      </c>
      <c r="P620" t="n">
        <v>0</v>
      </c>
      <c r="Q620" t="n">
        <v>0</v>
      </c>
      <c r="R620" s="2" t="inlineStr"/>
    </row>
    <row r="621" ht="15" customHeight="1">
      <c r="A621" t="inlineStr">
        <is>
          <t>A 30435-2023</t>
        </is>
      </c>
      <c r="B621" s="1" t="n">
        <v>45111</v>
      </c>
      <c r="C621" s="1" t="n">
        <v>45900</v>
      </c>
      <c r="D621" t="inlineStr">
        <is>
          <t>JÄMTLANDS LÄN</t>
        </is>
      </c>
      <c r="E621" t="inlineStr">
        <is>
          <t>HÄRJEDALEN</t>
        </is>
      </c>
      <c r="G621" t="n">
        <v>20</v>
      </c>
      <c r="H621" t="n">
        <v>0</v>
      </c>
      <c r="I621" t="n">
        <v>0</v>
      </c>
      <c r="J621" t="n">
        <v>0</v>
      </c>
      <c r="K621" t="n">
        <v>0</v>
      </c>
      <c r="L621" t="n">
        <v>0</v>
      </c>
      <c r="M621" t="n">
        <v>0</v>
      </c>
      <c r="N621" t="n">
        <v>0</v>
      </c>
      <c r="O621" t="n">
        <v>0</v>
      </c>
      <c r="P621" t="n">
        <v>0</v>
      </c>
      <c r="Q621" t="n">
        <v>0</v>
      </c>
      <c r="R621" s="2" t="inlineStr"/>
    </row>
    <row r="622" ht="15" customHeight="1">
      <c r="A622" t="inlineStr">
        <is>
          <t>A 26908-2025</t>
        </is>
      </c>
      <c r="B622" s="1" t="n">
        <v>45811.34578703704</v>
      </c>
      <c r="C622" s="1" t="n">
        <v>45900</v>
      </c>
      <c r="D622" t="inlineStr">
        <is>
          <t>JÄMTLANDS LÄN</t>
        </is>
      </c>
      <c r="E622" t="inlineStr">
        <is>
          <t>HÄRJEDALEN</t>
        </is>
      </c>
      <c r="F622" t="inlineStr">
        <is>
          <t>SCA</t>
        </is>
      </c>
      <c r="G622" t="n">
        <v>22.9</v>
      </c>
      <c r="H622" t="n">
        <v>0</v>
      </c>
      <c r="I622" t="n">
        <v>0</v>
      </c>
      <c r="J622" t="n">
        <v>0</v>
      </c>
      <c r="K622" t="n">
        <v>0</v>
      </c>
      <c r="L622" t="n">
        <v>0</v>
      </c>
      <c r="M622" t="n">
        <v>0</v>
      </c>
      <c r="N622" t="n">
        <v>0</v>
      </c>
      <c r="O622" t="n">
        <v>0</v>
      </c>
      <c r="P622" t="n">
        <v>0</v>
      </c>
      <c r="Q622" t="n">
        <v>0</v>
      </c>
      <c r="R622" s="2" t="inlineStr"/>
    </row>
    <row r="623" ht="15" customHeight="1">
      <c r="A623" t="inlineStr">
        <is>
          <t>A 19098-2025</t>
        </is>
      </c>
      <c r="B623" s="1" t="n">
        <v>45768.29289351852</v>
      </c>
      <c r="C623" s="1" t="n">
        <v>45900</v>
      </c>
      <c r="D623" t="inlineStr">
        <is>
          <t>JÄMTLANDS LÄN</t>
        </is>
      </c>
      <c r="E623" t="inlineStr">
        <is>
          <t>HÄRJEDALEN</t>
        </is>
      </c>
      <c r="F623" t="inlineStr">
        <is>
          <t>Sveaskog</t>
        </is>
      </c>
      <c r="G623" t="n">
        <v>4</v>
      </c>
      <c r="H623" t="n">
        <v>0</v>
      </c>
      <c r="I623" t="n">
        <v>0</v>
      </c>
      <c r="J623" t="n">
        <v>0</v>
      </c>
      <c r="K623" t="n">
        <v>0</v>
      </c>
      <c r="L623" t="n">
        <v>0</v>
      </c>
      <c r="M623" t="n">
        <v>0</v>
      </c>
      <c r="N623" t="n">
        <v>0</v>
      </c>
      <c r="O623" t="n">
        <v>0</v>
      </c>
      <c r="P623" t="n">
        <v>0</v>
      </c>
      <c r="Q623" t="n">
        <v>0</v>
      </c>
      <c r="R623" s="2" t="inlineStr"/>
    </row>
    <row r="624" ht="15" customHeight="1">
      <c r="A624" t="inlineStr">
        <is>
          <t>A 19101-2025</t>
        </is>
      </c>
      <c r="B624" s="1" t="n">
        <v>45768.30086805556</v>
      </c>
      <c r="C624" s="1" t="n">
        <v>45900</v>
      </c>
      <c r="D624" t="inlineStr">
        <is>
          <t>JÄMTLANDS LÄN</t>
        </is>
      </c>
      <c r="E624" t="inlineStr">
        <is>
          <t>HÄRJEDALEN</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31958-2023</t>
        </is>
      </c>
      <c r="B625" s="1" t="n">
        <v>45119.38675925926</v>
      </c>
      <c r="C625" s="1" t="n">
        <v>45900</v>
      </c>
      <c r="D625" t="inlineStr">
        <is>
          <t>JÄMTLANDS LÄN</t>
        </is>
      </c>
      <c r="E625" t="inlineStr">
        <is>
          <t>HÄRJEDALEN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30411-2023</t>
        </is>
      </c>
      <c r="B626" s="1" t="n">
        <v>45111</v>
      </c>
      <c r="C626" s="1" t="n">
        <v>45900</v>
      </c>
      <c r="D626" t="inlineStr">
        <is>
          <t>JÄMTLANDS LÄN</t>
        </is>
      </c>
      <c r="E626" t="inlineStr">
        <is>
          <t>HÄRJEDALEN</t>
        </is>
      </c>
      <c r="F626" t="inlineStr">
        <is>
          <t>Bergvik skog väst AB</t>
        </is>
      </c>
      <c r="G626" t="n">
        <v>28.3</v>
      </c>
      <c r="H626" t="n">
        <v>0</v>
      </c>
      <c r="I626" t="n">
        <v>0</v>
      </c>
      <c r="J626" t="n">
        <v>0</v>
      </c>
      <c r="K626" t="n">
        <v>0</v>
      </c>
      <c r="L626" t="n">
        <v>0</v>
      </c>
      <c r="M626" t="n">
        <v>0</v>
      </c>
      <c r="N626" t="n">
        <v>0</v>
      </c>
      <c r="O626" t="n">
        <v>0</v>
      </c>
      <c r="P626" t="n">
        <v>0</v>
      </c>
      <c r="Q626" t="n">
        <v>0</v>
      </c>
      <c r="R626" s="2" t="inlineStr"/>
    </row>
    <row r="627" ht="15" customHeight="1">
      <c r="A627" t="inlineStr">
        <is>
          <t>A 38507-2024</t>
        </is>
      </c>
      <c r="B627" s="1" t="n">
        <v>45546.54530092593</v>
      </c>
      <c r="C627" s="1" t="n">
        <v>45900</v>
      </c>
      <c r="D627" t="inlineStr">
        <is>
          <t>JÄMTLANDS LÄN</t>
        </is>
      </c>
      <c r="E627" t="inlineStr">
        <is>
          <t>HÄRJEDALEN</t>
        </is>
      </c>
      <c r="G627" t="n">
        <v>6.4</v>
      </c>
      <c r="H627" t="n">
        <v>0</v>
      </c>
      <c r="I627" t="n">
        <v>0</v>
      </c>
      <c r="J627" t="n">
        <v>0</v>
      </c>
      <c r="K627" t="n">
        <v>0</v>
      </c>
      <c r="L627" t="n">
        <v>0</v>
      </c>
      <c r="M627" t="n">
        <v>0</v>
      </c>
      <c r="N627" t="n">
        <v>0</v>
      </c>
      <c r="O627" t="n">
        <v>0</v>
      </c>
      <c r="P627" t="n">
        <v>0</v>
      </c>
      <c r="Q627" t="n">
        <v>0</v>
      </c>
      <c r="R627" s="2" t="inlineStr"/>
    </row>
    <row r="628" ht="15" customHeight="1">
      <c r="A628" t="inlineStr">
        <is>
          <t>A 27679-2025</t>
        </is>
      </c>
      <c r="B628" s="1" t="n">
        <v>45813.64590277777</v>
      </c>
      <c r="C628" s="1" t="n">
        <v>45900</v>
      </c>
      <c r="D628" t="inlineStr">
        <is>
          <t>JÄMTLANDS LÄN</t>
        </is>
      </c>
      <c r="E628" t="inlineStr">
        <is>
          <t>HÄRJEDALEN</t>
        </is>
      </c>
      <c r="G628" t="n">
        <v>13.9</v>
      </c>
      <c r="H628" t="n">
        <v>0</v>
      </c>
      <c r="I628" t="n">
        <v>0</v>
      </c>
      <c r="J628" t="n">
        <v>0</v>
      </c>
      <c r="K628" t="n">
        <v>0</v>
      </c>
      <c r="L628" t="n">
        <v>0</v>
      </c>
      <c r="M628" t="n">
        <v>0</v>
      </c>
      <c r="N628" t="n">
        <v>0</v>
      </c>
      <c r="O628" t="n">
        <v>0</v>
      </c>
      <c r="P628" t="n">
        <v>0</v>
      </c>
      <c r="Q628" t="n">
        <v>0</v>
      </c>
      <c r="R628" s="2" t="inlineStr"/>
    </row>
    <row r="629" ht="15" customHeight="1">
      <c r="A629" t="inlineStr">
        <is>
          <t>A 12468-2022</t>
        </is>
      </c>
      <c r="B629" s="1" t="n">
        <v>44638.44958333333</v>
      </c>
      <c r="C629" s="1" t="n">
        <v>45900</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27553-2025</t>
        </is>
      </c>
      <c r="B630" s="1" t="n">
        <v>45813.47074074074</v>
      </c>
      <c r="C630" s="1" t="n">
        <v>45900</v>
      </c>
      <c r="D630" t="inlineStr">
        <is>
          <t>JÄMTLANDS LÄN</t>
        </is>
      </c>
      <c r="E630" t="inlineStr">
        <is>
          <t>HÄRJEDALEN</t>
        </is>
      </c>
      <c r="G630" t="n">
        <v>1.4</v>
      </c>
      <c r="H630" t="n">
        <v>0</v>
      </c>
      <c r="I630" t="n">
        <v>0</v>
      </c>
      <c r="J630" t="n">
        <v>0</v>
      </c>
      <c r="K630" t="n">
        <v>0</v>
      </c>
      <c r="L630" t="n">
        <v>0</v>
      </c>
      <c r="M630" t="n">
        <v>0</v>
      </c>
      <c r="N630" t="n">
        <v>0</v>
      </c>
      <c r="O630" t="n">
        <v>0</v>
      </c>
      <c r="P630" t="n">
        <v>0</v>
      </c>
      <c r="Q630" t="n">
        <v>0</v>
      </c>
      <c r="R630" s="2" t="inlineStr"/>
    </row>
    <row r="631" ht="15" customHeight="1">
      <c r="A631" t="inlineStr">
        <is>
          <t>A 63133-2020</t>
        </is>
      </c>
      <c r="B631" s="1" t="n">
        <v>44162.65819444445</v>
      </c>
      <c r="C631" s="1" t="n">
        <v>45900</v>
      </c>
      <c r="D631" t="inlineStr">
        <is>
          <t>JÄMTLANDS LÄN</t>
        </is>
      </c>
      <c r="E631" t="inlineStr">
        <is>
          <t>HÄRJEDALEN</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31920-2024</t>
        </is>
      </c>
      <c r="B632" s="1" t="n">
        <v>45510</v>
      </c>
      <c r="C632" s="1" t="n">
        <v>45900</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27565-2025</t>
        </is>
      </c>
      <c r="B633" s="1" t="n">
        <v>45813.48734953703</v>
      </c>
      <c r="C633" s="1" t="n">
        <v>45900</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16176-2024</t>
        </is>
      </c>
      <c r="B634" s="1" t="n">
        <v>45406.64024305555</v>
      </c>
      <c r="C634" s="1" t="n">
        <v>45900</v>
      </c>
      <c r="D634" t="inlineStr">
        <is>
          <t>JÄMTLANDS LÄN</t>
        </is>
      </c>
      <c r="E634" t="inlineStr">
        <is>
          <t>HÄRJEDALEN</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59946-2024</t>
        </is>
      </c>
      <c r="B635" s="1" t="n">
        <v>45642.33616898148</v>
      </c>
      <c r="C635" s="1" t="n">
        <v>45900</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21054-2023</t>
        </is>
      </c>
      <c r="B636" s="1" t="n">
        <v>45061.61002314815</v>
      </c>
      <c r="C636" s="1" t="n">
        <v>45900</v>
      </c>
      <c r="D636" t="inlineStr">
        <is>
          <t>JÄMTLANDS LÄN</t>
        </is>
      </c>
      <c r="E636" t="inlineStr">
        <is>
          <t>HÄRJEDALEN</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17757-2025</t>
        </is>
      </c>
      <c r="B637" s="1" t="n">
        <v>45758.49096064815</v>
      </c>
      <c r="C637" s="1" t="n">
        <v>45900</v>
      </c>
      <c r="D637" t="inlineStr">
        <is>
          <t>JÄMTLANDS LÄN</t>
        </is>
      </c>
      <c r="E637" t="inlineStr">
        <is>
          <t>HÄRJEDALEN</t>
        </is>
      </c>
      <c r="F637" t="inlineStr">
        <is>
          <t>Naturvårdsverket</t>
        </is>
      </c>
      <c r="G637" t="n">
        <v>24.6</v>
      </c>
      <c r="H637" t="n">
        <v>0</v>
      </c>
      <c r="I637" t="n">
        <v>0</v>
      </c>
      <c r="J637" t="n">
        <v>0</v>
      </c>
      <c r="K637" t="n">
        <v>0</v>
      </c>
      <c r="L637" t="n">
        <v>0</v>
      </c>
      <c r="M637" t="n">
        <v>0</v>
      </c>
      <c r="N637" t="n">
        <v>0</v>
      </c>
      <c r="O637" t="n">
        <v>0</v>
      </c>
      <c r="P637" t="n">
        <v>0</v>
      </c>
      <c r="Q637" t="n">
        <v>0</v>
      </c>
      <c r="R637" s="2" t="inlineStr"/>
    </row>
    <row r="638" ht="15" customHeight="1">
      <c r="A638" t="inlineStr">
        <is>
          <t>A 43287-2024</t>
        </is>
      </c>
      <c r="B638" s="1" t="n">
        <v>45568</v>
      </c>
      <c r="C638" s="1" t="n">
        <v>45900</v>
      </c>
      <c r="D638" t="inlineStr">
        <is>
          <t>JÄMTLANDS LÄN</t>
        </is>
      </c>
      <c r="E638" t="inlineStr">
        <is>
          <t>HÄRJEDALEN</t>
        </is>
      </c>
      <c r="F638" t="inlineStr">
        <is>
          <t>SCA</t>
        </is>
      </c>
      <c r="G638" t="n">
        <v>19.7</v>
      </c>
      <c r="H638" t="n">
        <v>0</v>
      </c>
      <c r="I638" t="n">
        <v>0</v>
      </c>
      <c r="J638" t="n">
        <v>0</v>
      </c>
      <c r="K638" t="n">
        <v>0</v>
      </c>
      <c r="L638" t="n">
        <v>0</v>
      </c>
      <c r="M638" t="n">
        <v>0</v>
      </c>
      <c r="N638" t="n">
        <v>0</v>
      </c>
      <c r="O638" t="n">
        <v>0</v>
      </c>
      <c r="P638" t="n">
        <v>0</v>
      </c>
      <c r="Q638" t="n">
        <v>0</v>
      </c>
      <c r="R638" s="2" t="inlineStr"/>
    </row>
    <row r="639" ht="15" customHeight="1">
      <c r="A639" t="inlineStr">
        <is>
          <t>A 1398-2024</t>
        </is>
      </c>
      <c r="B639" s="1" t="n">
        <v>45303</v>
      </c>
      <c r="C639" s="1" t="n">
        <v>45900</v>
      </c>
      <c r="D639" t="inlineStr">
        <is>
          <t>JÄMTLANDS LÄN</t>
        </is>
      </c>
      <c r="E639" t="inlineStr">
        <is>
          <t>HÄRJEDALEN</t>
        </is>
      </c>
      <c r="G639" t="n">
        <v>6</v>
      </c>
      <c r="H639" t="n">
        <v>0</v>
      </c>
      <c r="I639" t="n">
        <v>0</v>
      </c>
      <c r="J639" t="n">
        <v>0</v>
      </c>
      <c r="K639" t="n">
        <v>0</v>
      </c>
      <c r="L639" t="n">
        <v>0</v>
      </c>
      <c r="M639" t="n">
        <v>0</v>
      </c>
      <c r="N639" t="n">
        <v>0</v>
      </c>
      <c r="O639" t="n">
        <v>0</v>
      </c>
      <c r="P639" t="n">
        <v>0</v>
      </c>
      <c r="Q639" t="n">
        <v>0</v>
      </c>
      <c r="R639" s="2" t="inlineStr"/>
    </row>
    <row r="640" ht="15" customHeight="1">
      <c r="A640" t="inlineStr">
        <is>
          <t>A 16842-2025</t>
        </is>
      </c>
      <c r="B640" s="1" t="n">
        <v>45754.67329861111</v>
      </c>
      <c r="C640" s="1" t="n">
        <v>45900</v>
      </c>
      <c r="D640" t="inlineStr">
        <is>
          <t>JÄMTLANDS LÄN</t>
        </is>
      </c>
      <c r="E640" t="inlineStr">
        <is>
          <t>HÄRJEDALEN</t>
        </is>
      </c>
      <c r="G640" t="n">
        <v>18.6</v>
      </c>
      <c r="H640" t="n">
        <v>0</v>
      </c>
      <c r="I640" t="n">
        <v>0</v>
      </c>
      <c r="J640" t="n">
        <v>0</v>
      </c>
      <c r="K640" t="n">
        <v>0</v>
      </c>
      <c r="L640" t="n">
        <v>0</v>
      </c>
      <c r="M640" t="n">
        <v>0</v>
      </c>
      <c r="N640" t="n">
        <v>0</v>
      </c>
      <c r="O640" t="n">
        <v>0</v>
      </c>
      <c r="P640" t="n">
        <v>0</v>
      </c>
      <c r="Q640" t="n">
        <v>0</v>
      </c>
      <c r="R640" s="2" t="inlineStr"/>
    </row>
    <row r="641" ht="15" customHeight="1">
      <c r="A641" t="inlineStr">
        <is>
          <t>A 55669-2024</t>
        </is>
      </c>
      <c r="B641" s="1" t="n">
        <v>45622.64627314815</v>
      </c>
      <c r="C641" s="1" t="n">
        <v>45900</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35634-2025</t>
        </is>
      </c>
      <c r="B642" s="1" t="n">
        <v>45859</v>
      </c>
      <c r="C642" s="1" t="n">
        <v>45900</v>
      </c>
      <c r="D642" t="inlineStr">
        <is>
          <t>JÄMTLANDS LÄN</t>
        </is>
      </c>
      <c r="E642" t="inlineStr">
        <is>
          <t>HÄRJEDALEN</t>
        </is>
      </c>
      <c r="G642" t="n">
        <v>9.1</v>
      </c>
      <c r="H642" t="n">
        <v>0</v>
      </c>
      <c r="I642" t="n">
        <v>0</v>
      </c>
      <c r="J642" t="n">
        <v>0</v>
      </c>
      <c r="K642" t="n">
        <v>0</v>
      </c>
      <c r="L642" t="n">
        <v>0</v>
      </c>
      <c r="M642" t="n">
        <v>0</v>
      </c>
      <c r="N642" t="n">
        <v>0</v>
      </c>
      <c r="O642" t="n">
        <v>0</v>
      </c>
      <c r="P642" t="n">
        <v>0</v>
      </c>
      <c r="Q642" t="n">
        <v>0</v>
      </c>
      <c r="R642" s="2" t="inlineStr"/>
    </row>
    <row r="643" ht="15" customHeight="1">
      <c r="A643" t="inlineStr">
        <is>
          <t>A 31586-2024</t>
        </is>
      </c>
      <c r="B643" s="1" t="n">
        <v>45506.3637962963</v>
      </c>
      <c r="C643" s="1" t="n">
        <v>45900</v>
      </c>
      <c r="D643" t="inlineStr">
        <is>
          <t>JÄMTLANDS LÄN</t>
        </is>
      </c>
      <c r="E643" t="inlineStr">
        <is>
          <t>HÄRJEDALEN</t>
        </is>
      </c>
      <c r="G643" t="n">
        <v>9</v>
      </c>
      <c r="H643" t="n">
        <v>0</v>
      </c>
      <c r="I643" t="n">
        <v>0</v>
      </c>
      <c r="J643" t="n">
        <v>0</v>
      </c>
      <c r="K643" t="n">
        <v>0</v>
      </c>
      <c r="L643" t="n">
        <v>0</v>
      </c>
      <c r="M643" t="n">
        <v>0</v>
      </c>
      <c r="N643" t="n">
        <v>0</v>
      </c>
      <c r="O643" t="n">
        <v>0</v>
      </c>
      <c r="P643" t="n">
        <v>0</v>
      </c>
      <c r="Q643" t="n">
        <v>0</v>
      </c>
      <c r="R643" s="2" t="inlineStr"/>
    </row>
    <row r="644" ht="15" customHeight="1">
      <c r="A644" t="inlineStr">
        <is>
          <t>A 4590-2025</t>
        </is>
      </c>
      <c r="B644" s="1" t="n">
        <v>45687.53689814815</v>
      </c>
      <c r="C644" s="1" t="n">
        <v>45900</v>
      </c>
      <c r="D644" t="inlineStr">
        <is>
          <t>JÄMTLANDS LÄN</t>
        </is>
      </c>
      <c r="E644" t="inlineStr">
        <is>
          <t>HÄRJEDALEN</t>
        </is>
      </c>
      <c r="G644" t="n">
        <v>3.6</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45900</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18362-2025</t>
        </is>
      </c>
      <c r="B646" s="1" t="n">
        <v>45762.55899305556</v>
      </c>
      <c r="C646" s="1" t="n">
        <v>45900</v>
      </c>
      <c r="D646" t="inlineStr">
        <is>
          <t>JÄMTLANDS LÄN</t>
        </is>
      </c>
      <c r="E646" t="inlineStr">
        <is>
          <t>HÄRJEDALEN</t>
        </is>
      </c>
      <c r="G646" t="n">
        <v>5.9</v>
      </c>
      <c r="H646" t="n">
        <v>0</v>
      </c>
      <c r="I646" t="n">
        <v>0</v>
      </c>
      <c r="J646" t="n">
        <v>0</v>
      </c>
      <c r="K646" t="n">
        <v>0</v>
      </c>
      <c r="L646" t="n">
        <v>0</v>
      </c>
      <c r="M646" t="n">
        <v>0</v>
      </c>
      <c r="N646" t="n">
        <v>0</v>
      </c>
      <c r="O646" t="n">
        <v>0</v>
      </c>
      <c r="P646" t="n">
        <v>0</v>
      </c>
      <c r="Q646" t="n">
        <v>0</v>
      </c>
      <c r="R646" s="2" t="inlineStr"/>
    </row>
    <row r="647" ht="15" customHeight="1">
      <c r="A647" t="inlineStr">
        <is>
          <t>A 7731-2021</t>
        </is>
      </c>
      <c r="B647" s="1" t="n">
        <v>44242</v>
      </c>
      <c r="C647" s="1" t="n">
        <v>45900</v>
      </c>
      <c r="D647" t="inlineStr">
        <is>
          <t>JÄMTLANDS LÄN</t>
        </is>
      </c>
      <c r="E647" t="inlineStr">
        <is>
          <t>HÄRJEDALEN</t>
        </is>
      </c>
      <c r="G647" t="n">
        <v>13.6</v>
      </c>
      <c r="H647" t="n">
        <v>0</v>
      </c>
      <c r="I647" t="n">
        <v>0</v>
      </c>
      <c r="J647" t="n">
        <v>0</v>
      </c>
      <c r="K647" t="n">
        <v>0</v>
      </c>
      <c r="L647" t="n">
        <v>0</v>
      </c>
      <c r="M647" t="n">
        <v>0</v>
      </c>
      <c r="N647" t="n">
        <v>0</v>
      </c>
      <c r="O647" t="n">
        <v>0</v>
      </c>
      <c r="P647" t="n">
        <v>0</v>
      </c>
      <c r="Q647" t="n">
        <v>0</v>
      </c>
      <c r="R647" s="2" t="inlineStr"/>
    </row>
    <row r="648" ht="15" customHeight="1">
      <c r="A648" t="inlineStr">
        <is>
          <t>A 1954-2023</t>
        </is>
      </c>
      <c r="B648" s="1" t="n">
        <v>44939.45376157408</v>
      </c>
      <c r="C648" s="1" t="n">
        <v>45900</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11818-2023</t>
        </is>
      </c>
      <c r="B649" s="1" t="n">
        <v>44994</v>
      </c>
      <c r="C649" s="1" t="n">
        <v>45900</v>
      </c>
      <c r="D649" t="inlineStr">
        <is>
          <t>JÄMTLANDS LÄN</t>
        </is>
      </c>
      <c r="E649" t="inlineStr">
        <is>
          <t>HÄRJEDALEN</t>
        </is>
      </c>
      <c r="G649" t="n">
        <v>8.9</v>
      </c>
      <c r="H649" t="n">
        <v>0</v>
      </c>
      <c r="I649" t="n">
        <v>0</v>
      </c>
      <c r="J649" t="n">
        <v>0</v>
      </c>
      <c r="K649" t="n">
        <v>0</v>
      </c>
      <c r="L649" t="n">
        <v>0</v>
      </c>
      <c r="M649" t="n">
        <v>0</v>
      </c>
      <c r="N649" t="n">
        <v>0</v>
      </c>
      <c r="O649" t="n">
        <v>0</v>
      </c>
      <c r="P649" t="n">
        <v>0</v>
      </c>
      <c r="Q649" t="n">
        <v>0</v>
      </c>
      <c r="R649" s="2" t="inlineStr"/>
    </row>
    <row r="650" ht="15" customHeight="1">
      <c r="A650" t="inlineStr">
        <is>
          <t>A 54661-2022</t>
        </is>
      </c>
      <c r="B650" s="1" t="n">
        <v>44883</v>
      </c>
      <c r="C650" s="1" t="n">
        <v>45900</v>
      </c>
      <c r="D650" t="inlineStr">
        <is>
          <t>JÄMTLANDS LÄN</t>
        </is>
      </c>
      <c r="E650" t="inlineStr">
        <is>
          <t>HÄRJEDALEN</t>
        </is>
      </c>
      <c r="G650" t="n">
        <v>5.9</v>
      </c>
      <c r="H650" t="n">
        <v>0</v>
      </c>
      <c r="I650" t="n">
        <v>0</v>
      </c>
      <c r="J650" t="n">
        <v>0</v>
      </c>
      <c r="K650" t="n">
        <v>0</v>
      </c>
      <c r="L650" t="n">
        <v>0</v>
      </c>
      <c r="M650" t="n">
        <v>0</v>
      </c>
      <c r="N650" t="n">
        <v>0</v>
      </c>
      <c r="O650" t="n">
        <v>0</v>
      </c>
      <c r="P650" t="n">
        <v>0</v>
      </c>
      <c r="Q650" t="n">
        <v>0</v>
      </c>
      <c r="R650" s="2" t="inlineStr"/>
    </row>
    <row r="651" ht="15" customHeight="1">
      <c r="A651" t="inlineStr">
        <is>
          <t>A 27820-2025</t>
        </is>
      </c>
      <c r="B651" s="1" t="n">
        <v>45817.33819444444</v>
      </c>
      <c r="C651" s="1" t="n">
        <v>45900</v>
      </c>
      <c r="D651" t="inlineStr">
        <is>
          <t>JÄMTLANDS LÄN</t>
        </is>
      </c>
      <c r="E651" t="inlineStr">
        <is>
          <t>HÄRJEDALEN</t>
        </is>
      </c>
      <c r="F651" t="inlineStr">
        <is>
          <t>Övriga statliga verk och myndigheter</t>
        </is>
      </c>
      <c r="G651" t="n">
        <v>42.8</v>
      </c>
      <c r="H651" t="n">
        <v>0</v>
      </c>
      <c r="I651" t="n">
        <v>0</v>
      </c>
      <c r="J651" t="n">
        <v>0</v>
      </c>
      <c r="K651" t="n">
        <v>0</v>
      </c>
      <c r="L651" t="n">
        <v>0</v>
      </c>
      <c r="M651" t="n">
        <v>0</v>
      </c>
      <c r="N651" t="n">
        <v>0</v>
      </c>
      <c r="O651" t="n">
        <v>0</v>
      </c>
      <c r="P651" t="n">
        <v>0</v>
      </c>
      <c r="Q651" t="n">
        <v>0</v>
      </c>
      <c r="R651" s="2" t="inlineStr"/>
    </row>
    <row r="652" ht="15" customHeight="1">
      <c r="A652" t="inlineStr">
        <is>
          <t>A 45363-2024</t>
        </is>
      </c>
      <c r="B652" s="1" t="n">
        <v>45576.48657407407</v>
      </c>
      <c r="C652" s="1" t="n">
        <v>45900</v>
      </c>
      <c r="D652" t="inlineStr">
        <is>
          <t>JÄMTLANDS LÄN</t>
        </is>
      </c>
      <c r="E652" t="inlineStr">
        <is>
          <t>HÄRJEDALEN</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28026-2025</t>
        </is>
      </c>
      <c r="B653" s="1" t="n">
        <v>45817.62439814815</v>
      </c>
      <c r="C653" s="1" t="n">
        <v>45900</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53993-2023</t>
        </is>
      </c>
      <c r="B654" s="1" t="n">
        <v>45231</v>
      </c>
      <c r="C654" s="1" t="n">
        <v>45900</v>
      </c>
      <c r="D654" t="inlineStr">
        <is>
          <t>JÄMTLANDS LÄN</t>
        </is>
      </c>
      <c r="E654" t="inlineStr">
        <is>
          <t>HÄRJEDALEN</t>
        </is>
      </c>
      <c r="G654" t="n">
        <v>1.3</v>
      </c>
      <c r="H654" t="n">
        <v>0</v>
      </c>
      <c r="I654" t="n">
        <v>0</v>
      </c>
      <c r="J654" t="n">
        <v>0</v>
      </c>
      <c r="K654" t="n">
        <v>0</v>
      </c>
      <c r="L654" t="n">
        <v>0</v>
      </c>
      <c r="M654" t="n">
        <v>0</v>
      </c>
      <c r="N654" t="n">
        <v>0</v>
      </c>
      <c r="O654" t="n">
        <v>0</v>
      </c>
      <c r="P654" t="n">
        <v>0</v>
      </c>
      <c r="Q654" t="n">
        <v>0</v>
      </c>
      <c r="R654" s="2" t="inlineStr"/>
    </row>
    <row r="655" ht="15" customHeight="1">
      <c r="A655" t="inlineStr">
        <is>
          <t>A 27996-2025</t>
        </is>
      </c>
      <c r="B655" s="1" t="n">
        <v>45817.594375</v>
      </c>
      <c r="C655" s="1" t="n">
        <v>45900</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4155-2025</t>
        </is>
      </c>
      <c r="B656" s="1" t="n">
        <v>45685.38901620371</v>
      </c>
      <c r="C656" s="1" t="n">
        <v>45900</v>
      </c>
      <c r="D656" t="inlineStr">
        <is>
          <t>JÄMTLANDS LÄN</t>
        </is>
      </c>
      <c r="E656" t="inlineStr">
        <is>
          <t>HÄRJEDALEN</t>
        </is>
      </c>
      <c r="F656" t="inlineStr">
        <is>
          <t>Bergvik skog väst AB</t>
        </is>
      </c>
      <c r="G656" t="n">
        <v>22.2</v>
      </c>
      <c r="H656" t="n">
        <v>0</v>
      </c>
      <c r="I656" t="n">
        <v>0</v>
      </c>
      <c r="J656" t="n">
        <v>0</v>
      </c>
      <c r="K656" t="n">
        <v>0</v>
      </c>
      <c r="L656" t="n">
        <v>0</v>
      </c>
      <c r="M656" t="n">
        <v>0</v>
      </c>
      <c r="N656" t="n">
        <v>0</v>
      </c>
      <c r="O656" t="n">
        <v>0</v>
      </c>
      <c r="P656" t="n">
        <v>0</v>
      </c>
      <c r="Q656" t="n">
        <v>0</v>
      </c>
      <c r="R656" s="2" t="inlineStr"/>
    </row>
    <row r="657" ht="15" customHeight="1">
      <c r="A657" t="inlineStr">
        <is>
          <t>A 2728-2025</t>
        </is>
      </c>
      <c r="B657" s="1" t="n">
        <v>45677.44273148148</v>
      </c>
      <c r="C657" s="1" t="n">
        <v>45900</v>
      </c>
      <c r="D657" t="inlineStr">
        <is>
          <t>JÄMTLANDS LÄN</t>
        </is>
      </c>
      <c r="E657" t="inlineStr">
        <is>
          <t>HÄRJEDALEN</t>
        </is>
      </c>
      <c r="G657" t="n">
        <v>3.7</v>
      </c>
      <c r="H657" t="n">
        <v>0</v>
      </c>
      <c r="I657" t="n">
        <v>0</v>
      </c>
      <c r="J657" t="n">
        <v>0</v>
      </c>
      <c r="K657" t="n">
        <v>0</v>
      </c>
      <c r="L657" t="n">
        <v>0</v>
      </c>
      <c r="M657" t="n">
        <v>0</v>
      </c>
      <c r="N657" t="n">
        <v>0</v>
      </c>
      <c r="O657" t="n">
        <v>0</v>
      </c>
      <c r="P657" t="n">
        <v>0</v>
      </c>
      <c r="Q657" t="n">
        <v>0</v>
      </c>
      <c r="R657" s="2" t="inlineStr"/>
    </row>
    <row r="658" ht="15" customHeight="1">
      <c r="A658" t="inlineStr">
        <is>
          <t>A 2935-2025</t>
        </is>
      </c>
      <c r="B658" s="1" t="n">
        <v>45678.37956018518</v>
      </c>
      <c r="C658" s="1" t="n">
        <v>45900</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21011-2024</t>
        </is>
      </c>
      <c r="B659" s="1" t="n">
        <v>45439.62893518519</v>
      </c>
      <c r="C659" s="1" t="n">
        <v>45900</v>
      </c>
      <c r="D659" t="inlineStr">
        <is>
          <t>JÄMTLANDS LÄN</t>
        </is>
      </c>
      <c r="E659" t="inlineStr">
        <is>
          <t>HÄRJEDALEN</t>
        </is>
      </c>
      <c r="G659" t="n">
        <v>92.40000000000001</v>
      </c>
      <c r="H659" t="n">
        <v>0</v>
      </c>
      <c r="I659" t="n">
        <v>0</v>
      </c>
      <c r="J659" t="n">
        <v>0</v>
      </c>
      <c r="K659" t="n">
        <v>0</v>
      </c>
      <c r="L659" t="n">
        <v>0</v>
      </c>
      <c r="M659" t="n">
        <v>0</v>
      </c>
      <c r="N659" t="n">
        <v>0</v>
      </c>
      <c r="O659" t="n">
        <v>0</v>
      </c>
      <c r="P659" t="n">
        <v>0</v>
      </c>
      <c r="Q659" t="n">
        <v>0</v>
      </c>
      <c r="R659" s="2" t="inlineStr"/>
    </row>
    <row r="660" ht="15" customHeight="1">
      <c r="A660" t="inlineStr">
        <is>
          <t>A 41604-2024</t>
        </is>
      </c>
      <c r="B660" s="1" t="n">
        <v>45560</v>
      </c>
      <c r="C660" s="1" t="n">
        <v>45900</v>
      </c>
      <c r="D660" t="inlineStr">
        <is>
          <t>JÄMTLANDS LÄN</t>
        </is>
      </c>
      <c r="E660" t="inlineStr">
        <is>
          <t>HÄRJEDALEN</t>
        </is>
      </c>
      <c r="G660" t="n">
        <v>6.3</v>
      </c>
      <c r="H660" t="n">
        <v>0</v>
      </c>
      <c r="I660" t="n">
        <v>0</v>
      </c>
      <c r="J660" t="n">
        <v>0</v>
      </c>
      <c r="K660" t="n">
        <v>0</v>
      </c>
      <c r="L660" t="n">
        <v>0</v>
      </c>
      <c r="M660" t="n">
        <v>0</v>
      </c>
      <c r="N660" t="n">
        <v>0</v>
      </c>
      <c r="O660" t="n">
        <v>0</v>
      </c>
      <c r="P660" t="n">
        <v>0</v>
      </c>
      <c r="Q660" t="n">
        <v>0</v>
      </c>
      <c r="R660" s="2" t="inlineStr"/>
    </row>
    <row r="661" ht="15" customHeight="1">
      <c r="A661" t="inlineStr">
        <is>
          <t>A 61571-2022</t>
        </is>
      </c>
      <c r="B661" s="1" t="n">
        <v>44916</v>
      </c>
      <c r="C661" s="1" t="n">
        <v>45900</v>
      </c>
      <c r="D661" t="inlineStr">
        <is>
          <t>JÄMTLANDS LÄN</t>
        </is>
      </c>
      <c r="E661" t="inlineStr">
        <is>
          <t>HÄRJEDALEN</t>
        </is>
      </c>
      <c r="G661" t="n">
        <v>3.4</v>
      </c>
      <c r="H661" t="n">
        <v>0</v>
      </c>
      <c r="I661" t="n">
        <v>0</v>
      </c>
      <c r="J661" t="n">
        <v>0</v>
      </c>
      <c r="K661" t="n">
        <v>0</v>
      </c>
      <c r="L661" t="n">
        <v>0</v>
      </c>
      <c r="M661" t="n">
        <v>0</v>
      </c>
      <c r="N661" t="n">
        <v>0</v>
      </c>
      <c r="O661" t="n">
        <v>0</v>
      </c>
      <c r="P661" t="n">
        <v>0</v>
      </c>
      <c r="Q661" t="n">
        <v>0</v>
      </c>
      <c r="R661" s="2" t="inlineStr"/>
    </row>
    <row r="662" ht="15" customHeight="1">
      <c r="A662" t="inlineStr">
        <is>
          <t>A 45409-2021</t>
        </is>
      </c>
      <c r="B662" s="1" t="n">
        <v>44440</v>
      </c>
      <c r="C662" s="1" t="n">
        <v>45900</v>
      </c>
      <c r="D662" t="inlineStr">
        <is>
          <t>JÄMTLANDS LÄN</t>
        </is>
      </c>
      <c r="E662" t="inlineStr">
        <is>
          <t>HÄRJEDALEN</t>
        </is>
      </c>
      <c r="G662" t="n">
        <v>18.9</v>
      </c>
      <c r="H662" t="n">
        <v>0</v>
      </c>
      <c r="I662" t="n">
        <v>0</v>
      </c>
      <c r="J662" t="n">
        <v>0</v>
      </c>
      <c r="K662" t="n">
        <v>0</v>
      </c>
      <c r="L662" t="n">
        <v>0</v>
      </c>
      <c r="M662" t="n">
        <v>0</v>
      </c>
      <c r="N662" t="n">
        <v>0</v>
      </c>
      <c r="O662" t="n">
        <v>0</v>
      </c>
      <c r="P662" t="n">
        <v>0</v>
      </c>
      <c r="Q662" t="n">
        <v>0</v>
      </c>
      <c r="R662" s="2" t="inlineStr"/>
    </row>
    <row r="663" ht="15" customHeight="1">
      <c r="A663" t="inlineStr">
        <is>
          <t>A 45864-2023</t>
        </is>
      </c>
      <c r="B663" s="1" t="n">
        <v>45195.61476851852</v>
      </c>
      <c r="C663" s="1" t="n">
        <v>45900</v>
      </c>
      <c r="D663" t="inlineStr">
        <is>
          <t>JÄMTLANDS LÄN</t>
        </is>
      </c>
      <c r="E663" t="inlineStr">
        <is>
          <t>HÄRJEDALEN</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8420-2023</t>
        </is>
      </c>
      <c r="B664" s="1" t="n">
        <v>44977.44643518519</v>
      </c>
      <c r="C664" s="1" t="n">
        <v>45900</v>
      </c>
      <c r="D664" t="inlineStr">
        <is>
          <t>JÄMTLANDS LÄN</t>
        </is>
      </c>
      <c r="E664" t="inlineStr">
        <is>
          <t>HÄRJEDALEN</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4694-2023</t>
        </is>
      </c>
      <c r="B665" s="1" t="n">
        <v>44957</v>
      </c>
      <c r="C665" s="1" t="n">
        <v>45900</v>
      </c>
      <c r="D665" t="inlineStr">
        <is>
          <t>JÄMTLANDS LÄN</t>
        </is>
      </c>
      <c r="E665" t="inlineStr">
        <is>
          <t>HÄRJEDALEN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28906-2025</t>
        </is>
      </c>
      <c r="B666" s="1" t="n">
        <v>45820.64821759259</v>
      </c>
      <c r="C666" s="1" t="n">
        <v>45900</v>
      </c>
      <c r="D666" t="inlineStr">
        <is>
          <t>JÄMTLANDS LÄN</t>
        </is>
      </c>
      <c r="E666" t="inlineStr">
        <is>
          <t>HÄRJEDALEN</t>
        </is>
      </c>
      <c r="G666" t="n">
        <v>29.4</v>
      </c>
      <c r="H666" t="n">
        <v>0</v>
      </c>
      <c r="I666" t="n">
        <v>0</v>
      </c>
      <c r="J666" t="n">
        <v>0</v>
      </c>
      <c r="K666" t="n">
        <v>0</v>
      </c>
      <c r="L666" t="n">
        <v>0</v>
      </c>
      <c r="M666" t="n">
        <v>0</v>
      </c>
      <c r="N666" t="n">
        <v>0</v>
      </c>
      <c r="O666" t="n">
        <v>0</v>
      </c>
      <c r="P666" t="n">
        <v>0</v>
      </c>
      <c r="Q666" t="n">
        <v>0</v>
      </c>
      <c r="R666" s="2" t="inlineStr"/>
    </row>
    <row r="667" ht="15" customHeight="1">
      <c r="A667" t="inlineStr">
        <is>
          <t>A 56013-2023</t>
        </is>
      </c>
      <c r="B667" s="1" t="n">
        <v>45240</v>
      </c>
      <c r="C667" s="1" t="n">
        <v>45900</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49969-2023</t>
        </is>
      </c>
      <c r="B668" s="1" t="n">
        <v>45215</v>
      </c>
      <c r="C668" s="1" t="n">
        <v>45900</v>
      </c>
      <c r="D668" t="inlineStr">
        <is>
          <t>JÄMTLANDS LÄN</t>
        </is>
      </c>
      <c r="E668" t="inlineStr">
        <is>
          <t>HÄRJEDALEN</t>
        </is>
      </c>
      <c r="G668" t="n">
        <v>43.7</v>
      </c>
      <c r="H668" t="n">
        <v>0</v>
      </c>
      <c r="I668" t="n">
        <v>0</v>
      </c>
      <c r="J668" t="n">
        <v>0</v>
      </c>
      <c r="K668" t="n">
        <v>0</v>
      </c>
      <c r="L668" t="n">
        <v>0</v>
      </c>
      <c r="M668" t="n">
        <v>0</v>
      </c>
      <c r="N668" t="n">
        <v>0</v>
      </c>
      <c r="O668" t="n">
        <v>0</v>
      </c>
      <c r="P668" t="n">
        <v>0</v>
      </c>
      <c r="Q668" t="n">
        <v>0</v>
      </c>
      <c r="R668" s="2" t="inlineStr"/>
    </row>
    <row r="669" ht="15" customHeight="1">
      <c r="A669" t="inlineStr">
        <is>
          <t>A 10536-2021</t>
        </is>
      </c>
      <c r="B669" s="1" t="n">
        <v>44258</v>
      </c>
      <c r="C669" s="1" t="n">
        <v>45900</v>
      </c>
      <c r="D669" t="inlineStr">
        <is>
          <t>JÄMTLANDS LÄN</t>
        </is>
      </c>
      <c r="E669" t="inlineStr">
        <is>
          <t>HÄRJEDALEN</t>
        </is>
      </c>
      <c r="G669" t="n">
        <v>18.7</v>
      </c>
      <c r="H669" t="n">
        <v>0</v>
      </c>
      <c r="I669" t="n">
        <v>0</v>
      </c>
      <c r="J669" t="n">
        <v>0</v>
      </c>
      <c r="K669" t="n">
        <v>0</v>
      </c>
      <c r="L669" t="n">
        <v>0</v>
      </c>
      <c r="M669" t="n">
        <v>0</v>
      </c>
      <c r="N669" t="n">
        <v>0</v>
      </c>
      <c r="O669" t="n">
        <v>0</v>
      </c>
      <c r="P669" t="n">
        <v>0</v>
      </c>
      <c r="Q669" t="n">
        <v>0</v>
      </c>
      <c r="R669" s="2" t="inlineStr"/>
    </row>
    <row r="670" ht="15" customHeight="1">
      <c r="A670" t="inlineStr">
        <is>
          <t>A 30742-2024</t>
        </is>
      </c>
      <c r="B670" s="1" t="n">
        <v>45496.66903935185</v>
      </c>
      <c r="C670" s="1" t="n">
        <v>45900</v>
      </c>
      <c r="D670" t="inlineStr">
        <is>
          <t>JÄMTLANDS LÄN</t>
        </is>
      </c>
      <c r="E670" t="inlineStr">
        <is>
          <t>HÄRJEDALEN</t>
        </is>
      </c>
      <c r="F670" t="inlineStr">
        <is>
          <t>Bergvik skog väst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45999-2023</t>
        </is>
      </c>
      <c r="B671" s="1" t="n">
        <v>45196</v>
      </c>
      <c r="C671" s="1" t="n">
        <v>45900</v>
      </c>
      <c r="D671" t="inlineStr">
        <is>
          <t>JÄMTLANDS LÄN</t>
        </is>
      </c>
      <c r="E671" t="inlineStr">
        <is>
          <t>HÄRJEDALEN</t>
        </is>
      </c>
      <c r="F671" t="inlineStr">
        <is>
          <t>Bergvik skog väst AB</t>
        </is>
      </c>
      <c r="G671" t="n">
        <v>11.4</v>
      </c>
      <c r="H671" t="n">
        <v>0</v>
      </c>
      <c r="I671" t="n">
        <v>0</v>
      </c>
      <c r="J671" t="n">
        <v>0</v>
      </c>
      <c r="K671" t="n">
        <v>0</v>
      </c>
      <c r="L671" t="n">
        <v>0</v>
      </c>
      <c r="M671" t="n">
        <v>0</v>
      </c>
      <c r="N671" t="n">
        <v>0</v>
      </c>
      <c r="O671" t="n">
        <v>0</v>
      </c>
      <c r="P671" t="n">
        <v>0</v>
      </c>
      <c r="Q671" t="n">
        <v>0</v>
      </c>
      <c r="R671" s="2" t="inlineStr"/>
    </row>
    <row r="672" ht="15" customHeight="1">
      <c r="A672" t="inlineStr">
        <is>
          <t>A 36066-2025</t>
        </is>
      </c>
      <c r="B672" s="1" t="n">
        <v>45866.40701388889</v>
      </c>
      <c r="C672" s="1" t="n">
        <v>45900</v>
      </c>
      <c r="D672" t="inlineStr">
        <is>
          <t>JÄMTLANDS LÄN</t>
        </is>
      </c>
      <c r="E672" t="inlineStr">
        <is>
          <t>HÄRJEDALEN</t>
        </is>
      </c>
      <c r="G672" t="n">
        <v>21.8</v>
      </c>
      <c r="H672" t="n">
        <v>0</v>
      </c>
      <c r="I672" t="n">
        <v>0</v>
      </c>
      <c r="J672" t="n">
        <v>0</v>
      </c>
      <c r="K672" t="n">
        <v>0</v>
      </c>
      <c r="L672" t="n">
        <v>0</v>
      </c>
      <c r="M672" t="n">
        <v>0</v>
      </c>
      <c r="N672" t="n">
        <v>0</v>
      </c>
      <c r="O672" t="n">
        <v>0</v>
      </c>
      <c r="P672" t="n">
        <v>0</v>
      </c>
      <c r="Q672" t="n">
        <v>0</v>
      </c>
      <c r="R672" s="2" t="inlineStr"/>
    </row>
    <row r="673" ht="15" customHeight="1">
      <c r="A673" t="inlineStr">
        <is>
          <t>A 42333-2024</t>
        </is>
      </c>
      <c r="B673" s="1" t="n">
        <v>45562.65759259259</v>
      </c>
      <c r="C673" s="1" t="n">
        <v>45900</v>
      </c>
      <c r="D673" t="inlineStr">
        <is>
          <t>JÄMTLANDS LÄN</t>
        </is>
      </c>
      <c r="E673" t="inlineStr">
        <is>
          <t>HÄRJEDALEN</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36133-2025</t>
        </is>
      </c>
      <c r="B674" s="1" t="n">
        <v>45866.62908564815</v>
      </c>
      <c r="C674" s="1" t="n">
        <v>45900</v>
      </c>
      <c r="D674" t="inlineStr">
        <is>
          <t>JÄMTLANDS LÄN</t>
        </is>
      </c>
      <c r="E674" t="inlineStr">
        <is>
          <t>HÄRJEDALEN</t>
        </is>
      </c>
      <c r="G674" t="n">
        <v>1.5</v>
      </c>
      <c r="H674" t="n">
        <v>0</v>
      </c>
      <c r="I674" t="n">
        <v>0</v>
      </c>
      <c r="J674" t="n">
        <v>0</v>
      </c>
      <c r="K674" t="n">
        <v>0</v>
      </c>
      <c r="L674" t="n">
        <v>0</v>
      </c>
      <c r="M674" t="n">
        <v>0</v>
      </c>
      <c r="N674" t="n">
        <v>0</v>
      </c>
      <c r="O674" t="n">
        <v>0</v>
      </c>
      <c r="P674" t="n">
        <v>0</v>
      </c>
      <c r="Q674" t="n">
        <v>0</v>
      </c>
      <c r="R674" s="2" t="inlineStr"/>
    </row>
    <row r="675" ht="15" customHeight="1">
      <c r="A675" t="inlineStr">
        <is>
          <t>A 58404-2024</t>
        </is>
      </c>
      <c r="B675" s="1" t="n">
        <v>45634.65831018519</v>
      </c>
      <c r="C675" s="1" t="n">
        <v>45900</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29187-2025</t>
        </is>
      </c>
      <c r="B676" s="1" t="n">
        <v>45821.77903935185</v>
      </c>
      <c r="C676" s="1" t="n">
        <v>45900</v>
      </c>
      <c r="D676" t="inlineStr">
        <is>
          <t>JÄMTLANDS LÄN</t>
        </is>
      </c>
      <c r="E676" t="inlineStr">
        <is>
          <t>HÄRJEDALEN</t>
        </is>
      </c>
      <c r="G676" t="n">
        <v>7.5</v>
      </c>
      <c r="H676" t="n">
        <v>0</v>
      </c>
      <c r="I676" t="n">
        <v>0</v>
      </c>
      <c r="J676" t="n">
        <v>0</v>
      </c>
      <c r="K676" t="n">
        <v>0</v>
      </c>
      <c r="L676" t="n">
        <v>0</v>
      </c>
      <c r="M676" t="n">
        <v>0</v>
      </c>
      <c r="N676" t="n">
        <v>0</v>
      </c>
      <c r="O676" t="n">
        <v>0</v>
      </c>
      <c r="P676" t="n">
        <v>0</v>
      </c>
      <c r="Q676" t="n">
        <v>0</v>
      </c>
      <c r="R676" s="2" t="inlineStr"/>
    </row>
    <row r="677" ht="15" customHeight="1">
      <c r="A677" t="inlineStr">
        <is>
          <t>A 20935-2023</t>
        </is>
      </c>
      <c r="B677" s="1" t="n">
        <v>45061.36835648148</v>
      </c>
      <c r="C677" s="1" t="n">
        <v>45900</v>
      </c>
      <c r="D677" t="inlineStr">
        <is>
          <t>JÄMTLANDS LÄN</t>
        </is>
      </c>
      <c r="E677" t="inlineStr">
        <is>
          <t>HÄRJEDALEN</t>
        </is>
      </c>
      <c r="G677" t="n">
        <v>7.3</v>
      </c>
      <c r="H677" t="n">
        <v>0</v>
      </c>
      <c r="I677" t="n">
        <v>0</v>
      </c>
      <c r="J677" t="n">
        <v>0</v>
      </c>
      <c r="K677" t="n">
        <v>0</v>
      </c>
      <c r="L677" t="n">
        <v>0</v>
      </c>
      <c r="M677" t="n">
        <v>0</v>
      </c>
      <c r="N677" t="n">
        <v>0</v>
      </c>
      <c r="O677" t="n">
        <v>0</v>
      </c>
      <c r="P677" t="n">
        <v>0</v>
      </c>
      <c r="Q677" t="n">
        <v>0</v>
      </c>
      <c r="R677" s="2" t="inlineStr"/>
    </row>
    <row r="678" ht="15" customHeight="1">
      <c r="A678" t="inlineStr">
        <is>
          <t>A 12017-2025</t>
        </is>
      </c>
      <c r="B678" s="1" t="n">
        <v>45728</v>
      </c>
      <c r="C678" s="1" t="n">
        <v>45900</v>
      </c>
      <c r="D678" t="inlineStr">
        <is>
          <t>JÄMTLANDS LÄN</t>
        </is>
      </c>
      <c r="E678" t="inlineStr">
        <is>
          <t>HÄRJEDALEN</t>
        </is>
      </c>
      <c r="G678" t="n">
        <v>35.4</v>
      </c>
      <c r="H678" t="n">
        <v>0</v>
      </c>
      <c r="I678" t="n">
        <v>0</v>
      </c>
      <c r="J678" t="n">
        <v>0</v>
      </c>
      <c r="K678" t="n">
        <v>0</v>
      </c>
      <c r="L678" t="n">
        <v>0</v>
      </c>
      <c r="M678" t="n">
        <v>0</v>
      </c>
      <c r="N678" t="n">
        <v>0</v>
      </c>
      <c r="O678" t="n">
        <v>0</v>
      </c>
      <c r="P678" t="n">
        <v>0</v>
      </c>
      <c r="Q678" t="n">
        <v>0</v>
      </c>
      <c r="R678" s="2" t="inlineStr"/>
    </row>
    <row r="679" ht="15" customHeight="1">
      <c r="A679" t="inlineStr">
        <is>
          <t>A 29102-2025</t>
        </is>
      </c>
      <c r="B679" s="1" t="n">
        <v>45821.57201388889</v>
      </c>
      <c r="C679" s="1" t="n">
        <v>45900</v>
      </c>
      <c r="D679" t="inlineStr">
        <is>
          <t>JÄMTLANDS LÄN</t>
        </is>
      </c>
      <c r="E679" t="inlineStr">
        <is>
          <t>HÄRJEDALEN</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21767-2022</t>
        </is>
      </c>
      <c r="B680" s="1" t="n">
        <v>44708.45504629629</v>
      </c>
      <c r="C680" s="1" t="n">
        <v>45900</v>
      </c>
      <c r="D680" t="inlineStr">
        <is>
          <t>JÄMTLANDS LÄN</t>
        </is>
      </c>
      <c r="E680" t="inlineStr">
        <is>
          <t>HÄRJEDALEN</t>
        </is>
      </c>
      <c r="F680" t="inlineStr">
        <is>
          <t>Holmen skog AB</t>
        </is>
      </c>
      <c r="G680" t="n">
        <v>8.1</v>
      </c>
      <c r="H680" t="n">
        <v>0</v>
      </c>
      <c r="I680" t="n">
        <v>0</v>
      </c>
      <c r="J680" t="n">
        <v>0</v>
      </c>
      <c r="K680" t="n">
        <v>0</v>
      </c>
      <c r="L680" t="n">
        <v>0</v>
      </c>
      <c r="M680" t="n">
        <v>0</v>
      </c>
      <c r="N680" t="n">
        <v>0</v>
      </c>
      <c r="O680" t="n">
        <v>0</v>
      </c>
      <c r="P680" t="n">
        <v>0</v>
      </c>
      <c r="Q680" t="n">
        <v>0</v>
      </c>
      <c r="R680" s="2" t="inlineStr"/>
    </row>
    <row r="681" ht="15" customHeight="1">
      <c r="A681" t="inlineStr">
        <is>
          <t>A 21796-2022</t>
        </is>
      </c>
      <c r="B681" s="1" t="n">
        <v>44708</v>
      </c>
      <c r="C681" s="1" t="n">
        <v>45900</v>
      </c>
      <c r="D681" t="inlineStr">
        <is>
          <t>JÄMTLANDS LÄN</t>
        </is>
      </c>
      <c r="E681" t="inlineStr">
        <is>
          <t>HÄRJEDALEN</t>
        </is>
      </c>
      <c r="F681" t="inlineStr">
        <is>
          <t>Holmen skog AB</t>
        </is>
      </c>
      <c r="G681" t="n">
        <v>22.3</v>
      </c>
      <c r="H681" t="n">
        <v>0</v>
      </c>
      <c r="I681" t="n">
        <v>0</v>
      </c>
      <c r="J681" t="n">
        <v>0</v>
      </c>
      <c r="K681" t="n">
        <v>0</v>
      </c>
      <c r="L681" t="n">
        <v>0</v>
      </c>
      <c r="M681" t="n">
        <v>0</v>
      </c>
      <c r="N681" t="n">
        <v>0</v>
      </c>
      <c r="O681" t="n">
        <v>0</v>
      </c>
      <c r="P681" t="n">
        <v>0</v>
      </c>
      <c r="Q681" t="n">
        <v>0</v>
      </c>
      <c r="R681" s="2" t="inlineStr"/>
    </row>
    <row r="682" ht="15" customHeight="1">
      <c r="A682" t="inlineStr">
        <is>
          <t>A 12677-2025</t>
        </is>
      </c>
      <c r="B682" s="1" t="n">
        <v>45733.43663194445</v>
      </c>
      <c r="C682" s="1" t="n">
        <v>45900</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31811-2023</t>
        </is>
      </c>
      <c r="B683" s="1" t="n">
        <v>45118.47491898148</v>
      </c>
      <c r="C683" s="1" t="n">
        <v>45900</v>
      </c>
      <c r="D683" t="inlineStr">
        <is>
          <t>JÄMTLANDS LÄN</t>
        </is>
      </c>
      <c r="E683" t="inlineStr">
        <is>
          <t>HÄRJEDALEN</t>
        </is>
      </c>
      <c r="F683" t="inlineStr">
        <is>
          <t>Bergvik skog väst AB</t>
        </is>
      </c>
      <c r="G683" t="n">
        <v>12.5</v>
      </c>
      <c r="H683" t="n">
        <v>0</v>
      </c>
      <c r="I683" t="n">
        <v>0</v>
      </c>
      <c r="J683" t="n">
        <v>0</v>
      </c>
      <c r="K683" t="n">
        <v>0</v>
      </c>
      <c r="L683" t="n">
        <v>0</v>
      </c>
      <c r="M683" t="n">
        <v>0</v>
      </c>
      <c r="N683" t="n">
        <v>0</v>
      </c>
      <c r="O683" t="n">
        <v>0</v>
      </c>
      <c r="P683" t="n">
        <v>0</v>
      </c>
      <c r="Q683" t="n">
        <v>0</v>
      </c>
      <c r="R683" s="2" t="inlineStr"/>
    </row>
    <row r="684" ht="15" customHeight="1">
      <c r="A684" t="inlineStr">
        <is>
          <t>A 10015-2023</t>
        </is>
      </c>
      <c r="B684" s="1" t="n">
        <v>44985</v>
      </c>
      <c r="C684" s="1" t="n">
        <v>45900</v>
      </c>
      <c r="D684" t="inlineStr">
        <is>
          <t>JÄMTLANDS LÄN</t>
        </is>
      </c>
      <c r="E684" t="inlineStr">
        <is>
          <t>HÄRJEDALEN</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55219-2021</t>
        </is>
      </c>
      <c r="B685" s="1" t="n">
        <v>44475</v>
      </c>
      <c r="C685" s="1" t="n">
        <v>45900</v>
      </c>
      <c r="D685" t="inlineStr">
        <is>
          <t>JÄMTLANDS LÄN</t>
        </is>
      </c>
      <c r="E685" t="inlineStr">
        <is>
          <t>HÄRJEDALEN</t>
        </is>
      </c>
      <c r="G685" t="n">
        <v>2.5</v>
      </c>
      <c r="H685" t="n">
        <v>0</v>
      </c>
      <c r="I685" t="n">
        <v>0</v>
      </c>
      <c r="J685" t="n">
        <v>0</v>
      </c>
      <c r="K685" t="n">
        <v>0</v>
      </c>
      <c r="L685" t="n">
        <v>0</v>
      </c>
      <c r="M685" t="n">
        <v>0</v>
      </c>
      <c r="N685" t="n">
        <v>0</v>
      </c>
      <c r="O685" t="n">
        <v>0</v>
      </c>
      <c r="P685" t="n">
        <v>0</v>
      </c>
      <c r="Q685" t="n">
        <v>0</v>
      </c>
      <c r="R685" s="2" t="inlineStr"/>
    </row>
    <row r="686" ht="15" customHeight="1">
      <c r="A686" t="inlineStr">
        <is>
          <t>A 23446-2025</t>
        </is>
      </c>
      <c r="B686" s="1" t="n">
        <v>45791</v>
      </c>
      <c r="C686" s="1" t="n">
        <v>45900</v>
      </c>
      <c r="D686" t="inlineStr">
        <is>
          <t>JÄMTLANDS LÄN</t>
        </is>
      </c>
      <c r="E686" t="inlineStr">
        <is>
          <t>HÄRJEDALEN</t>
        </is>
      </c>
      <c r="G686" t="n">
        <v>20.5</v>
      </c>
      <c r="H686" t="n">
        <v>0</v>
      </c>
      <c r="I686" t="n">
        <v>0</v>
      </c>
      <c r="J686" t="n">
        <v>0</v>
      </c>
      <c r="K686" t="n">
        <v>0</v>
      </c>
      <c r="L686" t="n">
        <v>0</v>
      </c>
      <c r="M686" t="n">
        <v>0</v>
      </c>
      <c r="N686" t="n">
        <v>0</v>
      </c>
      <c r="O686" t="n">
        <v>0</v>
      </c>
      <c r="P686" t="n">
        <v>0</v>
      </c>
      <c r="Q686" t="n">
        <v>0</v>
      </c>
      <c r="R686" s="2" t="inlineStr"/>
    </row>
    <row r="687" ht="15" customHeight="1">
      <c r="A687" t="inlineStr">
        <is>
          <t>A 36241-2025</t>
        </is>
      </c>
      <c r="B687" s="1" t="n">
        <v>45867.55305555555</v>
      </c>
      <c r="C687" s="1" t="n">
        <v>45900</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36245-2025</t>
        </is>
      </c>
      <c r="B688" s="1" t="n">
        <v>45867.55642361111</v>
      </c>
      <c r="C688" s="1" t="n">
        <v>45900</v>
      </c>
      <c r="D688" t="inlineStr">
        <is>
          <t>JÄMTLANDS LÄN</t>
        </is>
      </c>
      <c r="E688" t="inlineStr">
        <is>
          <t>HÄRJEDALEN</t>
        </is>
      </c>
      <c r="F688" t="inlineStr">
        <is>
          <t>Holmen skog AB</t>
        </is>
      </c>
      <c r="G688" t="n">
        <v>7</v>
      </c>
      <c r="H688" t="n">
        <v>0</v>
      </c>
      <c r="I688" t="n">
        <v>0</v>
      </c>
      <c r="J688" t="n">
        <v>0</v>
      </c>
      <c r="K688" t="n">
        <v>0</v>
      </c>
      <c r="L688" t="n">
        <v>0</v>
      </c>
      <c r="M688" t="n">
        <v>0</v>
      </c>
      <c r="N688" t="n">
        <v>0</v>
      </c>
      <c r="O688" t="n">
        <v>0</v>
      </c>
      <c r="P688" t="n">
        <v>0</v>
      </c>
      <c r="Q688" t="n">
        <v>0</v>
      </c>
      <c r="R688" s="2" t="inlineStr"/>
    </row>
    <row r="689" ht="15" customHeight="1">
      <c r="A689" t="inlineStr">
        <is>
          <t>A 45123-2024</t>
        </is>
      </c>
      <c r="B689" s="1" t="n">
        <v>45575.6125925926</v>
      </c>
      <c r="C689" s="1" t="n">
        <v>45900</v>
      </c>
      <c r="D689" t="inlineStr">
        <is>
          <t>JÄMTLANDS LÄN</t>
        </is>
      </c>
      <c r="E689" t="inlineStr">
        <is>
          <t>HÄRJEDALEN</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36399-2025</t>
        </is>
      </c>
      <c r="B690" s="1" t="n">
        <v>45868.639375</v>
      </c>
      <c r="C690" s="1" t="n">
        <v>45900</v>
      </c>
      <c r="D690" t="inlineStr">
        <is>
          <t>JÄMTLANDS LÄN</t>
        </is>
      </c>
      <c r="E690" t="inlineStr">
        <is>
          <t>HÄRJEDALEN</t>
        </is>
      </c>
      <c r="G690" t="n">
        <v>4.8</v>
      </c>
      <c r="H690" t="n">
        <v>0</v>
      </c>
      <c r="I690" t="n">
        <v>0</v>
      </c>
      <c r="J690" t="n">
        <v>0</v>
      </c>
      <c r="K690" t="n">
        <v>0</v>
      </c>
      <c r="L690" t="n">
        <v>0</v>
      </c>
      <c r="M690" t="n">
        <v>0</v>
      </c>
      <c r="N690" t="n">
        <v>0</v>
      </c>
      <c r="O690" t="n">
        <v>0</v>
      </c>
      <c r="P690" t="n">
        <v>0</v>
      </c>
      <c r="Q690" t="n">
        <v>0</v>
      </c>
      <c r="R690" s="2" t="inlineStr"/>
    </row>
    <row r="691" ht="15" customHeight="1">
      <c r="A691" t="inlineStr">
        <is>
          <t>A 50331-2023</t>
        </is>
      </c>
      <c r="B691" s="1" t="n">
        <v>45216</v>
      </c>
      <c r="C691" s="1" t="n">
        <v>45900</v>
      </c>
      <c r="D691" t="inlineStr">
        <is>
          <t>JÄMTLANDS LÄN</t>
        </is>
      </c>
      <c r="E691" t="inlineStr">
        <is>
          <t>HÄRJEDALEN</t>
        </is>
      </c>
      <c r="G691" t="n">
        <v>2.3</v>
      </c>
      <c r="H691" t="n">
        <v>0</v>
      </c>
      <c r="I691" t="n">
        <v>0</v>
      </c>
      <c r="J691" t="n">
        <v>0</v>
      </c>
      <c r="K691" t="n">
        <v>0</v>
      </c>
      <c r="L691" t="n">
        <v>0</v>
      </c>
      <c r="M691" t="n">
        <v>0</v>
      </c>
      <c r="N691" t="n">
        <v>0</v>
      </c>
      <c r="O691" t="n">
        <v>0</v>
      </c>
      <c r="P691" t="n">
        <v>0</v>
      </c>
      <c r="Q691" t="n">
        <v>0</v>
      </c>
      <c r="R691" s="2" t="inlineStr"/>
    </row>
    <row r="692" ht="15" customHeight="1">
      <c r="A692" t="inlineStr">
        <is>
          <t>A 49319-2024</t>
        </is>
      </c>
      <c r="B692" s="1" t="n">
        <v>45595.5666550926</v>
      </c>
      <c r="C692" s="1" t="n">
        <v>45900</v>
      </c>
      <c r="D692" t="inlineStr">
        <is>
          <t>JÄMTLANDS LÄN</t>
        </is>
      </c>
      <c r="E692" t="inlineStr">
        <is>
          <t>HÄRJEDALEN</t>
        </is>
      </c>
      <c r="G692" t="n">
        <v>9.5</v>
      </c>
      <c r="H692" t="n">
        <v>0</v>
      </c>
      <c r="I692" t="n">
        <v>0</v>
      </c>
      <c r="J692" t="n">
        <v>0</v>
      </c>
      <c r="K692" t="n">
        <v>0</v>
      </c>
      <c r="L692" t="n">
        <v>0</v>
      </c>
      <c r="M692" t="n">
        <v>0</v>
      </c>
      <c r="N692" t="n">
        <v>0</v>
      </c>
      <c r="O692" t="n">
        <v>0</v>
      </c>
      <c r="P692" t="n">
        <v>0</v>
      </c>
      <c r="Q692" t="n">
        <v>0</v>
      </c>
      <c r="R692" s="2" t="inlineStr"/>
    </row>
    <row r="693" ht="15" customHeight="1">
      <c r="A693" t="inlineStr">
        <is>
          <t>A 4196-2023</t>
        </is>
      </c>
      <c r="B693" s="1" t="n">
        <v>44953</v>
      </c>
      <c r="C693" s="1" t="n">
        <v>45900</v>
      </c>
      <c r="D693" t="inlineStr">
        <is>
          <t>JÄMTLANDS LÄN</t>
        </is>
      </c>
      <c r="E693" t="inlineStr">
        <is>
          <t>HÄRJEDALEN</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29927-2025</t>
        </is>
      </c>
      <c r="B694" s="1" t="n">
        <v>45826.43267361111</v>
      </c>
      <c r="C694" s="1" t="n">
        <v>45900</v>
      </c>
      <c r="D694" t="inlineStr">
        <is>
          <t>JÄMTLANDS LÄN</t>
        </is>
      </c>
      <c r="E694" t="inlineStr">
        <is>
          <t>HÄRJEDALEN</t>
        </is>
      </c>
      <c r="F694" t="inlineStr">
        <is>
          <t>Bergvik skog väst AB</t>
        </is>
      </c>
      <c r="G694" t="n">
        <v>12.8</v>
      </c>
      <c r="H694" t="n">
        <v>0</v>
      </c>
      <c r="I694" t="n">
        <v>0</v>
      </c>
      <c r="J694" t="n">
        <v>0</v>
      </c>
      <c r="K694" t="n">
        <v>0</v>
      </c>
      <c r="L694" t="n">
        <v>0</v>
      </c>
      <c r="M694" t="n">
        <v>0</v>
      </c>
      <c r="N694" t="n">
        <v>0</v>
      </c>
      <c r="O694" t="n">
        <v>0</v>
      </c>
      <c r="P694" t="n">
        <v>0</v>
      </c>
      <c r="Q694" t="n">
        <v>0</v>
      </c>
      <c r="R694" s="2" t="inlineStr"/>
    </row>
    <row r="695" ht="15" customHeight="1">
      <c r="A695" t="inlineStr">
        <is>
          <t>A 11877-2025</t>
        </is>
      </c>
      <c r="B695" s="1" t="n">
        <v>45728.44329861111</v>
      </c>
      <c r="C695" s="1" t="n">
        <v>45900</v>
      </c>
      <c r="D695" t="inlineStr">
        <is>
          <t>JÄMTLANDS LÄN</t>
        </is>
      </c>
      <c r="E695" t="inlineStr">
        <is>
          <t>HÄRJEDALEN</t>
        </is>
      </c>
      <c r="F695" t="inlineStr">
        <is>
          <t>Bergvik skog väst AB</t>
        </is>
      </c>
      <c r="G695" t="n">
        <v>11.2</v>
      </c>
      <c r="H695" t="n">
        <v>0</v>
      </c>
      <c r="I695" t="n">
        <v>0</v>
      </c>
      <c r="J695" t="n">
        <v>0</v>
      </c>
      <c r="K695" t="n">
        <v>0</v>
      </c>
      <c r="L695" t="n">
        <v>0</v>
      </c>
      <c r="M695" t="n">
        <v>0</v>
      </c>
      <c r="N695" t="n">
        <v>0</v>
      </c>
      <c r="O695" t="n">
        <v>0</v>
      </c>
      <c r="P695" t="n">
        <v>0</v>
      </c>
      <c r="Q695" t="n">
        <v>0</v>
      </c>
      <c r="R695" s="2" t="inlineStr"/>
    </row>
    <row r="696" ht="15" customHeight="1">
      <c r="A696" t="inlineStr">
        <is>
          <t>A 11917-2025</t>
        </is>
      </c>
      <c r="B696" s="1" t="n">
        <v>45728.49267361111</v>
      </c>
      <c r="C696" s="1" t="n">
        <v>45900</v>
      </c>
      <c r="D696" t="inlineStr">
        <is>
          <t>JÄMTLANDS LÄN</t>
        </is>
      </c>
      <c r="E696" t="inlineStr">
        <is>
          <t>HÄRJEDALEN</t>
        </is>
      </c>
      <c r="F696" t="inlineStr">
        <is>
          <t>Kommuner</t>
        </is>
      </c>
      <c r="G696" t="n">
        <v>0.7</v>
      </c>
      <c r="H696" t="n">
        <v>0</v>
      </c>
      <c r="I696" t="n">
        <v>0</v>
      </c>
      <c r="J696" t="n">
        <v>0</v>
      </c>
      <c r="K696" t="n">
        <v>0</v>
      </c>
      <c r="L696" t="n">
        <v>0</v>
      </c>
      <c r="M696" t="n">
        <v>0</v>
      </c>
      <c r="N696" t="n">
        <v>0</v>
      </c>
      <c r="O696" t="n">
        <v>0</v>
      </c>
      <c r="P696" t="n">
        <v>0</v>
      </c>
      <c r="Q696" t="n">
        <v>0</v>
      </c>
      <c r="R696" s="2" t="inlineStr"/>
    </row>
    <row r="697" ht="15" customHeight="1">
      <c r="A697" t="inlineStr">
        <is>
          <t>A 31459-2024</t>
        </is>
      </c>
      <c r="B697" s="1" t="n">
        <v>45505</v>
      </c>
      <c r="C697" s="1" t="n">
        <v>45900</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31527-2024</t>
        </is>
      </c>
      <c r="B698" s="1" t="n">
        <v>45505</v>
      </c>
      <c r="C698" s="1" t="n">
        <v>45900</v>
      </c>
      <c r="D698" t="inlineStr">
        <is>
          <t>JÄMTLANDS LÄN</t>
        </is>
      </c>
      <c r="E698" t="inlineStr">
        <is>
          <t>HÄRJEDALEN</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44531.43927083333</v>
      </c>
      <c r="C699" s="1" t="n">
        <v>45900</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61042-2024</t>
        </is>
      </c>
      <c r="B700" s="1" t="n">
        <v>45645.47609953704</v>
      </c>
      <c r="C700" s="1" t="n">
        <v>45900</v>
      </c>
      <c r="D700" t="inlineStr">
        <is>
          <t>JÄMTLANDS LÄN</t>
        </is>
      </c>
      <c r="E700" t="inlineStr">
        <is>
          <t>HÄRJEDALEN</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48669-2023</t>
        </is>
      </c>
      <c r="B701" s="1" t="n">
        <v>45203</v>
      </c>
      <c r="C701" s="1" t="n">
        <v>45900</v>
      </c>
      <c r="D701" t="inlineStr">
        <is>
          <t>JÄMTLANDS LÄN</t>
        </is>
      </c>
      <c r="E701" t="inlineStr">
        <is>
          <t>HÄRJEDALEN</t>
        </is>
      </c>
      <c r="G701" t="n">
        <v>4</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45900</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48708-2023</t>
        </is>
      </c>
      <c r="B703" s="1" t="n">
        <v>45208</v>
      </c>
      <c r="C703" s="1" t="n">
        <v>45900</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20103-2025</t>
        </is>
      </c>
      <c r="B704" s="1" t="n">
        <v>45772.46951388889</v>
      </c>
      <c r="C704" s="1" t="n">
        <v>45900</v>
      </c>
      <c r="D704" t="inlineStr">
        <is>
          <t>JÄMTLANDS LÄN</t>
        </is>
      </c>
      <c r="E704" t="inlineStr">
        <is>
          <t>HÄRJEDALEN</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45900</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45900</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2531-2021</t>
        </is>
      </c>
      <c r="B707" s="1" t="n">
        <v>44214</v>
      </c>
      <c r="C707" s="1" t="n">
        <v>45900</v>
      </c>
      <c r="D707" t="inlineStr">
        <is>
          <t>JÄMTLANDS LÄN</t>
        </is>
      </c>
      <c r="E707" t="inlineStr">
        <is>
          <t>HÄRJEDALEN</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48213-2023</t>
        </is>
      </c>
      <c r="B708" s="1" t="n">
        <v>45205</v>
      </c>
      <c r="C708" s="1" t="n">
        <v>45900</v>
      </c>
      <c r="D708" t="inlineStr">
        <is>
          <t>JÄMTLANDS LÄN</t>
        </is>
      </c>
      <c r="E708" t="inlineStr">
        <is>
          <t>HÄRJEDALEN</t>
        </is>
      </c>
      <c r="G708" t="n">
        <v>12.2</v>
      </c>
      <c r="H708" t="n">
        <v>0</v>
      </c>
      <c r="I708" t="n">
        <v>0</v>
      </c>
      <c r="J708" t="n">
        <v>0</v>
      </c>
      <c r="K708" t="n">
        <v>0</v>
      </c>
      <c r="L708" t="n">
        <v>0</v>
      </c>
      <c r="M708" t="n">
        <v>0</v>
      </c>
      <c r="N708" t="n">
        <v>0</v>
      </c>
      <c r="O708" t="n">
        <v>0</v>
      </c>
      <c r="P708" t="n">
        <v>0</v>
      </c>
      <c r="Q708" t="n">
        <v>0</v>
      </c>
      <c r="R708" s="2" t="inlineStr"/>
    </row>
    <row r="709" ht="15" customHeight="1">
      <c r="A709" t="inlineStr">
        <is>
          <t>A 53537-2024</t>
        </is>
      </c>
      <c r="B709" s="1" t="n">
        <v>45614.62445601852</v>
      </c>
      <c r="C709" s="1" t="n">
        <v>45900</v>
      </c>
      <c r="D709" t="inlineStr">
        <is>
          <t>JÄMTLANDS LÄN</t>
        </is>
      </c>
      <c r="E709" t="inlineStr">
        <is>
          <t>HÄRJEDALEN</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67180-2020</t>
        </is>
      </c>
      <c r="B710" s="1" t="n">
        <v>44180</v>
      </c>
      <c r="C710" s="1" t="n">
        <v>45900</v>
      </c>
      <c r="D710" t="inlineStr">
        <is>
          <t>JÄMTLANDS LÄN</t>
        </is>
      </c>
      <c r="E710" t="inlineStr">
        <is>
          <t>HÄRJEDALEN</t>
        </is>
      </c>
      <c r="G710" t="n">
        <v>0</v>
      </c>
      <c r="H710" t="n">
        <v>0</v>
      </c>
      <c r="I710" t="n">
        <v>0</v>
      </c>
      <c r="J710" t="n">
        <v>0</v>
      </c>
      <c r="K710" t="n">
        <v>0</v>
      </c>
      <c r="L710" t="n">
        <v>0</v>
      </c>
      <c r="M710" t="n">
        <v>0</v>
      </c>
      <c r="N710" t="n">
        <v>0</v>
      </c>
      <c r="O710" t="n">
        <v>0</v>
      </c>
      <c r="P710" t="n">
        <v>0</v>
      </c>
      <c r="Q710" t="n">
        <v>0</v>
      </c>
      <c r="R710" s="2" t="inlineStr"/>
    </row>
    <row r="711" ht="15" customHeight="1">
      <c r="A711" t="inlineStr">
        <is>
          <t>A 24834-2022</t>
        </is>
      </c>
      <c r="B711" s="1" t="n">
        <v>44728</v>
      </c>
      <c r="C711" s="1" t="n">
        <v>45900</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36777-2025</t>
        </is>
      </c>
      <c r="B712" s="1" t="n">
        <v>45873.59511574074</v>
      </c>
      <c r="C712" s="1" t="n">
        <v>45900</v>
      </c>
      <c r="D712" t="inlineStr">
        <is>
          <t>JÄMTLANDS LÄN</t>
        </is>
      </c>
      <c r="E712" t="inlineStr">
        <is>
          <t>HÄRJEDALEN</t>
        </is>
      </c>
      <c r="F712" t="inlineStr">
        <is>
          <t>Bergvik skog väst AB</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1658-2025</t>
        </is>
      </c>
      <c r="B713" s="1" t="n">
        <v>45670.66085648148</v>
      </c>
      <c r="C713" s="1" t="n">
        <v>45900</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36097-2024</t>
        </is>
      </c>
      <c r="B714" s="1" t="n">
        <v>45533.75398148148</v>
      </c>
      <c r="C714" s="1" t="n">
        <v>45900</v>
      </c>
      <c r="D714" t="inlineStr">
        <is>
          <t>JÄMTLANDS LÄN</t>
        </is>
      </c>
      <c r="E714" t="inlineStr">
        <is>
          <t>HÄRJEDALEN</t>
        </is>
      </c>
      <c r="G714" t="n">
        <v>2.9</v>
      </c>
      <c r="H714" t="n">
        <v>0</v>
      </c>
      <c r="I714" t="n">
        <v>0</v>
      </c>
      <c r="J714" t="n">
        <v>0</v>
      </c>
      <c r="K714" t="n">
        <v>0</v>
      </c>
      <c r="L714" t="n">
        <v>0</v>
      </c>
      <c r="M714" t="n">
        <v>0</v>
      </c>
      <c r="N714" t="n">
        <v>0</v>
      </c>
      <c r="O714" t="n">
        <v>0</v>
      </c>
      <c r="P714" t="n">
        <v>0</v>
      </c>
      <c r="Q714" t="n">
        <v>0</v>
      </c>
      <c r="R714" s="2" t="inlineStr"/>
    </row>
    <row r="715" ht="15" customHeight="1">
      <c r="A715" t="inlineStr">
        <is>
          <t>A 31148-2025</t>
        </is>
      </c>
      <c r="B715" s="1" t="n">
        <v>45832.64047453704</v>
      </c>
      <c r="C715" s="1" t="n">
        <v>45900</v>
      </c>
      <c r="D715" t="inlineStr">
        <is>
          <t>JÄMTLANDS LÄN</t>
        </is>
      </c>
      <c r="E715" t="inlineStr">
        <is>
          <t>HÄRJEDALEN</t>
        </is>
      </c>
      <c r="G715" t="n">
        <v>3.9</v>
      </c>
      <c r="H715" t="n">
        <v>0</v>
      </c>
      <c r="I715" t="n">
        <v>0</v>
      </c>
      <c r="J715" t="n">
        <v>0</v>
      </c>
      <c r="K715" t="n">
        <v>0</v>
      </c>
      <c r="L715" t="n">
        <v>0</v>
      </c>
      <c r="M715" t="n">
        <v>0</v>
      </c>
      <c r="N715" t="n">
        <v>0</v>
      </c>
      <c r="O715" t="n">
        <v>0</v>
      </c>
      <c r="P715" t="n">
        <v>0</v>
      </c>
      <c r="Q715" t="n">
        <v>0</v>
      </c>
      <c r="R715" s="2" t="inlineStr"/>
    </row>
    <row r="716" ht="15" customHeight="1">
      <c r="A716" t="inlineStr">
        <is>
          <t>A 31096-2025</t>
        </is>
      </c>
      <c r="B716" s="1" t="n">
        <v>45831</v>
      </c>
      <c r="C716" s="1" t="n">
        <v>45900</v>
      </c>
      <c r="D716" t="inlineStr">
        <is>
          <t>JÄMTLANDS LÄN</t>
        </is>
      </c>
      <c r="E716" t="inlineStr">
        <is>
          <t>HÄRJEDALEN</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7384-2025</t>
        </is>
      </c>
      <c r="B717" s="1" t="n">
        <v>45705.32456018519</v>
      </c>
      <c r="C717" s="1" t="n">
        <v>45900</v>
      </c>
      <c r="D717" t="inlineStr">
        <is>
          <t>JÄMTLANDS LÄN</t>
        </is>
      </c>
      <c r="E717" t="inlineStr">
        <is>
          <t>HÄRJEDALEN</t>
        </is>
      </c>
      <c r="G717" t="n">
        <v>6.4</v>
      </c>
      <c r="H717" t="n">
        <v>0</v>
      </c>
      <c r="I717" t="n">
        <v>0</v>
      </c>
      <c r="J717" t="n">
        <v>0</v>
      </c>
      <c r="K717" t="n">
        <v>0</v>
      </c>
      <c r="L717" t="n">
        <v>0</v>
      </c>
      <c r="M717" t="n">
        <v>0</v>
      </c>
      <c r="N717" t="n">
        <v>0</v>
      </c>
      <c r="O717" t="n">
        <v>0</v>
      </c>
      <c r="P717" t="n">
        <v>0</v>
      </c>
      <c r="Q717" t="n">
        <v>0</v>
      </c>
      <c r="R717" s="2" t="inlineStr"/>
    </row>
    <row r="718" ht="15" customHeight="1">
      <c r="A718" t="inlineStr">
        <is>
          <t>A 46383-2023</t>
        </is>
      </c>
      <c r="B718" s="1" t="n">
        <v>45197.46966435185</v>
      </c>
      <c r="C718" s="1" t="n">
        <v>45900</v>
      </c>
      <c r="D718" t="inlineStr">
        <is>
          <t>JÄMTLANDS LÄN</t>
        </is>
      </c>
      <c r="E718" t="inlineStr">
        <is>
          <t>HÄRJEDALEN</t>
        </is>
      </c>
      <c r="G718" t="n">
        <v>7.6</v>
      </c>
      <c r="H718" t="n">
        <v>0</v>
      </c>
      <c r="I718" t="n">
        <v>0</v>
      </c>
      <c r="J718" t="n">
        <v>0</v>
      </c>
      <c r="K718" t="n">
        <v>0</v>
      </c>
      <c r="L718" t="n">
        <v>0</v>
      </c>
      <c r="M718" t="n">
        <v>0</v>
      </c>
      <c r="N718" t="n">
        <v>0</v>
      </c>
      <c r="O718" t="n">
        <v>0</v>
      </c>
      <c r="P718" t="n">
        <v>0</v>
      </c>
      <c r="Q718" t="n">
        <v>0</v>
      </c>
      <c r="R718" s="2" t="inlineStr"/>
    </row>
    <row r="719" ht="15" customHeight="1">
      <c r="A719" t="inlineStr">
        <is>
          <t>A 48867-2023</t>
        </is>
      </c>
      <c r="B719" s="1" t="n">
        <v>45209.45420138889</v>
      </c>
      <c r="C719" s="1" t="n">
        <v>45900</v>
      </c>
      <c r="D719" t="inlineStr">
        <is>
          <t>JÄMTLANDS LÄN</t>
        </is>
      </c>
      <c r="E719" t="inlineStr">
        <is>
          <t>HÄRJEDALEN</t>
        </is>
      </c>
      <c r="G719" t="n">
        <v>9.1</v>
      </c>
      <c r="H719" t="n">
        <v>0</v>
      </c>
      <c r="I719" t="n">
        <v>0</v>
      </c>
      <c r="J719" t="n">
        <v>0</v>
      </c>
      <c r="K719" t="n">
        <v>0</v>
      </c>
      <c r="L719" t="n">
        <v>0</v>
      </c>
      <c r="M719" t="n">
        <v>0</v>
      </c>
      <c r="N719" t="n">
        <v>0</v>
      </c>
      <c r="O719" t="n">
        <v>0</v>
      </c>
      <c r="P719" t="n">
        <v>0</v>
      </c>
      <c r="Q719" t="n">
        <v>0</v>
      </c>
      <c r="R719" s="2" t="inlineStr"/>
    </row>
    <row r="720" ht="15" customHeight="1">
      <c r="A720" t="inlineStr">
        <is>
          <t>A 5277-2021</t>
        </is>
      </c>
      <c r="B720" s="1" t="n">
        <v>44225</v>
      </c>
      <c r="C720" s="1" t="n">
        <v>45900</v>
      </c>
      <c r="D720" t="inlineStr">
        <is>
          <t>JÄMTLANDS LÄN</t>
        </is>
      </c>
      <c r="E720" t="inlineStr">
        <is>
          <t>HÄRJEDALEN</t>
        </is>
      </c>
      <c r="G720" t="n">
        <v>20</v>
      </c>
      <c r="H720" t="n">
        <v>0</v>
      </c>
      <c r="I720" t="n">
        <v>0</v>
      </c>
      <c r="J720" t="n">
        <v>0</v>
      </c>
      <c r="K720" t="n">
        <v>0</v>
      </c>
      <c r="L720" t="n">
        <v>0</v>
      </c>
      <c r="M720" t="n">
        <v>0</v>
      </c>
      <c r="N720" t="n">
        <v>0</v>
      </c>
      <c r="O720" t="n">
        <v>0</v>
      </c>
      <c r="P720" t="n">
        <v>0</v>
      </c>
      <c r="Q720" t="n">
        <v>0</v>
      </c>
      <c r="R720" s="2" t="inlineStr"/>
    </row>
    <row r="721" ht="15" customHeight="1">
      <c r="A721" t="inlineStr">
        <is>
          <t>A 31255-2025</t>
        </is>
      </c>
      <c r="B721" s="1" t="n">
        <v>45832</v>
      </c>
      <c r="C721" s="1" t="n">
        <v>45900</v>
      </c>
      <c r="D721" t="inlineStr">
        <is>
          <t>JÄMTLANDS LÄN</t>
        </is>
      </c>
      <c r="E721" t="inlineStr">
        <is>
          <t>HÄRJEDALEN</t>
        </is>
      </c>
      <c r="F721" t="inlineStr">
        <is>
          <t>Bergvik skog väst AB</t>
        </is>
      </c>
      <c r="G721" t="n">
        <v>12.9</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45900</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31252-2025</t>
        </is>
      </c>
      <c r="B723" s="1" t="n">
        <v>45832</v>
      </c>
      <c r="C723" s="1" t="n">
        <v>45900</v>
      </c>
      <c r="D723" t="inlineStr">
        <is>
          <t>JÄMTLANDS LÄN</t>
        </is>
      </c>
      <c r="E723" t="inlineStr">
        <is>
          <t>HÄRJEDALEN</t>
        </is>
      </c>
      <c r="F723" t="inlineStr">
        <is>
          <t>Bergvik skog väst AB</t>
        </is>
      </c>
      <c r="G723" t="n">
        <v>8</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45900</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31253-2025</t>
        </is>
      </c>
      <c r="B725" s="1" t="n">
        <v>45832</v>
      </c>
      <c r="C725" s="1" t="n">
        <v>45900</v>
      </c>
      <c r="D725" t="inlineStr">
        <is>
          <t>JÄMTLANDS LÄN</t>
        </is>
      </c>
      <c r="E725" t="inlineStr">
        <is>
          <t>HÄRJEDALEN</t>
        </is>
      </c>
      <c r="F725" t="inlineStr">
        <is>
          <t>Bergvik skog väst AB</t>
        </is>
      </c>
      <c r="G725" t="n">
        <v>24.9</v>
      </c>
      <c r="H725" t="n">
        <v>0</v>
      </c>
      <c r="I725" t="n">
        <v>0</v>
      </c>
      <c r="J725" t="n">
        <v>0</v>
      </c>
      <c r="K725" t="n">
        <v>0</v>
      </c>
      <c r="L725" t="n">
        <v>0</v>
      </c>
      <c r="M725" t="n">
        <v>0</v>
      </c>
      <c r="N725" t="n">
        <v>0</v>
      </c>
      <c r="O725" t="n">
        <v>0</v>
      </c>
      <c r="P725" t="n">
        <v>0</v>
      </c>
      <c r="Q725" t="n">
        <v>0</v>
      </c>
      <c r="R725" s="2" t="inlineStr"/>
    </row>
    <row r="726" ht="15" customHeight="1">
      <c r="A726" t="inlineStr">
        <is>
          <t>A 36976-2025</t>
        </is>
      </c>
      <c r="B726" s="1" t="n">
        <v>45874.64199074074</v>
      </c>
      <c r="C726" s="1" t="n">
        <v>45900</v>
      </c>
      <c r="D726" t="inlineStr">
        <is>
          <t>JÄMTLANDS LÄN</t>
        </is>
      </c>
      <c r="E726" t="inlineStr">
        <is>
          <t>HÄRJEDALEN</t>
        </is>
      </c>
      <c r="G726" t="n">
        <v>1.3</v>
      </c>
      <c r="H726" t="n">
        <v>0</v>
      </c>
      <c r="I726" t="n">
        <v>0</v>
      </c>
      <c r="J726" t="n">
        <v>0</v>
      </c>
      <c r="K726" t="n">
        <v>0</v>
      </c>
      <c r="L726" t="n">
        <v>0</v>
      </c>
      <c r="M726" t="n">
        <v>0</v>
      </c>
      <c r="N726" t="n">
        <v>0</v>
      </c>
      <c r="O726" t="n">
        <v>0</v>
      </c>
      <c r="P726" t="n">
        <v>0</v>
      </c>
      <c r="Q726" t="n">
        <v>0</v>
      </c>
      <c r="R726" s="2" t="inlineStr"/>
    </row>
    <row r="727" ht="15" customHeight="1">
      <c r="A727" t="inlineStr">
        <is>
          <t>A 41955-2023</t>
        </is>
      </c>
      <c r="B727" s="1" t="n">
        <v>45174</v>
      </c>
      <c r="C727" s="1" t="n">
        <v>45900</v>
      </c>
      <c r="D727" t="inlineStr">
        <is>
          <t>JÄMTLANDS LÄN</t>
        </is>
      </c>
      <c r="E727" t="inlineStr">
        <is>
          <t>HÄRJEDALEN</t>
        </is>
      </c>
      <c r="G727" t="n">
        <v>60.5</v>
      </c>
      <c r="H727" t="n">
        <v>0</v>
      </c>
      <c r="I727" t="n">
        <v>0</v>
      </c>
      <c r="J727" t="n">
        <v>0</v>
      </c>
      <c r="K727" t="n">
        <v>0</v>
      </c>
      <c r="L727" t="n">
        <v>0</v>
      </c>
      <c r="M727" t="n">
        <v>0</v>
      </c>
      <c r="N727" t="n">
        <v>0</v>
      </c>
      <c r="O727" t="n">
        <v>0</v>
      </c>
      <c r="P727" t="n">
        <v>0</v>
      </c>
      <c r="Q727" t="n">
        <v>0</v>
      </c>
      <c r="R727" s="2" t="inlineStr"/>
    </row>
    <row r="728" ht="15" customHeight="1">
      <c r="A728" t="inlineStr">
        <is>
          <t>A 14363-2025</t>
        </is>
      </c>
      <c r="B728" s="1" t="n">
        <v>45741.38347222222</v>
      </c>
      <c r="C728" s="1" t="n">
        <v>45900</v>
      </c>
      <c r="D728" t="inlineStr">
        <is>
          <t>JÄMTLANDS LÄN</t>
        </is>
      </c>
      <c r="E728" t="inlineStr">
        <is>
          <t>HÄRJEDALEN</t>
        </is>
      </c>
      <c r="G728" t="n">
        <v>32.8</v>
      </c>
      <c r="H728" t="n">
        <v>0</v>
      </c>
      <c r="I728" t="n">
        <v>0</v>
      </c>
      <c r="J728" t="n">
        <v>0</v>
      </c>
      <c r="K728" t="n">
        <v>0</v>
      </c>
      <c r="L728" t="n">
        <v>0</v>
      </c>
      <c r="M728" t="n">
        <v>0</v>
      </c>
      <c r="N728" t="n">
        <v>0</v>
      </c>
      <c r="O728" t="n">
        <v>0</v>
      </c>
      <c r="P728" t="n">
        <v>0</v>
      </c>
      <c r="Q728" t="n">
        <v>0</v>
      </c>
      <c r="R728" s="2" t="inlineStr"/>
    </row>
    <row r="729" ht="15" customHeight="1">
      <c r="A729" t="inlineStr">
        <is>
          <t>A 31772-2025</t>
        </is>
      </c>
      <c r="B729" s="1" t="n">
        <v>45834.51079861111</v>
      </c>
      <c r="C729" s="1" t="n">
        <v>45900</v>
      </c>
      <c r="D729" t="inlineStr">
        <is>
          <t>JÄMTLANDS LÄN</t>
        </is>
      </c>
      <c r="E729" t="inlineStr">
        <is>
          <t>HÄRJEDALEN</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37244-2025</t>
        </is>
      </c>
      <c r="B730" s="1" t="n">
        <v>45876.39362268519</v>
      </c>
      <c r="C730" s="1" t="n">
        <v>45900</v>
      </c>
      <c r="D730" t="inlineStr">
        <is>
          <t>JÄMTLANDS LÄN</t>
        </is>
      </c>
      <c r="E730" t="inlineStr">
        <is>
          <t>HÄRJEDALEN</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31680-2025</t>
        </is>
      </c>
      <c r="B731" s="1" t="n">
        <v>45834.38173611111</v>
      </c>
      <c r="C731" s="1" t="n">
        <v>45900</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37122-2025</t>
        </is>
      </c>
      <c r="B732" s="1" t="n">
        <v>45875.5196875</v>
      </c>
      <c r="C732" s="1" t="n">
        <v>45900</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31910-2025</t>
        </is>
      </c>
      <c r="B733" s="1" t="n">
        <v>45834.69577546296</v>
      </c>
      <c r="C733" s="1" t="n">
        <v>45900</v>
      </c>
      <c r="D733" t="inlineStr">
        <is>
          <t>JÄMTLANDS LÄN</t>
        </is>
      </c>
      <c r="E733" t="inlineStr">
        <is>
          <t>HÄRJEDALEN</t>
        </is>
      </c>
      <c r="G733" t="n">
        <v>0.4</v>
      </c>
      <c r="H733" t="n">
        <v>0</v>
      </c>
      <c r="I733" t="n">
        <v>0</v>
      </c>
      <c r="J733" t="n">
        <v>0</v>
      </c>
      <c r="K733" t="n">
        <v>0</v>
      </c>
      <c r="L733" t="n">
        <v>0</v>
      </c>
      <c r="M733" t="n">
        <v>0</v>
      </c>
      <c r="N733" t="n">
        <v>0</v>
      </c>
      <c r="O733" t="n">
        <v>0</v>
      </c>
      <c r="P733" t="n">
        <v>0</v>
      </c>
      <c r="Q733" t="n">
        <v>0</v>
      </c>
      <c r="R733" s="2" t="inlineStr"/>
    </row>
    <row r="734" ht="15" customHeight="1">
      <c r="A734" t="inlineStr">
        <is>
          <t>A 31915-2025</t>
        </is>
      </c>
      <c r="B734" s="1" t="n">
        <v>45834.71440972222</v>
      </c>
      <c r="C734" s="1" t="n">
        <v>45900</v>
      </c>
      <c r="D734" t="inlineStr">
        <is>
          <t>JÄMTLANDS LÄN</t>
        </is>
      </c>
      <c r="E734" t="inlineStr">
        <is>
          <t>HÄRJEDALEN</t>
        </is>
      </c>
      <c r="G734" t="n">
        <v>3.4</v>
      </c>
      <c r="H734" t="n">
        <v>0</v>
      </c>
      <c r="I734" t="n">
        <v>0</v>
      </c>
      <c r="J734" t="n">
        <v>0</v>
      </c>
      <c r="K734" t="n">
        <v>0</v>
      </c>
      <c r="L734" t="n">
        <v>0</v>
      </c>
      <c r="M734" t="n">
        <v>0</v>
      </c>
      <c r="N734" t="n">
        <v>0</v>
      </c>
      <c r="O734" t="n">
        <v>0</v>
      </c>
      <c r="P734" t="n">
        <v>0</v>
      </c>
      <c r="Q734" t="n">
        <v>0</v>
      </c>
      <c r="R734" s="2" t="inlineStr"/>
    </row>
    <row r="735" ht="15" customHeight="1">
      <c r="A735" t="inlineStr">
        <is>
          <t>A 51311-2024</t>
        </is>
      </c>
      <c r="B735" s="1" t="n">
        <v>45604.31657407407</v>
      </c>
      <c r="C735" s="1" t="n">
        <v>45900</v>
      </c>
      <c r="D735" t="inlineStr">
        <is>
          <t>JÄMTLANDS LÄN</t>
        </is>
      </c>
      <c r="E735" t="inlineStr">
        <is>
          <t>HÄRJEDALEN</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31853-2025</t>
        </is>
      </c>
      <c r="B736" s="1" t="n">
        <v>45834</v>
      </c>
      <c r="C736" s="1" t="n">
        <v>45900</v>
      </c>
      <c r="D736" t="inlineStr">
        <is>
          <t>JÄMTLANDS LÄN</t>
        </is>
      </c>
      <c r="E736" t="inlineStr">
        <is>
          <t>HÄRJEDALEN</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31498-2025</t>
        </is>
      </c>
      <c r="B737" s="1" t="n">
        <v>45833</v>
      </c>
      <c r="C737" s="1" t="n">
        <v>45900</v>
      </c>
      <c r="D737" t="inlineStr">
        <is>
          <t>JÄMTLANDS LÄN</t>
        </is>
      </c>
      <c r="E737" t="inlineStr">
        <is>
          <t>HÄRJEDALEN</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16517-2025</t>
        </is>
      </c>
      <c r="B738" s="1" t="n">
        <v>45751.63266203704</v>
      </c>
      <c r="C738" s="1" t="n">
        <v>45900</v>
      </c>
      <c r="D738" t="inlineStr">
        <is>
          <t>JÄMTLANDS LÄN</t>
        </is>
      </c>
      <c r="E738" t="inlineStr">
        <is>
          <t>HÄRJEDALEN</t>
        </is>
      </c>
      <c r="F738" t="inlineStr">
        <is>
          <t>Övriga Aktiebolag</t>
        </is>
      </c>
      <c r="G738" t="n">
        <v>18.6</v>
      </c>
      <c r="H738" t="n">
        <v>0</v>
      </c>
      <c r="I738" t="n">
        <v>0</v>
      </c>
      <c r="J738" t="n">
        <v>0</v>
      </c>
      <c r="K738" t="n">
        <v>0</v>
      </c>
      <c r="L738" t="n">
        <v>0</v>
      </c>
      <c r="M738" t="n">
        <v>0</v>
      </c>
      <c r="N738" t="n">
        <v>0</v>
      </c>
      <c r="O738" t="n">
        <v>0</v>
      </c>
      <c r="P738" t="n">
        <v>0</v>
      </c>
      <c r="Q738" t="n">
        <v>0</v>
      </c>
      <c r="R738" s="2" t="inlineStr"/>
    </row>
    <row r="739" ht="15" customHeight="1">
      <c r="A739" t="inlineStr">
        <is>
          <t>A 55562-2023</t>
        </is>
      </c>
      <c r="B739" s="1" t="n">
        <v>45238.64153935185</v>
      </c>
      <c r="C739" s="1" t="n">
        <v>45900</v>
      </c>
      <c r="D739" t="inlineStr">
        <is>
          <t>JÄMTLANDS LÄN</t>
        </is>
      </c>
      <c r="E739" t="inlineStr">
        <is>
          <t>HÄRJEDALEN</t>
        </is>
      </c>
      <c r="G739" t="n">
        <v>1.4</v>
      </c>
      <c r="H739" t="n">
        <v>0</v>
      </c>
      <c r="I739" t="n">
        <v>0</v>
      </c>
      <c r="J739" t="n">
        <v>0</v>
      </c>
      <c r="K739" t="n">
        <v>0</v>
      </c>
      <c r="L739" t="n">
        <v>0</v>
      </c>
      <c r="M739" t="n">
        <v>0</v>
      </c>
      <c r="N739" t="n">
        <v>0</v>
      </c>
      <c r="O739" t="n">
        <v>0</v>
      </c>
      <c r="P739" t="n">
        <v>0</v>
      </c>
      <c r="Q739" t="n">
        <v>0</v>
      </c>
      <c r="R739" s="2" t="inlineStr"/>
    </row>
    <row r="740" ht="15" customHeight="1">
      <c r="A740" t="inlineStr">
        <is>
          <t>A 61751-2023</t>
        </is>
      </c>
      <c r="B740" s="1" t="n">
        <v>45265</v>
      </c>
      <c r="C740" s="1" t="n">
        <v>45900</v>
      </c>
      <c r="D740" t="inlineStr">
        <is>
          <t>JÄMTLANDS LÄN</t>
        </is>
      </c>
      <c r="E740" t="inlineStr">
        <is>
          <t>HÄRJEDALEN</t>
        </is>
      </c>
      <c r="G740" t="n">
        <v>11.3</v>
      </c>
      <c r="H740" t="n">
        <v>0</v>
      </c>
      <c r="I740" t="n">
        <v>0</v>
      </c>
      <c r="J740" t="n">
        <v>0</v>
      </c>
      <c r="K740" t="n">
        <v>0</v>
      </c>
      <c r="L740" t="n">
        <v>0</v>
      </c>
      <c r="M740" t="n">
        <v>0</v>
      </c>
      <c r="N740" t="n">
        <v>0</v>
      </c>
      <c r="O740" t="n">
        <v>0</v>
      </c>
      <c r="P740" t="n">
        <v>0</v>
      </c>
      <c r="Q740" t="n">
        <v>0</v>
      </c>
      <c r="R740" s="2" t="inlineStr"/>
    </row>
    <row r="741" ht="15" customHeight="1">
      <c r="A741" t="inlineStr">
        <is>
          <t>A 7328-2024</t>
        </is>
      </c>
      <c r="B741" s="1" t="n">
        <v>45345</v>
      </c>
      <c r="C741" s="1" t="n">
        <v>45900</v>
      </c>
      <c r="D741" t="inlineStr">
        <is>
          <t>JÄMTLANDS LÄN</t>
        </is>
      </c>
      <c r="E741" t="inlineStr">
        <is>
          <t>HÄRJEDALEN</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45716-2023</t>
        </is>
      </c>
      <c r="B742" s="1" t="n">
        <v>45195.35877314815</v>
      </c>
      <c r="C742" s="1" t="n">
        <v>45900</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45747-2023</t>
        </is>
      </c>
      <c r="B743" s="1" t="n">
        <v>45195.3878125</v>
      </c>
      <c r="C743" s="1" t="n">
        <v>45900</v>
      </c>
      <c r="D743" t="inlineStr">
        <is>
          <t>JÄMTLANDS LÄN</t>
        </is>
      </c>
      <c r="E743" t="inlineStr">
        <is>
          <t>HÄRJEDALEN</t>
        </is>
      </c>
      <c r="G743" t="n">
        <v>1.7</v>
      </c>
      <c r="H743" t="n">
        <v>0</v>
      </c>
      <c r="I743" t="n">
        <v>0</v>
      </c>
      <c r="J743" t="n">
        <v>0</v>
      </c>
      <c r="K743" t="n">
        <v>0</v>
      </c>
      <c r="L743" t="n">
        <v>0</v>
      </c>
      <c r="M743" t="n">
        <v>0</v>
      </c>
      <c r="N743" t="n">
        <v>0</v>
      </c>
      <c r="O743" t="n">
        <v>0</v>
      </c>
      <c r="P743" t="n">
        <v>0</v>
      </c>
      <c r="Q743" t="n">
        <v>0</v>
      </c>
      <c r="R743" s="2" t="inlineStr"/>
    </row>
    <row r="744" ht="15" customHeight="1">
      <c r="A744" t="inlineStr">
        <is>
          <t>A 24494-2024</t>
        </is>
      </c>
      <c r="B744" s="1" t="n">
        <v>45459</v>
      </c>
      <c r="C744" s="1" t="n">
        <v>45900</v>
      </c>
      <c r="D744" t="inlineStr">
        <is>
          <t>JÄMTLANDS LÄN</t>
        </is>
      </c>
      <c r="E744" t="inlineStr">
        <is>
          <t>HÄRJEDALEN</t>
        </is>
      </c>
      <c r="G744" t="n">
        <v>20.1</v>
      </c>
      <c r="H744" t="n">
        <v>0</v>
      </c>
      <c r="I744" t="n">
        <v>0</v>
      </c>
      <c r="J744" t="n">
        <v>0</v>
      </c>
      <c r="K744" t="n">
        <v>0</v>
      </c>
      <c r="L744" t="n">
        <v>0</v>
      </c>
      <c r="M744" t="n">
        <v>0</v>
      </c>
      <c r="N744" t="n">
        <v>0</v>
      </c>
      <c r="O744" t="n">
        <v>0</v>
      </c>
      <c r="P744" t="n">
        <v>0</v>
      </c>
      <c r="Q744" t="n">
        <v>0</v>
      </c>
      <c r="R744" s="2" t="inlineStr"/>
    </row>
    <row r="745" ht="15" customHeight="1">
      <c r="A745" t="inlineStr">
        <is>
          <t>A 16304-2025</t>
        </is>
      </c>
      <c r="B745" s="1" t="n">
        <v>45751.34636574074</v>
      </c>
      <c r="C745" s="1" t="n">
        <v>45900</v>
      </c>
      <c r="D745" t="inlineStr">
        <is>
          <t>JÄMTLANDS LÄN</t>
        </is>
      </c>
      <c r="E745" t="inlineStr">
        <is>
          <t>HÄRJEDALEN</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14204-2025</t>
        </is>
      </c>
      <c r="B746" s="1" t="n">
        <v>45740.57487268518</v>
      </c>
      <c r="C746" s="1" t="n">
        <v>45900</v>
      </c>
      <c r="D746" t="inlineStr">
        <is>
          <t>JÄMTLANDS LÄN</t>
        </is>
      </c>
      <c r="E746" t="inlineStr">
        <is>
          <t>HÄRJEDALEN</t>
        </is>
      </c>
      <c r="F746" t="inlineStr">
        <is>
          <t>Övriga Aktiebolag</t>
        </is>
      </c>
      <c r="G746" t="n">
        <v>10.2</v>
      </c>
      <c r="H746" t="n">
        <v>0</v>
      </c>
      <c r="I746" t="n">
        <v>0</v>
      </c>
      <c r="J746" t="n">
        <v>0</v>
      </c>
      <c r="K746" t="n">
        <v>0</v>
      </c>
      <c r="L746" t="n">
        <v>0</v>
      </c>
      <c r="M746" t="n">
        <v>0</v>
      </c>
      <c r="N746" t="n">
        <v>0</v>
      </c>
      <c r="O746" t="n">
        <v>0</v>
      </c>
      <c r="P746" t="n">
        <v>0</v>
      </c>
      <c r="Q746" t="n">
        <v>0</v>
      </c>
      <c r="R746" s="2" t="inlineStr"/>
    </row>
    <row r="747" ht="15" customHeight="1">
      <c r="A747" t="inlineStr">
        <is>
          <t>A 32910-2022</t>
        </is>
      </c>
      <c r="B747" s="1" t="n">
        <v>44784.60677083334</v>
      </c>
      <c r="C747" s="1" t="n">
        <v>45900</v>
      </c>
      <c r="D747" t="inlineStr">
        <is>
          <t>JÄMTLANDS LÄN</t>
        </is>
      </c>
      <c r="E747" t="inlineStr">
        <is>
          <t>HÄRJEDALEN</t>
        </is>
      </c>
      <c r="F747" t="inlineStr">
        <is>
          <t>Bergvik skog väst AB</t>
        </is>
      </c>
      <c r="G747" t="n">
        <v>14.4</v>
      </c>
      <c r="H747" t="n">
        <v>0</v>
      </c>
      <c r="I747" t="n">
        <v>0</v>
      </c>
      <c r="J747" t="n">
        <v>0</v>
      </c>
      <c r="K747" t="n">
        <v>0</v>
      </c>
      <c r="L747" t="n">
        <v>0</v>
      </c>
      <c r="M747" t="n">
        <v>0</v>
      </c>
      <c r="N747" t="n">
        <v>0</v>
      </c>
      <c r="O747" t="n">
        <v>0</v>
      </c>
      <c r="P747" t="n">
        <v>0</v>
      </c>
      <c r="Q747" t="n">
        <v>0</v>
      </c>
      <c r="R747" s="2" t="inlineStr"/>
    </row>
    <row r="748" ht="15" customHeight="1">
      <c r="A748" t="inlineStr">
        <is>
          <t>A 31294-2025</t>
        </is>
      </c>
      <c r="B748" s="1" t="n">
        <v>45833.36467592593</v>
      </c>
      <c r="C748" s="1" t="n">
        <v>45900</v>
      </c>
      <c r="D748" t="inlineStr">
        <is>
          <t>JÄMTLANDS LÄN</t>
        </is>
      </c>
      <c r="E748" t="inlineStr">
        <is>
          <t>HÄRJEDALEN</t>
        </is>
      </c>
      <c r="F748" t="inlineStr">
        <is>
          <t>Bergvik skog väst AB</t>
        </is>
      </c>
      <c r="G748" t="n">
        <v>22.1</v>
      </c>
      <c r="H748" t="n">
        <v>0</v>
      </c>
      <c r="I748" t="n">
        <v>0</v>
      </c>
      <c r="J748" t="n">
        <v>0</v>
      </c>
      <c r="K748" t="n">
        <v>0</v>
      </c>
      <c r="L748" t="n">
        <v>0</v>
      </c>
      <c r="M748" t="n">
        <v>0</v>
      </c>
      <c r="N748" t="n">
        <v>0</v>
      </c>
      <c r="O748" t="n">
        <v>0</v>
      </c>
      <c r="P748" t="n">
        <v>0</v>
      </c>
      <c r="Q748" t="n">
        <v>0</v>
      </c>
      <c r="R748" s="2" t="inlineStr"/>
    </row>
    <row r="749" ht="15" customHeight="1">
      <c r="A749" t="inlineStr">
        <is>
          <t>A 51017-2023</t>
        </is>
      </c>
      <c r="B749" s="1" t="n">
        <v>45218.58609953704</v>
      </c>
      <c r="C749" s="1" t="n">
        <v>45900</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41711-2022</t>
        </is>
      </c>
      <c r="B750" s="1" t="n">
        <v>44827</v>
      </c>
      <c r="C750" s="1" t="n">
        <v>45900</v>
      </c>
      <c r="D750" t="inlineStr">
        <is>
          <t>JÄMTLANDS LÄN</t>
        </is>
      </c>
      <c r="E750" t="inlineStr">
        <is>
          <t>HÄRJEDALEN</t>
        </is>
      </c>
      <c r="G750" t="n">
        <v>18.3</v>
      </c>
      <c r="H750" t="n">
        <v>0</v>
      </c>
      <c r="I750" t="n">
        <v>0</v>
      </c>
      <c r="J750" t="n">
        <v>0</v>
      </c>
      <c r="K750" t="n">
        <v>0</v>
      </c>
      <c r="L750" t="n">
        <v>0</v>
      </c>
      <c r="M750" t="n">
        <v>0</v>
      </c>
      <c r="N750" t="n">
        <v>0</v>
      </c>
      <c r="O750" t="n">
        <v>0</v>
      </c>
      <c r="P750" t="n">
        <v>0</v>
      </c>
      <c r="Q750" t="n">
        <v>0</v>
      </c>
      <c r="R750" s="2" t="inlineStr"/>
    </row>
    <row r="751" ht="15" customHeight="1">
      <c r="A751" t="inlineStr">
        <is>
          <t>A 16552-2025</t>
        </is>
      </c>
      <c r="B751" s="1" t="n">
        <v>45751.69827546296</v>
      </c>
      <c r="C751" s="1" t="n">
        <v>45900</v>
      </c>
      <c r="D751" t="inlineStr">
        <is>
          <t>JÄMTLANDS LÄN</t>
        </is>
      </c>
      <c r="E751" t="inlineStr">
        <is>
          <t>HÄRJEDALEN</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10483-2025</t>
        </is>
      </c>
      <c r="B752" s="1" t="n">
        <v>45721.33868055556</v>
      </c>
      <c r="C752" s="1" t="n">
        <v>45900</v>
      </c>
      <c r="D752" t="inlineStr">
        <is>
          <t>JÄMTLANDS LÄN</t>
        </is>
      </c>
      <c r="E752" t="inlineStr">
        <is>
          <t>HÄRJEDALEN</t>
        </is>
      </c>
      <c r="G752" t="n">
        <v>5.2</v>
      </c>
      <c r="H752" t="n">
        <v>0</v>
      </c>
      <c r="I752" t="n">
        <v>0</v>
      </c>
      <c r="J752" t="n">
        <v>0</v>
      </c>
      <c r="K752" t="n">
        <v>0</v>
      </c>
      <c r="L752" t="n">
        <v>0</v>
      </c>
      <c r="M752" t="n">
        <v>0</v>
      </c>
      <c r="N752" t="n">
        <v>0</v>
      </c>
      <c r="O752" t="n">
        <v>0</v>
      </c>
      <c r="P752" t="n">
        <v>0</v>
      </c>
      <c r="Q752" t="n">
        <v>0</v>
      </c>
      <c r="R752" s="2" t="inlineStr"/>
    </row>
    <row r="753" ht="15" customHeight="1">
      <c r="A753" t="inlineStr">
        <is>
          <t>A 31522-2025</t>
        </is>
      </c>
      <c r="B753" s="1" t="n">
        <v>45833.6081712963</v>
      </c>
      <c r="C753" s="1" t="n">
        <v>45900</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31526-2025</t>
        </is>
      </c>
      <c r="B754" s="1" t="n">
        <v>45833</v>
      </c>
      <c r="C754" s="1" t="n">
        <v>45900</v>
      </c>
      <c r="D754" t="inlineStr">
        <is>
          <t>JÄMTLANDS LÄN</t>
        </is>
      </c>
      <c r="E754" t="inlineStr">
        <is>
          <t>HÄRJEDALEN</t>
        </is>
      </c>
      <c r="F754" t="inlineStr">
        <is>
          <t>Bergvik skog väst AB</t>
        </is>
      </c>
      <c r="G754" t="n">
        <v>2.3</v>
      </c>
      <c r="H754" t="n">
        <v>0</v>
      </c>
      <c r="I754" t="n">
        <v>0</v>
      </c>
      <c r="J754" t="n">
        <v>0</v>
      </c>
      <c r="K754" t="n">
        <v>0</v>
      </c>
      <c r="L754" t="n">
        <v>0</v>
      </c>
      <c r="M754" t="n">
        <v>0</v>
      </c>
      <c r="N754" t="n">
        <v>0</v>
      </c>
      <c r="O754" t="n">
        <v>0</v>
      </c>
      <c r="P754" t="n">
        <v>0</v>
      </c>
      <c r="Q754" t="n">
        <v>0</v>
      </c>
      <c r="R754" s="2" t="inlineStr"/>
    </row>
    <row r="755" ht="15" customHeight="1">
      <c r="A755" t="inlineStr">
        <is>
          <t>A 37106-2025</t>
        </is>
      </c>
      <c r="B755" s="1" t="n">
        <v>45875.47854166666</v>
      </c>
      <c r="C755" s="1" t="n">
        <v>45900</v>
      </c>
      <c r="D755" t="inlineStr">
        <is>
          <t>JÄMTLANDS LÄN</t>
        </is>
      </c>
      <c r="E755" t="inlineStr">
        <is>
          <t>HÄRJEDALEN</t>
        </is>
      </c>
      <c r="F755" t="inlineStr">
        <is>
          <t>Holmen skog AB</t>
        </is>
      </c>
      <c r="G755" t="n">
        <v>4.3</v>
      </c>
      <c r="H755" t="n">
        <v>0</v>
      </c>
      <c r="I755" t="n">
        <v>0</v>
      </c>
      <c r="J755" t="n">
        <v>0</v>
      </c>
      <c r="K755" t="n">
        <v>0</v>
      </c>
      <c r="L755" t="n">
        <v>0</v>
      </c>
      <c r="M755" t="n">
        <v>0</v>
      </c>
      <c r="N755" t="n">
        <v>0</v>
      </c>
      <c r="O755" t="n">
        <v>0</v>
      </c>
      <c r="P755" t="n">
        <v>0</v>
      </c>
      <c r="Q755" t="n">
        <v>0</v>
      </c>
      <c r="R755" s="2" t="inlineStr"/>
    </row>
    <row r="756" ht="15" customHeight="1">
      <c r="A756" t="inlineStr">
        <is>
          <t>A 31570-2025</t>
        </is>
      </c>
      <c r="B756" s="1" t="n">
        <v>45833</v>
      </c>
      <c r="C756" s="1" t="n">
        <v>45900</v>
      </c>
      <c r="D756" t="inlineStr">
        <is>
          <t>JÄMTLANDS LÄN</t>
        </is>
      </c>
      <c r="E756" t="inlineStr">
        <is>
          <t>HÄRJEDALEN</t>
        </is>
      </c>
      <c r="F756" t="inlineStr">
        <is>
          <t>Bergvik skog väst AB</t>
        </is>
      </c>
      <c r="G756" t="n">
        <v>5.4</v>
      </c>
      <c r="H756" t="n">
        <v>0</v>
      </c>
      <c r="I756" t="n">
        <v>0</v>
      </c>
      <c r="J756" t="n">
        <v>0</v>
      </c>
      <c r="K756" t="n">
        <v>0</v>
      </c>
      <c r="L756" t="n">
        <v>0</v>
      </c>
      <c r="M756" t="n">
        <v>0</v>
      </c>
      <c r="N756" t="n">
        <v>0</v>
      </c>
      <c r="O756" t="n">
        <v>0</v>
      </c>
      <c r="P756" t="n">
        <v>0</v>
      </c>
      <c r="Q756" t="n">
        <v>0</v>
      </c>
      <c r="R756" s="2" t="inlineStr"/>
    </row>
    <row r="757" ht="15" customHeight="1">
      <c r="A757" t="inlineStr">
        <is>
          <t>A 31884-2025</t>
        </is>
      </c>
      <c r="B757" s="1" t="n">
        <v>45834.6568287037</v>
      </c>
      <c r="C757" s="1" t="n">
        <v>45900</v>
      </c>
      <c r="D757" t="inlineStr">
        <is>
          <t>JÄMTLANDS LÄN</t>
        </is>
      </c>
      <c r="E757" t="inlineStr">
        <is>
          <t>HÄRJEDALEN</t>
        </is>
      </c>
      <c r="G757" t="n">
        <v>7.9</v>
      </c>
      <c r="H757" t="n">
        <v>0</v>
      </c>
      <c r="I757" t="n">
        <v>0</v>
      </c>
      <c r="J757" t="n">
        <v>0</v>
      </c>
      <c r="K757" t="n">
        <v>0</v>
      </c>
      <c r="L757" t="n">
        <v>0</v>
      </c>
      <c r="M757" t="n">
        <v>0</v>
      </c>
      <c r="N757" t="n">
        <v>0</v>
      </c>
      <c r="O757" t="n">
        <v>0</v>
      </c>
      <c r="P757" t="n">
        <v>0</v>
      </c>
      <c r="Q757" t="n">
        <v>0</v>
      </c>
      <c r="R757" s="2" t="inlineStr"/>
    </row>
    <row r="758" ht="15" customHeight="1">
      <c r="A758" t="inlineStr">
        <is>
          <t>A 31892-2025</t>
        </is>
      </c>
      <c r="B758" s="1" t="n">
        <v>45834</v>
      </c>
      <c r="C758" s="1" t="n">
        <v>45900</v>
      </c>
      <c r="D758" t="inlineStr">
        <is>
          <t>JÄMTLANDS LÄN</t>
        </is>
      </c>
      <c r="E758" t="inlineStr">
        <is>
          <t>HÄRJEDALEN</t>
        </is>
      </c>
      <c r="G758" t="n">
        <v>13.7</v>
      </c>
      <c r="H758" t="n">
        <v>0</v>
      </c>
      <c r="I758" t="n">
        <v>0</v>
      </c>
      <c r="J758" t="n">
        <v>0</v>
      </c>
      <c r="K758" t="n">
        <v>0</v>
      </c>
      <c r="L758" t="n">
        <v>0</v>
      </c>
      <c r="M758" t="n">
        <v>0</v>
      </c>
      <c r="N758" t="n">
        <v>0</v>
      </c>
      <c r="O758" t="n">
        <v>0</v>
      </c>
      <c r="P758" t="n">
        <v>0</v>
      </c>
      <c r="Q758" t="n">
        <v>0</v>
      </c>
      <c r="R758" s="2" t="inlineStr"/>
    </row>
    <row r="759" ht="15" customHeight="1">
      <c r="A759" t="inlineStr">
        <is>
          <t>A 31911-2025</t>
        </is>
      </c>
      <c r="B759" s="1" t="n">
        <v>45834</v>
      </c>
      <c r="C759" s="1" t="n">
        <v>45900</v>
      </c>
      <c r="D759" t="inlineStr">
        <is>
          <t>JÄMTLANDS LÄN</t>
        </is>
      </c>
      <c r="E759" t="inlineStr">
        <is>
          <t>HÄRJEDALEN</t>
        </is>
      </c>
      <c r="F759" t="inlineStr">
        <is>
          <t>Övriga Aktiebolag</t>
        </is>
      </c>
      <c r="G759" t="n">
        <v>4.3</v>
      </c>
      <c r="H759" t="n">
        <v>0</v>
      </c>
      <c r="I759" t="n">
        <v>0</v>
      </c>
      <c r="J759" t="n">
        <v>0</v>
      </c>
      <c r="K759" t="n">
        <v>0</v>
      </c>
      <c r="L759" t="n">
        <v>0</v>
      </c>
      <c r="M759" t="n">
        <v>0</v>
      </c>
      <c r="N759" t="n">
        <v>0</v>
      </c>
      <c r="O759" t="n">
        <v>0</v>
      </c>
      <c r="P759" t="n">
        <v>0</v>
      </c>
      <c r="Q759" t="n">
        <v>0</v>
      </c>
      <c r="R759" s="2" t="inlineStr"/>
    </row>
    <row r="760" ht="15" customHeight="1">
      <c r="A760" t="inlineStr">
        <is>
          <t>A 31913-2025</t>
        </is>
      </c>
      <c r="B760" s="1" t="n">
        <v>45834.7087962963</v>
      </c>
      <c r="C760" s="1" t="n">
        <v>45900</v>
      </c>
      <c r="D760" t="inlineStr">
        <is>
          <t>JÄMTLANDS LÄN</t>
        </is>
      </c>
      <c r="E760" t="inlineStr">
        <is>
          <t>HÄRJEDALEN</t>
        </is>
      </c>
      <c r="G760" t="n">
        <v>0.3</v>
      </c>
      <c r="H760" t="n">
        <v>0</v>
      </c>
      <c r="I760" t="n">
        <v>0</v>
      </c>
      <c r="J760" t="n">
        <v>0</v>
      </c>
      <c r="K760" t="n">
        <v>0</v>
      </c>
      <c r="L760" t="n">
        <v>0</v>
      </c>
      <c r="M760" t="n">
        <v>0</v>
      </c>
      <c r="N760" t="n">
        <v>0</v>
      </c>
      <c r="O760" t="n">
        <v>0</v>
      </c>
      <c r="P760" t="n">
        <v>0</v>
      </c>
      <c r="Q760" t="n">
        <v>0</v>
      </c>
      <c r="R760" s="2" t="inlineStr"/>
    </row>
    <row r="761" ht="15" customHeight="1">
      <c r="A761" t="inlineStr">
        <is>
          <t>A 37281-2025</t>
        </is>
      </c>
      <c r="B761" s="1" t="n">
        <v>45876.49113425926</v>
      </c>
      <c r="C761" s="1" t="n">
        <v>45900</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46058-2024</t>
        </is>
      </c>
      <c r="B762" s="1" t="n">
        <v>45580.92037037037</v>
      </c>
      <c r="C762" s="1" t="n">
        <v>45900</v>
      </c>
      <c r="D762" t="inlineStr">
        <is>
          <t>JÄMTLANDS LÄN</t>
        </is>
      </c>
      <c r="E762" t="inlineStr">
        <is>
          <t>HÄRJEDALEN</t>
        </is>
      </c>
      <c r="G762" t="n">
        <v>7.5</v>
      </c>
      <c r="H762" t="n">
        <v>0</v>
      </c>
      <c r="I762" t="n">
        <v>0</v>
      </c>
      <c r="J762" t="n">
        <v>0</v>
      </c>
      <c r="K762" t="n">
        <v>0</v>
      </c>
      <c r="L762" t="n">
        <v>0</v>
      </c>
      <c r="M762" t="n">
        <v>0</v>
      </c>
      <c r="N762" t="n">
        <v>0</v>
      </c>
      <c r="O762" t="n">
        <v>0</v>
      </c>
      <c r="P762" t="n">
        <v>0</v>
      </c>
      <c r="Q762" t="n">
        <v>0</v>
      </c>
      <c r="R762" s="2" t="inlineStr"/>
    </row>
    <row r="763" ht="15" customHeight="1">
      <c r="A763" t="inlineStr">
        <is>
          <t>A 27512-2024</t>
        </is>
      </c>
      <c r="B763" s="1" t="n">
        <v>45474.54432870371</v>
      </c>
      <c r="C763" s="1" t="n">
        <v>45900</v>
      </c>
      <c r="D763" t="inlineStr">
        <is>
          <t>JÄMTLANDS LÄN</t>
        </is>
      </c>
      <c r="E763" t="inlineStr">
        <is>
          <t>HÄRJEDALEN</t>
        </is>
      </c>
      <c r="G763" t="n">
        <v>19.3</v>
      </c>
      <c r="H763" t="n">
        <v>0</v>
      </c>
      <c r="I763" t="n">
        <v>0</v>
      </c>
      <c r="J763" t="n">
        <v>0</v>
      </c>
      <c r="K763" t="n">
        <v>0</v>
      </c>
      <c r="L763" t="n">
        <v>0</v>
      </c>
      <c r="M763" t="n">
        <v>0</v>
      </c>
      <c r="N763" t="n">
        <v>0</v>
      </c>
      <c r="O763" t="n">
        <v>0</v>
      </c>
      <c r="P763" t="n">
        <v>0</v>
      </c>
      <c r="Q763" t="n">
        <v>0</v>
      </c>
      <c r="R763" s="2" t="inlineStr"/>
    </row>
    <row r="764" ht="15" customHeight="1">
      <c r="A764" t="inlineStr">
        <is>
          <t>A 14798-2021</t>
        </is>
      </c>
      <c r="B764" s="1" t="n">
        <v>44280</v>
      </c>
      <c r="C764" s="1" t="n">
        <v>45900</v>
      </c>
      <c r="D764" t="inlineStr">
        <is>
          <t>JÄMTLANDS LÄN</t>
        </is>
      </c>
      <c r="E764" t="inlineStr">
        <is>
          <t>HÄRJEDALEN</t>
        </is>
      </c>
      <c r="G764" t="n">
        <v>2.6</v>
      </c>
      <c r="H764" t="n">
        <v>0</v>
      </c>
      <c r="I764" t="n">
        <v>0</v>
      </c>
      <c r="J764" t="n">
        <v>0</v>
      </c>
      <c r="K764" t="n">
        <v>0</v>
      </c>
      <c r="L764" t="n">
        <v>0</v>
      </c>
      <c r="M764" t="n">
        <v>0</v>
      </c>
      <c r="N764" t="n">
        <v>0</v>
      </c>
      <c r="O764" t="n">
        <v>0</v>
      </c>
      <c r="P764" t="n">
        <v>0</v>
      </c>
      <c r="Q764" t="n">
        <v>0</v>
      </c>
      <c r="R764" s="2" t="inlineStr"/>
    </row>
    <row r="765" ht="15" customHeight="1">
      <c r="A765" t="inlineStr">
        <is>
          <t>A 32180-2025</t>
        </is>
      </c>
      <c r="B765" s="1" t="n">
        <v>45835.55998842593</v>
      </c>
      <c r="C765" s="1" t="n">
        <v>45900</v>
      </c>
      <c r="D765" t="inlineStr">
        <is>
          <t>JÄMTLANDS LÄN</t>
        </is>
      </c>
      <c r="E765" t="inlineStr">
        <is>
          <t>HÄRJEDALEN</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31921-2025</t>
        </is>
      </c>
      <c r="B766" s="1" t="n">
        <v>45834.80229166667</v>
      </c>
      <c r="C766" s="1" t="n">
        <v>45900</v>
      </c>
      <c r="D766" t="inlineStr">
        <is>
          <t>JÄMTLANDS LÄN</t>
        </is>
      </c>
      <c r="E766" t="inlineStr">
        <is>
          <t>HÄRJEDALEN</t>
        </is>
      </c>
      <c r="G766" t="n">
        <v>2.9</v>
      </c>
      <c r="H766" t="n">
        <v>0</v>
      </c>
      <c r="I766" t="n">
        <v>0</v>
      </c>
      <c r="J766" t="n">
        <v>0</v>
      </c>
      <c r="K766" t="n">
        <v>0</v>
      </c>
      <c r="L766" t="n">
        <v>0</v>
      </c>
      <c r="M766" t="n">
        <v>0</v>
      </c>
      <c r="N766" t="n">
        <v>0</v>
      </c>
      <c r="O766" t="n">
        <v>0</v>
      </c>
      <c r="P766" t="n">
        <v>0</v>
      </c>
      <c r="Q766" t="n">
        <v>0</v>
      </c>
      <c r="R766" s="2" t="inlineStr"/>
    </row>
    <row r="767" ht="15" customHeight="1">
      <c r="A767" t="inlineStr">
        <is>
          <t>A 24426-2022</t>
        </is>
      </c>
      <c r="B767" s="1" t="n">
        <v>44726</v>
      </c>
      <c r="C767" s="1" t="n">
        <v>45900</v>
      </c>
      <c r="D767" t="inlineStr">
        <is>
          <t>JÄMTLANDS LÄN</t>
        </is>
      </c>
      <c r="E767" t="inlineStr">
        <is>
          <t>HÄRJEDALEN</t>
        </is>
      </c>
      <c r="G767" t="n">
        <v>1.5</v>
      </c>
      <c r="H767" t="n">
        <v>0</v>
      </c>
      <c r="I767" t="n">
        <v>0</v>
      </c>
      <c r="J767" t="n">
        <v>0</v>
      </c>
      <c r="K767" t="n">
        <v>0</v>
      </c>
      <c r="L767" t="n">
        <v>0</v>
      </c>
      <c r="M767" t="n">
        <v>0</v>
      </c>
      <c r="N767" t="n">
        <v>0</v>
      </c>
      <c r="O767" t="n">
        <v>0</v>
      </c>
      <c r="P767" t="n">
        <v>0</v>
      </c>
      <c r="Q767" t="n">
        <v>0</v>
      </c>
      <c r="R767" s="2" t="inlineStr"/>
    </row>
    <row r="768" ht="15" customHeight="1">
      <c r="A768" t="inlineStr">
        <is>
          <t>A 32178-2025</t>
        </is>
      </c>
      <c r="B768" s="1" t="n">
        <v>45835.5583912037</v>
      </c>
      <c r="C768" s="1" t="n">
        <v>45900</v>
      </c>
      <c r="D768" t="inlineStr">
        <is>
          <t>JÄMTLANDS LÄN</t>
        </is>
      </c>
      <c r="E768" t="inlineStr">
        <is>
          <t>HÄRJEDALEN</t>
        </is>
      </c>
      <c r="F768" t="inlineStr">
        <is>
          <t>Sveaskog</t>
        </is>
      </c>
      <c r="G768" t="n">
        <v>1.9</v>
      </c>
      <c r="H768" t="n">
        <v>0</v>
      </c>
      <c r="I768" t="n">
        <v>0</v>
      </c>
      <c r="J768" t="n">
        <v>0</v>
      </c>
      <c r="K768" t="n">
        <v>0</v>
      </c>
      <c r="L768" t="n">
        <v>0</v>
      </c>
      <c r="M768" t="n">
        <v>0</v>
      </c>
      <c r="N768" t="n">
        <v>0</v>
      </c>
      <c r="O768" t="n">
        <v>0</v>
      </c>
      <c r="P768" t="n">
        <v>0</v>
      </c>
      <c r="Q768" t="n">
        <v>0</v>
      </c>
      <c r="R768" s="2" t="inlineStr"/>
    </row>
    <row r="769" ht="15" customHeight="1">
      <c r="A769" t="inlineStr">
        <is>
          <t>A 41146-2021</t>
        </is>
      </c>
      <c r="B769" s="1" t="n">
        <v>44423</v>
      </c>
      <c r="C769" s="1" t="n">
        <v>45900</v>
      </c>
      <c r="D769" t="inlineStr">
        <is>
          <t>JÄMTLANDS LÄN</t>
        </is>
      </c>
      <c r="E769" t="inlineStr">
        <is>
          <t>HÄRJEDALEN</t>
        </is>
      </c>
      <c r="G769" t="n">
        <v>14.9</v>
      </c>
      <c r="H769" t="n">
        <v>0</v>
      </c>
      <c r="I769" t="n">
        <v>0</v>
      </c>
      <c r="J769" t="n">
        <v>0</v>
      </c>
      <c r="K769" t="n">
        <v>0</v>
      </c>
      <c r="L769" t="n">
        <v>0</v>
      </c>
      <c r="M769" t="n">
        <v>0</v>
      </c>
      <c r="N769" t="n">
        <v>0</v>
      </c>
      <c r="O769" t="n">
        <v>0</v>
      </c>
      <c r="P769" t="n">
        <v>0</v>
      </c>
      <c r="Q769" t="n">
        <v>0</v>
      </c>
      <c r="R769" s="2" t="inlineStr"/>
    </row>
    <row r="770" ht="15" customHeight="1">
      <c r="A770" t="inlineStr">
        <is>
          <t>A 55661-2024</t>
        </is>
      </c>
      <c r="B770" s="1" t="n">
        <v>45622.64012731481</v>
      </c>
      <c r="C770" s="1" t="n">
        <v>45900</v>
      </c>
      <c r="D770" t="inlineStr">
        <is>
          <t>JÄMTLANDS LÄN</t>
        </is>
      </c>
      <c r="E770" t="inlineStr">
        <is>
          <t>HÄRJEDALEN</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28627-2024</t>
        </is>
      </c>
      <c r="B771" s="1" t="n">
        <v>45478.44497685185</v>
      </c>
      <c r="C771" s="1" t="n">
        <v>45900</v>
      </c>
      <c r="D771" t="inlineStr">
        <is>
          <t>JÄMTLANDS LÄN</t>
        </is>
      </c>
      <c r="E771" t="inlineStr">
        <is>
          <t>HÄRJEDALEN</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37571-2025</t>
        </is>
      </c>
      <c r="B772" s="1" t="n">
        <v>45880.37472222222</v>
      </c>
      <c r="C772" s="1" t="n">
        <v>45900</v>
      </c>
      <c r="D772" t="inlineStr">
        <is>
          <t>JÄMTLANDS LÄN</t>
        </is>
      </c>
      <c r="E772" t="inlineStr">
        <is>
          <t>HÄRJEDALEN</t>
        </is>
      </c>
      <c r="G772" t="n">
        <v>2.7</v>
      </c>
      <c r="H772" t="n">
        <v>0</v>
      </c>
      <c r="I772" t="n">
        <v>0</v>
      </c>
      <c r="J772" t="n">
        <v>0</v>
      </c>
      <c r="K772" t="n">
        <v>0</v>
      </c>
      <c r="L772" t="n">
        <v>0</v>
      </c>
      <c r="M772" t="n">
        <v>0</v>
      </c>
      <c r="N772" t="n">
        <v>0</v>
      </c>
      <c r="O772" t="n">
        <v>0</v>
      </c>
      <c r="P772" t="n">
        <v>0</v>
      </c>
      <c r="Q772" t="n">
        <v>0</v>
      </c>
      <c r="R772" s="2" t="inlineStr"/>
    </row>
    <row r="773" ht="15" customHeight="1">
      <c r="A773" t="inlineStr">
        <is>
          <t>A 32190-2025</t>
        </is>
      </c>
      <c r="B773" s="1" t="n">
        <v>45835.57069444445</v>
      </c>
      <c r="C773" s="1" t="n">
        <v>45900</v>
      </c>
      <c r="D773" t="inlineStr">
        <is>
          <t>JÄMTLANDS LÄN</t>
        </is>
      </c>
      <c r="E773" t="inlineStr">
        <is>
          <t>HÄRJEDALEN</t>
        </is>
      </c>
      <c r="G773" t="n">
        <v>6.4</v>
      </c>
      <c r="H773" t="n">
        <v>0</v>
      </c>
      <c r="I773" t="n">
        <v>0</v>
      </c>
      <c r="J773" t="n">
        <v>0</v>
      </c>
      <c r="K773" t="n">
        <v>0</v>
      </c>
      <c r="L773" t="n">
        <v>0</v>
      </c>
      <c r="M773" t="n">
        <v>0</v>
      </c>
      <c r="N773" t="n">
        <v>0</v>
      </c>
      <c r="O773" t="n">
        <v>0</v>
      </c>
      <c r="P773" t="n">
        <v>0</v>
      </c>
      <c r="Q773" t="n">
        <v>0</v>
      </c>
      <c r="R773" s="2" t="inlineStr"/>
    </row>
    <row r="774" ht="15" customHeight="1">
      <c r="A774" t="inlineStr">
        <is>
          <t>A 67821-2020</t>
        </is>
      </c>
      <c r="B774" s="1" t="n">
        <v>44182</v>
      </c>
      <c r="C774" s="1" t="n">
        <v>45900</v>
      </c>
      <c r="D774" t="inlineStr">
        <is>
          <t>JÄMTLANDS LÄN</t>
        </is>
      </c>
      <c r="E774" t="inlineStr">
        <is>
          <t>HÄRJEDALEN</t>
        </is>
      </c>
      <c r="G774" t="n">
        <v>0.6</v>
      </c>
      <c r="H774" t="n">
        <v>0</v>
      </c>
      <c r="I774" t="n">
        <v>0</v>
      </c>
      <c r="J774" t="n">
        <v>0</v>
      </c>
      <c r="K774" t="n">
        <v>0</v>
      </c>
      <c r="L774" t="n">
        <v>0</v>
      </c>
      <c r="M774" t="n">
        <v>0</v>
      </c>
      <c r="N774" t="n">
        <v>0</v>
      </c>
      <c r="O774" t="n">
        <v>0</v>
      </c>
      <c r="P774" t="n">
        <v>0</v>
      </c>
      <c r="Q774" t="n">
        <v>0</v>
      </c>
      <c r="R774" s="2" t="inlineStr"/>
    </row>
    <row r="775" ht="15" customHeight="1">
      <c r="A775" t="inlineStr">
        <is>
          <t>A 16014-2022</t>
        </is>
      </c>
      <c r="B775" s="1" t="n">
        <v>44665</v>
      </c>
      <c r="C775" s="1" t="n">
        <v>45900</v>
      </c>
      <c r="D775" t="inlineStr">
        <is>
          <t>JÄMTLANDS LÄN</t>
        </is>
      </c>
      <c r="E775" t="inlineStr">
        <is>
          <t>HÄRJEDALEN</t>
        </is>
      </c>
      <c r="G775" t="n">
        <v>38.7</v>
      </c>
      <c r="H775" t="n">
        <v>0</v>
      </c>
      <c r="I775" t="n">
        <v>0</v>
      </c>
      <c r="J775" t="n">
        <v>0</v>
      </c>
      <c r="K775" t="n">
        <v>0</v>
      </c>
      <c r="L775" t="n">
        <v>0</v>
      </c>
      <c r="M775" t="n">
        <v>0</v>
      </c>
      <c r="N775" t="n">
        <v>0</v>
      </c>
      <c r="O775" t="n">
        <v>0</v>
      </c>
      <c r="P775" t="n">
        <v>0</v>
      </c>
      <c r="Q775" t="n">
        <v>0</v>
      </c>
      <c r="R775" s="2" t="inlineStr"/>
    </row>
    <row r="776" ht="15" customHeight="1">
      <c r="A776" t="inlineStr">
        <is>
          <t>A 41094-2023</t>
        </is>
      </c>
      <c r="B776" s="1" t="n">
        <v>45173</v>
      </c>
      <c r="C776" s="1" t="n">
        <v>45900</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32841-2025</t>
        </is>
      </c>
      <c r="B777" s="1" t="n">
        <v>45839.5658912037</v>
      </c>
      <c r="C777" s="1" t="n">
        <v>45900</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55496-2024</t>
        </is>
      </c>
      <c r="B778" s="1" t="n">
        <v>45622.45239583333</v>
      </c>
      <c r="C778" s="1" t="n">
        <v>45900</v>
      </c>
      <c r="D778" t="inlineStr">
        <is>
          <t>JÄMTLANDS LÄN</t>
        </is>
      </c>
      <c r="E778" t="inlineStr">
        <is>
          <t>HÄRJEDALEN</t>
        </is>
      </c>
      <c r="F778" t="inlineStr">
        <is>
          <t>Bergvik skog väst AB</t>
        </is>
      </c>
      <c r="G778" t="n">
        <v>19.2</v>
      </c>
      <c r="H778" t="n">
        <v>0</v>
      </c>
      <c r="I778" t="n">
        <v>0</v>
      </c>
      <c r="J778" t="n">
        <v>0</v>
      </c>
      <c r="K778" t="n">
        <v>0</v>
      </c>
      <c r="L778" t="n">
        <v>0</v>
      </c>
      <c r="M778" t="n">
        <v>0</v>
      </c>
      <c r="N778" t="n">
        <v>0</v>
      </c>
      <c r="O778" t="n">
        <v>0</v>
      </c>
      <c r="P778" t="n">
        <v>0</v>
      </c>
      <c r="Q778" t="n">
        <v>0</v>
      </c>
      <c r="R778" s="2" t="inlineStr"/>
    </row>
    <row r="779" ht="15" customHeight="1">
      <c r="A779" t="inlineStr">
        <is>
          <t>A 59462-2024</t>
        </is>
      </c>
      <c r="B779" s="1" t="n">
        <v>45638</v>
      </c>
      <c r="C779" s="1" t="n">
        <v>45900</v>
      </c>
      <c r="D779" t="inlineStr">
        <is>
          <t>JÄMTLANDS LÄN</t>
        </is>
      </c>
      <c r="E779" t="inlineStr">
        <is>
          <t>HÄRJEDALEN</t>
        </is>
      </c>
      <c r="F779" t="inlineStr">
        <is>
          <t>Holmen skog AB</t>
        </is>
      </c>
      <c r="G779" t="n">
        <v>9.6</v>
      </c>
      <c r="H779" t="n">
        <v>0</v>
      </c>
      <c r="I779" t="n">
        <v>0</v>
      </c>
      <c r="J779" t="n">
        <v>0</v>
      </c>
      <c r="K779" t="n">
        <v>0</v>
      </c>
      <c r="L779" t="n">
        <v>0</v>
      </c>
      <c r="M779" t="n">
        <v>0</v>
      </c>
      <c r="N779" t="n">
        <v>0</v>
      </c>
      <c r="O779" t="n">
        <v>0</v>
      </c>
      <c r="P779" t="n">
        <v>0</v>
      </c>
      <c r="Q779" t="n">
        <v>0</v>
      </c>
      <c r="R779" s="2" t="inlineStr"/>
    </row>
    <row r="780" ht="15" customHeight="1">
      <c r="A780" t="inlineStr">
        <is>
          <t>A 37865-2025</t>
        </is>
      </c>
      <c r="B780" s="1" t="n">
        <v>45881.46869212963</v>
      </c>
      <c r="C780" s="1" t="n">
        <v>45900</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51191-2024</t>
        </is>
      </c>
      <c r="B781" s="1" t="n">
        <v>45603</v>
      </c>
      <c r="C781" s="1" t="n">
        <v>45900</v>
      </c>
      <c r="D781" t="inlineStr">
        <is>
          <t>JÄMTLANDS LÄN</t>
        </is>
      </c>
      <c r="E781" t="inlineStr">
        <is>
          <t>HÄRJEDALEN</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11096-2025</t>
        </is>
      </c>
      <c r="B782" s="1" t="n">
        <v>45723.58140046296</v>
      </c>
      <c r="C782" s="1" t="n">
        <v>45900</v>
      </c>
      <c r="D782" t="inlineStr">
        <is>
          <t>JÄMTLANDS LÄN</t>
        </is>
      </c>
      <c r="E782" t="inlineStr">
        <is>
          <t>HÄRJEDALEN</t>
        </is>
      </c>
      <c r="G782" t="n">
        <v>3.3</v>
      </c>
      <c r="H782" t="n">
        <v>0</v>
      </c>
      <c r="I782" t="n">
        <v>0</v>
      </c>
      <c r="J782" t="n">
        <v>0</v>
      </c>
      <c r="K782" t="n">
        <v>0</v>
      </c>
      <c r="L782" t="n">
        <v>0</v>
      </c>
      <c r="M782" t="n">
        <v>0</v>
      </c>
      <c r="N782" t="n">
        <v>0</v>
      </c>
      <c r="O782" t="n">
        <v>0</v>
      </c>
      <c r="P782" t="n">
        <v>0</v>
      </c>
      <c r="Q782" t="n">
        <v>0</v>
      </c>
      <c r="R782" s="2" t="inlineStr"/>
    </row>
    <row r="783" ht="15" customHeight="1">
      <c r="A783" t="inlineStr">
        <is>
          <t>A 29772-2023</t>
        </is>
      </c>
      <c r="B783" s="1" t="n">
        <v>45107</v>
      </c>
      <c r="C783" s="1" t="n">
        <v>45900</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53010-2024</t>
        </is>
      </c>
      <c r="B784" s="1" t="n">
        <v>45611.4021875</v>
      </c>
      <c r="C784" s="1" t="n">
        <v>45900</v>
      </c>
      <c r="D784" t="inlineStr">
        <is>
          <t>JÄMTLANDS LÄN</t>
        </is>
      </c>
      <c r="E784" t="inlineStr">
        <is>
          <t>HÄRJEDALEN</t>
        </is>
      </c>
      <c r="G784" t="n">
        <v>4</v>
      </c>
      <c r="H784" t="n">
        <v>0</v>
      </c>
      <c r="I784" t="n">
        <v>0</v>
      </c>
      <c r="J784" t="n">
        <v>0</v>
      </c>
      <c r="K784" t="n">
        <v>0</v>
      </c>
      <c r="L784" t="n">
        <v>0</v>
      </c>
      <c r="M784" t="n">
        <v>0</v>
      </c>
      <c r="N784" t="n">
        <v>0</v>
      </c>
      <c r="O784" t="n">
        <v>0</v>
      </c>
      <c r="P784" t="n">
        <v>0</v>
      </c>
      <c r="Q784" t="n">
        <v>0</v>
      </c>
      <c r="R784" s="2" t="inlineStr"/>
    </row>
    <row r="785" ht="15" customHeight="1">
      <c r="A785" t="inlineStr">
        <is>
          <t>A 55867-2024</t>
        </is>
      </c>
      <c r="B785" s="1" t="n">
        <v>45622</v>
      </c>
      <c r="C785" s="1" t="n">
        <v>45900</v>
      </c>
      <c r="D785" t="inlineStr">
        <is>
          <t>JÄMTLANDS LÄN</t>
        </is>
      </c>
      <c r="E785" t="inlineStr">
        <is>
          <t>HÄRJEDALEN</t>
        </is>
      </c>
      <c r="F785" t="inlineStr">
        <is>
          <t>Bergvik skog väst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37963-2025</t>
        </is>
      </c>
      <c r="B786" s="1" t="n">
        <v>45881.6609375</v>
      </c>
      <c r="C786" s="1" t="n">
        <v>45900</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54682-2024</t>
        </is>
      </c>
      <c r="B787" s="1" t="n">
        <v>45618</v>
      </c>
      <c r="C787" s="1" t="n">
        <v>45900</v>
      </c>
      <c r="D787" t="inlineStr">
        <is>
          <t>JÄMTLANDS LÄN</t>
        </is>
      </c>
      <c r="E787" t="inlineStr">
        <is>
          <t>HÄRJEDALEN</t>
        </is>
      </c>
      <c r="G787" t="n">
        <v>14.2</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45900</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37808-2025</t>
        </is>
      </c>
      <c r="B789" s="1" t="n">
        <v>45881.36469907407</v>
      </c>
      <c r="C789" s="1" t="n">
        <v>45900</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5273-2021</t>
        </is>
      </c>
      <c r="B790" s="1" t="n">
        <v>44229</v>
      </c>
      <c r="C790" s="1" t="n">
        <v>45900</v>
      </c>
      <c r="D790" t="inlineStr">
        <is>
          <t>JÄMTLANDS LÄN</t>
        </is>
      </c>
      <c r="E790" t="inlineStr">
        <is>
          <t>HÄRJEDALEN</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5283-2021</t>
        </is>
      </c>
      <c r="B791" s="1" t="n">
        <v>44225</v>
      </c>
      <c r="C791" s="1" t="n">
        <v>45900</v>
      </c>
      <c r="D791" t="inlineStr">
        <is>
          <t>JÄMTLANDS LÄN</t>
        </is>
      </c>
      <c r="E791" t="inlineStr">
        <is>
          <t>HÄRJEDALEN</t>
        </is>
      </c>
      <c r="G791" t="n">
        <v>20</v>
      </c>
      <c r="H791" t="n">
        <v>0</v>
      </c>
      <c r="I791" t="n">
        <v>0</v>
      </c>
      <c r="J791" t="n">
        <v>0</v>
      </c>
      <c r="K791" t="n">
        <v>0</v>
      </c>
      <c r="L791" t="n">
        <v>0</v>
      </c>
      <c r="M791" t="n">
        <v>0</v>
      </c>
      <c r="N791" t="n">
        <v>0</v>
      </c>
      <c r="O791" t="n">
        <v>0</v>
      </c>
      <c r="P791" t="n">
        <v>0</v>
      </c>
      <c r="Q791" t="n">
        <v>0</v>
      </c>
      <c r="R791" s="2" t="inlineStr"/>
    </row>
    <row r="792" ht="15" customHeight="1">
      <c r="A792" t="inlineStr">
        <is>
          <t>A 38183-2025</t>
        </is>
      </c>
      <c r="B792" s="1" t="n">
        <v>45882.64755787037</v>
      </c>
      <c r="C792" s="1" t="n">
        <v>45900</v>
      </c>
      <c r="D792" t="inlineStr">
        <is>
          <t>JÄMTLANDS LÄN</t>
        </is>
      </c>
      <c r="E792" t="inlineStr">
        <is>
          <t>HÄRJEDALEN</t>
        </is>
      </c>
      <c r="F792" t="inlineStr">
        <is>
          <t>Bergvik skog väst AB</t>
        </is>
      </c>
      <c r="G792" t="n">
        <v>30.9</v>
      </c>
      <c r="H792" t="n">
        <v>0</v>
      </c>
      <c r="I792" t="n">
        <v>0</v>
      </c>
      <c r="J792" t="n">
        <v>0</v>
      </c>
      <c r="K792" t="n">
        <v>0</v>
      </c>
      <c r="L792" t="n">
        <v>0</v>
      </c>
      <c r="M792" t="n">
        <v>0</v>
      </c>
      <c r="N792" t="n">
        <v>0</v>
      </c>
      <c r="O792" t="n">
        <v>0</v>
      </c>
      <c r="P792" t="n">
        <v>0</v>
      </c>
      <c r="Q792" t="n">
        <v>0</v>
      </c>
      <c r="R792" s="2" t="inlineStr"/>
    </row>
    <row r="793" ht="15" customHeight="1">
      <c r="A793" t="inlineStr">
        <is>
          <t>A 37957-2025</t>
        </is>
      </c>
      <c r="B793" s="1" t="n">
        <v>45881.64365740741</v>
      </c>
      <c r="C793" s="1" t="n">
        <v>45900</v>
      </c>
      <c r="D793" t="inlineStr">
        <is>
          <t>JÄMTLANDS LÄN</t>
        </is>
      </c>
      <c r="E793" t="inlineStr">
        <is>
          <t>HÄRJEDALEN</t>
        </is>
      </c>
      <c r="G793" t="n">
        <v>4.2</v>
      </c>
      <c r="H793" t="n">
        <v>0</v>
      </c>
      <c r="I793" t="n">
        <v>0</v>
      </c>
      <c r="J793" t="n">
        <v>0</v>
      </c>
      <c r="K793" t="n">
        <v>0</v>
      </c>
      <c r="L793" t="n">
        <v>0</v>
      </c>
      <c r="M793" t="n">
        <v>0</v>
      </c>
      <c r="N793" t="n">
        <v>0</v>
      </c>
      <c r="O793" t="n">
        <v>0</v>
      </c>
      <c r="P793" t="n">
        <v>0</v>
      </c>
      <c r="Q793" t="n">
        <v>0</v>
      </c>
      <c r="R793" s="2" t="inlineStr"/>
    </row>
    <row r="794" ht="15" customHeight="1">
      <c r="A794" t="inlineStr">
        <is>
          <t>A 33235-2025</t>
        </is>
      </c>
      <c r="B794" s="1" t="n">
        <v>45840.64394675926</v>
      </c>
      <c r="C794" s="1" t="n">
        <v>45900</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38169-2025</t>
        </is>
      </c>
      <c r="B795" s="1" t="n">
        <v>45882.63179398148</v>
      </c>
      <c r="C795" s="1" t="n">
        <v>45900</v>
      </c>
      <c r="D795" t="inlineStr">
        <is>
          <t>JÄMTLANDS LÄN</t>
        </is>
      </c>
      <c r="E795" t="inlineStr">
        <is>
          <t>HÄRJEDALEN</t>
        </is>
      </c>
      <c r="F795" t="inlineStr">
        <is>
          <t>Bergvik skog väst AB</t>
        </is>
      </c>
      <c r="G795" t="n">
        <v>18.4</v>
      </c>
      <c r="H795" t="n">
        <v>0</v>
      </c>
      <c r="I795" t="n">
        <v>0</v>
      </c>
      <c r="J795" t="n">
        <v>0</v>
      </c>
      <c r="K795" t="n">
        <v>0</v>
      </c>
      <c r="L795" t="n">
        <v>0</v>
      </c>
      <c r="M795" t="n">
        <v>0</v>
      </c>
      <c r="N795" t="n">
        <v>0</v>
      </c>
      <c r="O795" t="n">
        <v>0</v>
      </c>
      <c r="P795" t="n">
        <v>0</v>
      </c>
      <c r="Q795" t="n">
        <v>0</v>
      </c>
      <c r="R795" s="2" t="inlineStr"/>
    </row>
    <row r="796" ht="15" customHeight="1">
      <c r="A796" t="inlineStr">
        <is>
          <t>A 37839-2025</t>
        </is>
      </c>
      <c r="B796" s="1" t="n">
        <v>45881.43114583333</v>
      </c>
      <c r="C796" s="1" t="n">
        <v>45900</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45841.69273148148</v>
      </c>
      <c r="C797" s="1" t="n">
        <v>45900</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33447-2025</t>
        </is>
      </c>
      <c r="B798" s="1" t="n">
        <v>45841.46512731481</v>
      </c>
      <c r="C798" s="1" t="n">
        <v>45900</v>
      </c>
      <c r="D798" t="inlineStr">
        <is>
          <t>JÄMTLANDS LÄN</t>
        </is>
      </c>
      <c r="E798" t="inlineStr">
        <is>
          <t>HÄRJEDALEN</t>
        </is>
      </c>
      <c r="F798" t="inlineStr">
        <is>
          <t>Bergvik skog väst AB</t>
        </is>
      </c>
      <c r="G798" t="n">
        <v>3.5</v>
      </c>
      <c r="H798" t="n">
        <v>0</v>
      </c>
      <c r="I798" t="n">
        <v>0</v>
      </c>
      <c r="J798" t="n">
        <v>0</v>
      </c>
      <c r="K798" t="n">
        <v>0</v>
      </c>
      <c r="L798" t="n">
        <v>0</v>
      </c>
      <c r="M798" t="n">
        <v>0</v>
      </c>
      <c r="N798" t="n">
        <v>0</v>
      </c>
      <c r="O798" t="n">
        <v>0</v>
      </c>
      <c r="P798" t="n">
        <v>0</v>
      </c>
      <c r="Q798" t="n">
        <v>0</v>
      </c>
      <c r="R798" s="2" t="inlineStr"/>
    </row>
    <row r="799" ht="15" customHeight="1">
      <c r="A799" t="inlineStr">
        <is>
          <t>A 14752-2024</t>
        </is>
      </c>
      <c r="B799" s="1" t="n">
        <v>45397.64855324074</v>
      </c>
      <c r="C799" s="1" t="n">
        <v>45900</v>
      </c>
      <c r="D799" t="inlineStr">
        <is>
          <t>JÄMTLANDS LÄN</t>
        </is>
      </c>
      <c r="E799" t="inlineStr">
        <is>
          <t>HÄRJEDALEN</t>
        </is>
      </c>
      <c r="G799" t="n">
        <v>5</v>
      </c>
      <c r="H799" t="n">
        <v>0</v>
      </c>
      <c r="I799" t="n">
        <v>0</v>
      </c>
      <c r="J799" t="n">
        <v>0</v>
      </c>
      <c r="K799" t="n">
        <v>0</v>
      </c>
      <c r="L799" t="n">
        <v>0</v>
      </c>
      <c r="M799" t="n">
        <v>0</v>
      </c>
      <c r="N799" t="n">
        <v>0</v>
      </c>
      <c r="O799" t="n">
        <v>0</v>
      </c>
      <c r="P799" t="n">
        <v>0</v>
      </c>
      <c r="Q799" t="n">
        <v>0</v>
      </c>
      <c r="R799" s="2" t="inlineStr"/>
    </row>
    <row r="800" ht="15" customHeight="1">
      <c r="A800" t="inlineStr">
        <is>
          <t>A 39625-2022</t>
        </is>
      </c>
      <c r="B800" s="1" t="n">
        <v>44818</v>
      </c>
      <c r="C800" s="1" t="n">
        <v>45900</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43623-2024</t>
        </is>
      </c>
      <c r="B801" s="1" t="n">
        <v>45569.48626157407</v>
      </c>
      <c r="C801" s="1" t="n">
        <v>45900</v>
      </c>
      <c r="D801" t="inlineStr">
        <is>
          <t>JÄMTLANDS LÄN</t>
        </is>
      </c>
      <c r="E801" t="inlineStr">
        <is>
          <t>HÄRJEDALEN</t>
        </is>
      </c>
      <c r="G801" t="n">
        <v>3.4</v>
      </c>
      <c r="H801" t="n">
        <v>0</v>
      </c>
      <c r="I801" t="n">
        <v>0</v>
      </c>
      <c r="J801" t="n">
        <v>0</v>
      </c>
      <c r="K801" t="n">
        <v>0</v>
      </c>
      <c r="L801" t="n">
        <v>0</v>
      </c>
      <c r="M801" t="n">
        <v>0</v>
      </c>
      <c r="N801" t="n">
        <v>0</v>
      </c>
      <c r="O801" t="n">
        <v>0</v>
      </c>
      <c r="P801" t="n">
        <v>0</v>
      </c>
      <c r="Q801" t="n">
        <v>0</v>
      </c>
      <c r="R801" s="2" t="inlineStr"/>
    </row>
    <row r="802" ht="15" customHeight="1">
      <c r="A802" t="inlineStr">
        <is>
          <t>A 33438-2025</t>
        </is>
      </c>
      <c r="B802" s="1" t="n">
        <v>45841.45137731481</v>
      </c>
      <c r="C802" s="1" t="n">
        <v>45900</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38266-2025</t>
        </is>
      </c>
      <c r="B803" s="1" t="n">
        <v>45883.40538194445</v>
      </c>
      <c r="C803" s="1" t="n">
        <v>45900</v>
      </c>
      <c r="D803" t="inlineStr">
        <is>
          <t>JÄMTLANDS LÄN</t>
        </is>
      </c>
      <c r="E803" t="inlineStr">
        <is>
          <t>HÄRJEDALEN</t>
        </is>
      </c>
      <c r="G803" t="n">
        <v>1.1</v>
      </c>
      <c r="H803" t="n">
        <v>0</v>
      </c>
      <c r="I803" t="n">
        <v>0</v>
      </c>
      <c r="J803" t="n">
        <v>0</v>
      </c>
      <c r="K803" t="n">
        <v>0</v>
      </c>
      <c r="L803" t="n">
        <v>0</v>
      </c>
      <c r="M803" t="n">
        <v>0</v>
      </c>
      <c r="N803" t="n">
        <v>0</v>
      </c>
      <c r="O803" t="n">
        <v>0</v>
      </c>
      <c r="P803" t="n">
        <v>0</v>
      </c>
      <c r="Q803" t="n">
        <v>0</v>
      </c>
      <c r="R803" s="2" t="inlineStr"/>
    </row>
    <row r="804" ht="15" customHeight="1">
      <c r="A804" t="inlineStr">
        <is>
          <t>A 33406-2025</t>
        </is>
      </c>
      <c r="B804" s="1" t="n">
        <v>45841.4312037037</v>
      </c>
      <c r="C804" s="1" t="n">
        <v>45900</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38618-2025</t>
        </is>
      </c>
      <c r="B805" s="1" t="n">
        <v>45884.55263888889</v>
      </c>
      <c r="C805" s="1" t="n">
        <v>45900</v>
      </c>
      <c r="D805" t="inlineStr">
        <is>
          <t>JÄMTLANDS LÄN</t>
        </is>
      </c>
      <c r="E805" t="inlineStr">
        <is>
          <t>HÄRJEDALEN</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45900</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33845-2025</t>
        </is>
      </c>
      <c r="B807" s="1" t="n">
        <v>45842.48990740741</v>
      </c>
      <c r="C807" s="1" t="n">
        <v>45900</v>
      </c>
      <c r="D807" t="inlineStr">
        <is>
          <t>JÄMTLANDS LÄN</t>
        </is>
      </c>
      <c r="E807" t="inlineStr">
        <is>
          <t>HÄRJEDALEN</t>
        </is>
      </c>
      <c r="G807" t="n">
        <v>0.9</v>
      </c>
      <c r="H807" t="n">
        <v>0</v>
      </c>
      <c r="I807" t="n">
        <v>0</v>
      </c>
      <c r="J807" t="n">
        <v>0</v>
      </c>
      <c r="K807" t="n">
        <v>0</v>
      </c>
      <c r="L807" t="n">
        <v>0</v>
      </c>
      <c r="M807" t="n">
        <v>0</v>
      </c>
      <c r="N807" t="n">
        <v>0</v>
      </c>
      <c r="O807" t="n">
        <v>0</v>
      </c>
      <c r="P807" t="n">
        <v>0</v>
      </c>
      <c r="Q807" t="n">
        <v>0</v>
      </c>
      <c r="R807" s="2" t="inlineStr"/>
    </row>
    <row r="808" ht="15" customHeight="1">
      <c r="A808" t="inlineStr">
        <is>
          <t>A 38276-2025</t>
        </is>
      </c>
      <c r="B808" s="1" t="n">
        <v>45883.4108912037</v>
      </c>
      <c r="C808" s="1" t="n">
        <v>45900</v>
      </c>
      <c r="D808" t="inlineStr">
        <is>
          <t>JÄMTLANDS LÄN</t>
        </is>
      </c>
      <c r="E808" t="inlineStr">
        <is>
          <t>HÄRJEDALEN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38349-2025</t>
        </is>
      </c>
      <c r="B809" s="1" t="n">
        <v>45883.51854166666</v>
      </c>
      <c r="C809" s="1" t="n">
        <v>45900</v>
      </c>
      <c r="D809" t="inlineStr">
        <is>
          <t>JÄMTLANDS LÄN</t>
        </is>
      </c>
      <c r="E809" t="inlineStr">
        <is>
          <t>HÄRJEDALEN</t>
        </is>
      </c>
      <c r="G809" t="n">
        <v>6.8</v>
      </c>
      <c r="H809" t="n">
        <v>0</v>
      </c>
      <c r="I809" t="n">
        <v>0</v>
      </c>
      <c r="J809" t="n">
        <v>0</v>
      </c>
      <c r="K809" t="n">
        <v>0</v>
      </c>
      <c r="L809" t="n">
        <v>0</v>
      </c>
      <c r="M809" t="n">
        <v>0</v>
      </c>
      <c r="N809" t="n">
        <v>0</v>
      </c>
      <c r="O809" t="n">
        <v>0</v>
      </c>
      <c r="P809" t="n">
        <v>0</v>
      </c>
      <c r="Q809" t="n">
        <v>0</v>
      </c>
      <c r="R809" s="2" t="inlineStr"/>
    </row>
    <row r="810" ht="15" customHeight="1">
      <c r="A810" t="inlineStr">
        <is>
          <t>A 38402-2025</t>
        </is>
      </c>
      <c r="B810" s="1" t="n">
        <v>45883.58944444444</v>
      </c>
      <c r="C810" s="1" t="n">
        <v>45900</v>
      </c>
      <c r="D810" t="inlineStr">
        <is>
          <t>JÄMTLANDS LÄN</t>
        </is>
      </c>
      <c r="E810" t="inlineStr">
        <is>
          <t>HÄRJEDALEN</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58106-2024</t>
        </is>
      </c>
      <c r="B811" s="1" t="n">
        <v>45632</v>
      </c>
      <c r="C811" s="1" t="n">
        <v>45900</v>
      </c>
      <c r="D811" t="inlineStr">
        <is>
          <t>JÄMTLANDS LÄN</t>
        </is>
      </c>
      <c r="E811" t="inlineStr">
        <is>
          <t>HÄRJEDALEN</t>
        </is>
      </c>
      <c r="G811" t="n">
        <v>0.2</v>
      </c>
      <c r="H811" t="n">
        <v>0</v>
      </c>
      <c r="I811" t="n">
        <v>0</v>
      </c>
      <c r="J811" t="n">
        <v>0</v>
      </c>
      <c r="K811" t="n">
        <v>0</v>
      </c>
      <c r="L811" t="n">
        <v>0</v>
      </c>
      <c r="M811" t="n">
        <v>0</v>
      </c>
      <c r="N811" t="n">
        <v>0</v>
      </c>
      <c r="O811" t="n">
        <v>0</v>
      </c>
      <c r="P811" t="n">
        <v>0</v>
      </c>
      <c r="Q811" t="n">
        <v>0</v>
      </c>
      <c r="R811" s="2" t="inlineStr"/>
    </row>
    <row r="812" ht="15" customHeight="1">
      <c r="A812" t="inlineStr">
        <is>
          <t>A 43309-2024</t>
        </is>
      </c>
      <c r="B812" s="1" t="n">
        <v>45568</v>
      </c>
      <c r="C812" s="1" t="n">
        <v>45900</v>
      </c>
      <c r="D812" t="inlineStr">
        <is>
          <t>JÄMTLANDS LÄN</t>
        </is>
      </c>
      <c r="E812" t="inlineStr">
        <is>
          <t>HÄRJEDALEN</t>
        </is>
      </c>
      <c r="F812" t="inlineStr">
        <is>
          <t>Bergvik skog väst AB</t>
        </is>
      </c>
      <c r="G812" t="n">
        <v>79.8</v>
      </c>
      <c r="H812" t="n">
        <v>0</v>
      </c>
      <c r="I812" t="n">
        <v>0</v>
      </c>
      <c r="J812" t="n">
        <v>0</v>
      </c>
      <c r="K812" t="n">
        <v>0</v>
      </c>
      <c r="L812" t="n">
        <v>0</v>
      </c>
      <c r="M812" t="n">
        <v>0</v>
      </c>
      <c r="N812" t="n">
        <v>0</v>
      </c>
      <c r="O812" t="n">
        <v>0</v>
      </c>
      <c r="P812" t="n">
        <v>0</v>
      </c>
      <c r="Q812" t="n">
        <v>0</v>
      </c>
      <c r="R812" s="2" t="inlineStr"/>
    </row>
    <row r="813" ht="15" customHeight="1">
      <c r="A813" t="inlineStr">
        <is>
          <t>A 21816-2024</t>
        </is>
      </c>
      <c r="B813" s="1" t="n">
        <v>45442</v>
      </c>
      <c r="C813" s="1" t="n">
        <v>45900</v>
      </c>
      <c r="D813" t="inlineStr">
        <is>
          <t>JÄMTLANDS LÄN</t>
        </is>
      </c>
      <c r="E813" t="inlineStr">
        <is>
          <t>HÄRJEDALEN</t>
        </is>
      </c>
      <c r="F813" t="inlineStr">
        <is>
          <t>Bergvik skog väst AB</t>
        </is>
      </c>
      <c r="G813" t="n">
        <v>2.9</v>
      </c>
      <c r="H813" t="n">
        <v>0</v>
      </c>
      <c r="I813" t="n">
        <v>0</v>
      </c>
      <c r="J813" t="n">
        <v>0</v>
      </c>
      <c r="K813" t="n">
        <v>0</v>
      </c>
      <c r="L813" t="n">
        <v>0</v>
      </c>
      <c r="M813" t="n">
        <v>0</v>
      </c>
      <c r="N813" t="n">
        <v>0</v>
      </c>
      <c r="O813" t="n">
        <v>0</v>
      </c>
      <c r="P813" t="n">
        <v>0</v>
      </c>
      <c r="Q813" t="n">
        <v>0</v>
      </c>
      <c r="R813" s="2" t="inlineStr"/>
    </row>
    <row r="814" ht="15" customHeight="1">
      <c r="A814" t="inlineStr">
        <is>
          <t>A 43607-2024</t>
        </is>
      </c>
      <c r="B814" s="1" t="n">
        <v>45569</v>
      </c>
      <c r="C814" s="1" t="n">
        <v>45900</v>
      </c>
      <c r="D814" t="inlineStr">
        <is>
          <t>JÄMTLANDS LÄN</t>
        </is>
      </c>
      <c r="E814" t="inlineStr">
        <is>
          <t>HÄRJEDALEN</t>
        </is>
      </c>
      <c r="F814" t="inlineStr">
        <is>
          <t>Bergvik skog väst AB</t>
        </is>
      </c>
      <c r="G814" t="n">
        <v>189.8</v>
      </c>
      <c r="H814" t="n">
        <v>0</v>
      </c>
      <c r="I814" t="n">
        <v>0</v>
      </c>
      <c r="J814" t="n">
        <v>0</v>
      </c>
      <c r="K814" t="n">
        <v>0</v>
      </c>
      <c r="L814" t="n">
        <v>0</v>
      </c>
      <c r="M814" t="n">
        <v>0</v>
      </c>
      <c r="N814" t="n">
        <v>0</v>
      </c>
      <c r="O814" t="n">
        <v>0</v>
      </c>
      <c r="P814" t="n">
        <v>0</v>
      </c>
      <c r="Q814" t="n">
        <v>0</v>
      </c>
      <c r="R814" s="2" t="inlineStr"/>
    </row>
    <row r="815" ht="15" customHeight="1">
      <c r="A815" t="inlineStr">
        <is>
          <t>A 39212-2025</t>
        </is>
      </c>
      <c r="B815" s="1" t="n">
        <v>45888.78833333333</v>
      </c>
      <c r="C815" s="1" t="n">
        <v>45900</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39213-2025</t>
        </is>
      </c>
      <c r="B816" s="1" t="n">
        <v>45888.78960648148</v>
      </c>
      <c r="C816" s="1" t="n">
        <v>45900</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43574-2024</t>
        </is>
      </c>
      <c r="B817" s="1" t="n">
        <v>45569</v>
      </c>
      <c r="C817" s="1" t="n">
        <v>45900</v>
      </c>
      <c r="D817" t="inlineStr">
        <is>
          <t>JÄMTLANDS LÄN</t>
        </is>
      </c>
      <c r="E817" t="inlineStr">
        <is>
          <t>HÄRJEDALEN</t>
        </is>
      </c>
      <c r="F817" t="inlineStr">
        <is>
          <t>Bergvik skog väst AB</t>
        </is>
      </c>
      <c r="G817" t="n">
        <v>258.3</v>
      </c>
      <c r="H817" t="n">
        <v>0</v>
      </c>
      <c r="I817" t="n">
        <v>0</v>
      </c>
      <c r="J817" t="n">
        <v>0</v>
      </c>
      <c r="K817" t="n">
        <v>0</v>
      </c>
      <c r="L817" t="n">
        <v>0</v>
      </c>
      <c r="M817" t="n">
        <v>0</v>
      </c>
      <c r="N817" t="n">
        <v>0</v>
      </c>
      <c r="O817" t="n">
        <v>0</v>
      </c>
      <c r="P817" t="n">
        <v>0</v>
      </c>
      <c r="Q817" t="n">
        <v>0</v>
      </c>
      <c r="R817" s="2" t="inlineStr"/>
    </row>
    <row r="818" ht="15" customHeight="1">
      <c r="A818" t="inlineStr">
        <is>
          <t>A 36537-2025</t>
        </is>
      </c>
      <c r="B818" s="1" t="n">
        <v>45869</v>
      </c>
      <c r="C818" s="1" t="n">
        <v>45900</v>
      </c>
      <c r="D818" t="inlineStr">
        <is>
          <t>JÄMTLANDS LÄN</t>
        </is>
      </c>
      <c r="E818" t="inlineStr">
        <is>
          <t>HÄRJEDALEN</t>
        </is>
      </c>
      <c r="G818" t="n">
        <v>3.8</v>
      </c>
      <c r="H818" t="n">
        <v>0</v>
      </c>
      <c r="I818" t="n">
        <v>0</v>
      </c>
      <c r="J818" t="n">
        <v>0</v>
      </c>
      <c r="K818" t="n">
        <v>0</v>
      </c>
      <c r="L818" t="n">
        <v>0</v>
      </c>
      <c r="M818" t="n">
        <v>0</v>
      </c>
      <c r="N818" t="n">
        <v>0</v>
      </c>
      <c r="O818" t="n">
        <v>0</v>
      </c>
      <c r="P818" t="n">
        <v>0</v>
      </c>
      <c r="Q818" t="n">
        <v>0</v>
      </c>
      <c r="R818" s="2" t="inlineStr"/>
    </row>
    <row r="819" ht="15" customHeight="1">
      <c r="A819" t="inlineStr">
        <is>
          <t>A 37288-2025</t>
        </is>
      </c>
      <c r="B819" s="1" t="n">
        <v>45876</v>
      </c>
      <c r="C819" s="1" t="n">
        <v>45900</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1172-2025</t>
        </is>
      </c>
      <c r="B820" s="1" t="n">
        <v>45667</v>
      </c>
      <c r="C820" s="1" t="n">
        <v>45900</v>
      </c>
      <c r="D820" t="inlineStr">
        <is>
          <t>JÄMTLANDS LÄN</t>
        </is>
      </c>
      <c r="E820" t="inlineStr">
        <is>
          <t>HÄRJEDALEN</t>
        </is>
      </c>
      <c r="F820" t="inlineStr">
        <is>
          <t>Bergvik skog väst AB</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34181-2025</t>
        </is>
      </c>
      <c r="B821" s="1" t="n">
        <v>45845.60496527778</v>
      </c>
      <c r="C821" s="1" t="n">
        <v>45900</v>
      </c>
      <c r="D821" t="inlineStr">
        <is>
          <t>JÄMTLANDS LÄN</t>
        </is>
      </c>
      <c r="E821" t="inlineStr">
        <is>
          <t>HÄRJEDALEN</t>
        </is>
      </c>
      <c r="G821" t="n">
        <v>2.8</v>
      </c>
      <c r="H821" t="n">
        <v>0</v>
      </c>
      <c r="I821" t="n">
        <v>0</v>
      </c>
      <c r="J821" t="n">
        <v>0</v>
      </c>
      <c r="K821" t="n">
        <v>0</v>
      </c>
      <c r="L821" t="n">
        <v>0</v>
      </c>
      <c r="M821" t="n">
        <v>0</v>
      </c>
      <c r="N821" t="n">
        <v>0</v>
      </c>
      <c r="O821" t="n">
        <v>0</v>
      </c>
      <c r="P821" t="n">
        <v>0</v>
      </c>
      <c r="Q821" t="n">
        <v>0</v>
      </c>
      <c r="R821" s="2" t="inlineStr"/>
    </row>
    <row r="822" ht="15" customHeight="1">
      <c r="A822" t="inlineStr">
        <is>
          <t>A 36528-2025</t>
        </is>
      </c>
      <c r="B822" s="1" t="n">
        <v>45869</v>
      </c>
      <c r="C822" s="1" t="n">
        <v>45900</v>
      </c>
      <c r="D822" t="inlineStr">
        <is>
          <t>JÄMTLANDS LÄN</t>
        </is>
      </c>
      <c r="E822" t="inlineStr">
        <is>
          <t>HÄRJEDALEN</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37290-2025</t>
        </is>
      </c>
      <c r="B823" s="1" t="n">
        <v>45876</v>
      </c>
      <c r="C823" s="1" t="n">
        <v>45900</v>
      </c>
      <c r="D823" t="inlineStr">
        <is>
          <t>JÄMTLANDS LÄN</t>
        </is>
      </c>
      <c r="E823" t="inlineStr">
        <is>
          <t>HÄRJEDALEN</t>
        </is>
      </c>
      <c r="F823" t="inlineStr">
        <is>
          <t>Bergvik skog väst AB</t>
        </is>
      </c>
      <c r="G823" t="n">
        <v>3.2</v>
      </c>
      <c r="H823" t="n">
        <v>0</v>
      </c>
      <c r="I823" t="n">
        <v>0</v>
      </c>
      <c r="J823" t="n">
        <v>0</v>
      </c>
      <c r="K823" t="n">
        <v>0</v>
      </c>
      <c r="L823" t="n">
        <v>0</v>
      </c>
      <c r="M823" t="n">
        <v>0</v>
      </c>
      <c r="N823" t="n">
        <v>0</v>
      </c>
      <c r="O823" t="n">
        <v>0</v>
      </c>
      <c r="P823" t="n">
        <v>0</v>
      </c>
      <c r="Q823" t="n">
        <v>0</v>
      </c>
      <c r="R823" s="2" t="inlineStr"/>
    </row>
    <row r="824" ht="15" customHeight="1">
      <c r="A824" t="inlineStr">
        <is>
          <t>A 34254-2025</t>
        </is>
      </c>
      <c r="B824" s="1" t="n">
        <v>45845.6920949074</v>
      </c>
      <c r="C824" s="1" t="n">
        <v>45900</v>
      </c>
      <c r="D824" t="inlineStr">
        <is>
          <t>JÄMTLANDS LÄN</t>
        </is>
      </c>
      <c r="E824" t="inlineStr">
        <is>
          <t>HÄRJEDALEN</t>
        </is>
      </c>
      <c r="F824" t="inlineStr">
        <is>
          <t>Kyrkan</t>
        </is>
      </c>
      <c r="G824" t="n">
        <v>1.6</v>
      </c>
      <c r="H824" t="n">
        <v>0</v>
      </c>
      <c r="I824" t="n">
        <v>0</v>
      </c>
      <c r="J824" t="n">
        <v>0</v>
      </c>
      <c r="K824" t="n">
        <v>0</v>
      </c>
      <c r="L824" t="n">
        <v>0</v>
      </c>
      <c r="M824" t="n">
        <v>0</v>
      </c>
      <c r="N824" t="n">
        <v>0</v>
      </c>
      <c r="O824" t="n">
        <v>0</v>
      </c>
      <c r="P824" t="n">
        <v>0</v>
      </c>
      <c r="Q824" t="n">
        <v>0</v>
      </c>
      <c r="R824" s="2" t="inlineStr"/>
    </row>
    <row r="825" ht="15" customHeight="1">
      <c r="A825" t="inlineStr">
        <is>
          <t>A 52794-2024</t>
        </is>
      </c>
      <c r="B825" s="1" t="n">
        <v>45610.55846064815</v>
      </c>
      <c r="C825" s="1" t="n">
        <v>45900</v>
      </c>
      <c r="D825" t="inlineStr">
        <is>
          <t>JÄMTLANDS LÄN</t>
        </is>
      </c>
      <c r="E825" t="inlineStr">
        <is>
          <t>HÄRJEDALEN</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39211-2025</t>
        </is>
      </c>
      <c r="B826" s="1" t="n">
        <v>45888.78539351852</v>
      </c>
      <c r="C826" s="1" t="n">
        <v>45900</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37638-2023</t>
        </is>
      </c>
      <c r="B827" s="1" t="n">
        <v>45159.46996527778</v>
      </c>
      <c r="C827" s="1" t="n">
        <v>45900</v>
      </c>
      <c r="D827" t="inlineStr">
        <is>
          <t>JÄMTLANDS LÄN</t>
        </is>
      </c>
      <c r="E827" t="inlineStr">
        <is>
          <t>HÄRJEDALEN</t>
        </is>
      </c>
      <c r="F827" t="inlineStr">
        <is>
          <t>Bergvik skog väst AB</t>
        </is>
      </c>
      <c r="G827" t="n">
        <v>4.3</v>
      </c>
      <c r="H827" t="n">
        <v>0</v>
      </c>
      <c r="I827" t="n">
        <v>0</v>
      </c>
      <c r="J827" t="n">
        <v>0</v>
      </c>
      <c r="K827" t="n">
        <v>0</v>
      </c>
      <c r="L827" t="n">
        <v>0</v>
      </c>
      <c r="M827" t="n">
        <v>0</v>
      </c>
      <c r="N827" t="n">
        <v>0</v>
      </c>
      <c r="O827" t="n">
        <v>0</v>
      </c>
      <c r="P827" t="n">
        <v>0</v>
      </c>
      <c r="Q827" t="n">
        <v>0</v>
      </c>
      <c r="R827" s="2" t="inlineStr"/>
    </row>
    <row r="828" ht="15" customHeight="1">
      <c r="A828" t="inlineStr">
        <is>
          <t>A 62708-2022</t>
        </is>
      </c>
      <c r="B828" s="1" t="n">
        <v>44925.60457175926</v>
      </c>
      <c r="C828" s="1" t="n">
        <v>45900</v>
      </c>
      <c r="D828" t="inlineStr">
        <is>
          <t>JÄMTLANDS LÄN</t>
        </is>
      </c>
      <c r="E828" t="inlineStr">
        <is>
          <t>HÄRJEDALEN</t>
        </is>
      </c>
      <c r="F828" t="inlineStr">
        <is>
          <t>Holmen skog AB</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44925.64309027778</v>
      </c>
      <c r="C829" s="1" t="n">
        <v>45900</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34144-2025</t>
        </is>
      </c>
      <c r="B830" s="1" t="n">
        <v>45845.55270833334</v>
      </c>
      <c r="C830" s="1" t="n">
        <v>45900</v>
      </c>
      <c r="D830" t="inlineStr">
        <is>
          <t>JÄMTLANDS LÄN</t>
        </is>
      </c>
      <c r="E830" t="inlineStr">
        <is>
          <t>HÄRJEDALEN</t>
        </is>
      </c>
      <c r="G830" t="n">
        <v>8.5</v>
      </c>
      <c r="H830" t="n">
        <v>0</v>
      </c>
      <c r="I830" t="n">
        <v>0</v>
      </c>
      <c r="J830" t="n">
        <v>0</v>
      </c>
      <c r="K830" t="n">
        <v>0</v>
      </c>
      <c r="L830" t="n">
        <v>0</v>
      </c>
      <c r="M830" t="n">
        <v>0</v>
      </c>
      <c r="N830" t="n">
        <v>0</v>
      </c>
      <c r="O830" t="n">
        <v>0</v>
      </c>
      <c r="P830" t="n">
        <v>0</v>
      </c>
      <c r="Q830" t="n">
        <v>0</v>
      </c>
      <c r="R830" s="2" t="inlineStr"/>
    </row>
    <row r="831" ht="15" customHeight="1">
      <c r="A831" t="inlineStr">
        <is>
          <t>A 34143-2025</t>
        </is>
      </c>
      <c r="B831" s="1" t="n">
        <v>45845.55266203704</v>
      </c>
      <c r="C831" s="1" t="n">
        <v>45900</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12449-2025</t>
        </is>
      </c>
      <c r="B832" s="1" t="n">
        <v>45730</v>
      </c>
      <c r="C832" s="1" t="n">
        <v>45900</v>
      </c>
      <c r="D832" t="inlineStr">
        <is>
          <t>JÄMTLANDS LÄN</t>
        </is>
      </c>
      <c r="E832" t="inlineStr">
        <is>
          <t>HÄRJEDALEN</t>
        </is>
      </c>
      <c r="G832" t="n">
        <v>10.7</v>
      </c>
      <c r="H832" t="n">
        <v>0</v>
      </c>
      <c r="I832" t="n">
        <v>0</v>
      </c>
      <c r="J832" t="n">
        <v>0</v>
      </c>
      <c r="K832" t="n">
        <v>0</v>
      </c>
      <c r="L832" t="n">
        <v>0</v>
      </c>
      <c r="M832" t="n">
        <v>0</v>
      </c>
      <c r="N832" t="n">
        <v>0</v>
      </c>
      <c r="O832" t="n">
        <v>0</v>
      </c>
      <c r="P832" t="n">
        <v>0</v>
      </c>
      <c r="Q832" t="n">
        <v>0</v>
      </c>
      <c r="R832" s="2" t="inlineStr"/>
    </row>
    <row r="833" ht="15" customHeight="1">
      <c r="A833" t="inlineStr">
        <is>
          <t>A 43316-2024</t>
        </is>
      </c>
      <c r="B833" s="1" t="n">
        <v>45568</v>
      </c>
      <c r="C833" s="1" t="n">
        <v>45900</v>
      </c>
      <c r="D833" t="inlineStr">
        <is>
          <t>JÄMTLANDS LÄN</t>
        </is>
      </c>
      <c r="E833" t="inlineStr">
        <is>
          <t>HÄRJEDALEN</t>
        </is>
      </c>
      <c r="F833" t="inlineStr">
        <is>
          <t>Bergvik skog väst AB</t>
        </is>
      </c>
      <c r="G833" t="n">
        <v>79.90000000000001</v>
      </c>
      <c r="H833" t="n">
        <v>0</v>
      </c>
      <c r="I833" t="n">
        <v>0</v>
      </c>
      <c r="J833" t="n">
        <v>0</v>
      </c>
      <c r="K833" t="n">
        <v>0</v>
      </c>
      <c r="L833" t="n">
        <v>0</v>
      </c>
      <c r="M833" t="n">
        <v>0</v>
      </c>
      <c r="N833" t="n">
        <v>0</v>
      </c>
      <c r="O833" t="n">
        <v>0</v>
      </c>
      <c r="P833" t="n">
        <v>0</v>
      </c>
      <c r="Q833" t="n">
        <v>0</v>
      </c>
      <c r="R833" s="2" t="inlineStr"/>
    </row>
    <row r="834" ht="15" customHeight="1">
      <c r="A834" t="inlineStr">
        <is>
          <t>A 17037-2025</t>
        </is>
      </c>
      <c r="B834" s="1" t="n">
        <v>45755</v>
      </c>
      <c r="C834" s="1" t="n">
        <v>45900</v>
      </c>
      <c r="D834" t="inlineStr">
        <is>
          <t>JÄMTLANDS LÄN</t>
        </is>
      </c>
      <c r="E834" t="inlineStr">
        <is>
          <t>HÄRJEDALEN</t>
        </is>
      </c>
      <c r="G834" t="n">
        <v>2.4</v>
      </c>
      <c r="H834" t="n">
        <v>0</v>
      </c>
      <c r="I834" t="n">
        <v>0</v>
      </c>
      <c r="J834" t="n">
        <v>0</v>
      </c>
      <c r="K834" t="n">
        <v>0</v>
      </c>
      <c r="L834" t="n">
        <v>0</v>
      </c>
      <c r="M834" t="n">
        <v>0</v>
      </c>
      <c r="N834" t="n">
        <v>0</v>
      </c>
      <c r="O834" t="n">
        <v>0</v>
      </c>
      <c r="P834" t="n">
        <v>0</v>
      </c>
      <c r="Q834" t="n">
        <v>0</v>
      </c>
      <c r="R834" s="2" t="inlineStr"/>
    </row>
    <row r="835" ht="15" customHeight="1">
      <c r="A835" t="inlineStr">
        <is>
          <t>A 55582-2024</t>
        </is>
      </c>
      <c r="B835" s="1" t="n">
        <v>45622</v>
      </c>
      <c r="C835" s="1" t="n">
        <v>45900</v>
      </c>
      <c r="D835" t="inlineStr">
        <is>
          <t>JÄMTLANDS LÄN</t>
        </is>
      </c>
      <c r="E835" t="inlineStr">
        <is>
          <t>HÄRJEDALEN</t>
        </is>
      </c>
      <c r="G835" t="n">
        <v>6.9</v>
      </c>
      <c r="H835" t="n">
        <v>0</v>
      </c>
      <c r="I835" t="n">
        <v>0</v>
      </c>
      <c r="J835" t="n">
        <v>0</v>
      </c>
      <c r="K835" t="n">
        <v>0</v>
      </c>
      <c r="L835" t="n">
        <v>0</v>
      </c>
      <c r="M835" t="n">
        <v>0</v>
      </c>
      <c r="N835" t="n">
        <v>0</v>
      </c>
      <c r="O835" t="n">
        <v>0</v>
      </c>
      <c r="P835" t="n">
        <v>0</v>
      </c>
      <c r="Q835" t="n">
        <v>0</v>
      </c>
      <c r="R835" s="2" t="inlineStr"/>
    </row>
    <row r="836" ht="15" customHeight="1">
      <c r="A836" t="inlineStr">
        <is>
          <t>A 34142-2025</t>
        </is>
      </c>
      <c r="B836" s="1" t="n">
        <v>45845.55259259259</v>
      </c>
      <c r="C836" s="1" t="n">
        <v>45900</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38820-2025</t>
        </is>
      </c>
      <c r="B837" s="1" t="n">
        <v>45887.50216435185</v>
      </c>
      <c r="C837" s="1" t="n">
        <v>45900</v>
      </c>
      <c r="D837" t="inlineStr">
        <is>
          <t>JÄMTLANDS LÄN</t>
        </is>
      </c>
      <c r="E837" t="inlineStr">
        <is>
          <t>HÄRJEDALEN</t>
        </is>
      </c>
      <c r="F837" t="inlineStr">
        <is>
          <t>Bergvik skog väst AB</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38898-2025</t>
        </is>
      </c>
      <c r="B838" s="1" t="n">
        <v>45887.59913194444</v>
      </c>
      <c r="C838" s="1" t="n">
        <v>45900</v>
      </c>
      <c r="D838" t="inlineStr">
        <is>
          <t>JÄMTLANDS LÄN</t>
        </is>
      </c>
      <c r="E838" t="inlineStr">
        <is>
          <t>HÄRJEDALEN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12450-2025</t>
        </is>
      </c>
      <c r="B839" s="1" t="n">
        <v>45730</v>
      </c>
      <c r="C839" s="1" t="n">
        <v>45900</v>
      </c>
      <c r="D839" t="inlineStr">
        <is>
          <t>JÄMTLANDS LÄN</t>
        </is>
      </c>
      <c r="E839" t="inlineStr">
        <is>
          <t>HÄRJEDALEN</t>
        </is>
      </c>
      <c r="G839" t="n">
        <v>7.6</v>
      </c>
      <c r="H839" t="n">
        <v>0</v>
      </c>
      <c r="I839" t="n">
        <v>0</v>
      </c>
      <c r="J839" t="n">
        <v>0</v>
      </c>
      <c r="K839" t="n">
        <v>0</v>
      </c>
      <c r="L839" t="n">
        <v>0</v>
      </c>
      <c r="M839" t="n">
        <v>0</v>
      </c>
      <c r="N839" t="n">
        <v>0</v>
      </c>
      <c r="O839" t="n">
        <v>0</v>
      </c>
      <c r="P839" t="n">
        <v>0</v>
      </c>
      <c r="Q839" t="n">
        <v>0</v>
      </c>
      <c r="R839" s="2" t="inlineStr"/>
    </row>
    <row r="840" ht="15" customHeight="1">
      <c r="A840" t="inlineStr">
        <is>
          <t>A 39140-2025</t>
        </is>
      </c>
      <c r="B840" s="1" t="n">
        <v>45888.59509259259</v>
      </c>
      <c r="C840" s="1" t="n">
        <v>45900</v>
      </c>
      <c r="D840" t="inlineStr">
        <is>
          <t>JÄMTLANDS LÄN</t>
        </is>
      </c>
      <c r="E840" t="inlineStr">
        <is>
          <t>HÄRJEDALEN</t>
        </is>
      </c>
      <c r="G840" t="n">
        <v>14.8</v>
      </c>
      <c r="H840" t="n">
        <v>0</v>
      </c>
      <c r="I840" t="n">
        <v>0</v>
      </c>
      <c r="J840" t="n">
        <v>0</v>
      </c>
      <c r="K840" t="n">
        <v>0</v>
      </c>
      <c r="L840" t="n">
        <v>0</v>
      </c>
      <c r="M840" t="n">
        <v>0</v>
      </c>
      <c r="N840" t="n">
        <v>0</v>
      </c>
      <c r="O840" t="n">
        <v>0</v>
      </c>
      <c r="P840" t="n">
        <v>0</v>
      </c>
      <c r="Q840" t="n">
        <v>0</v>
      </c>
      <c r="R840" s="2" t="inlineStr"/>
    </row>
    <row r="841" ht="15" customHeight="1">
      <c r="A841" t="inlineStr">
        <is>
          <t>A 43586-2024</t>
        </is>
      </c>
      <c r="B841" s="1" t="n">
        <v>45569</v>
      </c>
      <c r="C841" s="1" t="n">
        <v>45900</v>
      </c>
      <c r="D841" t="inlineStr">
        <is>
          <t>JÄMTLANDS LÄN</t>
        </is>
      </c>
      <c r="E841" t="inlineStr">
        <is>
          <t>HÄRJEDALEN</t>
        </is>
      </c>
      <c r="F841" t="inlineStr">
        <is>
          <t>Bergvik skog väst AB</t>
        </is>
      </c>
      <c r="G841" t="n">
        <v>96.2</v>
      </c>
      <c r="H841" t="n">
        <v>0</v>
      </c>
      <c r="I841" t="n">
        <v>0</v>
      </c>
      <c r="J841" t="n">
        <v>0</v>
      </c>
      <c r="K841" t="n">
        <v>0</v>
      </c>
      <c r="L841" t="n">
        <v>0</v>
      </c>
      <c r="M841" t="n">
        <v>0</v>
      </c>
      <c r="N841" t="n">
        <v>0</v>
      </c>
      <c r="O841" t="n">
        <v>0</v>
      </c>
      <c r="P841" t="n">
        <v>0</v>
      </c>
      <c r="Q841" t="n">
        <v>0</v>
      </c>
      <c r="R841" s="2" t="inlineStr"/>
    </row>
    <row r="842" ht="15" customHeight="1">
      <c r="A842" t="inlineStr">
        <is>
          <t>A 36083-2024</t>
        </is>
      </c>
      <c r="B842" s="1" t="n">
        <v>45533.67138888889</v>
      </c>
      <c r="C842" s="1" t="n">
        <v>45900</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34726-2025</t>
        </is>
      </c>
      <c r="B843" s="1" t="n">
        <v>45848.57644675926</v>
      </c>
      <c r="C843" s="1" t="n">
        <v>45900</v>
      </c>
      <c r="D843" t="inlineStr">
        <is>
          <t>JÄMTLANDS LÄN</t>
        </is>
      </c>
      <c r="E843" t="inlineStr">
        <is>
          <t>HÄRJEDALEN</t>
        </is>
      </c>
      <c r="F843" t="inlineStr">
        <is>
          <t>Kyrkan</t>
        </is>
      </c>
      <c r="G843" t="n">
        <v>1.5</v>
      </c>
      <c r="H843" t="n">
        <v>0</v>
      </c>
      <c r="I843" t="n">
        <v>0</v>
      </c>
      <c r="J843" t="n">
        <v>0</v>
      </c>
      <c r="K843" t="n">
        <v>0</v>
      </c>
      <c r="L843" t="n">
        <v>0</v>
      </c>
      <c r="M843" t="n">
        <v>0</v>
      </c>
      <c r="N843" t="n">
        <v>0</v>
      </c>
      <c r="O843" t="n">
        <v>0</v>
      </c>
      <c r="P843" t="n">
        <v>0</v>
      </c>
      <c r="Q843" t="n">
        <v>0</v>
      </c>
      <c r="R843" s="2" t="inlineStr"/>
    </row>
    <row r="844" ht="15" customHeight="1">
      <c r="A844" t="inlineStr">
        <is>
          <t>A 17896-2025</t>
        </is>
      </c>
      <c r="B844" s="1" t="n">
        <v>45758.69638888889</v>
      </c>
      <c r="C844" s="1" t="n">
        <v>45900</v>
      </c>
      <c r="D844" t="inlineStr">
        <is>
          <t>JÄMTLANDS LÄN</t>
        </is>
      </c>
      <c r="E844" t="inlineStr">
        <is>
          <t>HÄRJEDALEN</t>
        </is>
      </c>
      <c r="G844" t="n">
        <v>5</v>
      </c>
      <c r="H844" t="n">
        <v>0</v>
      </c>
      <c r="I844" t="n">
        <v>0</v>
      </c>
      <c r="J844" t="n">
        <v>0</v>
      </c>
      <c r="K844" t="n">
        <v>0</v>
      </c>
      <c r="L844" t="n">
        <v>0</v>
      </c>
      <c r="M844" t="n">
        <v>0</v>
      </c>
      <c r="N844" t="n">
        <v>0</v>
      </c>
      <c r="O844" t="n">
        <v>0</v>
      </c>
      <c r="P844" t="n">
        <v>0</v>
      </c>
      <c r="Q844" t="n">
        <v>0</v>
      </c>
      <c r="R844" s="2" t="inlineStr"/>
    </row>
    <row r="845" ht="15" customHeight="1">
      <c r="A845" t="inlineStr">
        <is>
          <t>A 35810-2025</t>
        </is>
      </c>
      <c r="B845" s="1" t="n">
        <v>45861</v>
      </c>
      <c r="C845" s="1" t="n">
        <v>45900</v>
      </c>
      <c r="D845" t="inlineStr">
        <is>
          <t>JÄMTLANDS LÄN</t>
        </is>
      </c>
      <c r="E845" t="inlineStr">
        <is>
          <t>HÄRJEDALEN</t>
        </is>
      </c>
      <c r="F845" t="inlineStr">
        <is>
          <t>Bergvik skog väst AB</t>
        </is>
      </c>
      <c r="G845" t="n">
        <v>41.3</v>
      </c>
      <c r="H845" t="n">
        <v>0</v>
      </c>
      <c r="I845" t="n">
        <v>0</v>
      </c>
      <c r="J845" t="n">
        <v>0</v>
      </c>
      <c r="K845" t="n">
        <v>0</v>
      </c>
      <c r="L845" t="n">
        <v>0</v>
      </c>
      <c r="M845" t="n">
        <v>0</v>
      </c>
      <c r="N845" t="n">
        <v>0</v>
      </c>
      <c r="O845" t="n">
        <v>0</v>
      </c>
      <c r="P845" t="n">
        <v>0</v>
      </c>
      <c r="Q845" t="n">
        <v>0</v>
      </c>
      <c r="R845" s="2" t="inlineStr"/>
    </row>
    <row r="846" ht="15" customHeight="1">
      <c r="A846" t="inlineStr">
        <is>
          <t>A 39290-2025</t>
        </is>
      </c>
      <c r="B846" s="1" t="n">
        <v>45889.40916666666</v>
      </c>
      <c r="C846" s="1" t="n">
        <v>45900</v>
      </c>
      <c r="D846" t="inlineStr">
        <is>
          <t>JÄMTLANDS LÄN</t>
        </is>
      </c>
      <c r="E846" t="inlineStr">
        <is>
          <t>HÄRJEDALEN</t>
        </is>
      </c>
      <c r="G846" t="n">
        <v>10.9</v>
      </c>
      <c r="H846" t="n">
        <v>0</v>
      </c>
      <c r="I846" t="n">
        <v>0</v>
      </c>
      <c r="J846" t="n">
        <v>0</v>
      </c>
      <c r="K846" t="n">
        <v>0</v>
      </c>
      <c r="L846" t="n">
        <v>0</v>
      </c>
      <c r="M846" t="n">
        <v>0</v>
      </c>
      <c r="N846" t="n">
        <v>0</v>
      </c>
      <c r="O846" t="n">
        <v>0</v>
      </c>
      <c r="P846" t="n">
        <v>0</v>
      </c>
      <c r="Q846" t="n">
        <v>0</v>
      </c>
      <c r="R846" s="2" t="inlineStr"/>
    </row>
    <row r="847" ht="15" customHeight="1">
      <c r="A847" t="inlineStr">
        <is>
          <t>A 39291-2025</t>
        </is>
      </c>
      <c r="B847" s="1" t="n">
        <v>45889.41715277778</v>
      </c>
      <c r="C847" s="1" t="n">
        <v>45900</v>
      </c>
      <c r="D847" t="inlineStr">
        <is>
          <t>JÄMTLANDS LÄN</t>
        </is>
      </c>
      <c r="E847" t="inlineStr">
        <is>
          <t>HÄRJEDALEN</t>
        </is>
      </c>
      <c r="G847" t="n">
        <v>2.7</v>
      </c>
      <c r="H847" t="n">
        <v>0</v>
      </c>
      <c r="I847" t="n">
        <v>0</v>
      </c>
      <c r="J847" t="n">
        <v>0</v>
      </c>
      <c r="K847" t="n">
        <v>0</v>
      </c>
      <c r="L847" t="n">
        <v>0</v>
      </c>
      <c r="M847" t="n">
        <v>0</v>
      </c>
      <c r="N847" t="n">
        <v>0</v>
      </c>
      <c r="O847" t="n">
        <v>0</v>
      </c>
      <c r="P847" t="n">
        <v>0</v>
      </c>
      <c r="Q847" t="n">
        <v>0</v>
      </c>
      <c r="R847" s="2" t="inlineStr"/>
    </row>
    <row r="848" ht="15" customHeight="1">
      <c r="A848" t="inlineStr">
        <is>
          <t>A 34757-2025</t>
        </is>
      </c>
      <c r="B848" s="1" t="n">
        <v>45848.62873842593</v>
      </c>
      <c r="C848" s="1" t="n">
        <v>45900</v>
      </c>
      <c r="D848" t="inlineStr">
        <is>
          <t>JÄMTLANDS LÄN</t>
        </is>
      </c>
      <c r="E848" t="inlineStr">
        <is>
          <t>HÄRJEDALEN</t>
        </is>
      </c>
      <c r="G848" t="n">
        <v>19.6</v>
      </c>
      <c r="H848" t="n">
        <v>0</v>
      </c>
      <c r="I848" t="n">
        <v>0</v>
      </c>
      <c r="J848" t="n">
        <v>0</v>
      </c>
      <c r="K848" t="n">
        <v>0</v>
      </c>
      <c r="L848" t="n">
        <v>0</v>
      </c>
      <c r="M848" t="n">
        <v>0</v>
      </c>
      <c r="N848" t="n">
        <v>0</v>
      </c>
      <c r="O848" t="n">
        <v>0</v>
      </c>
      <c r="P848" t="n">
        <v>0</v>
      </c>
      <c r="Q848" t="n">
        <v>0</v>
      </c>
      <c r="R848" s="2" t="inlineStr"/>
    </row>
    <row r="849" ht="15" customHeight="1">
      <c r="A849" t="inlineStr">
        <is>
          <t>A 34761-2025</t>
        </is>
      </c>
      <c r="B849" s="1" t="n">
        <v>45848.639375</v>
      </c>
      <c r="C849" s="1" t="n">
        <v>45900</v>
      </c>
      <c r="D849" t="inlineStr">
        <is>
          <t>JÄMTLANDS LÄN</t>
        </is>
      </c>
      <c r="E849" t="inlineStr">
        <is>
          <t>HÄRJEDALEN</t>
        </is>
      </c>
      <c r="G849" t="n">
        <v>5.6</v>
      </c>
      <c r="H849" t="n">
        <v>0</v>
      </c>
      <c r="I849" t="n">
        <v>0</v>
      </c>
      <c r="J849" t="n">
        <v>0</v>
      </c>
      <c r="K849" t="n">
        <v>0</v>
      </c>
      <c r="L849" t="n">
        <v>0</v>
      </c>
      <c r="M849" t="n">
        <v>0</v>
      </c>
      <c r="N849" t="n">
        <v>0</v>
      </c>
      <c r="O849" t="n">
        <v>0</v>
      </c>
      <c r="P849" t="n">
        <v>0</v>
      </c>
      <c r="Q849" t="n">
        <v>0</v>
      </c>
      <c r="R849" s="2" t="inlineStr"/>
    </row>
    <row r="850" ht="15" customHeight="1">
      <c r="A850" t="inlineStr">
        <is>
          <t>A 34775-2025</t>
        </is>
      </c>
      <c r="B850" s="1" t="n">
        <v>45848.6568287037</v>
      </c>
      <c r="C850" s="1" t="n">
        <v>45900</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34790-2025</t>
        </is>
      </c>
      <c r="B851" s="1" t="n">
        <v>45848.68640046296</v>
      </c>
      <c r="C851" s="1" t="n">
        <v>45900</v>
      </c>
      <c r="D851" t="inlineStr">
        <is>
          <t>JÄMTLANDS LÄN</t>
        </is>
      </c>
      <c r="E851" t="inlineStr">
        <is>
          <t>HÄRJEDALEN</t>
        </is>
      </c>
      <c r="F851" t="inlineStr">
        <is>
          <t>Bergvik skog väst AB</t>
        </is>
      </c>
      <c r="G851" t="n">
        <v>32.2</v>
      </c>
      <c r="H851" t="n">
        <v>0</v>
      </c>
      <c r="I851" t="n">
        <v>0</v>
      </c>
      <c r="J851" t="n">
        <v>0</v>
      </c>
      <c r="K851" t="n">
        <v>0</v>
      </c>
      <c r="L851" t="n">
        <v>0</v>
      </c>
      <c r="M851" t="n">
        <v>0</v>
      </c>
      <c r="N851" t="n">
        <v>0</v>
      </c>
      <c r="O851" t="n">
        <v>0</v>
      </c>
      <c r="P851" t="n">
        <v>0</v>
      </c>
      <c r="Q851" t="n">
        <v>0</v>
      </c>
      <c r="R851" s="2" t="inlineStr"/>
    </row>
    <row r="852" ht="15" customHeight="1">
      <c r="A852" t="inlineStr">
        <is>
          <t>A 34702-2025</t>
        </is>
      </c>
      <c r="B852" s="1" t="n">
        <v>45848</v>
      </c>
      <c r="C852" s="1" t="n">
        <v>45900</v>
      </c>
      <c r="D852" t="inlineStr">
        <is>
          <t>JÄMTLANDS LÄN</t>
        </is>
      </c>
      <c r="E852" t="inlineStr">
        <is>
          <t>HÄRJEDALEN</t>
        </is>
      </c>
      <c r="F852" t="inlineStr">
        <is>
          <t>Bergvik skog väst AB</t>
        </is>
      </c>
      <c r="G852" t="n">
        <v>2.3</v>
      </c>
      <c r="H852" t="n">
        <v>0</v>
      </c>
      <c r="I852" t="n">
        <v>0</v>
      </c>
      <c r="J852" t="n">
        <v>0</v>
      </c>
      <c r="K852" t="n">
        <v>0</v>
      </c>
      <c r="L852" t="n">
        <v>0</v>
      </c>
      <c r="M852" t="n">
        <v>0</v>
      </c>
      <c r="N852" t="n">
        <v>0</v>
      </c>
      <c r="O852" t="n">
        <v>0</v>
      </c>
      <c r="P852" t="n">
        <v>0</v>
      </c>
      <c r="Q852" t="n">
        <v>0</v>
      </c>
      <c r="R852" s="2" t="inlineStr"/>
    </row>
    <row r="853" ht="15" customHeight="1">
      <c r="A853" t="inlineStr">
        <is>
          <t>A 34653-2025</t>
        </is>
      </c>
      <c r="B853" s="1" t="n">
        <v>45848.35400462963</v>
      </c>
      <c r="C853" s="1" t="n">
        <v>45900</v>
      </c>
      <c r="D853" t="inlineStr">
        <is>
          <t>JÄMTLANDS LÄN</t>
        </is>
      </c>
      <c r="E853" t="inlineStr">
        <is>
          <t>HÄRJEDALEN</t>
        </is>
      </c>
      <c r="G853" t="n">
        <v>26.8</v>
      </c>
      <c r="H853" t="n">
        <v>0</v>
      </c>
      <c r="I853" t="n">
        <v>0</v>
      </c>
      <c r="J853" t="n">
        <v>0</v>
      </c>
      <c r="K853" t="n">
        <v>0</v>
      </c>
      <c r="L853" t="n">
        <v>0</v>
      </c>
      <c r="M853" t="n">
        <v>0</v>
      </c>
      <c r="N853" t="n">
        <v>0</v>
      </c>
      <c r="O853" t="n">
        <v>0</v>
      </c>
      <c r="P853" t="n">
        <v>0</v>
      </c>
      <c r="Q853" t="n">
        <v>0</v>
      </c>
      <c r="R853" s="2" t="inlineStr"/>
    </row>
    <row r="854" ht="15" customHeight="1">
      <c r="A854" t="inlineStr">
        <is>
          <t>A 37747-2023</t>
        </is>
      </c>
      <c r="B854" s="1" t="n">
        <v>45159</v>
      </c>
      <c r="C854" s="1" t="n">
        <v>45900</v>
      </c>
      <c r="D854" t="inlineStr">
        <is>
          <t>JÄMTLANDS LÄN</t>
        </is>
      </c>
      <c r="E854" t="inlineStr">
        <is>
          <t>HÄRJEDALEN</t>
        </is>
      </c>
      <c r="F854" t="inlineStr">
        <is>
          <t>Bergvik skog väst AB</t>
        </is>
      </c>
      <c r="G854" t="n">
        <v>5.1</v>
      </c>
      <c r="H854" t="n">
        <v>0</v>
      </c>
      <c r="I854" t="n">
        <v>0</v>
      </c>
      <c r="J854" t="n">
        <v>0</v>
      </c>
      <c r="K854" t="n">
        <v>0</v>
      </c>
      <c r="L854" t="n">
        <v>0</v>
      </c>
      <c r="M854" t="n">
        <v>0</v>
      </c>
      <c r="N854" t="n">
        <v>0</v>
      </c>
      <c r="O854" t="n">
        <v>0</v>
      </c>
      <c r="P854" t="n">
        <v>0</v>
      </c>
      <c r="Q854" t="n">
        <v>0</v>
      </c>
      <c r="R854" s="2" t="inlineStr"/>
    </row>
    <row r="855" ht="15" customHeight="1">
      <c r="A855" t="inlineStr">
        <is>
          <t>A 37762-2023</t>
        </is>
      </c>
      <c r="B855" s="1" t="n">
        <v>45159</v>
      </c>
      <c r="C855" s="1" t="n">
        <v>45900</v>
      </c>
      <c r="D855" t="inlineStr">
        <is>
          <t>JÄMTLANDS LÄN</t>
        </is>
      </c>
      <c r="E855" t="inlineStr">
        <is>
          <t>HÄRJEDALEN</t>
        </is>
      </c>
      <c r="F855" t="inlineStr">
        <is>
          <t>Bergvik skog väst AB</t>
        </is>
      </c>
      <c r="G855" t="n">
        <v>0.9</v>
      </c>
      <c r="H855" t="n">
        <v>0</v>
      </c>
      <c r="I855" t="n">
        <v>0</v>
      </c>
      <c r="J855" t="n">
        <v>0</v>
      </c>
      <c r="K855" t="n">
        <v>0</v>
      </c>
      <c r="L855" t="n">
        <v>0</v>
      </c>
      <c r="M855" t="n">
        <v>0</v>
      </c>
      <c r="N855" t="n">
        <v>0</v>
      </c>
      <c r="O855" t="n">
        <v>0</v>
      </c>
      <c r="P855" t="n">
        <v>0</v>
      </c>
      <c r="Q855" t="n">
        <v>0</v>
      </c>
      <c r="R855" s="2" t="inlineStr"/>
    </row>
    <row r="856" ht="15" customHeight="1">
      <c r="A856" t="inlineStr">
        <is>
          <t>A 61140-2024</t>
        </is>
      </c>
      <c r="B856" s="1" t="n">
        <v>45644</v>
      </c>
      <c r="C856" s="1" t="n">
        <v>45900</v>
      </c>
      <c r="D856" t="inlineStr">
        <is>
          <t>JÄMTLANDS LÄN</t>
        </is>
      </c>
      <c r="E856" t="inlineStr">
        <is>
          <t>HÄRJEDALEN</t>
        </is>
      </c>
      <c r="G856" t="n">
        <v>29.7</v>
      </c>
      <c r="H856" t="n">
        <v>0</v>
      </c>
      <c r="I856" t="n">
        <v>0</v>
      </c>
      <c r="J856" t="n">
        <v>0</v>
      </c>
      <c r="K856" t="n">
        <v>0</v>
      </c>
      <c r="L856" t="n">
        <v>0</v>
      </c>
      <c r="M856" t="n">
        <v>0</v>
      </c>
      <c r="N856" t="n">
        <v>0</v>
      </c>
      <c r="O856" t="n">
        <v>0</v>
      </c>
      <c r="P856" t="n">
        <v>0</v>
      </c>
      <c r="Q856" t="n">
        <v>0</v>
      </c>
      <c r="R856" s="2" t="inlineStr"/>
    </row>
    <row r="857" ht="15" customHeight="1">
      <c r="A857" t="inlineStr">
        <is>
          <t>A 21596-2021</t>
        </is>
      </c>
      <c r="B857" s="1" t="n">
        <v>44314</v>
      </c>
      <c r="C857" s="1" t="n">
        <v>45900</v>
      </c>
      <c r="D857" t="inlineStr">
        <is>
          <t>JÄMTLANDS LÄN</t>
        </is>
      </c>
      <c r="E857" t="inlineStr">
        <is>
          <t>HÄRJEDALEN</t>
        </is>
      </c>
      <c r="G857" t="n">
        <v>18.2</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45900</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12484-2023</t>
        </is>
      </c>
      <c r="B859" s="1" t="n">
        <v>44998</v>
      </c>
      <c r="C859" s="1" t="n">
        <v>45900</v>
      </c>
      <c r="D859" t="inlineStr">
        <is>
          <t>JÄMTLANDS LÄN</t>
        </is>
      </c>
      <c r="E859" t="inlineStr">
        <is>
          <t>HÄRJEDALEN</t>
        </is>
      </c>
      <c r="G859" t="n">
        <v>43.1</v>
      </c>
      <c r="H859" t="n">
        <v>0</v>
      </c>
      <c r="I859" t="n">
        <v>0</v>
      </c>
      <c r="J859" t="n">
        <v>0</v>
      </c>
      <c r="K859" t="n">
        <v>0</v>
      </c>
      <c r="L859" t="n">
        <v>0</v>
      </c>
      <c r="M859" t="n">
        <v>0</v>
      </c>
      <c r="N859" t="n">
        <v>0</v>
      </c>
      <c r="O859" t="n">
        <v>0</v>
      </c>
      <c r="P859" t="n">
        <v>0</v>
      </c>
      <c r="Q859" t="n">
        <v>0</v>
      </c>
      <c r="R859" s="2" t="inlineStr"/>
    </row>
    <row r="860" ht="15" customHeight="1">
      <c r="A860" t="inlineStr">
        <is>
          <t>A 34691-2025</t>
        </is>
      </c>
      <c r="B860" s="1" t="n">
        <v>45848.45113425926</v>
      </c>
      <c r="C860" s="1" t="n">
        <v>45900</v>
      </c>
      <c r="D860" t="inlineStr">
        <is>
          <t>JÄMTLANDS LÄN</t>
        </is>
      </c>
      <c r="E860" t="inlineStr">
        <is>
          <t>HÄRJEDALEN</t>
        </is>
      </c>
      <c r="F860" t="inlineStr">
        <is>
          <t>Bergvik skog väst AB</t>
        </is>
      </c>
      <c r="G860" t="n">
        <v>6.1</v>
      </c>
      <c r="H860" t="n">
        <v>0</v>
      </c>
      <c r="I860" t="n">
        <v>0</v>
      </c>
      <c r="J860" t="n">
        <v>0</v>
      </c>
      <c r="K860" t="n">
        <v>0</v>
      </c>
      <c r="L860" t="n">
        <v>0</v>
      </c>
      <c r="M860" t="n">
        <v>0</v>
      </c>
      <c r="N860" t="n">
        <v>0</v>
      </c>
      <c r="O860" t="n">
        <v>0</v>
      </c>
      <c r="P860" t="n">
        <v>0</v>
      </c>
      <c r="Q860" t="n">
        <v>0</v>
      </c>
      <c r="R860" s="2" t="inlineStr"/>
    </row>
    <row r="861" ht="15" customHeight="1">
      <c r="A861" t="inlineStr">
        <is>
          <t>A 34767-2025</t>
        </is>
      </c>
      <c r="B861" s="1" t="n">
        <v>45848.65003472222</v>
      </c>
      <c r="C861" s="1" t="n">
        <v>45900</v>
      </c>
      <c r="D861" t="inlineStr">
        <is>
          <t>JÄMTLANDS LÄN</t>
        </is>
      </c>
      <c r="E861" t="inlineStr">
        <is>
          <t>HÄRJEDALEN</t>
        </is>
      </c>
      <c r="G861" t="n">
        <v>0.6</v>
      </c>
      <c r="H861" t="n">
        <v>0</v>
      </c>
      <c r="I861" t="n">
        <v>0</v>
      </c>
      <c r="J861" t="n">
        <v>0</v>
      </c>
      <c r="K861" t="n">
        <v>0</v>
      </c>
      <c r="L861" t="n">
        <v>0</v>
      </c>
      <c r="M861" t="n">
        <v>0</v>
      </c>
      <c r="N861" t="n">
        <v>0</v>
      </c>
      <c r="O861" t="n">
        <v>0</v>
      </c>
      <c r="P861" t="n">
        <v>0</v>
      </c>
      <c r="Q861" t="n">
        <v>0</v>
      </c>
      <c r="R861" s="2" t="inlineStr"/>
    </row>
    <row r="862" ht="15" customHeight="1">
      <c r="A862" t="inlineStr">
        <is>
          <t>A 34570-2025</t>
        </is>
      </c>
      <c r="B862" s="1" t="n">
        <v>45847.58865740741</v>
      </c>
      <c r="C862" s="1" t="n">
        <v>45900</v>
      </c>
      <c r="D862" t="inlineStr">
        <is>
          <t>JÄMTLANDS LÄN</t>
        </is>
      </c>
      <c r="E862" t="inlineStr">
        <is>
          <t>HÄRJEDALEN</t>
        </is>
      </c>
      <c r="F862" t="inlineStr">
        <is>
          <t>Bergvik skog väst AB</t>
        </is>
      </c>
      <c r="G862" t="n">
        <v>19.1</v>
      </c>
      <c r="H862" t="n">
        <v>0</v>
      </c>
      <c r="I862" t="n">
        <v>0</v>
      </c>
      <c r="J862" t="n">
        <v>0</v>
      </c>
      <c r="K862" t="n">
        <v>0</v>
      </c>
      <c r="L862" t="n">
        <v>0</v>
      </c>
      <c r="M862" t="n">
        <v>0</v>
      </c>
      <c r="N862" t="n">
        <v>0</v>
      </c>
      <c r="O862" t="n">
        <v>0</v>
      </c>
      <c r="P862" t="n">
        <v>0</v>
      </c>
      <c r="Q862" t="n">
        <v>0</v>
      </c>
      <c r="R862" s="2" t="inlineStr"/>
    </row>
    <row r="863" ht="15" customHeight="1">
      <c r="A863" t="inlineStr">
        <is>
          <t>A 12781-2025</t>
        </is>
      </c>
      <c r="B863" s="1" t="n">
        <v>45733.59667824074</v>
      </c>
      <c r="C863" s="1" t="n">
        <v>45900</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27812-2023</t>
        </is>
      </c>
      <c r="B864" s="1" t="n">
        <v>45098.48666666666</v>
      </c>
      <c r="C864" s="1" t="n">
        <v>45900</v>
      </c>
      <c r="D864" t="inlineStr">
        <is>
          <t>JÄMTLANDS LÄN</t>
        </is>
      </c>
      <c r="E864" t="inlineStr">
        <is>
          <t>HÄRJEDALEN</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62639-2022</t>
        </is>
      </c>
      <c r="B865" s="1" t="n">
        <v>44925</v>
      </c>
      <c r="C865" s="1" t="n">
        <v>45900</v>
      </c>
      <c r="D865" t="inlineStr">
        <is>
          <t>JÄMTLANDS LÄN</t>
        </is>
      </c>
      <c r="E865" t="inlineStr">
        <is>
          <t>HÄRJEDALEN</t>
        </is>
      </c>
      <c r="G865" t="n">
        <v>4.3</v>
      </c>
      <c r="H865" t="n">
        <v>0</v>
      </c>
      <c r="I865" t="n">
        <v>0</v>
      </c>
      <c r="J865" t="n">
        <v>0</v>
      </c>
      <c r="K865" t="n">
        <v>0</v>
      </c>
      <c r="L865" t="n">
        <v>0</v>
      </c>
      <c r="M865" t="n">
        <v>0</v>
      </c>
      <c r="N865" t="n">
        <v>0</v>
      </c>
      <c r="O865" t="n">
        <v>0</v>
      </c>
      <c r="P865" t="n">
        <v>0</v>
      </c>
      <c r="Q865" t="n">
        <v>0</v>
      </c>
      <c r="R865" s="2" t="inlineStr"/>
    </row>
    <row r="866" ht="15" customHeight="1">
      <c r="A866" t="inlineStr">
        <is>
          <t>A 35154-2025</t>
        </is>
      </c>
      <c r="B866" s="1" t="n">
        <v>45852</v>
      </c>
      <c r="C866" s="1" t="n">
        <v>45900</v>
      </c>
      <c r="D866" t="inlineStr">
        <is>
          <t>JÄMTLANDS LÄN</t>
        </is>
      </c>
      <c r="E866" t="inlineStr">
        <is>
          <t>HÄRJEDALEN</t>
        </is>
      </c>
      <c r="G866" t="n">
        <v>14.1</v>
      </c>
      <c r="H866" t="n">
        <v>0</v>
      </c>
      <c r="I866" t="n">
        <v>0</v>
      </c>
      <c r="J866" t="n">
        <v>0</v>
      </c>
      <c r="K866" t="n">
        <v>0</v>
      </c>
      <c r="L866" t="n">
        <v>0</v>
      </c>
      <c r="M866" t="n">
        <v>0</v>
      </c>
      <c r="N866" t="n">
        <v>0</v>
      </c>
      <c r="O866" t="n">
        <v>0</v>
      </c>
      <c r="P866" t="n">
        <v>0</v>
      </c>
      <c r="Q866" t="n">
        <v>0</v>
      </c>
      <c r="R866" s="2" t="inlineStr"/>
    </row>
    <row r="867" ht="15" customHeight="1">
      <c r="A867" t="inlineStr">
        <is>
          <t>A 39963-2025</t>
        </is>
      </c>
      <c r="B867" s="1" t="n">
        <v>45892.53184027778</v>
      </c>
      <c r="C867" s="1" t="n">
        <v>45900</v>
      </c>
      <c r="D867" t="inlineStr">
        <is>
          <t>JÄMTLANDS LÄN</t>
        </is>
      </c>
      <c r="E867" t="inlineStr">
        <is>
          <t>HÄRJEDALEN</t>
        </is>
      </c>
      <c r="G867" t="n">
        <v>33.9</v>
      </c>
      <c r="H867" t="n">
        <v>0</v>
      </c>
      <c r="I867" t="n">
        <v>0</v>
      </c>
      <c r="J867" t="n">
        <v>0</v>
      </c>
      <c r="K867" t="n">
        <v>0</v>
      </c>
      <c r="L867" t="n">
        <v>0</v>
      </c>
      <c r="M867" t="n">
        <v>0</v>
      </c>
      <c r="N867" t="n">
        <v>0</v>
      </c>
      <c r="O867" t="n">
        <v>0</v>
      </c>
      <c r="P867" t="n">
        <v>0</v>
      </c>
      <c r="Q867" t="n">
        <v>0</v>
      </c>
      <c r="R867" s="2" t="inlineStr"/>
    </row>
    <row r="868" ht="15" customHeight="1">
      <c r="A868" t="inlineStr">
        <is>
          <t>A 30744-2024</t>
        </is>
      </c>
      <c r="B868" s="1" t="n">
        <v>45496.67342592592</v>
      </c>
      <c r="C868" s="1" t="n">
        <v>45900</v>
      </c>
      <c r="D868" t="inlineStr">
        <is>
          <t>JÄMTLANDS LÄN</t>
        </is>
      </c>
      <c r="E868" t="inlineStr">
        <is>
          <t>HÄRJEDALEN</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46447-2024</t>
        </is>
      </c>
      <c r="B869" s="1" t="n">
        <v>45582.49792824074</v>
      </c>
      <c r="C869" s="1" t="n">
        <v>45900</v>
      </c>
      <c r="D869" t="inlineStr">
        <is>
          <t>JÄMTLANDS LÄN</t>
        </is>
      </c>
      <c r="E869" t="inlineStr">
        <is>
          <t>HÄRJEDALEN</t>
        </is>
      </c>
      <c r="F869" t="inlineStr">
        <is>
          <t>Bergvik skog väst AB</t>
        </is>
      </c>
      <c r="G869" t="n">
        <v>19.2</v>
      </c>
      <c r="H869" t="n">
        <v>0</v>
      </c>
      <c r="I869" t="n">
        <v>0</v>
      </c>
      <c r="J869" t="n">
        <v>0</v>
      </c>
      <c r="K869" t="n">
        <v>0</v>
      </c>
      <c r="L869" t="n">
        <v>0</v>
      </c>
      <c r="M869" t="n">
        <v>0</v>
      </c>
      <c r="N869" t="n">
        <v>0</v>
      </c>
      <c r="O869" t="n">
        <v>0</v>
      </c>
      <c r="P869" t="n">
        <v>0</v>
      </c>
      <c r="Q869" t="n">
        <v>0</v>
      </c>
      <c r="R869" s="2" t="inlineStr"/>
    </row>
    <row r="870" ht="15" customHeight="1">
      <c r="A870" t="inlineStr">
        <is>
          <t>A 31747-2024</t>
        </is>
      </c>
      <c r="B870" s="1" t="n">
        <v>45509</v>
      </c>
      <c r="C870" s="1" t="n">
        <v>45900</v>
      </c>
      <c r="D870" t="inlineStr">
        <is>
          <t>JÄMTLANDS LÄN</t>
        </is>
      </c>
      <c r="E870" t="inlineStr">
        <is>
          <t>HÄRJEDALEN</t>
        </is>
      </c>
      <c r="F870" t="inlineStr">
        <is>
          <t>Övriga statliga verk och myndigheter</t>
        </is>
      </c>
      <c r="G870" t="n">
        <v>0.8</v>
      </c>
      <c r="H870" t="n">
        <v>0</v>
      </c>
      <c r="I870" t="n">
        <v>0</v>
      </c>
      <c r="J870" t="n">
        <v>0</v>
      </c>
      <c r="K870" t="n">
        <v>0</v>
      </c>
      <c r="L870" t="n">
        <v>0</v>
      </c>
      <c r="M870" t="n">
        <v>0</v>
      </c>
      <c r="N870" t="n">
        <v>0</v>
      </c>
      <c r="O870" t="n">
        <v>0</v>
      </c>
      <c r="P870" t="n">
        <v>0</v>
      </c>
      <c r="Q870" t="n">
        <v>0</v>
      </c>
      <c r="R870" s="2" t="inlineStr"/>
    </row>
    <row r="871" ht="15" customHeight="1">
      <c r="A871" t="inlineStr">
        <is>
          <t>A 5013-2023</t>
        </is>
      </c>
      <c r="B871" s="1" t="n">
        <v>44958</v>
      </c>
      <c r="C871" s="1" t="n">
        <v>45900</v>
      </c>
      <c r="D871" t="inlineStr">
        <is>
          <t>JÄMTLANDS LÄN</t>
        </is>
      </c>
      <c r="E871" t="inlineStr">
        <is>
          <t>HÄRJEDALEN</t>
        </is>
      </c>
      <c r="F871" t="inlineStr">
        <is>
          <t>Bergvik skog väst AB</t>
        </is>
      </c>
      <c r="G871" t="n">
        <v>0.2</v>
      </c>
      <c r="H871" t="n">
        <v>0</v>
      </c>
      <c r="I871" t="n">
        <v>0</v>
      </c>
      <c r="J871" t="n">
        <v>0</v>
      </c>
      <c r="K871" t="n">
        <v>0</v>
      </c>
      <c r="L871" t="n">
        <v>0</v>
      </c>
      <c r="M871" t="n">
        <v>0</v>
      </c>
      <c r="N871" t="n">
        <v>0</v>
      </c>
      <c r="O871" t="n">
        <v>0</v>
      </c>
      <c r="P871" t="n">
        <v>0</v>
      </c>
      <c r="Q871" t="n">
        <v>0</v>
      </c>
      <c r="R871" s="2" t="inlineStr"/>
    </row>
    <row r="872" ht="15" customHeight="1">
      <c r="A872" t="inlineStr">
        <is>
          <t>A 40194-2025</t>
        </is>
      </c>
      <c r="B872" s="1" t="n">
        <v>45894.65869212963</v>
      </c>
      <c r="C872" s="1" t="n">
        <v>45900</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40578-2023</t>
        </is>
      </c>
      <c r="B873" s="1" t="n">
        <v>45170.46923611111</v>
      </c>
      <c r="C873" s="1" t="n">
        <v>45900</v>
      </c>
      <c r="D873" t="inlineStr">
        <is>
          <t>JÄMTLANDS LÄN</t>
        </is>
      </c>
      <c r="E873" t="inlineStr">
        <is>
          <t>HÄRJEDALEN</t>
        </is>
      </c>
      <c r="F873" t="inlineStr">
        <is>
          <t>Holmen skog AB</t>
        </is>
      </c>
      <c r="G873" t="n">
        <v>5.3</v>
      </c>
      <c r="H873" t="n">
        <v>0</v>
      </c>
      <c r="I873" t="n">
        <v>0</v>
      </c>
      <c r="J873" t="n">
        <v>0</v>
      </c>
      <c r="K873" t="n">
        <v>0</v>
      </c>
      <c r="L873" t="n">
        <v>0</v>
      </c>
      <c r="M873" t="n">
        <v>0</v>
      </c>
      <c r="N873" t="n">
        <v>0</v>
      </c>
      <c r="O873" t="n">
        <v>0</v>
      </c>
      <c r="P873" t="n">
        <v>0</v>
      </c>
      <c r="Q873" t="n">
        <v>0</v>
      </c>
      <c r="R873" s="2" t="inlineStr"/>
    </row>
    <row r="874" ht="15" customHeight="1">
      <c r="A874" t="inlineStr">
        <is>
          <t>A 14837-2025</t>
        </is>
      </c>
      <c r="B874" s="1" t="n">
        <v>45743.38449074074</v>
      </c>
      <c r="C874" s="1" t="n">
        <v>45900</v>
      </c>
      <c r="D874" t="inlineStr">
        <is>
          <t>JÄMTLANDS LÄN</t>
        </is>
      </c>
      <c r="E874" t="inlineStr">
        <is>
          <t>HÄRJEDALEN</t>
        </is>
      </c>
      <c r="G874" t="n">
        <v>7.5</v>
      </c>
      <c r="H874" t="n">
        <v>0</v>
      </c>
      <c r="I874" t="n">
        <v>0</v>
      </c>
      <c r="J874" t="n">
        <v>0</v>
      </c>
      <c r="K874" t="n">
        <v>0</v>
      </c>
      <c r="L874" t="n">
        <v>0</v>
      </c>
      <c r="M874" t="n">
        <v>0</v>
      </c>
      <c r="N874" t="n">
        <v>0</v>
      </c>
      <c r="O874" t="n">
        <v>0</v>
      </c>
      <c r="P874" t="n">
        <v>0</v>
      </c>
      <c r="Q874" t="n">
        <v>0</v>
      </c>
      <c r="R874" s="2" t="inlineStr"/>
    </row>
    <row r="875" ht="15" customHeight="1">
      <c r="A875" t="inlineStr">
        <is>
          <t>A 40185-2025</t>
        </is>
      </c>
      <c r="B875" s="1" t="n">
        <v>45894.64358796296</v>
      </c>
      <c r="C875" s="1" t="n">
        <v>45900</v>
      </c>
      <c r="D875" t="inlineStr">
        <is>
          <t>JÄMTLANDS LÄN</t>
        </is>
      </c>
      <c r="E875" t="inlineStr">
        <is>
          <t>HÄRJEDALEN</t>
        </is>
      </c>
      <c r="F875" t="inlineStr">
        <is>
          <t>Bergvik skog väst AB</t>
        </is>
      </c>
      <c r="G875" t="n">
        <v>30.7</v>
      </c>
      <c r="H875" t="n">
        <v>0</v>
      </c>
      <c r="I875" t="n">
        <v>0</v>
      </c>
      <c r="J875" t="n">
        <v>0</v>
      </c>
      <c r="K875" t="n">
        <v>0</v>
      </c>
      <c r="L875" t="n">
        <v>0</v>
      </c>
      <c r="M875" t="n">
        <v>0</v>
      </c>
      <c r="N875" t="n">
        <v>0</v>
      </c>
      <c r="O875" t="n">
        <v>0</v>
      </c>
      <c r="P875" t="n">
        <v>0</v>
      </c>
      <c r="Q875" t="n">
        <v>0</v>
      </c>
      <c r="R875" s="2" t="inlineStr"/>
    </row>
    <row r="876" ht="15" customHeight="1">
      <c r="A876" t="inlineStr">
        <is>
          <t>A 4898-2025</t>
        </is>
      </c>
      <c r="B876" s="1" t="n">
        <v>45688.67932870371</v>
      </c>
      <c r="C876" s="1" t="n">
        <v>45900</v>
      </c>
      <c r="D876" t="inlineStr">
        <is>
          <t>JÄMTLANDS LÄN</t>
        </is>
      </c>
      <c r="E876" t="inlineStr">
        <is>
          <t>HÄRJEDALEN</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45866-2020</t>
        </is>
      </c>
      <c r="B877" s="1" t="n">
        <v>44091</v>
      </c>
      <c r="C877" s="1" t="n">
        <v>45900</v>
      </c>
      <c r="D877" t="inlineStr">
        <is>
          <t>JÄMTLANDS LÄN</t>
        </is>
      </c>
      <c r="E877" t="inlineStr">
        <is>
          <t>HÄRJEDALEN</t>
        </is>
      </c>
      <c r="G877" t="n">
        <v>0.2</v>
      </c>
      <c r="H877" t="n">
        <v>0</v>
      </c>
      <c r="I877" t="n">
        <v>0</v>
      </c>
      <c r="J877" t="n">
        <v>0</v>
      </c>
      <c r="K877" t="n">
        <v>0</v>
      </c>
      <c r="L877" t="n">
        <v>0</v>
      </c>
      <c r="M877" t="n">
        <v>0</v>
      </c>
      <c r="N877" t="n">
        <v>0</v>
      </c>
      <c r="O877" t="n">
        <v>0</v>
      </c>
      <c r="P877" t="n">
        <v>0</v>
      </c>
      <c r="Q877" t="n">
        <v>0</v>
      </c>
      <c r="R877" s="2" t="inlineStr"/>
    </row>
    <row r="878" ht="15" customHeight="1">
      <c r="A878" t="inlineStr">
        <is>
          <t>A 35076-2025</t>
        </is>
      </c>
      <c r="B878" s="1" t="n">
        <v>45852.48290509259</v>
      </c>
      <c r="C878" s="1" t="n">
        <v>45900</v>
      </c>
      <c r="D878" t="inlineStr">
        <is>
          <t>JÄMTLANDS LÄN</t>
        </is>
      </c>
      <c r="E878" t="inlineStr">
        <is>
          <t>HÄRJEDALEN</t>
        </is>
      </c>
      <c r="G878" t="n">
        <v>2.9</v>
      </c>
      <c r="H878" t="n">
        <v>0</v>
      </c>
      <c r="I878" t="n">
        <v>0</v>
      </c>
      <c r="J878" t="n">
        <v>0</v>
      </c>
      <c r="K878" t="n">
        <v>0</v>
      </c>
      <c r="L878" t="n">
        <v>0</v>
      </c>
      <c r="M878" t="n">
        <v>0</v>
      </c>
      <c r="N878" t="n">
        <v>0</v>
      </c>
      <c r="O878" t="n">
        <v>0</v>
      </c>
      <c r="P878" t="n">
        <v>0</v>
      </c>
      <c r="Q878" t="n">
        <v>0</v>
      </c>
      <c r="R878" s="2" t="inlineStr"/>
    </row>
    <row r="879" ht="15" customHeight="1">
      <c r="A879" t="inlineStr">
        <is>
          <t>A 34807-2025</t>
        </is>
      </c>
      <c r="B879" s="1" t="n">
        <v>45849</v>
      </c>
      <c r="C879" s="1" t="n">
        <v>45900</v>
      </c>
      <c r="D879" t="inlineStr">
        <is>
          <t>JÄMTLANDS LÄN</t>
        </is>
      </c>
      <c r="E879" t="inlineStr">
        <is>
          <t>HÄRJEDALEN</t>
        </is>
      </c>
      <c r="G879" t="n">
        <v>6.6</v>
      </c>
      <c r="H879" t="n">
        <v>0</v>
      </c>
      <c r="I879" t="n">
        <v>0</v>
      </c>
      <c r="J879" t="n">
        <v>0</v>
      </c>
      <c r="K879" t="n">
        <v>0</v>
      </c>
      <c r="L879" t="n">
        <v>0</v>
      </c>
      <c r="M879" t="n">
        <v>0</v>
      </c>
      <c r="N879" t="n">
        <v>0</v>
      </c>
      <c r="O879" t="n">
        <v>0</v>
      </c>
      <c r="P879" t="n">
        <v>0</v>
      </c>
      <c r="Q879" t="n">
        <v>0</v>
      </c>
      <c r="R879" s="2" t="inlineStr"/>
    </row>
    <row r="880" ht="15" customHeight="1">
      <c r="A880" t="inlineStr">
        <is>
          <t>A 9980-2025</t>
        </is>
      </c>
      <c r="B880" s="1" t="n">
        <v>45719.40480324074</v>
      </c>
      <c r="C880" s="1" t="n">
        <v>45900</v>
      </c>
      <c r="D880" t="inlineStr">
        <is>
          <t>JÄMTLANDS LÄN</t>
        </is>
      </c>
      <c r="E880" t="inlineStr">
        <is>
          <t>HÄRJEDALEN</t>
        </is>
      </c>
      <c r="G880" t="n">
        <v>1.2</v>
      </c>
      <c r="H880" t="n">
        <v>0</v>
      </c>
      <c r="I880" t="n">
        <v>0</v>
      </c>
      <c r="J880" t="n">
        <v>0</v>
      </c>
      <c r="K880" t="n">
        <v>0</v>
      </c>
      <c r="L880" t="n">
        <v>0</v>
      </c>
      <c r="M880" t="n">
        <v>0</v>
      </c>
      <c r="N880" t="n">
        <v>0</v>
      </c>
      <c r="O880" t="n">
        <v>0</v>
      </c>
      <c r="P880" t="n">
        <v>0</v>
      </c>
      <c r="Q880" t="n">
        <v>0</v>
      </c>
      <c r="R880" s="2" t="inlineStr"/>
    </row>
    <row r="881" ht="15" customHeight="1">
      <c r="A881" t="inlineStr">
        <is>
          <t>A 20341-2025</t>
        </is>
      </c>
      <c r="B881" s="1" t="n">
        <v>45775.36587962963</v>
      </c>
      <c r="C881" s="1" t="n">
        <v>45900</v>
      </c>
      <c r="D881" t="inlineStr">
        <is>
          <t>JÄMTLANDS LÄN</t>
        </is>
      </c>
      <c r="E881" t="inlineStr">
        <is>
          <t>HÄRJEDALEN</t>
        </is>
      </c>
      <c r="G881" t="n">
        <v>3.6</v>
      </c>
      <c r="H881" t="n">
        <v>0</v>
      </c>
      <c r="I881" t="n">
        <v>0</v>
      </c>
      <c r="J881" t="n">
        <v>0</v>
      </c>
      <c r="K881" t="n">
        <v>0</v>
      </c>
      <c r="L881" t="n">
        <v>0</v>
      </c>
      <c r="M881" t="n">
        <v>0</v>
      </c>
      <c r="N881" t="n">
        <v>0</v>
      </c>
      <c r="O881" t="n">
        <v>0</v>
      </c>
      <c r="P881" t="n">
        <v>0</v>
      </c>
      <c r="Q881" t="n">
        <v>0</v>
      </c>
      <c r="R881" s="2" t="inlineStr"/>
    </row>
    <row r="882" ht="15" customHeight="1">
      <c r="A882" t="inlineStr">
        <is>
          <t>A 20342-2025</t>
        </is>
      </c>
      <c r="B882" s="1" t="n">
        <v>45775.36589120371</v>
      </c>
      <c r="C882" s="1" t="n">
        <v>45900</v>
      </c>
      <c r="D882" t="inlineStr">
        <is>
          <t>JÄMTLANDS LÄN</t>
        </is>
      </c>
      <c r="E882" t="inlineStr">
        <is>
          <t>HÄRJEDALEN</t>
        </is>
      </c>
      <c r="G882" t="n">
        <v>1.5</v>
      </c>
      <c r="H882" t="n">
        <v>0</v>
      </c>
      <c r="I882" t="n">
        <v>0</v>
      </c>
      <c r="J882" t="n">
        <v>0</v>
      </c>
      <c r="K882" t="n">
        <v>0</v>
      </c>
      <c r="L882" t="n">
        <v>0</v>
      </c>
      <c r="M882" t="n">
        <v>0</v>
      </c>
      <c r="N882" t="n">
        <v>0</v>
      </c>
      <c r="O882" t="n">
        <v>0</v>
      </c>
      <c r="P882" t="n">
        <v>0</v>
      </c>
      <c r="Q882" t="n">
        <v>0</v>
      </c>
      <c r="R882" s="2" t="inlineStr"/>
    </row>
    <row r="883" ht="15" customHeight="1">
      <c r="A883" t="inlineStr">
        <is>
          <t>A 40573-2025</t>
        </is>
      </c>
      <c r="B883" s="1" t="n">
        <v>45896.49959490741</v>
      </c>
      <c r="C883" s="1" t="n">
        <v>45900</v>
      </c>
      <c r="D883" t="inlineStr">
        <is>
          <t>JÄMTLANDS LÄN</t>
        </is>
      </c>
      <c r="E883" t="inlineStr">
        <is>
          <t>HÄRJEDALEN</t>
        </is>
      </c>
      <c r="G883" t="n">
        <v>1.6</v>
      </c>
      <c r="H883" t="n">
        <v>0</v>
      </c>
      <c r="I883" t="n">
        <v>0</v>
      </c>
      <c r="J883" t="n">
        <v>0</v>
      </c>
      <c r="K883" t="n">
        <v>0</v>
      </c>
      <c r="L883" t="n">
        <v>0</v>
      </c>
      <c r="M883" t="n">
        <v>0</v>
      </c>
      <c r="N883" t="n">
        <v>0</v>
      </c>
      <c r="O883" t="n">
        <v>0</v>
      </c>
      <c r="P883" t="n">
        <v>0</v>
      </c>
      <c r="Q883" t="n">
        <v>0</v>
      </c>
      <c r="R883" s="2" t="inlineStr"/>
    </row>
    <row r="884" ht="15" customHeight="1">
      <c r="A884" t="inlineStr">
        <is>
          <t>A 54640-2024</t>
        </is>
      </c>
      <c r="B884" s="1" t="n">
        <v>45617.89371527778</v>
      </c>
      <c r="C884" s="1" t="n">
        <v>45900</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55115-2024</t>
        </is>
      </c>
      <c r="B885" s="1" t="n">
        <v>45621</v>
      </c>
      <c r="C885" s="1" t="n">
        <v>45900</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35241-2025</t>
        </is>
      </c>
      <c r="B886" s="1" t="n">
        <v>45853.61865740741</v>
      </c>
      <c r="C886" s="1" t="n">
        <v>45900</v>
      </c>
      <c r="D886" t="inlineStr">
        <is>
          <t>JÄMTLANDS LÄN</t>
        </is>
      </c>
      <c r="E886" t="inlineStr">
        <is>
          <t>HÄRJEDALEN</t>
        </is>
      </c>
      <c r="G886" t="n">
        <v>8.6</v>
      </c>
      <c r="H886" t="n">
        <v>0</v>
      </c>
      <c r="I886" t="n">
        <v>0</v>
      </c>
      <c r="J886" t="n">
        <v>0</v>
      </c>
      <c r="K886" t="n">
        <v>0</v>
      </c>
      <c r="L886" t="n">
        <v>0</v>
      </c>
      <c r="M886" t="n">
        <v>0</v>
      </c>
      <c r="N886" t="n">
        <v>0</v>
      </c>
      <c r="O886" t="n">
        <v>0</v>
      </c>
      <c r="P886" t="n">
        <v>0</v>
      </c>
      <c r="Q886" t="n">
        <v>0</v>
      </c>
      <c r="R886" s="2" t="inlineStr"/>
    </row>
    <row r="887" ht="15" customHeight="1">
      <c r="A887" t="inlineStr">
        <is>
          <t>A 35243-2025</t>
        </is>
      </c>
      <c r="B887" s="1" t="n">
        <v>45853.62415509259</v>
      </c>
      <c r="C887" s="1" t="n">
        <v>45900</v>
      </c>
      <c r="D887" t="inlineStr">
        <is>
          <t>JÄMTLANDS LÄN</t>
        </is>
      </c>
      <c r="E887" t="inlineStr">
        <is>
          <t>HÄRJEDALEN</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35182-2025</t>
        </is>
      </c>
      <c r="B888" s="1" t="n">
        <v>45853.28325231482</v>
      </c>
      <c r="C888" s="1" t="n">
        <v>45900</v>
      </c>
      <c r="D888" t="inlineStr">
        <is>
          <t>JÄMTLANDS LÄN</t>
        </is>
      </c>
      <c r="E888" t="inlineStr">
        <is>
          <t>HÄRJEDALEN</t>
        </is>
      </c>
      <c r="G888" t="n">
        <v>32.6</v>
      </c>
      <c r="H888" t="n">
        <v>0</v>
      </c>
      <c r="I888" t="n">
        <v>0</v>
      </c>
      <c r="J888" t="n">
        <v>0</v>
      </c>
      <c r="K888" t="n">
        <v>0</v>
      </c>
      <c r="L888" t="n">
        <v>0</v>
      </c>
      <c r="M888" t="n">
        <v>0</v>
      </c>
      <c r="N888" t="n">
        <v>0</v>
      </c>
      <c r="O888" t="n">
        <v>0</v>
      </c>
      <c r="P888" t="n">
        <v>0</v>
      </c>
      <c r="Q888" t="n">
        <v>0</v>
      </c>
      <c r="R888" s="2" t="inlineStr"/>
    </row>
    <row r="889" ht="15" customHeight="1">
      <c r="A889" t="inlineStr">
        <is>
          <t>A 36921-2023</t>
        </is>
      </c>
      <c r="B889" s="1" t="n">
        <v>45154</v>
      </c>
      <c r="C889" s="1" t="n">
        <v>45900</v>
      </c>
      <c r="D889" t="inlineStr">
        <is>
          <t>JÄMTLANDS LÄN</t>
        </is>
      </c>
      <c r="E889" t="inlineStr">
        <is>
          <t>HÄRJEDALEN</t>
        </is>
      </c>
      <c r="G889" t="n">
        <v>1.7</v>
      </c>
      <c r="H889" t="n">
        <v>0</v>
      </c>
      <c r="I889" t="n">
        <v>0</v>
      </c>
      <c r="J889" t="n">
        <v>0</v>
      </c>
      <c r="K889" t="n">
        <v>0</v>
      </c>
      <c r="L889" t="n">
        <v>0</v>
      </c>
      <c r="M889" t="n">
        <v>0</v>
      </c>
      <c r="N889" t="n">
        <v>0</v>
      </c>
      <c r="O889" t="n">
        <v>0</v>
      </c>
      <c r="P889" t="n">
        <v>0</v>
      </c>
      <c r="Q889" t="n">
        <v>0</v>
      </c>
      <c r="R889" s="2" t="inlineStr"/>
    </row>
    <row r="890" ht="15" customHeight="1">
      <c r="A890" t="inlineStr">
        <is>
          <t>A 10002-2025</t>
        </is>
      </c>
      <c r="B890" s="1" t="n">
        <v>45719.45215277778</v>
      </c>
      <c r="C890" s="1" t="n">
        <v>45900</v>
      </c>
      <c r="D890" t="inlineStr">
        <is>
          <t>JÄMTLANDS LÄN</t>
        </is>
      </c>
      <c r="E890" t="inlineStr">
        <is>
          <t>HÄRJEDALEN</t>
        </is>
      </c>
      <c r="G890" t="n">
        <v>2.2</v>
      </c>
      <c r="H890" t="n">
        <v>0</v>
      </c>
      <c r="I890" t="n">
        <v>0</v>
      </c>
      <c r="J890" t="n">
        <v>0</v>
      </c>
      <c r="K890" t="n">
        <v>0</v>
      </c>
      <c r="L890" t="n">
        <v>0</v>
      </c>
      <c r="M890" t="n">
        <v>0</v>
      </c>
      <c r="N890" t="n">
        <v>0</v>
      </c>
      <c r="O890" t="n">
        <v>0</v>
      </c>
      <c r="P890" t="n">
        <v>0</v>
      </c>
      <c r="Q890" t="n">
        <v>0</v>
      </c>
      <c r="R890" s="2" t="inlineStr"/>
    </row>
    <row r="891" ht="15" customHeight="1">
      <c r="A891" t="inlineStr">
        <is>
          <t>A 51601-2024</t>
        </is>
      </c>
      <c r="B891" s="1" t="n">
        <v>45604.66936342593</v>
      </c>
      <c r="C891" s="1" t="n">
        <v>45900</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31910-2023</t>
        </is>
      </c>
      <c r="B892" s="1" t="n">
        <v>45118.91633101852</v>
      </c>
      <c r="C892" s="1" t="n">
        <v>45900</v>
      </c>
      <c r="D892" t="inlineStr">
        <is>
          <t>JÄMTLANDS LÄN</t>
        </is>
      </c>
      <c r="E892" t="inlineStr">
        <is>
          <t>HÄRJEDALEN</t>
        </is>
      </c>
      <c r="G892" t="n">
        <v>5</v>
      </c>
      <c r="H892" t="n">
        <v>0</v>
      </c>
      <c r="I892" t="n">
        <v>0</v>
      </c>
      <c r="J892" t="n">
        <v>0</v>
      </c>
      <c r="K892" t="n">
        <v>0</v>
      </c>
      <c r="L892" t="n">
        <v>0</v>
      </c>
      <c r="M892" t="n">
        <v>0</v>
      </c>
      <c r="N892" t="n">
        <v>0</v>
      </c>
      <c r="O892" t="n">
        <v>0</v>
      </c>
      <c r="P892" t="n">
        <v>0</v>
      </c>
      <c r="Q892" t="n">
        <v>0</v>
      </c>
      <c r="R892" s="2" t="inlineStr"/>
    </row>
    <row r="893" ht="15" customHeight="1">
      <c r="A893" t="inlineStr">
        <is>
          <t>A 31961-2023</t>
        </is>
      </c>
      <c r="B893" s="1" t="n">
        <v>45119</v>
      </c>
      <c r="C893" s="1" t="n">
        <v>45900</v>
      </c>
      <c r="D893" t="inlineStr">
        <is>
          <t>JÄMTLANDS LÄN</t>
        </is>
      </c>
      <c r="E893" t="inlineStr">
        <is>
          <t>HÄRJEDALEN</t>
        </is>
      </c>
      <c r="G893" t="n">
        <v>3.1</v>
      </c>
      <c r="H893" t="n">
        <v>0</v>
      </c>
      <c r="I893" t="n">
        <v>0</v>
      </c>
      <c r="J893" t="n">
        <v>0</v>
      </c>
      <c r="K893" t="n">
        <v>0</v>
      </c>
      <c r="L893" t="n">
        <v>0</v>
      </c>
      <c r="M893" t="n">
        <v>0</v>
      </c>
      <c r="N893" t="n">
        <v>0</v>
      </c>
      <c r="O893" t="n">
        <v>0</v>
      </c>
      <c r="P893" t="n">
        <v>0</v>
      </c>
      <c r="Q893" t="n">
        <v>0</v>
      </c>
      <c r="R893" s="2" t="inlineStr"/>
    </row>
    <row r="894" ht="15" customHeight="1">
      <c r="A894" t="inlineStr">
        <is>
          <t>A 35297-2025</t>
        </is>
      </c>
      <c r="B894" s="1" t="n">
        <v>45854.40662037037</v>
      </c>
      <c r="C894" s="1" t="n">
        <v>45900</v>
      </c>
      <c r="D894" t="inlineStr">
        <is>
          <t>JÄMTLANDS LÄN</t>
        </is>
      </c>
      <c r="E894" t="inlineStr">
        <is>
          <t>HÄRJEDALEN</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21778-2022</t>
        </is>
      </c>
      <c r="B895" s="1" t="n">
        <v>44708.48859953704</v>
      </c>
      <c r="C895" s="1" t="n">
        <v>45900</v>
      </c>
      <c r="D895" t="inlineStr">
        <is>
          <t>JÄMTLANDS LÄN</t>
        </is>
      </c>
      <c r="E895" t="inlineStr">
        <is>
          <t>HÄRJEDALEN</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58352-2024</t>
        </is>
      </c>
      <c r="B896" s="1" t="n">
        <v>45632.65197916667</v>
      </c>
      <c r="C896" s="1" t="n">
        <v>45900</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57373-2021</t>
        </is>
      </c>
      <c r="B897" s="1" t="n">
        <v>44483</v>
      </c>
      <c r="C897" s="1" t="n">
        <v>45900</v>
      </c>
      <c r="D897" t="inlineStr">
        <is>
          <t>JÄMTLANDS LÄN</t>
        </is>
      </c>
      <c r="E897" t="inlineStr">
        <is>
          <t>HÄRJEDALEN</t>
        </is>
      </c>
      <c r="G897" t="n">
        <v>10.8</v>
      </c>
      <c r="H897" t="n">
        <v>0</v>
      </c>
      <c r="I897" t="n">
        <v>0</v>
      </c>
      <c r="J897" t="n">
        <v>0</v>
      </c>
      <c r="K897" t="n">
        <v>0</v>
      </c>
      <c r="L897" t="n">
        <v>0</v>
      </c>
      <c r="M897" t="n">
        <v>0</v>
      </c>
      <c r="N897" t="n">
        <v>0</v>
      </c>
      <c r="O897" t="n">
        <v>0</v>
      </c>
      <c r="P897" t="n">
        <v>0</v>
      </c>
      <c r="Q897" t="n">
        <v>0</v>
      </c>
      <c r="R897" s="2" t="inlineStr"/>
    </row>
    <row r="898" ht="15" customHeight="1">
      <c r="A898" t="inlineStr">
        <is>
          <t>A 40572-2025</t>
        </is>
      </c>
      <c r="B898" s="1" t="n">
        <v>45896.49821759259</v>
      </c>
      <c r="C898" s="1" t="n">
        <v>45900</v>
      </c>
      <c r="D898" t="inlineStr">
        <is>
          <t>JÄMTLANDS LÄN</t>
        </is>
      </c>
      <c r="E898" t="inlineStr">
        <is>
          <t>HÄRJEDALEN</t>
        </is>
      </c>
      <c r="G898" t="n">
        <v>0.4</v>
      </c>
      <c r="H898" t="n">
        <v>0</v>
      </c>
      <c r="I898" t="n">
        <v>0</v>
      </c>
      <c r="J898" t="n">
        <v>0</v>
      </c>
      <c r="K898" t="n">
        <v>0</v>
      </c>
      <c r="L898" t="n">
        <v>0</v>
      </c>
      <c r="M898" t="n">
        <v>0</v>
      </c>
      <c r="N898" t="n">
        <v>0</v>
      </c>
      <c r="O898" t="n">
        <v>0</v>
      </c>
      <c r="P898" t="n">
        <v>0</v>
      </c>
      <c r="Q898" t="n">
        <v>0</v>
      </c>
      <c r="R898" s="2" t="inlineStr"/>
    </row>
    <row r="899" ht="15" customHeight="1">
      <c r="A899" t="inlineStr">
        <is>
          <t>A 1602-2021</t>
        </is>
      </c>
      <c r="B899" s="1" t="n">
        <v>44209</v>
      </c>
      <c r="C899" s="1" t="n">
        <v>45900</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576-2025</t>
        </is>
      </c>
      <c r="B900" s="1" t="n">
        <v>45664.56502314815</v>
      </c>
      <c r="C900" s="1" t="n">
        <v>45900</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40249-2025</t>
        </is>
      </c>
      <c r="B901" s="1" t="n">
        <v>45895.29387731481</v>
      </c>
      <c r="C901" s="1" t="n">
        <v>45900</v>
      </c>
      <c r="D901" t="inlineStr">
        <is>
          <t>JÄMTLANDS LÄN</t>
        </is>
      </c>
      <c r="E901" t="inlineStr">
        <is>
          <t>HÄRJEDALEN</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14039-2025</t>
        </is>
      </c>
      <c r="B902" s="1" t="n">
        <v>45740.36546296296</v>
      </c>
      <c r="C902" s="1" t="n">
        <v>45900</v>
      </c>
      <c r="D902" t="inlineStr">
        <is>
          <t>JÄMTLANDS LÄN</t>
        </is>
      </c>
      <c r="E902" t="inlineStr">
        <is>
          <t>HÄRJEDALEN</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35309-2025</t>
        </is>
      </c>
      <c r="B903" s="1" t="n">
        <v>45854.44850694444</v>
      </c>
      <c r="C903" s="1" t="n">
        <v>45900</v>
      </c>
      <c r="D903" t="inlineStr">
        <is>
          <t>JÄMTLANDS LÄN</t>
        </is>
      </c>
      <c r="E903" t="inlineStr">
        <is>
          <t>HÄRJEDALEN</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35310-2025</t>
        </is>
      </c>
      <c r="B904" s="1" t="n">
        <v>45854.44864583333</v>
      </c>
      <c r="C904" s="1" t="n">
        <v>45900</v>
      </c>
      <c r="D904" t="inlineStr">
        <is>
          <t>JÄMTLANDS LÄN</t>
        </is>
      </c>
      <c r="E904" t="inlineStr">
        <is>
          <t>HÄRJEDALEN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29536-2024</t>
        </is>
      </c>
      <c r="B905" s="1" t="n">
        <v>45484.48854166667</v>
      </c>
      <c r="C905" s="1" t="n">
        <v>45900</v>
      </c>
      <c r="D905" t="inlineStr">
        <is>
          <t>JÄMTLANDS LÄN</t>
        </is>
      </c>
      <c r="E905" t="inlineStr">
        <is>
          <t>HÄRJEDALEN</t>
        </is>
      </c>
      <c r="F905" t="inlineStr">
        <is>
          <t>Holmen skog AB</t>
        </is>
      </c>
      <c r="G905" t="n">
        <v>25.2</v>
      </c>
      <c r="H905" t="n">
        <v>0</v>
      </c>
      <c r="I905" t="n">
        <v>0</v>
      </c>
      <c r="J905" t="n">
        <v>0</v>
      </c>
      <c r="K905" t="n">
        <v>0</v>
      </c>
      <c r="L905" t="n">
        <v>0</v>
      </c>
      <c r="M905" t="n">
        <v>0</v>
      </c>
      <c r="N905" t="n">
        <v>0</v>
      </c>
      <c r="O905" t="n">
        <v>0</v>
      </c>
      <c r="P905" t="n">
        <v>0</v>
      </c>
      <c r="Q905" t="n">
        <v>0</v>
      </c>
      <c r="R905" s="2" t="inlineStr"/>
    </row>
    <row r="906" ht="15" customHeight="1">
      <c r="A906" t="inlineStr">
        <is>
          <t>A 35813-2023</t>
        </is>
      </c>
      <c r="B906" s="1" t="n">
        <v>45147</v>
      </c>
      <c r="C906" s="1" t="n">
        <v>45900</v>
      </c>
      <c r="D906" t="inlineStr">
        <is>
          <t>JÄMTLANDS LÄN</t>
        </is>
      </c>
      <c r="E906" t="inlineStr">
        <is>
          <t>HÄRJEDALEN</t>
        </is>
      </c>
      <c r="G906" t="n">
        <v>15.1</v>
      </c>
      <c r="H906" t="n">
        <v>0</v>
      </c>
      <c r="I906" t="n">
        <v>0</v>
      </c>
      <c r="J906" t="n">
        <v>0</v>
      </c>
      <c r="K906" t="n">
        <v>0</v>
      </c>
      <c r="L906" t="n">
        <v>0</v>
      </c>
      <c r="M906" t="n">
        <v>0</v>
      </c>
      <c r="N906" t="n">
        <v>0</v>
      </c>
      <c r="O906" t="n">
        <v>0</v>
      </c>
      <c r="P906" t="n">
        <v>0</v>
      </c>
      <c r="Q906" t="n">
        <v>0</v>
      </c>
      <c r="R906" s="2" t="inlineStr"/>
    </row>
    <row r="907" ht="15" customHeight="1">
      <c r="A907" t="inlineStr">
        <is>
          <t>A 29935-2024</t>
        </is>
      </c>
      <c r="B907" s="1" t="n">
        <v>45488</v>
      </c>
      <c r="C907" s="1" t="n">
        <v>45900</v>
      </c>
      <c r="D907" t="inlineStr">
        <is>
          <t>JÄMTLANDS LÄN</t>
        </is>
      </c>
      <c r="E907" t="inlineStr">
        <is>
          <t>HÄRJEDALEN</t>
        </is>
      </c>
      <c r="G907" t="n">
        <v>6.8</v>
      </c>
      <c r="H907" t="n">
        <v>0</v>
      </c>
      <c r="I907" t="n">
        <v>0</v>
      </c>
      <c r="J907" t="n">
        <v>0</v>
      </c>
      <c r="K907" t="n">
        <v>0</v>
      </c>
      <c r="L907" t="n">
        <v>0</v>
      </c>
      <c r="M907" t="n">
        <v>0</v>
      </c>
      <c r="N907" t="n">
        <v>0</v>
      </c>
      <c r="O907" t="n">
        <v>0</v>
      </c>
      <c r="P907" t="n">
        <v>0</v>
      </c>
      <c r="Q907" t="n">
        <v>0</v>
      </c>
      <c r="R907" s="2" t="inlineStr"/>
    </row>
    <row r="908" ht="15" customHeight="1">
      <c r="A908" t="inlineStr">
        <is>
          <t>A 40789-2025</t>
        </is>
      </c>
      <c r="B908" s="1" t="n">
        <v>45897.44645833333</v>
      </c>
      <c r="C908" s="1" t="n">
        <v>45900</v>
      </c>
      <c r="D908" t="inlineStr">
        <is>
          <t>JÄMTLANDS LÄN</t>
        </is>
      </c>
      <c r="E908" t="inlineStr">
        <is>
          <t>HÄRJEDALEN</t>
        </is>
      </c>
      <c r="F908" t="inlineStr">
        <is>
          <t>Holmen skog AB</t>
        </is>
      </c>
      <c r="G908" t="n">
        <v>3.4</v>
      </c>
      <c r="H908" t="n">
        <v>0</v>
      </c>
      <c r="I908" t="n">
        <v>0</v>
      </c>
      <c r="J908" t="n">
        <v>0</v>
      </c>
      <c r="K908" t="n">
        <v>0</v>
      </c>
      <c r="L908" t="n">
        <v>0</v>
      </c>
      <c r="M908" t="n">
        <v>0</v>
      </c>
      <c r="N908" t="n">
        <v>0</v>
      </c>
      <c r="O908" t="n">
        <v>0</v>
      </c>
      <c r="P908" t="n">
        <v>0</v>
      </c>
      <c r="Q908" t="n">
        <v>0</v>
      </c>
      <c r="R908" s="2" t="inlineStr"/>
    </row>
    <row r="909" ht="15" customHeight="1">
      <c r="A909" t="inlineStr">
        <is>
          <t>A 41180-2025</t>
        </is>
      </c>
      <c r="B909" s="1" t="n">
        <v>45898.55296296296</v>
      </c>
      <c r="C909" s="1" t="n">
        <v>45900</v>
      </c>
      <c r="D909" t="inlineStr">
        <is>
          <t>JÄMTLANDS LÄN</t>
        </is>
      </c>
      <c r="E909" t="inlineStr">
        <is>
          <t>HÄRJEDALEN</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48438-2022</t>
        </is>
      </c>
      <c r="B910" s="1" t="n">
        <v>44858</v>
      </c>
      <c r="C910" s="1" t="n">
        <v>45900</v>
      </c>
      <c r="D910" t="inlineStr">
        <is>
          <t>JÄMTLANDS LÄN</t>
        </is>
      </c>
      <c r="E910" t="inlineStr">
        <is>
          <t>HÄRJEDALEN</t>
        </is>
      </c>
      <c r="G910" t="n">
        <v>1.9</v>
      </c>
      <c r="H910" t="n">
        <v>0</v>
      </c>
      <c r="I910" t="n">
        <v>0</v>
      </c>
      <c r="J910" t="n">
        <v>0</v>
      </c>
      <c r="K910" t="n">
        <v>0</v>
      </c>
      <c r="L910" t="n">
        <v>0</v>
      </c>
      <c r="M910" t="n">
        <v>0</v>
      </c>
      <c r="N910" t="n">
        <v>0</v>
      </c>
      <c r="O910" t="n">
        <v>0</v>
      </c>
      <c r="P910" t="n">
        <v>0</v>
      </c>
      <c r="Q910" t="n">
        <v>0</v>
      </c>
      <c r="R910" s="2" t="inlineStr"/>
    </row>
    <row r="911" ht="15" customHeight="1">
      <c r="A911" t="inlineStr">
        <is>
          <t>A 136-2025</t>
        </is>
      </c>
      <c r="B911" s="1" t="n">
        <v>45659.57361111111</v>
      </c>
      <c r="C911" s="1" t="n">
        <v>45900</v>
      </c>
      <c r="D911" t="inlineStr">
        <is>
          <t>JÄMTLANDS LÄN</t>
        </is>
      </c>
      <c r="E911" t="inlineStr">
        <is>
          <t>HÄRJEDALEN</t>
        </is>
      </c>
      <c r="F911" t="inlineStr">
        <is>
          <t>Holmen skog AB</t>
        </is>
      </c>
      <c r="G911" t="n">
        <v>10.6</v>
      </c>
      <c r="H911" t="n">
        <v>0</v>
      </c>
      <c r="I911" t="n">
        <v>0</v>
      </c>
      <c r="J911" t="n">
        <v>0</v>
      </c>
      <c r="K911" t="n">
        <v>0</v>
      </c>
      <c r="L911" t="n">
        <v>0</v>
      </c>
      <c r="M911" t="n">
        <v>0</v>
      </c>
      <c r="N911" t="n">
        <v>0</v>
      </c>
      <c r="O911" t="n">
        <v>0</v>
      </c>
      <c r="P911" t="n">
        <v>0</v>
      </c>
      <c r="Q911" t="n">
        <v>0</v>
      </c>
      <c r="R911" s="2" t="inlineStr"/>
    </row>
    <row r="912" ht="15" customHeight="1">
      <c r="A912" t="inlineStr">
        <is>
          <t>A 65150-2023</t>
        </is>
      </c>
      <c r="B912" s="1" t="n">
        <v>45288.58685185185</v>
      </c>
      <c r="C912" s="1" t="n">
        <v>45900</v>
      </c>
      <c r="D912" t="inlineStr">
        <is>
          <t>JÄMTLANDS LÄN</t>
        </is>
      </c>
      <c r="E912" t="inlineStr">
        <is>
          <t>HÄRJEDALEN</t>
        </is>
      </c>
      <c r="G912" t="n">
        <v>2.2</v>
      </c>
      <c r="H912" t="n">
        <v>0</v>
      </c>
      <c r="I912" t="n">
        <v>0</v>
      </c>
      <c r="J912" t="n">
        <v>0</v>
      </c>
      <c r="K912" t="n">
        <v>0</v>
      </c>
      <c r="L912" t="n">
        <v>0</v>
      </c>
      <c r="M912" t="n">
        <v>0</v>
      </c>
      <c r="N912" t="n">
        <v>0</v>
      </c>
      <c r="O912" t="n">
        <v>0</v>
      </c>
      <c r="P912" t="n">
        <v>0</v>
      </c>
      <c r="Q912" t="n">
        <v>0</v>
      </c>
      <c r="R912" s="2" t="inlineStr"/>
    </row>
    <row r="913" ht="15" customHeight="1">
      <c r="A913" t="inlineStr">
        <is>
          <t>A 41037-2025</t>
        </is>
      </c>
      <c r="B913" s="1" t="n">
        <v>45898.38625</v>
      </c>
      <c r="C913" s="1" t="n">
        <v>45900</v>
      </c>
      <c r="D913" t="inlineStr">
        <is>
          <t>JÄMTLANDS LÄN</t>
        </is>
      </c>
      <c r="E913" t="inlineStr">
        <is>
          <t>HÄRJEDALEN</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41051-2025</t>
        </is>
      </c>
      <c r="B914" s="1" t="n">
        <v>45898.40267361111</v>
      </c>
      <c r="C914" s="1" t="n">
        <v>45900</v>
      </c>
      <c r="D914" t="inlineStr">
        <is>
          <t>JÄMTLANDS LÄN</t>
        </is>
      </c>
      <c r="E914" t="inlineStr">
        <is>
          <t>HÄRJEDALEN</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41054-2025</t>
        </is>
      </c>
      <c r="B915" s="1" t="n">
        <v>45898.40481481481</v>
      </c>
      <c r="C915" s="1" t="n">
        <v>45900</v>
      </c>
      <c r="D915" t="inlineStr">
        <is>
          <t>JÄMTLANDS LÄN</t>
        </is>
      </c>
      <c r="E915" t="inlineStr">
        <is>
          <t>HÄRJEDALEN</t>
        </is>
      </c>
      <c r="G915" t="n">
        <v>0.8</v>
      </c>
      <c r="H915" t="n">
        <v>0</v>
      </c>
      <c r="I915" t="n">
        <v>0</v>
      </c>
      <c r="J915" t="n">
        <v>0</v>
      </c>
      <c r="K915" t="n">
        <v>0</v>
      </c>
      <c r="L915" t="n">
        <v>0</v>
      </c>
      <c r="M915" t="n">
        <v>0</v>
      </c>
      <c r="N915" t="n">
        <v>0</v>
      </c>
      <c r="O915" t="n">
        <v>0</v>
      </c>
      <c r="P915" t="n">
        <v>0</v>
      </c>
      <c r="Q915" t="n">
        <v>0</v>
      </c>
      <c r="R915" s="2" t="inlineStr"/>
    </row>
    <row r="916" ht="15" customHeight="1">
      <c r="A916" t="inlineStr">
        <is>
          <t>A 21530-2023</t>
        </is>
      </c>
      <c r="B916" s="1" t="n">
        <v>45063</v>
      </c>
      <c r="C916" s="1" t="n">
        <v>45900</v>
      </c>
      <c r="D916" t="inlineStr">
        <is>
          <t>JÄMTLANDS LÄN</t>
        </is>
      </c>
      <c r="E916" t="inlineStr">
        <is>
          <t>HÄRJEDALEN</t>
        </is>
      </c>
      <c r="G916" t="n">
        <v>15.3</v>
      </c>
      <c r="H916" t="n">
        <v>0</v>
      </c>
      <c r="I916" t="n">
        <v>0</v>
      </c>
      <c r="J916" t="n">
        <v>0</v>
      </c>
      <c r="K916" t="n">
        <v>0</v>
      </c>
      <c r="L916" t="n">
        <v>0</v>
      </c>
      <c r="M916" t="n">
        <v>0</v>
      </c>
      <c r="N916" t="n">
        <v>0</v>
      </c>
      <c r="O916" t="n">
        <v>0</v>
      </c>
      <c r="P916" t="n">
        <v>0</v>
      </c>
      <c r="Q916" t="n">
        <v>0</v>
      </c>
      <c r="R916" s="2" t="inlineStr"/>
    </row>
    <row r="917" ht="15" customHeight="1">
      <c r="A917" t="inlineStr">
        <is>
          <t>A 41070-2025</t>
        </is>
      </c>
      <c r="B917" s="1" t="n">
        <v>45898.41540509259</v>
      </c>
      <c r="C917" s="1" t="n">
        <v>45900</v>
      </c>
      <c r="D917" t="inlineStr">
        <is>
          <t>JÄMTLANDS LÄN</t>
        </is>
      </c>
      <c r="E917" t="inlineStr">
        <is>
          <t>HÄRJEDALEN</t>
        </is>
      </c>
      <c r="G917" t="n">
        <v>2</v>
      </c>
      <c r="H917" t="n">
        <v>0</v>
      </c>
      <c r="I917" t="n">
        <v>0</v>
      </c>
      <c r="J917" t="n">
        <v>0</v>
      </c>
      <c r="K917" t="n">
        <v>0</v>
      </c>
      <c r="L917" t="n">
        <v>0</v>
      </c>
      <c r="M917" t="n">
        <v>0</v>
      </c>
      <c r="N917" t="n">
        <v>0</v>
      </c>
      <c r="O917" t="n">
        <v>0</v>
      </c>
      <c r="P917" t="n">
        <v>0</v>
      </c>
      <c r="Q917" t="n">
        <v>0</v>
      </c>
      <c r="R917" s="2" t="inlineStr"/>
    </row>
    <row r="918" ht="15" customHeight="1">
      <c r="A918" t="inlineStr">
        <is>
          <t>A 1665-2025</t>
        </is>
      </c>
      <c r="B918" s="1" t="n">
        <v>45670</v>
      </c>
      <c r="C918" s="1" t="n">
        <v>45900</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57668-2024</t>
        </is>
      </c>
      <c r="B919" s="1" t="n">
        <v>45630.62513888889</v>
      </c>
      <c r="C919" s="1" t="n">
        <v>45900</v>
      </c>
      <c r="D919" t="inlineStr">
        <is>
          <t>JÄMTLANDS LÄN</t>
        </is>
      </c>
      <c r="E919" t="inlineStr">
        <is>
          <t>HÄRJEDALEN</t>
        </is>
      </c>
      <c r="G919" t="n">
        <v>15.7</v>
      </c>
      <c r="H919" t="n">
        <v>0</v>
      </c>
      <c r="I919" t="n">
        <v>0</v>
      </c>
      <c r="J919" t="n">
        <v>0</v>
      </c>
      <c r="K919" t="n">
        <v>0</v>
      </c>
      <c r="L919" t="n">
        <v>0</v>
      </c>
      <c r="M919" t="n">
        <v>0</v>
      </c>
      <c r="N919" t="n">
        <v>0</v>
      </c>
      <c r="O919" t="n">
        <v>0</v>
      </c>
      <c r="P919" t="n">
        <v>0</v>
      </c>
      <c r="Q919" t="n">
        <v>0</v>
      </c>
      <c r="R919" s="2" t="inlineStr"/>
    </row>
    <row r="920" ht="15" customHeight="1">
      <c r="A920" t="inlineStr">
        <is>
          <t>A 38840-2024</t>
        </is>
      </c>
      <c r="B920" s="1" t="n">
        <v>45547.59543981482</v>
      </c>
      <c r="C920" s="1" t="n">
        <v>45900</v>
      </c>
      <c r="D920" t="inlineStr">
        <is>
          <t>JÄMTLANDS LÄN</t>
        </is>
      </c>
      <c r="E920" t="inlineStr">
        <is>
          <t>HÄRJEDALEN</t>
        </is>
      </c>
      <c r="G920" t="n">
        <v>4.1</v>
      </c>
      <c r="H920" t="n">
        <v>0</v>
      </c>
      <c r="I920" t="n">
        <v>0</v>
      </c>
      <c r="J920" t="n">
        <v>0</v>
      </c>
      <c r="K920" t="n">
        <v>0</v>
      </c>
      <c r="L920" t="n">
        <v>0</v>
      </c>
      <c r="M920" t="n">
        <v>0</v>
      </c>
      <c r="N920" t="n">
        <v>0</v>
      </c>
      <c r="O920" t="n">
        <v>0</v>
      </c>
      <c r="P920" t="n">
        <v>0</v>
      </c>
      <c r="Q920" t="n">
        <v>0</v>
      </c>
      <c r="R920" s="2" t="inlineStr"/>
    </row>
    <row r="921" ht="15" customHeight="1">
      <c r="A921" t="inlineStr">
        <is>
          <t>A 57836-2024</t>
        </is>
      </c>
      <c r="B921" s="1" t="n">
        <v>45631.39950231482</v>
      </c>
      <c r="C921" s="1" t="n">
        <v>45900</v>
      </c>
      <c r="D921" t="inlineStr">
        <is>
          <t>JÄMTLANDS LÄN</t>
        </is>
      </c>
      <c r="E921" t="inlineStr">
        <is>
          <t>HÄRJEDALEN</t>
        </is>
      </c>
      <c r="F921" t="inlineStr">
        <is>
          <t>Bergvik skog väst AB</t>
        </is>
      </c>
      <c r="G921" t="n">
        <v>7.5</v>
      </c>
      <c r="H921" t="n">
        <v>0</v>
      </c>
      <c r="I921" t="n">
        <v>0</v>
      </c>
      <c r="J921" t="n">
        <v>0</v>
      </c>
      <c r="K921" t="n">
        <v>0</v>
      </c>
      <c r="L921" t="n">
        <v>0</v>
      </c>
      <c r="M921" t="n">
        <v>0</v>
      </c>
      <c r="N921" t="n">
        <v>0</v>
      </c>
      <c r="O921" t="n">
        <v>0</v>
      </c>
      <c r="P921" t="n">
        <v>0</v>
      </c>
      <c r="Q921" t="n">
        <v>0</v>
      </c>
      <c r="R921" s="2" t="inlineStr"/>
    </row>
    <row r="922" ht="15" customHeight="1">
      <c r="A922" t="inlineStr">
        <is>
          <t>A 38709-2025</t>
        </is>
      </c>
      <c r="B922" s="1" t="n">
        <v>45885</v>
      </c>
      <c r="C922" s="1" t="n">
        <v>45900</v>
      </c>
      <c r="D922" t="inlineStr">
        <is>
          <t>JÄMTLANDS LÄN</t>
        </is>
      </c>
      <c r="E922" t="inlineStr">
        <is>
          <t>HÄRJEDALEN</t>
        </is>
      </c>
      <c r="G922" t="n">
        <v>70</v>
      </c>
      <c r="H922" t="n">
        <v>0</v>
      </c>
      <c r="I922" t="n">
        <v>0</v>
      </c>
      <c r="J922" t="n">
        <v>0</v>
      </c>
      <c r="K922" t="n">
        <v>0</v>
      </c>
      <c r="L922" t="n">
        <v>0</v>
      </c>
      <c r="M922" t="n">
        <v>0</v>
      </c>
      <c r="N922" t="n">
        <v>0</v>
      </c>
      <c r="O922" t="n">
        <v>0</v>
      </c>
      <c r="P922" t="n">
        <v>0</v>
      </c>
      <c r="Q922" t="n">
        <v>0</v>
      </c>
      <c r="R922" s="2" t="inlineStr"/>
    </row>
    <row r="923" ht="15" customHeight="1">
      <c r="A923" t="inlineStr">
        <is>
          <t>A 31816-2024</t>
        </is>
      </c>
      <c r="B923" s="1" t="n">
        <v>45509.5980787037</v>
      </c>
      <c r="C923" s="1" t="n">
        <v>45900</v>
      </c>
      <c r="D923" t="inlineStr">
        <is>
          <t>JÄMTLANDS LÄN</t>
        </is>
      </c>
      <c r="E923" t="inlineStr">
        <is>
          <t>HÄRJEDALEN</t>
        </is>
      </c>
      <c r="F923" t="inlineStr">
        <is>
          <t>Bergvik skog väst AB</t>
        </is>
      </c>
      <c r="G923" t="n">
        <v>3.7</v>
      </c>
      <c r="H923" t="n">
        <v>0</v>
      </c>
      <c r="I923" t="n">
        <v>0</v>
      </c>
      <c r="J923" t="n">
        <v>0</v>
      </c>
      <c r="K923" t="n">
        <v>0</v>
      </c>
      <c r="L923" t="n">
        <v>0</v>
      </c>
      <c r="M923" t="n">
        <v>0</v>
      </c>
      <c r="N923" t="n">
        <v>0</v>
      </c>
      <c r="O923" t="n">
        <v>0</v>
      </c>
      <c r="P923" t="n">
        <v>0</v>
      </c>
      <c r="Q923" t="n">
        <v>0</v>
      </c>
      <c r="R923" s="2" t="inlineStr"/>
    </row>
    <row r="924" ht="15" customHeight="1">
      <c r="A924" t="inlineStr">
        <is>
          <t>A 36539-2025</t>
        </is>
      </c>
      <c r="B924" s="1" t="n">
        <v>45869</v>
      </c>
      <c r="C924" s="1" t="n">
        <v>45900</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8095-2025</t>
        </is>
      </c>
      <c r="B925" s="1" t="n">
        <v>45707</v>
      </c>
      <c r="C925" s="1" t="n">
        <v>45900</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34453-2021</t>
        </is>
      </c>
      <c r="B926" s="1" t="n">
        <v>44381</v>
      </c>
      <c r="C926" s="1" t="n">
        <v>45900</v>
      </c>
      <c r="D926" t="inlineStr">
        <is>
          <t>JÄMTLANDS LÄN</t>
        </is>
      </c>
      <c r="E926" t="inlineStr">
        <is>
          <t>HÄRJEDALEN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19105-2025</t>
        </is>
      </c>
      <c r="B927" s="1" t="n">
        <v>45768.30814814815</v>
      </c>
      <c r="C927" s="1" t="n">
        <v>45900</v>
      </c>
      <c r="D927" t="inlineStr">
        <is>
          <t>JÄMTLANDS LÄN</t>
        </is>
      </c>
      <c r="E927" t="inlineStr">
        <is>
          <t>HÄRJEDALEN</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18896-2025</t>
        </is>
      </c>
      <c r="B928" s="1" t="n">
        <v>45764.44861111111</v>
      </c>
      <c r="C928" s="1" t="n">
        <v>45900</v>
      </c>
      <c r="D928" t="inlineStr">
        <is>
          <t>JÄMTLANDS LÄN</t>
        </is>
      </c>
      <c r="E928" t="inlineStr">
        <is>
          <t>HÄRJEDALEN</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11555-2025</t>
        </is>
      </c>
      <c r="B929" s="1" t="n">
        <v>45727.35621527778</v>
      </c>
      <c r="C929" s="1" t="n">
        <v>45900</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32064-2024</t>
        </is>
      </c>
      <c r="B930" s="1" t="n">
        <v>45510</v>
      </c>
      <c r="C930" s="1" t="n">
        <v>45900</v>
      </c>
      <c r="D930" t="inlineStr">
        <is>
          <t>JÄMTLANDS LÄN</t>
        </is>
      </c>
      <c r="E930" t="inlineStr">
        <is>
          <t>HÄRJEDALEN</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62104-2024</t>
        </is>
      </c>
      <c r="B931" s="1" t="n">
        <v>45656.51157407407</v>
      </c>
      <c r="C931" s="1" t="n">
        <v>45900</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29624-2024</t>
        </is>
      </c>
      <c r="B932" s="1" t="n">
        <v>45484.65768518519</v>
      </c>
      <c r="C932" s="1" t="n">
        <v>45900</v>
      </c>
      <c r="D932" t="inlineStr">
        <is>
          <t>JÄMTLANDS LÄN</t>
        </is>
      </c>
      <c r="E932" t="inlineStr">
        <is>
          <t>HÄRJEDALEN</t>
        </is>
      </c>
      <c r="F932" t="inlineStr">
        <is>
          <t>Holmen skog AB</t>
        </is>
      </c>
      <c r="G932" t="n">
        <v>7.7</v>
      </c>
      <c r="H932" t="n">
        <v>0</v>
      </c>
      <c r="I932" t="n">
        <v>0</v>
      </c>
      <c r="J932" t="n">
        <v>0</v>
      </c>
      <c r="K932" t="n">
        <v>0</v>
      </c>
      <c r="L932" t="n">
        <v>0</v>
      </c>
      <c r="M932" t="n">
        <v>0</v>
      </c>
      <c r="N932" t="n">
        <v>0</v>
      </c>
      <c r="O932" t="n">
        <v>0</v>
      </c>
      <c r="P932" t="n">
        <v>0</v>
      </c>
      <c r="Q932" t="n">
        <v>0</v>
      </c>
      <c r="R932" s="2" t="inlineStr"/>
    </row>
    <row r="933" ht="15" customHeight="1">
      <c r="A933" t="inlineStr">
        <is>
          <t>A 6001-2023</t>
        </is>
      </c>
      <c r="B933" s="1" t="n">
        <v>44964</v>
      </c>
      <c r="C933" s="1" t="n">
        <v>45900</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5101-2025</t>
        </is>
      </c>
      <c r="B934" s="1" t="n">
        <v>45691</v>
      </c>
      <c r="C934" s="1" t="n">
        <v>45900</v>
      </c>
      <c r="D934" t="inlineStr">
        <is>
          <t>JÄMTLANDS LÄN</t>
        </is>
      </c>
      <c r="E934" t="inlineStr">
        <is>
          <t>HÄRJEDALEN</t>
        </is>
      </c>
      <c r="F934" t="inlineStr">
        <is>
          <t>Holmen skog AB</t>
        </is>
      </c>
      <c r="G934" t="n">
        <v>33.5</v>
      </c>
      <c r="H934" t="n">
        <v>0</v>
      </c>
      <c r="I934" t="n">
        <v>0</v>
      </c>
      <c r="J934" t="n">
        <v>0</v>
      </c>
      <c r="K934" t="n">
        <v>0</v>
      </c>
      <c r="L934" t="n">
        <v>0</v>
      </c>
      <c r="M934" t="n">
        <v>0</v>
      </c>
      <c r="N934" t="n">
        <v>0</v>
      </c>
      <c r="O934" t="n">
        <v>0</v>
      </c>
      <c r="P934" t="n">
        <v>0</v>
      </c>
      <c r="Q934" t="n">
        <v>0</v>
      </c>
      <c r="R934" s="2" t="inlineStr"/>
    </row>
    <row r="935" ht="15" customHeight="1">
      <c r="A935" t="inlineStr">
        <is>
          <t>A 5113-2025</t>
        </is>
      </c>
      <c r="B935" s="1" t="n">
        <v>45691</v>
      </c>
      <c r="C935" s="1" t="n">
        <v>45900</v>
      </c>
      <c r="D935" t="inlineStr">
        <is>
          <t>JÄMTLANDS LÄN</t>
        </is>
      </c>
      <c r="E935" t="inlineStr">
        <is>
          <t>HÄRJEDALEN</t>
        </is>
      </c>
      <c r="F935" t="inlineStr">
        <is>
          <t>Holmen skog AB</t>
        </is>
      </c>
      <c r="G935" t="n">
        <v>25.9</v>
      </c>
      <c r="H935" t="n">
        <v>0</v>
      </c>
      <c r="I935" t="n">
        <v>0</v>
      </c>
      <c r="J935" t="n">
        <v>0</v>
      </c>
      <c r="K935" t="n">
        <v>0</v>
      </c>
      <c r="L935" t="n">
        <v>0</v>
      </c>
      <c r="M935" t="n">
        <v>0</v>
      </c>
      <c r="N935" t="n">
        <v>0</v>
      </c>
      <c r="O935" t="n">
        <v>0</v>
      </c>
      <c r="P935" t="n">
        <v>0</v>
      </c>
      <c r="Q935" t="n">
        <v>0</v>
      </c>
      <c r="R935" s="2" t="inlineStr"/>
    </row>
    <row r="936" ht="15" customHeight="1">
      <c r="A936" t="inlineStr">
        <is>
          <t>A 55228-2024</t>
        </is>
      </c>
      <c r="B936" s="1" t="n">
        <v>45621</v>
      </c>
      <c r="C936" s="1" t="n">
        <v>45900</v>
      </c>
      <c r="D936" t="inlineStr">
        <is>
          <t>JÄMTLANDS LÄN</t>
        </is>
      </c>
      <c r="E936" t="inlineStr">
        <is>
          <t>HÄRJEDALEN</t>
        </is>
      </c>
      <c r="G936" t="n">
        <v>4.8</v>
      </c>
      <c r="H936" t="n">
        <v>0</v>
      </c>
      <c r="I936" t="n">
        <v>0</v>
      </c>
      <c r="J936" t="n">
        <v>0</v>
      </c>
      <c r="K936" t="n">
        <v>0</v>
      </c>
      <c r="L936" t="n">
        <v>0</v>
      </c>
      <c r="M936" t="n">
        <v>0</v>
      </c>
      <c r="N936" t="n">
        <v>0</v>
      </c>
      <c r="O936" t="n">
        <v>0</v>
      </c>
      <c r="P936" t="n">
        <v>0</v>
      </c>
      <c r="Q936" t="n">
        <v>0</v>
      </c>
      <c r="R936" s="2" t="inlineStr"/>
    </row>
    <row r="937" ht="15" customHeight="1">
      <c r="A937" t="inlineStr">
        <is>
          <t>A 55246-2024</t>
        </is>
      </c>
      <c r="B937" s="1" t="n">
        <v>45621</v>
      </c>
      <c r="C937" s="1" t="n">
        <v>45900</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29791-2024</t>
        </is>
      </c>
      <c r="B938" s="1" t="n">
        <v>45485</v>
      </c>
      <c r="C938" s="1" t="n">
        <v>45900</v>
      </c>
      <c r="D938" t="inlineStr">
        <is>
          <t>JÄMTLANDS LÄN</t>
        </is>
      </c>
      <c r="E938" t="inlineStr">
        <is>
          <t>HÄRJEDALEN</t>
        </is>
      </c>
      <c r="G938" t="n">
        <v>2.4</v>
      </c>
      <c r="H938" t="n">
        <v>0</v>
      </c>
      <c r="I938" t="n">
        <v>0</v>
      </c>
      <c r="J938" t="n">
        <v>0</v>
      </c>
      <c r="K938" t="n">
        <v>0</v>
      </c>
      <c r="L938" t="n">
        <v>0</v>
      </c>
      <c r="M938" t="n">
        <v>0</v>
      </c>
      <c r="N938" t="n">
        <v>0</v>
      </c>
      <c r="O938" t="n">
        <v>0</v>
      </c>
      <c r="P938" t="n">
        <v>0</v>
      </c>
      <c r="Q938" t="n">
        <v>0</v>
      </c>
      <c r="R938" s="2" t="inlineStr"/>
    </row>
    <row r="939" ht="15" customHeight="1">
      <c r="A939" t="inlineStr">
        <is>
          <t>A 60432-2024</t>
        </is>
      </c>
      <c r="B939" s="1" t="n">
        <v>45643.56899305555</v>
      </c>
      <c r="C939" s="1" t="n">
        <v>45900</v>
      </c>
      <c r="D939" t="inlineStr">
        <is>
          <t>JÄMTLANDS LÄN</t>
        </is>
      </c>
      <c r="E939" t="inlineStr">
        <is>
          <t>HÄRJEDALEN</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35-2023</t>
        </is>
      </c>
      <c r="B940" s="1" t="n">
        <v>44928.36418981481</v>
      </c>
      <c r="C940" s="1" t="n">
        <v>45900</v>
      </c>
      <c r="D940" t="inlineStr">
        <is>
          <t>JÄMTLANDS LÄN</t>
        </is>
      </c>
      <c r="E940" t="inlineStr">
        <is>
          <t>HÄRJEDALEN</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5993-2021</t>
        </is>
      </c>
      <c r="B941" s="1" t="n">
        <v>44231</v>
      </c>
      <c r="C941" s="1" t="n">
        <v>45900</v>
      </c>
      <c r="D941" t="inlineStr">
        <is>
          <t>JÄMTLANDS LÄN</t>
        </is>
      </c>
      <c r="E941" t="inlineStr">
        <is>
          <t>HÄRJEDALEN</t>
        </is>
      </c>
      <c r="F941" t="inlineStr">
        <is>
          <t>Kyrkan</t>
        </is>
      </c>
      <c r="G941" t="n">
        <v>2.6</v>
      </c>
      <c r="H941" t="n">
        <v>0</v>
      </c>
      <c r="I941" t="n">
        <v>0</v>
      </c>
      <c r="J941" t="n">
        <v>0</v>
      </c>
      <c r="K941" t="n">
        <v>0</v>
      </c>
      <c r="L941" t="n">
        <v>0</v>
      </c>
      <c r="M941" t="n">
        <v>0</v>
      </c>
      <c r="N941" t="n">
        <v>0</v>
      </c>
      <c r="O941" t="n">
        <v>0</v>
      </c>
      <c r="P941" t="n">
        <v>0</v>
      </c>
      <c r="Q941" t="n">
        <v>0</v>
      </c>
      <c r="R941" s="2" t="inlineStr"/>
    </row>
    <row r="942" ht="15" customHeight="1">
      <c r="A942" t="inlineStr">
        <is>
          <t>A 8091-2025</t>
        </is>
      </c>
      <c r="B942" s="1" t="n">
        <v>45707</v>
      </c>
      <c r="C942" s="1" t="n">
        <v>45900</v>
      </c>
      <c r="D942" t="inlineStr">
        <is>
          <t>JÄMTLANDS LÄN</t>
        </is>
      </c>
      <c r="E942" t="inlineStr">
        <is>
          <t>HÄRJEDALEN</t>
        </is>
      </c>
      <c r="G942" t="n">
        <v>3.3</v>
      </c>
      <c r="H942" t="n">
        <v>0</v>
      </c>
      <c r="I942" t="n">
        <v>0</v>
      </c>
      <c r="J942" t="n">
        <v>0</v>
      </c>
      <c r="K942" t="n">
        <v>0</v>
      </c>
      <c r="L942" t="n">
        <v>0</v>
      </c>
      <c r="M942" t="n">
        <v>0</v>
      </c>
      <c r="N942" t="n">
        <v>0</v>
      </c>
      <c r="O942" t="n">
        <v>0</v>
      </c>
      <c r="P942" t="n">
        <v>0</v>
      </c>
      <c r="Q942" t="n">
        <v>0</v>
      </c>
      <c r="R942" s="2" t="inlineStr"/>
    </row>
    <row r="943" ht="15" customHeight="1">
      <c r="A943" t="inlineStr">
        <is>
          <t>A 34627-2022</t>
        </is>
      </c>
      <c r="B943" s="1" t="n">
        <v>44795</v>
      </c>
      <c r="C943" s="1" t="n">
        <v>45900</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45426-2020</t>
        </is>
      </c>
      <c r="B944" s="1" t="n">
        <v>44088</v>
      </c>
      <c r="C944" s="1" t="n">
        <v>45900</v>
      </c>
      <c r="D944" t="inlineStr">
        <is>
          <t>JÄMTLANDS LÄN</t>
        </is>
      </c>
      <c r="E944" t="inlineStr">
        <is>
          <t>HÄRJEDALEN</t>
        </is>
      </c>
      <c r="G944" t="n">
        <v>6.1</v>
      </c>
      <c r="H944" t="n">
        <v>0</v>
      </c>
      <c r="I944" t="n">
        <v>0</v>
      </c>
      <c r="J944" t="n">
        <v>0</v>
      </c>
      <c r="K944" t="n">
        <v>0</v>
      </c>
      <c r="L944" t="n">
        <v>0</v>
      </c>
      <c r="M944" t="n">
        <v>0</v>
      </c>
      <c r="N944" t="n">
        <v>0</v>
      </c>
      <c r="O944" t="n">
        <v>0</v>
      </c>
      <c r="P944" t="n">
        <v>0</v>
      </c>
      <c r="Q944" t="n">
        <v>0</v>
      </c>
      <c r="R944" s="2" t="inlineStr"/>
    </row>
    <row r="945" ht="15" customHeight="1">
      <c r="A945" t="inlineStr">
        <is>
          <t>A 14632-2025</t>
        </is>
      </c>
      <c r="B945" s="1" t="n">
        <v>45742.42793981481</v>
      </c>
      <c r="C945" s="1" t="n">
        <v>45900</v>
      </c>
      <c r="D945" t="inlineStr">
        <is>
          <t>JÄMTLANDS LÄN</t>
        </is>
      </c>
      <c r="E945" t="inlineStr">
        <is>
          <t>HÄRJEDALEN</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7622-2025</t>
        </is>
      </c>
      <c r="B946" s="1" t="n">
        <v>45705.72106481482</v>
      </c>
      <c r="C946" s="1" t="n">
        <v>45900</v>
      </c>
      <c r="D946" t="inlineStr">
        <is>
          <t>JÄMTLANDS LÄN</t>
        </is>
      </c>
      <c r="E946" t="inlineStr">
        <is>
          <t>HÄRJEDALEN</t>
        </is>
      </c>
      <c r="G946" t="n">
        <v>2.7</v>
      </c>
      <c r="H946" t="n">
        <v>0</v>
      </c>
      <c r="I946" t="n">
        <v>0</v>
      </c>
      <c r="J946" t="n">
        <v>0</v>
      </c>
      <c r="K946" t="n">
        <v>0</v>
      </c>
      <c r="L946" t="n">
        <v>0</v>
      </c>
      <c r="M946" t="n">
        <v>0</v>
      </c>
      <c r="N946" t="n">
        <v>0</v>
      </c>
      <c r="O946" t="n">
        <v>0</v>
      </c>
      <c r="P946" t="n">
        <v>0</v>
      </c>
      <c r="Q946" t="n">
        <v>0</v>
      </c>
      <c r="R946" s="2" t="inlineStr"/>
    </row>
    <row r="947" ht="15" customHeight="1">
      <c r="A947" t="inlineStr">
        <is>
          <t>A 35532-2021</t>
        </is>
      </c>
      <c r="B947" s="1" t="n">
        <v>44385</v>
      </c>
      <c r="C947" s="1" t="n">
        <v>45900</v>
      </c>
      <c r="D947" t="inlineStr">
        <is>
          <t>JÄMTLANDS LÄN</t>
        </is>
      </c>
      <c r="E947" t="inlineStr">
        <is>
          <t>HÄRJEDALEN</t>
        </is>
      </c>
      <c r="G947" t="n">
        <v>4.3</v>
      </c>
      <c r="H947" t="n">
        <v>0</v>
      </c>
      <c r="I947" t="n">
        <v>0</v>
      </c>
      <c r="J947" t="n">
        <v>0</v>
      </c>
      <c r="K947" t="n">
        <v>0</v>
      </c>
      <c r="L947" t="n">
        <v>0</v>
      </c>
      <c r="M947" t="n">
        <v>0</v>
      </c>
      <c r="N947" t="n">
        <v>0</v>
      </c>
      <c r="O947" t="n">
        <v>0</v>
      </c>
      <c r="P947" t="n">
        <v>0</v>
      </c>
      <c r="Q947" t="n">
        <v>0</v>
      </c>
      <c r="R947" s="2" t="inlineStr"/>
    </row>
    <row r="948" ht="15" customHeight="1">
      <c r="A948" t="inlineStr">
        <is>
          <t>A 62699-2022</t>
        </is>
      </c>
      <c r="B948" s="1" t="n">
        <v>44925.59333333333</v>
      </c>
      <c r="C948" s="1" t="n">
        <v>45900</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12929-2024</t>
        </is>
      </c>
      <c r="B949" s="1" t="n">
        <v>45385</v>
      </c>
      <c r="C949" s="1" t="n">
        <v>45900</v>
      </c>
      <c r="D949" t="inlineStr">
        <is>
          <t>JÄMTLANDS LÄN</t>
        </is>
      </c>
      <c r="E949" t="inlineStr">
        <is>
          <t>HÄRJEDALEN</t>
        </is>
      </c>
      <c r="G949" t="n">
        <v>4.2</v>
      </c>
      <c r="H949" t="n">
        <v>0</v>
      </c>
      <c r="I949" t="n">
        <v>0</v>
      </c>
      <c r="J949" t="n">
        <v>0</v>
      </c>
      <c r="K949" t="n">
        <v>0</v>
      </c>
      <c r="L949" t="n">
        <v>0</v>
      </c>
      <c r="M949" t="n">
        <v>0</v>
      </c>
      <c r="N949" t="n">
        <v>0</v>
      </c>
      <c r="O949" t="n">
        <v>0</v>
      </c>
      <c r="P949" t="n">
        <v>0</v>
      </c>
      <c r="Q949" t="n">
        <v>0</v>
      </c>
      <c r="R949" s="2" t="inlineStr"/>
    </row>
    <row r="950" ht="15" customHeight="1">
      <c r="A950" t="inlineStr">
        <is>
          <t>A 30082-2022</t>
        </is>
      </c>
      <c r="B950" s="1" t="n">
        <v>44757.37524305555</v>
      </c>
      <c r="C950" s="1" t="n">
        <v>45900</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18893-2025</t>
        </is>
      </c>
      <c r="B951" s="1" t="n">
        <v>45764.44825231482</v>
      </c>
      <c r="C951" s="1" t="n">
        <v>45900</v>
      </c>
      <c r="D951" t="inlineStr">
        <is>
          <t>JÄMTLANDS LÄN</t>
        </is>
      </c>
      <c r="E951" t="inlineStr">
        <is>
          <t>HÄRJEDALEN</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2862-2021</t>
        </is>
      </c>
      <c r="B952" s="1" t="n">
        <v>44216</v>
      </c>
      <c r="C952" s="1" t="n">
        <v>45900</v>
      </c>
      <c r="D952" t="inlineStr">
        <is>
          <t>JÄMTLANDS LÄN</t>
        </is>
      </c>
      <c r="E952" t="inlineStr">
        <is>
          <t>HÄRJEDALEN</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29710-2024</t>
        </is>
      </c>
      <c r="B953" s="1" t="n">
        <v>45485</v>
      </c>
      <c r="C953" s="1" t="n">
        <v>45900</v>
      </c>
      <c r="D953" t="inlineStr">
        <is>
          <t>JÄMTLANDS LÄN</t>
        </is>
      </c>
      <c r="E953" t="inlineStr">
        <is>
          <t>HÄRJEDALEN</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60087-2020</t>
        </is>
      </c>
      <c r="B954" s="1" t="n">
        <v>44151</v>
      </c>
      <c r="C954" s="1" t="n">
        <v>45900</v>
      </c>
      <c r="D954" t="inlineStr">
        <is>
          <t>JÄMTLANDS LÄN</t>
        </is>
      </c>
      <c r="E954" t="inlineStr">
        <is>
          <t>HÄRJEDALEN</t>
        </is>
      </c>
      <c r="G954" t="n">
        <v>9.4</v>
      </c>
      <c r="H954" t="n">
        <v>0</v>
      </c>
      <c r="I954" t="n">
        <v>0</v>
      </c>
      <c r="J954" t="n">
        <v>0</v>
      </c>
      <c r="K954" t="n">
        <v>0</v>
      </c>
      <c r="L954" t="n">
        <v>0</v>
      </c>
      <c r="M954" t="n">
        <v>0</v>
      </c>
      <c r="N954" t="n">
        <v>0</v>
      </c>
      <c r="O954" t="n">
        <v>0</v>
      </c>
      <c r="P954" t="n">
        <v>0</v>
      </c>
      <c r="Q954" t="n">
        <v>0</v>
      </c>
      <c r="R954" s="2" t="inlineStr"/>
    </row>
    <row r="955" ht="15" customHeight="1">
      <c r="A955" t="inlineStr">
        <is>
          <t>A 29717-2024</t>
        </is>
      </c>
      <c r="B955" s="1" t="n">
        <v>45485</v>
      </c>
      <c r="C955" s="1" t="n">
        <v>45900</v>
      </c>
      <c r="D955" t="inlineStr">
        <is>
          <t>JÄMTLANDS LÄN</t>
        </is>
      </c>
      <c r="E955" t="inlineStr">
        <is>
          <t>HÄRJEDALEN</t>
        </is>
      </c>
      <c r="F955" t="inlineStr">
        <is>
          <t>Holmen skog AB</t>
        </is>
      </c>
      <c r="G955" t="n">
        <v>25.7</v>
      </c>
      <c r="H955" t="n">
        <v>0</v>
      </c>
      <c r="I955" t="n">
        <v>0</v>
      </c>
      <c r="J955" t="n">
        <v>0</v>
      </c>
      <c r="K955" t="n">
        <v>0</v>
      </c>
      <c r="L955" t="n">
        <v>0</v>
      </c>
      <c r="M955" t="n">
        <v>0</v>
      </c>
      <c r="N955" t="n">
        <v>0</v>
      </c>
      <c r="O955" t="n">
        <v>0</v>
      </c>
      <c r="P955" t="n">
        <v>0</v>
      </c>
      <c r="Q955" t="n">
        <v>0</v>
      </c>
      <c r="R955" s="2" t="inlineStr"/>
    </row>
    <row r="956" ht="15" customHeight="1">
      <c r="A956" t="inlineStr">
        <is>
          <t>A 44519-2021</t>
        </is>
      </c>
      <c r="B956" s="1" t="n">
        <v>44435</v>
      </c>
      <c r="C956" s="1" t="n">
        <v>45900</v>
      </c>
      <c r="D956" t="inlineStr">
        <is>
          <t>JÄMTLANDS LÄN</t>
        </is>
      </c>
      <c r="E956" t="inlineStr">
        <is>
          <t>HÄRJEDALEN</t>
        </is>
      </c>
      <c r="F956" t="inlineStr">
        <is>
          <t>Kyrkan</t>
        </is>
      </c>
      <c r="G956" t="n">
        <v>6.7</v>
      </c>
      <c r="H956" t="n">
        <v>0</v>
      </c>
      <c r="I956" t="n">
        <v>0</v>
      </c>
      <c r="J956" t="n">
        <v>0</v>
      </c>
      <c r="K956" t="n">
        <v>0</v>
      </c>
      <c r="L956" t="n">
        <v>0</v>
      </c>
      <c r="M956" t="n">
        <v>0</v>
      </c>
      <c r="N956" t="n">
        <v>0</v>
      </c>
      <c r="O956" t="n">
        <v>0</v>
      </c>
      <c r="P956" t="n">
        <v>0</v>
      </c>
      <c r="Q956" t="n">
        <v>0</v>
      </c>
      <c r="R956" s="2" t="inlineStr"/>
    </row>
    <row r="957" ht="15" customHeight="1">
      <c r="A957" t="inlineStr">
        <is>
          <t>A 64579-2020</t>
        </is>
      </c>
      <c r="B957" s="1" t="n">
        <v>44169</v>
      </c>
      <c r="C957" s="1" t="n">
        <v>45900</v>
      </c>
      <c r="D957" t="inlineStr">
        <is>
          <t>JÄMTLANDS LÄN</t>
        </is>
      </c>
      <c r="E957" t="inlineStr">
        <is>
          <t>HÄRJEDALEN</t>
        </is>
      </c>
      <c r="G957" t="n">
        <v>12.4</v>
      </c>
      <c r="H957" t="n">
        <v>0</v>
      </c>
      <c r="I957" t="n">
        <v>0</v>
      </c>
      <c r="J957" t="n">
        <v>0</v>
      </c>
      <c r="K957" t="n">
        <v>0</v>
      </c>
      <c r="L957" t="n">
        <v>0</v>
      </c>
      <c r="M957" t="n">
        <v>0</v>
      </c>
      <c r="N957" t="n">
        <v>0</v>
      </c>
      <c r="O957" t="n">
        <v>0</v>
      </c>
      <c r="P957" t="n">
        <v>0</v>
      </c>
      <c r="Q957" t="n">
        <v>0</v>
      </c>
      <c r="R957" s="2" t="inlineStr"/>
    </row>
    <row r="958" ht="15" customHeight="1">
      <c r="A958" t="inlineStr">
        <is>
          <t>A 54593-2020</t>
        </is>
      </c>
      <c r="B958" s="1" t="n">
        <v>44126</v>
      </c>
      <c r="C958" s="1" t="n">
        <v>45900</v>
      </c>
      <c r="D958" t="inlineStr">
        <is>
          <t>JÄMTLANDS LÄN</t>
        </is>
      </c>
      <c r="E958" t="inlineStr">
        <is>
          <t>HÄRJEDALEN</t>
        </is>
      </c>
      <c r="G958" t="n">
        <v>6.5</v>
      </c>
      <c r="H958" t="n">
        <v>0</v>
      </c>
      <c r="I958" t="n">
        <v>0</v>
      </c>
      <c r="J958" t="n">
        <v>0</v>
      </c>
      <c r="K958" t="n">
        <v>0</v>
      </c>
      <c r="L958" t="n">
        <v>0</v>
      </c>
      <c r="M958" t="n">
        <v>0</v>
      </c>
      <c r="N958" t="n">
        <v>0</v>
      </c>
      <c r="O958" t="n">
        <v>0</v>
      </c>
      <c r="P958" t="n">
        <v>0</v>
      </c>
      <c r="Q958" t="n">
        <v>0</v>
      </c>
      <c r="R958" s="2" t="inlineStr"/>
    </row>
    <row r="959" ht="15" customHeight="1">
      <c r="A959" t="inlineStr">
        <is>
          <t>A 44060-2024</t>
        </is>
      </c>
      <c r="B959" s="1" t="n">
        <v>45572.60001157408</v>
      </c>
      <c r="C959" s="1" t="n">
        <v>45900</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10014-2023</t>
        </is>
      </c>
      <c r="B960" s="1" t="n">
        <v>44985.61403935185</v>
      </c>
      <c r="C960" s="1" t="n">
        <v>45900</v>
      </c>
      <c r="D960" t="inlineStr">
        <is>
          <t>JÄMTLANDS LÄN</t>
        </is>
      </c>
      <c r="E960" t="inlineStr">
        <is>
          <t>HÄRJEDALEN</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13726-2025</t>
        </is>
      </c>
      <c r="B961" s="1" t="n">
        <v>45737.3787962963</v>
      </c>
      <c r="C961" s="1" t="n">
        <v>45900</v>
      </c>
      <c r="D961" t="inlineStr">
        <is>
          <t>JÄMTLANDS LÄN</t>
        </is>
      </c>
      <c r="E961" t="inlineStr">
        <is>
          <t>HÄRJEDALEN</t>
        </is>
      </c>
      <c r="G961" t="n">
        <v>1.5</v>
      </c>
      <c r="H961" t="n">
        <v>0</v>
      </c>
      <c r="I961" t="n">
        <v>0</v>
      </c>
      <c r="J961" t="n">
        <v>0</v>
      </c>
      <c r="K961" t="n">
        <v>0</v>
      </c>
      <c r="L961" t="n">
        <v>0</v>
      </c>
      <c r="M961" t="n">
        <v>0</v>
      </c>
      <c r="N961" t="n">
        <v>0</v>
      </c>
      <c r="O961" t="n">
        <v>0</v>
      </c>
      <c r="P961" t="n">
        <v>0</v>
      </c>
      <c r="Q961" t="n">
        <v>0</v>
      </c>
      <c r="R961" s="2" t="inlineStr"/>
    </row>
    <row r="962" ht="15" customHeight="1">
      <c r="A962" t="inlineStr">
        <is>
          <t>A 19099-2025</t>
        </is>
      </c>
      <c r="B962" s="1" t="n">
        <v>45768.29469907407</v>
      </c>
      <c r="C962" s="1" t="n">
        <v>45900</v>
      </c>
      <c r="D962" t="inlineStr">
        <is>
          <t>JÄMTLANDS LÄN</t>
        </is>
      </c>
      <c r="E962" t="inlineStr">
        <is>
          <t>HÄRJEDALEN</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19102-2025</t>
        </is>
      </c>
      <c r="B963" s="1" t="n">
        <v>45768.30260416667</v>
      </c>
      <c r="C963" s="1" t="n">
        <v>45900</v>
      </c>
      <c r="D963" t="inlineStr">
        <is>
          <t>JÄMTLANDS LÄN</t>
        </is>
      </c>
      <c r="E963" t="inlineStr">
        <is>
          <t>HÄRJEDALEN</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19103-2025</t>
        </is>
      </c>
      <c r="B964" s="1" t="n">
        <v>45768.30388888889</v>
      </c>
      <c r="C964" s="1" t="n">
        <v>45900</v>
      </c>
      <c r="D964" t="inlineStr">
        <is>
          <t>JÄMTLANDS LÄN</t>
        </is>
      </c>
      <c r="E964" t="inlineStr">
        <is>
          <t>HÄRJEDALEN</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4217-2025</t>
        </is>
      </c>
      <c r="B965" s="1" t="n">
        <v>45685.50063657408</v>
      </c>
      <c r="C965" s="1" t="n">
        <v>45900</v>
      </c>
      <c r="D965" t="inlineStr">
        <is>
          <t>JÄMTLANDS LÄN</t>
        </is>
      </c>
      <c r="E965" t="inlineStr">
        <is>
          <t>HÄRJEDALEN</t>
        </is>
      </c>
      <c r="F965" t="inlineStr">
        <is>
          <t>Bergvik skog väst AB</t>
        </is>
      </c>
      <c r="G965" t="n">
        <v>24.6</v>
      </c>
      <c r="H965" t="n">
        <v>0</v>
      </c>
      <c r="I965" t="n">
        <v>0</v>
      </c>
      <c r="J965" t="n">
        <v>0</v>
      </c>
      <c r="K965" t="n">
        <v>0</v>
      </c>
      <c r="L965" t="n">
        <v>0</v>
      </c>
      <c r="M965" t="n">
        <v>0</v>
      </c>
      <c r="N965" t="n">
        <v>0</v>
      </c>
      <c r="O965" t="n">
        <v>0</v>
      </c>
      <c r="P965" t="n">
        <v>0</v>
      </c>
      <c r="Q965" t="n">
        <v>0</v>
      </c>
      <c r="R965" s="2" t="inlineStr"/>
    </row>
    <row r="966" ht="15" customHeight="1">
      <c r="A966" t="inlineStr">
        <is>
          <t>A 4593-2025</t>
        </is>
      </c>
      <c r="B966" s="1" t="n">
        <v>45687.54329861111</v>
      </c>
      <c r="C966" s="1" t="n">
        <v>45900</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45900</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55029-2021</t>
        </is>
      </c>
      <c r="B968" s="1" t="n">
        <v>44474.59423611111</v>
      </c>
      <c r="C968" s="1" t="n">
        <v>45900</v>
      </c>
      <c r="D968" t="inlineStr">
        <is>
          <t>JÄMTLANDS LÄN</t>
        </is>
      </c>
      <c r="E968" t="inlineStr">
        <is>
          <t>HÄRJEDALEN</t>
        </is>
      </c>
      <c r="G968" t="n">
        <v>6.2</v>
      </c>
      <c r="H968" t="n">
        <v>0</v>
      </c>
      <c r="I968" t="n">
        <v>0</v>
      </c>
      <c r="J968" t="n">
        <v>0</v>
      </c>
      <c r="K968" t="n">
        <v>0</v>
      </c>
      <c r="L968" t="n">
        <v>0</v>
      </c>
      <c r="M968" t="n">
        <v>0</v>
      </c>
      <c r="N968" t="n">
        <v>0</v>
      </c>
      <c r="O968" t="n">
        <v>0</v>
      </c>
      <c r="P968" t="n">
        <v>0</v>
      </c>
      <c r="Q968" t="n">
        <v>0</v>
      </c>
      <c r="R968" s="2" t="inlineStr"/>
    </row>
    <row r="969" ht="15" customHeight="1">
      <c r="A969" t="inlineStr">
        <is>
          <t>A 15003-2025</t>
        </is>
      </c>
      <c r="B969" s="1" t="n">
        <v>45743.61899305556</v>
      </c>
      <c r="C969" s="1" t="n">
        <v>45900</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15004-2025</t>
        </is>
      </c>
      <c r="B970" s="1" t="n">
        <v>45743.62116898148</v>
      </c>
      <c r="C970" s="1" t="n">
        <v>45900</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19863-2024</t>
        </is>
      </c>
      <c r="B971" s="1" t="n">
        <v>45433</v>
      </c>
      <c r="C971" s="1" t="n">
        <v>45900</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18953-2025</t>
        </is>
      </c>
      <c r="B972" s="1" t="n">
        <v>45764</v>
      </c>
      <c r="C972" s="1" t="n">
        <v>45900</v>
      </c>
      <c r="D972" t="inlineStr">
        <is>
          <t>JÄMTLANDS LÄN</t>
        </is>
      </c>
      <c r="E972" t="inlineStr">
        <is>
          <t>HÄRJEDALEN</t>
        </is>
      </c>
      <c r="G972" t="n">
        <v>14.3</v>
      </c>
      <c r="H972" t="n">
        <v>0</v>
      </c>
      <c r="I972" t="n">
        <v>0</v>
      </c>
      <c r="J972" t="n">
        <v>0</v>
      </c>
      <c r="K972" t="n">
        <v>0</v>
      </c>
      <c r="L972" t="n">
        <v>0</v>
      </c>
      <c r="M972" t="n">
        <v>0</v>
      </c>
      <c r="N972" t="n">
        <v>0</v>
      </c>
      <c r="O972" t="n">
        <v>0</v>
      </c>
      <c r="P972" t="n">
        <v>0</v>
      </c>
      <c r="Q972" t="n">
        <v>0</v>
      </c>
      <c r="R972" s="2" t="inlineStr"/>
    </row>
    <row r="973" ht="15" customHeight="1">
      <c r="A973" t="inlineStr">
        <is>
          <t>A 16626-2025</t>
        </is>
      </c>
      <c r="B973" s="1" t="n">
        <v>45754.35055555555</v>
      </c>
      <c r="C973" s="1" t="n">
        <v>45900</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37054-2024</t>
        </is>
      </c>
      <c r="B974" s="1" t="n">
        <v>45539.43545138889</v>
      </c>
      <c r="C974" s="1" t="n">
        <v>45900</v>
      </c>
      <c r="D974" t="inlineStr">
        <is>
          <t>JÄMTLANDS LÄN</t>
        </is>
      </c>
      <c r="E974" t="inlineStr">
        <is>
          <t>HÄRJEDALEN</t>
        </is>
      </c>
      <c r="G974" t="n">
        <v>1.8</v>
      </c>
      <c r="H974" t="n">
        <v>0</v>
      </c>
      <c r="I974" t="n">
        <v>0</v>
      </c>
      <c r="J974" t="n">
        <v>0</v>
      </c>
      <c r="K974" t="n">
        <v>0</v>
      </c>
      <c r="L974" t="n">
        <v>0</v>
      </c>
      <c r="M974" t="n">
        <v>0</v>
      </c>
      <c r="N974" t="n">
        <v>0</v>
      </c>
      <c r="O974" t="n">
        <v>0</v>
      </c>
      <c r="P974" t="n">
        <v>0</v>
      </c>
      <c r="Q974" t="n">
        <v>0</v>
      </c>
      <c r="R974" s="2" t="inlineStr"/>
    </row>
    <row r="975" ht="15" customHeight="1">
      <c r="A975" t="inlineStr">
        <is>
          <t>A 48051-2023</t>
        </is>
      </c>
      <c r="B975" s="1" t="n">
        <v>45204</v>
      </c>
      <c r="C975" s="1" t="n">
        <v>45900</v>
      </c>
      <c r="D975" t="inlineStr">
        <is>
          <t>JÄMTLANDS LÄN</t>
        </is>
      </c>
      <c r="E975" t="inlineStr">
        <is>
          <t>HÄRJEDALEN</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4862-2025</t>
        </is>
      </c>
      <c r="B976" s="1" t="n">
        <v>45688.6749537037</v>
      </c>
      <c r="C976" s="1" t="n">
        <v>45900</v>
      </c>
      <c r="D976" t="inlineStr">
        <is>
          <t>JÄMTLANDS LÄN</t>
        </is>
      </c>
      <c r="E976" t="inlineStr">
        <is>
          <t>HÄRJEDALEN</t>
        </is>
      </c>
      <c r="F976" t="inlineStr">
        <is>
          <t>SCA</t>
        </is>
      </c>
      <c r="G976" t="n">
        <v>10.6</v>
      </c>
      <c r="H976" t="n">
        <v>0</v>
      </c>
      <c r="I976" t="n">
        <v>0</v>
      </c>
      <c r="J976" t="n">
        <v>0</v>
      </c>
      <c r="K976" t="n">
        <v>0</v>
      </c>
      <c r="L976" t="n">
        <v>0</v>
      </c>
      <c r="M976" t="n">
        <v>0</v>
      </c>
      <c r="N976" t="n">
        <v>0</v>
      </c>
      <c r="O976" t="n">
        <v>0</v>
      </c>
      <c r="P976" t="n">
        <v>0</v>
      </c>
      <c r="Q976" t="n">
        <v>0</v>
      </c>
      <c r="R976" s="2" t="inlineStr"/>
    </row>
    <row r="977" ht="15" customHeight="1">
      <c r="A977" t="inlineStr">
        <is>
          <t>A 41766-2022</t>
        </is>
      </c>
      <c r="B977" s="1" t="n">
        <v>44827</v>
      </c>
      <c r="C977" s="1" t="n">
        <v>45900</v>
      </c>
      <c r="D977" t="inlineStr">
        <is>
          <t>JÄMTLANDS LÄN</t>
        </is>
      </c>
      <c r="E977" t="inlineStr">
        <is>
          <t>HÄRJEDALEN</t>
        </is>
      </c>
      <c r="G977" t="n">
        <v>12.5</v>
      </c>
      <c r="H977" t="n">
        <v>0</v>
      </c>
      <c r="I977" t="n">
        <v>0</v>
      </c>
      <c r="J977" t="n">
        <v>0</v>
      </c>
      <c r="K977" t="n">
        <v>0</v>
      </c>
      <c r="L977" t="n">
        <v>0</v>
      </c>
      <c r="M977" t="n">
        <v>0</v>
      </c>
      <c r="N977" t="n">
        <v>0</v>
      </c>
      <c r="O977" t="n">
        <v>0</v>
      </c>
      <c r="P977" t="n">
        <v>0</v>
      </c>
      <c r="Q977" t="n">
        <v>0</v>
      </c>
      <c r="R977" s="2" t="inlineStr"/>
    </row>
    <row r="978" ht="15" customHeight="1">
      <c r="A978" t="inlineStr">
        <is>
          <t>A 41771-2022</t>
        </is>
      </c>
      <c r="B978" s="1" t="n">
        <v>44827</v>
      </c>
      <c r="C978" s="1" t="n">
        <v>45900</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55463-2023</t>
        </is>
      </c>
      <c r="B979" s="1" t="n">
        <v>45238.46430555556</v>
      </c>
      <c r="C979" s="1" t="n">
        <v>45900</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39158-2023</t>
        </is>
      </c>
      <c r="B980" s="1" t="n">
        <v>45166.34795138889</v>
      </c>
      <c r="C980" s="1" t="n">
        <v>45900</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78-2023</t>
        </is>
      </c>
      <c r="B981" s="1" t="n">
        <v>44928</v>
      </c>
      <c r="C981" s="1" t="n">
        <v>45900</v>
      </c>
      <c r="D981" t="inlineStr">
        <is>
          <t>JÄMTLANDS LÄN</t>
        </is>
      </c>
      <c r="E981" t="inlineStr">
        <is>
          <t>HÄRJEDALEN</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19661-2024</t>
        </is>
      </c>
      <c r="B982" s="1" t="n">
        <v>45432</v>
      </c>
      <c r="C982" s="1" t="n">
        <v>45900</v>
      </c>
      <c r="D982" t="inlineStr">
        <is>
          <t>JÄMTLANDS LÄN</t>
        </is>
      </c>
      <c r="E982" t="inlineStr">
        <is>
          <t>HÄRJEDALEN</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10348-2023</t>
        </is>
      </c>
      <c r="B983" s="1" t="n">
        <v>44987.35637731481</v>
      </c>
      <c r="C983" s="1" t="n">
        <v>45900</v>
      </c>
      <c r="D983" t="inlineStr">
        <is>
          <t>JÄMTLANDS LÄN</t>
        </is>
      </c>
      <c r="E983" t="inlineStr">
        <is>
          <t>HÄRJEDALEN</t>
        </is>
      </c>
      <c r="F983" t="inlineStr">
        <is>
          <t>Holmen skog AB</t>
        </is>
      </c>
      <c r="G983" t="n">
        <v>17.8</v>
      </c>
      <c r="H983" t="n">
        <v>0</v>
      </c>
      <c r="I983" t="n">
        <v>0</v>
      </c>
      <c r="J983" t="n">
        <v>0</v>
      </c>
      <c r="K983" t="n">
        <v>0</v>
      </c>
      <c r="L983" t="n">
        <v>0</v>
      </c>
      <c r="M983" t="n">
        <v>0</v>
      </c>
      <c r="N983" t="n">
        <v>0</v>
      </c>
      <c r="O983" t="n">
        <v>0</v>
      </c>
      <c r="P983" t="n">
        <v>0</v>
      </c>
      <c r="Q983" t="n">
        <v>0</v>
      </c>
      <c r="R983" s="2" t="inlineStr"/>
    </row>
    <row r="984" ht="15" customHeight="1">
      <c r="A984" t="inlineStr">
        <is>
          <t>A 10353-2023</t>
        </is>
      </c>
      <c r="B984" s="1" t="n">
        <v>44987</v>
      </c>
      <c r="C984" s="1" t="n">
        <v>45900</v>
      </c>
      <c r="D984" t="inlineStr">
        <is>
          <t>JÄMTLANDS LÄN</t>
        </is>
      </c>
      <c r="E984" t="inlineStr">
        <is>
          <t>HÄRJEDALEN</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35726-2024</t>
        </is>
      </c>
      <c r="B985" s="1" t="n">
        <v>45532</v>
      </c>
      <c r="C985" s="1" t="n">
        <v>45900</v>
      </c>
      <c r="D985" t="inlineStr">
        <is>
          <t>JÄMTLANDS LÄN</t>
        </is>
      </c>
      <c r="E985" t="inlineStr">
        <is>
          <t>HÄRJEDALEN</t>
        </is>
      </c>
      <c r="G985" t="n">
        <v>14.3</v>
      </c>
      <c r="H985" t="n">
        <v>0</v>
      </c>
      <c r="I985" t="n">
        <v>0</v>
      </c>
      <c r="J985" t="n">
        <v>0</v>
      </c>
      <c r="K985" t="n">
        <v>0</v>
      </c>
      <c r="L985" t="n">
        <v>0</v>
      </c>
      <c r="M985" t="n">
        <v>0</v>
      </c>
      <c r="N985" t="n">
        <v>0</v>
      </c>
      <c r="O985" t="n">
        <v>0</v>
      </c>
      <c r="P985" t="n">
        <v>0</v>
      </c>
      <c r="Q985" t="n">
        <v>0</v>
      </c>
      <c r="R985" s="2" t="inlineStr"/>
    </row>
    <row r="986" ht="15" customHeight="1">
      <c r="A986" t="inlineStr">
        <is>
          <t>A 55969-2022</t>
        </is>
      </c>
      <c r="B986" s="1" t="n">
        <v>44886</v>
      </c>
      <c r="C986" s="1" t="n">
        <v>45900</v>
      </c>
      <c r="D986" t="inlineStr">
        <is>
          <t>JÄMTLANDS LÄN</t>
        </is>
      </c>
      <c r="E986" t="inlineStr">
        <is>
          <t>HÄRJEDALEN</t>
        </is>
      </c>
      <c r="F986" t="inlineStr">
        <is>
          <t>Övriga statliga verk och myndigheter</t>
        </is>
      </c>
      <c r="G986" t="n">
        <v>1.6</v>
      </c>
      <c r="H986" t="n">
        <v>0</v>
      </c>
      <c r="I986" t="n">
        <v>0</v>
      </c>
      <c r="J986" t="n">
        <v>0</v>
      </c>
      <c r="K986" t="n">
        <v>0</v>
      </c>
      <c r="L986" t="n">
        <v>0</v>
      </c>
      <c r="M986" t="n">
        <v>0</v>
      </c>
      <c r="N986" t="n">
        <v>0</v>
      </c>
      <c r="O986" t="n">
        <v>0</v>
      </c>
      <c r="P986" t="n">
        <v>0</v>
      </c>
      <c r="Q986" t="n">
        <v>0</v>
      </c>
      <c r="R986" s="2" t="inlineStr"/>
    </row>
    <row r="987" ht="15" customHeight="1">
      <c r="A987" t="inlineStr">
        <is>
          <t>A 17885-2025</t>
        </is>
      </c>
      <c r="B987" s="1" t="n">
        <v>45758.66108796297</v>
      </c>
      <c r="C987" s="1" t="n">
        <v>45900</v>
      </c>
      <c r="D987" t="inlineStr">
        <is>
          <t>JÄMTLANDS LÄN</t>
        </is>
      </c>
      <c r="E987" t="inlineStr">
        <is>
          <t>HÄRJEDALEN</t>
        </is>
      </c>
      <c r="G987" t="n">
        <v>5</v>
      </c>
      <c r="H987" t="n">
        <v>0</v>
      </c>
      <c r="I987" t="n">
        <v>0</v>
      </c>
      <c r="J987" t="n">
        <v>0</v>
      </c>
      <c r="K987" t="n">
        <v>0</v>
      </c>
      <c r="L987" t="n">
        <v>0</v>
      </c>
      <c r="M987" t="n">
        <v>0</v>
      </c>
      <c r="N987" t="n">
        <v>0</v>
      </c>
      <c r="O987" t="n">
        <v>0</v>
      </c>
      <c r="P987" t="n">
        <v>0</v>
      </c>
      <c r="Q987" t="n">
        <v>0</v>
      </c>
      <c r="R987" s="2" t="inlineStr"/>
    </row>
    <row r="988" ht="15" customHeight="1">
      <c r="A988" t="inlineStr">
        <is>
          <t>A 17895-2025</t>
        </is>
      </c>
      <c r="B988" s="1" t="n">
        <v>45758.69123842593</v>
      </c>
      <c r="C988" s="1" t="n">
        <v>45900</v>
      </c>
      <c r="D988" t="inlineStr">
        <is>
          <t>JÄMTLANDS LÄN</t>
        </is>
      </c>
      <c r="E988" t="inlineStr">
        <is>
          <t>HÄRJEDALEN</t>
        </is>
      </c>
      <c r="G988" t="n">
        <v>5.4</v>
      </c>
      <c r="H988" t="n">
        <v>0</v>
      </c>
      <c r="I988" t="n">
        <v>0</v>
      </c>
      <c r="J988" t="n">
        <v>0</v>
      </c>
      <c r="K988" t="n">
        <v>0</v>
      </c>
      <c r="L988" t="n">
        <v>0</v>
      </c>
      <c r="M988" t="n">
        <v>0</v>
      </c>
      <c r="N988" t="n">
        <v>0</v>
      </c>
      <c r="O988" t="n">
        <v>0</v>
      </c>
      <c r="P988" t="n">
        <v>0</v>
      </c>
      <c r="Q988" t="n">
        <v>0</v>
      </c>
      <c r="R988" s="2" t="inlineStr"/>
    </row>
    <row r="989" ht="15" customHeight="1">
      <c r="A989" t="inlineStr">
        <is>
          <t>A 1515-2025</t>
        </is>
      </c>
      <c r="B989" s="1" t="n">
        <v>45670.4570949074</v>
      </c>
      <c r="C989" s="1" t="n">
        <v>45900</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47450-2022</t>
        </is>
      </c>
      <c r="B990" s="1" t="n">
        <v>44853</v>
      </c>
      <c r="C990" s="1" t="n">
        <v>45900</v>
      </c>
      <c r="D990" t="inlineStr">
        <is>
          <t>JÄMTLANDS LÄN</t>
        </is>
      </c>
      <c r="E990" t="inlineStr">
        <is>
          <t>HÄRJEDALEN</t>
        </is>
      </c>
      <c r="G990" t="n">
        <v>1.5</v>
      </c>
      <c r="H990" t="n">
        <v>0</v>
      </c>
      <c r="I990" t="n">
        <v>0</v>
      </c>
      <c r="J990" t="n">
        <v>0</v>
      </c>
      <c r="K990" t="n">
        <v>0</v>
      </c>
      <c r="L990" t="n">
        <v>0</v>
      </c>
      <c r="M990" t="n">
        <v>0</v>
      </c>
      <c r="N990" t="n">
        <v>0</v>
      </c>
      <c r="O990" t="n">
        <v>0</v>
      </c>
      <c r="P990" t="n">
        <v>0</v>
      </c>
      <c r="Q990" t="n">
        <v>0</v>
      </c>
      <c r="R990" s="2" t="inlineStr"/>
    </row>
    <row r="991" ht="15" customHeight="1">
      <c r="A991" t="inlineStr">
        <is>
          <t>A 62590-2022</t>
        </is>
      </c>
      <c r="B991" s="1" t="n">
        <v>44925.33584490741</v>
      </c>
      <c r="C991" s="1" t="n">
        <v>45900</v>
      </c>
      <c r="D991" t="inlineStr">
        <is>
          <t>JÄMTLANDS LÄN</t>
        </is>
      </c>
      <c r="E991" t="inlineStr">
        <is>
          <t>HÄRJEDALEN</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7744-2025</t>
        </is>
      </c>
      <c r="B992" s="1" t="n">
        <v>45706</v>
      </c>
      <c r="C992" s="1" t="n">
        <v>45900</v>
      </c>
      <c r="D992" t="inlineStr">
        <is>
          <t>JÄMTLANDS LÄN</t>
        </is>
      </c>
      <c r="E992" t="inlineStr">
        <is>
          <t>HÄRJEDALEN</t>
        </is>
      </c>
      <c r="G992" t="n">
        <v>5.5</v>
      </c>
      <c r="H992" t="n">
        <v>0</v>
      </c>
      <c r="I992" t="n">
        <v>0</v>
      </c>
      <c r="J992" t="n">
        <v>0</v>
      </c>
      <c r="K992" t="n">
        <v>0</v>
      </c>
      <c r="L992" t="n">
        <v>0</v>
      </c>
      <c r="M992" t="n">
        <v>0</v>
      </c>
      <c r="N992" t="n">
        <v>0</v>
      </c>
      <c r="O992" t="n">
        <v>0</v>
      </c>
      <c r="P992" t="n">
        <v>0</v>
      </c>
      <c r="Q992" t="n">
        <v>0</v>
      </c>
      <c r="R992" s="2" t="inlineStr"/>
    </row>
    <row r="993" ht="15" customHeight="1">
      <c r="A993" t="inlineStr">
        <is>
          <t>A 14368-2025</t>
        </is>
      </c>
      <c r="B993" s="1" t="n">
        <v>45741.39084490741</v>
      </c>
      <c r="C993" s="1" t="n">
        <v>45900</v>
      </c>
      <c r="D993" t="inlineStr">
        <is>
          <t>JÄMTLANDS LÄN</t>
        </is>
      </c>
      <c r="E993" t="inlineStr">
        <is>
          <t>HÄRJEDALEN</t>
        </is>
      </c>
      <c r="G993" t="n">
        <v>6.5</v>
      </c>
      <c r="H993" t="n">
        <v>0</v>
      </c>
      <c r="I993" t="n">
        <v>0</v>
      </c>
      <c r="J993" t="n">
        <v>0</v>
      </c>
      <c r="K993" t="n">
        <v>0</v>
      </c>
      <c r="L993" t="n">
        <v>0</v>
      </c>
      <c r="M993" t="n">
        <v>0</v>
      </c>
      <c r="N993" t="n">
        <v>0</v>
      </c>
      <c r="O993" t="n">
        <v>0</v>
      </c>
      <c r="P993" t="n">
        <v>0</v>
      </c>
      <c r="Q993" t="n">
        <v>0</v>
      </c>
      <c r="R993" s="2" t="inlineStr"/>
    </row>
    <row r="994" ht="15" customHeight="1">
      <c r="A994" t="inlineStr">
        <is>
          <t>A 28408-2024</t>
        </is>
      </c>
      <c r="B994" s="1" t="n">
        <v>45477.62255787037</v>
      </c>
      <c r="C994" s="1" t="n">
        <v>45900</v>
      </c>
      <c r="D994" t="inlineStr">
        <is>
          <t>JÄMTLANDS LÄN</t>
        </is>
      </c>
      <c r="E994" t="inlineStr">
        <is>
          <t>HÄRJEDALEN</t>
        </is>
      </c>
      <c r="F994" t="inlineStr">
        <is>
          <t>Holmen skog AB</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10012-2023</t>
        </is>
      </c>
      <c r="B995" s="1" t="n">
        <v>44985.6125</v>
      </c>
      <c r="C995" s="1" t="n">
        <v>45900</v>
      </c>
      <c r="D995" t="inlineStr">
        <is>
          <t>JÄMTLANDS LÄN</t>
        </is>
      </c>
      <c r="E995" t="inlineStr">
        <is>
          <t>HÄRJEDALEN</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18546-2025</t>
        </is>
      </c>
      <c r="B996" s="1" t="n">
        <v>45763.4266087963</v>
      </c>
      <c r="C996" s="1" t="n">
        <v>45900</v>
      </c>
      <c r="D996" t="inlineStr">
        <is>
          <t>JÄMTLANDS LÄN</t>
        </is>
      </c>
      <c r="E996" t="inlineStr">
        <is>
          <t>HÄRJEDALEN</t>
        </is>
      </c>
      <c r="G996" t="n">
        <v>1.7</v>
      </c>
      <c r="H996" t="n">
        <v>0</v>
      </c>
      <c r="I996" t="n">
        <v>0</v>
      </c>
      <c r="J996" t="n">
        <v>0</v>
      </c>
      <c r="K996" t="n">
        <v>0</v>
      </c>
      <c r="L996" t="n">
        <v>0</v>
      </c>
      <c r="M996" t="n">
        <v>0</v>
      </c>
      <c r="N996" t="n">
        <v>0</v>
      </c>
      <c r="O996" t="n">
        <v>0</v>
      </c>
      <c r="P996" t="n">
        <v>0</v>
      </c>
      <c r="Q996" t="n">
        <v>0</v>
      </c>
      <c r="R996" s="2" t="inlineStr"/>
    </row>
    <row r="997" ht="15" customHeight="1">
      <c r="A997" t="inlineStr">
        <is>
          <t>A 7430-2024</t>
        </is>
      </c>
      <c r="B997" s="1" t="n">
        <v>45345.65929398148</v>
      </c>
      <c r="C997" s="1" t="n">
        <v>45900</v>
      </c>
      <c r="D997" t="inlineStr">
        <is>
          <t>JÄMTLANDS LÄN</t>
        </is>
      </c>
      <c r="E997" t="inlineStr">
        <is>
          <t>HÄRJEDALEN</t>
        </is>
      </c>
      <c r="F997" t="inlineStr">
        <is>
          <t>Holmen skog AB</t>
        </is>
      </c>
      <c r="G997" t="n">
        <v>12.1</v>
      </c>
      <c r="H997" t="n">
        <v>0</v>
      </c>
      <c r="I997" t="n">
        <v>0</v>
      </c>
      <c r="J997" t="n">
        <v>0</v>
      </c>
      <c r="K997" t="n">
        <v>0</v>
      </c>
      <c r="L997" t="n">
        <v>0</v>
      </c>
      <c r="M997" t="n">
        <v>0</v>
      </c>
      <c r="N997" t="n">
        <v>0</v>
      </c>
      <c r="O997" t="n">
        <v>0</v>
      </c>
      <c r="P997" t="n">
        <v>0</v>
      </c>
      <c r="Q997" t="n">
        <v>0</v>
      </c>
      <c r="R997" s="2" t="inlineStr"/>
    </row>
    <row r="998" ht="15" customHeight="1">
      <c r="A998" t="inlineStr">
        <is>
          <t>A 4879-2025</t>
        </is>
      </c>
      <c r="B998" s="1" t="n">
        <v>45688.6769212963</v>
      </c>
      <c r="C998" s="1" t="n">
        <v>45900</v>
      </c>
      <c r="D998" t="inlineStr">
        <is>
          <t>JÄMTLANDS LÄN</t>
        </is>
      </c>
      <c r="E998" t="inlineStr">
        <is>
          <t>HÄRJEDALEN</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20865-2024</t>
        </is>
      </c>
      <c r="B999" s="1" t="n">
        <v>45439.43106481482</v>
      </c>
      <c r="C999" s="1" t="n">
        <v>45900</v>
      </c>
      <c r="D999" t="inlineStr">
        <is>
          <t>JÄMTLANDS LÄN</t>
        </is>
      </c>
      <c r="E999" t="inlineStr">
        <is>
          <t>HÄRJEDALEN</t>
        </is>
      </c>
      <c r="F999" t="inlineStr">
        <is>
          <t>Holmen skog AB</t>
        </is>
      </c>
      <c r="G999" t="n">
        <v>7.2</v>
      </c>
      <c r="H999" t="n">
        <v>0</v>
      </c>
      <c r="I999" t="n">
        <v>0</v>
      </c>
      <c r="J999" t="n">
        <v>0</v>
      </c>
      <c r="K999" t="n">
        <v>0</v>
      </c>
      <c r="L999" t="n">
        <v>0</v>
      </c>
      <c r="M999" t="n">
        <v>0</v>
      </c>
      <c r="N999" t="n">
        <v>0</v>
      </c>
      <c r="O999" t="n">
        <v>0</v>
      </c>
      <c r="P999" t="n">
        <v>0</v>
      </c>
      <c r="Q999" t="n">
        <v>0</v>
      </c>
      <c r="R999" s="2" t="inlineStr"/>
    </row>
    <row r="1000" ht="15" customHeight="1">
      <c r="A1000" t="inlineStr">
        <is>
          <t>A 7636-2023</t>
        </is>
      </c>
      <c r="B1000" s="1" t="n">
        <v>44972.57449074074</v>
      </c>
      <c r="C1000" s="1" t="n">
        <v>45900</v>
      </c>
      <c r="D1000" t="inlineStr">
        <is>
          <t>JÄMTLANDS LÄN</t>
        </is>
      </c>
      <c r="E1000" t="inlineStr">
        <is>
          <t>HÄRJEDALEN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57755-2021</t>
        </is>
      </c>
      <c r="B1001" s="1" t="n">
        <v>44484.55535879629</v>
      </c>
      <c r="C1001" s="1" t="n">
        <v>45900</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53432-2023</t>
        </is>
      </c>
      <c r="B1002" s="1" t="n">
        <v>45229.92739583334</v>
      </c>
      <c r="C1002" s="1" t="n">
        <v>45900</v>
      </c>
      <c r="D1002" t="inlineStr">
        <is>
          <t>JÄMTLANDS LÄN</t>
        </is>
      </c>
      <c r="E1002" t="inlineStr">
        <is>
          <t>HÄRJEDALEN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56251-2024</t>
        </is>
      </c>
      <c r="B1003" s="1" t="n">
        <v>45624.63614583333</v>
      </c>
      <c r="C1003" s="1" t="n">
        <v>45900</v>
      </c>
      <c r="D1003" t="inlineStr">
        <is>
          <t>JÄMTLANDS LÄN</t>
        </is>
      </c>
      <c r="E1003" t="inlineStr">
        <is>
          <t>HÄRJEDALEN</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45900</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45900</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56043-2022</t>
        </is>
      </c>
      <c r="B1006" s="1" t="n">
        <v>44889.56582175926</v>
      </c>
      <c r="C1006" s="1" t="n">
        <v>45900</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35599-2024</t>
        </is>
      </c>
      <c r="B1007" s="1" t="n">
        <v>45531.66196759259</v>
      </c>
      <c r="C1007" s="1" t="n">
        <v>45900</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103-2023</t>
        </is>
      </c>
      <c r="B1008" s="1" t="n">
        <v>44928</v>
      </c>
      <c r="C1008" s="1" t="n">
        <v>45900</v>
      </c>
      <c r="D1008" t="inlineStr">
        <is>
          <t>JÄMTLANDS LÄN</t>
        </is>
      </c>
      <c r="E1008" t="inlineStr">
        <is>
          <t>HÄRJEDALEN</t>
        </is>
      </c>
      <c r="F1008" t="inlineStr">
        <is>
          <t>Holmen skog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73051-2021</t>
        </is>
      </c>
      <c r="B1009" s="1" t="n">
        <v>44550.39550925926</v>
      </c>
      <c r="C1009" s="1" t="n">
        <v>45900</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29-2023</t>
        </is>
      </c>
      <c r="B1010" s="1" t="n">
        <v>44928</v>
      </c>
      <c r="C1010" s="1" t="n">
        <v>45900</v>
      </c>
      <c r="D1010" t="inlineStr">
        <is>
          <t>JÄMTLANDS LÄN</t>
        </is>
      </c>
      <c r="E1010" t="inlineStr">
        <is>
          <t>HÄRJEDALEN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23358-2025</t>
        </is>
      </c>
      <c r="B1011" s="1" t="n">
        <v>45791</v>
      </c>
      <c r="C1011" s="1" t="n">
        <v>45900</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45900</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39820-2022</t>
        </is>
      </c>
      <c r="B1013" s="1" t="n">
        <v>44819.56722222222</v>
      </c>
      <c r="C1013" s="1" t="n">
        <v>45900</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57995-2024</t>
        </is>
      </c>
      <c r="B1014" s="1" t="n">
        <v>45631.63091435185</v>
      </c>
      <c r="C1014" s="1" t="n">
        <v>45900</v>
      </c>
      <c r="D1014" t="inlineStr">
        <is>
          <t>JÄMTLANDS LÄN</t>
        </is>
      </c>
      <c r="E1014" t="inlineStr">
        <is>
          <t>HÄRJEDALEN</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23731-2022</t>
        </is>
      </c>
      <c r="B1015" s="1" t="n">
        <v>44722</v>
      </c>
      <c r="C1015" s="1" t="n">
        <v>45900</v>
      </c>
      <c r="D1015" t="inlineStr">
        <is>
          <t>JÄMTLANDS LÄN</t>
        </is>
      </c>
      <c r="E1015" t="inlineStr">
        <is>
          <t>HÄRJEDALEN</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47738-2022</t>
        </is>
      </c>
      <c r="B1016" s="1" t="n">
        <v>44854</v>
      </c>
      <c r="C1016" s="1" t="n">
        <v>45900</v>
      </c>
      <c r="D1016" t="inlineStr">
        <is>
          <t>JÄMTLANDS LÄN</t>
        </is>
      </c>
      <c r="E1016" t="inlineStr">
        <is>
          <t>HÄRJEDALEN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16536-2025</t>
        </is>
      </c>
      <c r="B1017" s="1" t="n">
        <v>45751.65657407408</v>
      </c>
      <c r="C1017" s="1" t="n">
        <v>45900</v>
      </c>
      <c r="D1017" t="inlineStr">
        <is>
          <t>JÄMTLANDS LÄN</t>
        </is>
      </c>
      <c r="E1017" t="inlineStr">
        <is>
          <t>HÄRJEDALEN</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6304-2024</t>
        </is>
      </c>
      <c r="B1018" s="1" t="n">
        <v>45338</v>
      </c>
      <c r="C1018" s="1" t="n">
        <v>45900</v>
      </c>
      <c r="D1018" t="inlineStr">
        <is>
          <t>JÄMTLANDS LÄN</t>
        </is>
      </c>
      <c r="E1018" t="inlineStr">
        <is>
          <t>HÄRJEDALEN</t>
        </is>
      </c>
      <c r="F1018" t="inlineStr">
        <is>
          <t>Bergvik skog väst AB</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30729-2024</t>
        </is>
      </c>
      <c r="B1019" s="1" t="n">
        <v>45496.59202546296</v>
      </c>
      <c r="C1019" s="1" t="n">
        <v>45900</v>
      </c>
      <c r="D1019" t="inlineStr">
        <is>
          <t>JÄMTLANDS LÄN</t>
        </is>
      </c>
      <c r="E1019" t="inlineStr">
        <is>
          <t>HÄRJEDALEN</t>
        </is>
      </c>
      <c r="F1019" t="inlineStr">
        <is>
          <t>Bergvik skog väst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17291-2025</t>
        </is>
      </c>
      <c r="B1020" s="1" t="n">
        <v>45756</v>
      </c>
      <c r="C1020" s="1" t="n">
        <v>45900</v>
      </c>
      <c r="D1020" t="inlineStr">
        <is>
          <t>JÄMTLANDS LÄN</t>
        </is>
      </c>
      <c r="E1020" t="inlineStr">
        <is>
          <t>HÄRJEDALEN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37054-2023</t>
        </is>
      </c>
      <c r="B1021" s="1" t="n">
        <v>45154</v>
      </c>
      <c r="C1021" s="1" t="n">
        <v>45900</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30743-2024</t>
        </is>
      </c>
      <c r="B1022" s="1" t="n">
        <v>45496.67178240741</v>
      </c>
      <c r="C1022" s="1" t="n">
        <v>45900</v>
      </c>
      <c r="D1022" t="inlineStr">
        <is>
          <t>JÄMTLANDS LÄN</t>
        </is>
      </c>
      <c r="E1022" t="inlineStr">
        <is>
          <t>HÄRJEDALEN</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64909-2023</t>
        </is>
      </c>
      <c r="B1023" s="1" t="n">
        <v>45282.64012731481</v>
      </c>
      <c r="C1023" s="1" t="n">
        <v>45900</v>
      </c>
      <c r="D1023" t="inlineStr">
        <is>
          <t>JÄMTLANDS LÄN</t>
        </is>
      </c>
      <c r="E1023" t="inlineStr">
        <is>
          <t>HÄRJEDALEN</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2336-2025</t>
        </is>
      </c>
      <c r="B1024" s="1" t="n">
        <v>45673.65925925926</v>
      </c>
      <c r="C1024" s="1" t="n">
        <v>45900</v>
      </c>
      <c r="D1024" t="inlineStr">
        <is>
          <t>JÄMTLANDS LÄN</t>
        </is>
      </c>
      <c r="E1024" t="inlineStr">
        <is>
          <t>HÄRJEDALEN</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18080-2024</t>
        </is>
      </c>
      <c r="B1025" s="1" t="n">
        <v>45420.44414351852</v>
      </c>
      <c r="C1025" s="1" t="n">
        <v>45900</v>
      </c>
      <c r="D1025" t="inlineStr">
        <is>
          <t>JÄMTLANDS LÄN</t>
        </is>
      </c>
      <c r="E1025" t="inlineStr">
        <is>
          <t>HÄRJEDALEN</t>
        </is>
      </c>
      <c r="F1025" t="inlineStr">
        <is>
          <t>Holmen skog AB</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2718-2025</t>
        </is>
      </c>
      <c r="B1026" s="1" t="n">
        <v>45677.43028935185</v>
      </c>
      <c r="C1026" s="1" t="n">
        <v>45900</v>
      </c>
      <c r="D1026" t="inlineStr">
        <is>
          <t>JÄMTLANDS LÄN</t>
        </is>
      </c>
      <c r="E1026" t="inlineStr">
        <is>
          <t>HÄRJEDALEN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50775-2021</t>
        </is>
      </c>
      <c r="B1027" s="1" t="n">
        <v>44460.44315972222</v>
      </c>
      <c r="C1027" s="1" t="n">
        <v>45900</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22499-2024</t>
        </is>
      </c>
      <c r="B1028" s="1" t="n">
        <v>45447.35144675926</v>
      </c>
      <c r="C1028" s="1" t="n">
        <v>45900</v>
      </c>
      <c r="D1028" t="inlineStr">
        <is>
          <t>JÄMTLANDS LÄN</t>
        </is>
      </c>
      <c r="E1028" t="inlineStr">
        <is>
          <t>HÄRJEDALEN</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55736-2023</t>
        </is>
      </c>
      <c r="B1029" s="1" t="n">
        <v>45239.43173611111</v>
      </c>
      <c r="C1029" s="1" t="n">
        <v>45900</v>
      </c>
      <c r="D1029" t="inlineStr">
        <is>
          <t>JÄMTLANDS LÄN</t>
        </is>
      </c>
      <c r="E1029" t="inlineStr">
        <is>
          <t>HÄRJEDALEN</t>
        </is>
      </c>
      <c r="F1029" t="inlineStr">
        <is>
          <t>Holmen skog AB</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19915-2023</t>
        </is>
      </c>
      <c r="B1030" s="1" t="n">
        <v>45054</v>
      </c>
      <c r="C1030" s="1" t="n">
        <v>45900</v>
      </c>
      <c r="D1030" t="inlineStr">
        <is>
          <t>JÄMTLANDS LÄN</t>
        </is>
      </c>
      <c r="E1030" t="inlineStr">
        <is>
          <t>HÄRJEDALEN</t>
        </is>
      </c>
      <c r="F1030" t="inlineStr">
        <is>
          <t>Sveaskog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18144-2025</t>
        </is>
      </c>
      <c r="B1031" s="1" t="n">
        <v>45761.61501157407</v>
      </c>
      <c r="C1031" s="1" t="n">
        <v>45900</v>
      </c>
      <c r="D1031" t="inlineStr">
        <is>
          <t>JÄMTLANDS LÄN</t>
        </is>
      </c>
      <c r="E1031" t="inlineStr">
        <is>
          <t>HÄRJEDALEN</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59125-2024</t>
        </is>
      </c>
      <c r="B1032" s="1" t="n">
        <v>45637.39587962963</v>
      </c>
      <c r="C1032" s="1" t="n">
        <v>45900</v>
      </c>
      <c r="D1032" t="inlineStr">
        <is>
          <t>JÄMTLANDS LÄN</t>
        </is>
      </c>
      <c r="E1032" t="inlineStr">
        <is>
          <t>HÄRJEDALEN</t>
        </is>
      </c>
      <c r="F1032" t="inlineStr">
        <is>
          <t>Bergvik skog väst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41101-2024</t>
        </is>
      </c>
      <c r="B1033" s="1" t="n">
        <v>45559.43645833333</v>
      </c>
      <c r="C1033" s="1" t="n">
        <v>45900</v>
      </c>
      <c r="D1033" t="inlineStr">
        <is>
          <t>JÄMTLANDS LÄN</t>
        </is>
      </c>
      <c r="E1033" t="inlineStr">
        <is>
          <t>HÄRJEDALEN</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33096-2024</t>
        </is>
      </c>
      <c r="B1034" s="1" t="n">
        <v>45517.69590277778</v>
      </c>
      <c r="C1034" s="1" t="n">
        <v>45900</v>
      </c>
      <c r="D1034" t="inlineStr">
        <is>
          <t>JÄMTLANDS LÄN</t>
        </is>
      </c>
      <c r="E1034" t="inlineStr">
        <is>
          <t>HÄRJEDALEN</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56054-2024</t>
        </is>
      </c>
      <c r="B1035" s="1" t="n">
        <v>45624.36090277778</v>
      </c>
      <c r="C1035" s="1" t="n">
        <v>45900</v>
      </c>
      <c r="D1035" t="inlineStr">
        <is>
          <t>JÄMTLANDS LÄN</t>
        </is>
      </c>
      <c r="E1035" t="inlineStr">
        <is>
          <t>HÄRJEDALEN</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48198-2024</t>
        </is>
      </c>
      <c r="B1036" s="1" t="n">
        <v>45590.31899305555</v>
      </c>
      <c r="C1036" s="1" t="n">
        <v>45900</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60006-2024</t>
        </is>
      </c>
      <c r="B1037" s="1" t="n">
        <v>45642.41907407407</v>
      </c>
      <c r="C1037" s="1" t="n">
        <v>45900</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19353-2023</t>
        </is>
      </c>
      <c r="B1038" s="1" t="n">
        <v>45049.59826388889</v>
      </c>
      <c r="C1038" s="1" t="n">
        <v>45900</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15747-2023</t>
        </is>
      </c>
      <c r="B1039" s="1" t="n">
        <v>45020</v>
      </c>
      <c r="C1039" s="1" t="n">
        <v>45900</v>
      </c>
      <c r="D1039" t="inlineStr">
        <is>
          <t>JÄMTLANDS LÄN</t>
        </is>
      </c>
      <c r="E1039" t="inlineStr">
        <is>
          <t>HÄRJEDALEN</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52867-2022</t>
        </is>
      </c>
      <c r="B1040" s="1" t="n">
        <v>44872</v>
      </c>
      <c r="C1040" s="1" t="n">
        <v>45900</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23186-2023</t>
        </is>
      </c>
      <c r="B1041" s="1" t="n">
        <v>45075.59358796296</v>
      </c>
      <c r="C1041" s="1" t="n">
        <v>45900</v>
      </c>
      <c r="D1041" t="inlineStr">
        <is>
          <t>JÄMTLANDS LÄN</t>
        </is>
      </c>
      <c r="E1041" t="inlineStr">
        <is>
          <t>HÄRJEDALEN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4221-2025</t>
        </is>
      </c>
      <c r="B1042" s="1" t="n">
        <v>45685.52405092592</v>
      </c>
      <c r="C1042" s="1" t="n">
        <v>45900</v>
      </c>
      <c r="D1042" t="inlineStr">
        <is>
          <t>JÄMTLANDS LÄN</t>
        </is>
      </c>
      <c r="E1042" t="inlineStr">
        <is>
          <t>HÄRJEDALEN</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4225-2025</t>
        </is>
      </c>
      <c r="B1043" s="1" t="n">
        <v>45685.5349074074</v>
      </c>
      <c r="C1043" s="1" t="n">
        <v>45900</v>
      </c>
      <c r="D1043" t="inlineStr">
        <is>
          <t>JÄMTLANDS LÄN</t>
        </is>
      </c>
      <c r="E1043" t="inlineStr">
        <is>
          <t>HÄRJEDALEN</t>
        </is>
      </c>
      <c r="F1043" t="inlineStr">
        <is>
          <t>Bergvik skog väst AB</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2106-2025</t>
        </is>
      </c>
      <c r="B1044" s="1" t="n">
        <v>45672.61748842592</v>
      </c>
      <c r="C1044" s="1" t="n">
        <v>45900</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13723-2024</t>
        </is>
      </c>
      <c r="B1045" s="1" t="n">
        <v>45390</v>
      </c>
      <c r="C1045" s="1" t="n">
        <v>45900</v>
      </c>
      <c r="D1045" t="inlineStr">
        <is>
          <t>JÄMTLANDS LÄN</t>
        </is>
      </c>
      <c r="E1045" t="inlineStr">
        <is>
          <t>HÄRJEDALEN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13328-2025</t>
        </is>
      </c>
      <c r="B1046" s="1" t="n">
        <v>45735.60342592592</v>
      </c>
      <c r="C1046" s="1" t="n">
        <v>45900</v>
      </c>
      <c r="D1046" t="inlineStr">
        <is>
          <t>JÄMTLANDS LÄN</t>
        </is>
      </c>
      <c r="E1046" t="inlineStr">
        <is>
          <t>HÄRJEDALEN</t>
        </is>
      </c>
      <c r="G1046" t="n">
        <v>30.8</v>
      </c>
      <c r="H1046" t="n">
        <v>0</v>
      </c>
      <c r="I1046" t="n">
        <v>0</v>
      </c>
      <c r="J1046" t="n">
        <v>0</v>
      </c>
      <c r="K1046" t="n">
        <v>0</v>
      </c>
      <c r="L1046" t="n">
        <v>0</v>
      </c>
      <c r="M1046" t="n">
        <v>0</v>
      </c>
      <c r="N1046" t="n">
        <v>0</v>
      </c>
      <c r="O1046" t="n">
        <v>0</v>
      </c>
      <c r="P1046" t="n">
        <v>0</v>
      </c>
      <c r="Q1046" t="n">
        <v>0</v>
      </c>
      <c r="R1046" s="2" t="inlineStr"/>
    </row>
    <row r="1047" ht="15" customHeight="1">
      <c r="A1047" t="inlineStr">
        <is>
          <t>A 10004-2025</t>
        </is>
      </c>
      <c r="B1047" s="1" t="n">
        <v>45719.45277777778</v>
      </c>
      <c r="C1047" s="1" t="n">
        <v>45900</v>
      </c>
      <c r="D1047" t="inlineStr">
        <is>
          <t>JÄMTLANDS LÄN</t>
        </is>
      </c>
      <c r="E1047" t="inlineStr">
        <is>
          <t>HÄRJEDALEN</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18542-2025</t>
        </is>
      </c>
      <c r="B1048" s="1" t="n">
        <v>45763.4178587963</v>
      </c>
      <c r="C1048" s="1" t="n">
        <v>45900</v>
      </c>
      <c r="D1048" t="inlineStr">
        <is>
          <t>JÄMTLANDS LÄN</t>
        </is>
      </c>
      <c r="E1048" t="inlineStr">
        <is>
          <t>HÄRJEDALEN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8136-2024</t>
        </is>
      </c>
      <c r="B1049" s="1" t="n">
        <v>45351</v>
      </c>
      <c r="C1049" s="1" t="n">
        <v>45900</v>
      </c>
      <c r="D1049" t="inlineStr">
        <is>
          <t>JÄMTLANDS LÄN</t>
        </is>
      </c>
      <c r="E1049" t="inlineStr">
        <is>
          <t>HÄRJEDALEN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44967-2024</t>
        </is>
      </c>
      <c r="B1050" s="1" t="n">
        <v>45575</v>
      </c>
      <c r="C1050" s="1" t="n">
        <v>45900</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54079-2024</t>
        </is>
      </c>
      <c r="B1051" s="1" t="n">
        <v>45616.49530092593</v>
      </c>
      <c r="C1051" s="1" t="n">
        <v>45900</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45900</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4752-2025</t>
        </is>
      </c>
      <c r="B1053" s="1" t="n">
        <v>45688.46570601852</v>
      </c>
      <c r="C1053" s="1" t="n">
        <v>45900</v>
      </c>
      <c r="D1053" t="inlineStr">
        <is>
          <t>JÄMTLANDS LÄN</t>
        </is>
      </c>
      <c r="E1053" t="inlineStr">
        <is>
          <t>HÄRJEDALEN</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61232-2020</t>
        </is>
      </c>
      <c r="B1054" s="1" t="n">
        <v>44155</v>
      </c>
      <c r="C1054" s="1" t="n">
        <v>45900</v>
      </c>
      <c r="D1054" t="inlineStr">
        <is>
          <t>JÄMTLANDS LÄN</t>
        </is>
      </c>
      <c r="E1054" t="inlineStr">
        <is>
          <t>HÄRJEDALEN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60050-2024</t>
        </is>
      </c>
      <c r="B1055" s="1" t="n">
        <v>45642</v>
      </c>
      <c r="C1055" s="1" t="n">
        <v>45900</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29594-2024</t>
        </is>
      </c>
      <c r="B1056" s="1" t="n">
        <v>45484.58422453704</v>
      </c>
      <c r="C1056" s="1" t="n">
        <v>45900</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11255-2024</t>
        </is>
      </c>
      <c r="B1057" s="1" t="n">
        <v>45371.66217592593</v>
      </c>
      <c r="C1057" s="1" t="n">
        <v>45900</v>
      </c>
      <c r="D1057" t="inlineStr">
        <is>
          <t>JÄMTLANDS LÄN</t>
        </is>
      </c>
      <c r="E1057" t="inlineStr">
        <is>
          <t>HÄRJEDALEN</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55931-2022</t>
        </is>
      </c>
      <c r="B1058" s="1" t="n">
        <v>44886</v>
      </c>
      <c r="C1058" s="1" t="n">
        <v>45900</v>
      </c>
      <c r="D1058" t="inlineStr">
        <is>
          <t>JÄMTLANDS LÄN</t>
        </is>
      </c>
      <c r="E1058" t="inlineStr">
        <is>
          <t>HÄRJEDALEN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1361-2024</t>
        </is>
      </c>
      <c r="B1059" s="1" t="n">
        <v>45303.5047337963</v>
      </c>
      <c r="C1059" s="1" t="n">
        <v>45900</v>
      </c>
      <c r="D1059" t="inlineStr">
        <is>
          <t>JÄMTLANDS LÄN</t>
        </is>
      </c>
      <c r="E1059" t="inlineStr">
        <is>
          <t>HÄRJEDALEN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13297-2025</t>
        </is>
      </c>
      <c r="B1060" s="1" t="n">
        <v>45735.57390046296</v>
      </c>
      <c r="C1060" s="1" t="n">
        <v>45900</v>
      </c>
      <c r="D1060" t="inlineStr">
        <is>
          <t>JÄMTLANDS LÄN</t>
        </is>
      </c>
      <c r="E1060" t="inlineStr">
        <is>
          <t>HÄRJEDALEN</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31956-2023</t>
        </is>
      </c>
      <c r="B1061" s="1" t="n">
        <v>45119.38151620371</v>
      </c>
      <c r="C1061" s="1" t="n">
        <v>45900</v>
      </c>
      <c r="D1061" t="inlineStr">
        <is>
          <t>JÄMTLANDS LÄN</t>
        </is>
      </c>
      <c r="E1061" t="inlineStr">
        <is>
          <t>HÄRJEDALEN</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848-2025</t>
        </is>
      </c>
      <c r="B1062" s="1" t="n">
        <v>45665.59925925926</v>
      </c>
      <c r="C1062" s="1" t="n">
        <v>45900</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48822-2024</t>
        </is>
      </c>
      <c r="B1063" s="1" t="n">
        <v>45593.6821412037</v>
      </c>
      <c r="C1063" s="1" t="n">
        <v>45900</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48823-2024</t>
        </is>
      </c>
      <c r="B1064" s="1" t="n">
        <v>45593.68434027778</v>
      </c>
      <c r="C1064" s="1" t="n">
        <v>45900</v>
      </c>
      <c r="D1064" t="inlineStr">
        <is>
          <t>JÄMTLANDS LÄN</t>
        </is>
      </c>
      <c r="E1064" t="inlineStr">
        <is>
          <t>HÄRJEDALEN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56547-2024</t>
        </is>
      </c>
      <c r="B1065" s="1" t="n">
        <v>45625.56934027778</v>
      </c>
      <c r="C1065" s="1" t="n">
        <v>45900</v>
      </c>
      <c r="D1065" t="inlineStr">
        <is>
          <t>JÄMTLANDS LÄN</t>
        </is>
      </c>
      <c r="E1065" t="inlineStr">
        <is>
          <t>HÄRJEDALEN</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63323-2023</t>
        </is>
      </c>
      <c r="B1066" s="1" t="n">
        <v>45274</v>
      </c>
      <c r="C1066" s="1" t="n">
        <v>45900</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16801-2024</t>
        </is>
      </c>
      <c r="B1067" s="1" t="n">
        <v>45411.44549768518</v>
      </c>
      <c r="C1067" s="1" t="n">
        <v>45900</v>
      </c>
      <c r="D1067" t="inlineStr">
        <is>
          <t>JÄMTLANDS LÄN</t>
        </is>
      </c>
      <c r="E1067" t="inlineStr">
        <is>
          <t>HÄRJEDALEN</t>
        </is>
      </c>
      <c r="F1067" t="inlineStr">
        <is>
          <t>Bergvik skog väst AB</t>
        </is>
      </c>
      <c r="G1067" t="n">
        <v>15.2</v>
      </c>
      <c r="H1067" t="n">
        <v>0</v>
      </c>
      <c r="I1067" t="n">
        <v>0</v>
      </c>
      <c r="J1067" t="n">
        <v>0</v>
      </c>
      <c r="K1067" t="n">
        <v>0</v>
      </c>
      <c r="L1067" t="n">
        <v>0</v>
      </c>
      <c r="M1067" t="n">
        <v>0</v>
      </c>
      <c r="N1067" t="n">
        <v>0</v>
      </c>
      <c r="O1067" t="n">
        <v>0</v>
      </c>
      <c r="P1067" t="n">
        <v>0</v>
      </c>
      <c r="Q1067" t="n">
        <v>0</v>
      </c>
      <c r="R1067" s="2" t="inlineStr"/>
    </row>
    <row r="1068" ht="15" customHeight="1">
      <c r="A1068" t="inlineStr">
        <is>
          <t>A 1364-2024</t>
        </is>
      </c>
      <c r="B1068" s="1" t="n">
        <v>45303.5187037037</v>
      </c>
      <c r="C1068" s="1" t="n">
        <v>45900</v>
      </c>
      <c r="D1068" t="inlineStr">
        <is>
          <t>JÄMTLANDS LÄN</t>
        </is>
      </c>
      <c r="E1068" t="inlineStr">
        <is>
          <t>HÄRJEDALEN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58507-2024</t>
        </is>
      </c>
      <c r="B1069" s="1" t="n">
        <v>45635.42027777778</v>
      </c>
      <c r="C1069" s="1" t="n">
        <v>45900</v>
      </c>
      <c r="D1069" t="inlineStr">
        <is>
          <t>JÄMTLANDS LÄN</t>
        </is>
      </c>
      <c r="E1069" t="inlineStr">
        <is>
          <t>HÄRJEDALEN</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11997-2025</t>
        </is>
      </c>
      <c r="B1070" s="1" t="n">
        <v>45728.61006944445</v>
      </c>
      <c r="C1070" s="1" t="n">
        <v>45900</v>
      </c>
      <c r="D1070" t="inlineStr">
        <is>
          <t>JÄMTLANDS LÄN</t>
        </is>
      </c>
      <c r="E1070" t="inlineStr">
        <is>
          <t>HÄRJEDALEN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53002-2024</t>
        </is>
      </c>
      <c r="B1071" s="1" t="n">
        <v>45611.38759259259</v>
      </c>
      <c r="C1071" s="1" t="n">
        <v>45900</v>
      </c>
      <c r="D1071" t="inlineStr">
        <is>
          <t>JÄMTLANDS LÄN</t>
        </is>
      </c>
      <c r="E1071" t="inlineStr">
        <is>
          <t>HÄRJEDALEN</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12810-2022</t>
        </is>
      </c>
      <c r="B1072" s="1" t="n">
        <v>44642</v>
      </c>
      <c r="C1072" s="1" t="n">
        <v>45900</v>
      </c>
      <c r="D1072" t="inlineStr">
        <is>
          <t>JÄMTLANDS LÄN</t>
        </is>
      </c>
      <c r="E1072" t="inlineStr">
        <is>
          <t>HÄRJEDALEN</t>
        </is>
      </c>
      <c r="F1072" t="inlineStr">
        <is>
          <t>Holmen skog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56906-2023</t>
        </is>
      </c>
      <c r="B1073" s="1" t="n">
        <v>45244</v>
      </c>
      <c r="C1073" s="1" t="n">
        <v>45900</v>
      </c>
      <c r="D1073" t="inlineStr">
        <is>
          <t>JÄMTLANDS LÄN</t>
        </is>
      </c>
      <c r="E1073" t="inlineStr">
        <is>
          <t>HÄRJEDALEN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58890-2023</t>
        </is>
      </c>
      <c r="B1074" s="1" t="n">
        <v>45252.48409722222</v>
      </c>
      <c r="C1074" s="1" t="n">
        <v>45900</v>
      </c>
      <c r="D1074" t="inlineStr">
        <is>
          <t>JÄMTLANDS LÄN</t>
        </is>
      </c>
      <c r="E1074" t="inlineStr">
        <is>
          <t>HÄRJEDALEN</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58930-2023</t>
        </is>
      </c>
      <c r="B1075" s="1" t="n">
        <v>45252</v>
      </c>
      <c r="C1075" s="1" t="n">
        <v>45900</v>
      </c>
      <c r="D1075" t="inlineStr">
        <is>
          <t>JÄMTLANDS LÄN</t>
        </is>
      </c>
      <c r="E1075" t="inlineStr">
        <is>
          <t>HÄRJEDALEN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1394-2025</t>
        </is>
      </c>
      <c r="B1076" s="1" t="n">
        <v>45667</v>
      </c>
      <c r="C1076" s="1" t="n">
        <v>45900</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31791-2024</t>
        </is>
      </c>
      <c r="B1077" s="1" t="n">
        <v>45509</v>
      </c>
      <c r="C1077" s="1" t="n">
        <v>45900</v>
      </c>
      <c r="D1077" t="inlineStr">
        <is>
          <t>JÄMTLANDS LÄN</t>
        </is>
      </c>
      <c r="E1077" t="inlineStr">
        <is>
          <t>HÄRJEDALEN</t>
        </is>
      </c>
      <c r="F1077" t="inlineStr">
        <is>
          <t>Övriga statliga verk och myndigheter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1366-2024</t>
        </is>
      </c>
      <c r="B1078" s="1" t="n">
        <v>45303.52626157407</v>
      </c>
      <c r="C1078" s="1" t="n">
        <v>45900</v>
      </c>
      <c r="D1078" t="inlineStr">
        <is>
          <t>JÄMTLANDS LÄN</t>
        </is>
      </c>
      <c r="E1078" t="inlineStr">
        <is>
          <t>HÄRJEDALEN</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10024-2025</t>
        </is>
      </c>
      <c r="B1079" s="1" t="n">
        <v>45719.48778935185</v>
      </c>
      <c r="C1079" s="1" t="n">
        <v>45900</v>
      </c>
      <c r="D1079" t="inlineStr">
        <is>
          <t>JÄMTLANDS LÄN</t>
        </is>
      </c>
      <c r="E1079" t="inlineStr">
        <is>
          <t>HÄRJEDALEN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44819-2024</t>
        </is>
      </c>
      <c r="B1080" s="1" t="n">
        <v>45574.66106481481</v>
      </c>
      <c r="C1080" s="1" t="n">
        <v>45900</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61465-2023</t>
        </is>
      </c>
      <c r="B1081" s="1" t="n">
        <v>45264.92637731481</v>
      </c>
      <c r="C1081" s="1" t="n">
        <v>45900</v>
      </c>
      <c r="D1081" t="inlineStr">
        <is>
          <t>JÄMTLANDS LÄN</t>
        </is>
      </c>
      <c r="E1081" t="inlineStr">
        <is>
          <t>HÄRJEDALEN</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60749-2023</t>
        </is>
      </c>
      <c r="B1082" s="1" t="n">
        <v>45260.59042824074</v>
      </c>
      <c r="C1082" s="1" t="n">
        <v>45900</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23185-2023</t>
        </is>
      </c>
      <c r="B1083" s="1" t="n">
        <v>45075.59148148148</v>
      </c>
      <c r="C1083" s="1" t="n">
        <v>45900</v>
      </c>
      <c r="D1083" t="inlineStr">
        <is>
          <t>JÄMTLANDS LÄN</t>
        </is>
      </c>
      <c r="E1083" t="inlineStr">
        <is>
          <t>HÄRJEDALEN</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21666-2023</t>
        </is>
      </c>
      <c r="B1084" s="1" t="n">
        <v>45063.92605324074</v>
      </c>
      <c r="C1084" s="1" t="n">
        <v>45900</v>
      </c>
      <c r="D1084" t="inlineStr">
        <is>
          <t>JÄMTLANDS LÄN</t>
        </is>
      </c>
      <c r="E1084" t="inlineStr">
        <is>
          <t>HÄRJEDALEN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45120-2024</t>
        </is>
      </c>
      <c r="B1085" s="1" t="n">
        <v>45575.60996527778</v>
      </c>
      <c r="C1085" s="1" t="n">
        <v>45900</v>
      </c>
      <c r="D1085" t="inlineStr">
        <is>
          <t>JÄMTLANDS LÄN</t>
        </is>
      </c>
      <c r="E1085" t="inlineStr">
        <is>
          <t>HÄRJEDALEN</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65248-2023</t>
        </is>
      </c>
      <c r="B1086" s="1" t="n">
        <v>45290.39024305555</v>
      </c>
      <c r="C1086" s="1" t="n">
        <v>45900</v>
      </c>
      <c r="D1086" t="inlineStr">
        <is>
          <t>JÄMTLANDS LÄN</t>
        </is>
      </c>
      <c r="E1086" t="inlineStr">
        <is>
          <t>HÄRJEDALEN</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24613-2024</t>
        </is>
      </c>
      <c r="B1087" s="1" t="n">
        <v>45460.48582175926</v>
      </c>
      <c r="C1087" s="1" t="n">
        <v>45900</v>
      </c>
      <c r="D1087" t="inlineStr">
        <is>
          <t>JÄMTLANDS LÄN</t>
        </is>
      </c>
      <c r="E1087" t="inlineStr">
        <is>
          <t>HÄRJEDALEN</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45680.42497685185</v>
      </c>
      <c r="C1088" s="1" t="n">
        <v>45900</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36568-2023</t>
        </is>
      </c>
      <c r="B1089" s="1" t="n">
        <v>45153.42725694444</v>
      </c>
      <c r="C1089" s="1" t="n">
        <v>45900</v>
      </c>
      <c r="D1089" t="inlineStr">
        <is>
          <t>JÄMTLANDS LÄN</t>
        </is>
      </c>
      <c r="E1089" t="inlineStr">
        <is>
          <t>HÄRJEDALEN</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43297-2024</t>
        </is>
      </c>
      <c r="B1090" s="1" t="n">
        <v>45568</v>
      </c>
      <c r="C1090" s="1" t="n">
        <v>45900</v>
      </c>
      <c r="D1090" t="inlineStr">
        <is>
          <t>JÄMTLANDS LÄN</t>
        </is>
      </c>
      <c r="E1090" t="inlineStr">
        <is>
          <t>HÄRJEDALEN</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4252-2025</t>
        </is>
      </c>
      <c r="B1091" s="1" t="n">
        <v>45685</v>
      </c>
      <c r="C1091" s="1" t="n">
        <v>45900</v>
      </c>
      <c r="D1091" t="inlineStr">
        <is>
          <t>JÄMTLANDS LÄN</t>
        </is>
      </c>
      <c r="E1091" t="inlineStr">
        <is>
          <t>HÄRJEDALEN</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28444-2024</t>
        </is>
      </c>
      <c r="B1092" s="1" t="n">
        <v>45477.66773148148</v>
      </c>
      <c r="C1092" s="1" t="n">
        <v>45900</v>
      </c>
      <c r="D1092" t="inlineStr">
        <is>
          <t>JÄMTLANDS LÄN</t>
        </is>
      </c>
      <c r="E1092" t="inlineStr">
        <is>
          <t>HÄRJEDALEN</t>
        </is>
      </c>
      <c r="F1092" t="inlineStr">
        <is>
          <t>Holmen skog AB</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60062-2023</t>
        </is>
      </c>
      <c r="B1093" s="1" t="n">
        <v>45257</v>
      </c>
      <c r="C1093" s="1" t="n">
        <v>45900</v>
      </c>
      <c r="D1093" t="inlineStr">
        <is>
          <t>JÄMTLANDS LÄN</t>
        </is>
      </c>
      <c r="E1093" t="inlineStr">
        <is>
          <t>HÄRJEDALEN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50544-2024</t>
        </is>
      </c>
      <c r="B1094" s="1" t="n">
        <v>45601.58355324074</v>
      </c>
      <c r="C1094" s="1" t="n">
        <v>45900</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19402-2024</t>
        </is>
      </c>
      <c r="B1095" s="1" t="n">
        <v>45429.39</v>
      </c>
      <c r="C1095" s="1" t="n">
        <v>45900</v>
      </c>
      <c r="D1095" t="inlineStr">
        <is>
          <t>JÄMTLANDS LÄN</t>
        </is>
      </c>
      <c r="E1095" t="inlineStr">
        <is>
          <t>HÄRJEDALEN</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58581-2024</t>
        </is>
      </c>
      <c r="B1096" s="1" t="n">
        <v>45635.4916087963</v>
      </c>
      <c r="C1096" s="1" t="n">
        <v>45900</v>
      </c>
      <c r="D1096" t="inlineStr">
        <is>
          <t>JÄMTLANDS LÄN</t>
        </is>
      </c>
      <c r="E1096" t="inlineStr">
        <is>
          <t>HÄRJEDALEN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14631-2023</t>
        </is>
      </c>
      <c r="B1097" s="1" t="n">
        <v>45012</v>
      </c>
      <c r="C1097" s="1" t="n">
        <v>45900</v>
      </c>
      <c r="D1097" t="inlineStr">
        <is>
          <t>JÄMTLANDS LÄN</t>
        </is>
      </c>
      <c r="E1097" t="inlineStr">
        <is>
          <t>HÄRJEDALEN</t>
        </is>
      </c>
      <c r="F1097" t="inlineStr">
        <is>
          <t>Bergvik skog väst AB</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45900</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859-2022</t>
        </is>
      </c>
      <c r="B1099" s="1" t="n">
        <v>44571</v>
      </c>
      <c r="C1099" s="1" t="n">
        <v>45900</v>
      </c>
      <c r="D1099" t="inlineStr">
        <is>
          <t>JÄMTLANDS LÄN</t>
        </is>
      </c>
      <c r="E1099" t="inlineStr">
        <is>
          <t>HÄRJEDALEN</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45731-2024</t>
        </is>
      </c>
      <c r="B1100" s="1" t="n">
        <v>45579.59980324074</v>
      </c>
      <c r="C1100" s="1" t="n">
        <v>45900</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58110-2024</t>
        </is>
      </c>
      <c r="B1101" s="1" t="n">
        <v>45632</v>
      </c>
      <c r="C1101" s="1" t="n">
        <v>45900</v>
      </c>
      <c r="D1101" t="inlineStr">
        <is>
          <t>JÄMTLANDS LÄN</t>
        </is>
      </c>
      <c r="E1101" t="inlineStr">
        <is>
          <t>HÄRJEDALEN</t>
        </is>
      </c>
      <c r="G1101" t="n">
        <v>0.6</v>
      </c>
      <c r="H1101" t="n">
        <v>0</v>
      </c>
      <c r="I1101" t="n">
        <v>0</v>
      </c>
      <c r="J1101" t="n">
        <v>0</v>
      </c>
      <c r="K1101" t="n">
        <v>0</v>
      </c>
      <c r="L1101" t="n">
        <v>0</v>
      </c>
      <c r="M1101" t="n">
        <v>0</v>
      </c>
      <c r="N1101" t="n">
        <v>0</v>
      </c>
      <c r="O1101" t="n">
        <v>0</v>
      </c>
      <c r="P1101" t="n">
        <v>0</v>
      </c>
      <c r="Q1101" t="n">
        <v>0</v>
      </c>
      <c r="R1101" s="2" t="inlineStr"/>
    </row>
    <row r="1102">
      <c r="A1102" t="inlineStr">
        <is>
          <t>A 58117-2024</t>
        </is>
      </c>
      <c r="B1102" s="1" t="n">
        <v>45632</v>
      </c>
      <c r="C1102" s="1" t="n">
        <v>45900</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2025-08-31T08:32:54Z</dcterms:created>
  <dcterms:modified xmlns:dcterms="http://purl.org/dc/terms/" xmlns:xsi="http://www.w3.org/2001/XMLSchema-instance" xsi:type="dcterms:W3CDTF">2025-08-31T08:32:55Z</dcterms:modified>
</cp:coreProperties>
</file>