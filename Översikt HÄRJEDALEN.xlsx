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45337</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45337</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45337</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45337</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45337</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45337</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45337</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45337</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45337</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45337</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45337</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45337</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45337</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45337</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45337</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45337</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45337</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45337</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45337</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45337</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45337</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45337</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45337</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45337</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45337</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45337</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36972-2020</t>
        </is>
      </c>
      <c r="B28" s="1" t="n">
        <v>44053</v>
      </c>
      <c r="C28" s="1" t="n">
        <v>45337</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45337</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c r="Z29">
        <f>HYPERLINK("https://klasma.github.io/Logging_2361/fåglar/A 29434-2023 prioriterade fågelarter.docx", "A 29434-2023")</f>
        <v/>
      </c>
    </row>
    <row r="30" ht="15" customHeight="1">
      <c r="A30" t="inlineStr">
        <is>
          <t>A 50604-2023</t>
        </is>
      </c>
      <c r="B30" s="1" t="n">
        <v>45217</v>
      </c>
      <c r="C30" s="1" t="n">
        <v>45337</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c r="Z30">
        <f>HYPERLINK("https://klasma.github.io/Logging_2361/fåglar/A 50604-2023 prioriterade fågelarter.docx", "A 50604-2023")</f>
        <v/>
      </c>
    </row>
    <row r="31" ht="15" customHeight="1">
      <c r="A31" t="inlineStr">
        <is>
          <t>A 28713-2021</t>
        </is>
      </c>
      <c r="B31" s="1" t="n">
        <v>44357</v>
      </c>
      <c r="C31" s="1" t="n">
        <v>45337</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c r="Z31">
        <f>HYPERLINK("https://klasma.github.io/Logging_2361/fåglar/A 28713-2021 prioriterade fågelarter.docx", "A 28713-2021")</f>
        <v/>
      </c>
    </row>
    <row r="32" ht="15" customHeight="1">
      <c r="A32" t="inlineStr">
        <is>
          <t>A 38354-2021</t>
        </is>
      </c>
      <c r="B32" s="1" t="n">
        <v>44406</v>
      </c>
      <c r="C32" s="1" t="n">
        <v>45337</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45337</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45337</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45337</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45337</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c r="Z36">
        <f>HYPERLINK("https://klasma.github.io/Logging_2361/fåglar/A 31328-2022 prioriterade fågelarter.docx", "A 31328-2022")</f>
        <v/>
      </c>
    </row>
    <row r="37" ht="15" customHeight="1">
      <c r="A37" t="inlineStr">
        <is>
          <t>A 38535-2019</t>
        </is>
      </c>
      <c r="B37" s="1" t="n">
        <v>43685</v>
      </c>
      <c r="C37" s="1" t="n">
        <v>45337</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45337</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45337</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45337</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c r="Z40">
        <f>HYPERLINK("https://klasma.github.io/Logging_2361/fåglar/A 29799-2022 prioriterade fågelarter.docx", "A 29799-2022")</f>
        <v/>
      </c>
    </row>
    <row r="41" ht="15" customHeight="1">
      <c r="A41" t="inlineStr">
        <is>
          <t>A 174-2021</t>
        </is>
      </c>
      <c r="B41" s="1" t="n">
        <v>44200</v>
      </c>
      <c r="C41" s="1" t="n">
        <v>45337</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45337</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45337</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45337</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c r="Z44">
        <f>HYPERLINK("https://klasma.github.io/Logging_2361/fåglar/A 25562-2023 prioriterade fågelarter.docx", "A 25562-2023")</f>
        <v/>
      </c>
    </row>
    <row r="45" ht="15" customHeight="1">
      <c r="A45" t="inlineStr">
        <is>
          <t>A 4916-2019</t>
        </is>
      </c>
      <c r="B45" s="1" t="n">
        <v>43479</v>
      </c>
      <c r="C45" s="1" t="n">
        <v>45337</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45337</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c r="Z46">
        <f>HYPERLINK("https://klasma.github.io/Logging_2361/fåglar/A 33422-2021 prioriterade fågelarter.docx", "A 33422-2021")</f>
        <v/>
      </c>
    </row>
    <row r="47" ht="15" customHeight="1">
      <c r="A47" t="inlineStr">
        <is>
          <t>A 74075-2021</t>
        </is>
      </c>
      <c r="B47" s="1" t="n">
        <v>44553</v>
      </c>
      <c r="C47" s="1" t="n">
        <v>45337</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45337</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c r="Z48">
        <f>HYPERLINK("https://klasma.github.io/Logging_2361/fåglar/A 44258-2018 prioriterade fågelarter.docx", "A 44258-2018")</f>
        <v/>
      </c>
    </row>
    <row r="49" ht="15" customHeight="1">
      <c r="A49" t="inlineStr">
        <is>
          <t>A 12810-2019</t>
        </is>
      </c>
      <c r="B49" s="1" t="n">
        <v>43525</v>
      </c>
      <c r="C49" s="1" t="n">
        <v>45337</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45337</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45337</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45337</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45337</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45337</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45337</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45337</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45337</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45337</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45337</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45337</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45337</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45337</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45337</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45337</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45337</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45337</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45337</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45337</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45337</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45337</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45337</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45337</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45337</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45337</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45337</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45337</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45337</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45337</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45337</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45337</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45337</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45337</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45337</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45337</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45337</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45337</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45337</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45337</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45337</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45337</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45337</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45337</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45337</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45337</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45337</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45337</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45337</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45337</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45337</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45337</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45337</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45337</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45337</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45337</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45337</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45337</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45337</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45337</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45337</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45337</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45337</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45337</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45337</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45337</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45337</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45337</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45337</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45337</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45337</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45337</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45337</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45337</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45337</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45337</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45337</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45337</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45337</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45337</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45337</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45337</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45337</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45337</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45337</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45337</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45337</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45337</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45337</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45337</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45337</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45337</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45337</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45337</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45337</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45337</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45337</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45337</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45337</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38754-2018</t>
        </is>
      </c>
      <c r="B148" s="1" t="n">
        <v>43340</v>
      </c>
      <c r="C148" s="1" t="n">
        <v>45337</v>
      </c>
      <c r="D148" t="inlineStr">
        <is>
          <t>JÄMTLANDS LÄN</t>
        </is>
      </c>
      <c r="E148" t="inlineStr">
        <is>
          <t>HÄRJEDALEN</t>
        </is>
      </c>
      <c r="G148" t="n">
        <v>4.2</v>
      </c>
      <c r="H148" t="n">
        <v>0</v>
      </c>
      <c r="I148" t="n">
        <v>0</v>
      </c>
      <c r="J148" t="n">
        <v>0</v>
      </c>
      <c r="K148" t="n">
        <v>0</v>
      </c>
      <c r="L148" t="n">
        <v>0</v>
      </c>
      <c r="M148" t="n">
        <v>0</v>
      </c>
      <c r="N148" t="n">
        <v>0</v>
      </c>
      <c r="O148" t="n">
        <v>0</v>
      </c>
      <c r="P148" t="n">
        <v>0</v>
      </c>
      <c r="Q148" t="n">
        <v>0</v>
      </c>
      <c r="R148" s="2" t="inlineStr"/>
    </row>
    <row r="149" ht="15" customHeight="1">
      <c r="A149" t="inlineStr">
        <is>
          <t>A 38753-2018</t>
        </is>
      </c>
      <c r="B149" s="1" t="n">
        <v>43340</v>
      </c>
      <c r="C149" s="1" t="n">
        <v>45337</v>
      </c>
      <c r="D149" t="inlineStr">
        <is>
          <t>JÄMTLANDS LÄN</t>
        </is>
      </c>
      <c r="E149" t="inlineStr">
        <is>
          <t>HÄRJEDALEN</t>
        </is>
      </c>
      <c r="G149" t="n">
        <v>3.6</v>
      </c>
      <c r="H149" t="n">
        <v>0</v>
      </c>
      <c r="I149" t="n">
        <v>0</v>
      </c>
      <c r="J149" t="n">
        <v>0</v>
      </c>
      <c r="K149" t="n">
        <v>0</v>
      </c>
      <c r="L149" t="n">
        <v>0</v>
      </c>
      <c r="M149" t="n">
        <v>0</v>
      </c>
      <c r="N149" t="n">
        <v>0</v>
      </c>
      <c r="O149" t="n">
        <v>0</v>
      </c>
      <c r="P149" t="n">
        <v>0</v>
      </c>
      <c r="Q149" t="n">
        <v>0</v>
      </c>
      <c r="R149" s="2" t="inlineStr"/>
    </row>
    <row r="150" ht="15" customHeight="1">
      <c r="A150" t="inlineStr">
        <is>
          <t>A 41979-2018</t>
        </is>
      </c>
      <c r="B150" s="1" t="n">
        <v>43350</v>
      </c>
      <c r="C150" s="1" t="n">
        <v>45337</v>
      </c>
      <c r="D150" t="inlineStr">
        <is>
          <t>JÄMTLANDS LÄN</t>
        </is>
      </c>
      <c r="E150" t="inlineStr">
        <is>
          <t>HÄRJEDALEN</t>
        </is>
      </c>
      <c r="G150" t="n">
        <v>50</v>
      </c>
      <c r="H150" t="n">
        <v>0</v>
      </c>
      <c r="I150" t="n">
        <v>0</v>
      </c>
      <c r="J150" t="n">
        <v>0</v>
      </c>
      <c r="K150" t="n">
        <v>0</v>
      </c>
      <c r="L150" t="n">
        <v>0</v>
      </c>
      <c r="M150" t="n">
        <v>0</v>
      </c>
      <c r="N150" t="n">
        <v>0</v>
      </c>
      <c r="O150" t="n">
        <v>0</v>
      </c>
      <c r="P150" t="n">
        <v>0</v>
      </c>
      <c r="Q150" t="n">
        <v>0</v>
      </c>
      <c r="R150" s="2" t="inlineStr"/>
    </row>
    <row r="151" ht="15" customHeight="1">
      <c r="A151" t="inlineStr">
        <is>
          <t>A 44222-2018</t>
        </is>
      </c>
      <c r="B151" s="1" t="n">
        <v>43360</v>
      </c>
      <c r="C151" s="1" t="n">
        <v>45337</v>
      </c>
      <c r="D151" t="inlineStr">
        <is>
          <t>JÄMTLANDS LÄN</t>
        </is>
      </c>
      <c r="E151" t="inlineStr">
        <is>
          <t>HÄRJEDALEN</t>
        </is>
      </c>
      <c r="G151" t="n">
        <v>0.7</v>
      </c>
      <c r="H151" t="n">
        <v>0</v>
      </c>
      <c r="I151" t="n">
        <v>0</v>
      </c>
      <c r="J151" t="n">
        <v>0</v>
      </c>
      <c r="K151" t="n">
        <v>0</v>
      </c>
      <c r="L151" t="n">
        <v>0</v>
      </c>
      <c r="M151" t="n">
        <v>0</v>
      </c>
      <c r="N151" t="n">
        <v>0</v>
      </c>
      <c r="O151" t="n">
        <v>0</v>
      </c>
      <c r="P151" t="n">
        <v>0</v>
      </c>
      <c r="Q151" t="n">
        <v>0</v>
      </c>
      <c r="R151" s="2" t="inlineStr"/>
    </row>
    <row r="152" ht="15" customHeight="1">
      <c r="A152" t="inlineStr">
        <is>
          <t>A 46202-2018</t>
        </is>
      </c>
      <c r="B152" s="1" t="n">
        <v>43364</v>
      </c>
      <c r="C152" s="1" t="n">
        <v>45337</v>
      </c>
      <c r="D152" t="inlineStr">
        <is>
          <t>JÄMTLANDS LÄN</t>
        </is>
      </c>
      <c r="E152" t="inlineStr">
        <is>
          <t>HÄRJEDALEN</t>
        </is>
      </c>
      <c r="G152" t="n">
        <v>2.4</v>
      </c>
      <c r="H152" t="n">
        <v>0</v>
      </c>
      <c r="I152" t="n">
        <v>0</v>
      </c>
      <c r="J152" t="n">
        <v>0</v>
      </c>
      <c r="K152" t="n">
        <v>0</v>
      </c>
      <c r="L152" t="n">
        <v>0</v>
      </c>
      <c r="M152" t="n">
        <v>0</v>
      </c>
      <c r="N152" t="n">
        <v>0</v>
      </c>
      <c r="O152" t="n">
        <v>0</v>
      </c>
      <c r="P152" t="n">
        <v>0</v>
      </c>
      <c r="Q152" t="n">
        <v>0</v>
      </c>
      <c r="R152" s="2" t="inlineStr"/>
    </row>
    <row r="153" ht="15" customHeight="1">
      <c r="A153" t="inlineStr">
        <is>
          <t>A 47412-2018</t>
        </is>
      </c>
      <c r="B153" s="1" t="n">
        <v>43369</v>
      </c>
      <c r="C153" s="1" t="n">
        <v>45337</v>
      </c>
      <c r="D153" t="inlineStr">
        <is>
          <t>JÄMTLANDS LÄN</t>
        </is>
      </c>
      <c r="E153" t="inlineStr">
        <is>
          <t>HÄRJEDALEN</t>
        </is>
      </c>
      <c r="G153" t="n">
        <v>20.4</v>
      </c>
      <c r="H153" t="n">
        <v>0</v>
      </c>
      <c r="I153" t="n">
        <v>0</v>
      </c>
      <c r="J153" t="n">
        <v>0</v>
      </c>
      <c r="K153" t="n">
        <v>0</v>
      </c>
      <c r="L153" t="n">
        <v>0</v>
      </c>
      <c r="M153" t="n">
        <v>0</v>
      </c>
      <c r="N153" t="n">
        <v>0</v>
      </c>
      <c r="O153" t="n">
        <v>0</v>
      </c>
      <c r="P153" t="n">
        <v>0</v>
      </c>
      <c r="Q153" t="n">
        <v>0</v>
      </c>
      <c r="R153" s="2" t="inlineStr"/>
    </row>
    <row r="154" ht="15" customHeight="1">
      <c r="A154" t="inlineStr">
        <is>
          <t>A 48245-2018</t>
        </is>
      </c>
      <c r="B154" s="1" t="n">
        <v>43371</v>
      </c>
      <c r="C154" s="1" t="n">
        <v>45337</v>
      </c>
      <c r="D154" t="inlineStr">
        <is>
          <t>JÄMTLANDS LÄN</t>
        </is>
      </c>
      <c r="E154" t="inlineStr">
        <is>
          <t>HÄRJEDALEN</t>
        </is>
      </c>
      <c r="G154" t="n">
        <v>0.4</v>
      </c>
      <c r="H154" t="n">
        <v>0</v>
      </c>
      <c r="I154" t="n">
        <v>0</v>
      </c>
      <c r="J154" t="n">
        <v>0</v>
      </c>
      <c r="K154" t="n">
        <v>0</v>
      </c>
      <c r="L154" t="n">
        <v>0</v>
      </c>
      <c r="M154" t="n">
        <v>0</v>
      </c>
      <c r="N154" t="n">
        <v>0</v>
      </c>
      <c r="O154" t="n">
        <v>0</v>
      </c>
      <c r="P154" t="n">
        <v>0</v>
      </c>
      <c r="Q154" t="n">
        <v>0</v>
      </c>
      <c r="R154" s="2" t="inlineStr"/>
    </row>
    <row r="155" ht="15" customHeight="1">
      <c r="A155" t="inlineStr">
        <is>
          <t>A 49130-2018</t>
        </is>
      </c>
      <c r="B155" s="1" t="n">
        <v>43375</v>
      </c>
      <c r="C155" s="1" t="n">
        <v>45337</v>
      </c>
      <c r="D155" t="inlineStr">
        <is>
          <t>JÄMTLANDS LÄN</t>
        </is>
      </c>
      <c r="E155" t="inlineStr">
        <is>
          <t>HÄRJEDALEN</t>
        </is>
      </c>
      <c r="G155" t="n">
        <v>6.6</v>
      </c>
      <c r="H155" t="n">
        <v>0</v>
      </c>
      <c r="I155" t="n">
        <v>0</v>
      </c>
      <c r="J155" t="n">
        <v>0</v>
      </c>
      <c r="K155" t="n">
        <v>0</v>
      </c>
      <c r="L155" t="n">
        <v>0</v>
      </c>
      <c r="M155" t="n">
        <v>0</v>
      </c>
      <c r="N155" t="n">
        <v>0</v>
      </c>
      <c r="O155" t="n">
        <v>0</v>
      </c>
      <c r="P155" t="n">
        <v>0</v>
      </c>
      <c r="Q155" t="n">
        <v>0</v>
      </c>
      <c r="R155" s="2" t="inlineStr"/>
    </row>
    <row r="156" ht="15" customHeight="1">
      <c r="A156" t="inlineStr">
        <is>
          <t>A 51450-2018</t>
        </is>
      </c>
      <c r="B156" s="1" t="n">
        <v>43383</v>
      </c>
      <c r="C156" s="1" t="n">
        <v>45337</v>
      </c>
      <c r="D156" t="inlineStr">
        <is>
          <t>JÄMTLANDS LÄN</t>
        </is>
      </c>
      <c r="E156" t="inlineStr">
        <is>
          <t>HÄRJEDALEN</t>
        </is>
      </c>
      <c r="G156" t="n">
        <v>16.3</v>
      </c>
      <c r="H156" t="n">
        <v>0</v>
      </c>
      <c r="I156" t="n">
        <v>0</v>
      </c>
      <c r="J156" t="n">
        <v>0</v>
      </c>
      <c r="K156" t="n">
        <v>0</v>
      </c>
      <c r="L156" t="n">
        <v>0</v>
      </c>
      <c r="M156" t="n">
        <v>0</v>
      </c>
      <c r="N156" t="n">
        <v>0</v>
      </c>
      <c r="O156" t="n">
        <v>0</v>
      </c>
      <c r="P156" t="n">
        <v>0</v>
      </c>
      <c r="Q156" t="n">
        <v>0</v>
      </c>
      <c r="R156" s="2" t="inlineStr"/>
    </row>
    <row r="157" ht="15" customHeight="1">
      <c r="A157" t="inlineStr">
        <is>
          <t>A 54581-2018</t>
        </is>
      </c>
      <c r="B157" s="1" t="n">
        <v>43389</v>
      </c>
      <c r="C157" s="1" t="n">
        <v>45337</v>
      </c>
      <c r="D157" t="inlineStr">
        <is>
          <t>JÄMTLANDS LÄN</t>
        </is>
      </c>
      <c r="E157" t="inlineStr">
        <is>
          <t>HÄRJEDALEN</t>
        </is>
      </c>
      <c r="F157" t="inlineStr">
        <is>
          <t>Övriga statliga verk och myndigheter</t>
        </is>
      </c>
      <c r="G157" t="n">
        <v>58.9</v>
      </c>
      <c r="H157" t="n">
        <v>0</v>
      </c>
      <c r="I157" t="n">
        <v>0</v>
      </c>
      <c r="J157" t="n">
        <v>0</v>
      </c>
      <c r="K157" t="n">
        <v>0</v>
      </c>
      <c r="L157" t="n">
        <v>0</v>
      </c>
      <c r="M157" t="n">
        <v>0</v>
      </c>
      <c r="N157" t="n">
        <v>0</v>
      </c>
      <c r="O157" t="n">
        <v>0</v>
      </c>
      <c r="P157" t="n">
        <v>0</v>
      </c>
      <c r="Q157" t="n">
        <v>0</v>
      </c>
      <c r="R157" s="2" t="inlineStr"/>
    </row>
    <row r="158" ht="15" customHeight="1">
      <c r="A158" t="inlineStr">
        <is>
          <t>A 54538-2018</t>
        </is>
      </c>
      <c r="B158" s="1" t="n">
        <v>43390</v>
      </c>
      <c r="C158" s="1" t="n">
        <v>45337</v>
      </c>
      <c r="D158" t="inlineStr">
        <is>
          <t>JÄMTLANDS LÄN</t>
        </is>
      </c>
      <c r="E158" t="inlineStr">
        <is>
          <t>HÄRJEDALEN</t>
        </is>
      </c>
      <c r="G158" t="n">
        <v>1</v>
      </c>
      <c r="H158" t="n">
        <v>0</v>
      </c>
      <c r="I158" t="n">
        <v>0</v>
      </c>
      <c r="J158" t="n">
        <v>0</v>
      </c>
      <c r="K158" t="n">
        <v>0</v>
      </c>
      <c r="L158" t="n">
        <v>0</v>
      </c>
      <c r="M158" t="n">
        <v>0</v>
      </c>
      <c r="N158" t="n">
        <v>0</v>
      </c>
      <c r="O158" t="n">
        <v>0</v>
      </c>
      <c r="P158" t="n">
        <v>0</v>
      </c>
      <c r="Q158" t="n">
        <v>0</v>
      </c>
      <c r="R158" s="2" t="inlineStr"/>
    </row>
    <row r="159" ht="15" customHeight="1">
      <c r="A159" t="inlineStr">
        <is>
          <t>A 54602-2018</t>
        </is>
      </c>
      <c r="B159" s="1" t="n">
        <v>43390</v>
      </c>
      <c r="C159" s="1" t="n">
        <v>45337</v>
      </c>
      <c r="D159" t="inlineStr">
        <is>
          <t>JÄMTLANDS LÄN</t>
        </is>
      </c>
      <c r="E159" t="inlineStr">
        <is>
          <t>HÄRJEDALEN</t>
        </is>
      </c>
      <c r="G159" t="n">
        <v>2.3</v>
      </c>
      <c r="H159" t="n">
        <v>0</v>
      </c>
      <c r="I159" t="n">
        <v>0</v>
      </c>
      <c r="J159" t="n">
        <v>0</v>
      </c>
      <c r="K159" t="n">
        <v>0</v>
      </c>
      <c r="L159" t="n">
        <v>0</v>
      </c>
      <c r="M159" t="n">
        <v>0</v>
      </c>
      <c r="N159" t="n">
        <v>0</v>
      </c>
      <c r="O159" t="n">
        <v>0</v>
      </c>
      <c r="P159" t="n">
        <v>0</v>
      </c>
      <c r="Q159" t="n">
        <v>0</v>
      </c>
      <c r="R159" s="2" t="inlineStr"/>
    </row>
    <row r="160" ht="15" customHeight="1">
      <c r="A160" t="inlineStr">
        <is>
          <t>A 54050-2018</t>
        </is>
      </c>
      <c r="B160" s="1" t="n">
        <v>43392</v>
      </c>
      <c r="C160" s="1" t="n">
        <v>45337</v>
      </c>
      <c r="D160" t="inlineStr">
        <is>
          <t>JÄMTLANDS LÄN</t>
        </is>
      </c>
      <c r="E160" t="inlineStr">
        <is>
          <t>HÄRJEDALEN</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55215-2018</t>
        </is>
      </c>
      <c r="B161" s="1" t="n">
        <v>43396</v>
      </c>
      <c r="C161" s="1" t="n">
        <v>45337</v>
      </c>
      <c r="D161" t="inlineStr">
        <is>
          <t>JÄMTLANDS LÄN</t>
        </is>
      </c>
      <c r="E161" t="inlineStr">
        <is>
          <t>HÄRJEDALEN</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56473-2018</t>
        </is>
      </c>
      <c r="B162" s="1" t="n">
        <v>43399</v>
      </c>
      <c r="C162" s="1" t="n">
        <v>45337</v>
      </c>
      <c r="D162" t="inlineStr">
        <is>
          <t>JÄMTLANDS LÄN</t>
        </is>
      </c>
      <c r="E162" t="inlineStr">
        <is>
          <t>HÄRJEDALEN</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56693-2018</t>
        </is>
      </c>
      <c r="B163" s="1" t="n">
        <v>43402</v>
      </c>
      <c r="C163" s="1" t="n">
        <v>45337</v>
      </c>
      <c r="D163" t="inlineStr">
        <is>
          <t>JÄMTLANDS LÄN</t>
        </is>
      </c>
      <c r="E163" t="inlineStr">
        <is>
          <t>HÄRJEDALEN</t>
        </is>
      </c>
      <c r="G163" t="n">
        <v>2.6</v>
      </c>
      <c r="H163" t="n">
        <v>0</v>
      </c>
      <c r="I163" t="n">
        <v>0</v>
      </c>
      <c r="J163" t="n">
        <v>0</v>
      </c>
      <c r="K163" t="n">
        <v>0</v>
      </c>
      <c r="L163" t="n">
        <v>0</v>
      </c>
      <c r="M163" t="n">
        <v>0</v>
      </c>
      <c r="N163" t="n">
        <v>0</v>
      </c>
      <c r="O163" t="n">
        <v>0</v>
      </c>
      <c r="P163" t="n">
        <v>0</v>
      </c>
      <c r="Q163" t="n">
        <v>0</v>
      </c>
      <c r="R163" s="2" t="inlineStr"/>
    </row>
    <row r="164" ht="15" customHeight="1">
      <c r="A164" t="inlineStr">
        <is>
          <t>A 57667-2018</t>
        </is>
      </c>
      <c r="B164" s="1" t="n">
        <v>43404</v>
      </c>
      <c r="C164" s="1" t="n">
        <v>45337</v>
      </c>
      <c r="D164" t="inlineStr">
        <is>
          <t>JÄMTLANDS LÄN</t>
        </is>
      </c>
      <c r="E164" t="inlineStr">
        <is>
          <t>HÄRJEDALEN</t>
        </is>
      </c>
      <c r="G164" t="n">
        <v>46.5</v>
      </c>
      <c r="H164" t="n">
        <v>0</v>
      </c>
      <c r="I164" t="n">
        <v>0</v>
      </c>
      <c r="J164" t="n">
        <v>0</v>
      </c>
      <c r="K164" t="n">
        <v>0</v>
      </c>
      <c r="L164" t="n">
        <v>0</v>
      </c>
      <c r="M164" t="n">
        <v>0</v>
      </c>
      <c r="N164" t="n">
        <v>0</v>
      </c>
      <c r="O164" t="n">
        <v>0</v>
      </c>
      <c r="P164" t="n">
        <v>0</v>
      </c>
      <c r="Q164" t="n">
        <v>0</v>
      </c>
      <c r="R164" s="2" t="inlineStr"/>
    </row>
    <row r="165" ht="15" customHeight="1">
      <c r="A165" t="inlineStr">
        <is>
          <t>A 58088-2018</t>
        </is>
      </c>
      <c r="B165" s="1" t="n">
        <v>43406</v>
      </c>
      <c r="C165" s="1" t="n">
        <v>45337</v>
      </c>
      <c r="D165" t="inlineStr">
        <is>
          <t>JÄMTLANDS LÄN</t>
        </is>
      </c>
      <c r="E165" t="inlineStr">
        <is>
          <t>HÄRJEDALEN</t>
        </is>
      </c>
      <c r="G165" t="n">
        <v>6.6</v>
      </c>
      <c r="H165" t="n">
        <v>0</v>
      </c>
      <c r="I165" t="n">
        <v>0</v>
      </c>
      <c r="J165" t="n">
        <v>0</v>
      </c>
      <c r="K165" t="n">
        <v>0</v>
      </c>
      <c r="L165" t="n">
        <v>0</v>
      </c>
      <c r="M165" t="n">
        <v>0</v>
      </c>
      <c r="N165" t="n">
        <v>0</v>
      </c>
      <c r="O165" t="n">
        <v>0</v>
      </c>
      <c r="P165" t="n">
        <v>0</v>
      </c>
      <c r="Q165" t="n">
        <v>0</v>
      </c>
      <c r="R165" s="2" t="inlineStr"/>
    </row>
    <row r="166" ht="15" customHeight="1">
      <c r="A166" t="inlineStr">
        <is>
          <t>A 62016-2018</t>
        </is>
      </c>
      <c r="B166" s="1" t="n">
        <v>43416</v>
      </c>
      <c r="C166" s="1" t="n">
        <v>45337</v>
      </c>
      <c r="D166" t="inlineStr">
        <is>
          <t>JÄMTLANDS LÄN</t>
        </is>
      </c>
      <c r="E166" t="inlineStr">
        <is>
          <t>HÄRJEDALEN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59398-2018</t>
        </is>
      </c>
      <c r="B167" s="1" t="n">
        <v>43418</v>
      </c>
      <c r="C167" s="1" t="n">
        <v>45337</v>
      </c>
      <c r="D167" t="inlineStr">
        <is>
          <t>JÄMTLANDS LÄN</t>
        </is>
      </c>
      <c r="E167" t="inlineStr">
        <is>
          <t>HÄRJEDALEN</t>
        </is>
      </c>
      <c r="G167" t="n">
        <v>1.9</v>
      </c>
      <c r="H167" t="n">
        <v>0</v>
      </c>
      <c r="I167" t="n">
        <v>0</v>
      </c>
      <c r="J167" t="n">
        <v>0</v>
      </c>
      <c r="K167" t="n">
        <v>0</v>
      </c>
      <c r="L167" t="n">
        <v>0</v>
      </c>
      <c r="M167" t="n">
        <v>0</v>
      </c>
      <c r="N167" t="n">
        <v>0</v>
      </c>
      <c r="O167" t="n">
        <v>0</v>
      </c>
      <c r="P167" t="n">
        <v>0</v>
      </c>
      <c r="Q167" t="n">
        <v>0</v>
      </c>
      <c r="R167" s="2" t="inlineStr"/>
    </row>
    <row r="168" ht="15" customHeight="1">
      <c r="A168" t="inlineStr">
        <is>
          <t>A 59396-2018</t>
        </is>
      </c>
      <c r="B168" s="1" t="n">
        <v>43418</v>
      </c>
      <c r="C168" s="1" t="n">
        <v>45337</v>
      </c>
      <c r="D168" t="inlineStr">
        <is>
          <t>JÄMTLANDS LÄN</t>
        </is>
      </c>
      <c r="E168" t="inlineStr">
        <is>
          <t>HÄRJEDALEN</t>
        </is>
      </c>
      <c r="G168" t="n">
        <v>2.2</v>
      </c>
      <c r="H168" t="n">
        <v>0</v>
      </c>
      <c r="I168" t="n">
        <v>0</v>
      </c>
      <c r="J168" t="n">
        <v>0</v>
      </c>
      <c r="K168" t="n">
        <v>0</v>
      </c>
      <c r="L168" t="n">
        <v>0</v>
      </c>
      <c r="M168" t="n">
        <v>0</v>
      </c>
      <c r="N168" t="n">
        <v>0</v>
      </c>
      <c r="O168" t="n">
        <v>0</v>
      </c>
      <c r="P168" t="n">
        <v>0</v>
      </c>
      <c r="Q168" t="n">
        <v>0</v>
      </c>
      <c r="R168" s="2" t="inlineStr"/>
    </row>
    <row r="169" ht="15" customHeight="1">
      <c r="A169" t="inlineStr">
        <is>
          <t>A 63160-2018</t>
        </is>
      </c>
      <c r="B169" s="1" t="n">
        <v>43418</v>
      </c>
      <c r="C169" s="1" t="n">
        <v>45337</v>
      </c>
      <c r="D169" t="inlineStr">
        <is>
          <t>JÄMTLANDS LÄN</t>
        </is>
      </c>
      <c r="E169" t="inlineStr">
        <is>
          <t>HÄRJEDALEN</t>
        </is>
      </c>
      <c r="G169" t="n">
        <v>22.6</v>
      </c>
      <c r="H169" t="n">
        <v>0</v>
      </c>
      <c r="I169" t="n">
        <v>0</v>
      </c>
      <c r="J169" t="n">
        <v>0</v>
      </c>
      <c r="K169" t="n">
        <v>0</v>
      </c>
      <c r="L169" t="n">
        <v>0</v>
      </c>
      <c r="M169" t="n">
        <v>0</v>
      </c>
      <c r="N169" t="n">
        <v>0</v>
      </c>
      <c r="O169" t="n">
        <v>0</v>
      </c>
      <c r="P169" t="n">
        <v>0</v>
      </c>
      <c r="Q169" t="n">
        <v>0</v>
      </c>
      <c r="R169" s="2" t="inlineStr"/>
    </row>
    <row r="170" ht="15" customHeight="1">
      <c r="A170" t="inlineStr">
        <is>
          <t>A 59358-2018</t>
        </is>
      </c>
      <c r="B170" s="1" t="n">
        <v>43418</v>
      </c>
      <c r="C170" s="1" t="n">
        <v>45337</v>
      </c>
      <c r="D170" t="inlineStr">
        <is>
          <t>JÄMTLANDS LÄN</t>
        </is>
      </c>
      <c r="E170" t="inlineStr">
        <is>
          <t>HÄRJEDALEN</t>
        </is>
      </c>
      <c r="G170" t="n">
        <v>6.2</v>
      </c>
      <c r="H170" t="n">
        <v>0</v>
      </c>
      <c r="I170" t="n">
        <v>0</v>
      </c>
      <c r="J170" t="n">
        <v>0</v>
      </c>
      <c r="K170" t="n">
        <v>0</v>
      </c>
      <c r="L170" t="n">
        <v>0</v>
      </c>
      <c r="M170" t="n">
        <v>0</v>
      </c>
      <c r="N170" t="n">
        <v>0</v>
      </c>
      <c r="O170" t="n">
        <v>0</v>
      </c>
      <c r="P170" t="n">
        <v>0</v>
      </c>
      <c r="Q170" t="n">
        <v>0</v>
      </c>
      <c r="R170" s="2" t="inlineStr"/>
    </row>
    <row r="171" ht="15" customHeight="1">
      <c r="A171" t="inlineStr">
        <is>
          <t>A 59751-2018</t>
        </is>
      </c>
      <c r="B171" s="1" t="n">
        <v>43419</v>
      </c>
      <c r="C171" s="1" t="n">
        <v>45337</v>
      </c>
      <c r="D171" t="inlineStr">
        <is>
          <t>JÄMTLANDS LÄN</t>
        </is>
      </c>
      <c r="E171" t="inlineStr">
        <is>
          <t>HÄRJEDALEN</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59683-2018</t>
        </is>
      </c>
      <c r="B172" s="1" t="n">
        <v>43419</v>
      </c>
      <c r="C172" s="1" t="n">
        <v>45337</v>
      </c>
      <c r="D172" t="inlineStr">
        <is>
          <t>JÄMTLANDS LÄN</t>
        </is>
      </c>
      <c r="E172" t="inlineStr">
        <is>
          <t>HÄRJEDALEN</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60348-2018</t>
        </is>
      </c>
      <c r="B173" s="1" t="n">
        <v>43420</v>
      </c>
      <c r="C173" s="1" t="n">
        <v>45337</v>
      </c>
      <c r="D173" t="inlineStr">
        <is>
          <t>JÄMTLANDS LÄN</t>
        </is>
      </c>
      <c r="E173" t="inlineStr">
        <is>
          <t>HÄRJEDALEN</t>
        </is>
      </c>
      <c r="F173" t="inlineStr">
        <is>
          <t>Övriga Aktiebolag</t>
        </is>
      </c>
      <c r="G173" t="n">
        <v>2.8</v>
      </c>
      <c r="H173" t="n">
        <v>0</v>
      </c>
      <c r="I173" t="n">
        <v>0</v>
      </c>
      <c r="J173" t="n">
        <v>0</v>
      </c>
      <c r="K173" t="n">
        <v>0</v>
      </c>
      <c r="L173" t="n">
        <v>0</v>
      </c>
      <c r="M173" t="n">
        <v>0</v>
      </c>
      <c r="N173" t="n">
        <v>0</v>
      </c>
      <c r="O173" t="n">
        <v>0</v>
      </c>
      <c r="P173" t="n">
        <v>0</v>
      </c>
      <c r="Q173" t="n">
        <v>0</v>
      </c>
      <c r="R173" s="2" t="inlineStr"/>
    </row>
    <row r="174" ht="15" customHeight="1">
      <c r="A174" t="inlineStr">
        <is>
          <t>A 60086-2018</t>
        </is>
      </c>
      <c r="B174" s="1" t="n">
        <v>43420</v>
      </c>
      <c r="C174" s="1" t="n">
        <v>45337</v>
      </c>
      <c r="D174" t="inlineStr">
        <is>
          <t>JÄMTLANDS LÄN</t>
        </is>
      </c>
      <c r="E174" t="inlineStr">
        <is>
          <t>HÄRJEDALEN</t>
        </is>
      </c>
      <c r="F174" t="inlineStr">
        <is>
          <t>Bergvik skog väst AB</t>
        </is>
      </c>
      <c r="G174" t="n">
        <v>25.8</v>
      </c>
      <c r="H174" t="n">
        <v>0</v>
      </c>
      <c r="I174" t="n">
        <v>0</v>
      </c>
      <c r="J174" t="n">
        <v>0</v>
      </c>
      <c r="K174" t="n">
        <v>0</v>
      </c>
      <c r="L174" t="n">
        <v>0</v>
      </c>
      <c r="M174" t="n">
        <v>0</v>
      </c>
      <c r="N174" t="n">
        <v>0</v>
      </c>
      <c r="O174" t="n">
        <v>0</v>
      </c>
      <c r="P174" t="n">
        <v>0</v>
      </c>
      <c r="Q174" t="n">
        <v>0</v>
      </c>
      <c r="R174" s="2" t="inlineStr"/>
    </row>
    <row r="175" ht="15" customHeight="1">
      <c r="A175" t="inlineStr">
        <is>
          <t>A 61016-2018</t>
        </is>
      </c>
      <c r="B175" s="1" t="n">
        <v>43423</v>
      </c>
      <c r="C175" s="1" t="n">
        <v>45337</v>
      </c>
      <c r="D175" t="inlineStr">
        <is>
          <t>JÄMTLANDS LÄN</t>
        </is>
      </c>
      <c r="E175" t="inlineStr">
        <is>
          <t>HÄRJEDALEN</t>
        </is>
      </c>
      <c r="G175" t="n">
        <v>4.2</v>
      </c>
      <c r="H175" t="n">
        <v>0</v>
      </c>
      <c r="I175" t="n">
        <v>0</v>
      </c>
      <c r="J175" t="n">
        <v>0</v>
      </c>
      <c r="K175" t="n">
        <v>0</v>
      </c>
      <c r="L175" t="n">
        <v>0</v>
      </c>
      <c r="M175" t="n">
        <v>0</v>
      </c>
      <c r="N175" t="n">
        <v>0</v>
      </c>
      <c r="O175" t="n">
        <v>0</v>
      </c>
      <c r="P175" t="n">
        <v>0</v>
      </c>
      <c r="Q175" t="n">
        <v>0</v>
      </c>
      <c r="R175" s="2" t="inlineStr"/>
    </row>
    <row r="176" ht="15" customHeight="1">
      <c r="A176" t="inlineStr">
        <is>
          <t>A 63207-2018</t>
        </is>
      </c>
      <c r="B176" s="1" t="n">
        <v>43426</v>
      </c>
      <c r="C176" s="1" t="n">
        <v>45337</v>
      </c>
      <c r="D176" t="inlineStr">
        <is>
          <t>JÄMTLANDS LÄN</t>
        </is>
      </c>
      <c r="E176" t="inlineStr">
        <is>
          <t>HÄRJEDALEN</t>
        </is>
      </c>
      <c r="G176" t="n">
        <v>0.9</v>
      </c>
      <c r="H176" t="n">
        <v>0</v>
      </c>
      <c r="I176" t="n">
        <v>0</v>
      </c>
      <c r="J176" t="n">
        <v>0</v>
      </c>
      <c r="K176" t="n">
        <v>0</v>
      </c>
      <c r="L176" t="n">
        <v>0</v>
      </c>
      <c r="M176" t="n">
        <v>0</v>
      </c>
      <c r="N176" t="n">
        <v>0</v>
      </c>
      <c r="O176" t="n">
        <v>0</v>
      </c>
      <c r="P176" t="n">
        <v>0</v>
      </c>
      <c r="Q176" t="n">
        <v>0</v>
      </c>
      <c r="R176" s="2" t="inlineStr"/>
    </row>
    <row r="177" ht="15" customHeight="1">
      <c r="A177" t="inlineStr">
        <is>
          <t>A 62889-2018</t>
        </is>
      </c>
      <c r="B177" s="1" t="n">
        <v>43426</v>
      </c>
      <c r="C177" s="1" t="n">
        <v>45337</v>
      </c>
      <c r="D177" t="inlineStr">
        <is>
          <t>JÄMTLANDS LÄN</t>
        </is>
      </c>
      <c r="E177" t="inlineStr">
        <is>
          <t>HÄRJEDALEN</t>
        </is>
      </c>
      <c r="G177" t="n">
        <v>4.6</v>
      </c>
      <c r="H177" t="n">
        <v>0</v>
      </c>
      <c r="I177" t="n">
        <v>0</v>
      </c>
      <c r="J177" t="n">
        <v>0</v>
      </c>
      <c r="K177" t="n">
        <v>0</v>
      </c>
      <c r="L177" t="n">
        <v>0</v>
      </c>
      <c r="M177" t="n">
        <v>0</v>
      </c>
      <c r="N177" t="n">
        <v>0</v>
      </c>
      <c r="O177" t="n">
        <v>0</v>
      </c>
      <c r="P177" t="n">
        <v>0</v>
      </c>
      <c r="Q177" t="n">
        <v>0</v>
      </c>
      <c r="R177" s="2" t="inlineStr"/>
    </row>
    <row r="178" ht="15" customHeight="1">
      <c r="A178" t="inlineStr">
        <is>
          <t>A 63265-2018</t>
        </is>
      </c>
      <c r="B178" s="1" t="n">
        <v>43426</v>
      </c>
      <c r="C178" s="1" t="n">
        <v>45337</v>
      </c>
      <c r="D178" t="inlineStr">
        <is>
          <t>JÄMTLANDS LÄN</t>
        </is>
      </c>
      <c r="E178" t="inlineStr">
        <is>
          <t>HÄRJEDALEN</t>
        </is>
      </c>
      <c r="G178" t="n">
        <v>45</v>
      </c>
      <c r="H178" t="n">
        <v>0</v>
      </c>
      <c r="I178" t="n">
        <v>0</v>
      </c>
      <c r="J178" t="n">
        <v>0</v>
      </c>
      <c r="K178" t="n">
        <v>0</v>
      </c>
      <c r="L178" t="n">
        <v>0</v>
      </c>
      <c r="M178" t="n">
        <v>0</v>
      </c>
      <c r="N178" t="n">
        <v>0</v>
      </c>
      <c r="O178" t="n">
        <v>0</v>
      </c>
      <c r="P178" t="n">
        <v>0</v>
      </c>
      <c r="Q178" t="n">
        <v>0</v>
      </c>
      <c r="R178" s="2" t="inlineStr"/>
    </row>
    <row r="179" ht="15" customHeight="1">
      <c r="A179" t="inlineStr">
        <is>
          <t>A 63355-2018</t>
        </is>
      </c>
      <c r="B179" s="1" t="n">
        <v>43427</v>
      </c>
      <c r="C179" s="1" t="n">
        <v>45337</v>
      </c>
      <c r="D179" t="inlineStr">
        <is>
          <t>JÄMTLANDS LÄN</t>
        </is>
      </c>
      <c r="E179" t="inlineStr">
        <is>
          <t>HÄRJEDALEN</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64493-2018</t>
        </is>
      </c>
      <c r="B180" s="1" t="n">
        <v>43431</v>
      </c>
      <c r="C180" s="1" t="n">
        <v>45337</v>
      </c>
      <c r="D180" t="inlineStr">
        <is>
          <t>JÄMTLANDS LÄN</t>
        </is>
      </c>
      <c r="E180" t="inlineStr">
        <is>
          <t>HÄRJEDALEN</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65832-2018</t>
        </is>
      </c>
      <c r="B181" s="1" t="n">
        <v>43433</v>
      </c>
      <c r="C181" s="1" t="n">
        <v>45337</v>
      </c>
      <c r="D181" t="inlineStr">
        <is>
          <t>JÄMTLANDS LÄN</t>
        </is>
      </c>
      <c r="E181" t="inlineStr">
        <is>
          <t>HÄRJEDALEN</t>
        </is>
      </c>
      <c r="F181" t="inlineStr">
        <is>
          <t>Sveaskog</t>
        </is>
      </c>
      <c r="G181" t="n">
        <v>30.2</v>
      </c>
      <c r="H181" t="n">
        <v>0</v>
      </c>
      <c r="I181" t="n">
        <v>0</v>
      </c>
      <c r="J181" t="n">
        <v>0</v>
      </c>
      <c r="K181" t="n">
        <v>0</v>
      </c>
      <c r="L181" t="n">
        <v>0</v>
      </c>
      <c r="M181" t="n">
        <v>0</v>
      </c>
      <c r="N181" t="n">
        <v>0</v>
      </c>
      <c r="O181" t="n">
        <v>0</v>
      </c>
      <c r="P181" t="n">
        <v>0</v>
      </c>
      <c r="Q181" t="n">
        <v>0</v>
      </c>
      <c r="R181" s="2" t="inlineStr"/>
    </row>
    <row r="182" ht="15" customHeight="1">
      <c r="A182" t="inlineStr">
        <is>
          <t>A 66771-2018</t>
        </is>
      </c>
      <c r="B182" s="1" t="n">
        <v>43437</v>
      </c>
      <c r="C182" s="1" t="n">
        <v>45337</v>
      </c>
      <c r="D182" t="inlineStr">
        <is>
          <t>JÄMTLANDS LÄN</t>
        </is>
      </c>
      <c r="E182" t="inlineStr">
        <is>
          <t>HÄRJEDALEN</t>
        </is>
      </c>
      <c r="G182" t="n">
        <v>2</v>
      </c>
      <c r="H182" t="n">
        <v>0</v>
      </c>
      <c r="I182" t="n">
        <v>0</v>
      </c>
      <c r="J182" t="n">
        <v>0</v>
      </c>
      <c r="K182" t="n">
        <v>0</v>
      </c>
      <c r="L182" t="n">
        <v>0</v>
      </c>
      <c r="M182" t="n">
        <v>0</v>
      </c>
      <c r="N182" t="n">
        <v>0</v>
      </c>
      <c r="O182" t="n">
        <v>0</v>
      </c>
      <c r="P182" t="n">
        <v>0</v>
      </c>
      <c r="Q182" t="n">
        <v>0</v>
      </c>
      <c r="R182" s="2" t="inlineStr"/>
    </row>
    <row r="183" ht="15" customHeight="1">
      <c r="A183" t="inlineStr">
        <is>
          <t>A 66753-2018</t>
        </is>
      </c>
      <c r="B183" s="1" t="n">
        <v>43438</v>
      </c>
      <c r="C183" s="1" t="n">
        <v>45337</v>
      </c>
      <c r="D183" t="inlineStr">
        <is>
          <t>JÄMTLANDS LÄN</t>
        </is>
      </c>
      <c r="E183" t="inlineStr">
        <is>
          <t>HÄRJEDALEN</t>
        </is>
      </c>
      <c r="G183" t="n">
        <v>0.2</v>
      </c>
      <c r="H183" t="n">
        <v>0</v>
      </c>
      <c r="I183" t="n">
        <v>0</v>
      </c>
      <c r="J183" t="n">
        <v>0</v>
      </c>
      <c r="K183" t="n">
        <v>0</v>
      </c>
      <c r="L183" t="n">
        <v>0</v>
      </c>
      <c r="M183" t="n">
        <v>0</v>
      </c>
      <c r="N183" t="n">
        <v>0</v>
      </c>
      <c r="O183" t="n">
        <v>0</v>
      </c>
      <c r="P183" t="n">
        <v>0</v>
      </c>
      <c r="Q183" t="n">
        <v>0</v>
      </c>
      <c r="R183" s="2" t="inlineStr"/>
    </row>
    <row r="184" ht="15" customHeight="1">
      <c r="A184" t="inlineStr">
        <is>
          <t>A 67377-2018</t>
        </is>
      </c>
      <c r="B184" s="1" t="n">
        <v>43439</v>
      </c>
      <c r="C184" s="1" t="n">
        <v>45337</v>
      </c>
      <c r="D184" t="inlineStr">
        <is>
          <t>JÄMTLANDS LÄN</t>
        </is>
      </c>
      <c r="E184" t="inlineStr">
        <is>
          <t>HÄRJEDALEN</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67690-2018</t>
        </is>
      </c>
      <c r="B185" s="1" t="n">
        <v>43440</v>
      </c>
      <c r="C185" s="1" t="n">
        <v>45337</v>
      </c>
      <c r="D185" t="inlineStr">
        <is>
          <t>JÄMTLANDS LÄN</t>
        </is>
      </c>
      <c r="E185" t="inlineStr">
        <is>
          <t>HÄRJEDALEN</t>
        </is>
      </c>
      <c r="G185" t="n">
        <v>5.2</v>
      </c>
      <c r="H185" t="n">
        <v>0</v>
      </c>
      <c r="I185" t="n">
        <v>0</v>
      </c>
      <c r="J185" t="n">
        <v>0</v>
      </c>
      <c r="K185" t="n">
        <v>0</v>
      </c>
      <c r="L185" t="n">
        <v>0</v>
      </c>
      <c r="M185" t="n">
        <v>0</v>
      </c>
      <c r="N185" t="n">
        <v>0</v>
      </c>
      <c r="O185" t="n">
        <v>0</v>
      </c>
      <c r="P185" t="n">
        <v>0</v>
      </c>
      <c r="Q185" t="n">
        <v>0</v>
      </c>
      <c r="R185" s="2" t="inlineStr"/>
    </row>
    <row r="186" ht="15" customHeight="1">
      <c r="A186" t="inlineStr">
        <is>
          <t>A 69217-2018</t>
        </is>
      </c>
      <c r="B186" s="1" t="n">
        <v>43445</v>
      </c>
      <c r="C186" s="1" t="n">
        <v>45337</v>
      </c>
      <c r="D186" t="inlineStr">
        <is>
          <t>JÄMTLANDS LÄN</t>
        </is>
      </c>
      <c r="E186" t="inlineStr">
        <is>
          <t>HÄRJEDALEN</t>
        </is>
      </c>
      <c r="G186" t="n">
        <v>0.5</v>
      </c>
      <c r="H186" t="n">
        <v>0</v>
      </c>
      <c r="I186" t="n">
        <v>0</v>
      </c>
      <c r="J186" t="n">
        <v>0</v>
      </c>
      <c r="K186" t="n">
        <v>0</v>
      </c>
      <c r="L186" t="n">
        <v>0</v>
      </c>
      <c r="M186" t="n">
        <v>0</v>
      </c>
      <c r="N186" t="n">
        <v>0</v>
      </c>
      <c r="O186" t="n">
        <v>0</v>
      </c>
      <c r="P186" t="n">
        <v>0</v>
      </c>
      <c r="Q186" t="n">
        <v>0</v>
      </c>
      <c r="R186" s="2" t="inlineStr"/>
    </row>
    <row r="187" ht="15" customHeight="1">
      <c r="A187" t="inlineStr">
        <is>
          <t>A 69220-2018</t>
        </is>
      </c>
      <c r="B187" s="1" t="n">
        <v>43445</v>
      </c>
      <c r="C187" s="1" t="n">
        <v>45337</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69218-2018</t>
        </is>
      </c>
      <c r="B188" s="1" t="n">
        <v>43445</v>
      </c>
      <c r="C188" s="1" t="n">
        <v>45337</v>
      </c>
      <c r="D188" t="inlineStr">
        <is>
          <t>JÄMTLANDS LÄN</t>
        </is>
      </c>
      <c r="E188" t="inlineStr">
        <is>
          <t>HÄRJEDALEN</t>
        </is>
      </c>
      <c r="G188" t="n">
        <v>0.2</v>
      </c>
      <c r="H188" t="n">
        <v>0</v>
      </c>
      <c r="I188" t="n">
        <v>0</v>
      </c>
      <c r="J188" t="n">
        <v>0</v>
      </c>
      <c r="K188" t="n">
        <v>0</v>
      </c>
      <c r="L188" t="n">
        <v>0</v>
      </c>
      <c r="M188" t="n">
        <v>0</v>
      </c>
      <c r="N188" t="n">
        <v>0</v>
      </c>
      <c r="O188" t="n">
        <v>0</v>
      </c>
      <c r="P188" t="n">
        <v>0</v>
      </c>
      <c r="Q188" t="n">
        <v>0</v>
      </c>
      <c r="R188" s="2" t="inlineStr"/>
    </row>
    <row r="189" ht="15" customHeight="1">
      <c r="A189" t="inlineStr">
        <is>
          <t>A 69219-2018</t>
        </is>
      </c>
      <c r="B189" s="1" t="n">
        <v>43445</v>
      </c>
      <c r="C189" s="1" t="n">
        <v>45337</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69190-2018</t>
        </is>
      </c>
      <c r="B190" s="1" t="n">
        <v>43445</v>
      </c>
      <c r="C190" s="1" t="n">
        <v>45337</v>
      </c>
      <c r="D190" t="inlineStr">
        <is>
          <t>JÄMTLANDS LÄN</t>
        </is>
      </c>
      <c r="E190" t="inlineStr">
        <is>
          <t>HÄRJEDALEN</t>
        </is>
      </c>
      <c r="G190" t="n">
        <v>0.8</v>
      </c>
      <c r="H190" t="n">
        <v>0</v>
      </c>
      <c r="I190" t="n">
        <v>0</v>
      </c>
      <c r="J190" t="n">
        <v>0</v>
      </c>
      <c r="K190" t="n">
        <v>0</v>
      </c>
      <c r="L190" t="n">
        <v>0</v>
      </c>
      <c r="M190" t="n">
        <v>0</v>
      </c>
      <c r="N190" t="n">
        <v>0</v>
      </c>
      <c r="O190" t="n">
        <v>0</v>
      </c>
      <c r="P190" t="n">
        <v>0</v>
      </c>
      <c r="Q190" t="n">
        <v>0</v>
      </c>
      <c r="R190" s="2" t="inlineStr"/>
    </row>
    <row r="191" ht="15" customHeight="1">
      <c r="A191" t="inlineStr">
        <is>
          <t>A 70674-2018</t>
        </is>
      </c>
      <c r="B191" s="1" t="n">
        <v>43451</v>
      </c>
      <c r="C191" s="1" t="n">
        <v>45337</v>
      </c>
      <c r="D191" t="inlineStr">
        <is>
          <t>JÄMTLANDS LÄN</t>
        </is>
      </c>
      <c r="E191" t="inlineStr">
        <is>
          <t>HÄRJEDALEN</t>
        </is>
      </c>
      <c r="G191" t="n">
        <v>11.9</v>
      </c>
      <c r="H191" t="n">
        <v>0</v>
      </c>
      <c r="I191" t="n">
        <v>0</v>
      </c>
      <c r="J191" t="n">
        <v>0</v>
      </c>
      <c r="K191" t="n">
        <v>0</v>
      </c>
      <c r="L191" t="n">
        <v>0</v>
      </c>
      <c r="M191" t="n">
        <v>0</v>
      </c>
      <c r="N191" t="n">
        <v>0</v>
      </c>
      <c r="O191" t="n">
        <v>0</v>
      </c>
      <c r="P191" t="n">
        <v>0</v>
      </c>
      <c r="Q191" t="n">
        <v>0</v>
      </c>
      <c r="R191" s="2" t="inlineStr"/>
    </row>
    <row r="192" ht="15" customHeight="1">
      <c r="A192" t="inlineStr">
        <is>
          <t>A 71199-2018</t>
        </is>
      </c>
      <c r="B192" s="1" t="n">
        <v>43453</v>
      </c>
      <c r="C192" s="1" t="n">
        <v>45337</v>
      </c>
      <c r="D192" t="inlineStr">
        <is>
          <t>JÄMTLANDS LÄN</t>
        </is>
      </c>
      <c r="E192" t="inlineStr">
        <is>
          <t>HÄRJEDALEN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71185-2018</t>
        </is>
      </c>
      <c r="B193" s="1" t="n">
        <v>43453</v>
      </c>
      <c r="C193" s="1" t="n">
        <v>45337</v>
      </c>
      <c r="D193" t="inlineStr">
        <is>
          <t>JÄMTLANDS LÄN</t>
        </is>
      </c>
      <c r="E193" t="inlineStr">
        <is>
          <t>HÄRJEDALEN</t>
        </is>
      </c>
      <c r="F193" t="inlineStr">
        <is>
          <t>Sveaskog</t>
        </is>
      </c>
      <c r="G193" t="n">
        <v>24.8</v>
      </c>
      <c r="H193" t="n">
        <v>0</v>
      </c>
      <c r="I193" t="n">
        <v>0</v>
      </c>
      <c r="J193" t="n">
        <v>0</v>
      </c>
      <c r="K193" t="n">
        <v>0</v>
      </c>
      <c r="L193" t="n">
        <v>0</v>
      </c>
      <c r="M193" t="n">
        <v>0</v>
      </c>
      <c r="N193" t="n">
        <v>0</v>
      </c>
      <c r="O193" t="n">
        <v>0</v>
      </c>
      <c r="P193" t="n">
        <v>0</v>
      </c>
      <c r="Q193" t="n">
        <v>0</v>
      </c>
      <c r="R193" s="2" t="inlineStr"/>
    </row>
    <row r="194" ht="15" customHeight="1">
      <c r="A194" t="inlineStr">
        <is>
          <t>A 71624-2018</t>
        </is>
      </c>
      <c r="B194" s="1" t="n">
        <v>43454</v>
      </c>
      <c r="C194" s="1" t="n">
        <v>45337</v>
      </c>
      <c r="D194" t="inlineStr">
        <is>
          <t>JÄMTLANDS LÄN</t>
        </is>
      </c>
      <c r="E194" t="inlineStr">
        <is>
          <t>HÄRJEDALEN</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71676-2018</t>
        </is>
      </c>
      <c r="B195" s="1" t="n">
        <v>43454</v>
      </c>
      <c r="C195" s="1" t="n">
        <v>45337</v>
      </c>
      <c r="D195" t="inlineStr">
        <is>
          <t>JÄMTLANDS LÄN</t>
        </is>
      </c>
      <c r="E195" t="inlineStr">
        <is>
          <t>HÄRJEDALEN</t>
        </is>
      </c>
      <c r="G195" t="n">
        <v>11.9</v>
      </c>
      <c r="H195" t="n">
        <v>0</v>
      </c>
      <c r="I195" t="n">
        <v>0</v>
      </c>
      <c r="J195" t="n">
        <v>0</v>
      </c>
      <c r="K195" t="n">
        <v>0</v>
      </c>
      <c r="L195" t="n">
        <v>0</v>
      </c>
      <c r="M195" t="n">
        <v>0</v>
      </c>
      <c r="N195" t="n">
        <v>0</v>
      </c>
      <c r="O195" t="n">
        <v>0</v>
      </c>
      <c r="P195" t="n">
        <v>0</v>
      </c>
      <c r="Q195" t="n">
        <v>0</v>
      </c>
      <c r="R195" s="2" t="inlineStr"/>
    </row>
    <row r="196" ht="15" customHeight="1">
      <c r="A196" t="inlineStr">
        <is>
          <t>A 71680-2018</t>
        </is>
      </c>
      <c r="B196" s="1" t="n">
        <v>43454</v>
      </c>
      <c r="C196" s="1" t="n">
        <v>45337</v>
      </c>
      <c r="D196" t="inlineStr">
        <is>
          <t>JÄMTLANDS LÄN</t>
        </is>
      </c>
      <c r="E196" t="inlineStr">
        <is>
          <t>HÄRJEDALEN</t>
        </is>
      </c>
      <c r="G196" t="n">
        <v>19.7</v>
      </c>
      <c r="H196" t="n">
        <v>0</v>
      </c>
      <c r="I196" t="n">
        <v>0</v>
      </c>
      <c r="J196" t="n">
        <v>0</v>
      </c>
      <c r="K196" t="n">
        <v>0</v>
      </c>
      <c r="L196" t="n">
        <v>0</v>
      </c>
      <c r="M196" t="n">
        <v>0</v>
      </c>
      <c r="N196" t="n">
        <v>0</v>
      </c>
      <c r="O196" t="n">
        <v>0</v>
      </c>
      <c r="P196" t="n">
        <v>0</v>
      </c>
      <c r="Q196" t="n">
        <v>0</v>
      </c>
      <c r="R196" s="2" t="inlineStr"/>
    </row>
    <row r="197" ht="15" customHeight="1">
      <c r="A197" t="inlineStr">
        <is>
          <t>A 1409-2019</t>
        </is>
      </c>
      <c r="B197" s="1" t="n">
        <v>43461</v>
      </c>
      <c r="C197" s="1" t="n">
        <v>45337</v>
      </c>
      <c r="D197" t="inlineStr">
        <is>
          <t>JÄMTLANDS LÄN</t>
        </is>
      </c>
      <c r="E197" t="inlineStr">
        <is>
          <t>HÄRJEDALEN</t>
        </is>
      </c>
      <c r="G197" t="n">
        <v>43.3</v>
      </c>
      <c r="H197" t="n">
        <v>0</v>
      </c>
      <c r="I197" t="n">
        <v>0</v>
      </c>
      <c r="J197" t="n">
        <v>0</v>
      </c>
      <c r="K197" t="n">
        <v>0</v>
      </c>
      <c r="L197" t="n">
        <v>0</v>
      </c>
      <c r="M197" t="n">
        <v>0</v>
      </c>
      <c r="N197" t="n">
        <v>0</v>
      </c>
      <c r="O197" t="n">
        <v>0</v>
      </c>
      <c r="P197" t="n">
        <v>0</v>
      </c>
      <c r="Q197" t="n">
        <v>0</v>
      </c>
      <c r="R197" s="2" t="inlineStr"/>
    </row>
    <row r="198" ht="15" customHeight="1">
      <c r="A198" t="inlineStr">
        <is>
          <t>A 556-2019</t>
        </is>
      </c>
      <c r="B198" s="1" t="n">
        <v>43469</v>
      </c>
      <c r="C198" s="1" t="n">
        <v>45337</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1750-2019</t>
        </is>
      </c>
      <c r="B199" s="1" t="n">
        <v>43474</v>
      </c>
      <c r="C199" s="1" t="n">
        <v>45337</v>
      </c>
      <c r="D199" t="inlineStr">
        <is>
          <t>JÄMTLANDS LÄN</t>
        </is>
      </c>
      <c r="E199" t="inlineStr">
        <is>
          <t>HÄRJEDALEN</t>
        </is>
      </c>
      <c r="G199" t="n">
        <v>6.4</v>
      </c>
      <c r="H199" t="n">
        <v>0</v>
      </c>
      <c r="I199" t="n">
        <v>0</v>
      </c>
      <c r="J199" t="n">
        <v>0</v>
      </c>
      <c r="K199" t="n">
        <v>0</v>
      </c>
      <c r="L199" t="n">
        <v>0</v>
      </c>
      <c r="M199" t="n">
        <v>0</v>
      </c>
      <c r="N199" t="n">
        <v>0</v>
      </c>
      <c r="O199" t="n">
        <v>0</v>
      </c>
      <c r="P199" t="n">
        <v>0</v>
      </c>
      <c r="Q199" t="n">
        <v>0</v>
      </c>
      <c r="R199" s="2" t="inlineStr"/>
    </row>
    <row r="200" ht="15" customHeight="1">
      <c r="A200" t="inlineStr">
        <is>
          <t>A 6025-2019</t>
        </is>
      </c>
      <c r="B200" s="1" t="n">
        <v>43474</v>
      </c>
      <c r="C200" s="1" t="n">
        <v>45337</v>
      </c>
      <c r="D200" t="inlineStr">
        <is>
          <t>JÄMTLANDS LÄN</t>
        </is>
      </c>
      <c r="E200" t="inlineStr">
        <is>
          <t>HÄRJEDALEN</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3328-2019</t>
        </is>
      </c>
      <c r="B201" s="1" t="n">
        <v>43474</v>
      </c>
      <c r="C201" s="1" t="n">
        <v>45337</v>
      </c>
      <c r="D201" t="inlineStr">
        <is>
          <t>JÄMTLANDS LÄN</t>
        </is>
      </c>
      <c r="E201" t="inlineStr">
        <is>
          <t>HÄRJEDALEN</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1835-2019</t>
        </is>
      </c>
      <c r="B202" s="1" t="n">
        <v>43474</v>
      </c>
      <c r="C202" s="1" t="n">
        <v>45337</v>
      </c>
      <c r="D202" t="inlineStr">
        <is>
          <t>JÄMTLANDS LÄN</t>
        </is>
      </c>
      <c r="E202" t="inlineStr">
        <is>
          <t>HÄRJEDALEN</t>
        </is>
      </c>
      <c r="G202" t="n">
        <v>4.9</v>
      </c>
      <c r="H202" t="n">
        <v>0</v>
      </c>
      <c r="I202" t="n">
        <v>0</v>
      </c>
      <c r="J202" t="n">
        <v>0</v>
      </c>
      <c r="K202" t="n">
        <v>0</v>
      </c>
      <c r="L202" t="n">
        <v>0</v>
      </c>
      <c r="M202" t="n">
        <v>0</v>
      </c>
      <c r="N202" t="n">
        <v>0</v>
      </c>
      <c r="O202" t="n">
        <v>0</v>
      </c>
      <c r="P202" t="n">
        <v>0</v>
      </c>
      <c r="Q202" t="n">
        <v>0</v>
      </c>
      <c r="R202" s="2" t="inlineStr"/>
    </row>
    <row r="203" ht="15" customHeight="1">
      <c r="A203" t="inlineStr">
        <is>
          <t>A 6127-2019</t>
        </is>
      </c>
      <c r="B203" s="1" t="n">
        <v>43474</v>
      </c>
      <c r="C203" s="1" t="n">
        <v>45337</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2135-2019</t>
        </is>
      </c>
      <c r="B204" s="1" t="n">
        <v>43475</v>
      </c>
      <c r="C204" s="1" t="n">
        <v>45337</v>
      </c>
      <c r="D204" t="inlineStr">
        <is>
          <t>JÄMTLANDS LÄN</t>
        </is>
      </c>
      <c r="E204" t="inlineStr">
        <is>
          <t>HÄRJEDALEN</t>
        </is>
      </c>
      <c r="G204" t="n">
        <v>0.1</v>
      </c>
      <c r="H204" t="n">
        <v>0</v>
      </c>
      <c r="I204" t="n">
        <v>0</v>
      </c>
      <c r="J204" t="n">
        <v>0</v>
      </c>
      <c r="K204" t="n">
        <v>0</v>
      </c>
      <c r="L204" t="n">
        <v>0</v>
      </c>
      <c r="M204" t="n">
        <v>0</v>
      </c>
      <c r="N204" t="n">
        <v>0</v>
      </c>
      <c r="O204" t="n">
        <v>0</v>
      </c>
      <c r="P204" t="n">
        <v>0</v>
      </c>
      <c r="Q204" t="n">
        <v>0</v>
      </c>
      <c r="R204" s="2" t="inlineStr"/>
    </row>
    <row r="205" ht="15" customHeight="1">
      <c r="A205" t="inlineStr">
        <is>
          <t>A 3014-2019</t>
        </is>
      </c>
      <c r="B205" s="1" t="n">
        <v>43479</v>
      </c>
      <c r="C205" s="1" t="n">
        <v>45337</v>
      </c>
      <c r="D205" t="inlineStr">
        <is>
          <t>JÄMTLANDS LÄN</t>
        </is>
      </c>
      <c r="E205" t="inlineStr">
        <is>
          <t>HÄRJEDALEN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3531-2019</t>
        </is>
      </c>
      <c r="B206" s="1" t="n">
        <v>43481</v>
      </c>
      <c r="C206" s="1" t="n">
        <v>45337</v>
      </c>
      <c r="D206" t="inlineStr">
        <is>
          <t>JÄMTLANDS LÄN</t>
        </is>
      </c>
      <c r="E206" t="inlineStr">
        <is>
          <t>HÄRJEDALEN</t>
        </is>
      </c>
      <c r="F206" t="inlineStr">
        <is>
          <t>Holmen skog AB</t>
        </is>
      </c>
      <c r="G206" t="n">
        <v>23.2</v>
      </c>
      <c r="H206" t="n">
        <v>0</v>
      </c>
      <c r="I206" t="n">
        <v>0</v>
      </c>
      <c r="J206" t="n">
        <v>0</v>
      </c>
      <c r="K206" t="n">
        <v>0</v>
      </c>
      <c r="L206" t="n">
        <v>0</v>
      </c>
      <c r="M206" t="n">
        <v>0</v>
      </c>
      <c r="N206" t="n">
        <v>0</v>
      </c>
      <c r="O206" t="n">
        <v>0</v>
      </c>
      <c r="P206" t="n">
        <v>0</v>
      </c>
      <c r="Q206" t="n">
        <v>0</v>
      </c>
      <c r="R206" s="2" t="inlineStr"/>
    </row>
    <row r="207" ht="15" customHeight="1">
      <c r="A207" t="inlineStr">
        <is>
          <t>A 3571-2019</t>
        </is>
      </c>
      <c r="B207" s="1" t="n">
        <v>43481</v>
      </c>
      <c r="C207" s="1" t="n">
        <v>45337</v>
      </c>
      <c r="D207" t="inlineStr">
        <is>
          <t>JÄMTLANDS LÄN</t>
        </is>
      </c>
      <c r="E207" t="inlineStr">
        <is>
          <t>HÄRJEDALEN</t>
        </is>
      </c>
      <c r="G207" t="n">
        <v>1.4</v>
      </c>
      <c r="H207" t="n">
        <v>0</v>
      </c>
      <c r="I207" t="n">
        <v>0</v>
      </c>
      <c r="J207" t="n">
        <v>0</v>
      </c>
      <c r="K207" t="n">
        <v>0</v>
      </c>
      <c r="L207" t="n">
        <v>0</v>
      </c>
      <c r="M207" t="n">
        <v>0</v>
      </c>
      <c r="N207" t="n">
        <v>0</v>
      </c>
      <c r="O207" t="n">
        <v>0</v>
      </c>
      <c r="P207" t="n">
        <v>0</v>
      </c>
      <c r="Q207" t="n">
        <v>0</v>
      </c>
      <c r="R207" s="2" t="inlineStr"/>
    </row>
    <row r="208" ht="15" customHeight="1">
      <c r="A208" t="inlineStr">
        <is>
          <t>A 3624-2019</t>
        </is>
      </c>
      <c r="B208" s="1" t="n">
        <v>43481</v>
      </c>
      <c r="C208" s="1" t="n">
        <v>45337</v>
      </c>
      <c r="D208" t="inlineStr">
        <is>
          <t>JÄMTLANDS LÄN</t>
        </is>
      </c>
      <c r="E208" t="inlineStr">
        <is>
          <t>HÄRJEDALEN</t>
        </is>
      </c>
      <c r="F208" t="inlineStr">
        <is>
          <t>Holmen skog AB</t>
        </is>
      </c>
      <c r="G208" t="n">
        <v>6.5</v>
      </c>
      <c r="H208" t="n">
        <v>0</v>
      </c>
      <c r="I208" t="n">
        <v>0</v>
      </c>
      <c r="J208" t="n">
        <v>0</v>
      </c>
      <c r="K208" t="n">
        <v>0</v>
      </c>
      <c r="L208" t="n">
        <v>0</v>
      </c>
      <c r="M208" t="n">
        <v>0</v>
      </c>
      <c r="N208" t="n">
        <v>0</v>
      </c>
      <c r="O208" t="n">
        <v>0</v>
      </c>
      <c r="P208" t="n">
        <v>0</v>
      </c>
      <c r="Q208" t="n">
        <v>0</v>
      </c>
      <c r="R208" s="2" t="inlineStr"/>
    </row>
    <row r="209" ht="15" customHeight="1">
      <c r="A209" t="inlineStr">
        <is>
          <t>A 3785-2019</t>
        </is>
      </c>
      <c r="B209" s="1" t="n">
        <v>43482</v>
      </c>
      <c r="C209" s="1" t="n">
        <v>45337</v>
      </c>
      <c r="D209" t="inlineStr">
        <is>
          <t>JÄMTLANDS LÄN</t>
        </is>
      </c>
      <c r="E209" t="inlineStr">
        <is>
          <t>HÄRJEDALEN</t>
        </is>
      </c>
      <c r="G209" t="n">
        <v>8.1</v>
      </c>
      <c r="H209" t="n">
        <v>0</v>
      </c>
      <c r="I209" t="n">
        <v>0</v>
      </c>
      <c r="J209" t="n">
        <v>0</v>
      </c>
      <c r="K209" t="n">
        <v>0</v>
      </c>
      <c r="L209" t="n">
        <v>0</v>
      </c>
      <c r="M209" t="n">
        <v>0</v>
      </c>
      <c r="N209" t="n">
        <v>0</v>
      </c>
      <c r="O209" t="n">
        <v>0</v>
      </c>
      <c r="P209" t="n">
        <v>0</v>
      </c>
      <c r="Q209" t="n">
        <v>0</v>
      </c>
      <c r="R209" s="2" t="inlineStr"/>
    </row>
    <row r="210" ht="15" customHeight="1">
      <c r="A210" t="inlineStr">
        <is>
          <t>A 3788-2019</t>
        </is>
      </c>
      <c r="B210" s="1" t="n">
        <v>43482</v>
      </c>
      <c r="C210" s="1" t="n">
        <v>45337</v>
      </c>
      <c r="D210" t="inlineStr">
        <is>
          <t>JÄMTLANDS LÄN</t>
        </is>
      </c>
      <c r="E210" t="inlineStr">
        <is>
          <t>HÄRJEDALEN</t>
        </is>
      </c>
      <c r="G210" t="n">
        <v>5.2</v>
      </c>
      <c r="H210" t="n">
        <v>0</v>
      </c>
      <c r="I210" t="n">
        <v>0</v>
      </c>
      <c r="J210" t="n">
        <v>0</v>
      </c>
      <c r="K210" t="n">
        <v>0</v>
      </c>
      <c r="L210" t="n">
        <v>0</v>
      </c>
      <c r="M210" t="n">
        <v>0</v>
      </c>
      <c r="N210" t="n">
        <v>0</v>
      </c>
      <c r="O210" t="n">
        <v>0</v>
      </c>
      <c r="P210" t="n">
        <v>0</v>
      </c>
      <c r="Q210" t="n">
        <v>0</v>
      </c>
      <c r="R210" s="2" t="inlineStr"/>
    </row>
    <row r="211" ht="15" customHeight="1">
      <c r="A211" t="inlineStr">
        <is>
          <t>A 3787-2019</t>
        </is>
      </c>
      <c r="B211" s="1" t="n">
        <v>43482</v>
      </c>
      <c r="C211" s="1" t="n">
        <v>45337</v>
      </c>
      <c r="D211" t="inlineStr">
        <is>
          <t>JÄMTLANDS LÄN</t>
        </is>
      </c>
      <c r="E211" t="inlineStr">
        <is>
          <t>HÄRJEDALEN</t>
        </is>
      </c>
      <c r="G211" t="n">
        <v>7.1</v>
      </c>
      <c r="H211" t="n">
        <v>0</v>
      </c>
      <c r="I211" t="n">
        <v>0</v>
      </c>
      <c r="J211" t="n">
        <v>0</v>
      </c>
      <c r="K211" t="n">
        <v>0</v>
      </c>
      <c r="L211" t="n">
        <v>0</v>
      </c>
      <c r="M211" t="n">
        <v>0</v>
      </c>
      <c r="N211" t="n">
        <v>0</v>
      </c>
      <c r="O211" t="n">
        <v>0</v>
      </c>
      <c r="P211" t="n">
        <v>0</v>
      </c>
      <c r="Q211" t="n">
        <v>0</v>
      </c>
      <c r="R211" s="2" t="inlineStr"/>
    </row>
    <row r="212" ht="15" customHeight="1">
      <c r="A212" t="inlineStr">
        <is>
          <t>A 4359-2019</t>
        </is>
      </c>
      <c r="B212" s="1" t="n">
        <v>43483</v>
      </c>
      <c r="C212" s="1" t="n">
        <v>45337</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4617-2019</t>
        </is>
      </c>
      <c r="B213" s="1" t="n">
        <v>43486</v>
      </c>
      <c r="C213" s="1" t="n">
        <v>45337</v>
      </c>
      <c r="D213" t="inlineStr">
        <is>
          <t>JÄMTLANDS LÄN</t>
        </is>
      </c>
      <c r="E213" t="inlineStr">
        <is>
          <t>HÄRJEDALEN</t>
        </is>
      </c>
      <c r="G213" t="n">
        <v>2.1</v>
      </c>
      <c r="H213" t="n">
        <v>0</v>
      </c>
      <c r="I213" t="n">
        <v>0</v>
      </c>
      <c r="J213" t="n">
        <v>0</v>
      </c>
      <c r="K213" t="n">
        <v>0</v>
      </c>
      <c r="L213" t="n">
        <v>0</v>
      </c>
      <c r="M213" t="n">
        <v>0</v>
      </c>
      <c r="N213" t="n">
        <v>0</v>
      </c>
      <c r="O213" t="n">
        <v>0</v>
      </c>
      <c r="P213" t="n">
        <v>0</v>
      </c>
      <c r="Q213" t="n">
        <v>0</v>
      </c>
      <c r="R213" s="2" t="inlineStr"/>
    </row>
    <row r="214" ht="15" customHeight="1">
      <c r="A214" t="inlineStr">
        <is>
          <t>A 6418-2019</t>
        </is>
      </c>
      <c r="B214" s="1" t="n">
        <v>43486</v>
      </c>
      <c r="C214" s="1" t="n">
        <v>45337</v>
      </c>
      <c r="D214" t="inlineStr">
        <is>
          <t>JÄMTLANDS LÄN</t>
        </is>
      </c>
      <c r="E214" t="inlineStr">
        <is>
          <t>HÄRJEDALEN</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5327-2019</t>
        </is>
      </c>
      <c r="B215" s="1" t="n">
        <v>43488</v>
      </c>
      <c r="C215" s="1" t="n">
        <v>45337</v>
      </c>
      <c r="D215" t="inlineStr">
        <is>
          <t>JÄMTLANDS LÄN</t>
        </is>
      </c>
      <c r="E215" t="inlineStr">
        <is>
          <t>HÄRJEDALEN</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5663-2019</t>
        </is>
      </c>
      <c r="B216" s="1" t="n">
        <v>43489</v>
      </c>
      <c r="C216" s="1" t="n">
        <v>45337</v>
      </c>
      <c r="D216" t="inlineStr">
        <is>
          <t>JÄMTLANDS LÄN</t>
        </is>
      </c>
      <c r="E216" t="inlineStr">
        <is>
          <t>HÄRJEDALEN</t>
        </is>
      </c>
      <c r="G216" t="n">
        <v>3.2</v>
      </c>
      <c r="H216" t="n">
        <v>0</v>
      </c>
      <c r="I216" t="n">
        <v>0</v>
      </c>
      <c r="J216" t="n">
        <v>0</v>
      </c>
      <c r="K216" t="n">
        <v>0</v>
      </c>
      <c r="L216" t="n">
        <v>0</v>
      </c>
      <c r="M216" t="n">
        <v>0</v>
      </c>
      <c r="N216" t="n">
        <v>0</v>
      </c>
      <c r="O216" t="n">
        <v>0</v>
      </c>
      <c r="P216" t="n">
        <v>0</v>
      </c>
      <c r="Q216" t="n">
        <v>0</v>
      </c>
      <c r="R216" s="2" t="inlineStr"/>
    </row>
    <row r="217" ht="15" customHeight="1">
      <c r="A217" t="inlineStr">
        <is>
          <t>A 5805-2019</t>
        </is>
      </c>
      <c r="B217" s="1" t="n">
        <v>43490</v>
      </c>
      <c r="C217" s="1" t="n">
        <v>45337</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5790-2019</t>
        </is>
      </c>
      <c r="B218" s="1" t="n">
        <v>43490</v>
      </c>
      <c r="C218" s="1" t="n">
        <v>45337</v>
      </c>
      <c r="D218" t="inlineStr">
        <is>
          <t>JÄMTLANDS LÄN</t>
        </is>
      </c>
      <c r="E218" t="inlineStr">
        <is>
          <t>HÄRJEDALEN</t>
        </is>
      </c>
      <c r="G218" t="n">
        <v>1</v>
      </c>
      <c r="H218" t="n">
        <v>0</v>
      </c>
      <c r="I218" t="n">
        <v>0</v>
      </c>
      <c r="J218" t="n">
        <v>0</v>
      </c>
      <c r="K218" t="n">
        <v>0</v>
      </c>
      <c r="L218" t="n">
        <v>0</v>
      </c>
      <c r="M218" t="n">
        <v>0</v>
      </c>
      <c r="N218" t="n">
        <v>0</v>
      </c>
      <c r="O218" t="n">
        <v>0</v>
      </c>
      <c r="P218" t="n">
        <v>0</v>
      </c>
      <c r="Q218" t="n">
        <v>0</v>
      </c>
      <c r="R218" s="2" t="inlineStr"/>
    </row>
    <row r="219" ht="15" customHeight="1">
      <c r="A219" t="inlineStr">
        <is>
          <t>A 5779-2019</t>
        </is>
      </c>
      <c r="B219" s="1" t="n">
        <v>43490</v>
      </c>
      <c r="C219" s="1" t="n">
        <v>45337</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8155-2019</t>
        </is>
      </c>
      <c r="B220" s="1" t="n">
        <v>43495</v>
      </c>
      <c r="C220" s="1" t="n">
        <v>45337</v>
      </c>
      <c r="D220" t="inlineStr">
        <is>
          <t>JÄMTLANDS LÄN</t>
        </is>
      </c>
      <c r="E220" t="inlineStr">
        <is>
          <t>HÄRJEDALEN</t>
        </is>
      </c>
      <c r="G220" t="n">
        <v>16.9</v>
      </c>
      <c r="H220" t="n">
        <v>0</v>
      </c>
      <c r="I220" t="n">
        <v>0</v>
      </c>
      <c r="J220" t="n">
        <v>0</v>
      </c>
      <c r="K220" t="n">
        <v>0</v>
      </c>
      <c r="L220" t="n">
        <v>0</v>
      </c>
      <c r="M220" t="n">
        <v>0</v>
      </c>
      <c r="N220" t="n">
        <v>0</v>
      </c>
      <c r="O220" t="n">
        <v>0</v>
      </c>
      <c r="P220" t="n">
        <v>0</v>
      </c>
      <c r="Q220" t="n">
        <v>0</v>
      </c>
      <c r="R220" s="2" t="inlineStr"/>
    </row>
    <row r="221" ht="15" customHeight="1">
      <c r="A221" t="inlineStr">
        <is>
          <t>A 6886-2019</t>
        </is>
      </c>
      <c r="B221" s="1" t="n">
        <v>43495</v>
      </c>
      <c r="C221" s="1" t="n">
        <v>45337</v>
      </c>
      <c r="D221" t="inlineStr">
        <is>
          <t>JÄMTLANDS LÄN</t>
        </is>
      </c>
      <c r="E221" t="inlineStr">
        <is>
          <t>HÄRJEDALEN</t>
        </is>
      </c>
      <c r="G221" t="n">
        <v>10.4</v>
      </c>
      <c r="H221" t="n">
        <v>0</v>
      </c>
      <c r="I221" t="n">
        <v>0</v>
      </c>
      <c r="J221" t="n">
        <v>0</v>
      </c>
      <c r="K221" t="n">
        <v>0</v>
      </c>
      <c r="L221" t="n">
        <v>0</v>
      </c>
      <c r="M221" t="n">
        <v>0</v>
      </c>
      <c r="N221" t="n">
        <v>0</v>
      </c>
      <c r="O221" t="n">
        <v>0</v>
      </c>
      <c r="P221" t="n">
        <v>0</v>
      </c>
      <c r="Q221" t="n">
        <v>0</v>
      </c>
      <c r="R221" s="2" t="inlineStr"/>
    </row>
    <row r="222" ht="15" customHeight="1">
      <c r="A222" t="inlineStr">
        <is>
          <t>A 7478-2019</t>
        </is>
      </c>
      <c r="B222" s="1" t="n">
        <v>43497</v>
      </c>
      <c r="C222" s="1" t="n">
        <v>45337</v>
      </c>
      <c r="D222" t="inlineStr">
        <is>
          <t>JÄMTLANDS LÄN</t>
        </is>
      </c>
      <c r="E222" t="inlineStr">
        <is>
          <t>HÄRJEDALEN</t>
        </is>
      </c>
      <c r="G222" t="n">
        <v>2.1</v>
      </c>
      <c r="H222" t="n">
        <v>0</v>
      </c>
      <c r="I222" t="n">
        <v>0</v>
      </c>
      <c r="J222" t="n">
        <v>0</v>
      </c>
      <c r="K222" t="n">
        <v>0</v>
      </c>
      <c r="L222" t="n">
        <v>0</v>
      </c>
      <c r="M222" t="n">
        <v>0</v>
      </c>
      <c r="N222" t="n">
        <v>0</v>
      </c>
      <c r="O222" t="n">
        <v>0</v>
      </c>
      <c r="P222" t="n">
        <v>0</v>
      </c>
      <c r="Q222" t="n">
        <v>0</v>
      </c>
      <c r="R222" s="2" t="inlineStr"/>
    </row>
    <row r="223" ht="15" customHeight="1">
      <c r="A223" t="inlineStr">
        <is>
          <t>A 7793-2019</t>
        </is>
      </c>
      <c r="B223" s="1" t="n">
        <v>43500</v>
      </c>
      <c r="C223" s="1" t="n">
        <v>45337</v>
      </c>
      <c r="D223" t="inlineStr">
        <is>
          <t>JÄMTLANDS LÄN</t>
        </is>
      </c>
      <c r="E223" t="inlineStr">
        <is>
          <t>HÄRJEDALEN</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7839-2019</t>
        </is>
      </c>
      <c r="B224" s="1" t="n">
        <v>43500</v>
      </c>
      <c r="C224" s="1" t="n">
        <v>45337</v>
      </c>
      <c r="D224" t="inlineStr">
        <is>
          <t>JÄMTLANDS LÄN</t>
        </is>
      </c>
      <c r="E224" t="inlineStr">
        <is>
          <t>HÄRJEDALEN</t>
        </is>
      </c>
      <c r="F224" t="inlineStr">
        <is>
          <t>Holmen skog AB</t>
        </is>
      </c>
      <c r="G224" t="n">
        <v>43</v>
      </c>
      <c r="H224" t="n">
        <v>0</v>
      </c>
      <c r="I224" t="n">
        <v>0</v>
      </c>
      <c r="J224" t="n">
        <v>0</v>
      </c>
      <c r="K224" t="n">
        <v>0</v>
      </c>
      <c r="L224" t="n">
        <v>0</v>
      </c>
      <c r="M224" t="n">
        <v>0</v>
      </c>
      <c r="N224" t="n">
        <v>0</v>
      </c>
      <c r="O224" t="n">
        <v>0</v>
      </c>
      <c r="P224" t="n">
        <v>0</v>
      </c>
      <c r="Q224" t="n">
        <v>0</v>
      </c>
      <c r="R224" s="2" t="inlineStr"/>
    </row>
    <row r="225" ht="15" customHeight="1">
      <c r="A225" t="inlineStr">
        <is>
          <t>A 7791-2019</t>
        </is>
      </c>
      <c r="B225" s="1" t="n">
        <v>43500</v>
      </c>
      <c r="C225" s="1" t="n">
        <v>45337</v>
      </c>
      <c r="D225" t="inlineStr">
        <is>
          <t>JÄMTLANDS LÄN</t>
        </is>
      </c>
      <c r="E225" t="inlineStr">
        <is>
          <t>HÄRJEDALEN</t>
        </is>
      </c>
      <c r="F225" t="inlineStr">
        <is>
          <t>Holmen skog AB</t>
        </is>
      </c>
      <c r="G225" t="n">
        <v>18.3</v>
      </c>
      <c r="H225" t="n">
        <v>0</v>
      </c>
      <c r="I225" t="n">
        <v>0</v>
      </c>
      <c r="J225" t="n">
        <v>0</v>
      </c>
      <c r="K225" t="n">
        <v>0</v>
      </c>
      <c r="L225" t="n">
        <v>0</v>
      </c>
      <c r="M225" t="n">
        <v>0</v>
      </c>
      <c r="N225" t="n">
        <v>0</v>
      </c>
      <c r="O225" t="n">
        <v>0</v>
      </c>
      <c r="P225" t="n">
        <v>0</v>
      </c>
      <c r="Q225" t="n">
        <v>0</v>
      </c>
      <c r="R225" s="2" t="inlineStr"/>
    </row>
    <row r="226" ht="15" customHeight="1">
      <c r="A226" t="inlineStr">
        <is>
          <t>A 7840-2019</t>
        </is>
      </c>
      <c r="B226" s="1" t="n">
        <v>43500</v>
      </c>
      <c r="C226" s="1" t="n">
        <v>45337</v>
      </c>
      <c r="D226" t="inlineStr">
        <is>
          <t>JÄMTLANDS LÄN</t>
        </is>
      </c>
      <c r="E226" t="inlineStr">
        <is>
          <t>HÄRJEDALEN</t>
        </is>
      </c>
      <c r="F226" t="inlineStr">
        <is>
          <t>Holmen skog AB</t>
        </is>
      </c>
      <c r="G226" t="n">
        <v>0.5</v>
      </c>
      <c r="H226" t="n">
        <v>0</v>
      </c>
      <c r="I226" t="n">
        <v>0</v>
      </c>
      <c r="J226" t="n">
        <v>0</v>
      </c>
      <c r="K226" t="n">
        <v>0</v>
      </c>
      <c r="L226" t="n">
        <v>0</v>
      </c>
      <c r="M226" t="n">
        <v>0</v>
      </c>
      <c r="N226" t="n">
        <v>0</v>
      </c>
      <c r="O226" t="n">
        <v>0</v>
      </c>
      <c r="P226" t="n">
        <v>0</v>
      </c>
      <c r="Q226" t="n">
        <v>0</v>
      </c>
      <c r="R226" s="2" t="inlineStr"/>
    </row>
    <row r="227" ht="15" customHeight="1">
      <c r="A227" t="inlineStr">
        <is>
          <t>A 7790-2019</t>
        </is>
      </c>
      <c r="B227" s="1" t="n">
        <v>43500</v>
      </c>
      <c r="C227" s="1" t="n">
        <v>45337</v>
      </c>
      <c r="D227" t="inlineStr">
        <is>
          <t>JÄMTLANDS LÄN</t>
        </is>
      </c>
      <c r="E227" t="inlineStr">
        <is>
          <t>HÄRJEDALEN</t>
        </is>
      </c>
      <c r="F227" t="inlineStr">
        <is>
          <t>Holmen skog AB</t>
        </is>
      </c>
      <c r="G227" t="n">
        <v>7.9</v>
      </c>
      <c r="H227" t="n">
        <v>0</v>
      </c>
      <c r="I227" t="n">
        <v>0</v>
      </c>
      <c r="J227" t="n">
        <v>0</v>
      </c>
      <c r="K227" t="n">
        <v>0</v>
      </c>
      <c r="L227" t="n">
        <v>0</v>
      </c>
      <c r="M227" t="n">
        <v>0</v>
      </c>
      <c r="N227" t="n">
        <v>0</v>
      </c>
      <c r="O227" t="n">
        <v>0</v>
      </c>
      <c r="P227" t="n">
        <v>0</v>
      </c>
      <c r="Q227" t="n">
        <v>0</v>
      </c>
      <c r="R227" s="2" t="inlineStr"/>
    </row>
    <row r="228" ht="15" customHeight="1">
      <c r="A228" t="inlineStr">
        <is>
          <t>A 7853-2019</t>
        </is>
      </c>
      <c r="B228" s="1" t="n">
        <v>43500</v>
      </c>
      <c r="C228" s="1" t="n">
        <v>45337</v>
      </c>
      <c r="D228" t="inlineStr">
        <is>
          <t>JÄMTLANDS LÄN</t>
        </is>
      </c>
      <c r="E228" t="inlineStr">
        <is>
          <t>HÄRJEDALEN</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9236-2019</t>
        </is>
      </c>
      <c r="B229" s="1" t="n">
        <v>43507</v>
      </c>
      <c r="C229" s="1" t="n">
        <v>45337</v>
      </c>
      <c r="D229" t="inlineStr">
        <is>
          <t>JÄMTLANDS LÄN</t>
        </is>
      </c>
      <c r="E229" t="inlineStr">
        <is>
          <t>HÄRJEDALEN</t>
        </is>
      </c>
      <c r="F229" t="inlineStr">
        <is>
          <t>Bergvik skog väst AB</t>
        </is>
      </c>
      <c r="G229" t="n">
        <v>23.2</v>
      </c>
      <c r="H229" t="n">
        <v>0</v>
      </c>
      <c r="I229" t="n">
        <v>0</v>
      </c>
      <c r="J229" t="n">
        <v>0</v>
      </c>
      <c r="K229" t="n">
        <v>0</v>
      </c>
      <c r="L229" t="n">
        <v>0</v>
      </c>
      <c r="M229" t="n">
        <v>0</v>
      </c>
      <c r="N229" t="n">
        <v>0</v>
      </c>
      <c r="O229" t="n">
        <v>0</v>
      </c>
      <c r="P229" t="n">
        <v>0</v>
      </c>
      <c r="Q229" t="n">
        <v>0</v>
      </c>
      <c r="R229" s="2" t="inlineStr"/>
    </row>
    <row r="230" ht="15" customHeight="1">
      <c r="A230" t="inlineStr">
        <is>
          <t>A 9670-2019</t>
        </is>
      </c>
      <c r="B230" s="1" t="n">
        <v>43508</v>
      </c>
      <c r="C230" s="1" t="n">
        <v>45337</v>
      </c>
      <c r="D230" t="inlineStr">
        <is>
          <t>JÄMTLANDS LÄN</t>
        </is>
      </c>
      <c r="E230" t="inlineStr">
        <is>
          <t>HÄRJEDALEN</t>
        </is>
      </c>
      <c r="G230" t="n">
        <v>34.2</v>
      </c>
      <c r="H230" t="n">
        <v>0</v>
      </c>
      <c r="I230" t="n">
        <v>0</v>
      </c>
      <c r="J230" t="n">
        <v>0</v>
      </c>
      <c r="K230" t="n">
        <v>0</v>
      </c>
      <c r="L230" t="n">
        <v>0</v>
      </c>
      <c r="M230" t="n">
        <v>0</v>
      </c>
      <c r="N230" t="n">
        <v>0</v>
      </c>
      <c r="O230" t="n">
        <v>0</v>
      </c>
      <c r="P230" t="n">
        <v>0</v>
      </c>
      <c r="Q230" t="n">
        <v>0</v>
      </c>
      <c r="R230" s="2" t="inlineStr"/>
    </row>
    <row r="231" ht="15" customHeight="1">
      <c r="A231" t="inlineStr">
        <is>
          <t>A 10139-2019</t>
        </is>
      </c>
      <c r="B231" s="1" t="n">
        <v>43510</v>
      </c>
      <c r="C231" s="1" t="n">
        <v>45337</v>
      </c>
      <c r="D231" t="inlineStr">
        <is>
          <t>JÄMTLANDS LÄN</t>
        </is>
      </c>
      <c r="E231" t="inlineStr">
        <is>
          <t>HÄRJEDALEN</t>
        </is>
      </c>
      <c r="G231" t="n">
        <v>2.4</v>
      </c>
      <c r="H231" t="n">
        <v>0</v>
      </c>
      <c r="I231" t="n">
        <v>0</v>
      </c>
      <c r="J231" t="n">
        <v>0</v>
      </c>
      <c r="K231" t="n">
        <v>0</v>
      </c>
      <c r="L231" t="n">
        <v>0</v>
      </c>
      <c r="M231" t="n">
        <v>0</v>
      </c>
      <c r="N231" t="n">
        <v>0</v>
      </c>
      <c r="O231" t="n">
        <v>0</v>
      </c>
      <c r="P231" t="n">
        <v>0</v>
      </c>
      <c r="Q231" t="n">
        <v>0</v>
      </c>
      <c r="R231" s="2" t="inlineStr"/>
    </row>
    <row r="232" ht="15" customHeight="1">
      <c r="A232" t="inlineStr">
        <is>
          <t>A 12151-2019</t>
        </is>
      </c>
      <c r="B232" s="1" t="n">
        <v>43522</v>
      </c>
      <c r="C232" s="1" t="n">
        <v>45337</v>
      </c>
      <c r="D232" t="inlineStr">
        <is>
          <t>JÄMTLANDS LÄN</t>
        </is>
      </c>
      <c r="E232" t="inlineStr">
        <is>
          <t>HÄRJEDALEN</t>
        </is>
      </c>
      <c r="G232" t="n">
        <v>5.6</v>
      </c>
      <c r="H232" t="n">
        <v>0</v>
      </c>
      <c r="I232" t="n">
        <v>0</v>
      </c>
      <c r="J232" t="n">
        <v>0</v>
      </c>
      <c r="K232" t="n">
        <v>0</v>
      </c>
      <c r="L232" t="n">
        <v>0</v>
      </c>
      <c r="M232" t="n">
        <v>0</v>
      </c>
      <c r="N232" t="n">
        <v>0</v>
      </c>
      <c r="O232" t="n">
        <v>0</v>
      </c>
      <c r="P232" t="n">
        <v>0</v>
      </c>
      <c r="Q232" t="n">
        <v>0</v>
      </c>
      <c r="R232" s="2" t="inlineStr"/>
    </row>
    <row r="233" ht="15" customHeight="1">
      <c r="A233" t="inlineStr">
        <is>
          <t>A 12149-2019</t>
        </is>
      </c>
      <c r="B233" s="1" t="n">
        <v>43522</v>
      </c>
      <c r="C233" s="1" t="n">
        <v>45337</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12822-2019</t>
        </is>
      </c>
      <c r="B234" s="1" t="n">
        <v>43525</v>
      </c>
      <c r="C234" s="1" t="n">
        <v>45337</v>
      </c>
      <c r="D234" t="inlineStr">
        <is>
          <t>JÄMTLANDS LÄN</t>
        </is>
      </c>
      <c r="E234" t="inlineStr">
        <is>
          <t>HÄRJEDALEN</t>
        </is>
      </c>
      <c r="G234" t="n">
        <v>17.1</v>
      </c>
      <c r="H234" t="n">
        <v>0</v>
      </c>
      <c r="I234" t="n">
        <v>0</v>
      </c>
      <c r="J234" t="n">
        <v>0</v>
      </c>
      <c r="K234" t="n">
        <v>0</v>
      </c>
      <c r="L234" t="n">
        <v>0</v>
      </c>
      <c r="M234" t="n">
        <v>0</v>
      </c>
      <c r="N234" t="n">
        <v>0</v>
      </c>
      <c r="O234" t="n">
        <v>0</v>
      </c>
      <c r="P234" t="n">
        <v>0</v>
      </c>
      <c r="Q234" t="n">
        <v>0</v>
      </c>
      <c r="R234" s="2" t="inlineStr"/>
    </row>
    <row r="235" ht="15" customHeight="1">
      <c r="A235" t="inlineStr">
        <is>
          <t>A 12829-2019</t>
        </is>
      </c>
      <c r="B235" s="1" t="n">
        <v>43525</v>
      </c>
      <c r="C235" s="1" t="n">
        <v>45337</v>
      </c>
      <c r="D235" t="inlineStr">
        <is>
          <t>JÄMTLANDS LÄN</t>
        </is>
      </c>
      <c r="E235" t="inlineStr">
        <is>
          <t>HÄRJEDALEN</t>
        </is>
      </c>
      <c r="G235" t="n">
        <v>20.6</v>
      </c>
      <c r="H235" t="n">
        <v>0</v>
      </c>
      <c r="I235" t="n">
        <v>0</v>
      </c>
      <c r="J235" t="n">
        <v>0</v>
      </c>
      <c r="K235" t="n">
        <v>0</v>
      </c>
      <c r="L235" t="n">
        <v>0</v>
      </c>
      <c r="M235" t="n">
        <v>0</v>
      </c>
      <c r="N235" t="n">
        <v>0</v>
      </c>
      <c r="O235" t="n">
        <v>0</v>
      </c>
      <c r="P235" t="n">
        <v>0</v>
      </c>
      <c r="Q235" t="n">
        <v>0</v>
      </c>
      <c r="R235" s="2" t="inlineStr"/>
    </row>
    <row r="236" ht="15" customHeight="1">
      <c r="A236" t="inlineStr">
        <is>
          <t>A 12825-2019</t>
        </is>
      </c>
      <c r="B236" s="1" t="n">
        <v>43525</v>
      </c>
      <c r="C236" s="1" t="n">
        <v>45337</v>
      </c>
      <c r="D236" t="inlineStr">
        <is>
          <t>JÄMTLANDS LÄN</t>
        </is>
      </c>
      <c r="E236" t="inlineStr">
        <is>
          <t>HÄRJEDALEN</t>
        </is>
      </c>
      <c r="G236" t="n">
        <v>19.6</v>
      </c>
      <c r="H236" t="n">
        <v>0</v>
      </c>
      <c r="I236" t="n">
        <v>0</v>
      </c>
      <c r="J236" t="n">
        <v>0</v>
      </c>
      <c r="K236" t="n">
        <v>0</v>
      </c>
      <c r="L236" t="n">
        <v>0</v>
      </c>
      <c r="M236" t="n">
        <v>0</v>
      </c>
      <c r="N236" t="n">
        <v>0</v>
      </c>
      <c r="O236" t="n">
        <v>0</v>
      </c>
      <c r="P236" t="n">
        <v>0</v>
      </c>
      <c r="Q236" t="n">
        <v>0</v>
      </c>
      <c r="R236" s="2" t="inlineStr"/>
    </row>
    <row r="237" ht="15" customHeight="1">
      <c r="A237" t="inlineStr">
        <is>
          <t>A 12764-2019</t>
        </is>
      </c>
      <c r="B237" s="1" t="n">
        <v>43525</v>
      </c>
      <c r="C237" s="1" t="n">
        <v>45337</v>
      </c>
      <c r="D237" t="inlineStr">
        <is>
          <t>JÄMTLANDS LÄN</t>
        </is>
      </c>
      <c r="E237" t="inlineStr">
        <is>
          <t>HÄRJEDALEN</t>
        </is>
      </c>
      <c r="F237" t="inlineStr">
        <is>
          <t>Kyrkan</t>
        </is>
      </c>
      <c r="G237" t="n">
        <v>19.2</v>
      </c>
      <c r="H237" t="n">
        <v>0</v>
      </c>
      <c r="I237" t="n">
        <v>0</v>
      </c>
      <c r="J237" t="n">
        <v>0</v>
      </c>
      <c r="K237" t="n">
        <v>0</v>
      </c>
      <c r="L237" t="n">
        <v>0</v>
      </c>
      <c r="M237" t="n">
        <v>0</v>
      </c>
      <c r="N237" t="n">
        <v>0</v>
      </c>
      <c r="O237" t="n">
        <v>0</v>
      </c>
      <c r="P237" t="n">
        <v>0</v>
      </c>
      <c r="Q237" t="n">
        <v>0</v>
      </c>
      <c r="R237" s="2" t="inlineStr"/>
    </row>
    <row r="238" ht="15" customHeight="1">
      <c r="A238" t="inlineStr">
        <is>
          <t>A 13202-2019</t>
        </is>
      </c>
      <c r="B238" s="1" t="n">
        <v>43528</v>
      </c>
      <c r="C238" s="1" t="n">
        <v>45337</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13182-2019</t>
        </is>
      </c>
      <c r="B239" s="1" t="n">
        <v>43528</v>
      </c>
      <c r="C239" s="1" t="n">
        <v>45337</v>
      </c>
      <c r="D239" t="inlineStr">
        <is>
          <t>JÄMTLANDS LÄN</t>
        </is>
      </c>
      <c r="E239" t="inlineStr">
        <is>
          <t>HÄRJEDALEN</t>
        </is>
      </c>
      <c r="G239" t="n">
        <v>1.3</v>
      </c>
      <c r="H239" t="n">
        <v>0</v>
      </c>
      <c r="I239" t="n">
        <v>0</v>
      </c>
      <c r="J239" t="n">
        <v>0</v>
      </c>
      <c r="K239" t="n">
        <v>0</v>
      </c>
      <c r="L239" t="n">
        <v>0</v>
      </c>
      <c r="M239" t="n">
        <v>0</v>
      </c>
      <c r="N239" t="n">
        <v>0</v>
      </c>
      <c r="O239" t="n">
        <v>0</v>
      </c>
      <c r="P239" t="n">
        <v>0</v>
      </c>
      <c r="Q239" t="n">
        <v>0</v>
      </c>
      <c r="R239" s="2" t="inlineStr"/>
    </row>
    <row r="240" ht="15" customHeight="1">
      <c r="A240" t="inlineStr">
        <is>
          <t>A 14268-2019</t>
        </is>
      </c>
      <c r="B240" s="1" t="n">
        <v>43535</v>
      </c>
      <c r="C240" s="1" t="n">
        <v>45337</v>
      </c>
      <c r="D240" t="inlineStr">
        <is>
          <t>JÄMTLANDS LÄN</t>
        </is>
      </c>
      <c r="E240" t="inlineStr">
        <is>
          <t>HÄRJEDALEN</t>
        </is>
      </c>
      <c r="G240" t="n">
        <v>20.2</v>
      </c>
      <c r="H240" t="n">
        <v>0</v>
      </c>
      <c r="I240" t="n">
        <v>0</v>
      </c>
      <c r="J240" t="n">
        <v>0</v>
      </c>
      <c r="K240" t="n">
        <v>0</v>
      </c>
      <c r="L240" t="n">
        <v>0</v>
      </c>
      <c r="M240" t="n">
        <v>0</v>
      </c>
      <c r="N240" t="n">
        <v>0</v>
      </c>
      <c r="O240" t="n">
        <v>0</v>
      </c>
      <c r="P240" t="n">
        <v>0</v>
      </c>
      <c r="Q240" t="n">
        <v>0</v>
      </c>
      <c r="R240" s="2" t="inlineStr"/>
    </row>
    <row r="241" ht="15" customHeight="1">
      <c r="A241" t="inlineStr">
        <is>
          <t>A 15617-2019</t>
        </is>
      </c>
      <c r="B241" s="1" t="n">
        <v>43539</v>
      </c>
      <c r="C241" s="1" t="n">
        <v>45337</v>
      </c>
      <c r="D241" t="inlineStr">
        <is>
          <t>JÄMTLANDS LÄN</t>
        </is>
      </c>
      <c r="E241" t="inlineStr">
        <is>
          <t>HÄRJEDALEN</t>
        </is>
      </c>
      <c r="G241" t="n">
        <v>1.7</v>
      </c>
      <c r="H241" t="n">
        <v>0</v>
      </c>
      <c r="I241" t="n">
        <v>0</v>
      </c>
      <c r="J241" t="n">
        <v>0</v>
      </c>
      <c r="K241" t="n">
        <v>0</v>
      </c>
      <c r="L241" t="n">
        <v>0</v>
      </c>
      <c r="M241" t="n">
        <v>0</v>
      </c>
      <c r="N241" t="n">
        <v>0</v>
      </c>
      <c r="O241" t="n">
        <v>0</v>
      </c>
      <c r="P241" t="n">
        <v>0</v>
      </c>
      <c r="Q241" t="n">
        <v>0</v>
      </c>
      <c r="R241" s="2" t="inlineStr"/>
    </row>
    <row r="242" ht="15" customHeight="1">
      <c r="A242" t="inlineStr">
        <is>
          <t>A 15557-2019</t>
        </is>
      </c>
      <c r="B242" s="1" t="n">
        <v>43542</v>
      </c>
      <c r="C242" s="1" t="n">
        <v>45337</v>
      </c>
      <c r="D242" t="inlineStr">
        <is>
          <t>JÄMTLANDS LÄN</t>
        </is>
      </c>
      <c r="E242" t="inlineStr">
        <is>
          <t>HÄRJEDALEN</t>
        </is>
      </c>
      <c r="G242" t="n">
        <v>5.9</v>
      </c>
      <c r="H242" t="n">
        <v>0</v>
      </c>
      <c r="I242" t="n">
        <v>0</v>
      </c>
      <c r="J242" t="n">
        <v>0</v>
      </c>
      <c r="K242" t="n">
        <v>0</v>
      </c>
      <c r="L242" t="n">
        <v>0</v>
      </c>
      <c r="M242" t="n">
        <v>0</v>
      </c>
      <c r="N242" t="n">
        <v>0</v>
      </c>
      <c r="O242" t="n">
        <v>0</v>
      </c>
      <c r="P242" t="n">
        <v>0</v>
      </c>
      <c r="Q242" t="n">
        <v>0</v>
      </c>
      <c r="R242" s="2" t="inlineStr"/>
    </row>
    <row r="243" ht="15" customHeight="1">
      <c r="A243" t="inlineStr">
        <is>
          <t>A 16004-2019</t>
        </is>
      </c>
      <c r="B243" s="1" t="n">
        <v>43543</v>
      </c>
      <c r="C243" s="1" t="n">
        <v>45337</v>
      </c>
      <c r="D243" t="inlineStr">
        <is>
          <t>JÄMTLANDS LÄN</t>
        </is>
      </c>
      <c r="E243" t="inlineStr">
        <is>
          <t>HÄRJEDALEN</t>
        </is>
      </c>
      <c r="G243" t="n">
        <v>19.7</v>
      </c>
      <c r="H243" t="n">
        <v>0</v>
      </c>
      <c r="I243" t="n">
        <v>0</v>
      </c>
      <c r="J243" t="n">
        <v>0</v>
      </c>
      <c r="K243" t="n">
        <v>0</v>
      </c>
      <c r="L243" t="n">
        <v>0</v>
      </c>
      <c r="M243" t="n">
        <v>0</v>
      </c>
      <c r="N243" t="n">
        <v>0</v>
      </c>
      <c r="O243" t="n">
        <v>0</v>
      </c>
      <c r="P243" t="n">
        <v>0</v>
      </c>
      <c r="Q243" t="n">
        <v>0</v>
      </c>
      <c r="R243" s="2" t="inlineStr"/>
    </row>
    <row r="244" ht="15" customHeight="1">
      <c r="A244" t="inlineStr">
        <is>
          <t>A 16062-2019</t>
        </is>
      </c>
      <c r="B244" s="1" t="n">
        <v>43544</v>
      </c>
      <c r="C244" s="1" t="n">
        <v>45337</v>
      </c>
      <c r="D244" t="inlineStr">
        <is>
          <t>JÄMTLANDS LÄN</t>
        </is>
      </c>
      <c r="E244" t="inlineStr">
        <is>
          <t>HÄRJEDALEN</t>
        </is>
      </c>
      <c r="G244" t="n">
        <v>18.4</v>
      </c>
      <c r="H244" t="n">
        <v>0</v>
      </c>
      <c r="I244" t="n">
        <v>0</v>
      </c>
      <c r="J244" t="n">
        <v>0</v>
      </c>
      <c r="K244" t="n">
        <v>0</v>
      </c>
      <c r="L244" t="n">
        <v>0</v>
      </c>
      <c r="M244" t="n">
        <v>0</v>
      </c>
      <c r="N244" t="n">
        <v>0</v>
      </c>
      <c r="O244" t="n">
        <v>0</v>
      </c>
      <c r="P244" t="n">
        <v>0</v>
      </c>
      <c r="Q244" t="n">
        <v>0</v>
      </c>
      <c r="R244" s="2" t="inlineStr"/>
    </row>
    <row r="245" ht="15" customHeight="1">
      <c r="A245" t="inlineStr">
        <is>
          <t>A 17528-2019</t>
        </is>
      </c>
      <c r="B245" s="1" t="n">
        <v>43553</v>
      </c>
      <c r="C245" s="1" t="n">
        <v>45337</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17811-2019</t>
        </is>
      </c>
      <c r="B246" s="1" t="n">
        <v>43556</v>
      </c>
      <c r="C246" s="1" t="n">
        <v>45337</v>
      </c>
      <c r="D246" t="inlineStr">
        <is>
          <t>JÄMTLANDS LÄN</t>
        </is>
      </c>
      <c r="E246" t="inlineStr">
        <is>
          <t>HÄRJEDALEN</t>
        </is>
      </c>
      <c r="G246" t="n">
        <v>10.3</v>
      </c>
      <c r="H246" t="n">
        <v>0</v>
      </c>
      <c r="I246" t="n">
        <v>0</v>
      </c>
      <c r="J246" t="n">
        <v>0</v>
      </c>
      <c r="K246" t="n">
        <v>0</v>
      </c>
      <c r="L246" t="n">
        <v>0</v>
      </c>
      <c r="M246" t="n">
        <v>0</v>
      </c>
      <c r="N246" t="n">
        <v>0</v>
      </c>
      <c r="O246" t="n">
        <v>0</v>
      </c>
      <c r="P246" t="n">
        <v>0</v>
      </c>
      <c r="Q246" t="n">
        <v>0</v>
      </c>
      <c r="R246" s="2" t="inlineStr"/>
    </row>
    <row r="247" ht="15" customHeight="1">
      <c r="A247" t="inlineStr">
        <is>
          <t>A 17986-2019</t>
        </is>
      </c>
      <c r="B247" s="1" t="n">
        <v>43557</v>
      </c>
      <c r="C247" s="1" t="n">
        <v>45337</v>
      </c>
      <c r="D247" t="inlineStr">
        <is>
          <t>JÄMTLANDS LÄN</t>
        </is>
      </c>
      <c r="E247" t="inlineStr">
        <is>
          <t>HÄRJEDALEN</t>
        </is>
      </c>
      <c r="F247" t="inlineStr">
        <is>
          <t>Kyrkan</t>
        </is>
      </c>
      <c r="G247" t="n">
        <v>17.5</v>
      </c>
      <c r="H247" t="n">
        <v>0</v>
      </c>
      <c r="I247" t="n">
        <v>0</v>
      </c>
      <c r="J247" t="n">
        <v>0</v>
      </c>
      <c r="K247" t="n">
        <v>0</v>
      </c>
      <c r="L247" t="n">
        <v>0</v>
      </c>
      <c r="M247" t="n">
        <v>0</v>
      </c>
      <c r="N247" t="n">
        <v>0</v>
      </c>
      <c r="O247" t="n">
        <v>0</v>
      </c>
      <c r="P247" t="n">
        <v>0</v>
      </c>
      <c r="Q247" t="n">
        <v>0</v>
      </c>
      <c r="R247" s="2" t="inlineStr"/>
    </row>
    <row r="248" ht="15" customHeight="1">
      <c r="A248" t="inlineStr">
        <is>
          <t>A 17917-2019</t>
        </is>
      </c>
      <c r="B248" s="1" t="n">
        <v>43557</v>
      </c>
      <c r="C248" s="1" t="n">
        <v>45337</v>
      </c>
      <c r="D248" t="inlineStr">
        <is>
          <t>JÄMTLANDS LÄN</t>
        </is>
      </c>
      <c r="E248" t="inlineStr">
        <is>
          <t>HÄRJEDALEN</t>
        </is>
      </c>
      <c r="F248" t="inlineStr">
        <is>
          <t>Bergvik skog väst AB</t>
        </is>
      </c>
      <c r="G248" t="n">
        <v>166.3</v>
      </c>
      <c r="H248" t="n">
        <v>0</v>
      </c>
      <c r="I248" t="n">
        <v>0</v>
      </c>
      <c r="J248" t="n">
        <v>0</v>
      </c>
      <c r="K248" t="n">
        <v>0</v>
      </c>
      <c r="L248" t="n">
        <v>0</v>
      </c>
      <c r="M248" t="n">
        <v>0</v>
      </c>
      <c r="N248" t="n">
        <v>0</v>
      </c>
      <c r="O248" t="n">
        <v>0</v>
      </c>
      <c r="P248" t="n">
        <v>0</v>
      </c>
      <c r="Q248" t="n">
        <v>0</v>
      </c>
      <c r="R248" s="2" t="inlineStr"/>
    </row>
    <row r="249" ht="15" customHeight="1">
      <c r="A249" t="inlineStr">
        <is>
          <t>A 18539-2019</t>
        </is>
      </c>
      <c r="B249" s="1" t="n">
        <v>43559</v>
      </c>
      <c r="C249" s="1" t="n">
        <v>45337</v>
      </c>
      <c r="D249" t="inlineStr">
        <is>
          <t>JÄMTLANDS LÄN</t>
        </is>
      </c>
      <c r="E249" t="inlineStr">
        <is>
          <t>HÄRJEDALEN</t>
        </is>
      </c>
      <c r="G249" t="n">
        <v>1.7</v>
      </c>
      <c r="H249" t="n">
        <v>0</v>
      </c>
      <c r="I249" t="n">
        <v>0</v>
      </c>
      <c r="J249" t="n">
        <v>0</v>
      </c>
      <c r="K249" t="n">
        <v>0</v>
      </c>
      <c r="L249" t="n">
        <v>0</v>
      </c>
      <c r="M249" t="n">
        <v>0</v>
      </c>
      <c r="N249" t="n">
        <v>0</v>
      </c>
      <c r="O249" t="n">
        <v>0</v>
      </c>
      <c r="P249" t="n">
        <v>0</v>
      </c>
      <c r="Q249" t="n">
        <v>0</v>
      </c>
      <c r="R249" s="2" t="inlineStr"/>
    </row>
    <row r="250" ht="15" customHeight="1">
      <c r="A250" t="inlineStr">
        <is>
          <t>A 18648-2019</t>
        </is>
      </c>
      <c r="B250" s="1" t="n">
        <v>43560</v>
      </c>
      <c r="C250" s="1" t="n">
        <v>45337</v>
      </c>
      <c r="D250" t="inlineStr">
        <is>
          <t>JÄMTLANDS LÄN</t>
        </is>
      </c>
      <c r="E250" t="inlineStr">
        <is>
          <t>HÄRJEDALEN</t>
        </is>
      </c>
      <c r="G250" t="n">
        <v>5.5</v>
      </c>
      <c r="H250" t="n">
        <v>0</v>
      </c>
      <c r="I250" t="n">
        <v>0</v>
      </c>
      <c r="J250" t="n">
        <v>0</v>
      </c>
      <c r="K250" t="n">
        <v>0</v>
      </c>
      <c r="L250" t="n">
        <v>0</v>
      </c>
      <c r="M250" t="n">
        <v>0</v>
      </c>
      <c r="N250" t="n">
        <v>0</v>
      </c>
      <c r="O250" t="n">
        <v>0</v>
      </c>
      <c r="P250" t="n">
        <v>0</v>
      </c>
      <c r="Q250" t="n">
        <v>0</v>
      </c>
      <c r="R250" s="2" t="inlineStr"/>
    </row>
    <row r="251" ht="15" customHeight="1">
      <c r="A251" t="inlineStr">
        <is>
          <t>A 19114-2019</t>
        </is>
      </c>
      <c r="B251" s="1" t="n">
        <v>43563</v>
      </c>
      <c r="C251" s="1" t="n">
        <v>45337</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20063-2019</t>
        </is>
      </c>
      <c r="B252" s="1" t="n">
        <v>43567</v>
      </c>
      <c r="C252" s="1" t="n">
        <v>45337</v>
      </c>
      <c r="D252" t="inlineStr">
        <is>
          <t>JÄMTLANDS LÄN</t>
        </is>
      </c>
      <c r="E252" t="inlineStr">
        <is>
          <t>HÄRJEDALEN</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19864-2019</t>
        </is>
      </c>
      <c r="B253" s="1" t="n">
        <v>43567</v>
      </c>
      <c r="C253" s="1" t="n">
        <v>45337</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20403-2019</t>
        </is>
      </c>
      <c r="B254" s="1" t="n">
        <v>43571</v>
      </c>
      <c r="C254" s="1" t="n">
        <v>45337</v>
      </c>
      <c r="D254" t="inlineStr">
        <is>
          <t>JÄMTLANDS LÄN</t>
        </is>
      </c>
      <c r="E254" t="inlineStr">
        <is>
          <t>HÄRJEDALEN</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20373-2019</t>
        </is>
      </c>
      <c r="B255" s="1" t="n">
        <v>43571</v>
      </c>
      <c r="C255" s="1" t="n">
        <v>45337</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20851-2019</t>
        </is>
      </c>
      <c r="B256" s="1" t="n">
        <v>43577</v>
      </c>
      <c r="C256" s="1" t="n">
        <v>45337</v>
      </c>
      <c r="D256" t="inlineStr">
        <is>
          <t>JÄMTLANDS LÄN</t>
        </is>
      </c>
      <c r="E256" t="inlineStr">
        <is>
          <t>HÄRJEDALEN</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21040-2019</t>
        </is>
      </c>
      <c r="B257" s="1" t="n">
        <v>43578</v>
      </c>
      <c r="C257" s="1" t="n">
        <v>45337</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21189-2019</t>
        </is>
      </c>
      <c r="B258" s="1" t="n">
        <v>43579</v>
      </c>
      <c r="C258" s="1" t="n">
        <v>45337</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22622-2019</t>
        </is>
      </c>
      <c r="B259" s="1" t="n">
        <v>43588</v>
      </c>
      <c r="C259" s="1" t="n">
        <v>45337</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24030-2019</t>
        </is>
      </c>
      <c r="B260" s="1" t="n">
        <v>43598</v>
      </c>
      <c r="C260" s="1" t="n">
        <v>45337</v>
      </c>
      <c r="D260" t="inlineStr">
        <is>
          <t>JÄMTLANDS LÄN</t>
        </is>
      </c>
      <c r="E260" t="inlineStr">
        <is>
          <t>HÄRJEDALEN</t>
        </is>
      </c>
      <c r="F260" t="inlineStr">
        <is>
          <t>Sveaskog</t>
        </is>
      </c>
      <c r="G260" t="n">
        <v>39.9</v>
      </c>
      <c r="H260" t="n">
        <v>0</v>
      </c>
      <c r="I260" t="n">
        <v>0</v>
      </c>
      <c r="J260" t="n">
        <v>0</v>
      </c>
      <c r="K260" t="n">
        <v>0</v>
      </c>
      <c r="L260" t="n">
        <v>0</v>
      </c>
      <c r="M260" t="n">
        <v>0</v>
      </c>
      <c r="N260" t="n">
        <v>0</v>
      </c>
      <c r="O260" t="n">
        <v>0</v>
      </c>
      <c r="P260" t="n">
        <v>0</v>
      </c>
      <c r="Q260" t="n">
        <v>0</v>
      </c>
      <c r="R260" s="2" t="inlineStr"/>
    </row>
    <row r="261" ht="15" customHeight="1">
      <c r="A261" t="inlineStr">
        <is>
          <t>A 24760-2019</t>
        </is>
      </c>
      <c r="B261" s="1" t="n">
        <v>43601</v>
      </c>
      <c r="C261" s="1" t="n">
        <v>45337</v>
      </c>
      <c r="D261" t="inlineStr">
        <is>
          <t>JÄMTLANDS LÄN</t>
        </is>
      </c>
      <c r="E261" t="inlineStr">
        <is>
          <t>HÄRJEDALEN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25309-2019</t>
        </is>
      </c>
      <c r="B262" s="1" t="n">
        <v>43605</v>
      </c>
      <c r="C262" s="1" t="n">
        <v>45337</v>
      </c>
      <c r="D262" t="inlineStr">
        <is>
          <t>JÄMTLANDS LÄN</t>
        </is>
      </c>
      <c r="E262" t="inlineStr">
        <is>
          <t>HÄRJEDALEN</t>
        </is>
      </c>
      <c r="G262" t="n">
        <v>0.1</v>
      </c>
      <c r="H262" t="n">
        <v>0</v>
      </c>
      <c r="I262" t="n">
        <v>0</v>
      </c>
      <c r="J262" t="n">
        <v>0</v>
      </c>
      <c r="K262" t="n">
        <v>0</v>
      </c>
      <c r="L262" t="n">
        <v>0</v>
      </c>
      <c r="M262" t="n">
        <v>0</v>
      </c>
      <c r="N262" t="n">
        <v>0</v>
      </c>
      <c r="O262" t="n">
        <v>0</v>
      </c>
      <c r="P262" t="n">
        <v>0</v>
      </c>
      <c r="Q262" t="n">
        <v>0</v>
      </c>
      <c r="R262" s="2" t="inlineStr"/>
    </row>
    <row r="263" ht="15" customHeight="1">
      <c r="A263" t="inlineStr">
        <is>
          <t>A 25470-2019</t>
        </is>
      </c>
      <c r="B263" s="1" t="n">
        <v>43606</v>
      </c>
      <c r="C263" s="1" t="n">
        <v>45337</v>
      </c>
      <c r="D263" t="inlineStr">
        <is>
          <t>JÄMTLANDS LÄN</t>
        </is>
      </c>
      <c r="E263" t="inlineStr">
        <is>
          <t>HÄRJEDALEN</t>
        </is>
      </c>
      <c r="G263" t="n">
        <v>36.8</v>
      </c>
      <c r="H263" t="n">
        <v>0</v>
      </c>
      <c r="I263" t="n">
        <v>0</v>
      </c>
      <c r="J263" t="n">
        <v>0</v>
      </c>
      <c r="K263" t="n">
        <v>0</v>
      </c>
      <c r="L263" t="n">
        <v>0</v>
      </c>
      <c r="M263" t="n">
        <v>0</v>
      </c>
      <c r="N263" t="n">
        <v>0</v>
      </c>
      <c r="O263" t="n">
        <v>0</v>
      </c>
      <c r="P263" t="n">
        <v>0</v>
      </c>
      <c r="Q263" t="n">
        <v>0</v>
      </c>
      <c r="R263" s="2" t="inlineStr"/>
    </row>
    <row r="264" ht="15" customHeight="1">
      <c r="A264" t="inlineStr">
        <is>
          <t>A 26166-2019</t>
        </is>
      </c>
      <c r="B264" s="1" t="n">
        <v>43609</v>
      </c>
      <c r="C264" s="1" t="n">
        <v>45337</v>
      </c>
      <c r="D264" t="inlineStr">
        <is>
          <t>JÄMTLANDS LÄN</t>
        </is>
      </c>
      <c r="E264" t="inlineStr">
        <is>
          <t>HÄRJEDALEN</t>
        </is>
      </c>
      <c r="G264" t="n">
        <v>85.2</v>
      </c>
      <c r="H264" t="n">
        <v>0</v>
      </c>
      <c r="I264" t="n">
        <v>0</v>
      </c>
      <c r="J264" t="n">
        <v>0</v>
      </c>
      <c r="K264" t="n">
        <v>0</v>
      </c>
      <c r="L264" t="n">
        <v>0</v>
      </c>
      <c r="M264" t="n">
        <v>0</v>
      </c>
      <c r="N264" t="n">
        <v>0</v>
      </c>
      <c r="O264" t="n">
        <v>0</v>
      </c>
      <c r="P264" t="n">
        <v>0</v>
      </c>
      <c r="Q264" t="n">
        <v>0</v>
      </c>
      <c r="R264" s="2" t="inlineStr"/>
    </row>
    <row r="265" ht="15" customHeight="1">
      <c r="A265" t="inlineStr">
        <is>
          <t>A 26310-2019</t>
        </is>
      </c>
      <c r="B265" s="1" t="n">
        <v>43612</v>
      </c>
      <c r="C265" s="1" t="n">
        <v>45337</v>
      </c>
      <c r="D265" t="inlineStr">
        <is>
          <t>JÄMTLANDS LÄN</t>
        </is>
      </c>
      <c r="E265" t="inlineStr">
        <is>
          <t>HÄRJEDALEN</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26423-2019</t>
        </is>
      </c>
      <c r="B266" s="1" t="n">
        <v>43612</v>
      </c>
      <c r="C266" s="1" t="n">
        <v>45337</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27683-2019</t>
        </is>
      </c>
      <c r="B267" s="1" t="n">
        <v>43619</v>
      </c>
      <c r="C267" s="1" t="n">
        <v>45337</v>
      </c>
      <c r="D267" t="inlineStr">
        <is>
          <t>JÄMTLANDS LÄN</t>
        </is>
      </c>
      <c r="E267" t="inlineStr">
        <is>
          <t>HÄRJEDALEN</t>
        </is>
      </c>
      <c r="G267" t="n">
        <v>5.4</v>
      </c>
      <c r="H267" t="n">
        <v>0</v>
      </c>
      <c r="I267" t="n">
        <v>0</v>
      </c>
      <c r="J267" t="n">
        <v>0</v>
      </c>
      <c r="K267" t="n">
        <v>0</v>
      </c>
      <c r="L267" t="n">
        <v>0</v>
      </c>
      <c r="M267" t="n">
        <v>0</v>
      </c>
      <c r="N267" t="n">
        <v>0</v>
      </c>
      <c r="O267" t="n">
        <v>0</v>
      </c>
      <c r="P267" t="n">
        <v>0</v>
      </c>
      <c r="Q267" t="n">
        <v>0</v>
      </c>
      <c r="R267" s="2" t="inlineStr"/>
    </row>
    <row r="268" ht="15" customHeight="1">
      <c r="A268" t="inlineStr">
        <is>
          <t>A 27903-2019</t>
        </is>
      </c>
      <c r="B268" s="1" t="n">
        <v>43620</v>
      </c>
      <c r="C268" s="1" t="n">
        <v>45337</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28312-2019</t>
        </is>
      </c>
      <c r="B269" s="1" t="n">
        <v>43623</v>
      </c>
      <c r="C269" s="1" t="n">
        <v>45337</v>
      </c>
      <c r="D269" t="inlineStr">
        <is>
          <t>JÄMTLANDS LÄN</t>
        </is>
      </c>
      <c r="E269" t="inlineStr">
        <is>
          <t>HÄRJEDALEN</t>
        </is>
      </c>
      <c r="G269" t="n">
        <v>6.5</v>
      </c>
      <c r="H269" t="n">
        <v>0</v>
      </c>
      <c r="I269" t="n">
        <v>0</v>
      </c>
      <c r="J269" t="n">
        <v>0</v>
      </c>
      <c r="K269" t="n">
        <v>0</v>
      </c>
      <c r="L269" t="n">
        <v>0</v>
      </c>
      <c r="M269" t="n">
        <v>0</v>
      </c>
      <c r="N269" t="n">
        <v>0</v>
      </c>
      <c r="O269" t="n">
        <v>0</v>
      </c>
      <c r="P269" t="n">
        <v>0</v>
      </c>
      <c r="Q269" t="n">
        <v>0</v>
      </c>
      <c r="R269" s="2" t="inlineStr"/>
    </row>
    <row r="270" ht="15" customHeight="1">
      <c r="A270" t="inlineStr">
        <is>
          <t>A 28326-2019</t>
        </is>
      </c>
      <c r="B270" s="1" t="n">
        <v>43623</v>
      </c>
      <c r="C270" s="1" t="n">
        <v>45337</v>
      </c>
      <c r="D270" t="inlineStr">
        <is>
          <t>JÄMTLANDS LÄN</t>
        </is>
      </c>
      <c r="E270" t="inlineStr">
        <is>
          <t>HÄRJEDALEN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28513-2019</t>
        </is>
      </c>
      <c r="B271" s="1" t="n">
        <v>43626</v>
      </c>
      <c r="C271" s="1" t="n">
        <v>45337</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29263-2019</t>
        </is>
      </c>
      <c r="B272" s="1" t="n">
        <v>43629</v>
      </c>
      <c r="C272" s="1" t="n">
        <v>45337</v>
      </c>
      <c r="D272" t="inlineStr">
        <is>
          <t>JÄMTLANDS LÄN</t>
        </is>
      </c>
      <c r="E272" t="inlineStr">
        <is>
          <t>HÄRJEDALEN</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29822-2019</t>
        </is>
      </c>
      <c r="B273" s="1" t="n">
        <v>43633</v>
      </c>
      <c r="C273" s="1" t="n">
        <v>45337</v>
      </c>
      <c r="D273" t="inlineStr">
        <is>
          <t>JÄMTLANDS LÄN</t>
        </is>
      </c>
      <c r="E273" t="inlineStr">
        <is>
          <t>HÄRJEDALEN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34618-2019</t>
        </is>
      </c>
      <c r="B274" s="1" t="n">
        <v>43647</v>
      </c>
      <c r="C274" s="1" t="n">
        <v>45337</v>
      </c>
      <c r="D274" t="inlineStr">
        <is>
          <t>JÄMTLANDS LÄN</t>
        </is>
      </c>
      <c r="E274" t="inlineStr">
        <is>
          <t>HÄRJEDALEN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32878-2019</t>
        </is>
      </c>
      <c r="B275" s="1" t="n">
        <v>43648</v>
      </c>
      <c r="C275" s="1" t="n">
        <v>45337</v>
      </c>
      <c r="D275" t="inlineStr">
        <is>
          <t>JÄMTLANDS LÄN</t>
        </is>
      </c>
      <c r="E275" t="inlineStr">
        <is>
          <t>HÄRJEDALEN</t>
        </is>
      </c>
      <c r="F275" t="inlineStr">
        <is>
          <t>Övriga Aktiebolag</t>
        </is>
      </c>
      <c r="G275" t="n">
        <v>91.8</v>
      </c>
      <c r="H275" t="n">
        <v>0</v>
      </c>
      <c r="I275" t="n">
        <v>0</v>
      </c>
      <c r="J275" t="n">
        <v>0</v>
      </c>
      <c r="K275" t="n">
        <v>0</v>
      </c>
      <c r="L275" t="n">
        <v>0</v>
      </c>
      <c r="M275" t="n">
        <v>0</v>
      </c>
      <c r="N275" t="n">
        <v>0</v>
      </c>
      <c r="O275" t="n">
        <v>0</v>
      </c>
      <c r="P275" t="n">
        <v>0</v>
      </c>
      <c r="Q275" t="n">
        <v>0</v>
      </c>
      <c r="R275" s="2" t="inlineStr"/>
    </row>
    <row r="276" ht="15" customHeight="1">
      <c r="A276" t="inlineStr">
        <is>
          <t>A 33496-2019</t>
        </is>
      </c>
      <c r="B276" s="1" t="n">
        <v>43651</v>
      </c>
      <c r="C276" s="1" t="n">
        <v>45337</v>
      </c>
      <c r="D276" t="inlineStr">
        <is>
          <t>JÄMTLANDS LÄN</t>
        </is>
      </c>
      <c r="E276" t="inlineStr">
        <is>
          <t>HÄRJEDALEN</t>
        </is>
      </c>
      <c r="G276" t="n">
        <v>3.6</v>
      </c>
      <c r="H276" t="n">
        <v>0</v>
      </c>
      <c r="I276" t="n">
        <v>0</v>
      </c>
      <c r="J276" t="n">
        <v>0</v>
      </c>
      <c r="K276" t="n">
        <v>0</v>
      </c>
      <c r="L276" t="n">
        <v>0</v>
      </c>
      <c r="M276" t="n">
        <v>0</v>
      </c>
      <c r="N276" t="n">
        <v>0</v>
      </c>
      <c r="O276" t="n">
        <v>0</v>
      </c>
      <c r="P276" t="n">
        <v>0</v>
      </c>
      <c r="Q276" t="n">
        <v>0</v>
      </c>
      <c r="R276" s="2" t="inlineStr"/>
    </row>
    <row r="277" ht="15" customHeight="1">
      <c r="A277" t="inlineStr">
        <is>
          <t>A 33497-2019</t>
        </is>
      </c>
      <c r="B277" s="1" t="n">
        <v>43651</v>
      </c>
      <c r="C277" s="1" t="n">
        <v>45337</v>
      </c>
      <c r="D277" t="inlineStr">
        <is>
          <t>JÄMTLANDS LÄN</t>
        </is>
      </c>
      <c r="E277" t="inlineStr">
        <is>
          <t>HÄRJEDALEN</t>
        </is>
      </c>
      <c r="G277" t="n">
        <v>1.9</v>
      </c>
      <c r="H277" t="n">
        <v>0</v>
      </c>
      <c r="I277" t="n">
        <v>0</v>
      </c>
      <c r="J277" t="n">
        <v>0</v>
      </c>
      <c r="K277" t="n">
        <v>0</v>
      </c>
      <c r="L277" t="n">
        <v>0</v>
      </c>
      <c r="M277" t="n">
        <v>0</v>
      </c>
      <c r="N277" t="n">
        <v>0</v>
      </c>
      <c r="O277" t="n">
        <v>0</v>
      </c>
      <c r="P277" t="n">
        <v>0</v>
      </c>
      <c r="Q277" t="n">
        <v>0</v>
      </c>
      <c r="R277" s="2" t="inlineStr"/>
    </row>
    <row r="278" ht="15" customHeight="1">
      <c r="A278" t="inlineStr">
        <is>
          <t>A 34688-2019</t>
        </is>
      </c>
      <c r="B278" s="1" t="n">
        <v>43657</v>
      </c>
      <c r="C278" s="1" t="n">
        <v>45337</v>
      </c>
      <c r="D278" t="inlineStr">
        <is>
          <t>JÄMTLANDS LÄN</t>
        </is>
      </c>
      <c r="E278" t="inlineStr">
        <is>
          <t>HÄRJEDALEN</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34805-2019</t>
        </is>
      </c>
      <c r="B279" s="1" t="n">
        <v>43658</v>
      </c>
      <c r="C279" s="1" t="n">
        <v>45337</v>
      </c>
      <c r="D279" t="inlineStr">
        <is>
          <t>JÄMTLANDS LÄN</t>
        </is>
      </c>
      <c r="E279" t="inlineStr">
        <is>
          <t>HÄRJEDALEN</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35160-2019</t>
        </is>
      </c>
      <c r="B280" s="1" t="n">
        <v>43661</v>
      </c>
      <c r="C280" s="1" t="n">
        <v>45337</v>
      </c>
      <c r="D280" t="inlineStr">
        <is>
          <t>JÄMTLANDS LÄN</t>
        </is>
      </c>
      <c r="E280" t="inlineStr">
        <is>
          <t>HÄRJEDALEN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36343-2019</t>
        </is>
      </c>
      <c r="B281" s="1" t="n">
        <v>43662</v>
      </c>
      <c r="C281" s="1" t="n">
        <v>45337</v>
      </c>
      <c r="D281" t="inlineStr">
        <is>
          <t>JÄMTLANDS LÄN</t>
        </is>
      </c>
      <c r="E281" t="inlineStr">
        <is>
          <t>HÄRJEDALEN</t>
        </is>
      </c>
      <c r="G281" t="n">
        <v>8</v>
      </c>
      <c r="H281" t="n">
        <v>0</v>
      </c>
      <c r="I281" t="n">
        <v>0</v>
      </c>
      <c r="J281" t="n">
        <v>0</v>
      </c>
      <c r="K281" t="n">
        <v>0</v>
      </c>
      <c r="L281" t="n">
        <v>0</v>
      </c>
      <c r="M281" t="n">
        <v>0</v>
      </c>
      <c r="N281" t="n">
        <v>0</v>
      </c>
      <c r="O281" t="n">
        <v>0</v>
      </c>
      <c r="P281" t="n">
        <v>0</v>
      </c>
      <c r="Q281" t="n">
        <v>0</v>
      </c>
      <c r="R281" s="2" t="inlineStr"/>
    </row>
    <row r="282" ht="15" customHeight="1">
      <c r="A282" t="inlineStr">
        <is>
          <t>A 38283-2019</t>
        </is>
      </c>
      <c r="B282" s="1" t="n">
        <v>43684</v>
      </c>
      <c r="C282" s="1" t="n">
        <v>45337</v>
      </c>
      <c r="D282" t="inlineStr">
        <is>
          <t>JÄMTLANDS LÄN</t>
        </is>
      </c>
      <c r="E282" t="inlineStr">
        <is>
          <t>HÄRJEDALEN</t>
        </is>
      </c>
      <c r="F282" t="inlineStr">
        <is>
          <t>Bergvik skog väst AB</t>
        </is>
      </c>
      <c r="G282" t="n">
        <v>29.5</v>
      </c>
      <c r="H282" t="n">
        <v>0</v>
      </c>
      <c r="I282" t="n">
        <v>0</v>
      </c>
      <c r="J282" t="n">
        <v>0</v>
      </c>
      <c r="K282" t="n">
        <v>0</v>
      </c>
      <c r="L282" t="n">
        <v>0</v>
      </c>
      <c r="M282" t="n">
        <v>0</v>
      </c>
      <c r="N282" t="n">
        <v>0</v>
      </c>
      <c r="O282" t="n">
        <v>0</v>
      </c>
      <c r="P282" t="n">
        <v>0</v>
      </c>
      <c r="Q282" t="n">
        <v>0</v>
      </c>
      <c r="R282" s="2" t="inlineStr"/>
    </row>
    <row r="283" ht="15" customHeight="1">
      <c r="A283" t="inlineStr">
        <is>
          <t>A 38859-2019</t>
        </is>
      </c>
      <c r="B283" s="1" t="n">
        <v>43689</v>
      </c>
      <c r="C283" s="1" t="n">
        <v>45337</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38884-2019</t>
        </is>
      </c>
      <c r="B284" s="1" t="n">
        <v>43689</v>
      </c>
      <c r="C284" s="1" t="n">
        <v>45337</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40244-2019</t>
        </is>
      </c>
      <c r="B285" s="1" t="n">
        <v>43694</v>
      </c>
      <c r="C285" s="1" t="n">
        <v>45337</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42123-2019</t>
        </is>
      </c>
      <c r="B286" s="1" t="n">
        <v>43703</v>
      </c>
      <c r="C286" s="1" t="n">
        <v>45337</v>
      </c>
      <c r="D286" t="inlineStr">
        <is>
          <t>JÄMTLANDS LÄN</t>
        </is>
      </c>
      <c r="E286" t="inlineStr">
        <is>
          <t>HÄRJEDALEN</t>
        </is>
      </c>
      <c r="G286" t="n">
        <v>1.8</v>
      </c>
      <c r="H286" t="n">
        <v>0</v>
      </c>
      <c r="I286" t="n">
        <v>0</v>
      </c>
      <c r="J286" t="n">
        <v>0</v>
      </c>
      <c r="K286" t="n">
        <v>0</v>
      </c>
      <c r="L286" t="n">
        <v>0</v>
      </c>
      <c r="M286" t="n">
        <v>0</v>
      </c>
      <c r="N286" t="n">
        <v>0</v>
      </c>
      <c r="O286" t="n">
        <v>0</v>
      </c>
      <c r="P286" t="n">
        <v>0</v>
      </c>
      <c r="Q286" t="n">
        <v>0</v>
      </c>
      <c r="R286" s="2" t="inlineStr"/>
    </row>
    <row r="287" ht="15" customHeight="1">
      <c r="A287" t="inlineStr">
        <is>
          <t>A 43103-2019</t>
        </is>
      </c>
      <c r="B287" s="1" t="n">
        <v>43705</v>
      </c>
      <c r="C287" s="1" t="n">
        <v>45337</v>
      </c>
      <c r="D287" t="inlineStr">
        <is>
          <t>JÄMTLANDS LÄN</t>
        </is>
      </c>
      <c r="E287" t="inlineStr">
        <is>
          <t>HÄRJEDALEN</t>
        </is>
      </c>
      <c r="G287" t="n">
        <v>38.6</v>
      </c>
      <c r="H287" t="n">
        <v>0</v>
      </c>
      <c r="I287" t="n">
        <v>0</v>
      </c>
      <c r="J287" t="n">
        <v>0</v>
      </c>
      <c r="K287" t="n">
        <v>0</v>
      </c>
      <c r="L287" t="n">
        <v>0</v>
      </c>
      <c r="M287" t="n">
        <v>0</v>
      </c>
      <c r="N287" t="n">
        <v>0</v>
      </c>
      <c r="O287" t="n">
        <v>0</v>
      </c>
      <c r="P287" t="n">
        <v>0</v>
      </c>
      <c r="Q287" t="n">
        <v>0</v>
      </c>
      <c r="R287" s="2" t="inlineStr"/>
    </row>
    <row r="288" ht="15" customHeight="1">
      <c r="A288" t="inlineStr">
        <is>
          <t>A 43142-2019</t>
        </is>
      </c>
      <c r="B288" s="1" t="n">
        <v>43705</v>
      </c>
      <c r="C288" s="1" t="n">
        <v>45337</v>
      </c>
      <c r="D288" t="inlineStr">
        <is>
          <t>JÄMTLANDS LÄN</t>
        </is>
      </c>
      <c r="E288" t="inlineStr">
        <is>
          <t>HÄRJEDALEN</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43649-2019</t>
        </is>
      </c>
      <c r="B289" s="1" t="n">
        <v>43707</v>
      </c>
      <c r="C289" s="1" t="n">
        <v>45337</v>
      </c>
      <c r="D289" t="inlineStr">
        <is>
          <t>JÄMTLANDS LÄN</t>
        </is>
      </c>
      <c r="E289" t="inlineStr">
        <is>
          <t>HÄRJEDALEN</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43896-2019</t>
        </is>
      </c>
      <c r="B290" s="1" t="n">
        <v>43707</v>
      </c>
      <c r="C290" s="1" t="n">
        <v>45337</v>
      </c>
      <c r="D290" t="inlineStr">
        <is>
          <t>JÄMTLANDS LÄN</t>
        </is>
      </c>
      <c r="E290" t="inlineStr">
        <is>
          <t>HÄRJEDALEN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45167-2019</t>
        </is>
      </c>
      <c r="B291" s="1" t="n">
        <v>43713</v>
      </c>
      <c r="C291" s="1" t="n">
        <v>45337</v>
      </c>
      <c r="D291" t="inlineStr">
        <is>
          <t>JÄMTLANDS LÄN</t>
        </is>
      </c>
      <c r="E291" t="inlineStr">
        <is>
          <t>HÄRJEDALEN</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44939-2019</t>
        </is>
      </c>
      <c r="B292" s="1" t="n">
        <v>43713</v>
      </c>
      <c r="C292" s="1" t="n">
        <v>45337</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45858-2019</t>
        </is>
      </c>
      <c r="B293" s="1" t="n">
        <v>43717</v>
      </c>
      <c r="C293" s="1" t="n">
        <v>45337</v>
      </c>
      <c r="D293" t="inlineStr">
        <is>
          <t>JÄMTLANDS LÄN</t>
        </is>
      </c>
      <c r="E293" t="inlineStr">
        <is>
          <t>HÄRJEDALEN</t>
        </is>
      </c>
      <c r="F293" t="inlineStr">
        <is>
          <t>Holmen skog AB</t>
        </is>
      </c>
      <c r="G293" t="n">
        <v>3.9</v>
      </c>
      <c r="H293" t="n">
        <v>0</v>
      </c>
      <c r="I293" t="n">
        <v>0</v>
      </c>
      <c r="J293" t="n">
        <v>0</v>
      </c>
      <c r="K293" t="n">
        <v>0</v>
      </c>
      <c r="L293" t="n">
        <v>0</v>
      </c>
      <c r="M293" t="n">
        <v>0</v>
      </c>
      <c r="N293" t="n">
        <v>0</v>
      </c>
      <c r="O293" t="n">
        <v>0</v>
      </c>
      <c r="P293" t="n">
        <v>0</v>
      </c>
      <c r="Q293" t="n">
        <v>0</v>
      </c>
      <c r="R293" s="2" t="inlineStr"/>
    </row>
    <row r="294" ht="15" customHeight="1">
      <c r="A294" t="inlineStr">
        <is>
          <t>A 45781-2019</t>
        </is>
      </c>
      <c r="B294" s="1" t="n">
        <v>43717</v>
      </c>
      <c r="C294" s="1" t="n">
        <v>45337</v>
      </c>
      <c r="D294" t="inlineStr">
        <is>
          <t>JÄMTLANDS LÄN</t>
        </is>
      </c>
      <c r="E294" t="inlineStr">
        <is>
          <t>HÄRJEDALEN</t>
        </is>
      </c>
      <c r="F294" t="inlineStr">
        <is>
          <t>Holmen skog AB</t>
        </is>
      </c>
      <c r="G294" t="n">
        <v>13.8</v>
      </c>
      <c r="H294" t="n">
        <v>0</v>
      </c>
      <c r="I294" t="n">
        <v>0</v>
      </c>
      <c r="J294" t="n">
        <v>0</v>
      </c>
      <c r="K294" t="n">
        <v>0</v>
      </c>
      <c r="L294" t="n">
        <v>0</v>
      </c>
      <c r="M294" t="n">
        <v>0</v>
      </c>
      <c r="N294" t="n">
        <v>0</v>
      </c>
      <c r="O294" t="n">
        <v>0</v>
      </c>
      <c r="P294" t="n">
        <v>0</v>
      </c>
      <c r="Q294" t="n">
        <v>0</v>
      </c>
      <c r="R294" s="2" t="inlineStr"/>
    </row>
    <row r="295" ht="15" customHeight="1">
      <c r="A295" t="inlineStr">
        <is>
          <t>A 46156-2019</t>
        </is>
      </c>
      <c r="B295" s="1" t="n">
        <v>43718</v>
      </c>
      <c r="C295" s="1" t="n">
        <v>45337</v>
      </c>
      <c r="D295" t="inlineStr">
        <is>
          <t>JÄMTLANDS LÄN</t>
        </is>
      </c>
      <c r="E295" t="inlineStr">
        <is>
          <t>HÄRJEDALEN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46133-2019</t>
        </is>
      </c>
      <c r="B296" s="1" t="n">
        <v>43718</v>
      </c>
      <c r="C296" s="1" t="n">
        <v>45337</v>
      </c>
      <c r="D296" t="inlineStr">
        <is>
          <t>JÄMTLANDS LÄN</t>
        </is>
      </c>
      <c r="E296" t="inlineStr">
        <is>
          <t>HÄRJEDALEN</t>
        </is>
      </c>
      <c r="G296" t="n">
        <v>17.6</v>
      </c>
      <c r="H296" t="n">
        <v>0</v>
      </c>
      <c r="I296" t="n">
        <v>0</v>
      </c>
      <c r="J296" t="n">
        <v>0</v>
      </c>
      <c r="K296" t="n">
        <v>0</v>
      </c>
      <c r="L296" t="n">
        <v>0</v>
      </c>
      <c r="M296" t="n">
        <v>0</v>
      </c>
      <c r="N296" t="n">
        <v>0</v>
      </c>
      <c r="O296" t="n">
        <v>0</v>
      </c>
      <c r="P296" t="n">
        <v>0</v>
      </c>
      <c r="Q296" t="n">
        <v>0</v>
      </c>
      <c r="R296" s="2" t="inlineStr"/>
    </row>
    <row r="297" ht="15" customHeight="1">
      <c r="A297" t="inlineStr">
        <is>
          <t>A 46163-2019</t>
        </is>
      </c>
      <c r="B297" s="1" t="n">
        <v>43718</v>
      </c>
      <c r="C297" s="1" t="n">
        <v>45337</v>
      </c>
      <c r="D297" t="inlineStr">
        <is>
          <t>JÄMTLANDS LÄN</t>
        </is>
      </c>
      <c r="E297" t="inlineStr">
        <is>
          <t>HÄRJEDALEN</t>
        </is>
      </c>
      <c r="G297" t="n">
        <v>28.9</v>
      </c>
      <c r="H297" t="n">
        <v>0</v>
      </c>
      <c r="I297" t="n">
        <v>0</v>
      </c>
      <c r="J297" t="n">
        <v>0</v>
      </c>
      <c r="K297" t="n">
        <v>0</v>
      </c>
      <c r="L297" t="n">
        <v>0</v>
      </c>
      <c r="M297" t="n">
        <v>0</v>
      </c>
      <c r="N297" t="n">
        <v>0</v>
      </c>
      <c r="O297" t="n">
        <v>0</v>
      </c>
      <c r="P297" t="n">
        <v>0</v>
      </c>
      <c r="Q297" t="n">
        <v>0</v>
      </c>
      <c r="R297" s="2" t="inlineStr"/>
    </row>
    <row r="298" ht="15" customHeight="1">
      <c r="A298" t="inlineStr">
        <is>
          <t>A 47004-2019</t>
        </is>
      </c>
      <c r="B298" s="1" t="n">
        <v>43720</v>
      </c>
      <c r="C298" s="1" t="n">
        <v>45337</v>
      </c>
      <c r="D298" t="inlineStr">
        <is>
          <t>JÄMTLANDS LÄN</t>
        </is>
      </c>
      <c r="E298" t="inlineStr">
        <is>
          <t>HÄRJEDALEN</t>
        </is>
      </c>
      <c r="F298" t="inlineStr">
        <is>
          <t>Bergvik skog väst AB</t>
        </is>
      </c>
      <c r="G298" t="n">
        <v>13.7</v>
      </c>
      <c r="H298" t="n">
        <v>0</v>
      </c>
      <c r="I298" t="n">
        <v>0</v>
      </c>
      <c r="J298" t="n">
        <v>0</v>
      </c>
      <c r="K298" t="n">
        <v>0</v>
      </c>
      <c r="L298" t="n">
        <v>0</v>
      </c>
      <c r="M298" t="n">
        <v>0</v>
      </c>
      <c r="N298" t="n">
        <v>0</v>
      </c>
      <c r="O298" t="n">
        <v>0</v>
      </c>
      <c r="P298" t="n">
        <v>0</v>
      </c>
      <c r="Q298" t="n">
        <v>0</v>
      </c>
      <c r="R298" s="2" t="inlineStr"/>
    </row>
    <row r="299" ht="15" customHeight="1">
      <c r="A299" t="inlineStr">
        <is>
          <t>A 49328-2019</t>
        </is>
      </c>
      <c r="B299" s="1" t="n">
        <v>43731</v>
      </c>
      <c r="C299" s="1" t="n">
        <v>45337</v>
      </c>
      <c r="D299" t="inlineStr">
        <is>
          <t>JÄMTLANDS LÄN</t>
        </is>
      </c>
      <c r="E299" t="inlineStr">
        <is>
          <t>HÄRJEDALEN</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49336-2019</t>
        </is>
      </c>
      <c r="B300" s="1" t="n">
        <v>43731</v>
      </c>
      <c r="C300" s="1" t="n">
        <v>45337</v>
      </c>
      <c r="D300" t="inlineStr">
        <is>
          <t>JÄMTLANDS LÄN</t>
        </is>
      </c>
      <c r="E300" t="inlineStr">
        <is>
          <t>HÄRJEDALEN</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50310-2019</t>
        </is>
      </c>
      <c r="B301" s="1" t="n">
        <v>43735</v>
      </c>
      <c r="C301" s="1" t="n">
        <v>45337</v>
      </c>
      <c r="D301" t="inlineStr">
        <is>
          <t>JÄMTLANDS LÄN</t>
        </is>
      </c>
      <c r="E301" t="inlineStr">
        <is>
          <t>HÄRJEDALEN</t>
        </is>
      </c>
      <c r="G301" t="n">
        <v>9.1</v>
      </c>
      <c r="H301" t="n">
        <v>0</v>
      </c>
      <c r="I301" t="n">
        <v>0</v>
      </c>
      <c r="J301" t="n">
        <v>0</v>
      </c>
      <c r="K301" t="n">
        <v>0</v>
      </c>
      <c r="L301" t="n">
        <v>0</v>
      </c>
      <c r="M301" t="n">
        <v>0</v>
      </c>
      <c r="N301" t="n">
        <v>0</v>
      </c>
      <c r="O301" t="n">
        <v>0</v>
      </c>
      <c r="P301" t="n">
        <v>0</v>
      </c>
      <c r="Q301" t="n">
        <v>0</v>
      </c>
      <c r="R301" s="2" t="inlineStr"/>
    </row>
    <row r="302" ht="15" customHeight="1">
      <c r="A302" t="inlineStr">
        <is>
          <t>A 50411-2019</t>
        </is>
      </c>
      <c r="B302" s="1" t="n">
        <v>43735</v>
      </c>
      <c r="C302" s="1" t="n">
        <v>45337</v>
      </c>
      <c r="D302" t="inlineStr">
        <is>
          <t>JÄMTLANDS LÄN</t>
        </is>
      </c>
      <c r="E302" t="inlineStr">
        <is>
          <t>HÄRJEDALEN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50519-2019</t>
        </is>
      </c>
      <c r="B303" s="1" t="n">
        <v>43735</v>
      </c>
      <c r="C303" s="1" t="n">
        <v>45337</v>
      </c>
      <c r="D303" t="inlineStr">
        <is>
          <t>JÄMTLANDS LÄN</t>
        </is>
      </c>
      <c r="E303" t="inlineStr">
        <is>
          <t>HÄRJEDALEN</t>
        </is>
      </c>
      <c r="G303" t="n">
        <v>4.2</v>
      </c>
      <c r="H303" t="n">
        <v>0</v>
      </c>
      <c r="I303" t="n">
        <v>0</v>
      </c>
      <c r="J303" t="n">
        <v>0</v>
      </c>
      <c r="K303" t="n">
        <v>0</v>
      </c>
      <c r="L303" t="n">
        <v>0</v>
      </c>
      <c r="M303" t="n">
        <v>0</v>
      </c>
      <c r="N303" t="n">
        <v>0</v>
      </c>
      <c r="O303" t="n">
        <v>0</v>
      </c>
      <c r="P303" t="n">
        <v>0</v>
      </c>
      <c r="Q303" t="n">
        <v>0</v>
      </c>
      <c r="R303" s="2" t="inlineStr"/>
    </row>
    <row r="304" ht="15" customHeight="1">
      <c r="A304" t="inlineStr">
        <is>
          <t>A 50624-2019</t>
        </is>
      </c>
      <c r="B304" s="1" t="n">
        <v>43736</v>
      </c>
      <c r="C304" s="1" t="n">
        <v>45337</v>
      </c>
      <c r="D304" t="inlineStr">
        <is>
          <t>JÄMTLANDS LÄN</t>
        </is>
      </c>
      <c r="E304" t="inlineStr">
        <is>
          <t>HÄRJEDALEN</t>
        </is>
      </c>
      <c r="G304" t="n">
        <v>2.4</v>
      </c>
      <c r="H304" t="n">
        <v>0</v>
      </c>
      <c r="I304" t="n">
        <v>0</v>
      </c>
      <c r="J304" t="n">
        <v>0</v>
      </c>
      <c r="K304" t="n">
        <v>0</v>
      </c>
      <c r="L304" t="n">
        <v>0</v>
      </c>
      <c r="M304" t="n">
        <v>0</v>
      </c>
      <c r="N304" t="n">
        <v>0</v>
      </c>
      <c r="O304" t="n">
        <v>0</v>
      </c>
      <c r="P304" t="n">
        <v>0</v>
      </c>
      <c r="Q304" t="n">
        <v>0</v>
      </c>
      <c r="R304" s="2" t="inlineStr"/>
    </row>
    <row r="305" ht="15" customHeight="1">
      <c r="A305" t="inlineStr">
        <is>
          <t>A 51108-2019</t>
        </is>
      </c>
      <c r="B305" s="1" t="n">
        <v>43739</v>
      </c>
      <c r="C305" s="1" t="n">
        <v>45337</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51118-2019</t>
        </is>
      </c>
      <c r="B306" s="1" t="n">
        <v>43739</v>
      </c>
      <c r="C306" s="1" t="n">
        <v>45337</v>
      </c>
      <c r="D306" t="inlineStr">
        <is>
          <t>JÄMTLANDS LÄN</t>
        </is>
      </c>
      <c r="E306" t="inlineStr">
        <is>
          <t>HÄRJEDALEN</t>
        </is>
      </c>
      <c r="G306" t="n">
        <v>12.5</v>
      </c>
      <c r="H306" t="n">
        <v>0</v>
      </c>
      <c r="I306" t="n">
        <v>0</v>
      </c>
      <c r="J306" t="n">
        <v>0</v>
      </c>
      <c r="K306" t="n">
        <v>0</v>
      </c>
      <c r="L306" t="n">
        <v>0</v>
      </c>
      <c r="M306" t="n">
        <v>0</v>
      </c>
      <c r="N306" t="n">
        <v>0</v>
      </c>
      <c r="O306" t="n">
        <v>0</v>
      </c>
      <c r="P306" t="n">
        <v>0</v>
      </c>
      <c r="Q306" t="n">
        <v>0</v>
      </c>
      <c r="R306" s="2" t="inlineStr"/>
    </row>
    <row r="307" ht="15" customHeight="1">
      <c r="A307" t="inlineStr">
        <is>
          <t>A 51123-2019</t>
        </is>
      </c>
      <c r="B307" s="1" t="n">
        <v>43739</v>
      </c>
      <c r="C307" s="1" t="n">
        <v>45337</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51105-2019</t>
        </is>
      </c>
      <c r="B308" s="1" t="n">
        <v>43739</v>
      </c>
      <c r="C308" s="1" t="n">
        <v>45337</v>
      </c>
      <c r="D308" t="inlineStr">
        <is>
          <t>JÄMTLANDS LÄN</t>
        </is>
      </c>
      <c r="E308" t="inlineStr">
        <is>
          <t>HÄRJEDALEN</t>
        </is>
      </c>
      <c r="G308" t="n">
        <v>2</v>
      </c>
      <c r="H308" t="n">
        <v>0</v>
      </c>
      <c r="I308" t="n">
        <v>0</v>
      </c>
      <c r="J308" t="n">
        <v>0</v>
      </c>
      <c r="K308" t="n">
        <v>0</v>
      </c>
      <c r="L308" t="n">
        <v>0</v>
      </c>
      <c r="M308" t="n">
        <v>0</v>
      </c>
      <c r="N308" t="n">
        <v>0</v>
      </c>
      <c r="O308" t="n">
        <v>0</v>
      </c>
      <c r="P308" t="n">
        <v>0</v>
      </c>
      <c r="Q308" t="n">
        <v>0</v>
      </c>
      <c r="R308" s="2" t="inlineStr"/>
    </row>
    <row r="309" ht="15" customHeight="1">
      <c r="A309" t="inlineStr">
        <is>
          <t>A 51111-2019</t>
        </is>
      </c>
      <c r="B309" s="1" t="n">
        <v>43739</v>
      </c>
      <c r="C309" s="1" t="n">
        <v>45337</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52304-2019</t>
        </is>
      </c>
      <c r="B310" s="1" t="n">
        <v>43745</v>
      </c>
      <c r="C310" s="1" t="n">
        <v>45337</v>
      </c>
      <c r="D310" t="inlineStr">
        <is>
          <t>JÄMTLANDS LÄN</t>
        </is>
      </c>
      <c r="E310" t="inlineStr">
        <is>
          <t>HÄRJEDALEN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52709-2019</t>
        </is>
      </c>
      <c r="B311" s="1" t="n">
        <v>43746</v>
      </c>
      <c r="C311" s="1" t="n">
        <v>45337</v>
      </c>
      <c r="D311" t="inlineStr">
        <is>
          <t>JÄMTLANDS LÄN</t>
        </is>
      </c>
      <c r="E311" t="inlineStr">
        <is>
          <t>HÄRJEDALEN</t>
        </is>
      </c>
      <c r="G311" t="n">
        <v>10.6</v>
      </c>
      <c r="H311" t="n">
        <v>0</v>
      </c>
      <c r="I311" t="n">
        <v>0</v>
      </c>
      <c r="J311" t="n">
        <v>0</v>
      </c>
      <c r="K311" t="n">
        <v>0</v>
      </c>
      <c r="L311" t="n">
        <v>0</v>
      </c>
      <c r="M311" t="n">
        <v>0</v>
      </c>
      <c r="N311" t="n">
        <v>0</v>
      </c>
      <c r="O311" t="n">
        <v>0</v>
      </c>
      <c r="P311" t="n">
        <v>0</v>
      </c>
      <c r="Q311" t="n">
        <v>0</v>
      </c>
      <c r="R311" s="2" t="inlineStr"/>
    </row>
    <row r="312" ht="15" customHeight="1">
      <c r="A312" t="inlineStr">
        <is>
          <t>A 52992-2019</t>
        </is>
      </c>
      <c r="B312" s="1" t="n">
        <v>43747</v>
      </c>
      <c r="C312" s="1" t="n">
        <v>45337</v>
      </c>
      <c r="D312" t="inlineStr">
        <is>
          <t>JÄMTLANDS LÄN</t>
        </is>
      </c>
      <c r="E312" t="inlineStr">
        <is>
          <t>HÄRJEDALEN</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52991-2019</t>
        </is>
      </c>
      <c r="B313" s="1" t="n">
        <v>43747</v>
      </c>
      <c r="C313" s="1" t="n">
        <v>45337</v>
      </c>
      <c r="D313" t="inlineStr">
        <is>
          <t>JÄMTLANDS LÄN</t>
        </is>
      </c>
      <c r="E313" t="inlineStr">
        <is>
          <t>HÄRJEDALEN</t>
        </is>
      </c>
      <c r="F313" t="inlineStr">
        <is>
          <t>Sveaskog</t>
        </is>
      </c>
      <c r="G313" t="n">
        <v>13.6</v>
      </c>
      <c r="H313" t="n">
        <v>0</v>
      </c>
      <c r="I313" t="n">
        <v>0</v>
      </c>
      <c r="J313" t="n">
        <v>0</v>
      </c>
      <c r="K313" t="n">
        <v>0</v>
      </c>
      <c r="L313" t="n">
        <v>0</v>
      </c>
      <c r="M313" t="n">
        <v>0</v>
      </c>
      <c r="N313" t="n">
        <v>0</v>
      </c>
      <c r="O313" t="n">
        <v>0</v>
      </c>
      <c r="P313" t="n">
        <v>0</v>
      </c>
      <c r="Q313" t="n">
        <v>0</v>
      </c>
      <c r="R313" s="2" t="inlineStr"/>
    </row>
    <row r="314" ht="15" customHeight="1">
      <c r="A314" t="inlineStr">
        <is>
          <t>A 53418-2019</t>
        </is>
      </c>
      <c r="B314" s="1" t="n">
        <v>43748</v>
      </c>
      <c r="C314" s="1" t="n">
        <v>45337</v>
      </c>
      <c r="D314" t="inlineStr">
        <is>
          <t>JÄMTLANDS LÄN</t>
        </is>
      </c>
      <c r="E314" t="inlineStr">
        <is>
          <t>HÄRJEDALEN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53952-2019</t>
        </is>
      </c>
      <c r="B315" s="1" t="n">
        <v>43752</v>
      </c>
      <c r="C315" s="1" t="n">
        <v>45337</v>
      </c>
      <c r="D315" t="inlineStr">
        <is>
          <t>JÄMTLANDS LÄN</t>
        </is>
      </c>
      <c r="E315" t="inlineStr">
        <is>
          <t>HÄRJEDALEN</t>
        </is>
      </c>
      <c r="G315" t="n">
        <v>8.6</v>
      </c>
      <c r="H315" t="n">
        <v>0</v>
      </c>
      <c r="I315" t="n">
        <v>0</v>
      </c>
      <c r="J315" t="n">
        <v>0</v>
      </c>
      <c r="K315" t="n">
        <v>0</v>
      </c>
      <c r="L315" t="n">
        <v>0</v>
      </c>
      <c r="M315" t="n">
        <v>0</v>
      </c>
      <c r="N315" t="n">
        <v>0</v>
      </c>
      <c r="O315" t="n">
        <v>0</v>
      </c>
      <c r="P315" t="n">
        <v>0</v>
      </c>
      <c r="Q315" t="n">
        <v>0</v>
      </c>
      <c r="R315" s="2" t="inlineStr"/>
    </row>
    <row r="316" ht="15" customHeight="1">
      <c r="A316" t="inlineStr">
        <is>
          <t>A 53962-2019</t>
        </is>
      </c>
      <c r="B316" s="1" t="n">
        <v>43752</v>
      </c>
      <c r="C316" s="1" t="n">
        <v>45337</v>
      </c>
      <c r="D316" t="inlineStr">
        <is>
          <t>JÄMTLANDS LÄN</t>
        </is>
      </c>
      <c r="E316" t="inlineStr">
        <is>
          <t>HÄRJEDALEN</t>
        </is>
      </c>
      <c r="G316" t="n">
        <v>19.4</v>
      </c>
      <c r="H316" t="n">
        <v>0</v>
      </c>
      <c r="I316" t="n">
        <v>0</v>
      </c>
      <c r="J316" t="n">
        <v>0</v>
      </c>
      <c r="K316" t="n">
        <v>0</v>
      </c>
      <c r="L316" t="n">
        <v>0</v>
      </c>
      <c r="M316" t="n">
        <v>0</v>
      </c>
      <c r="N316" t="n">
        <v>0</v>
      </c>
      <c r="O316" t="n">
        <v>0</v>
      </c>
      <c r="P316" t="n">
        <v>0</v>
      </c>
      <c r="Q316" t="n">
        <v>0</v>
      </c>
      <c r="R316" s="2" t="inlineStr"/>
    </row>
    <row r="317" ht="15" customHeight="1">
      <c r="A317" t="inlineStr">
        <is>
          <t>A 54905-2019</t>
        </is>
      </c>
      <c r="B317" s="1" t="n">
        <v>43755</v>
      </c>
      <c r="C317" s="1" t="n">
        <v>45337</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55197-2019</t>
        </is>
      </c>
      <c r="B318" s="1" t="n">
        <v>43756</v>
      </c>
      <c r="C318" s="1" t="n">
        <v>45337</v>
      </c>
      <c r="D318" t="inlineStr">
        <is>
          <t>JÄMTLANDS LÄN</t>
        </is>
      </c>
      <c r="E318" t="inlineStr">
        <is>
          <t>HÄRJEDALEN</t>
        </is>
      </c>
      <c r="F318" t="inlineStr">
        <is>
          <t>Sveaskog</t>
        </is>
      </c>
      <c r="G318" t="n">
        <v>9</v>
      </c>
      <c r="H318" t="n">
        <v>0</v>
      </c>
      <c r="I318" t="n">
        <v>0</v>
      </c>
      <c r="J318" t="n">
        <v>0</v>
      </c>
      <c r="K318" t="n">
        <v>0</v>
      </c>
      <c r="L318" t="n">
        <v>0</v>
      </c>
      <c r="M318" t="n">
        <v>0</v>
      </c>
      <c r="N318" t="n">
        <v>0</v>
      </c>
      <c r="O318" t="n">
        <v>0</v>
      </c>
      <c r="P318" t="n">
        <v>0</v>
      </c>
      <c r="Q318" t="n">
        <v>0</v>
      </c>
      <c r="R318" s="2" t="inlineStr"/>
    </row>
    <row r="319" ht="15" customHeight="1">
      <c r="A319" t="inlineStr">
        <is>
          <t>A 55241-2019</t>
        </is>
      </c>
      <c r="B319" s="1" t="n">
        <v>43756</v>
      </c>
      <c r="C319" s="1" t="n">
        <v>45337</v>
      </c>
      <c r="D319" t="inlineStr">
        <is>
          <t>JÄMTLANDS LÄN</t>
        </is>
      </c>
      <c r="E319" t="inlineStr">
        <is>
          <t>HÄRJEDALEN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55193-2019</t>
        </is>
      </c>
      <c r="B320" s="1" t="n">
        <v>43756</v>
      </c>
      <c r="C320" s="1" t="n">
        <v>45337</v>
      </c>
      <c r="D320" t="inlineStr">
        <is>
          <t>JÄMTLANDS LÄN</t>
        </is>
      </c>
      <c r="E320" t="inlineStr">
        <is>
          <t>HÄRJEDALEN</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55238-2019</t>
        </is>
      </c>
      <c r="B321" s="1" t="n">
        <v>43756</v>
      </c>
      <c r="C321" s="1" t="n">
        <v>45337</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55801-2019</t>
        </is>
      </c>
      <c r="B322" s="1" t="n">
        <v>43759</v>
      </c>
      <c r="C322" s="1" t="n">
        <v>45337</v>
      </c>
      <c r="D322" t="inlineStr">
        <is>
          <t>JÄMTLANDS LÄN</t>
        </is>
      </c>
      <c r="E322" t="inlineStr">
        <is>
          <t>HÄRJEDALEN</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55554-2019</t>
        </is>
      </c>
      <c r="B323" s="1" t="n">
        <v>43759</v>
      </c>
      <c r="C323" s="1" t="n">
        <v>45337</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57281-2019</t>
        </is>
      </c>
      <c r="B324" s="1" t="n">
        <v>43759</v>
      </c>
      <c r="C324" s="1" t="n">
        <v>45337</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55578-2019</t>
        </is>
      </c>
      <c r="B325" s="1" t="n">
        <v>43760</v>
      </c>
      <c r="C325" s="1" t="n">
        <v>45337</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55607-2019</t>
        </is>
      </c>
      <c r="B326" s="1" t="n">
        <v>43760</v>
      </c>
      <c r="C326" s="1" t="n">
        <v>45337</v>
      </c>
      <c r="D326" t="inlineStr">
        <is>
          <t>JÄMTLANDS LÄN</t>
        </is>
      </c>
      <c r="E326" t="inlineStr">
        <is>
          <t>HÄRJEDALEN</t>
        </is>
      </c>
      <c r="G326" t="n">
        <v>3.7</v>
      </c>
      <c r="H326" t="n">
        <v>0</v>
      </c>
      <c r="I326" t="n">
        <v>0</v>
      </c>
      <c r="J326" t="n">
        <v>0</v>
      </c>
      <c r="K326" t="n">
        <v>0</v>
      </c>
      <c r="L326" t="n">
        <v>0</v>
      </c>
      <c r="M326" t="n">
        <v>0</v>
      </c>
      <c r="N326" t="n">
        <v>0</v>
      </c>
      <c r="O326" t="n">
        <v>0</v>
      </c>
      <c r="P326" t="n">
        <v>0</v>
      </c>
      <c r="Q326" t="n">
        <v>0</v>
      </c>
      <c r="R326" s="2" t="inlineStr"/>
    </row>
    <row r="327" ht="15" customHeight="1">
      <c r="A327" t="inlineStr">
        <is>
          <t>A 56217-2019</t>
        </is>
      </c>
      <c r="B327" s="1" t="n">
        <v>43762</v>
      </c>
      <c r="C327" s="1" t="n">
        <v>45337</v>
      </c>
      <c r="D327" t="inlineStr">
        <is>
          <t>JÄMTLANDS LÄN</t>
        </is>
      </c>
      <c r="E327" t="inlineStr">
        <is>
          <t>HÄRJEDALEN</t>
        </is>
      </c>
      <c r="G327" t="n">
        <v>43.2</v>
      </c>
      <c r="H327" t="n">
        <v>0</v>
      </c>
      <c r="I327" t="n">
        <v>0</v>
      </c>
      <c r="J327" t="n">
        <v>0</v>
      </c>
      <c r="K327" t="n">
        <v>0</v>
      </c>
      <c r="L327" t="n">
        <v>0</v>
      </c>
      <c r="M327" t="n">
        <v>0</v>
      </c>
      <c r="N327" t="n">
        <v>0</v>
      </c>
      <c r="O327" t="n">
        <v>0</v>
      </c>
      <c r="P327" t="n">
        <v>0</v>
      </c>
      <c r="Q327" t="n">
        <v>0</v>
      </c>
      <c r="R327" s="2" t="inlineStr"/>
    </row>
    <row r="328" ht="15" customHeight="1">
      <c r="A328" t="inlineStr">
        <is>
          <t>A 58175-2019</t>
        </is>
      </c>
      <c r="B328" s="1" t="n">
        <v>43769</v>
      </c>
      <c r="C328" s="1" t="n">
        <v>45337</v>
      </c>
      <c r="D328" t="inlineStr">
        <is>
          <t>JÄMTLANDS LÄN</t>
        </is>
      </c>
      <c r="E328" t="inlineStr">
        <is>
          <t>HÄRJEDALEN</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59347-2019</t>
        </is>
      </c>
      <c r="B329" s="1" t="n">
        <v>43770</v>
      </c>
      <c r="C329" s="1" t="n">
        <v>45337</v>
      </c>
      <c r="D329" t="inlineStr">
        <is>
          <t>JÄMTLANDS LÄN</t>
        </is>
      </c>
      <c r="E329" t="inlineStr">
        <is>
          <t>HÄRJEDALEN</t>
        </is>
      </c>
      <c r="G329" t="n">
        <v>2.3</v>
      </c>
      <c r="H329" t="n">
        <v>0</v>
      </c>
      <c r="I329" t="n">
        <v>0</v>
      </c>
      <c r="J329" t="n">
        <v>0</v>
      </c>
      <c r="K329" t="n">
        <v>0</v>
      </c>
      <c r="L329" t="n">
        <v>0</v>
      </c>
      <c r="M329" t="n">
        <v>0</v>
      </c>
      <c r="N329" t="n">
        <v>0</v>
      </c>
      <c r="O329" t="n">
        <v>0</v>
      </c>
      <c r="P329" t="n">
        <v>0</v>
      </c>
      <c r="Q329" t="n">
        <v>0</v>
      </c>
      <c r="R329" s="2" t="inlineStr"/>
    </row>
    <row r="330" ht="15" customHeight="1">
      <c r="A330" t="inlineStr">
        <is>
          <t>A 58742-2019</t>
        </is>
      </c>
      <c r="B330" s="1" t="n">
        <v>43773</v>
      </c>
      <c r="C330" s="1" t="n">
        <v>45337</v>
      </c>
      <c r="D330" t="inlineStr">
        <is>
          <t>JÄMTLANDS LÄN</t>
        </is>
      </c>
      <c r="E330" t="inlineStr">
        <is>
          <t>HÄRJEDALEN</t>
        </is>
      </c>
      <c r="G330" t="n">
        <v>4</v>
      </c>
      <c r="H330" t="n">
        <v>0</v>
      </c>
      <c r="I330" t="n">
        <v>0</v>
      </c>
      <c r="J330" t="n">
        <v>0</v>
      </c>
      <c r="K330" t="n">
        <v>0</v>
      </c>
      <c r="L330" t="n">
        <v>0</v>
      </c>
      <c r="M330" t="n">
        <v>0</v>
      </c>
      <c r="N330" t="n">
        <v>0</v>
      </c>
      <c r="O330" t="n">
        <v>0</v>
      </c>
      <c r="P330" t="n">
        <v>0</v>
      </c>
      <c r="Q330" t="n">
        <v>0</v>
      </c>
      <c r="R330" s="2" t="inlineStr"/>
    </row>
    <row r="331" ht="15" customHeight="1">
      <c r="A331" t="inlineStr">
        <is>
          <t>A 59984-2019</t>
        </is>
      </c>
      <c r="B331" s="1" t="n">
        <v>43775</v>
      </c>
      <c r="C331" s="1" t="n">
        <v>45337</v>
      </c>
      <c r="D331" t="inlineStr">
        <is>
          <t>JÄMTLANDS LÄN</t>
        </is>
      </c>
      <c r="E331" t="inlineStr">
        <is>
          <t>HÄRJEDALEN</t>
        </is>
      </c>
      <c r="G331" t="n">
        <v>20.4</v>
      </c>
      <c r="H331" t="n">
        <v>0</v>
      </c>
      <c r="I331" t="n">
        <v>0</v>
      </c>
      <c r="J331" t="n">
        <v>0</v>
      </c>
      <c r="K331" t="n">
        <v>0</v>
      </c>
      <c r="L331" t="n">
        <v>0</v>
      </c>
      <c r="M331" t="n">
        <v>0</v>
      </c>
      <c r="N331" t="n">
        <v>0</v>
      </c>
      <c r="O331" t="n">
        <v>0</v>
      </c>
      <c r="P331" t="n">
        <v>0</v>
      </c>
      <c r="Q331" t="n">
        <v>0</v>
      </c>
      <c r="R331" s="2" t="inlineStr"/>
    </row>
    <row r="332" ht="15" customHeight="1">
      <c r="A332" t="inlineStr">
        <is>
          <t>A 59733-2019</t>
        </is>
      </c>
      <c r="B332" s="1" t="n">
        <v>43776</v>
      </c>
      <c r="C332" s="1" t="n">
        <v>45337</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60213-2019</t>
        </is>
      </c>
      <c r="B333" s="1" t="n">
        <v>43780</v>
      </c>
      <c r="C333" s="1" t="n">
        <v>45337</v>
      </c>
      <c r="D333" t="inlineStr">
        <is>
          <t>JÄMTLANDS LÄN</t>
        </is>
      </c>
      <c r="E333" t="inlineStr">
        <is>
          <t>HÄRJEDALEN</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62342-2019</t>
        </is>
      </c>
      <c r="B334" s="1" t="n">
        <v>43782</v>
      </c>
      <c r="C334" s="1" t="n">
        <v>45337</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60919-2019</t>
        </is>
      </c>
      <c r="B335" s="1" t="n">
        <v>43782</v>
      </c>
      <c r="C335" s="1" t="n">
        <v>45337</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62115-2019</t>
        </is>
      </c>
      <c r="B336" s="1" t="n">
        <v>43787</v>
      </c>
      <c r="C336" s="1" t="n">
        <v>45337</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62451-2019</t>
        </is>
      </c>
      <c r="B337" s="1" t="n">
        <v>43788</v>
      </c>
      <c r="C337" s="1" t="n">
        <v>45337</v>
      </c>
      <c r="D337" t="inlineStr">
        <is>
          <t>JÄMTLANDS LÄN</t>
        </is>
      </c>
      <c r="E337" t="inlineStr">
        <is>
          <t>HÄRJEDALEN</t>
        </is>
      </c>
      <c r="F337" t="inlineStr">
        <is>
          <t>Bergvik skog väst AB</t>
        </is>
      </c>
      <c r="G337" t="n">
        <v>22.2</v>
      </c>
      <c r="H337" t="n">
        <v>0</v>
      </c>
      <c r="I337" t="n">
        <v>0</v>
      </c>
      <c r="J337" t="n">
        <v>0</v>
      </c>
      <c r="K337" t="n">
        <v>0</v>
      </c>
      <c r="L337" t="n">
        <v>0</v>
      </c>
      <c r="M337" t="n">
        <v>0</v>
      </c>
      <c r="N337" t="n">
        <v>0</v>
      </c>
      <c r="O337" t="n">
        <v>0</v>
      </c>
      <c r="P337" t="n">
        <v>0</v>
      </c>
      <c r="Q337" t="n">
        <v>0</v>
      </c>
      <c r="R337" s="2" t="inlineStr"/>
    </row>
    <row r="338" ht="15" customHeight="1">
      <c r="A338" t="inlineStr">
        <is>
          <t>A 62971-2019</t>
        </is>
      </c>
      <c r="B338" s="1" t="n">
        <v>43790</v>
      </c>
      <c r="C338" s="1" t="n">
        <v>45337</v>
      </c>
      <c r="D338" t="inlineStr">
        <is>
          <t>JÄMTLANDS LÄN</t>
        </is>
      </c>
      <c r="E338" t="inlineStr">
        <is>
          <t>HÄRJEDALEN</t>
        </is>
      </c>
      <c r="F338" t="inlineStr">
        <is>
          <t>Bergvik skog väst AB</t>
        </is>
      </c>
      <c r="G338" t="n">
        <v>18.2</v>
      </c>
      <c r="H338" t="n">
        <v>0</v>
      </c>
      <c r="I338" t="n">
        <v>0</v>
      </c>
      <c r="J338" t="n">
        <v>0</v>
      </c>
      <c r="K338" t="n">
        <v>0</v>
      </c>
      <c r="L338" t="n">
        <v>0</v>
      </c>
      <c r="M338" t="n">
        <v>0</v>
      </c>
      <c r="N338" t="n">
        <v>0</v>
      </c>
      <c r="O338" t="n">
        <v>0</v>
      </c>
      <c r="P338" t="n">
        <v>0</v>
      </c>
      <c r="Q338" t="n">
        <v>0</v>
      </c>
      <c r="R338" s="2" t="inlineStr"/>
    </row>
    <row r="339" ht="15" customHeight="1">
      <c r="A339" t="inlineStr">
        <is>
          <t>A 64417-2019</t>
        </is>
      </c>
      <c r="B339" s="1" t="n">
        <v>43794</v>
      </c>
      <c r="C339" s="1" t="n">
        <v>45337</v>
      </c>
      <c r="D339" t="inlineStr">
        <is>
          <t>JÄMTLANDS LÄN</t>
        </is>
      </c>
      <c r="E339" t="inlineStr">
        <is>
          <t>HÄRJEDALEN</t>
        </is>
      </c>
      <c r="G339" t="n">
        <v>6.9</v>
      </c>
      <c r="H339" t="n">
        <v>0</v>
      </c>
      <c r="I339" t="n">
        <v>0</v>
      </c>
      <c r="J339" t="n">
        <v>0</v>
      </c>
      <c r="K339" t="n">
        <v>0</v>
      </c>
      <c r="L339" t="n">
        <v>0</v>
      </c>
      <c r="M339" t="n">
        <v>0</v>
      </c>
      <c r="N339" t="n">
        <v>0</v>
      </c>
      <c r="O339" t="n">
        <v>0</v>
      </c>
      <c r="P339" t="n">
        <v>0</v>
      </c>
      <c r="Q339" t="n">
        <v>0</v>
      </c>
      <c r="R339" s="2" t="inlineStr"/>
    </row>
    <row r="340" ht="15" customHeight="1">
      <c r="A340" t="inlineStr">
        <is>
          <t>A 64229-2019</t>
        </is>
      </c>
      <c r="B340" s="1" t="n">
        <v>43797</v>
      </c>
      <c r="C340" s="1" t="n">
        <v>45337</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64689-2019</t>
        </is>
      </c>
      <c r="B341" s="1" t="n">
        <v>43798</v>
      </c>
      <c r="C341" s="1" t="n">
        <v>45337</v>
      </c>
      <c r="D341" t="inlineStr">
        <is>
          <t>JÄMTLANDS LÄN</t>
        </is>
      </c>
      <c r="E341" t="inlineStr">
        <is>
          <t>HÄRJEDALEN</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65759-2019</t>
        </is>
      </c>
      <c r="B342" s="1" t="n">
        <v>43804</v>
      </c>
      <c r="C342" s="1" t="n">
        <v>45337</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66255-2019</t>
        </is>
      </c>
      <c r="B343" s="1" t="n">
        <v>43808</v>
      </c>
      <c r="C343" s="1" t="n">
        <v>45337</v>
      </c>
      <c r="D343" t="inlineStr">
        <is>
          <t>JÄMTLANDS LÄN</t>
        </is>
      </c>
      <c r="E343" t="inlineStr">
        <is>
          <t>HÄRJEDALEN</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66735-2019</t>
        </is>
      </c>
      <c r="B344" s="1" t="n">
        <v>43810</v>
      </c>
      <c r="C344" s="1" t="n">
        <v>45337</v>
      </c>
      <c r="D344" t="inlineStr">
        <is>
          <t>JÄMTLANDS LÄN</t>
        </is>
      </c>
      <c r="E344" t="inlineStr">
        <is>
          <t>HÄRJEDALEN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67619-2019</t>
        </is>
      </c>
      <c r="B345" s="1" t="n">
        <v>43815</v>
      </c>
      <c r="C345" s="1" t="n">
        <v>45337</v>
      </c>
      <c r="D345" t="inlineStr">
        <is>
          <t>JÄMTLANDS LÄN</t>
        </is>
      </c>
      <c r="E345" t="inlineStr">
        <is>
          <t>HÄRJEDALEN</t>
        </is>
      </c>
      <c r="F345" t="inlineStr">
        <is>
          <t>Holmen skog AB</t>
        </is>
      </c>
      <c r="G345" t="n">
        <v>6.4</v>
      </c>
      <c r="H345" t="n">
        <v>0</v>
      </c>
      <c r="I345" t="n">
        <v>0</v>
      </c>
      <c r="J345" t="n">
        <v>0</v>
      </c>
      <c r="K345" t="n">
        <v>0</v>
      </c>
      <c r="L345" t="n">
        <v>0</v>
      </c>
      <c r="M345" t="n">
        <v>0</v>
      </c>
      <c r="N345" t="n">
        <v>0</v>
      </c>
      <c r="O345" t="n">
        <v>0</v>
      </c>
      <c r="P345" t="n">
        <v>0</v>
      </c>
      <c r="Q345" t="n">
        <v>0</v>
      </c>
      <c r="R345" s="2" t="inlineStr"/>
    </row>
    <row r="346" ht="15" customHeight="1">
      <c r="A346" t="inlineStr">
        <is>
          <t>A 67693-2019</t>
        </is>
      </c>
      <c r="B346" s="1" t="n">
        <v>43815</v>
      </c>
      <c r="C346" s="1" t="n">
        <v>45337</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67500-2019</t>
        </is>
      </c>
      <c r="B347" s="1" t="n">
        <v>43815</v>
      </c>
      <c r="C347" s="1" t="n">
        <v>45337</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67695-2019</t>
        </is>
      </c>
      <c r="B348" s="1" t="n">
        <v>43815</v>
      </c>
      <c r="C348" s="1" t="n">
        <v>45337</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67757-2019</t>
        </is>
      </c>
      <c r="B349" s="1" t="n">
        <v>43815</v>
      </c>
      <c r="C349" s="1" t="n">
        <v>45337</v>
      </c>
      <c r="D349" t="inlineStr">
        <is>
          <t>JÄMTLANDS LÄN</t>
        </is>
      </c>
      <c r="E349" t="inlineStr">
        <is>
          <t>HÄRJEDALEN</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67688-2019</t>
        </is>
      </c>
      <c r="B350" s="1" t="n">
        <v>43815</v>
      </c>
      <c r="C350" s="1" t="n">
        <v>45337</v>
      </c>
      <c r="D350" t="inlineStr">
        <is>
          <t>JÄMTLANDS LÄN</t>
        </is>
      </c>
      <c r="E350" t="inlineStr">
        <is>
          <t>HÄRJEDALEN</t>
        </is>
      </c>
      <c r="F350" t="inlineStr">
        <is>
          <t>Holmen skog AB</t>
        </is>
      </c>
      <c r="G350" t="n">
        <v>4.2</v>
      </c>
      <c r="H350" t="n">
        <v>0</v>
      </c>
      <c r="I350" t="n">
        <v>0</v>
      </c>
      <c r="J350" t="n">
        <v>0</v>
      </c>
      <c r="K350" t="n">
        <v>0</v>
      </c>
      <c r="L350" t="n">
        <v>0</v>
      </c>
      <c r="M350" t="n">
        <v>0</v>
      </c>
      <c r="N350" t="n">
        <v>0</v>
      </c>
      <c r="O350" t="n">
        <v>0</v>
      </c>
      <c r="P350" t="n">
        <v>0</v>
      </c>
      <c r="Q350" t="n">
        <v>0</v>
      </c>
      <c r="R350" s="2" t="inlineStr"/>
    </row>
    <row r="351" ht="15" customHeight="1">
      <c r="A351" t="inlineStr">
        <is>
          <t>A 67738-2019</t>
        </is>
      </c>
      <c r="B351" s="1" t="n">
        <v>43815</v>
      </c>
      <c r="C351" s="1" t="n">
        <v>45337</v>
      </c>
      <c r="D351" t="inlineStr">
        <is>
          <t>JÄMTLANDS LÄN</t>
        </is>
      </c>
      <c r="E351" t="inlineStr">
        <is>
          <t>HÄRJEDALEN</t>
        </is>
      </c>
      <c r="F351" t="inlineStr">
        <is>
          <t>Holmen skog AB</t>
        </is>
      </c>
      <c r="G351" t="n">
        <v>15.9</v>
      </c>
      <c r="H351" t="n">
        <v>0</v>
      </c>
      <c r="I351" t="n">
        <v>0</v>
      </c>
      <c r="J351" t="n">
        <v>0</v>
      </c>
      <c r="K351" t="n">
        <v>0</v>
      </c>
      <c r="L351" t="n">
        <v>0</v>
      </c>
      <c r="M351" t="n">
        <v>0</v>
      </c>
      <c r="N351" t="n">
        <v>0</v>
      </c>
      <c r="O351" t="n">
        <v>0</v>
      </c>
      <c r="P351" t="n">
        <v>0</v>
      </c>
      <c r="Q351" t="n">
        <v>0</v>
      </c>
      <c r="R351" s="2" t="inlineStr"/>
    </row>
    <row r="352" ht="15" customHeight="1">
      <c r="A352" t="inlineStr">
        <is>
          <t>A 67506-2019</t>
        </is>
      </c>
      <c r="B352" s="1" t="n">
        <v>43815</v>
      </c>
      <c r="C352" s="1" t="n">
        <v>45337</v>
      </c>
      <c r="D352" t="inlineStr">
        <is>
          <t>JÄMTLANDS LÄN</t>
        </is>
      </c>
      <c r="E352" t="inlineStr">
        <is>
          <t>HÄRJEDALEN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67692-2019</t>
        </is>
      </c>
      <c r="B353" s="1" t="n">
        <v>43815</v>
      </c>
      <c r="C353" s="1" t="n">
        <v>45337</v>
      </c>
      <c r="D353" t="inlineStr">
        <is>
          <t>JÄMTLANDS LÄN</t>
        </is>
      </c>
      <c r="E353" t="inlineStr">
        <is>
          <t>HÄRJEDALEN</t>
        </is>
      </c>
      <c r="F353" t="inlineStr">
        <is>
          <t>Holmen skog AB</t>
        </is>
      </c>
      <c r="G353" t="n">
        <v>12.9</v>
      </c>
      <c r="H353" t="n">
        <v>0</v>
      </c>
      <c r="I353" t="n">
        <v>0</v>
      </c>
      <c r="J353" t="n">
        <v>0</v>
      </c>
      <c r="K353" t="n">
        <v>0</v>
      </c>
      <c r="L353" t="n">
        <v>0</v>
      </c>
      <c r="M353" t="n">
        <v>0</v>
      </c>
      <c r="N353" t="n">
        <v>0</v>
      </c>
      <c r="O353" t="n">
        <v>0</v>
      </c>
      <c r="P353" t="n">
        <v>0</v>
      </c>
      <c r="Q353" t="n">
        <v>0</v>
      </c>
      <c r="R353" s="2" t="inlineStr"/>
    </row>
    <row r="354" ht="15" customHeight="1">
      <c r="A354" t="inlineStr">
        <is>
          <t>A 67733-2019</t>
        </is>
      </c>
      <c r="B354" s="1" t="n">
        <v>43815</v>
      </c>
      <c r="C354" s="1" t="n">
        <v>45337</v>
      </c>
      <c r="D354" t="inlineStr">
        <is>
          <t>JÄMTLANDS LÄN</t>
        </is>
      </c>
      <c r="E354" t="inlineStr">
        <is>
          <t>HÄRJEDALEN</t>
        </is>
      </c>
      <c r="F354" t="inlineStr">
        <is>
          <t>Holmen skog AB</t>
        </is>
      </c>
      <c r="G354" t="n">
        <v>15.5</v>
      </c>
      <c r="H354" t="n">
        <v>0</v>
      </c>
      <c r="I354" t="n">
        <v>0</v>
      </c>
      <c r="J354" t="n">
        <v>0</v>
      </c>
      <c r="K354" t="n">
        <v>0</v>
      </c>
      <c r="L354" t="n">
        <v>0</v>
      </c>
      <c r="M354" t="n">
        <v>0</v>
      </c>
      <c r="N354" t="n">
        <v>0</v>
      </c>
      <c r="O354" t="n">
        <v>0</v>
      </c>
      <c r="P354" t="n">
        <v>0</v>
      </c>
      <c r="Q354" t="n">
        <v>0</v>
      </c>
      <c r="R354" s="2" t="inlineStr"/>
    </row>
    <row r="355" ht="15" customHeight="1">
      <c r="A355" t="inlineStr">
        <is>
          <t>A 67593-2019</t>
        </is>
      </c>
      <c r="B355" s="1" t="n">
        <v>43815</v>
      </c>
      <c r="C355" s="1" t="n">
        <v>45337</v>
      </c>
      <c r="D355" t="inlineStr">
        <is>
          <t>JÄMTLANDS LÄN</t>
        </is>
      </c>
      <c r="E355" t="inlineStr">
        <is>
          <t>HÄRJEDALEN</t>
        </is>
      </c>
      <c r="F355" t="inlineStr">
        <is>
          <t>Holmen skog AB</t>
        </is>
      </c>
      <c r="G355" t="n">
        <v>7.9</v>
      </c>
      <c r="H355" t="n">
        <v>0</v>
      </c>
      <c r="I355" t="n">
        <v>0</v>
      </c>
      <c r="J355" t="n">
        <v>0</v>
      </c>
      <c r="K355" t="n">
        <v>0</v>
      </c>
      <c r="L355" t="n">
        <v>0</v>
      </c>
      <c r="M355" t="n">
        <v>0</v>
      </c>
      <c r="N355" t="n">
        <v>0</v>
      </c>
      <c r="O355" t="n">
        <v>0</v>
      </c>
      <c r="P355" t="n">
        <v>0</v>
      </c>
      <c r="Q355" t="n">
        <v>0</v>
      </c>
      <c r="R355" s="2" t="inlineStr"/>
    </row>
    <row r="356" ht="15" customHeight="1">
      <c r="A356" t="inlineStr">
        <is>
          <t>A 67535-2019</t>
        </is>
      </c>
      <c r="B356" s="1" t="n">
        <v>43815</v>
      </c>
      <c r="C356" s="1" t="n">
        <v>45337</v>
      </c>
      <c r="D356" t="inlineStr">
        <is>
          <t>JÄMTLANDS LÄN</t>
        </is>
      </c>
      <c r="E356" t="inlineStr">
        <is>
          <t>HÄRJEDALEN</t>
        </is>
      </c>
      <c r="F356" t="inlineStr">
        <is>
          <t>Holmen skog AB</t>
        </is>
      </c>
      <c r="G356" t="n">
        <v>34.3</v>
      </c>
      <c r="H356" t="n">
        <v>0</v>
      </c>
      <c r="I356" t="n">
        <v>0</v>
      </c>
      <c r="J356" t="n">
        <v>0</v>
      </c>
      <c r="K356" t="n">
        <v>0</v>
      </c>
      <c r="L356" t="n">
        <v>0</v>
      </c>
      <c r="M356" t="n">
        <v>0</v>
      </c>
      <c r="N356" t="n">
        <v>0</v>
      </c>
      <c r="O356" t="n">
        <v>0</v>
      </c>
      <c r="P356" t="n">
        <v>0</v>
      </c>
      <c r="Q356" t="n">
        <v>0</v>
      </c>
      <c r="R356" s="2" t="inlineStr"/>
    </row>
    <row r="357" ht="15" customHeight="1">
      <c r="A357" t="inlineStr">
        <is>
          <t>A 67972-2019</t>
        </is>
      </c>
      <c r="B357" s="1" t="n">
        <v>43816</v>
      </c>
      <c r="C357" s="1" t="n">
        <v>45337</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642-2020</t>
        </is>
      </c>
      <c r="B358" s="1" t="n">
        <v>43817</v>
      </c>
      <c r="C358" s="1" t="n">
        <v>45337</v>
      </c>
      <c r="D358" t="inlineStr">
        <is>
          <t>JÄMTLANDS LÄN</t>
        </is>
      </c>
      <c r="E358" t="inlineStr">
        <is>
          <t>HÄRJEDALEN</t>
        </is>
      </c>
      <c r="G358" t="n">
        <v>15.5</v>
      </c>
      <c r="H358" t="n">
        <v>0</v>
      </c>
      <c r="I358" t="n">
        <v>0</v>
      </c>
      <c r="J358" t="n">
        <v>0</v>
      </c>
      <c r="K358" t="n">
        <v>0</v>
      </c>
      <c r="L358" t="n">
        <v>0</v>
      </c>
      <c r="M358" t="n">
        <v>0</v>
      </c>
      <c r="N358" t="n">
        <v>0</v>
      </c>
      <c r="O358" t="n">
        <v>0</v>
      </c>
      <c r="P358" t="n">
        <v>0</v>
      </c>
      <c r="Q358" t="n">
        <v>0</v>
      </c>
      <c r="R358" s="2" t="inlineStr"/>
    </row>
    <row r="359" ht="15" customHeight="1">
      <c r="A359" t="inlineStr">
        <is>
          <t>A 159-2020</t>
        </is>
      </c>
      <c r="B359" s="1" t="n">
        <v>43833</v>
      </c>
      <c r="C359" s="1" t="n">
        <v>45337</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2320-2020</t>
        </is>
      </c>
      <c r="B360" s="1" t="n">
        <v>43846</v>
      </c>
      <c r="C360" s="1" t="n">
        <v>45337</v>
      </c>
      <c r="D360" t="inlineStr">
        <is>
          <t>JÄMTLANDS LÄN</t>
        </is>
      </c>
      <c r="E360" t="inlineStr">
        <is>
          <t>HÄRJEDALEN</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4663-2020</t>
        </is>
      </c>
      <c r="B361" s="1" t="n">
        <v>43858</v>
      </c>
      <c r="C361" s="1" t="n">
        <v>45337</v>
      </c>
      <c r="D361" t="inlineStr">
        <is>
          <t>JÄMTLANDS LÄN</t>
        </is>
      </c>
      <c r="E361" t="inlineStr">
        <is>
          <t>HÄRJEDALEN</t>
        </is>
      </c>
      <c r="G361" t="n">
        <v>10.2</v>
      </c>
      <c r="H361" t="n">
        <v>0</v>
      </c>
      <c r="I361" t="n">
        <v>0</v>
      </c>
      <c r="J361" t="n">
        <v>0</v>
      </c>
      <c r="K361" t="n">
        <v>0</v>
      </c>
      <c r="L361" t="n">
        <v>0</v>
      </c>
      <c r="M361" t="n">
        <v>0</v>
      </c>
      <c r="N361" t="n">
        <v>0</v>
      </c>
      <c r="O361" t="n">
        <v>0</v>
      </c>
      <c r="P361" t="n">
        <v>0</v>
      </c>
      <c r="Q361" t="n">
        <v>0</v>
      </c>
      <c r="R361" s="2" t="inlineStr"/>
    </row>
    <row r="362" ht="15" customHeight="1">
      <c r="A362" t="inlineStr">
        <is>
          <t>A 6719-2020</t>
        </is>
      </c>
      <c r="B362" s="1" t="n">
        <v>43866</v>
      </c>
      <c r="C362" s="1" t="n">
        <v>45337</v>
      </c>
      <c r="D362" t="inlineStr">
        <is>
          <t>JÄMTLANDS LÄN</t>
        </is>
      </c>
      <c r="E362" t="inlineStr">
        <is>
          <t>HÄRJEDALEN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6715-2020</t>
        </is>
      </c>
      <c r="B363" s="1" t="n">
        <v>43866</v>
      </c>
      <c r="C363" s="1" t="n">
        <v>45337</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6675-2020</t>
        </is>
      </c>
      <c r="B364" s="1" t="n">
        <v>43866</v>
      </c>
      <c r="C364" s="1" t="n">
        <v>45337</v>
      </c>
      <c r="D364" t="inlineStr">
        <is>
          <t>JÄMTLANDS LÄN</t>
        </is>
      </c>
      <c r="E364" t="inlineStr">
        <is>
          <t>HÄRJEDALEN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6584-2020</t>
        </is>
      </c>
      <c r="B365" s="1" t="n">
        <v>43867</v>
      </c>
      <c r="C365" s="1" t="n">
        <v>45337</v>
      </c>
      <c r="D365" t="inlineStr">
        <is>
          <t>JÄMTLANDS LÄN</t>
        </is>
      </c>
      <c r="E365" t="inlineStr">
        <is>
          <t>HÄRJEDALEN</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6903-2020</t>
        </is>
      </c>
      <c r="B366" s="1" t="n">
        <v>43867</v>
      </c>
      <c r="C366" s="1" t="n">
        <v>45337</v>
      </c>
      <c r="D366" t="inlineStr">
        <is>
          <t>JÄMTLANDS LÄN</t>
        </is>
      </c>
      <c r="E366" t="inlineStr">
        <is>
          <t>HÄRJEDALEN</t>
        </is>
      </c>
      <c r="G366" t="n">
        <v>10.5</v>
      </c>
      <c r="H366" t="n">
        <v>0</v>
      </c>
      <c r="I366" t="n">
        <v>0</v>
      </c>
      <c r="J366" t="n">
        <v>0</v>
      </c>
      <c r="K366" t="n">
        <v>0</v>
      </c>
      <c r="L366" t="n">
        <v>0</v>
      </c>
      <c r="M366" t="n">
        <v>0</v>
      </c>
      <c r="N366" t="n">
        <v>0</v>
      </c>
      <c r="O366" t="n">
        <v>0</v>
      </c>
      <c r="P366" t="n">
        <v>0</v>
      </c>
      <c r="Q366" t="n">
        <v>0</v>
      </c>
      <c r="R366" s="2" t="inlineStr"/>
    </row>
    <row r="367" ht="15" customHeight="1">
      <c r="A367" t="inlineStr">
        <is>
          <t>A 7184-2020</t>
        </is>
      </c>
      <c r="B367" s="1" t="n">
        <v>43871</v>
      </c>
      <c r="C367" s="1" t="n">
        <v>45337</v>
      </c>
      <c r="D367" t="inlineStr">
        <is>
          <t>JÄMTLANDS LÄN</t>
        </is>
      </c>
      <c r="E367" t="inlineStr">
        <is>
          <t>HÄRJEDALEN</t>
        </is>
      </c>
      <c r="G367" t="n">
        <v>41.4</v>
      </c>
      <c r="H367" t="n">
        <v>0</v>
      </c>
      <c r="I367" t="n">
        <v>0</v>
      </c>
      <c r="J367" t="n">
        <v>0</v>
      </c>
      <c r="K367" t="n">
        <v>0</v>
      </c>
      <c r="L367" t="n">
        <v>0</v>
      </c>
      <c r="M367" t="n">
        <v>0</v>
      </c>
      <c r="N367" t="n">
        <v>0</v>
      </c>
      <c r="O367" t="n">
        <v>0</v>
      </c>
      <c r="P367" t="n">
        <v>0</v>
      </c>
      <c r="Q367" t="n">
        <v>0</v>
      </c>
      <c r="R367" s="2" t="inlineStr"/>
    </row>
    <row r="368" ht="15" customHeight="1">
      <c r="A368" t="inlineStr">
        <is>
          <t>A 8111-2020</t>
        </is>
      </c>
      <c r="B368" s="1" t="n">
        <v>43874</v>
      </c>
      <c r="C368" s="1" t="n">
        <v>45337</v>
      </c>
      <c r="D368" t="inlineStr">
        <is>
          <t>JÄMTLANDS LÄN</t>
        </is>
      </c>
      <c r="E368" t="inlineStr">
        <is>
          <t>HÄRJEDALEN</t>
        </is>
      </c>
      <c r="G368" t="n">
        <v>15.4</v>
      </c>
      <c r="H368" t="n">
        <v>0</v>
      </c>
      <c r="I368" t="n">
        <v>0</v>
      </c>
      <c r="J368" t="n">
        <v>0</v>
      </c>
      <c r="K368" t="n">
        <v>0</v>
      </c>
      <c r="L368" t="n">
        <v>0</v>
      </c>
      <c r="M368" t="n">
        <v>0</v>
      </c>
      <c r="N368" t="n">
        <v>0</v>
      </c>
      <c r="O368" t="n">
        <v>0</v>
      </c>
      <c r="P368" t="n">
        <v>0</v>
      </c>
      <c r="Q368" t="n">
        <v>0</v>
      </c>
      <c r="R368" s="2" t="inlineStr"/>
    </row>
    <row r="369" ht="15" customHeight="1">
      <c r="A369" t="inlineStr">
        <is>
          <t>A 8762-2020</t>
        </is>
      </c>
      <c r="B369" s="1" t="n">
        <v>43875</v>
      </c>
      <c r="C369" s="1" t="n">
        <v>45337</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8908-2020</t>
        </is>
      </c>
      <c r="B370" s="1" t="n">
        <v>43878</v>
      </c>
      <c r="C370" s="1" t="n">
        <v>45337</v>
      </c>
      <c r="D370" t="inlineStr">
        <is>
          <t>JÄMTLANDS LÄN</t>
        </is>
      </c>
      <c r="E370" t="inlineStr">
        <is>
          <t>HÄRJEDALEN</t>
        </is>
      </c>
      <c r="G370" t="n">
        <v>18.1</v>
      </c>
      <c r="H370" t="n">
        <v>0</v>
      </c>
      <c r="I370" t="n">
        <v>0</v>
      </c>
      <c r="J370" t="n">
        <v>0</v>
      </c>
      <c r="K370" t="n">
        <v>0</v>
      </c>
      <c r="L370" t="n">
        <v>0</v>
      </c>
      <c r="M370" t="n">
        <v>0</v>
      </c>
      <c r="N370" t="n">
        <v>0</v>
      </c>
      <c r="O370" t="n">
        <v>0</v>
      </c>
      <c r="P370" t="n">
        <v>0</v>
      </c>
      <c r="Q370" t="n">
        <v>0</v>
      </c>
      <c r="R370" s="2" t="inlineStr"/>
    </row>
    <row r="371" ht="15" customHeight="1">
      <c r="A371" t="inlineStr">
        <is>
          <t>A 9034-2020</t>
        </is>
      </c>
      <c r="B371" s="1" t="n">
        <v>43879</v>
      </c>
      <c r="C371" s="1" t="n">
        <v>45337</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9591-2020</t>
        </is>
      </c>
      <c r="B372" s="1" t="n">
        <v>43881</v>
      </c>
      <c r="C372" s="1" t="n">
        <v>45337</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11731-2020</t>
        </is>
      </c>
      <c r="B373" s="1" t="n">
        <v>43894</v>
      </c>
      <c r="C373" s="1" t="n">
        <v>45337</v>
      </c>
      <c r="D373" t="inlineStr">
        <is>
          <t>JÄMTLANDS LÄN</t>
        </is>
      </c>
      <c r="E373" t="inlineStr">
        <is>
          <t>HÄRJEDALEN</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11816-2020</t>
        </is>
      </c>
      <c r="B374" s="1" t="n">
        <v>43894</v>
      </c>
      <c r="C374" s="1" t="n">
        <v>45337</v>
      </c>
      <c r="D374" t="inlineStr">
        <is>
          <t>JÄMTLANDS LÄN</t>
        </is>
      </c>
      <c r="E374" t="inlineStr">
        <is>
          <t>HÄRJEDALEN</t>
        </is>
      </c>
      <c r="F374" t="inlineStr">
        <is>
          <t>Holmen skog AB</t>
        </is>
      </c>
      <c r="G374" t="n">
        <v>20.4</v>
      </c>
      <c r="H374" t="n">
        <v>0</v>
      </c>
      <c r="I374" t="n">
        <v>0</v>
      </c>
      <c r="J374" t="n">
        <v>0</v>
      </c>
      <c r="K374" t="n">
        <v>0</v>
      </c>
      <c r="L374" t="n">
        <v>0</v>
      </c>
      <c r="M374" t="n">
        <v>0</v>
      </c>
      <c r="N374" t="n">
        <v>0</v>
      </c>
      <c r="O374" t="n">
        <v>0</v>
      </c>
      <c r="P374" t="n">
        <v>0</v>
      </c>
      <c r="Q374" t="n">
        <v>0</v>
      </c>
      <c r="R374" s="2" t="inlineStr"/>
    </row>
    <row r="375" ht="15" customHeight="1">
      <c r="A375" t="inlineStr">
        <is>
          <t>A 11818-2020</t>
        </is>
      </c>
      <c r="B375" s="1" t="n">
        <v>43894</v>
      </c>
      <c r="C375" s="1" t="n">
        <v>45337</v>
      </c>
      <c r="D375" t="inlineStr">
        <is>
          <t>JÄMTLANDS LÄN</t>
        </is>
      </c>
      <c r="E375" t="inlineStr">
        <is>
          <t>HÄRJEDALEN</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11885-2020</t>
        </is>
      </c>
      <c r="B376" s="1" t="n">
        <v>43894</v>
      </c>
      <c r="C376" s="1" t="n">
        <v>45337</v>
      </c>
      <c r="D376" t="inlineStr">
        <is>
          <t>JÄMTLANDS LÄN</t>
        </is>
      </c>
      <c r="E376" t="inlineStr">
        <is>
          <t>HÄRJEDALEN</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11828-2020</t>
        </is>
      </c>
      <c r="B377" s="1" t="n">
        <v>43894</v>
      </c>
      <c r="C377" s="1" t="n">
        <v>45337</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11905-2020</t>
        </is>
      </c>
      <c r="B378" s="1" t="n">
        <v>43894</v>
      </c>
      <c r="C378" s="1" t="n">
        <v>45337</v>
      </c>
      <c r="D378" t="inlineStr">
        <is>
          <t>JÄMTLANDS LÄN</t>
        </is>
      </c>
      <c r="E378" t="inlineStr">
        <is>
          <t>HÄRJEDALEN</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13604-2020</t>
        </is>
      </c>
      <c r="B379" s="1" t="n">
        <v>43895</v>
      </c>
      <c r="C379" s="1" t="n">
        <v>45337</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12398-2020</t>
        </is>
      </c>
      <c r="B380" s="1" t="n">
        <v>43896</v>
      </c>
      <c r="C380" s="1" t="n">
        <v>45337</v>
      </c>
      <c r="D380" t="inlineStr">
        <is>
          <t>JÄMTLANDS LÄN</t>
        </is>
      </c>
      <c r="E380" t="inlineStr">
        <is>
          <t>HÄRJEDALEN</t>
        </is>
      </c>
      <c r="G380" t="n">
        <v>12.3</v>
      </c>
      <c r="H380" t="n">
        <v>0</v>
      </c>
      <c r="I380" t="n">
        <v>0</v>
      </c>
      <c r="J380" t="n">
        <v>0</v>
      </c>
      <c r="K380" t="n">
        <v>0</v>
      </c>
      <c r="L380" t="n">
        <v>0</v>
      </c>
      <c r="M380" t="n">
        <v>0</v>
      </c>
      <c r="N380" t="n">
        <v>0</v>
      </c>
      <c r="O380" t="n">
        <v>0</v>
      </c>
      <c r="P380" t="n">
        <v>0</v>
      </c>
      <c r="Q380" t="n">
        <v>0</v>
      </c>
      <c r="R380" s="2" t="inlineStr"/>
    </row>
    <row r="381" ht="15" customHeight="1">
      <c r="A381" t="inlineStr">
        <is>
          <t>A 12410-2020</t>
        </is>
      </c>
      <c r="B381" s="1" t="n">
        <v>43896</v>
      </c>
      <c r="C381" s="1" t="n">
        <v>45337</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13588-2020</t>
        </is>
      </c>
      <c r="B382" s="1" t="n">
        <v>43896</v>
      </c>
      <c r="C382" s="1" t="n">
        <v>45337</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12898-2020</t>
        </is>
      </c>
      <c r="B383" s="1" t="n">
        <v>43900</v>
      </c>
      <c r="C383" s="1" t="n">
        <v>45337</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15020-2020</t>
        </is>
      </c>
      <c r="B384" s="1" t="n">
        <v>43907</v>
      </c>
      <c r="C384" s="1" t="n">
        <v>45337</v>
      </c>
      <c r="D384" t="inlineStr">
        <is>
          <t>JÄMTLANDS LÄN</t>
        </is>
      </c>
      <c r="E384" t="inlineStr">
        <is>
          <t>HÄRJEDALEN</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15576-2020</t>
        </is>
      </c>
      <c r="B385" s="1" t="n">
        <v>43914</v>
      </c>
      <c r="C385" s="1" t="n">
        <v>45337</v>
      </c>
      <c r="D385" t="inlineStr">
        <is>
          <t>JÄMTLANDS LÄN</t>
        </is>
      </c>
      <c r="E385" t="inlineStr">
        <is>
          <t>HÄRJEDALEN</t>
        </is>
      </c>
      <c r="F385" t="inlineStr">
        <is>
          <t>Kyrkan</t>
        </is>
      </c>
      <c r="G385" t="n">
        <v>8.1</v>
      </c>
      <c r="H385" t="n">
        <v>0</v>
      </c>
      <c r="I385" t="n">
        <v>0</v>
      </c>
      <c r="J385" t="n">
        <v>0</v>
      </c>
      <c r="K385" t="n">
        <v>0</v>
      </c>
      <c r="L385" t="n">
        <v>0</v>
      </c>
      <c r="M385" t="n">
        <v>0</v>
      </c>
      <c r="N385" t="n">
        <v>0</v>
      </c>
      <c r="O385" t="n">
        <v>0</v>
      </c>
      <c r="P385" t="n">
        <v>0</v>
      </c>
      <c r="Q385" t="n">
        <v>0</v>
      </c>
      <c r="R385" s="2" t="inlineStr"/>
    </row>
    <row r="386" ht="15" customHeight="1">
      <c r="A386" t="inlineStr">
        <is>
          <t>A 17515-2020</t>
        </is>
      </c>
      <c r="B386" s="1" t="n">
        <v>43920</v>
      </c>
      <c r="C386" s="1" t="n">
        <v>45337</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17024-2020</t>
        </is>
      </c>
      <c r="B387" s="1" t="n">
        <v>43921</v>
      </c>
      <c r="C387" s="1" t="n">
        <v>45337</v>
      </c>
      <c r="D387" t="inlineStr">
        <is>
          <t>JÄMTLANDS LÄN</t>
        </is>
      </c>
      <c r="E387" t="inlineStr">
        <is>
          <t>HÄRJEDALEN</t>
        </is>
      </c>
      <c r="G387" t="n">
        <v>0.8</v>
      </c>
      <c r="H387" t="n">
        <v>0</v>
      </c>
      <c r="I387" t="n">
        <v>0</v>
      </c>
      <c r="J387" t="n">
        <v>0</v>
      </c>
      <c r="K387" t="n">
        <v>0</v>
      </c>
      <c r="L387" t="n">
        <v>0</v>
      </c>
      <c r="M387" t="n">
        <v>0</v>
      </c>
      <c r="N387" t="n">
        <v>0</v>
      </c>
      <c r="O387" t="n">
        <v>0</v>
      </c>
      <c r="P387" t="n">
        <v>0</v>
      </c>
      <c r="Q387" t="n">
        <v>0</v>
      </c>
      <c r="R387" s="2" t="inlineStr"/>
    </row>
    <row r="388" ht="15" customHeight="1">
      <c r="A388" t="inlineStr">
        <is>
          <t>A 17676-2020</t>
        </is>
      </c>
      <c r="B388" s="1" t="n">
        <v>43924</v>
      </c>
      <c r="C388" s="1" t="n">
        <v>45337</v>
      </c>
      <c r="D388" t="inlineStr">
        <is>
          <t>JÄMTLANDS LÄN</t>
        </is>
      </c>
      <c r="E388" t="inlineStr">
        <is>
          <t>HÄRJEDALEN</t>
        </is>
      </c>
      <c r="G388" t="n">
        <v>1</v>
      </c>
      <c r="H388" t="n">
        <v>0</v>
      </c>
      <c r="I388" t="n">
        <v>0</v>
      </c>
      <c r="J388" t="n">
        <v>0</v>
      </c>
      <c r="K388" t="n">
        <v>0</v>
      </c>
      <c r="L388" t="n">
        <v>0</v>
      </c>
      <c r="M388" t="n">
        <v>0</v>
      </c>
      <c r="N388" t="n">
        <v>0</v>
      </c>
      <c r="O388" t="n">
        <v>0</v>
      </c>
      <c r="P388" t="n">
        <v>0</v>
      </c>
      <c r="Q388" t="n">
        <v>0</v>
      </c>
      <c r="R388" s="2" t="inlineStr"/>
    </row>
    <row r="389" ht="15" customHeight="1">
      <c r="A389" t="inlineStr">
        <is>
          <t>A 18038-2020</t>
        </is>
      </c>
      <c r="B389" s="1" t="n">
        <v>43927</v>
      </c>
      <c r="C389" s="1" t="n">
        <v>45337</v>
      </c>
      <c r="D389" t="inlineStr">
        <is>
          <t>JÄMTLANDS LÄN</t>
        </is>
      </c>
      <c r="E389" t="inlineStr">
        <is>
          <t>HÄRJEDALEN</t>
        </is>
      </c>
      <c r="G389" t="n">
        <v>13.5</v>
      </c>
      <c r="H389" t="n">
        <v>0</v>
      </c>
      <c r="I389" t="n">
        <v>0</v>
      </c>
      <c r="J389" t="n">
        <v>0</v>
      </c>
      <c r="K389" t="n">
        <v>0</v>
      </c>
      <c r="L389" t="n">
        <v>0</v>
      </c>
      <c r="M389" t="n">
        <v>0</v>
      </c>
      <c r="N389" t="n">
        <v>0</v>
      </c>
      <c r="O389" t="n">
        <v>0</v>
      </c>
      <c r="P389" t="n">
        <v>0</v>
      </c>
      <c r="Q389" t="n">
        <v>0</v>
      </c>
      <c r="R389" s="2" t="inlineStr"/>
    </row>
    <row r="390" ht="15" customHeight="1">
      <c r="A390" t="inlineStr">
        <is>
          <t>A 18761-2020</t>
        </is>
      </c>
      <c r="B390" s="1" t="n">
        <v>43930</v>
      </c>
      <c r="C390" s="1" t="n">
        <v>45337</v>
      </c>
      <c r="D390" t="inlineStr">
        <is>
          <t>JÄMTLANDS LÄN</t>
        </is>
      </c>
      <c r="E390" t="inlineStr">
        <is>
          <t>HÄRJEDALEN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18760-2020</t>
        </is>
      </c>
      <c r="B391" s="1" t="n">
        <v>43930</v>
      </c>
      <c r="C391" s="1" t="n">
        <v>45337</v>
      </c>
      <c r="D391" t="inlineStr">
        <is>
          <t>JÄMTLANDS LÄN</t>
        </is>
      </c>
      <c r="E391" t="inlineStr">
        <is>
          <t>HÄRJEDALEN</t>
        </is>
      </c>
      <c r="F391" t="inlineStr">
        <is>
          <t>Sveaskog</t>
        </is>
      </c>
      <c r="G391" t="n">
        <v>16.1</v>
      </c>
      <c r="H391" t="n">
        <v>0</v>
      </c>
      <c r="I391" t="n">
        <v>0</v>
      </c>
      <c r="J391" t="n">
        <v>0</v>
      </c>
      <c r="K391" t="n">
        <v>0</v>
      </c>
      <c r="L391" t="n">
        <v>0</v>
      </c>
      <c r="M391" t="n">
        <v>0</v>
      </c>
      <c r="N391" t="n">
        <v>0</v>
      </c>
      <c r="O391" t="n">
        <v>0</v>
      </c>
      <c r="P391" t="n">
        <v>0</v>
      </c>
      <c r="Q391" t="n">
        <v>0</v>
      </c>
      <c r="R391" s="2" t="inlineStr"/>
    </row>
    <row r="392" ht="15" customHeight="1">
      <c r="A392" t="inlineStr">
        <is>
          <t>A 18759-2020</t>
        </is>
      </c>
      <c r="B392" s="1" t="n">
        <v>43930</v>
      </c>
      <c r="C392" s="1" t="n">
        <v>45337</v>
      </c>
      <c r="D392" t="inlineStr">
        <is>
          <t>JÄMTLANDS LÄN</t>
        </is>
      </c>
      <c r="E392" t="inlineStr">
        <is>
          <t>HÄRJEDALEN</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18877-2020</t>
        </is>
      </c>
      <c r="B393" s="1" t="n">
        <v>43935</v>
      </c>
      <c r="C393" s="1" t="n">
        <v>45337</v>
      </c>
      <c r="D393" t="inlineStr">
        <is>
          <t>JÄMTLANDS LÄN</t>
        </is>
      </c>
      <c r="E393" t="inlineStr">
        <is>
          <t>HÄRJEDALEN</t>
        </is>
      </c>
      <c r="G393" t="n">
        <v>7</v>
      </c>
      <c r="H393" t="n">
        <v>0</v>
      </c>
      <c r="I393" t="n">
        <v>0</v>
      </c>
      <c r="J393" t="n">
        <v>0</v>
      </c>
      <c r="K393" t="n">
        <v>0</v>
      </c>
      <c r="L393" t="n">
        <v>0</v>
      </c>
      <c r="M393" t="n">
        <v>0</v>
      </c>
      <c r="N393" t="n">
        <v>0</v>
      </c>
      <c r="O393" t="n">
        <v>0</v>
      </c>
      <c r="P393" t="n">
        <v>0</v>
      </c>
      <c r="Q393" t="n">
        <v>0</v>
      </c>
      <c r="R393" s="2" t="inlineStr"/>
    </row>
    <row r="394" ht="15" customHeight="1">
      <c r="A394" t="inlineStr">
        <is>
          <t>A 18879-2020</t>
        </is>
      </c>
      <c r="B394" s="1" t="n">
        <v>43935</v>
      </c>
      <c r="C394" s="1" t="n">
        <v>45337</v>
      </c>
      <c r="D394" t="inlineStr">
        <is>
          <t>JÄMTLANDS LÄN</t>
        </is>
      </c>
      <c r="E394" t="inlineStr">
        <is>
          <t>HÄRJEDALEN</t>
        </is>
      </c>
      <c r="G394" t="n">
        <v>5.5</v>
      </c>
      <c r="H394" t="n">
        <v>0</v>
      </c>
      <c r="I394" t="n">
        <v>0</v>
      </c>
      <c r="J394" t="n">
        <v>0</v>
      </c>
      <c r="K394" t="n">
        <v>0</v>
      </c>
      <c r="L394" t="n">
        <v>0</v>
      </c>
      <c r="M394" t="n">
        <v>0</v>
      </c>
      <c r="N394" t="n">
        <v>0</v>
      </c>
      <c r="O394" t="n">
        <v>0</v>
      </c>
      <c r="P394" t="n">
        <v>0</v>
      </c>
      <c r="Q394" t="n">
        <v>0</v>
      </c>
      <c r="R394" s="2" t="inlineStr"/>
    </row>
    <row r="395" ht="15" customHeight="1">
      <c r="A395" t="inlineStr">
        <is>
          <t>A 19304-2020</t>
        </is>
      </c>
      <c r="B395" s="1" t="n">
        <v>43937</v>
      </c>
      <c r="C395" s="1" t="n">
        <v>45337</v>
      </c>
      <c r="D395" t="inlineStr">
        <is>
          <t>JÄMTLANDS LÄN</t>
        </is>
      </c>
      <c r="E395" t="inlineStr">
        <is>
          <t>HÄRJEDALEN</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19506-2020</t>
        </is>
      </c>
      <c r="B396" s="1" t="n">
        <v>43938</v>
      </c>
      <c r="C396" s="1" t="n">
        <v>45337</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20781-2020</t>
        </is>
      </c>
      <c r="B397" s="1" t="n">
        <v>43949</v>
      </c>
      <c r="C397" s="1" t="n">
        <v>45337</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21537-2020</t>
        </is>
      </c>
      <c r="B398" s="1" t="n">
        <v>43956</v>
      </c>
      <c r="C398" s="1" t="n">
        <v>45337</v>
      </c>
      <c r="D398" t="inlineStr">
        <is>
          <t>JÄMTLANDS LÄN</t>
        </is>
      </c>
      <c r="E398" t="inlineStr">
        <is>
          <t>HÄRJEDALEN</t>
        </is>
      </c>
      <c r="G398" t="n">
        <v>4.3</v>
      </c>
      <c r="H398" t="n">
        <v>0</v>
      </c>
      <c r="I398" t="n">
        <v>0</v>
      </c>
      <c r="J398" t="n">
        <v>0</v>
      </c>
      <c r="K398" t="n">
        <v>0</v>
      </c>
      <c r="L398" t="n">
        <v>0</v>
      </c>
      <c r="M398" t="n">
        <v>0</v>
      </c>
      <c r="N398" t="n">
        <v>0</v>
      </c>
      <c r="O398" t="n">
        <v>0</v>
      </c>
      <c r="P398" t="n">
        <v>0</v>
      </c>
      <c r="Q398" t="n">
        <v>0</v>
      </c>
      <c r="R398" s="2" t="inlineStr"/>
    </row>
    <row r="399" ht="15" customHeight="1">
      <c r="A399" t="inlineStr">
        <is>
          <t>A 23082-2020</t>
        </is>
      </c>
      <c r="B399" s="1" t="n">
        <v>43964</v>
      </c>
      <c r="C399" s="1" t="n">
        <v>45337</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23310-2020</t>
        </is>
      </c>
      <c r="B400" s="1" t="n">
        <v>43966</v>
      </c>
      <c r="C400" s="1" t="n">
        <v>45337</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23174-2020</t>
        </is>
      </c>
      <c r="B401" s="1" t="n">
        <v>43966</v>
      </c>
      <c r="C401" s="1" t="n">
        <v>45337</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23560-2020</t>
        </is>
      </c>
      <c r="B402" s="1" t="n">
        <v>43969</v>
      </c>
      <c r="C402" s="1" t="n">
        <v>45337</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24077-2020</t>
        </is>
      </c>
      <c r="B403" s="1" t="n">
        <v>43972</v>
      </c>
      <c r="C403" s="1" t="n">
        <v>45337</v>
      </c>
      <c r="D403" t="inlineStr">
        <is>
          <t>JÄMTLANDS LÄN</t>
        </is>
      </c>
      <c r="E403" t="inlineStr">
        <is>
          <t>HÄRJEDALEN</t>
        </is>
      </c>
      <c r="F403" t="inlineStr">
        <is>
          <t>Sveaskog</t>
        </is>
      </c>
      <c r="G403" t="n">
        <v>9.6</v>
      </c>
      <c r="H403" t="n">
        <v>0</v>
      </c>
      <c r="I403" t="n">
        <v>0</v>
      </c>
      <c r="J403" t="n">
        <v>0</v>
      </c>
      <c r="K403" t="n">
        <v>0</v>
      </c>
      <c r="L403" t="n">
        <v>0</v>
      </c>
      <c r="M403" t="n">
        <v>0</v>
      </c>
      <c r="N403" t="n">
        <v>0</v>
      </c>
      <c r="O403" t="n">
        <v>0</v>
      </c>
      <c r="P403" t="n">
        <v>0</v>
      </c>
      <c r="Q403" t="n">
        <v>0</v>
      </c>
      <c r="R403" s="2" t="inlineStr"/>
    </row>
    <row r="404" ht="15" customHeight="1">
      <c r="A404" t="inlineStr">
        <is>
          <t>A 24127-2020</t>
        </is>
      </c>
      <c r="B404" s="1" t="n">
        <v>43973</v>
      </c>
      <c r="C404" s="1" t="n">
        <v>45337</v>
      </c>
      <c r="D404" t="inlineStr">
        <is>
          <t>JÄMTLANDS LÄN</t>
        </is>
      </c>
      <c r="E404" t="inlineStr">
        <is>
          <t>HÄRJEDALEN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25240-2020</t>
        </is>
      </c>
      <c r="B405" s="1" t="n">
        <v>43980</v>
      </c>
      <c r="C405" s="1" t="n">
        <v>45337</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25341-2020</t>
        </is>
      </c>
      <c r="B406" s="1" t="n">
        <v>43980</v>
      </c>
      <c r="C406" s="1" t="n">
        <v>45337</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25232-2020</t>
        </is>
      </c>
      <c r="B407" s="1" t="n">
        <v>43980</v>
      </c>
      <c r="C407" s="1" t="n">
        <v>45337</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25238-2020</t>
        </is>
      </c>
      <c r="B408" s="1" t="n">
        <v>43980</v>
      </c>
      <c r="C408" s="1" t="n">
        <v>45337</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25236-2020</t>
        </is>
      </c>
      <c r="B409" s="1" t="n">
        <v>43980</v>
      </c>
      <c r="C409" s="1" t="n">
        <v>45337</v>
      </c>
      <c r="D409" t="inlineStr">
        <is>
          <t>JÄMTLANDS LÄN</t>
        </is>
      </c>
      <c r="E409" t="inlineStr">
        <is>
          <t>HÄRJEDALEN</t>
        </is>
      </c>
      <c r="G409" t="n">
        <v>2.2</v>
      </c>
      <c r="H409" t="n">
        <v>0</v>
      </c>
      <c r="I409" t="n">
        <v>0</v>
      </c>
      <c r="J409" t="n">
        <v>0</v>
      </c>
      <c r="K409" t="n">
        <v>0</v>
      </c>
      <c r="L409" t="n">
        <v>0</v>
      </c>
      <c r="M409" t="n">
        <v>0</v>
      </c>
      <c r="N409" t="n">
        <v>0</v>
      </c>
      <c r="O409" t="n">
        <v>0</v>
      </c>
      <c r="P409" t="n">
        <v>0</v>
      </c>
      <c r="Q409" t="n">
        <v>0</v>
      </c>
      <c r="R409" s="2" t="inlineStr"/>
    </row>
    <row r="410" ht="15" customHeight="1">
      <c r="A410" t="inlineStr">
        <is>
          <t>A 25779-2020</t>
        </is>
      </c>
      <c r="B410" s="1" t="n">
        <v>43984</v>
      </c>
      <c r="C410" s="1" t="n">
        <v>45337</v>
      </c>
      <c r="D410" t="inlineStr">
        <is>
          <t>JÄMTLANDS LÄN</t>
        </is>
      </c>
      <c r="E410" t="inlineStr">
        <is>
          <t>HÄRJEDALEN</t>
        </is>
      </c>
      <c r="G410" t="n">
        <v>22.2</v>
      </c>
      <c r="H410" t="n">
        <v>0</v>
      </c>
      <c r="I410" t="n">
        <v>0</v>
      </c>
      <c r="J410" t="n">
        <v>0</v>
      </c>
      <c r="K410" t="n">
        <v>0</v>
      </c>
      <c r="L410" t="n">
        <v>0</v>
      </c>
      <c r="M410" t="n">
        <v>0</v>
      </c>
      <c r="N410" t="n">
        <v>0</v>
      </c>
      <c r="O410" t="n">
        <v>0</v>
      </c>
      <c r="P410" t="n">
        <v>0</v>
      </c>
      <c r="Q410" t="n">
        <v>0</v>
      </c>
      <c r="R410" s="2" t="inlineStr"/>
    </row>
    <row r="411" ht="15" customHeight="1">
      <c r="A411" t="inlineStr">
        <is>
          <t>A 26056-2020</t>
        </is>
      </c>
      <c r="B411" s="1" t="n">
        <v>43984</v>
      </c>
      <c r="C411" s="1" t="n">
        <v>45337</v>
      </c>
      <c r="D411" t="inlineStr">
        <is>
          <t>JÄMTLANDS LÄN</t>
        </is>
      </c>
      <c r="E411" t="inlineStr">
        <is>
          <t>HÄRJEDALEN</t>
        </is>
      </c>
      <c r="G411" t="n">
        <v>53.1</v>
      </c>
      <c r="H411" t="n">
        <v>0</v>
      </c>
      <c r="I411" t="n">
        <v>0</v>
      </c>
      <c r="J411" t="n">
        <v>0</v>
      </c>
      <c r="K411" t="n">
        <v>0</v>
      </c>
      <c r="L411" t="n">
        <v>0</v>
      </c>
      <c r="M411" t="n">
        <v>0</v>
      </c>
      <c r="N411" t="n">
        <v>0</v>
      </c>
      <c r="O411" t="n">
        <v>0</v>
      </c>
      <c r="P411" t="n">
        <v>0</v>
      </c>
      <c r="Q411" t="n">
        <v>0</v>
      </c>
      <c r="R411" s="2" t="inlineStr"/>
    </row>
    <row r="412" ht="15" customHeight="1">
      <c r="A412" t="inlineStr">
        <is>
          <t>A 27854-2020</t>
        </is>
      </c>
      <c r="B412" s="1" t="n">
        <v>43994</v>
      </c>
      <c r="C412" s="1" t="n">
        <v>45337</v>
      </c>
      <c r="D412" t="inlineStr">
        <is>
          <t>JÄMTLANDS LÄN</t>
        </is>
      </c>
      <c r="E412" t="inlineStr">
        <is>
          <t>HÄRJEDALEN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28543-2020</t>
        </is>
      </c>
      <c r="B413" s="1" t="n">
        <v>43999</v>
      </c>
      <c r="C413" s="1" t="n">
        <v>45337</v>
      </c>
      <c r="D413" t="inlineStr">
        <is>
          <t>JÄMTLANDS LÄN</t>
        </is>
      </c>
      <c r="E413" t="inlineStr">
        <is>
          <t>HÄRJEDALEN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29158-2020</t>
        </is>
      </c>
      <c r="B414" s="1" t="n">
        <v>44004</v>
      </c>
      <c r="C414" s="1" t="n">
        <v>45337</v>
      </c>
      <c r="D414" t="inlineStr">
        <is>
          <t>JÄMTLANDS LÄN</t>
        </is>
      </c>
      <c r="E414" t="inlineStr">
        <is>
          <t>HÄRJEDALEN</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29154-2020</t>
        </is>
      </c>
      <c r="B415" s="1" t="n">
        <v>44004</v>
      </c>
      <c r="C415" s="1" t="n">
        <v>45337</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30963-2020</t>
        </is>
      </c>
      <c r="B416" s="1" t="n">
        <v>44011</v>
      </c>
      <c r="C416" s="1" t="n">
        <v>45337</v>
      </c>
      <c r="D416" t="inlineStr">
        <is>
          <t>JÄMTLANDS LÄN</t>
        </is>
      </c>
      <c r="E416" t="inlineStr">
        <is>
          <t>HÄRJEDALEN</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30936-2020</t>
        </is>
      </c>
      <c r="B417" s="1" t="n">
        <v>44011</v>
      </c>
      <c r="C417" s="1" t="n">
        <v>45337</v>
      </c>
      <c r="D417" t="inlineStr">
        <is>
          <t>JÄMTLANDS LÄN</t>
        </is>
      </c>
      <c r="E417" t="inlineStr">
        <is>
          <t>HÄRJEDALEN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30940-2020</t>
        </is>
      </c>
      <c r="B418" s="1" t="n">
        <v>44011</v>
      </c>
      <c r="C418" s="1" t="n">
        <v>45337</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31264-2020</t>
        </is>
      </c>
      <c r="B419" s="1" t="n">
        <v>44012</v>
      </c>
      <c r="C419" s="1" t="n">
        <v>45337</v>
      </c>
      <c r="D419" t="inlineStr">
        <is>
          <t>JÄMTLANDS LÄN</t>
        </is>
      </c>
      <c r="E419" t="inlineStr">
        <is>
          <t>HÄRJEDALEN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31872-2020</t>
        </is>
      </c>
      <c r="B420" s="1" t="n">
        <v>44014</v>
      </c>
      <c r="C420" s="1" t="n">
        <v>45337</v>
      </c>
      <c r="D420" t="inlineStr">
        <is>
          <t>JÄMTLANDS LÄN</t>
        </is>
      </c>
      <c r="E420" t="inlineStr">
        <is>
          <t>HÄRJEDALEN</t>
        </is>
      </c>
      <c r="G420" t="n">
        <v>21.4</v>
      </c>
      <c r="H420" t="n">
        <v>0</v>
      </c>
      <c r="I420" t="n">
        <v>0</v>
      </c>
      <c r="J420" t="n">
        <v>0</v>
      </c>
      <c r="K420" t="n">
        <v>0</v>
      </c>
      <c r="L420" t="n">
        <v>0</v>
      </c>
      <c r="M420" t="n">
        <v>0</v>
      </c>
      <c r="N420" t="n">
        <v>0</v>
      </c>
      <c r="O420" t="n">
        <v>0</v>
      </c>
      <c r="P420" t="n">
        <v>0</v>
      </c>
      <c r="Q420" t="n">
        <v>0</v>
      </c>
      <c r="R420" s="2" t="inlineStr"/>
    </row>
    <row r="421" ht="15" customHeight="1">
      <c r="A421" t="inlineStr">
        <is>
          <t>A 31920-2020</t>
        </is>
      </c>
      <c r="B421" s="1" t="n">
        <v>44014</v>
      </c>
      <c r="C421" s="1" t="n">
        <v>45337</v>
      </c>
      <c r="D421" t="inlineStr">
        <is>
          <t>JÄMTLANDS LÄN</t>
        </is>
      </c>
      <c r="E421" t="inlineStr">
        <is>
          <t>HÄRJEDALEN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33020-2020</t>
        </is>
      </c>
      <c r="B422" s="1" t="n">
        <v>44021</v>
      </c>
      <c r="C422" s="1" t="n">
        <v>45337</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33812-2020</t>
        </is>
      </c>
      <c r="B423" s="1" t="n">
        <v>44025</v>
      </c>
      <c r="C423" s="1" t="n">
        <v>45337</v>
      </c>
      <c r="D423" t="inlineStr">
        <is>
          <t>JÄMTLANDS LÄN</t>
        </is>
      </c>
      <c r="E423" t="inlineStr">
        <is>
          <t>HÄRJEDALEN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33513-2020</t>
        </is>
      </c>
      <c r="B424" s="1" t="n">
        <v>44025</v>
      </c>
      <c r="C424" s="1" t="n">
        <v>45337</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33701-2020</t>
        </is>
      </c>
      <c r="B425" s="1" t="n">
        <v>44026</v>
      </c>
      <c r="C425" s="1" t="n">
        <v>45337</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33942-2020</t>
        </is>
      </c>
      <c r="B426" s="1" t="n">
        <v>44028</v>
      </c>
      <c r="C426" s="1" t="n">
        <v>45337</v>
      </c>
      <c r="D426" t="inlineStr">
        <is>
          <t>JÄMTLANDS LÄN</t>
        </is>
      </c>
      <c r="E426" t="inlineStr">
        <is>
          <t>HÄRJEDALEN</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34191-2020</t>
        </is>
      </c>
      <c r="B427" s="1" t="n">
        <v>44029</v>
      </c>
      <c r="C427" s="1" t="n">
        <v>45337</v>
      </c>
      <c r="D427" t="inlineStr">
        <is>
          <t>JÄMTLANDS LÄN</t>
        </is>
      </c>
      <c r="E427" t="inlineStr">
        <is>
          <t>HÄRJEDALEN</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34894-2020</t>
        </is>
      </c>
      <c r="B428" s="1" t="n">
        <v>44036</v>
      </c>
      <c r="C428" s="1" t="n">
        <v>45337</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34900-2020</t>
        </is>
      </c>
      <c r="B429" s="1" t="n">
        <v>44036</v>
      </c>
      <c r="C429" s="1" t="n">
        <v>45337</v>
      </c>
      <c r="D429" t="inlineStr">
        <is>
          <t>JÄMTLANDS LÄN</t>
        </is>
      </c>
      <c r="E429" t="inlineStr">
        <is>
          <t>HÄRJEDALEN</t>
        </is>
      </c>
      <c r="G429" t="n">
        <v>13.1</v>
      </c>
      <c r="H429" t="n">
        <v>0</v>
      </c>
      <c r="I429" t="n">
        <v>0</v>
      </c>
      <c r="J429" t="n">
        <v>0</v>
      </c>
      <c r="K429" t="n">
        <v>0</v>
      </c>
      <c r="L429" t="n">
        <v>0</v>
      </c>
      <c r="M429" t="n">
        <v>0</v>
      </c>
      <c r="N429" t="n">
        <v>0</v>
      </c>
      <c r="O429" t="n">
        <v>0</v>
      </c>
      <c r="P429" t="n">
        <v>0</v>
      </c>
      <c r="Q429" t="n">
        <v>0</v>
      </c>
      <c r="R429" s="2" t="inlineStr"/>
    </row>
    <row r="430" ht="15" customHeight="1">
      <c r="A430" t="inlineStr">
        <is>
          <t>A 34975-2020</t>
        </is>
      </c>
      <c r="B430" s="1" t="n">
        <v>44039</v>
      </c>
      <c r="C430" s="1" t="n">
        <v>45337</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34963-2020</t>
        </is>
      </c>
      <c r="B431" s="1" t="n">
        <v>44039</v>
      </c>
      <c r="C431" s="1" t="n">
        <v>45337</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35160-2020</t>
        </is>
      </c>
      <c r="B432" s="1" t="n">
        <v>44040</v>
      </c>
      <c r="C432" s="1" t="n">
        <v>45337</v>
      </c>
      <c r="D432" t="inlineStr">
        <is>
          <t>JÄMTLANDS LÄN</t>
        </is>
      </c>
      <c r="E432" t="inlineStr">
        <is>
          <t>HÄRJEDALEN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45337</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45337</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45337</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45337</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45337</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45337</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45337</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45337</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45337</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45337</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45337</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45337</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45337</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45337</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45337</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45337</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45337</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47685-2020</t>
        </is>
      </c>
      <c r="B450" s="1" t="n">
        <v>44096</v>
      </c>
      <c r="C450" s="1" t="n">
        <v>45337</v>
      </c>
      <c r="D450" t="inlineStr">
        <is>
          <t>JÄMTLANDS LÄN</t>
        </is>
      </c>
      <c r="E450" t="inlineStr">
        <is>
          <t>HÄRJEDALEN</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45337</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45337</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45337</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49246-2020</t>
        </is>
      </c>
      <c r="B454" s="1" t="n">
        <v>44105</v>
      </c>
      <c r="C454" s="1" t="n">
        <v>45337</v>
      </c>
      <c r="D454" t="inlineStr">
        <is>
          <t>JÄMTLANDS LÄN</t>
        </is>
      </c>
      <c r="E454" t="inlineStr">
        <is>
          <t>HÄRJEDALEN</t>
        </is>
      </c>
      <c r="G454" t="n">
        <v>3.7</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45337</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45337</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45337</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45337</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45337</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45337</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45337</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45337</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45337</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45337</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45337</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45337</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45337</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45337</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45337</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45337</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45337</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45337</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45337</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45337</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45337</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45337</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45337</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45337</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45337</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45337</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45337</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45337</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45337</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45337</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45337</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45337</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45337</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45337</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45337</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45337</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45337</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45337</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45337</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45337</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45337</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45337</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45337</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45337</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45337</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45337</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45337</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45337</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45337</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45337</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45337</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45337</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45337</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45337</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45337</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45337</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45337</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45337</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45337</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45337</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45337</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45337</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45337</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45337</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45337</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45337</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45337</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45337</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45337</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45337</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45337</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45337</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45337</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45337</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45337</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45337</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45337</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45337</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45337</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45337</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45337</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45337</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45337</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45337</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45337</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45337</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45337</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45337</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45337</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45337</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45337</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45337</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45337</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45337</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45337</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45337</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45337</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45337</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45337</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45337</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45337</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45337</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45337</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45337</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45337</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45337</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45337</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45337</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45337</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45337</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45337</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45337</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45337</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45337</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45337</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45337</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45337</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45337</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45337</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45337</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45337</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45337</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45337</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45337</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45337</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45337</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45337</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45337</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45337</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45337</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45337</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45337</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45337</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45337</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45337</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45337</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45337</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45337</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45337</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45337</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45337</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45337</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45337</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45337</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45337</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45337</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45337</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45337</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45337</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45337</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45337</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45337</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45337</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45337</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45337</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45337</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45337</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45337</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45337</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45337</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45337</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45337</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45337</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45337</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45337</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45337</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45337</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45337</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45337</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45337</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45337</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45337</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45337</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45337</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45337</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45337</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45557-2021</t>
        </is>
      </c>
      <c r="B631" s="1" t="n">
        <v>44440</v>
      </c>
      <c r="C631" s="1" t="n">
        <v>45337</v>
      </c>
      <c r="D631" t="inlineStr">
        <is>
          <t>JÄMTLANDS LÄN</t>
        </is>
      </c>
      <c r="E631" t="inlineStr">
        <is>
          <t>HÄRJEDALEN</t>
        </is>
      </c>
      <c r="G631" t="n">
        <v>11.4</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45337</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45717-2021</t>
        </is>
      </c>
      <c r="B633" s="1" t="n">
        <v>44441</v>
      </c>
      <c r="C633" s="1" t="n">
        <v>45337</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45337</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45337</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45337</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48065-2021</t>
        </is>
      </c>
      <c r="B637" s="1" t="n">
        <v>44449</v>
      </c>
      <c r="C637" s="1" t="n">
        <v>45337</v>
      </c>
      <c r="D637" t="inlineStr">
        <is>
          <t>JÄMTLANDS LÄN</t>
        </is>
      </c>
      <c r="E637" t="inlineStr">
        <is>
          <t>HÄRJEDALEN</t>
        </is>
      </c>
      <c r="G637" t="n">
        <v>24.8</v>
      </c>
      <c r="H637" t="n">
        <v>0</v>
      </c>
      <c r="I637" t="n">
        <v>0</v>
      </c>
      <c r="J637" t="n">
        <v>0</v>
      </c>
      <c r="K637" t="n">
        <v>0</v>
      </c>
      <c r="L637" t="n">
        <v>0</v>
      </c>
      <c r="M637" t="n">
        <v>0</v>
      </c>
      <c r="N637" t="n">
        <v>0</v>
      </c>
      <c r="O637" t="n">
        <v>0</v>
      </c>
      <c r="P637" t="n">
        <v>0</v>
      </c>
      <c r="Q637" t="n">
        <v>0</v>
      </c>
      <c r="R637" s="2" t="inlineStr"/>
    </row>
    <row r="638" ht="15" customHeight="1">
      <c r="A638" t="inlineStr">
        <is>
          <t>A 48079-2021</t>
        </is>
      </c>
      <c r="B638" s="1" t="n">
        <v>44449</v>
      </c>
      <c r="C638" s="1" t="n">
        <v>45337</v>
      </c>
      <c r="D638" t="inlineStr">
        <is>
          <t>JÄMTLANDS LÄN</t>
        </is>
      </c>
      <c r="E638" t="inlineStr">
        <is>
          <t>HÄRJEDALEN</t>
        </is>
      </c>
      <c r="G638" t="n">
        <v>12.5</v>
      </c>
      <c r="H638" t="n">
        <v>0</v>
      </c>
      <c r="I638" t="n">
        <v>0</v>
      </c>
      <c r="J638" t="n">
        <v>0</v>
      </c>
      <c r="K638" t="n">
        <v>0</v>
      </c>
      <c r="L638" t="n">
        <v>0</v>
      </c>
      <c r="M638" t="n">
        <v>0</v>
      </c>
      <c r="N638" t="n">
        <v>0</v>
      </c>
      <c r="O638" t="n">
        <v>0</v>
      </c>
      <c r="P638" t="n">
        <v>0</v>
      </c>
      <c r="Q638" t="n">
        <v>0</v>
      </c>
      <c r="R638" s="2" t="inlineStr"/>
    </row>
    <row r="639" ht="15" customHeight="1">
      <c r="A639" t="inlineStr">
        <is>
          <t>A 48132-2021</t>
        </is>
      </c>
      <c r="B639" s="1" t="n">
        <v>44449</v>
      </c>
      <c r="C639" s="1" t="n">
        <v>45337</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48142-2021</t>
        </is>
      </c>
      <c r="B640" s="1" t="n">
        <v>44449</v>
      </c>
      <c r="C640" s="1" t="n">
        <v>45337</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48444-2021</t>
        </is>
      </c>
      <c r="B641" s="1" t="n">
        <v>44452</v>
      </c>
      <c r="C641" s="1" t="n">
        <v>45337</v>
      </c>
      <c r="D641" t="inlineStr">
        <is>
          <t>JÄMTLANDS LÄN</t>
        </is>
      </c>
      <c r="E641" t="inlineStr">
        <is>
          <t>HÄRJEDALEN</t>
        </is>
      </c>
      <c r="F641" t="inlineStr">
        <is>
          <t>Holmen skog AB</t>
        </is>
      </c>
      <c r="G641" t="n">
        <v>7.4</v>
      </c>
      <c r="H641" t="n">
        <v>0</v>
      </c>
      <c r="I641" t="n">
        <v>0</v>
      </c>
      <c r="J641" t="n">
        <v>0</v>
      </c>
      <c r="K641" t="n">
        <v>0</v>
      </c>
      <c r="L641" t="n">
        <v>0</v>
      </c>
      <c r="M641" t="n">
        <v>0</v>
      </c>
      <c r="N641" t="n">
        <v>0</v>
      </c>
      <c r="O641" t="n">
        <v>0</v>
      </c>
      <c r="P641" t="n">
        <v>0</v>
      </c>
      <c r="Q641" t="n">
        <v>0</v>
      </c>
      <c r="R641" s="2" t="inlineStr"/>
    </row>
    <row r="642" ht="15" customHeight="1">
      <c r="A642" t="inlineStr">
        <is>
          <t>A 48586-2021</t>
        </is>
      </c>
      <c r="B642" s="1" t="n">
        <v>44452</v>
      </c>
      <c r="C642" s="1" t="n">
        <v>45337</v>
      </c>
      <c r="D642" t="inlineStr">
        <is>
          <t>JÄMTLANDS LÄN</t>
        </is>
      </c>
      <c r="E642" t="inlineStr">
        <is>
          <t>HÄRJEDALEN</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48769-2021</t>
        </is>
      </c>
      <c r="B643" s="1" t="n">
        <v>44452</v>
      </c>
      <c r="C643" s="1" t="n">
        <v>45337</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48681-2021</t>
        </is>
      </c>
      <c r="B644" s="1" t="n">
        <v>44452</v>
      </c>
      <c r="C644" s="1" t="n">
        <v>45337</v>
      </c>
      <c r="D644" t="inlineStr">
        <is>
          <t>JÄMTLANDS LÄN</t>
        </is>
      </c>
      <c r="E644" t="inlineStr">
        <is>
          <t>HÄRJEDALEN</t>
        </is>
      </c>
      <c r="F644" t="inlineStr">
        <is>
          <t>Holmen skog AB</t>
        </is>
      </c>
      <c r="G644" t="n">
        <v>3.7</v>
      </c>
      <c r="H644" t="n">
        <v>0</v>
      </c>
      <c r="I644" t="n">
        <v>0</v>
      </c>
      <c r="J644" t="n">
        <v>0</v>
      </c>
      <c r="K644" t="n">
        <v>0</v>
      </c>
      <c r="L644" t="n">
        <v>0</v>
      </c>
      <c r="M644" t="n">
        <v>0</v>
      </c>
      <c r="N644" t="n">
        <v>0</v>
      </c>
      <c r="O644" t="n">
        <v>0</v>
      </c>
      <c r="P644" t="n">
        <v>0</v>
      </c>
      <c r="Q644" t="n">
        <v>0</v>
      </c>
      <c r="R644" s="2" t="inlineStr"/>
    </row>
    <row r="645" ht="15" customHeight="1">
      <c r="A645" t="inlineStr">
        <is>
          <t>A 50775-2021</t>
        </is>
      </c>
      <c r="B645" s="1" t="n">
        <v>44460</v>
      </c>
      <c r="C645" s="1" t="n">
        <v>45337</v>
      </c>
      <c r="D645" t="inlineStr">
        <is>
          <t>JÄMTLANDS LÄN</t>
        </is>
      </c>
      <c r="E645" t="inlineStr">
        <is>
          <t>HÄRJEDALEN</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52685-2021</t>
        </is>
      </c>
      <c r="B646" s="1" t="n">
        <v>44466</v>
      </c>
      <c r="C646" s="1" t="n">
        <v>45337</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54103-2021</t>
        </is>
      </c>
      <c r="B647" s="1" t="n">
        <v>44470</v>
      </c>
      <c r="C647" s="1" t="n">
        <v>45337</v>
      </c>
      <c r="D647" t="inlineStr">
        <is>
          <t>JÄMTLANDS LÄN</t>
        </is>
      </c>
      <c r="E647" t="inlineStr">
        <is>
          <t>HÄRJEDALEN</t>
        </is>
      </c>
      <c r="F647" t="inlineStr">
        <is>
          <t>Holmen skog AB</t>
        </is>
      </c>
      <c r="G647" t="n">
        <v>11.9</v>
      </c>
      <c r="H647" t="n">
        <v>0</v>
      </c>
      <c r="I647" t="n">
        <v>0</v>
      </c>
      <c r="J647" t="n">
        <v>0</v>
      </c>
      <c r="K647" t="n">
        <v>0</v>
      </c>
      <c r="L647" t="n">
        <v>0</v>
      </c>
      <c r="M647" t="n">
        <v>0</v>
      </c>
      <c r="N647" t="n">
        <v>0</v>
      </c>
      <c r="O647" t="n">
        <v>0</v>
      </c>
      <c r="P647" t="n">
        <v>0</v>
      </c>
      <c r="Q647" t="n">
        <v>0</v>
      </c>
      <c r="R647" s="2" t="inlineStr"/>
    </row>
    <row r="648" ht="15" customHeight="1">
      <c r="A648" t="inlineStr">
        <is>
          <t>A 54218-2021</t>
        </is>
      </c>
      <c r="B648" s="1" t="n">
        <v>44470</v>
      </c>
      <c r="C648" s="1" t="n">
        <v>45337</v>
      </c>
      <c r="D648" t="inlineStr">
        <is>
          <t>JÄMTLANDS LÄN</t>
        </is>
      </c>
      <c r="E648" t="inlineStr">
        <is>
          <t>HÄRJEDALEN</t>
        </is>
      </c>
      <c r="F648" t="inlineStr">
        <is>
          <t>Holmen skog AB</t>
        </is>
      </c>
      <c r="G648" t="n">
        <v>4.6</v>
      </c>
      <c r="H648" t="n">
        <v>0</v>
      </c>
      <c r="I648" t="n">
        <v>0</v>
      </c>
      <c r="J648" t="n">
        <v>0</v>
      </c>
      <c r="K648" t="n">
        <v>0</v>
      </c>
      <c r="L648" t="n">
        <v>0</v>
      </c>
      <c r="M648" t="n">
        <v>0</v>
      </c>
      <c r="N648" t="n">
        <v>0</v>
      </c>
      <c r="O648" t="n">
        <v>0</v>
      </c>
      <c r="P648" t="n">
        <v>0</v>
      </c>
      <c r="Q648" t="n">
        <v>0</v>
      </c>
      <c r="R648" s="2" t="inlineStr"/>
    </row>
    <row r="649" ht="15" customHeight="1">
      <c r="A649" t="inlineStr">
        <is>
          <t>A 54331-2021</t>
        </is>
      </c>
      <c r="B649" s="1" t="n">
        <v>44472</v>
      </c>
      <c r="C649" s="1" t="n">
        <v>45337</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54420-2021</t>
        </is>
      </c>
      <c r="B650" s="1" t="n">
        <v>44473</v>
      </c>
      <c r="C650" s="1" t="n">
        <v>45337</v>
      </c>
      <c r="D650" t="inlineStr">
        <is>
          <t>JÄMTLANDS LÄN</t>
        </is>
      </c>
      <c r="E650" t="inlineStr">
        <is>
          <t>HÄRJEDALEN</t>
        </is>
      </c>
      <c r="F650" t="inlineStr">
        <is>
          <t>Bergvik skog väst AB</t>
        </is>
      </c>
      <c r="G650" t="n">
        <v>18.5</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45337</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45337</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45337</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45337</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45337</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45337</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45337</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45337</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45337</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45337</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45337</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45337</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45337</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45337</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45337</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45337</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45337</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45337</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45337</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45337</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45337</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45337</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45337</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45337</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45337</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45337</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45337</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45337</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45337</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45337</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45337</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45337</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45337</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61561-2021</t>
        </is>
      </c>
      <c r="B684" s="1" t="n">
        <v>44501</v>
      </c>
      <c r="C684" s="1" t="n">
        <v>45337</v>
      </c>
      <c r="D684" t="inlineStr">
        <is>
          <t>JÄMTLANDS LÄN</t>
        </is>
      </c>
      <c r="E684" t="inlineStr">
        <is>
          <t>HÄRJEDALEN</t>
        </is>
      </c>
      <c r="F684" t="inlineStr">
        <is>
          <t>Bergvik skog väst AB</t>
        </is>
      </c>
      <c r="G684" t="n">
        <v>16.2</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45337</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45337</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45337</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45337</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45337</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45337</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45337</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45337</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45337</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45337</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45337</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45337</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45337</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45337</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45337</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45337</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45337</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45337</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45337</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45337</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45337</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45337</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45337</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45337</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45337</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45337</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45337</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45337</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45337</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45337</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45337</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45337</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45337</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45337</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45337</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45337</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45337</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45337</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45337</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45337</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45337</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45337</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45337</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45337</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45337</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45337</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45337</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45337</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45337</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45337</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45337</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45337</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45337</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45337</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45337</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45337</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45337</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45337</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45337</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45337</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45337</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45337</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45337</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45337</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45337</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45337</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45337</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45337</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14648-2022</t>
        </is>
      </c>
      <c r="B753" s="1" t="n">
        <v>44655</v>
      </c>
      <c r="C753" s="1" t="n">
        <v>45337</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45337</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45337</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45337</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45337</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45337</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45337</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45337</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45337</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45337</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45337</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45337</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45337</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45337</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45337</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45337</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45337</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45337</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45337</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45337</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45337</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45337</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45337</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45337</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45337</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45337</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45337</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45337</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45337</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45337</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45337</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45337</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45337</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45337</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45337</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45337</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45337</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45337</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45337</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45337</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45337</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45337</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45337</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45337</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45337</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45337</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45337</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31061-2022</t>
        </is>
      </c>
      <c r="B800" s="1" t="n">
        <v>44769</v>
      </c>
      <c r="C800" s="1" t="n">
        <v>45337</v>
      </c>
      <c r="D800" t="inlineStr">
        <is>
          <t>JÄMTLANDS LÄN</t>
        </is>
      </c>
      <c r="E800" t="inlineStr">
        <is>
          <t>HÄRJEDALEN</t>
        </is>
      </c>
      <c r="F800" t="inlineStr">
        <is>
          <t>Bergvik skog väst AB</t>
        </is>
      </c>
      <c r="G800" t="n">
        <v>15.8</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45337</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45337</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45337</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45337</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45337</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45337</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45337</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45337</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45337</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45337</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45337</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45337</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45337</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45337</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45337</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45337</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45337</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45337</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45337</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45337</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45337</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45337</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45337</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45337</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45337</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45337</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45337</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45337</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45337</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45337</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45337</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45337</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45337</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45337</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45337</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45337</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45337</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45337</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45337</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45337</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45337</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45337</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45337</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42576-2022</t>
        </is>
      </c>
      <c r="B844" s="1" t="n">
        <v>44831</v>
      </c>
      <c r="C844" s="1" t="n">
        <v>45337</v>
      </c>
      <c r="D844" t="inlineStr">
        <is>
          <t>JÄMTLANDS LÄN</t>
        </is>
      </c>
      <c r="E844" t="inlineStr">
        <is>
          <t>HÄRJEDALEN</t>
        </is>
      </c>
      <c r="F844" t="inlineStr">
        <is>
          <t>Sveaskog</t>
        </is>
      </c>
      <c r="G844" t="n">
        <v>24.4</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45337</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45337</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45337</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45337</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45337</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45337</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45337</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45337</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45337</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45337</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45337</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45337</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45337</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45337</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45337</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45337</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45337</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45337</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50145-2022</t>
        </is>
      </c>
      <c r="B863" s="1" t="n">
        <v>44865</v>
      </c>
      <c r="C863" s="1" t="n">
        <v>45337</v>
      </c>
      <c r="D863" t="inlineStr">
        <is>
          <t>JÄMTLANDS LÄN</t>
        </is>
      </c>
      <c r="E863" t="inlineStr">
        <is>
          <t>HÄRJEDALEN</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49995-2022</t>
        </is>
      </c>
      <c r="B864" s="1" t="n">
        <v>44865</v>
      </c>
      <c r="C864" s="1" t="n">
        <v>45337</v>
      </c>
      <c r="D864" t="inlineStr">
        <is>
          <t>JÄMTLANDS LÄN</t>
        </is>
      </c>
      <c r="E864" t="inlineStr">
        <is>
          <t>HÄRJEDALEN</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51948-2022</t>
        </is>
      </c>
      <c r="B865" s="1" t="n">
        <v>44872</v>
      </c>
      <c r="C865" s="1" t="n">
        <v>45337</v>
      </c>
      <c r="D865" t="inlineStr">
        <is>
          <t>JÄMTLANDS LÄN</t>
        </is>
      </c>
      <c r="E865" t="inlineStr">
        <is>
          <t>HÄRJEDALEN</t>
        </is>
      </c>
      <c r="F865" t="inlineStr">
        <is>
          <t>Bergvik skog väst AB</t>
        </is>
      </c>
      <c r="G865" t="n">
        <v>3.8</v>
      </c>
      <c r="H865" t="n">
        <v>0</v>
      </c>
      <c r="I865" t="n">
        <v>0</v>
      </c>
      <c r="J865" t="n">
        <v>0</v>
      </c>
      <c r="K865" t="n">
        <v>0</v>
      </c>
      <c r="L865" t="n">
        <v>0</v>
      </c>
      <c r="M865" t="n">
        <v>0</v>
      </c>
      <c r="N865" t="n">
        <v>0</v>
      </c>
      <c r="O865" t="n">
        <v>0</v>
      </c>
      <c r="P865" t="n">
        <v>0</v>
      </c>
      <c r="Q865" t="n">
        <v>0</v>
      </c>
      <c r="R865" s="2" t="inlineStr"/>
    </row>
    <row r="866" ht="15" customHeight="1">
      <c r="A866" t="inlineStr">
        <is>
          <t>A 52852-2022</t>
        </is>
      </c>
      <c r="B866" s="1" t="n">
        <v>44872</v>
      </c>
      <c r="C866" s="1" t="n">
        <v>45337</v>
      </c>
      <c r="D866" t="inlineStr">
        <is>
          <t>JÄMTLANDS LÄN</t>
        </is>
      </c>
      <c r="E866" t="inlineStr">
        <is>
          <t>HÄRJEDALEN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52867-2022</t>
        </is>
      </c>
      <c r="B867" s="1" t="n">
        <v>44872</v>
      </c>
      <c r="C867" s="1" t="n">
        <v>45337</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52339-2022</t>
        </is>
      </c>
      <c r="B868" s="1" t="n">
        <v>44873</v>
      </c>
      <c r="C868" s="1" t="n">
        <v>45337</v>
      </c>
      <c r="D868" t="inlineStr">
        <is>
          <t>JÄMTLANDS LÄN</t>
        </is>
      </c>
      <c r="E868" t="inlineStr">
        <is>
          <t>HÄRJEDALEN</t>
        </is>
      </c>
      <c r="G868" t="n">
        <v>28.1</v>
      </c>
      <c r="H868" t="n">
        <v>0</v>
      </c>
      <c r="I868" t="n">
        <v>0</v>
      </c>
      <c r="J868" t="n">
        <v>0</v>
      </c>
      <c r="K868" t="n">
        <v>0</v>
      </c>
      <c r="L868" t="n">
        <v>0</v>
      </c>
      <c r="M868" t="n">
        <v>0</v>
      </c>
      <c r="N868" t="n">
        <v>0</v>
      </c>
      <c r="O868" t="n">
        <v>0</v>
      </c>
      <c r="P868" t="n">
        <v>0</v>
      </c>
      <c r="Q868" t="n">
        <v>0</v>
      </c>
      <c r="R868" s="2" t="inlineStr"/>
    </row>
    <row r="869" ht="15" customHeight="1">
      <c r="A869" t="inlineStr">
        <is>
          <t>A 52586-2022</t>
        </is>
      </c>
      <c r="B869" s="1" t="n">
        <v>44874</v>
      </c>
      <c r="C869" s="1" t="n">
        <v>45337</v>
      </c>
      <c r="D869" t="inlineStr">
        <is>
          <t>JÄMTLANDS LÄN</t>
        </is>
      </c>
      <c r="E869" t="inlineStr">
        <is>
          <t>HÄRJEDALEN</t>
        </is>
      </c>
      <c r="F869" t="inlineStr">
        <is>
          <t>Bergvik skog väst AB</t>
        </is>
      </c>
      <c r="G869" t="n">
        <v>6.1</v>
      </c>
      <c r="H869" t="n">
        <v>0</v>
      </c>
      <c r="I869" t="n">
        <v>0</v>
      </c>
      <c r="J869" t="n">
        <v>0</v>
      </c>
      <c r="K869" t="n">
        <v>0</v>
      </c>
      <c r="L869" t="n">
        <v>0</v>
      </c>
      <c r="M869" t="n">
        <v>0</v>
      </c>
      <c r="N869" t="n">
        <v>0</v>
      </c>
      <c r="O869" t="n">
        <v>0</v>
      </c>
      <c r="P869" t="n">
        <v>0</v>
      </c>
      <c r="Q869" t="n">
        <v>0</v>
      </c>
      <c r="R869" s="2" t="inlineStr"/>
    </row>
    <row r="870" ht="15" customHeight="1">
      <c r="A870" t="inlineStr">
        <is>
          <t>A 53104-2022</t>
        </is>
      </c>
      <c r="B870" s="1" t="n">
        <v>44876</v>
      </c>
      <c r="C870" s="1" t="n">
        <v>45337</v>
      </c>
      <c r="D870" t="inlineStr">
        <is>
          <t>JÄMTLANDS LÄN</t>
        </is>
      </c>
      <c r="E870" t="inlineStr">
        <is>
          <t>HÄRJEDALEN</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53107-2022</t>
        </is>
      </c>
      <c r="B871" s="1" t="n">
        <v>44876</v>
      </c>
      <c r="C871" s="1" t="n">
        <v>45337</v>
      </c>
      <c r="D871" t="inlineStr">
        <is>
          <t>JÄMTLANDS LÄN</t>
        </is>
      </c>
      <c r="E871" t="inlineStr">
        <is>
          <t>HÄRJEDALEN</t>
        </is>
      </c>
      <c r="F871" t="inlineStr">
        <is>
          <t>Bergvik skog väst AB</t>
        </is>
      </c>
      <c r="G871" t="n">
        <v>9.1</v>
      </c>
      <c r="H871" t="n">
        <v>0</v>
      </c>
      <c r="I871" t="n">
        <v>0</v>
      </c>
      <c r="J871" t="n">
        <v>0</v>
      </c>
      <c r="K871" t="n">
        <v>0</v>
      </c>
      <c r="L871" t="n">
        <v>0</v>
      </c>
      <c r="M871" t="n">
        <v>0</v>
      </c>
      <c r="N871" t="n">
        <v>0</v>
      </c>
      <c r="O871" t="n">
        <v>0</v>
      </c>
      <c r="P871" t="n">
        <v>0</v>
      </c>
      <c r="Q871" t="n">
        <v>0</v>
      </c>
      <c r="R871" s="2" t="inlineStr"/>
    </row>
    <row r="872" ht="15" customHeight="1">
      <c r="A872" t="inlineStr">
        <is>
          <t>A 53120-2022</t>
        </is>
      </c>
      <c r="B872" s="1" t="n">
        <v>44876</v>
      </c>
      <c r="C872" s="1" t="n">
        <v>45337</v>
      </c>
      <c r="D872" t="inlineStr">
        <is>
          <t>JÄMTLANDS LÄN</t>
        </is>
      </c>
      <c r="E872" t="inlineStr">
        <is>
          <t>HÄRJEDALEN</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53563-2022</t>
        </is>
      </c>
      <c r="B873" s="1" t="n">
        <v>44879</v>
      </c>
      <c r="C873" s="1" t="n">
        <v>45337</v>
      </c>
      <c r="D873" t="inlineStr">
        <is>
          <t>JÄMTLANDS LÄN</t>
        </is>
      </c>
      <c r="E873" t="inlineStr">
        <is>
          <t>HÄRJEDALEN</t>
        </is>
      </c>
      <c r="G873" t="n">
        <v>8.6</v>
      </c>
      <c r="H873" t="n">
        <v>0</v>
      </c>
      <c r="I873" t="n">
        <v>0</v>
      </c>
      <c r="J873" t="n">
        <v>0</v>
      </c>
      <c r="K873" t="n">
        <v>0</v>
      </c>
      <c r="L873" t="n">
        <v>0</v>
      </c>
      <c r="M873" t="n">
        <v>0</v>
      </c>
      <c r="N873" t="n">
        <v>0</v>
      </c>
      <c r="O873" t="n">
        <v>0</v>
      </c>
      <c r="P873" t="n">
        <v>0</v>
      </c>
      <c r="Q873" t="n">
        <v>0</v>
      </c>
      <c r="R873" s="2" t="inlineStr"/>
    </row>
    <row r="874" ht="15" customHeight="1">
      <c r="A874" t="inlineStr">
        <is>
          <t>A 54059-2022</t>
        </is>
      </c>
      <c r="B874" s="1" t="n">
        <v>44881</v>
      </c>
      <c r="C874" s="1" t="n">
        <v>45337</v>
      </c>
      <c r="D874" t="inlineStr">
        <is>
          <t>JÄMTLANDS LÄN</t>
        </is>
      </c>
      <c r="E874" t="inlineStr">
        <is>
          <t>HÄRJEDALEN</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54065-2022</t>
        </is>
      </c>
      <c r="B875" s="1" t="n">
        <v>44881</v>
      </c>
      <c r="C875" s="1" t="n">
        <v>45337</v>
      </c>
      <c r="D875" t="inlineStr">
        <is>
          <t>JÄMTLANDS LÄN</t>
        </is>
      </c>
      <c r="E875" t="inlineStr">
        <is>
          <t>HÄRJEDALEN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54305-2022</t>
        </is>
      </c>
      <c r="B876" s="1" t="n">
        <v>44882</v>
      </c>
      <c r="C876" s="1" t="n">
        <v>45337</v>
      </c>
      <c r="D876" t="inlineStr">
        <is>
          <t>JÄMTLANDS LÄN</t>
        </is>
      </c>
      <c r="E876" t="inlineStr">
        <is>
          <t>HÄRJEDALEN</t>
        </is>
      </c>
      <c r="G876" t="n">
        <v>2.3</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45337</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54762-2022</t>
        </is>
      </c>
      <c r="B878" s="1" t="n">
        <v>44883</v>
      </c>
      <c r="C878" s="1" t="n">
        <v>45337</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55100-2022</t>
        </is>
      </c>
      <c r="B879" s="1" t="n">
        <v>44886</v>
      </c>
      <c r="C879" s="1" t="n">
        <v>45337</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55103-2022</t>
        </is>
      </c>
      <c r="B880" s="1" t="n">
        <v>44886</v>
      </c>
      <c r="C880" s="1" t="n">
        <v>45337</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55931-2022</t>
        </is>
      </c>
      <c r="B881" s="1" t="n">
        <v>44886</v>
      </c>
      <c r="C881" s="1" t="n">
        <v>45337</v>
      </c>
      <c r="D881" t="inlineStr">
        <is>
          <t>JÄMTLANDS LÄN</t>
        </is>
      </c>
      <c r="E881" t="inlineStr">
        <is>
          <t>HÄRJEDALEN</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45337</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56043-2022</t>
        </is>
      </c>
      <c r="B883" s="1" t="n">
        <v>44889</v>
      </c>
      <c r="C883" s="1" t="n">
        <v>45337</v>
      </c>
      <c r="D883" t="inlineStr">
        <is>
          <t>JÄMTLANDS LÄN</t>
        </is>
      </c>
      <c r="E883" t="inlineStr">
        <is>
          <t>HÄRJEDALEN</t>
        </is>
      </c>
      <c r="G883" t="n">
        <v>1</v>
      </c>
      <c r="H883" t="n">
        <v>0</v>
      </c>
      <c r="I883" t="n">
        <v>0</v>
      </c>
      <c r="J883" t="n">
        <v>0</v>
      </c>
      <c r="K883" t="n">
        <v>0</v>
      </c>
      <c r="L883" t="n">
        <v>0</v>
      </c>
      <c r="M883" t="n">
        <v>0</v>
      </c>
      <c r="N883" t="n">
        <v>0</v>
      </c>
      <c r="O883" t="n">
        <v>0</v>
      </c>
      <c r="P883" t="n">
        <v>0</v>
      </c>
      <c r="Q883" t="n">
        <v>0</v>
      </c>
      <c r="R883" s="2" t="inlineStr"/>
    </row>
    <row r="884" ht="15" customHeight="1">
      <c r="A884" t="inlineStr">
        <is>
          <t>A 57223-2022</t>
        </is>
      </c>
      <c r="B884" s="1" t="n">
        <v>44889</v>
      </c>
      <c r="C884" s="1" t="n">
        <v>45337</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56533-2022</t>
        </is>
      </c>
      <c r="B885" s="1" t="n">
        <v>44893</v>
      </c>
      <c r="C885" s="1" t="n">
        <v>45337</v>
      </c>
      <c r="D885" t="inlineStr">
        <is>
          <t>JÄMTLANDS LÄN</t>
        </is>
      </c>
      <c r="E885" t="inlineStr">
        <is>
          <t>HÄRJEDALEN</t>
        </is>
      </c>
      <c r="F885" t="inlineStr">
        <is>
          <t>Bergvik skog väst AB</t>
        </is>
      </c>
      <c r="G885" t="n">
        <v>3</v>
      </c>
      <c r="H885" t="n">
        <v>0</v>
      </c>
      <c r="I885" t="n">
        <v>0</v>
      </c>
      <c r="J885" t="n">
        <v>0</v>
      </c>
      <c r="K885" t="n">
        <v>0</v>
      </c>
      <c r="L885" t="n">
        <v>0</v>
      </c>
      <c r="M885" t="n">
        <v>0</v>
      </c>
      <c r="N885" t="n">
        <v>0</v>
      </c>
      <c r="O885" t="n">
        <v>0</v>
      </c>
      <c r="P885" t="n">
        <v>0</v>
      </c>
      <c r="Q885" t="n">
        <v>0</v>
      </c>
      <c r="R885" s="2" t="inlineStr"/>
    </row>
    <row r="886" ht="15" customHeight="1">
      <c r="A886" t="inlineStr">
        <is>
          <t>A 56992-2022</t>
        </is>
      </c>
      <c r="B886" s="1" t="n">
        <v>44894</v>
      </c>
      <c r="C886" s="1" t="n">
        <v>45337</v>
      </c>
      <c r="D886" t="inlineStr">
        <is>
          <t>JÄMTLANDS LÄN</t>
        </is>
      </c>
      <c r="E886" t="inlineStr">
        <is>
          <t>HÄRJEDALEN</t>
        </is>
      </c>
      <c r="G886" t="n">
        <v>1.2</v>
      </c>
      <c r="H886" t="n">
        <v>0</v>
      </c>
      <c r="I886" t="n">
        <v>0</v>
      </c>
      <c r="J886" t="n">
        <v>0</v>
      </c>
      <c r="K886" t="n">
        <v>0</v>
      </c>
      <c r="L886" t="n">
        <v>0</v>
      </c>
      <c r="M886" t="n">
        <v>0</v>
      </c>
      <c r="N886" t="n">
        <v>0</v>
      </c>
      <c r="O886" t="n">
        <v>0</v>
      </c>
      <c r="P886" t="n">
        <v>0</v>
      </c>
      <c r="Q886" t="n">
        <v>0</v>
      </c>
      <c r="R886" s="2" t="inlineStr"/>
    </row>
    <row r="887" ht="15" customHeight="1">
      <c r="A887" t="inlineStr">
        <is>
          <t>A 58425-2022</t>
        </is>
      </c>
      <c r="B887" s="1" t="n">
        <v>44901</v>
      </c>
      <c r="C887" s="1" t="n">
        <v>45337</v>
      </c>
      <c r="D887" t="inlineStr">
        <is>
          <t>JÄMTLANDS LÄN</t>
        </is>
      </c>
      <c r="E887" t="inlineStr">
        <is>
          <t>HÄRJEDALEN</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59094-2022</t>
        </is>
      </c>
      <c r="B888" s="1" t="n">
        <v>44904</v>
      </c>
      <c r="C888" s="1" t="n">
        <v>45337</v>
      </c>
      <c r="D888" t="inlineStr">
        <is>
          <t>JÄMTLANDS LÄN</t>
        </is>
      </c>
      <c r="E888" t="inlineStr">
        <is>
          <t>HÄRJEDALEN</t>
        </is>
      </c>
      <c r="F888" t="inlineStr">
        <is>
          <t>Bergvik skog väst AB</t>
        </is>
      </c>
      <c r="G888" t="n">
        <v>49.8</v>
      </c>
      <c r="H888" t="n">
        <v>0</v>
      </c>
      <c r="I888" t="n">
        <v>0</v>
      </c>
      <c r="J888" t="n">
        <v>0</v>
      </c>
      <c r="K888" t="n">
        <v>0</v>
      </c>
      <c r="L888" t="n">
        <v>0</v>
      </c>
      <c r="M888" t="n">
        <v>0</v>
      </c>
      <c r="N888" t="n">
        <v>0</v>
      </c>
      <c r="O888" t="n">
        <v>0</v>
      </c>
      <c r="P888" t="n">
        <v>0</v>
      </c>
      <c r="Q888" t="n">
        <v>0</v>
      </c>
      <c r="R888" s="2" t="inlineStr"/>
    </row>
    <row r="889" ht="15" customHeight="1">
      <c r="A889" t="inlineStr">
        <is>
          <t>A 59112-2022</t>
        </is>
      </c>
      <c r="B889" s="1" t="n">
        <v>44904</v>
      </c>
      <c r="C889" s="1" t="n">
        <v>45337</v>
      </c>
      <c r="D889" t="inlineStr">
        <is>
          <t>JÄMTLANDS LÄN</t>
        </is>
      </c>
      <c r="E889" t="inlineStr">
        <is>
          <t>HÄRJEDALEN</t>
        </is>
      </c>
      <c r="F889" t="inlineStr">
        <is>
          <t>Bergvik skog väst AB</t>
        </is>
      </c>
      <c r="G889" t="n">
        <v>5.7</v>
      </c>
      <c r="H889" t="n">
        <v>0</v>
      </c>
      <c r="I889" t="n">
        <v>0</v>
      </c>
      <c r="J889" t="n">
        <v>0</v>
      </c>
      <c r="K889" t="n">
        <v>0</v>
      </c>
      <c r="L889" t="n">
        <v>0</v>
      </c>
      <c r="M889" t="n">
        <v>0</v>
      </c>
      <c r="N889" t="n">
        <v>0</v>
      </c>
      <c r="O889" t="n">
        <v>0</v>
      </c>
      <c r="P889" t="n">
        <v>0</v>
      </c>
      <c r="Q889" t="n">
        <v>0</v>
      </c>
      <c r="R889" s="2" t="inlineStr"/>
    </row>
    <row r="890" ht="15" customHeight="1">
      <c r="A890" t="inlineStr">
        <is>
          <t>A 59824-2022</t>
        </is>
      </c>
      <c r="B890" s="1" t="n">
        <v>44908</v>
      </c>
      <c r="C890" s="1" t="n">
        <v>45337</v>
      </c>
      <c r="D890" t="inlineStr">
        <is>
          <t>JÄMTLANDS LÄN</t>
        </is>
      </c>
      <c r="E890" t="inlineStr">
        <is>
          <t>HÄRJEDALEN</t>
        </is>
      </c>
      <c r="G890" t="n">
        <v>4.9</v>
      </c>
      <c r="H890" t="n">
        <v>0</v>
      </c>
      <c r="I890" t="n">
        <v>0</v>
      </c>
      <c r="J890" t="n">
        <v>0</v>
      </c>
      <c r="K890" t="n">
        <v>0</v>
      </c>
      <c r="L890" t="n">
        <v>0</v>
      </c>
      <c r="M890" t="n">
        <v>0</v>
      </c>
      <c r="N890" t="n">
        <v>0</v>
      </c>
      <c r="O890" t="n">
        <v>0</v>
      </c>
      <c r="P890" t="n">
        <v>0</v>
      </c>
      <c r="Q890" t="n">
        <v>0</v>
      </c>
      <c r="R890" s="2" t="inlineStr"/>
    </row>
    <row r="891" ht="15" customHeight="1">
      <c r="A891" t="inlineStr">
        <is>
          <t>A 59851-2022</t>
        </is>
      </c>
      <c r="B891" s="1" t="n">
        <v>44908</v>
      </c>
      <c r="C891" s="1" t="n">
        <v>45337</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59828-2022</t>
        </is>
      </c>
      <c r="B892" s="1" t="n">
        <v>44908</v>
      </c>
      <c r="C892" s="1" t="n">
        <v>45337</v>
      </c>
      <c r="D892" t="inlineStr">
        <is>
          <t>JÄMTLANDS LÄN</t>
        </is>
      </c>
      <c r="E892" t="inlineStr">
        <is>
          <t>HÄRJEDALEN</t>
        </is>
      </c>
      <c r="G892" t="n">
        <v>7.4</v>
      </c>
      <c r="H892" t="n">
        <v>0</v>
      </c>
      <c r="I892" t="n">
        <v>0</v>
      </c>
      <c r="J892" t="n">
        <v>0</v>
      </c>
      <c r="K892" t="n">
        <v>0</v>
      </c>
      <c r="L892" t="n">
        <v>0</v>
      </c>
      <c r="M892" t="n">
        <v>0</v>
      </c>
      <c r="N892" t="n">
        <v>0</v>
      </c>
      <c r="O892" t="n">
        <v>0</v>
      </c>
      <c r="P892" t="n">
        <v>0</v>
      </c>
      <c r="Q892" t="n">
        <v>0</v>
      </c>
      <c r="R892" s="2" t="inlineStr"/>
    </row>
    <row r="893" ht="15" customHeight="1">
      <c r="A893" t="inlineStr">
        <is>
          <t>A 59818-2022</t>
        </is>
      </c>
      <c r="B893" s="1" t="n">
        <v>44908</v>
      </c>
      <c r="C893" s="1" t="n">
        <v>45337</v>
      </c>
      <c r="D893" t="inlineStr">
        <is>
          <t>JÄMTLANDS LÄN</t>
        </is>
      </c>
      <c r="E893" t="inlineStr">
        <is>
          <t>HÄRJEDALEN</t>
        </is>
      </c>
      <c r="G893" t="n">
        <v>5.3</v>
      </c>
      <c r="H893" t="n">
        <v>0</v>
      </c>
      <c r="I893" t="n">
        <v>0</v>
      </c>
      <c r="J893" t="n">
        <v>0</v>
      </c>
      <c r="K893" t="n">
        <v>0</v>
      </c>
      <c r="L893" t="n">
        <v>0</v>
      </c>
      <c r="M893" t="n">
        <v>0</v>
      </c>
      <c r="N893" t="n">
        <v>0</v>
      </c>
      <c r="O893" t="n">
        <v>0</v>
      </c>
      <c r="P893" t="n">
        <v>0</v>
      </c>
      <c r="Q893" t="n">
        <v>0</v>
      </c>
      <c r="R893" s="2" t="inlineStr"/>
    </row>
    <row r="894" ht="15" customHeight="1">
      <c r="A894" t="inlineStr">
        <is>
          <t>A 61300-2022</t>
        </is>
      </c>
      <c r="B894" s="1" t="n">
        <v>44909</v>
      </c>
      <c r="C894" s="1" t="n">
        <v>45337</v>
      </c>
      <c r="D894" t="inlineStr">
        <is>
          <t>JÄMTLANDS LÄN</t>
        </is>
      </c>
      <c r="E894" t="inlineStr">
        <is>
          <t>HÄRJEDALEN</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60236-2022</t>
        </is>
      </c>
      <c r="B895" s="1" t="n">
        <v>44910</v>
      </c>
      <c r="C895" s="1" t="n">
        <v>45337</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60542-2022</t>
        </is>
      </c>
      <c r="B896" s="1" t="n">
        <v>44911</v>
      </c>
      <c r="C896" s="1" t="n">
        <v>45337</v>
      </c>
      <c r="D896" t="inlineStr">
        <is>
          <t>JÄMTLANDS LÄN</t>
        </is>
      </c>
      <c r="E896" t="inlineStr">
        <is>
          <t>HÄRJEDALEN</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60887-2022</t>
        </is>
      </c>
      <c r="B897" s="1" t="n">
        <v>44914</v>
      </c>
      <c r="C897" s="1" t="n">
        <v>45337</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60983-2022</t>
        </is>
      </c>
      <c r="B898" s="1" t="n">
        <v>44914</v>
      </c>
      <c r="C898" s="1" t="n">
        <v>45337</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60897-2022</t>
        </is>
      </c>
      <c r="B899" s="1" t="n">
        <v>44914</v>
      </c>
      <c r="C899" s="1" t="n">
        <v>45337</v>
      </c>
      <c r="D899" t="inlineStr">
        <is>
          <t>JÄMTLANDS LÄN</t>
        </is>
      </c>
      <c r="E899" t="inlineStr">
        <is>
          <t>HÄRJEDALEN</t>
        </is>
      </c>
      <c r="F899" t="inlineStr">
        <is>
          <t>Holmen skog AB</t>
        </is>
      </c>
      <c r="G899" t="n">
        <v>0.3</v>
      </c>
      <c r="H899" t="n">
        <v>0</v>
      </c>
      <c r="I899" t="n">
        <v>0</v>
      </c>
      <c r="J899" t="n">
        <v>0</v>
      </c>
      <c r="K899" t="n">
        <v>0</v>
      </c>
      <c r="L899" t="n">
        <v>0</v>
      </c>
      <c r="M899" t="n">
        <v>0</v>
      </c>
      <c r="N899" t="n">
        <v>0</v>
      </c>
      <c r="O899" t="n">
        <v>0</v>
      </c>
      <c r="P899" t="n">
        <v>0</v>
      </c>
      <c r="Q899" t="n">
        <v>0</v>
      </c>
      <c r="R899" s="2" t="inlineStr"/>
      <c r="U899">
        <f>HYPERLINK("https://klasma.github.io/Logging_2361/knärot/A 60897-2022 karta knärot.png", "A 60897-2022")</f>
        <v/>
      </c>
      <c r="V899">
        <f>HYPERLINK("https://klasma.github.io/Logging_2361/klagomål/A 60897-2022 FSC-klagomål.docx", "A 60897-2022")</f>
        <v/>
      </c>
      <c r="W899">
        <f>HYPERLINK("https://klasma.github.io/Logging_2361/klagomålsmail/A 60897-2022 FSC-klagomål mail.docx", "A 60897-2022")</f>
        <v/>
      </c>
      <c r="X899">
        <f>HYPERLINK("https://klasma.github.io/Logging_2361/tillsyn/A 60897-2022 tillsynsbegäran.docx", "A 60897-2022")</f>
        <v/>
      </c>
      <c r="Y899">
        <f>HYPERLINK("https://klasma.github.io/Logging_2361/tillsynsmail/A 60897-2022 tillsynsbegäran mail.docx", "A 60897-2022")</f>
        <v/>
      </c>
    </row>
    <row r="900" ht="15" customHeight="1">
      <c r="A900" t="inlineStr">
        <is>
          <t>A 60933-2022</t>
        </is>
      </c>
      <c r="B900" s="1" t="n">
        <v>44914</v>
      </c>
      <c r="C900" s="1" t="n">
        <v>45337</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61571-2022</t>
        </is>
      </c>
      <c r="B901" s="1" t="n">
        <v>44916</v>
      </c>
      <c r="C901" s="1" t="n">
        <v>45337</v>
      </c>
      <c r="D901" t="inlineStr">
        <is>
          <t>JÄMTLANDS LÄN</t>
        </is>
      </c>
      <c r="E901" t="inlineStr">
        <is>
          <t>HÄRJEDALEN</t>
        </is>
      </c>
      <c r="G901" t="n">
        <v>3.4</v>
      </c>
      <c r="H901" t="n">
        <v>0</v>
      </c>
      <c r="I901" t="n">
        <v>0</v>
      </c>
      <c r="J901" t="n">
        <v>0</v>
      </c>
      <c r="K901" t="n">
        <v>0</v>
      </c>
      <c r="L901" t="n">
        <v>0</v>
      </c>
      <c r="M901" t="n">
        <v>0</v>
      </c>
      <c r="N901" t="n">
        <v>0</v>
      </c>
      <c r="O901" t="n">
        <v>0</v>
      </c>
      <c r="P901" t="n">
        <v>0</v>
      </c>
      <c r="Q901" t="n">
        <v>0</v>
      </c>
      <c r="R901" s="2" t="inlineStr"/>
    </row>
    <row r="902" ht="15" customHeight="1">
      <c r="A902" t="inlineStr">
        <is>
          <t>A 62500-2022</t>
        </is>
      </c>
      <c r="B902" s="1" t="n">
        <v>44924</v>
      </c>
      <c r="C902" s="1" t="n">
        <v>45337</v>
      </c>
      <c r="D902" t="inlineStr">
        <is>
          <t>JÄMTLANDS LÄN</t>
        </is>
      </c>
      <c r="E902" t="inlineStr">
        <is>
          <t>HÄRJEDALEN</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62513-2022</t>
        </is>
      </c>
      <c r="B903" s="1" t="n">
        <v>44924</v>
      </c>
      <c r="C903" s="1" t="n">
        <v>45337</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62535-2022</t>
        </is>
      </c>
      <c r="B904" s="1" t="n">
        <v>44924</v>
      </c>
      <c r="C904" s="1" t="n">
        <v>45337</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62505-2022</t>
        </is>
      </c>
      <c r="B905" s="1" t="n">
        <v>44924</v>
      </c>
      <c r="C905" s="1" t="n">
        <v>45337</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62533-2022</t>
        </is>
      </c>
      <c r="B906" s="1" t="n">
        <v>44924</v>
      </c>
      <c r="C906" s="1" t="n">
        <v>45337</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45337</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62696-2022</t>
        </is>
      </c>
      <c r="B908" s="1" t="n">
        <v>44925</v>
      </c>
      <c r="C908" s="1" t="n">
        <v>45337</v>
      </c>
      <c r="D908" t="inlineStr">
        <is>
          <t>JÄMTLANDS LÄN</t>
        </is>
      </c>
      <c r="E908" t="inlineStr">
        <is>
          <t>HÄRJEDALEN</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62702-2022</t>
        </is>
      </c>
      <c r="B909" s="1" t="n">
        <v>44925</v>
      </c>
      <c r="C909" s="1" t="n">
        <v>45337</v>
      </c>
      <c r="D909" t="inlineStr">
        <is>
          <t>JÄMTLANDS LÄN</t>
        </is>
      </c>
      <c r="E909" t="inlineStr">
        <is>
          <t>HÄRJEDALEN</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62719-2022</t>
        </is>
      </c>
      <c r="B910" s="1" t="n">
        <v>44925</v>
      </c>
      <c r="C910" s="1" t="n">
        <v>45337</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62724-2022</t>
        </is>
      </c>
      <c r="B911" s="1" t="n">
        <v>44925</v>
      </c>
      <c r="C911" s="1" t="n">
        <v>45337</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62599-2022</t>
        </is>
      </c>
      <c r="B912" s="1" t="n">
        <v>44925</v>
      </c>
      <c r="C912" s="1" t="n">
        <v>45337</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62641-2022</t>
        </is>
      </c>
      <c r="B913" s="1" t="n">
        <v>44925</v>
      </c>
      <c r="C913" s="1" t="n">
        <v>45337</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62591-2022</t>
        </is>
      </c>
      <c r="B914" s="1" t="n">
        <v>44925</v>
      </c>
      <c r="C914" s="1" t="n">
        <v>45337</v>
      </c>
      <c r="D914" t="inlineStr">
        <is>
          <t>JÄMTLANDS LÄN</t>
        </is>
      </c>
      <c r="E914" t="inlineStr">
        <is>
          <t>HÄRJEDALEN</t>
        </is>
      </c>
      <c r="G914" t="n">
        <v>32.7</v>
      </c>
      <c r="H914" t="n">
        <v>0</v>
      </c>
      <c r="I914" t="n">
        <v>0</v>
      </c>
      <c r="J914" t="n">
        <v>0</v>
      </c>
      <c r="K914" t="n">
        <v>0</v>
      </c>
      <c r="L914" t="n">
        <v>0</v>
      </c>
      <c r="M914" t="n">
        <v>0</v>
      </c>
      <c r="N914" t="n">
        <v>0</v>
      </c>
      <c r="O914" t="n">
        <v>0</v>
      </c>
      <c r="P914" t="n">
        <v>0</v>
      </c>
      <c r="Q914" t="n">
        <v>0</v>
      </c>
      <c r="R914" s="2" t="inlineStr"/>
    </row>
    <row r="915" ht="15" customHeight="1">
      <c r="A915" t="inlineStr">
        <is>
          <t>A 62653-2022</t>
        </is>
      </c>
      <c r="B915" s="1" t="n">
        <v>44925</v>
      </c>
      <c r="C915" s="1" t="n">
        <v>45337</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62687-2022</t>
        </is>
      </c>
      <c r="B916" s="1" t="n">
        <v>44925</v>
      </c>
      <c r="C916" s="1" t="n">
        <v>45337</v>
      </c>
      <c r="D916" t="inlineStr">
        <is>
          <t>JÄMTLANDS LÄN</t>
        </is>
      </c>
      <c r="E916" t="inlineStr">
        <is>
          <t>HÄRJEDALEN</t>
        </is>
      </c>
      <c r="F916" t="inlineStr">
        <is>
          <t>Holmen skog AB</t>
        </is>
      </c>
      <c r="G916" t="n">
        <v>5.7</v>
      </c>
      <c r="H916" t="n">
        <v>0</v>
      </c>
      <c r="I916" t="n">
        <v>0</v>
      </c>
      <c r="J916" t="n">
        <v>0</v>
      </c>
      <c r="K916" t="n">
        <v>0</v>
      </c>
      <c r="L916" t="n">
        <v>0</v>
      </c>
      <c r="M916" t="n">
        <v>0</v>
      </c>
      <c r="N916" t="n">
        <v>0</v>
      </c>
      <c r="O916" t="n">
        <v>0</v>
      </c>
      <c r="P916" t="n">
        <v>0</v>
      </c>
      <c r="Q916" t="n">
        <v>0</v>
      </c>
      <c r="R916" s="2" t="inlineStr"/>
    </row>
    <row r="917" ht="15" customHeight="1">
      <c r="A917" t="inlineStr">
        <is>
          <t>A 62694-2022</t>
        </is>
      </c>
      <c r="B917" s="1" t="n">
        <v>44925</v>
      </c>
      <c r="C917" s="1" t="n">
        <v>45337</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62708-2022</t>
        </is>
      </c>
      <c r="B918" s="1" t="n">
        <v>44925</v>
      </c>
      <c r="C918" s="1" t="n">
        <v>45337</v>
      </c>
      <c r="D918" t="inlineStr">
        <is>
          <t>JÄMTLANDS LÄN</t>
        </is>
      </c>
      <c r="E918" t="inlineStr">
        <is>
          <t>HÄRJEDALEN</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62590-2022</t>
        </is>
      </c>
      <c r="B919" s="1" t="n">
        <v>44925</v>
      </c>
      <c r="C919" s="1" t="n">
        <v>45337</v>
      </c>
      <c r="D919" t="inlineStr">
        <is>
          <t>JÄMTLANDS LÄN</t>
        </is>
      </c>
      <c r="E919" t="inlineStr">
        <is>
          <t>HÄRJEDALEN</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62684-2022</t>
        </is>
      </c>
      <c r="B920" s="1" t="n">
        <v>44925</v>
      </c>
      <c r="C920" s="1" t="n">
        <v>45337</v>
      </c>
      <c r="D920" t="inlineStr">
        <is>
          <t>JÄMTLANDS LÄN</t>
        </is>
      </c>
      <c r="E920" t="inlineStr">
        <is>
          <t>HÄRJEDALEN</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62699-2022</t>
        </is>
      </c>
      <c r="B921" s="1" t="n">
        <v>44925</v>
      </c>
      <c r="C921" s="1" t="n">
        <v>45337</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62706-2022</t>
        </is>
      </c>
      <c r="B922" s="1" t="n">
        <v>44925</v>
      </c>
      <c r="C922" s="1" t="n">
        <v>45337</v>
      </c>
      <c r="D922" t="inlineStr">
        <is>
          <t>JÄMTLANDS LÄN</t>
        </is>
      </c>
      <c r="E922" t="inlineStr">
        <is>
          <t>HÄRJEDALEN</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62721-2022</t>
        </is>
      </c>
      <c r="B923" s="1" t="n">
        <v>44925</v>
      </c>
      <c r="C923" s="1" t="n">
        <v>45337</v>
      </c>
      <c r="D923" t="inlineStr">
        <is>
          <t>JÄMTLANDS LÄN</t>
        </is>
      </c>
      <c r="E923" t="inlineStr">
        <is>
          <t>HÄRJEDALEN</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105-2023</t>
        </is>
      </c>
      <c r="B924" s="1" t="n">
        <v>44928</v>
      </c>
      <c r="C924" s="1" t="n">
        <v>45337</v>
      </c>
      <c r="D924" t="inlineStr">
        <is>
          <t>JÄMTLANDS LÄN</t>
        </is>
      </c>
      <c r="E924" t="inlineStr">
        <is>
          <t>HÄRJEDALEN</t>
        </is>
      </c>
      <c r="F924" t="inlineStr">
        <is>
          <t>Holmen skog AB</t>
        </is>
      </c>
      <c r="G924" t="n">
        <v>17.5</v>
      </c>
      <c r="H924" t="n">
        <v>0</v>
      </c>
      <c r="I924" t="n">
        <v>0</v>
      </c>
      <c r="J924" t="n">
        <v>0</v>
      </c>
      <c r="K924" t="n">
        <v>0</v>
      </c>
      <c r="L924" t="n">
        <v>0</v>
      </c>
      <c r="M924" t="n">
        <v>0</v>
      </c>
      <c r="N924" t="n">
        <v>0</v>
      </c>
      <c r="O924" t="n">
        <v>0</v>
      </c>
      <c r="P924" t="n">
        <v>0</v>
      </c>
      <c r="Q924" t="n">
        <v>0</v>
      </c>
      <c r="R924" s="2" t="inlineStr"/>
    </row>
    <row r="925" ht="15" customHeight="1">
      <c r="A925" t="inlineStr">
        <is>
          <t>A 29-2023</t>
        </is>
      </c>
      <c r="B925" s="1" t="n">
        <v>44928</v>
      </c>
      <c r="C925" s="1" t="n">
        <v>45337</v>
      </c>
      <c r="D925" t="inlineStr">
        <is>
          <t>JÄMTLANDS LÄN</t>
        </is>
      </c>
      <c r="E925" t="inlineStr">
        <is>
          <t>HÄRJEDALEN</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35-2023</t>
        </is>
      </c>
      <c r="B926" s="1" t="n">
        <v>44928</v>
      </c>
      <c r="C926" s="1" t="n">
        <v>45337</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78-2023</t>
        </is>
      </c>
      <c r="B927" s="1" t="n">
        <v>44928</v>
      </c>
      <c r="C927" s="1" t="n">
        <v>45337</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103-2023</t>
        </is>
      </c>
      <c r="B928" s="1" t="n">
        <v>44928</v>
      </c>
      <c r="C928" s="1" t="n">
        <v>45337</v>
      </c>
      <c r="D928" t="inlineStr">
        <is>
          <t>JÄMTLANDS LÄN</t>
        </is>
      </c>
      <c r="E928" t="inlineStr">
        <is>
          <t>HÄRJEDALEN</t>
        </is>
      </c>
      <c r="F928" t="inlineStr">
        <is>
          <t>Holmen skog AB</t>
        </is>
      </c>
      <c r="G928" t="n">
        <v>6.9</v>
      </c>
      <c r="H928" t="n">
        <v>0</v>
      </c>
      <c r="I928" t="n">
        <v>0</v>
      </c>
      <c r="J928" t="n">
        <v>0</v>
      </c>
      <c r="K928" t="n">
        <v>0</v>
      </c>
      <c r="L928" t="n">
        <v>0</v>
      </c>
      <c r="M928" t="n">
        <v>0</v>
      </c>
      <c r="N928" t="n">
        <v>0</v>
      </c>
      <c r="O928" t="n">
        <v>0</v>
      </c>
      <c r="P928" t="n">
        <v>0</v>
      </c>
      <c r="Q928" t="n">
        <v>0</v>
      </c>
      <c r="R928" s="2" t="inlineStr"/>
    </row>
    <row r="929" ht="15" customHeight="1">
      <c r="A929" t="inlineStr">
        <is>
          <t>A 166-2023</t>
        </is>
      </c>
      <c r="B929" s="1" t="n">
        <v>44928</v>
      </c>
      <c r="C929" s="1" t="n">
        <v>45337</v>
      </c>
      <c r="D929" t="inlineStr">
        <is>
          <t>JÄMTLANDS LÄN</t>
        </is>
      </c>
      <c r="E929" t="inlineStr">
        <is>
          <t>HÄRJEDALEN</t>
        </is>
      </c>
      <c r="F929" t="inlineStr">
        <is>
          <t>Holmen skog AB</t>
        </is>
      </c>
      <c r="G929" t="n">
        <v>13.5</v>
      </c>
      <c r="H929" t="n">
        <v>0</v>
      </c>
      <c r="I929" t="n">
        <v>0</v>
      </c>
      <c r="J929" t="n">
        <v>0</v>
      </c>
      <c r="K929" t="n">
        <v>0</v>
      </c>
      <c r="L929" t="n">
        <v>0</v>
      </c>
      <c r="M929" t="n">
        <v>0</v>
      </c>
      <c r="N929" t="n">
        <v>0</v>
      </c>
      <c r="O929" t="n">
        <v>0</v>
      </c>
      <c r="P929" t="n">
        <v>0</v>
      </c>
      <c r="Q929" t="n">
        <v>0</v>
      </c>
      <c r="R929" s="2" t="inlineStr"/>
    </row>
    <row r="930" ht="15" customHeight="1">
      <c r="A930" t="inlineStr">
        <is>
          <t>A 176-2023</t>
        </is>
      </c>
      <c r="B930" s="1" t="n">
        <v>44928</v>
      </c>
      <c r="C930" s="1" t="n">
        <v>45337</v>
      </c>
      <c r="D930" t="inlineStr">
        <is>
          <t>JÄMTLANDS LÄN</t>
        </is>
      </c>
      <c r="E930" t="inlineStr">
        <is>
          <t>HÄRJEDALEN</t>
        </is>
      </c>
      <c r="F930" t="inlineStr">
        <is>
          <t>Holmen skog AB</t>
        </is>
      </c>
      <c r="G930" t="n">
        <v>5.9</v>
      </c>
      <c r="H930" t="n">
        <v>0</v>
      </c>
      <c r="I930" t="n">
        <v>0</v>
      </c>
      <c r="J930" t="n">
        <v>0</v>
      </c>
      <c r="K930" t="n">
        <v>0</v>
      </c>
      <c r="L930" t="n">
        <v>0</v>
      </c>
      <c r="M930" t="n">
        <v>0</v>
      </c>
      <c r="N930" t="n">
        <v>0</v>
      </c>
      <c r="O930" t="n">
        <v>0</v>
      </c>
      <c r="P930" t="n">
        <v>0</v>
      </c>
      <c r="Q930" t="n">
        <v>0</v>
      </c>
      <c r="R930" s="2" t="inlineStr"/>
    </row>
    <row r="931" ht="15" customHeight="1">
      <c r="A931" t="inlineStr">
        <is>
          <t>A 171-2023</t>
        </is>
      </c>
      <c r="B931" s="1" t="n">
        <v>44928</v>
      </c>
      <c r="C931" s="1" t="n">
        <v>45337</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1907-2023</t>
        </is>
      </c>
      <c r="B932" s="1" t="n">
        <v>44939</v>
      </c>
      <c r="C932" s="1" t="n">
        <v>45337</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1954-2023</t>
        </is>
      </c>
      <c r="B933" s="1" t="n">
        <v>44939</v>
      </c>
      <c r="C933" s="1" t="n">
        <v>45337</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4196-2023</t>
        </is>
      </c>
      <c r="B934" s="1" t="n">
        <v>44953</v>
      </c>
      <c r="C934" s="1" t="n">
        <v>45337</v>
      </c>
      <c r="D934" t="inlineStr">
        <is>
          <t>JÄMTLANDS LÄN</t>
        </is>
      </c>
      <c r="E934" t="inlineStr">
        <is>
          <t>HÄRJEDALEN</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4694-2023</t>
        </is>
      </c>
      <c r="B935" s="1" t="n">
        <v>44957</v>
      </c>
      <c r="C935" s="1" t="n">
        <v>45337</v>
      </c>
      <c r="D935" t="inlineStr">
        <is>
          <t>JÄMTLANDS LÄN</t>
        </is>
      </c>
      <c r="E935" t="inlineStr">
        <is>
          <t>HÄRJEDALEN</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4712-2023</t>
        </is>
      </c>
      <c r="B936" s="1" t="n">
        <v>44957</v>
      </c>
      <c r="C936" s="1" t="n">
        <v>45337</v>
      </c>
      <c r="D936" t="inlineStr">
        <is>
          <t>JÄMTLANDS LÄN</t>
        </is>
      </c>
      <c r="E936" t="inlineStr">
        <is>
          <t>HÄRJEDALEN</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4711-2023</t>
        </is>
      </c>
      <c r="B937" s="1" t="n">
        <v>44957</v>
      </c>
      <c r="C937" s="1" t="n">
        <v>45337</v>
      </c>
      <c r="D937" t="inlineStr">
        <is>
          <t>JÄMTLANDS LÄN</t>
        </is>
      </c>
      <c r="E937" t="inlineStr">
        <is>
          <t>HÄRJEDALEN</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4782-2023</t>
        </is>
      </c>
      <c r="B938" s="1" t="n">
        <v>44957</v>
      </c>
      <c r="C938" s="1" t="n">
        <v>45337</v>
      </c>
      <c r="D938" t="inlineStr">
        <is>
          <t>JÄMTLANDS LÄN</t>
        </is>
      </c>
      <c r="E938" t="inlineStr">
        <is>
          <t>HÄRJEDALEN</t>
        </is>
      </c>
      <c r="F938" t="inlineStr">
        <is>
          <t>Holmen skog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45337</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5640-2023</t>
        </is>
      </c>
      <c r="B940" s="1" t="n">
        <v>44960</v>
      </c>
      <c r="C940" s="1" t="n">
        <v>45337</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6001-2023</t>
        </is>
      </c>
      <c r="B941" s="1" t="n">
        <v>44964</v>
      </c>
      <c r="C941" s="1" t="n">
        <v>45337</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6124-2023</t>
        </is>
      </c>
      <c r="B942" s="1" t="n">
        <v>44964</v>
      </c>
      <c r="C942" s="1" t="n">
        <v>45337</v>
      </c>
      <c r="D942" t="inlineStr">
        <is>
          <t>JÄMTLANDS LÄN</t>
        </is>
      </c>
      <c r="E942" t="inlineStr">
        <is>
          <t>HÄRJEDALEN</t>
        </is>
      </c>
      <c r="G942" t="n">
        <v>20</v>
      </c>
      <c r="H942" t="n">
        <v>0</v>
      </c>
      <c r="I942" t="n">
        <v>0</v>
      </c>
      <c r="J942" t="n">
        <v>0</v>
      </c>
      <c r="K942" t="n">
        <v>0</v>
      </c>
      <c r="L942" t="n">
        <v>0</v>
      </c>
      <c r="M942" t="n">
        <v>0</v>
      </c>
      <c r="N942" t="n">
        <v>0</v>
      </c>
      <c r="O942" t="n">
        <v>0</v>
      </c>
      <c r="P942" t="n">
        <v>0</v>
      </c>
      <c r="Q942" t="n">
        <v>0</v>
      </c>
      <c r="R942" s="2" t="inlineStr"/>
    </row>
    <row r="943" ht="15" customHeight="1">
      <c r="A943" t="inlineStr">
        <is>
          <t>A 7636-2023</t>
        </is>
      </c>
      <c r="B943" s="1" t="n">
        <v>44972</v>
      </c>
      <c r="C943" s="1" t="n">
        <v>45337</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8365-2023</t>
        </is>
      </c>
      <c r="B944" s="1" t="n">
        <v>44977</v>
      </c>
      <c r="C944" s="1" t="n">
        <v>45337</v>
      </c>
      <c r="D944" t="inlineStr">
        <is>
          <t>JÄMTLANDS LÄN</t>
        </is>
      </c>
      <c r="E944" t="inlineStr">
        <is>
          <t>HÄRJEDALEN</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8420-2023</t>
        </is>
      </c>
      <c r="B945" s="1" t="n">
        <v>44977</v>
      </c>
      <c r="C945" s="1" t="n">
        <v>45337</v>
      </c>
      <c r="D945" t="inlineStr">
        <is>
          <t>JÄMTLANDS LÄN</t>
        </is>
      </c>
      <c r="E945" t="inlineStr">
        <is>
          <t>HÄRJEDALEN</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8577-2023</t>
        </is>
      </c>
      <c r="B946" s="1" t="n">
        <v>44977</v>
      </c>
      <c r="C946" s="1" t="n">
        <v>45337</v>
      </c>
      <c r="D946" t="inlineStr">
        <is>
          <t>JÄMTLANDS LÄN</t>
        </is>
      </c>
      <c r="E946" t="inlineStr">
        <is>
          <t>HÄRJEDALEN</t>
        </is>
      </c>
      <c r="G946" t="n">
        <v>19.6</v>
      </c>
      <c r="H946" t="n">
        <v>0</v>
      </c>
      <c r="I946" t="n">
        <v>0</v>
      </c>
      <c r="J946" t="n">
        <v>0</v>
      </c>
      <c r="K946" t="n">
        <v>0</v>
      </c>
      <c r="L946" t="n">
        <v>0</v>
      </c>
      <c r="M946" t="n">
        <v>0</v>
      </c>
      <c r="N946" t="n">
        <v>0</v>
      </c>
      <c r="O946" t="n">
        <v>0</v>
      </c>
      <c r="P946" t="n">
        <v>0</v>
      </c>
      <c r="Q946" t="n">
        <v>0</v>
      </c>
      <c r="R946" s="2" t="inlineStr"/>
    </row>
    <row r="947" ht="15" customHeight="1">
      <c r="A947" t="inlineStr">
        <is>
          <t>A 8804-2023</t>
        </is>
      </c>
      <c r="B947" s="1" t="n">
        <v>44978</v>
      </c>
      <c r="C947" s="1" t="n">
        <v>45337</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9188-2023</t>
        </is>
      </c>
      <c r="B948" s="1" t="n">
        <v>44980</v>
      </c>
      <c r="C948" s="1" t="n">
        <v>45337</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9998-2023</t>
        </is>
      </c>
      <c r="B949" s="1" t="n">
        <v>44985</v>
      </c>
      <c r="C949" s="1" t="n">
        <v>45337</v>
      </c>
      <c r="D949" t="inlineStr">
        <is>
          <t>JÄMTLANDS LÄN</t>
        </is>
      </c>
      <c r="E949" t="inlineStr">
        <is>
          <t>HÄRJEDALEN</t>
        </is>
      </c>
      <c r="F949" t="inlineStr">
        <is>
          <t>Holmen skog AB</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10002-2023</t>
        </is>
      </c>
      <c r="B950" s="1" t="n">
        <v>44985</v>
      </c>
      <c r="C950" s="1" t="n">
        <v>45337</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10006-2023</t>
        </is>
      </c>
      <c r="B951" s="1" t="n">
        <v>44985</v>
      </c>
      <c r="C951" s="1" t="n">
        <v>45337</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10000-2023</t>
        </is>
      </c>
      <c r="B952" s="1" t="n">
        <v>44985</v>
      </c>
      <c r="C952" s="1" t="n">
        <v>45337</v>
      </c>
      <c r="D952" t="inlineStr">
        <is>
          <t>JÄMTLANDS LÄN</t>
        </is>
      </c>
      <c r="E952" t="inlineStr">
        <is>
          <t>HÄRJEDALEN</t>
        </is>
      </c>
      <c r="F952" t="inlineStr">
        <is>
          <t>Holmen skog AB</t>
        </is>
      </c>
      <c r="G952" t="n">
        <v>12.6</v>
      </c>
      <c r="H952" t="n">
        <v>0</v>
      </c>
      <c r="I952" t="n">
        <v>0</v>
      </c>
      <c r="J952" t="n">
        <v>0</v>
      </c>
      <c r="K952" t="n">
        <v>0</v>
      </c>
      <c r="L952" t="n">
        <v>0</v>
      </c>
      <c r="M952" t="n">
        <v>0</v>
      </c>
      <c r="N952" t="n">
        <v>0</v>
      </c>
      <c r="O952" t="n">
        <v>0</v>
      </c>
      <c r="P952" t="n">
        <v>0</v>
      </c>
      <c r="Q952" t="n">
        <v>0</v>
      </c>
      <c r="R952" s="2" t="inlineStr"/>
    </row>
    <row r="953" ht="15" customHeight="1">
      <c r="A953" t="inlineStr">
        <is>
          <t>A 9997-2023</t>
        </is>
      </c>
      <c r="B953" s="1" t="n">
        <v>44985</v>
      </c>
      <c r="C953" s="1" t="n">
        <v>45337</v>
      </c>
      <c r="D953" t="inlineStr">
        <is>
          <t>JÄMTLANDS LÄN</t>
        </is>
      </c>
      <c r="E953" t="inlineStr">
        <is>
          <t>HÄRJEDALEN</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10014-2023</t>
        </is>
      </c>
      <c r="B954" s="1" t="n">
        <v>44985</v>
      </c>
      <c r="C954" s="1" t="n">
        <v>45337</v>
      </c>
      <c r="D954" t="inlineStr">
        <is>
          <t>JÄMTLANDS LÄN</t>
        </is>
      </c>
      <c r="E954" t="inlineStr">
        <is>
          <t>HÄRJEDALEN</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10008-2023</t>
        </is>
      </c>
      <c r="B955" s="1" t="n">
        <v>44985</v>
      </c>
      <c r="C955" s="1" t="n">
        <v>45337</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10046-2023</t>
        </is>
      </c>
      <c r="B956" s="1" t="n">
        <v>44985</v>
      </c>
      <c r="C956" s="1" t="n">
        <v>45337</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10015-2023</t>
        </is>
      </c>
      <c r="B957" s="1" t="n">
        <v>44985</v>
      </c>
      <c r="C957" s="1" t="n">
        <v>45337</v>
      </c>
      <c r="D957" t="inlineStr">
        <is>
          <t>JÄMTLANDS LÄN</t>
        </is>
      </c>
      <c r="E957" t="inlineStr">
        <is>
          <t>HÄRJEDALEN</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10043-2023</t>
        </is>
      </c>
      <c r="B958" s="1" t="n">
        <v>44985</v>
      </c>
      <c r="C958" s="1" t="n">
        <v>45337</v>
      </c>
      <c r="D958" t="inlineStr">
        <is>
          <t>JÄMTLANDS LÄN</t>
        </is>
      </c>
      <c r="E958" t="inlineStr">
        <is>
          <t>HÄRJEDALEN</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9993-2023</t>
        </is>
      </c>
      <c r="B959" s="1" t="n">
        <v>44985</v>
      </c>
      <c r="C959" s="1" t="n">
        <v>45337</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10003-2023</t>
        </is>
      </c>
      <c r="B960" s="1" t="n">
        <v>44985</v>
      </c>
      <c r="C960" s="1" t="n">
        <v>45337</v>
      </c>
      <c r="D960" t="inlineStr">
        <is>
          <t>JÄMTLANDS LÄN</t>
        </is>
      </c>
      <c r="E960" t="inlineStr">
        <is>
          <t>HÄRJEDALEN</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10007-2023</t>
        </is>
      </c>
      <c r="B961" s="1" t="n">
        <v>44985</v>
      </c>
      <c r="C961" s="1" t="n">
        <v>45337</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10012-2023</t>
        </is>
      </c>
      <c r="B962" s="1" t="n">
        <v>44985</v>
      </c>
      <c r="C962" s="1" t="n">
        <v>45337</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10040-2023</t>
        </is>
      </c>
      <c r="B963" s="1" t="n">
        <v>44985</v>
      </c>
      <c r="C963" s="1" t="n">
        <v>45337</v>
      </c>
      <c r="D963" t="inlineStr">
        <is>
          <t>JÄMTLANDS LÄN</t>
        </is>
      </c>
      <c r="E963" t="inlineStr">
        <is>
          <t>HÄRJEDALEN</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10329-2023</t>
        </is>
      </c>
      <c r="B964" s="1" t="n">
        <v>44987</v>
      </c>
      <c r="C964" s="1" t="n">
        <v>45337</v>
      </c>
      <c r="D964" t="inlineStr">
        <is>
          <t>JÄMTLANDS LÄN</t>
        </is>
      </c>
      <c r="E964" t="inlineStr">
        <is>
          <t>HÄRJEDALEN</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10353-2023</t>
        </is>
      </c>
      <c r="B965" s="1" t="n">
        <v>44987</v>
      </c>
      <c r="C965" s="1" t="n">
        <v>45337</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10342-2023</t>
        </is>
      </c>
      <c r="B966" s="1" t="n">
        <v>44987</v>
      </c>
      <c r="C966" s="1" t="n">
        <v>45337</v>
      </c>
      <c r="D966" t="inlineStr">
        <is>
          <t>JÄMTLANDS LÄN</t>
        </is>
      </c>
      <c r="E966" t="inlineStr">
        <is>
          <t>HÄRJEDALEN</t>
        </is>
      </c>
      <c r="F966" t="inlineStr">
        <is>
          <t>Holmen skog AB</t>
        </is>
      </c>
      <c r="G966" t="n">
        <v>32.6</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v>
      </c>
      <c r="C967" s="1" t="n">
        <v>45337</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10348-2023</t>
        </is>
      </c>
      <c r="B968" s="1" t="n">
        <v>44987</v>
      </c>
      <c r="C968" s="1" t="n">
        <v>45337</v>
      </c>
      <c r="D968" t="inlineStr">
        <is>
          <t>JÄMTLANDS LÄN</t>
        </is>
      </c>
      <c r="E968" t="inlineStr">
        <is>
          <t>HÄRJEDALEN</t>
        </is>
      </c>
      <c r="F968" t="inlineStr">
        <is>
          <t>Holmen skog AB</t>
        </is>
      </c>
      <c r="G968" t="n">
        <v>17.8</v>
      </c>
      <c r="H968" t="n">
        <v>0</v>
      </c>
      <c r="I968" t="n">
        <v>0</v>
      </c>
      <c r="J968" t="n">
        <v>0</v>
      </c>
      <c r="K968" t="n">
        <v>0</v>
      </c>
      <c r="L968" t="n">
        <v>0</v>
      </c>
      <c r="M968" t="n">
        <v>0</v>
      </c>
      <c r="N968" t="n">
        <v>0</v>
      </c>
      <c r="O968" t="n">
        <v>0</v>
      </c>
      <c r="P968" t="n">
        <v>0</v>
      </c>
      <c r="Q968" t="n">
        <v>0</v>
      </c>
      <c r="R968" s="2" t="inlineStr"/>
    </row>
    <row r="969" ht="15" customHeight="1">
      <c r="A969" t="inlineStr">
        <is>
          <t>A 10338-2023</t>
        </is>
      </c>
      <c r="B969" s="1" t="n">
        <v>44987</v>
      </c>
      <c r="C969" s="1" t="n">
        <v>45337</v>
      </c>
      <c r="D969" t="inlineStr">
        <is>
          <t>JÄMTLANDS LÄN</t>
        </is>
      </c>
      <c r="E969" t="inlineStr">
        <is>
          <t>HÄRJEDALEN</t>
        </is>
      </c>
      <c r="F969" t="inlineStr">
        <is>
          <t>Holmen skog AB</t>
        </is>
      </c>
      <c r="G969" t="n">
        <v>11.8</v>
      </c>
      <c r="H969" t="n">
        <v>0</v>
      </c>
      <c r="I969" t="n">
        <v>0</v>
      </c>
      <c r="J969" t="n">
        <v>0</v>
      </c>
      <c r="K969" t="n">
        <v>0</v>
      </c>
      <c r="L969" t="n">
        <v>0</v>
      </c>
      <c r="M969" t="n">
        <v>0</v>
      </c>
      <c r="N969" t="n">
        <v>0</v>
      </c>
      <c r="O969" t="n">
        <v>0</v>
      </c>
      <c r="P969" t="n">
        <v>0</v>
      </c>
      <c r="Q969" t="n">
        <v>0</v>
      </c>
      <c r="R969" s="2" t="inlineStr"/>
    </row>
    <row r="970" ht="15" customHeight="1">
      <c r="A970" t="inlineStr">
        <is>
          <t>A 11448-2023</t>
        </is>
      </c>
      <c r="B970" s="1" t="n">
        <v>44993</v>
      </c>
      <c r="C970" s="1" t="n">
        <v>45337</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11818-2023</t>
        </is>
      </c>
      <c r="B971" s="1" t="n">
        <v>44994</v>
      </c>
      <c r="C971" s="1" t="n">
        <v>45337</v>
      </c>
      <c r="D971" t="inlineStr">
        <is>
          <t>JÄMTLANDS LÄN</t>
        </is>
      </c>
      <c r="E971" t="inlineStr">
        <is>
          <t>HÄRJEDALEN</t>
        </is>
      </c>
      <c r="G971" t="n">
        <v>8.9</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45337</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12462-2023</t>
        </is>
      </c>
      <c r="B973" s="1" t="n">
        <v>44999</v>
      </c>
      <c r="C973" s="1" t="n">
        <v>45337</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12625-2023</t>
        </is>
      </c>
      <c r="B974" s="1" t="n">
        <v>45000</v>
      </c>
      <c r="C974" s="1" t="n">
        <v>45337</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12921-2023</t>
        </is>
      </c>
      <c r="B975" s="1" t="n">
        <v>45001</v>
      </c>
      <c r="C975" s="1" t="n">
        <v>45337</v>
      </c>
      <c r="D975" t="inlineStr">
        <is>
          <t>JÄMTLANDS LÄN</t>
        </is>
      </c>
      <c r="E975" t="inlineStr">
        <is>
          <t>HÄRJEDALEN</t>
        </is>
      </c>
      <c r="G975" t="n">
        <v>13.9</v>
      </c>
      <c r="H975" t="n">
        <v>0</v>
      </c>
      <c r="I975" t="n">
        <v>0</v>
      </c>
      <c r="J975" t="n">
        <v>0</v>
      </c>
      <c r="K975" t="n">
        <v>0</v>
      </c>
      <c r="L975" t="n">
        <v>0</v>
      </c>
      <c r="M975" t="n">
        <v>0</v>
      </c>
      <c r="N975" t="n">
        <v>0</v>
      </c>
      <c r="O975" t="n">
        <v>0</v>
      </c>
      <c r="P975" t="n">
        <v>0</v>
      </c>
      <c r="Q975" t="n">
        <v>0</v>
      </c>
      <c r="R975" s="2" t="inlineStr"/>
    </row>
    <row r="976" ht="15" customHeight="1">
      <c r="A976" t="inlineStr">
        <is>
          <t>A 13774-2023</t>
        </is>
      </c>
      <c r="B976" s="1" t="n">
        <v>45007</v>
      </c>
      <c r="C976" s="1" t="n">
        <v>45337</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14631-2023</t>
        </is>
      </c>
      <c r="B977" s="1" t="n">
        <v>45012</v>
      </c>
      <c r="C977" s="1" t="n">
        <v>45337</v>
      </c>
      <c r="D977" t="inlineStr">
        <is>
          <t>JÄMTLANDS LÄN</t>
        </is>
      </c>
      <c r="E977" t="inlineStr">
        <is>
          <t>HÄRJEDALEN</t>
        </is>
      </c>
      <c r="F977" t="inlineStr">
        <is>
          <t>Bergvik skog väst AB</t>
        </is>
      </c>
      <c r="G977" t="n">
        <v>14.2</v>
      </c>
      <c r="H977" t="n">
        <v>0</v>
      </c>
      <c r="I977" t="n">
        <v>0</v>
      </c>
      <c r="J977" t="n">
        <v>0</v>
      </c>
      <c r="K977" t="n">
        <v>0</v>
      </c>
      <c r="L977" t="n">
        <v>0</v>
      </c>
      <c r="M977" t="n">
        <v>0</v>
      </c>
      <c r="N977" t="n">
        <v>0</v>
      </c>
      <c r="O977" t="n">
        <v>0</v>
      </c>
      <c r="P977" t="n">
        <v>0</v>
      </c>
      <c r="Q977" t="n">
        <v>0</v>
      </c>
      <c r="R977" s="2" t="inlineStr"/>
    </row>
    <row r="978" ht="15" customHeight="1">
      <c r="A978" t="inlineStr">
        <is>
          <t>A 15511-2023</t>
        </is>
      </c>
      <c r="B978" s="1" t="n">
        <v>45020</v>
      </c>
      <c r="C978" s="1" t="n">
        <v>45337</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15747-2023</t>
        </is>
      </c>
      <c r="B979" s="1" t="n">
        <v>45020</v>
      </c>
      <c r="C979" s="1" t="n">
        <v>45337</v>
      </c>
      <c r="D979" t="inlineStr">
        <is>
          <t>JÄMTLANDS LÄN</t>
        </is>
      </c>
      <c r="E979" t="inlineStr">
        <is>
          <t>HÄRJEDALEN</t>
        </is>
      </c>
      <c r="G979" t="n">
        <v>0.1</v>
      </c>
      <c r="H979" t="n">
        <v>0</v>
      </c>
      <c r="I979" t="n">
        <v>0</v>
      </c>
      <c r="J979" t="n">
        <v>0</v>
      </c>
      <c r="K979" t="n">
        <v>0</v>
      </c>
      <c r="L979" t="n">
        <v>0</v>
      </c>
      <c r="M979" t="n">
        <v>0</v>
      </c>
      <c r="N979" t="n">
        <v>0</v>
      </c>
      <c r="O979" t="n">
        <v>0</v>
      </c>
      <c r="P979" t="n">
        <v>0</v>
      </c>
      <c r="Q979" t="n">
        <v>0</v>
      </c>
      <c r="R979" s="2" t="inlineStr"/>
    </row>
    <row r="980" ht="15" customHeight="1">
      <c r="A980" t="inlineStr">
        <is>
          <t>A 16115-2023</t>
        </is>
      </c>
      <c r="B980" s="1" t="n">
        <v>45027</v>
      </c>
      <c r="C980" s="1" t="n">
        <v>45337</v>
      </c>
      <c r="D980" t="inlineStr">
        <is>
          <t>JÄMTLANDS LÄN</t>
        </is>
      </c>
      <c r="E980" t="inlineStr">
        <is>
          <t>HÄRJEDALEN</t>
        </is>
      </c>
      <c r="G980" t="n">
        <v>26</v>
      </c>
      <c r="H980" t="n">
        <v>0</v>
      </c>
      <c r="I980" t="n">
        <v>0</v>
      </c>
      <c r="J980" t="n">
        <v>0</v>
      </c>
      <c r="K980" t="n">
        <v>0</v>
      </c>
      <c r="L980" t="n">
        <v>0</v>
      </c>
      <c r="M980" t="n">
        <v>0</v>
      </c>
      <c r="N980" t="n">
        <v>0</v>
      </c>
      <c r="O980" t="n">
        <v>0</v>
      </c>
      <c r="P980" t="n">
        <v>0</v>
      </c>
      <c r="Q980" t="n">
        <v>0</v>
      </c>
      <c r="R980" s="2" t="inlineStr"/>
    </row>
    <row r="981" ht="15" customHeight="1">
      <c r="A981" t="inlineStr">
        <is>
          <t>A 16468-2023</t>
        </is>
      </c>
      <c r="B981" s="1" t="n">
        <v>45029</v>
      </c>
      <c r="C981" s="1" t="n">
        <v>45337</v>
      </c>
      <c r="D981" t="inlineStr">
        <is>
          <t>JÄMTLANDS LÄN</t>
        </is>
      </c>
      <c r="E981" t="inlineStr">
        <is>
          <t>HÄRJEDALEN</t>
        </is>
      </c>
      <c r="G981" t="n">
        <v>6.7</v>
      </c>
      <c r="H981" t="n">
        <v>0</v>
      </c>
      <c r="I981" t="n">
        <v>0</v>
      </c>
      <c r="J981" t="n">
        <v>0</v>
      </c>
      <c r="K981" t="n">
        <v>0</v>
      </c>
      <c r="L981" t="n">
        <v>0</v>
      </c>
      <c r="M981" t="n">
        <v>0</v>
      </c>
      <c r="N981" t="n">
        <v>0</v>
      </c>
      <c r="O981" t="n">
        <v>0</v>
      </c>
      <c r="P981" t="n">
        <v>0</v>
      </c>
      <c r="Q981" t="n">
        <v>0</v>
      </c>
      <c r="R981" s="2" t="inlineStr"/>
    </row>
    <row r="982" ht="15" customHeight="1">
      <c r="A982" t="inlineStr">
        <is>
          <t>A 17121-2023</t>
        </is>
      </c>
      <c r="B982" s="1" t="n">
        <v>45034</v>
      </c>
      <c r="C982" s="1" t="n">
        <v>45337</v>
      </c>
      <c r="D982" t="inlineStr">
        <is>
          <t>JÄMTLANDS LÄN</t>
        </is>
      </c>
      <c r="E982" t="inlineStr">
        <is>
          <t>HÄRJEDALEN</t>
        </is>
      </c>
      <c r="G982" t="n">
        <v>6.4</v>
      </c>
      <c r="H982" t="n">
        <v>0</v>
      </c>
      <c r="I982" t="n">
        <v>0</v>
      </c>
      <c r="J982" t="n">
        <v>0</v>
      </c>
      <c r="K982" t="n">
        <v>0</v>
      </c>
      <c r="L982" t="n">
        <v>0</v>
      </c>
      <c r="M982" t="n">
        <v>0</v>
      </c>
      <c r="N982" t="n">
        <v>0</v>
      </c>
      <c r="O982" t="n">
        <v>0</v>
      </c>
      <c r="P982" t="n">
        <v>0</v>
      </c>
      <c r="Q982" t="n">
        <v>0</v>
      </c>
      <c r="R982" s="2" t="inlineStr"/>
    </row>
    <row r="983" ht="15" customHeight="1">
      <c r="A983" t="inlineStr">
        <is>
          <t>A 17105-2023</t>
        </is>
      </c>
      <c r="B983" s="1" t="n">
        <v>45034</v>
      </c>
      <c r="C983" s="1" t="n">
        <v>45337</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17122-2023</t>
        </is>
      </c>
      <c r="B984" s="1" t="n">
        <v>45034</v>
      </c>
      <c r="C984" s="1" t="n">
        <v>45337</v>
      </c>
      <c r="D984" t="inlineStr">
        <is>
          <t>JÄMTLANDS LÄN</t>
        </is>
      </c>
      <c r="E984" t="inlineStr">
        <is>
          <t>HÄRJEDALEN</t>
        </is>
      </c>
      <c r="G984" t="n">
        <v>3.8</v>
      </c>
      <c r="H984" t="n">
        <v>0</v>
      </c>
      <c r="I984" t="n">
        <v>0</v>
      </c>
      <c r="J984" t="n">
        <v>0</v>
      </c>
      <c r="K984" t="n">
        <v>0</v>
      </c>
      <c r="L984" t="n">
        <v>0</v>
      </c>
      <c r="M984" t="n">
        <v>0</v>
      </c>
      <c r="N984" t="n">
        <v>0</v>
      </c>
      <c r="O984" t="n">
        <v>0</v>
      </c>
      <c r="P984" t="n">
        <v>0</v>
      </c>
      <c r="Q984" t="n">
        <v>0</v>
      </c>
      <c r="R984" s="2" t="inlineStr"/>
    </row>
    <row r="985" ht="15" customHeight="1">
      <c r="A985" t="inlineStr">
        <is>
          <t>A 17153-2023</t>
        </is>
      </c>
      <c r="B985" s="1" t="n">
        <v>45034</v>
      </c>
      <c r="C985" s="1" t="n">
        <v>45337</v>
      </c>
      <c r="D985" t="inlineStr">
        <is>
          <t>JÄMTLANDS LÄN</t>
        </is>
      </c>
      <c r="E985" t="inlineStr">
        <is>
          <t>HÄRJEDALEN</t>
        </is>
      </c>
      <c r="G985" t="n">
        <v>5.6</v>
      </c>
      <c r="H985" t="n">
        <v>0</v>
      </c>
      <c r="I985" t="n">
        <v>0</v>
      </c>
      <c r="J985" t="n">
        <v>0</v>
      </c>
      <c r="K985" t="n">
        <v>0</v>
      </c>
      <c r="L985" t="n">
        <v>0</v>
      </c>
      <c r="M985" t="n">
        <v>0</v>
      </c>
      <c r="N985" t="n">
        <v>0</v>
      </c>
      <c r="O985" t="n">
        <v>0</v>
      </c>
      <c r="P985" t="n">
        <v>0</v>
      </c>
      <c r="Q985" t="n">
        <v>0</v>
      </c>
      <c r="R985" s="2" t="inlineStr"/>
    </row>
    <row r="986" ht="15" customHeight="1">
      <c r="A986" t="inlineStr">
        <is>
          <t>A 17118-2023</t>
        </is>
      </c>
      <c r="B986" s="1" t="n">
        <v>45034</v>
      </c>
      <c r="C986" s="1" t="n">
        <v>45337</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17238-2023</t>
        </is>
      </c>
      <c r="B987" s="1" t="n">
        <v>45035</v>
      </c>
      <c r="C987" s="1" t="n">
        <v>45337</v>
      </c>
      <c r="D987" t="inlineStr">
        <is>
          <t>JÄMTLANDS LÄN</t>
        </is>
      </c>
      <c r="E987" t="inlineStr">
        <is>
          <t>HÄRJEDALEN</t>
        </is>
      </c>
      <c r="G987" t="n">
        <v>3.1</v>
      </c>
      <c r="H987" t="n">
        <v>0</v>
      </c>
      <c r="I987" t="n">
        <v>0</v>
      </c>
      <c r="J987" t="n">
        <v>0</v>
      </c>
      <c r="K987" t="n">
        <v>0</v>
      </c>
      <c r="L987" t="n">
        <v>0</v>
      </c>
      <c r="M987" t="n">
        <v>0</v>
      </c>
      <c r="N987" t="n">
        <v>0</v>
      </c>
      <c r="O987" t="n">
        <v>0</v>
      </c>
      <c r="P987" t="n">
        <v>0</v>
      </c>
      <c r="Q987" t="n">
        <v>0</v>
      </c>
      <c r="R987" s="2" t="inlineStr"/>
    </row>
    <row r="988" ht="15" customHeight="1">
      <c r="A988" t="inlineStr">
        <is>
          <t>A 17246-2023</t>
        </is>
      </c>
      <c r="B988" s="1" t="n">
        <v>45035</v>
      </c>
      <c r="C988" s="1" t="n">
        <v>45337</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17232-2023</t>
        </is>
      </c>
      <c r="B989" s="1" t="n">
        <v>45035</v>
      </c>
      <c r="C989" s="1" t="n">
        <v>45337</v>
      </c>
      <c r="D989" t="inlineStr">
        <is>
          <t>JÄMTLANDS LÄN</t>
        </is>
      </c>
      <c r="E989" t="inlineStr">
        <is>
          <t>HÄRJEDALEN</t>
        </is>
      </c>
      <c r="G989" t="n">
        <v>6.9</v>
      </c>
      <c r="H989" t="n">
        <v>0</v>
      </c>
      <c r="I989" t="n">
        <v>0</v>
      </c>
      <c r="J989" t="n">
        <v>0</v>
      </c>
      <c r="K989" t="n">
        <v>0</v>
      </c>
      <c r="L989" t="n">
        <v>0</v>
      </c>
      <c r="M989" t="n">
        <v>0</v>
      </c>
      <c r="N989" t="n">
        <v>0</v>
      </c>
      <c r="O989" t="n">
        <v>0</v>
      </c>
      <c r="P989" t="n">
        <v>0</v>
      </c>
      <c r="Q989" t="n">
        <v>0</v>
      </c>
      <c r="R989" s="2" t="inlineStr"/>
    </row>
    <row r="990" ht="15" customHeight="1">
      <c r="A990" t="inlineStr">
        <is>
          <t>A 17368-2023</t>
        </is>
      </c>
      <c r="B990" s="1" t="n">
        <v>45035</v>
      </c>
      <c r="C990" s="1" t="n">
        <v>45337</v>
      </c>
      <c r="D990" t="inlineStr">
        <is>
          <t>JÄMTLANDS LÄN</t>
        </is>
      </c>
      <c r="E990" t="inlineStr">
        <is>
          <t>HÄRJEDALEN</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18334-2023</t>
        </is>
      </c>
      <c r="B991" s="1" t="n">
        <v>45041</v>
      </c>
      <c r="C991" s="1" t="n">
        <v>45337</v>
      </c>
      <c r="D991" t="inlineStr">
        <is>
          <t>JÄMTLANDS LÄN</t>
        </is>
      </c>
      <c r="E991" t="inlineStr">
        <is>
          <t>HÄRJEDALEN</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18258-2023</t>
        </is>
      </c>
      <c r="B992" s="1" t="n">
        <v>45041</v>
      </c>
      <c r="C992" s="1" t="n">
        <v>45337</v>
      </c>
      <c r="D992" t="inlineStr">
        <is>
          <t>JÄMTLANDS LÄN</t>
        </is>
      </c>
      <c r="E992" t="inlineStr">
        <is>
          <t>HÄRJEDALEN</t>
        </is>
      </c>
      <c r="F992" t="inlineStr">
        <is>
          <t>Bergvik skog väst AB</t>
        </is>
      </c>
      <c r="G992" t="n">
        <v>14.7</v>
      </c>
      <c r="H992" t="n">
        <v>0</v>
      </c>
      <c r="I992" t="n">
        <v>0</v>
      </c>
      <c r="J992" t="n">
        <v>0</v>
      </c>
      <c r="K992" t="n">
        <v>0</v>
      </c>
      <c r="L992" t="n">
        <v>0</v>
      </c>
      <c r="M992" t="n">
        <v>0</v>
      </c>
      <c r="N992" t="n">
        <v>0</v>
      </c>
      <c r="O992" t="n">
        <v>0</v>
      </c>
      <c r="P992" t="n">
        <v>0</v>
      </c>
      <c r="Q992" t="n">
        <v>0</v>
      </c>
      <c r="R992" s="2" t="inlineStr"/>
    </row>
    <row r="993" ht="15" customHeight="1">
      <c r="A993" t="inlineStr">
        <is>
          <t>A 18620-2023</t>
        </is>
      </c>
      <c r="B993" s="1" t="n">
        <v>45041</v>
      </c>
      <c r="C993" s="1" t="n">
        <v>45337</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18646-2023</t>
        </is>
      </c>
      <c r="B994" s="1" t="n">
        <v>45041</v>
      </c>
      <c r="C994" s="1" t="n">
        <v>45337</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18659-2023</t>
        </is>
      </c>
      <c r="B995" s="1" t="n">
        <v>45041</v>
      </c>
      <c r="C995" s="1" t="n">
        <v>45337</v>
      </c>
      <c r="D995" t="inlineStr">
        <is>
          <t>JÄMTLANDS LÄN</t>
        </is>
      </c>
      <c r="E995" t="inlineStr">
        <is>
          <t>HÄRJEDALEN</t>
        </is>
      </c>
      <c r="G995" t="n">
        <v>0.9</v>
      </c>
      <c r="H995" t="n">
        <v>0</v>
      </c>
      <c r="I995" t="n">
        <v>0</v>
      </c>
      <c r="J995" t="n">
        <v>0</v>
      </c>
      <c r="K995" t="n">
        <v>0</v>
      </c>
      <c r="L995" t="n">
        <v>0</v>
      </c>
      <c r="M995" t="n">
        <v>0</v>
      </c>
      <c r="N995" t="n">
        <v>0</v>
      </c>
      <c r="O995" t="n">
        <v>0</v>
      </c>
      <c r="P995" t="n">
        <v>0</v>
      </c>
      <c r="Q995" t="n">
        <v>0</v>
      </c>
      <c r="R995" s="2" t="inlineStr"/>
    </row>
    <row r="996" ht="15" customHeight="1">
      <c r="A996" t="inlineStr">
        <is>
          <t>A 18617-2023</t>
        </is>
      </c>
      <c r="B996" s="1" t="n">
        <v>45043</v>
      </c>
      <c r="C996" s="1" t="n">
        <v>45337</v>
      </c>
      <c r="D996" t="inlineStr">
        <is>
          <t>JÄMTLANDS LÄN</t>
        </is>
      </c>
      <c r="E996" t="inlineStr">
        <is>
          <t>HÄRJEDALEN</t>
        </is>
      </c>
      <c r="G996" t="n">
        <v>15.1</v>
      </c>
      <c r="H996" t="n">
        <v>0</v>
      </c>
      <c r="I996" t="n">
        <v>0</v>
      </c>
      <c r="J996" t="n">
        <v>0</v>
      </c>
      <c r="K996" t="n">
        <v>0</v>
      </c>
      <c r="L996" t="n">
        <v>0</v>
      </c>
      <c r="M996" t="n">
        <v>0</v>
      </c>
      <c r="N996" t="n">
        <v>0</v>
      </c>
      <c r="O996" t="n">
        <v>0</v>
      </c>
      <c r="P996" t="n">
        <v>0</v>
      </c>
      <c r="Q996" t="n">
        <v>0</v>
      </c>
      <c r="R996" s="2" t="inlineStr"/>
    </row>
    <row r="997" ht="15" customHeight="1">
      <c r="A997" t="inlineStr">
        <is>
          <t>A 18875-2023</t>
        </is>
      </c>
      <c r="B997" s="1" t="n">
        <v>45044</v>
      </c>
      <c r="C997" s="1" t="n">
        <v>45337</v>
      </c>
      <c r="D997" t="inlineStr">
        <is>
          <t>JÄMTLANDS LÄN</t>
        </is>
      </c>
      <c r="E997" t="inlineStr">
        <is>
          <t>HÄRJEDALEN</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19353-2023</t>
        </is>
      </c>
      <c r="B998" s="1" t="n">
        <v>45049</v>
      </c>
      <c r="C998" s="1" t="n">
        <v>45337</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19337-2023</t>
        </is>
      </c>
      <c r="B999" s="1" t="n">
        <v>45049</v>
      </c>
      <c r="C999" s="1" t="n">
        <v>45337</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19730-2023</t>
        </is>
      </c>
      <c r="B1000" s="1" t="n">
        <v>45050</v>
      </c>
      <c r="C1000" s="1" t="n">
        <v>45337</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45337</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19981-2023</t>
        </is>
      </c>
      <c r="B1002" s="1" t="n">
        <v>45054</v>
      </c>
      <c r="C1002" s="1" t="n">
        <v>45337</v>
      </c>
      <c r="D1002" t="inlineStr">
        <is>
          <t>JÄMTLANDS LÄN</t>
        </is>
      </c>
      <c r="E1002" t="inlineStr">
        <is>
          <t>HÄRJEDALEN</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20539-2023</t>
        </is>
      </c>
      <c r="B1003" s="1" t="n">
        <v>45055</v>
      </c>
      <c r="C1003" s="1" t="n">
        <v>45337</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20851-2023</t>
        </is>
      </c>
      <c r="B1004" s="1" t="n">
        <v>45056</v>
      </c>
      <c r="C1004" s="1" t="n">
        <v>45337</v>
      </c>
      <c r="D1004" t="inlineStr">
        <is>
          <t>JÄMTLANDS LÄN</t>
        </is>
      </c>
      <c r="E1004" t="inlineStr">
        <is>
          <t>HÄRJEDALEN</t>
        </is>
      </c>
      <c r="F1004" t="inlineStr">
        <is>
          <t>Holmen skog AB</t>
        </is>
      </c>
      <c r="G1004" t="n">
        <v>41.1</v>
      </c>
      <c r="H1004" t="n">
        <v>0</v>
      </c>
      <c r="I1004" t="n">
        <v>0</v>
      </c>
      <c r="J1004" t="n">
        <v>0</v>
      </c>
      <c r="K1004" t="n">
        <v>0</v>
      </c>
      <c r="L1004" t="n">
        <v>0</v>
      </c>
      <c r="M1004" t="n">
        <v>0</v>
      </c>
      <c r="N1004" t="n">
        <v>0</v>
      </c>
      <c r="O1004" t="n">
        <v>0</v>
      </c>
      <c r="P1004" t="n">
        <v>0</v>
      </c>
      <c r="Q1004" t="n">
        <v>0</v>
      </c>
      <c r="R1004" s="2" t="inlineStr"/>
    </row>
    <row r="1005" ht="15" customHeight="1">
      <c r="A1005" t="inlineStr">
        <is>
          <t>A 20609-2023</t>
        </is>
      </c>
      <c r="B1005" s="1" t="n">
        <v>45057</v>
      </c>
      <c r="C1005" s="1" t="n">
        <v>45337</v>
      </c>
      <c r="D1005" t="inlineStr">
        <is>
          <t>JÄMTLANDS LÄN</t>
        </is>
      </c>
      <c r="E1005" t="inlineStr">
        <is>
          <t>HÄRJEDALEN</t>
        </is>
      </c>
      <c r="F1005" t="inlineStr">
        <is>
          <t>SCA</t>
        </is>
      </c>
      <c r="G1005" t="n">
        <v>15.6</v>
      </c>
      <c r="H1005" t="n">
        <v>0</v>
      </c>
      <c r="I1005" t="n">
        <v>0</v>
      </c>
      <c r="J1005" t="n">
        <v>0</v>
      </c>
      <c r="K1005" t="n">
        <v>0</v>
      </c>
      <c r="L1005" t="n">
        <v>0</v>
      </c>
      <c r="M1005" t="n">
        <v>0</v>
      </c>
      <c r="N1005" t="n">
        <v>0</v>
      </c>
      <c r="O1005" t="n">
        <v>0</v>
      </c>
      <c r="P1005" t="n">
        <v>0</v>
      </c>
      <c r="Q1005" t="n">
        <v>0</v>
      </c>
      <c r="R1005" s="2" t="inlineStr"/>
      <c r="U1005">
        <f>HYPERLINK("https://klasma.github.io/Logging_2361/knärot/A 20609-2023 karta knärot.png", "A 20609-2023")</f>
        <v/>
      </c>
      <c r="V1005">
        <f>HYPERLINK("https://klasma.github.io/Logging_2361/klagomål/A 20609-2023 FSC-klagomål.docx", "A 20609-2023")</f>
        <v/>
      </c>
      <c r="W1005">
        <f>HYPERLINK("https://klasma.github.io/Logging_2361/klagomålsmail/A 20609-2023 FSC-klagomål mail.docx", "A 20609-2023")</f>
        <v/>
      </c>
      <c r="X1005">
        <f>HYPERLINK("https://klasma.github.io/Logging_2361/tillsyn/A 20609-2023 tillsynsbegäran.docx", "A 20609-2023")</f>
        <v/>
      </c>
      <c r="Y1005">
        <f>HYPERLINK("https://klasma.github.io/Logging_2361/tillsynsmail/A 20609-2023 tillsynsbegäran mail.docx", "A 20609-2023")</f>
        <v/>
      </c>
    </row>
    <row r="1006" ht="15" customHeight="1">
      <c r="A1006" t="inlineStr">
        <is>
          <t>A 20768-2023</t>
        </is>
      </c>
      <c r="B1006" s="1" t="n">
        <v>45058</v>
      </c>
      <c r="C1006" s="1" t="n">
        <v>45337</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20718-2023</t>
        </is>
      </c>
      <c r="B1007" s="1" t="n">
        <v>45058</v>
      </c>
      <c r="C1007" s="1" t="n">
        <v>45337</v>
      </c>
      <c r="D1007" t="inlineStr">
        <is>
          <t>JÄMTLANDS LÄN</t>
        </is>
      </c>
      <c r="E1007" t="inlineStr">
        <is>
          <t>HÄRJEDALEN</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20935-2023</t>
        </is>
      </c>
      <c r="B1008" s="1" t="n">
        <v>45061</v>
      </c>
      <c r="C1008" s="1" t="n">
        <v>45337</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21050-2023</t>
        </is>
      </c>
      <c r="B1009" s="1" t="n">
        <v>45061</v>
      </c>
      <c r="C1009" s="1" t="n">
        <v>45337</v>
      </c>
      <c r="D1009" t="inlineStr">
        <is>
          <t>JÄMTLANDS LÄN</t>
        </is>
      </c>
      <c r="E1009" t="inlineStr">
        <is>
          <t>HÄRJEDALEN</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v>
      </c>
      <c r="C1010" s="1" t="n">
        <v>45337</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21517-2023</t>
        </is>
      </c>
      <c r="B1011" s="1" t="n">
        <v>45063</v>
      </c>
      <c r="C1011" s="1" t="n">
        <v>45337</v>
      </c>
      <c r="D1011" t="inlineStr">
        <is>
          <t>JÄMTLANDS LÄN</t>
        </is>
      </c>
      <c r="E1011" t="inlineStr">
        <is>
          <t>HÄRJEDALEN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21531-2023</t>
        </is>
      </c>
      <c r="B1012" s="1" t="n">
        <v>45063</v>
      </c>
      <c r="C1012" s="1" t="n">
        <v>45337</v>
      </c>
      <c r="D1012" t="inlineStr">
        <is>
          <t>JÄMTLANDS LÄN</t>
        </is>
      </c>
      <c r="E1012" t="inlineStr">
        <is>
          <t>HÄRJEDALEN</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21439-2023</t>
        </is>
      </c>
      <c r="B1013" s="1" t="n">
        <v>45063</v>
      </c>
      <c r="C1013" s="1" t="n">
        <v>45337</v>
      </c>
      <c r="D1013" t="inlineStr">
        <is>
          <t>JÄMTLANDS LÄN</t>
        </is>
      </c>
      <c r="E1013" t="inlineStr">
        <is>
          <t>HÄRJEDALEN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21521-2023</t>
        </is>
      </c>
      <c r="B1014" s="1" t="n">
        <v>45063</v>
      </c>
      <c r="C1014" s="1" t="n">
        <v>45337</v>
      </c>
      <c r="D1014" t="inlineStr">
        <is>
          <t>JÄMTLANDS LÄN</t>
        </is>
      </c>
      <c r="E1014" t="inlineStr">
        <is>
          <t>HÄRJEDALEN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21525-2023</t>
        </is>
      </c>
      <c r="B1015" s="1" t="n">
        <v>45063</v>
      </c>
      <c r="C1015" s="1" t="n">
        <v>45337</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21530-2023</t>
        </is>
      </c>
      <c r="B1016" s="1" t="n">
        <v>45063</v>
      </c>
      <c r="C1016" s="1" t="n">
        <v>45337</v>
      </c>
      <c r="D1016" t="inlineStr">
        <is>
          <t>JÄMTLANDS LÄN</t>
        </is>
      </c>
      <c r="E1016" t="inlineStr">
        <is>
          <t>HÄRJEDALEN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21645-2023</t>
        </is>
      </c>
      <c r="B1017" s="1" t="n">
        <v>45063</v>
      </c>
      <c r="C1017" s="1" t="n">
        <v>45337</v>
      </c>
      <c r="D1017" t="inlineStr">
        <is>
          <t>JÄMTLANDS LÄN</t>
        </is>
      </c>
      <c r="E1017" t="inlineStr">
        <is>
          <t>HÄRJEDALEN</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21646-2023</t>
        </is>
      </c>
      <c r="B1018" s="1" t="n">
        <v>45063</v>
      </c>
      <c r="C1018" s="1" t="n">
        <v>45337</v>
      </c>
      <c r="D1018" t="inlineStr">
        <is>
          <t>JÄMTLANDS LÄN</t>
        </is>
      </c>
      <c r="E1018" t="inlineStr">
        <is>
          <t>HÄRJEDALEN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21665-2023</t>
        </is>
      </c>
      <c r="B1019" s="1" t="n">
        <v>45063</v>
      </c>
      <c r="C1019" s="1" t="n">
        <v>45337</v>
      </c>
      <c r="D1019" t="inlineStr">
        <is>
          <t>JÄMTLANDS LÄN</t>
        </is>
      </c>
      <c r="E1019" t="inlineStr">
        <is>
          <t>HÄRJEDALEN</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21666-2023</t>
        </is>
      </c>
      <c r="B1020" s="1" t="n">
        <v>45064</v>
      </c>
      <c r="C1020" s="1" t="n">
        <v>45337</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22674-2023</t>
        </is>
      </c>
      <c r="B1021" s="1" t="n">
        <v>45071</v>
      </c>
      <c r="C1021" s="1" t="n">
        <v>45337</v>
      </c>
      <c r="D1021" t="inlineStr">
        <is>
          <t>JÄMTLANDS LÄN</t>
        </is>
      </c>
      <c r="E1021" t="inlineStr">
        <is>
          <t>HÄRJEDALEN</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22728-2023</t>
        </is>
      </c>
      <c r="B1022" s="1" t="n">
        <v>45072</v>
      </c>
      <c r="C1022" s="1" t="n">
        <v>45337</v>
      </c>
      <c r="D1022" t="inlineStr">
        <is>
          <t>JÄMTLANDS LÄN</t>
        </is>
      </c>
      <c r="E1022" t="inlineStr">
        <is>
          <t>HÄRJEDALEN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22747-2023</t>
        </is>
      </c>
      <c r="B1023" s="1" t="n">
        <v>45071</v>
      </c>
      <c r="C1023" s="1" t="n">
        <v>45337</v>
      </c>
      <c r="D1023" t="inlineStr">
        <is>
          <t>JÄMTLANDS LÄN</t>
        </is>
      </c>
      <c r="E1023" t="inlineStr">
        <is>
          <t>HÄRJEDALEN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22746-2023</t>
        </is>
      </c>
      <c r="B1024" s="1" t="n">
        <v>45071</v>
      </c>
      <c r="C1024" s="1" t="n">
        <v>45337</v>
      </c>
      <c r="D1024" t="inlineStr">
        <is>
          <t>JÄMTLANDS LÄN</t>
        </is>
      </c>
      <c r="E1024" t="inlineStr">
        <is>
          <t>HÄRJEDALEN</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22729-2023</t>
        </is>
      </c>
      <c r="B1025" s="1" t="n">
        <v>45072</v>
      </c>
      <c r="C1025" s="1" t="n">
        <v>45337</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23186-2023</t>
        </is>
      </c>
      <c r="B1026" s="1" t="n">
        <v>45075</v>
      </c>
      <c r="C1026" s="1" t="n">
        <v>45337</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23185-2023</t>
        </is>
      </c>
      <c r="B1027" s="1" t="n">
        <v>45075</v>
      </c>
      <c r="C1027" s="1" t="n">
        <v>45337</v>
      </c>
      <c r="D1027" t="inlineStr">
        <is>
          <t>JÄMTLANDS LÄN</t>
        </is>
      </c>
      <c r="E1027" t="inlineStr">
        <is>
          <t>HÄRJEDALEN</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23356-2023</t>
        </is>
      </c>
      <c r="B1028" s="1" t="n">
        <v>45076</v>
      </c>
      <c r="C1028" s="1" t="n">
        <v>45337</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23465-2023</t>
        </is>
      </c>
      <c r="B1029" s="1" t="n">
        <v>45076</v>
      </c>
      <c r="C1029" s="1" t="n">
        <v>45337</v>
      </c>
      <c r="D1029" t="inlineStr">
        <is>
          <t>JÄMTLANDS LÄN</t>
        </is>
      </c>
      <c r="E1029" t="inlineStr">
        <is>
          <t>HÄRJEDALEN</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23895-2023</t>
        </is>
      </c>
      <c r="B1030" s="1" t="n">
        <v>45078</v>
      </c>
      <c r="C1030" s="1" t="n">
        <v>45337</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23908-2023</t>
        </is>
      </c>
      <c r="B1031" s="1" t="n">
        <v>45078</v>
      </c>
      <c r="C1031" s="1" t="n">
        <v>45337</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24240-2023</t>
        </is>
      </c>
      <c r="B1032" s="1" t="n">
        <v>45079</v>
      </c>
      <c r="C1032" s="1" t="n">
        <v>45337</v>
      </c>
      <c r="D1032" t="inlineStr">
        <is>
          <t>JÄMTLANDS LÄN</t>
        </is>
      </c>
      <c r="E1032" t="inlineStr">
        <is>
          <t>HÄRJEDALEN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24238-2023</t>
        </is>
      </c>
      <c r="B1033" s="1" t="n">
        <v>45079</v>
      </c>
      <c r="C1033" s="1" t="n">
        <v>45337</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24255-2023</t>
        </is>
      </c>
      <c r="B1034" s="1" t="n">
        <v>45079</v>
      </c>
      <c r="C1034" s="1" t="n">
        <v>45337</v>
      </c>
      <c r="D1034" t="inlineStr">
        <is>
          <t>JÄMTLANDS LÄN</t>
        </is>
      </c>
      <c r="E1034" t="inlineStr">
        <is>
          <t>HÄRJEDALEN</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24220-2023</t>
        </is>
      </c>
      <c r="B1035" s="1" t="n">
        <v>45079</v>
      </c>
      <c r="C1035" s="1" t="n">
        <v>45337</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25536-2023</t>
        </is>
      </c>
      <c r="B1036" s="1" t="n">
        <v>45082</v>
      </c>
      <c r="C1036" s="1" t="n">
        <v>45337</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25526-2023</t>
        </is>
      </c>
      <c r="B1037" s="1" t="n">
        <v>45082</v>
      </c>
      <c r="C1037" s="1" t="n">
        <v>45337</v>
      </c>
      <c r="D1037" t="inlineStr">
        <is>
          <t>JÄMTLANDS LÄN</t>
        </is>
      </c>
      <c r="E1037" t="inlineStr">
        <is>
          <t>HÄRJEDALEN</t>
        </is>
      </c>
      <c r="F1037" t="inlineStr">
        <is>
          <t>Bergvik skog väst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25582-2023</t>
        </is>
      </c>
      <c r="B1038" s="1" t="n">
        <v>45082</v>
      </c>
      <c r="C1038" s="1" t="n">
        <v>45337</v>
      </c>
      <c r="D1038" t="inlineStr">
        <is>
          <t>JÄMTLANDS LÄN</t>
        </is>
      </c>
      <c r="E1038" t="inlineStr">
        <is>
          <t>HÄRJEDALEN</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24834-2023</t>
        </is>
      </c>
      <c r="B1039" s="1" t="n">
        <v>45084</v>
      </c>
      <c r="C1039" s="1" t="n">
        <v>45337</v>
      </c>
      <c r="D1039" t="inlineStr">
        <is>
          <t>JÄMTLANDS LÄN</t>
        </is>
      </c>
      <c r="E1039" t="inlineStr">
        <is>
          <t>HÄRJEDALEN</t>
        </is>
      </c>
      <c r="F1039" t="inlineStr">
        <is>
          <t>SCA</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24835-2023</t>
        </is>
      </c>
      <c r="B1040" s="1" t="n">
        <v>45084</v>
      </c>
      <c r="C1040" s="1" t="n">
        <v>45337</v>
      </c>
      <c r="D1040" t="inlineStr">
        <is>
          <t>JÄMTLANDS LÄN</t>
        </is>
      </c>
      <c r="E1040" t="inlineStr">
        <is>
          <t>HÄRJEDALEN</t>
        </is>
      </c>
      <c r="F1040" t="inlineStr">
        <is>
          <t>SCA</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25018-2023</t>
        </is>
      </c>
      <c r="B1041" s="1" t="n">
        <v>45085</v>
      </c>
      <c r="C1041" s="1" t="n">
        <v>45337</v>
      </c>
      <c r="D1041" t="inlineStr">
        <is>
          <t>JÄMTLANDS LÄN</t>
        </is>
      </c>
      <c r="E1041" t="inlineStr">
        <is>
          <t>HÄRJEDALEN</t>
        </is>
      </c>
      <c r="F1041" t="inlineStr">
        <is>
          <t>Sveaskog</t>
        </is>
      </c>
      <c r="G1041" t="n">
        <v>39.7</v>
      </c>
      <c r="H1041" t="n">
        <v>0</v>
      </c>
      <c r="I1041" t="n">
        <v>0</v>
      </c>
      <c r="J1041" t="n">
        <v>0</v>
      </c>
      <c r="K1041" t="n">
        <v>0</v>
      </c>
      <c r="L1041" t="n">
        <v>0</v>
      </c>
      <c r="M1041" t="n">
        <v>0</v>
      </c>
      <c r="N1041" t="n">
        <v>0</v>
      </c>
      <c r="O1041" t="n">
        <v>0</v>
      </c>
      <c r="P1041" t="n">
        <v>0</v>
      </c>
      <c r="Q1041" t="n">
        <v>0</v>
      </c>
      <c r="R1041" s="2" t="inlineStr"/>
    </row>
    <row r="1042" ht="15" customHeight="1">
      <c r="A1042" t="inlineStr">
        <is>
          <t>A 24964-2023</t>
        </is>
      </c>
      <c r="B1042" s="1" t="n">
        <v>45085</v>
      </c>
      <c r="C1042" s="1" t="n">
        <v>45337</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25181-2023</t>
        </is>
      </c>
      <c r="B1043" s="1" t="n">
        <v>45086</v>
      </c>
      <c r="C1043" s="1" t="n">
        <v>45337</v>
      </c>
      <c r="D1043" t="inlineStr">
        <is>
          <t>JÄMTLANDS LÄN</t>
        </is>
      </c>
      <c r="E1043" t="inlineStr">
        <is>
          <t>HÄRJEDALEN</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25485-2023</t>
        </is>
      </c>
      <c r="B1044" s="1" t="n">
        <v>45089</v>
      </c>
      <c r="C1044" s="1" t="n">
        <v>45337</v>
      </c>
      <c r="D1044" t="inlineStr">
        <is>
          <t>JÄMTLANDS LÄN</t>
        </is>
      </c>
      <c r="E1044" t="inlineStr">
        <is>
          <t>HÄRJEDALEN</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26411-2023</t>
        </is>
      </c>
      <c r="B1045" s="1" t="n">
        <v>45092</v>
      </c>
      <c r="C1045" s="1" t="n">
        <v>45337</v>
      </c>
      <c r="D1045" t="inlineStr">
        <is>
          <t>JÄMTLANDS LÄN</t>
        </is>
      </c>
      <c r="E1045" t="inlineStr">
        <is>
          <t>HÄRJEDALEN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26701-2023</t>
        </is>
      </c>
      <c r="B1046" s="1" t="n">
        <v>45093</v>
      </c>
      <c r="C1046" s="1" t="n">
        <v>45337</v>
      </c>
      <c r="D1046" t="inlineStr">
        <is>
          <t>JÄMTLANDS LÄN</t>
        </is>
      </c>
      <c r="E1046" t="inlineStr">
        <is>
          <t>HÄRJEDALEN</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26902-2023</t>
        </is>
      </c>
      <c r="B1047" s="1" t="n">
        <v>45093</v>
      </c>
      <c r="C1047" s="1" t="n">
        <v>45337</v>
      </c>
      <c r="D1047" t="inlineStr">
        <is>
          <t>JÄMTLANDS LÄN</t>
        </is>
      </c>
      <c r="E1047" t="inlineStr">
        <is>
          <t>HÄRJEDALEN</t>
        </is>
      </c>
      <c r="F1047" t="inlineStr">
        <is>
          <t>Bergvik skog väst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26905-2023</t>
        </is>
      </c>
      <c r="B1048" s="1" t="n">
        <v>45093</v>
      </c>
      <c r="C1048" s="1" t="n">
        <v>45337</v>
      </c>
      <c r="D1048" t="inlineStr">
        <is>
          <t>JÄMTLANDS LÄN</t>
        </is>
      </c>
      <c r="E1048" t="inlineStr">
        <is>
          <t>HÄRJEDALEN</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27136-2023</t>
        </is>
      </c>
      <c r="B1049" s="1" t="n">
        <v>45096</v>
      </c>
      <c r="C1049" s="1" t="n">
        <v>45337</v>
      </c>
      <c r="D1049" t="inlineStr">
        <is>
          <t>JÄMTLANDS LÄN</t>
        </is>
      </c>
      <c r="E1049" t="inlineStr">
        <is>
          <t>HÄRJEDALEN</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v>
      </c>
      <c r="C1050" s="1" t="n">
        <v>45337</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45337</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27764-2023</t>
        </is>
      </c>
      <c r="B1052" s="1" t="n">
        <v>45098</v>
      </c>
      <c r="C1052" s="1" t="n">
        <v>45337</v>
      </c>
      <c r="D1052" t="inlineStr">
        <is>
          <t>JÄMTLANDS LÄN</t>
        </is>
      </c>
      <c r="E1052" t="inlineStr">
        <is>
          <t>HÄRJEDALEN</t>
        </is>
      </c>
      <c r="G1052" t="n">
        <v>66.40000000000001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27812-2023</t>
        </is>
      </c>
      <c r="B1053" s="1" t="n">
        <v>45098</v>
      </c>
      <c r="C1053" s="1" t="n">
        <v>45337</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27940-2023</t>
        </is>
      </c>
      <c r="B1054" s="1" t="n">
        <v>45098</v>
      </c>
      <c r="C1054" s="1" t="n">
        <v>45337</v>
      </c>
      <c r="D1054" t="inlineStr">
        <is>
          <t>JÄMTLANDS LÄN</t>
        </is>
      </c>
      <c r="E1054" t="inlineStr">
        <is>
          <t>HÄRJEDALEN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28078-2023</t>
        </is>
      </c>
      <c r="B1055" s="1" t="n">
        <v>45099</v>
      </c>
      <c r="C1055" s="1" t="n">
        <v>45337</v>
      </c>
      <c r="D1055" t="inlineStr">
        <is>
          <t>JÄMTLANDS LÄN</t>
        </is>
      </c>
      <c r="E1055" t="inlineStr">
        <is>
          <t>HÄRJEDALEN</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28059-2023</t>
        </is>
      </c>
      <c r="B1056" s="1" t="n">
        <v>45099</v>
      </c>
      <c r="C1056" s="1" t="n">
        <v>45337</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28209-2023</t>
        </is>
      </c>
      <c r="B1057" s="1" t="n">
        <v>45099</v>
      </c>
      <c r="C1057" s="1" t="n">
        <v>45337</v>
      </c>
      <c r="D1057" t="inlineStr">
        <is>
          <t>JÄMTLANDS LÄN</t>
        </is>
      </c>
      <c r="E1057" t="inlineStr">
        <is>
          <t>HÄRJEDALEN</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28802-2023</t>
        </is>
      </c>
      <c r="B1058" s="1" t="n">
        <v>45104</v>
      </c>
      <c r="C1058" s="1" t="n">
        <v>45337</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29067-2023</t>
        </is>
      </c>
      <c r="B1059" s="1" t="n">
        <v>45104</v>
      </c>
      <c r="C1059" s="1" t="n">
        <v>45337</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29194-2023</t>
        </is>
      </c>
      <c r="B1060" s="1" t="n">
        <v>45105</v>
      </c>
      <c r="C1060" s="1" t="n">
        <v>45337</v>
      </c>
      <c r="D1060" t="inlineStr">
        <is>
          <t>JÄMTLANDS LÄN</t>
        </is>
      </c>
      <c r="E1060" t="inlineStr">
        <is>
          <t>HÄRJEDALEN</t>
        </is>
      </c>
      <c r="F1060" t="inlineStr">
        <is>
          <t>Bergvik skog väst AB</t>
        </is>
      </c>
      <c r="G1060" t="n">
        <v>21.4</v>
      </c>
      <c r="H1060" t="n">
        <v>0</v>
      </c>
      <c r="I1060" t="n">
        <v>0</v>
      </c>
      <c r="J1060" t="n">
        <v>0</v>
      </c>
      <c r="K1060" t="n">
        <v>0</v>
      </c>
      <c r="L1060" t="n">
        <v>0</v>
      </c>
      <c r="M1060" t="n">
        <v>0</v>
      </c>
      <c r="N1060" t="n">
        <v>0</v>
      </c>
      <c r="O1060" t="n">
        <v>0</v>
      </c>
      <c r="P1060" t="n">
        <v>0</v>
      </c>
      <c r="Q1060" t="n">
        <v>0</v>
      </c>
      <c r="R1060" s="2" t="inlineStr"/>
    </row>
    <row r="1061" ht="15" customHeight="1">
      <c r="A1061" t="inlineStr">
        <is>
          <t>A 29094-2023</t>
        </is>
      </c>
      <c r="B1061" s="1" t="n">
        <v>45105</v>
      </c>
      <c r="C1061" s="1" t="n">
        <v>45337</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29431-2023</t>
        </is>
      </c>
      <c r="B1062" s="1" t="n">
        <v>45106</v>
      </c>
      <c r="C1062" s="1" t="n">
        <v>45337</v>
      </c>
      <c r="D1062" t="inlineStr">
        <is>
          <t>JÄMTLANDS LÄN</t>
        </is>
      </c>
      <c r="E1062" t="inlineStr">
        <is>
          <t>HÄRJEDALEN</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29772-2023</t>
        </is>
      </c>
      <c r="B1063" s="1" t="n">
        <v>45107</v>
      </c>
      <c r="C1063" s="1" t="n">
        <v>45337</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30411-2023</t>
        </is>
      </c>
      <c r="B1064" s="1" t="n">
        <v>45111</v>
      </c>
      <c r="C1064" s="1" t="n">
        <v>45337</v>
      </c>
      <c r="D1064" t="inlineStr">
        <is>
          <t>JÄMTLANDS LÄN</t>
        </is>
      </c>
      <c r="E1064" t="inlineStr">
        <is>
          <t>HÄRJEDALEN</t>
        </is>
      </c>
      <c r="F1064" t="inlineStr">
        <is>
          <t>Bergvik skog väst AB</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30435-2023</t>
        </is>
      </c>
      <c r="B1065" s="1" t="n">
        <v>45111</v>
      </c>
      <c r="C1065" s="1" t="n">
        <v>45337</v>
      </c>
      <c r="D1065" t="inlineStr">
        <is>
          <t>JÄMTLANDS LÄN</t>
        </is>
      </c>
      <c r="E1065" t="inlineStr">
        <is>
          <t>HÄRJEDALEN</t>
        </is>
      </c>
      <c r="G1065" t="n">
        <v>20</v>
      </c>
      <c r="H1065" t="n">
        <v>0</v>
      </c>
      <c r="I1065" t="n">
        <v>0</v>
      </c>
      <c r="J1065" t="n">
        <v>0</v>
      </c>
      <c r="K1065" t="n">
        <v>0</v>
      </c>
      <c r="L1065" t="n">
        <v>0</v>
      </c>
      <c r="M1065" t="n">
        <v>0</v>
      </c>
      <c r="N1065" t="n">
        <v>0</v>
      </c>
      <c r="O1065" t="n">
        <v>0</v>
      </c>
      <c r="P1065" t="n">
        <v>0</v>
      </c>
      <c r="Q1065" t="n">
        <v>0</v>
      </c>
      <c r="R1065" s="2" t="inlineStr"/>
    </row>
    <row r="1066" ht="15" customHeight="1">
      <c r="A1066" t="inlineStr">
        <is>
          <t>A 30751-2023</t>
        </is>
      </c>
      <c r="B1066" s="1" t="n">
        <v>45112</v>
      </c>
      <c r="C1066" s="1" t="n">
        <v>45337</v>
      </c>
      <c r="D1066" t="inlineStr">
        <is>
          <t>JÄMTLANDS LÄN</t>
        </is>
      </c>
      <c r="E1066" t="inlineStr">
        <is>
          <t>HÄRJEDALEN</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30709-2023</t>
        </is>
      </c>
      <c r="B1067" s="1" t="n">
        <v>45112</v>
      </c>
      <c r="C1067" s="1" t="n">
        <v>45337</v>
      </c>
      <c r="D1067" t="inlineStr">
        <is>
          <t>JÄMTLANDS LÄN</t>
        </is>
      </c>
      <c r="E1067" t="inlineStr">
        <is>
          <t>HÄRJEDALEN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30984-2023</t>
        </is>
      </c>
      <c r="B1068" s="1" t="n">
        <v>45113</v>
      </c>
      <c r="C1068" s="1" t="n">
        <v>45337</v>
      </c>
      <c r="D1068" t="inlineStr">
        <is>
          <t>JÄMTLANDS LÄN</t>
        </is>
      </c>
      <c r="E1068" t="inlineStr">
        <is>
          <t>HÄRJEDALEN</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31269-2023</t>
        </is>
      </c>
      <c r="B1069" s="1" t="n">
        <v>45114</v>
      </c>
      <c r="C1069" s="1" t="n">
        <v>45337</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31435-2023</t>
        </is>
      </c>
      <c r="B1070" s="1" t="n">
        <v>45114</v>
      </c>
      <c r="C1070" s="1" t="n">
        <v>45337</v>
      </c>
      <c r="D1070" t="inlineStr">
        <is>
          <t>JÄMTLANDS LÄN</t>
        </is>
      </c>
      <c r="E1070" t="inlineStr">
        <is>
          <t>HÄRJEDALEN</t>
        </is>
      </c>
      <c r="G1070" t="n">
        <v>20.9</v>
      </c>
      <c r="H1070" t="n">
        <v>0</v>
      </c>
      <c r="I1070" t="n">
        <v>0</v>
      </c>
      <c r="J1070" t="n">
        <v>0</v>
      </c>
      <c r="K1070" t="n">
        <v>0</v>
      </c>
      <c r="L1070" t="n">
        <v>0</v>
      </c>
      <c r="M1070" t="n">
        <v>0</v>
      </c>
      <c r="N1070" t="n">
        <v>0</v>
      </c>
      <c r="O1070" t="n">
        <v>0</v>
      </c>
      <c r="P1070" t="n">
        <v>0</v>
      </c>
      <c r="Q1070" t="n">
        <v>0</v>
      </c>
      <c r="R1070" s="2" t="inlineStr"/>
    </row>
    <row r="1071" ht="15" customHeight="1">
      <c r="A1071" t="inlineStr">
        <is>
          <t>A 31778-2023</t>
        </is>
      </c>
      <c r="B1071" s="1" t="n">
        <v>45118</v>
      </c>
      <c r="C1071" s="1" t="n">
        <v>45337</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31811-2023</t>
        </is>
      </c>
      <c r="B1072" s="1" t="n">
        <v>45118</v>
      </c>
      <c r="C1072" s="1" t="n">
        <v>45337</v>
      </c>
      <c r="D1072" t="inlineStr">
        <is>
          <t>JÄMTLANDS LÄN</t>
        </is>
      </c>
      <c r="E1072" t="inlineStr">
        <is>
          <t>HÄRJEDALEN</t>
        </is>
      </c>
      <c r="F1072" t="inlineStr">
        <is>
          <t>Bergvik skog väst AB</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31910-2023</t>
        </is>
      </c>
      <c r="B1073" s="1" t="n">
        <v>45118</v>
      </c>
      <c r="C1073" s="1" t="n">
        <v>45337</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v>
      </c>
      <c r="C1074" s="1" t="n">
        <v>45337</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31996-2023</t>
        </is>
      </c>
      <c r="B1075" s="1" t="n">
        <v>45119</v>
      </c>
      <c r="C1075" s="1" t="n">
        <v>45337</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31960-2023</t>
        </is>
      </c>
      <c r="B1076" s="1" t="n">
        <v>45119</v>
      </c>
      <c r="C1076" s="1" t="n">
        <v>45337</v>
      </c>
      <c r="D1076" t="inlineStr">
        <is>
          <t>JÄMTLANDS LÄN</t>
        </is>
      </c>
      <c r="E1076" t="inlineStr">
        <is>
          <t>HÄRJEDALEN</t>
        </is>
      </c>
      <c r="F1076" t="inlineStr">
        <is>
          <t>Bergvik skog väst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31956-2023</t>
        </is>
      </c>
      <c r="B1077" s="1" t="n">
        <v>45119</v>
      </c>
      <c r="C1077" s="1" t="n">
        <v>45337</v>
      </c>
      <c r="D1077" t="inlineStr">
        <is>
          <t>JÄMTLANDS LÄN</t>
        </is>
      </c>
      <c r="E1077" t="inlineStr">
        <is>
          <t>HÄRJEDALEN</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31961-2023</t>
        </is>
      </c>
      <c r="B1078" s="1" t="n">
        <v>45119</v>
      </c>
      <c r="C1078" s="1" t="n">
        <v>45337</v>
      </c>
      <c r="D1078" t="inlineStr">
        <is>
          <t>JÄMTLANDS LÄN</t>
        </is>
      </c>
      <c r="E1078" t="inlineStr">
        <is>
          <t>HÄRJEDALEN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33257-2023</t>
        </is>
      </c>
      <c r="B1079" s="1" t="n">
        <v>45127</v>
      </c>
      <c r="C1079" s="1" t="n">
        <v>45337</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33232-2023</t>
        </is>
      </c>
      <c r="B1080" s="1" t="n">
        <v>45127</v>
      </c>
      <c r="C1080" s="1" t="n">
        <v>45337</v>
      </c>
      <c r="D1080" t="inlineStr">
        <is>
          <t>JÄMTLANDS LÄN</t>
        </is>
      </c>
      <c r="E1080" t="inlineStr">
        <is>
          <t>HÄRJEDALEN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33992-2023</t>
        </is>
      </c>
      <c r="B1081" s="1" t="n">
        <v>45134</v>
      </c>
      <c r="C1081" s="1" t="n">
        <v>45337</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34260-2023</t>
        </is>
      </c>
      <c r="B1082" s="1" t="n">
        <v>45138</v>
      </c>
      <c r="C1082" s="1" t="n">
        <v>45337</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34313-2023</t>
        </is>
      </c>
      <c r="B1083" s="1" t="n">
        <v>45139</v>
      </c>
      <c r="C1083" s="1" t="n">
        <v>45337</v>
      </c>
      <c r="D1083" t="inlineStr">
        <is>
          <t>JÄMTLANDS LÄN</t>
        </is>
      </c>
      <c r="E1083" t="inlineStr">
        <is>
          <t>HÄRJEDALEN</t>
        </is>
      </c>
      <c r="F1083" t="inlineStr">
        <is>
          <t>SCA</t>
        </is>
      </c>
      <c r="G1083" t="n">
        <v>31.6</v>
      </c>
      <c r="H1083" t="n">
        <v>0</v>
      </c>
      <c r="I1083" t="n">
        <v>0</v>
      </c>
      <c r="J1083" t="n">
        <v>0</v>
      </c>
      <c r="K1083" t="n">
        <v>0</v>
      </c>
      <c r="L1083" t="n">
        <v>0</v>
      </c>
      <c r="M1083" t="n">
        <v>0</v>
      </c>
      <c r="N1083" t="n">
        <v>0</v>
      </c>
      <c r="O1083" t="n">
        <v>0</v>
      </c>
      <c r="P1083" t="n">
        <v>0</v>
      </c>
      <c r="Q1083" t="n">
        <v>0</v>
      </c>
      <c r="R1083" s="2" t="inlineStr"/>
    </row>
    <row r="1084" ht="15" customHeight="1">
      <c r="A1084" t="inlineStr">
        <is>
          <t>A 34314-2023</t>
        </is>
      </c>
      <c r="B1084" s="1" t="n">
        <v>45138</v>
      </c>
      <c r="C1084" s="1" t="n">
        <v>45337</v>
      </c>
      <c r="D1084" t="inlineStr">
        <is>
          <t>JÄMTLANDS LÄN</t>
        </is>
      </c>
      <c r="E1084" t="inlineStr">
        <is>
          <t>HÄRJEDALEN</t>
        </is>
      </c>
      <c r="F1084" t="inlineStr">
        <is>
          <t>SCA</t>
        </is>
      </c>
      <c r="G1084" t="n">
        <v>18.1</v>
      </c>
      <c r="H1084" t="n">
        <v>0</v>
      </c>
      <c r="I1084" t="n">
        <v>0</v>
      </c>
      <c r="J1084" t="n">
        <v>0</v>
      </c>
      <c r="K1084" t="n">
        <v>0</v>
      </c>
      <c r="L1084" t="n">
        <v>0</v>
      </c>
      <c r="M1084" t="n">
        <v>0</v>
      </c>
      <c r="N1084" t="n">
        <v>0</v>
      </c>
      <c r="O1084" t="n">
        <v>0</v>
      </c>
      <c r="P1084" t="n">
        <v>0</v>
      </c>
      <c r="Q1084" t="n">
        <v>0</v>
      </c>
      <c r="R1084" s="2" t="inlineStr"/>
    </row>
    <row r="1085" ht="15" customHeight="1">
      <c r="A1085" t="inlineStr">
        <is>
          <t>A 35396-2023</t>
        </is>
      </c>
      <c r="B1085" s="1" t="n">
        <v>45146</v>
      </c>
      <c r="C1085" s="1" t="n">
        <v>45337</v>
      </c>
      <c r="D1085" t="inlineStr">
        <is>
          <t>JÄMTLANDS LÄN</t>
        </is>
      </c>
      <c r="E1085" t="inlineStr">
        <is>
          <t>HÄRJEDALEN</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35813-2023</t>
        </is>
      </c>
      <c r="B1086" s="1" t="n">
        <v>45147</v>
      </c>
      <c r="C1086" s="1" t="n">
        <v>45337</v>
      </c>
      <c r="D1086" t="inlineStr">
        <is>
          <t>JÄMTLANDS LÄN</t>
        </is>
      </c>
      <c r="E1086" t="inlineStr">
        <is>
          <t>HÄRJEDALEN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35891-2023</t>
        </is>
      </c>
      <c r="B1087" s="1" t="n">
        <v>45148</v>
      </c>
      <c r="C1087" s="1" t="n">
        <v>45337</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36027-2023</t>
        </is>
      </c>
      <c r="B1088" s="1" t="n">
        <v>45149</v>
      </c>
      <c r="C1088" s="1" t="n">
        <v>45337</v>
      </c>
      <c r="D1088" t="inlineStr">
        <is>
          <t>JÄMTLANDS LÄN</t>
        </is>
      </c>
      <c r="E1088" t="inlineStr">
        <is>
          <t>HÄRJEDALEN</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36111-2023</t>
        </is>
      </c>
      <c r="B1089" s="1" t="n">
        <v>45149</v>
      </c>
      <c r="C1089" s="1" t="n">
        <v>45337</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36143-2023</t>
        </is>
      </c>
      <c r="B1090" s="1" t="n">
        <v>45149</v>
      </c>
      <c r="C1090" s="1" t="n">
        <v>45337</v>
      </c>
      <c r="D1090" t="inlineStr">
        <is>
          <t>JÄMTLANDS LÄN</t>
        </is>
      </c>
      <c r="E1090" t="inlineStr">
        <is>
          <t>HÄRJEDALEN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36570-2023</t>
        </is>
      </c>
      <c r="B1091" s="1" t="n">
        <v>45153</v>
      </c>
      <c r="C1091" s="1" t="n">
        <v>45337</v>
      </c>
      <c r="D1091" t="inlineStr">
        <is>
          <t>JÄMTLANDS LÄN</t>
        </is>
      </c>
      <c r="E1091" t="inlineStr">
        <is>
          <t>HÄRJEDALEN</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36565-2023</t>
        </is>
      </c>
      <c r="B1092" s="1" t="n">
        <v>45153</v>
      </c>
      <c r="C1092" s="1" t="n">
        <v>45337</v>
      </c>
      <c r="D1092" t="inlineStr">
        <is>
          <t>JÄMTLANDS LÄN</t>
        </is>
      </c>
      <c r="E1092" t="inlineStr">
        <is>
          <t>HÄRJEDALEN</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36568-2023</t>
        </is>
      </c>
      <c r="B1093" s="1" t="n">
        <v>45153</v>
      </c>
      <c r="C1093" s="1" t="n">
        <v>45337</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36651-2023</t>
        </is>
      </c>
      <c r="B1094" s="1" t="n">
        <v>45153</v>
      </c>
      <c r="C1094" s="1" t="n">
        <v>45337</v>
      </c>
      <c r="D1094" t="inlineStr">
        <is>
          <t>JÄMTLANDS LÄN</t>
        </is>
      </c>
      <c r="E1094" t="inlineStr">
        <is>
          <t>HÄRJEDALEN</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36720-2023</t>
        </is>
      </c>
      <c r="B1095" s="1" t="n">
        <v>45153</v>
      </c>
      <c r="C1095" s="1" t="n">
        <v>45337</v>
      </c>
      <c r="D1095" t="inlineStr">
        <is>
          <t>JÄMTLANDS LÄN</t>
        </is>
      </c>
      <c r="E1095" t="inlineStr">
        <is>
          <t>HÄRJEDALEN</t>
        </is>
      </c>
      <c r="F1095" t="inlineStr">
        <is>
          <t>Bergvik skog väst AB</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36677-2023</t>
        </is>
      </c>
      <c r="B1096" s="1" t="n">
        <v>45153</v>
      </c>
      <c r="C1096" s="1" t="n">
        <v>45337</v>
      </c>
      <c r="D1096" t="inlineStr">
        <is>
          <t>JÄMTLANDS LÄN</t>
        </is>
      </c>
      <c r="E1096" t="inlineStr">
        <is>
          <t>HÄRJEDALEN</t>
        </is>
      </c>
      <c r="F1096" t="inlineStr">
        <is>
          <t>Bergvik skog väst AB</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36921-2023</t>
        </is>
      </c>
      <c r="B1097" s="1" t="n">
        <v>45154</v>
      </c>
      <c r="C1097" s="1" t="n">
        <v>45337</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45337</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36930-2023</t>
        </is>
      </c>
      <c r="B1099" s="1" t="n">
        <v>45154</v>
      </c>
      <c r="C1099" s="1" t="n">
        <v>45337</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36946-2023</t>
        </is>
      </c>
      <c r="B1100" s="1" t="n">
        <v>45154</v>
      </c>
      <c r="C1100" s="1" t="n">
        <v>45337</v>
      </c>
      <c r="D1100" t="inlineStr">
        <is>
          <t>JÄMTLANDS LÄN</t>
        </is>
      </c>
      <c r="E1100" t="inlineStr">
        <is>
          <t>HÄRJEDALEN</t>
        </is>
      </c>
      <c r="F1100" t="inlineStr">
        <is>
          <t>Kyrkan</t>
        </is>
      </c>
      <c r="G1100" t="n">
        <v>43.1</v>
      </c>
      <c r="H1100" t="n">
        <v>0</v>
      </c>
      <c r="I1100" t="n">
        <v>0</v>
      </c>
      <c r="J1100" t="n">
        <v>0</v>
      </c>
      <c r="K1100" t="n">
        <v>0</v>
      </c>
      <c r="L1100" t="n">
        <v>0</v>
      </c>
      <c r="M1100" t="n">
        <v>0</v>
      </c>
      <c r="N1100" t="n">
        <v>0</v>
      </c>
      <c r="O1100" t="n">
        <v>0</v>
      </c>
      <c r="P1100" t="n">
        <v>0</v>
      </c>
      <c r="Q1100" t="n">
        <v>0</v>
      </c>
      <c r="R1100" s="2" t="inlineStr"/>
    </row>
    <row r="1101" ht="15" customHeight="1">
      <c r="A1101" t="inlineStr">
        <is>
          <t>A 36840-2023</t>
        </is>
      </c>
      <c r="B1101" s="1" t="n">
        <v>45154</v>
      </c>
      <c r="C1101" s="1" t="n">
        <v>45337</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c r="U1101">
        <f>HYPERLINK("https://klasma.github.io/Logging_2361/knärot/A 36840-2023 karta knärot.png", "A 36840-2023")</f>
        <v/>
      </c>
      <c r="V1101">
        <f>HYPERLINK("https://klasma.github.io/Logging_2361/klagomål/A 36840-2023 FSC-klagomål.docx", "A 36840-2023")</f>
        <v/>
      </c>
      <c r="W1101">
        <f>HYPERLINK("https://klasma.github.io/Logging_2361/klagomålsmail/A 36840-2023 FSC-klagomål mail.docx", "A 36840-2023")</f>
        <v/>
      </c>
      <c r="X1101">
        <f>HYPERLINK("https://klasma.github.io/Logging_2361/tillsyn/A 36840-2023 tillsynsbegäran.docx", "A 36840-2023")</f>
        <v/>
      </c>
      <c r="Y1101">
        <f>HYPERLINK("https://klasma.github.io/Logging_2361/tillsynsmail/A 36840-2023 tillsynsbegäran mail.docx", "A 36840-2023")</f>
        <v/>
      </c>
    </row>
    <row r="1102" ht="15" customHeight="1">
      <c r="A1102" t="inlineStr">
        <is>
          <t>A 37054-2023</t>
        </is>
      </c>
      <c r="B1102" s="1" t="n">
        <v>45154</v>
      </c>
      <c r="C1102" s="1" t="n">
        <v>45337</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36931-2023</t>
        </is>
      </c>
      <c r="B1103" s="1" t="n">
        <v>45154</v>
      </c>
      <c r="C1103" s="1" t="n">
        <v>45337</v>
      </c>
      <c r="D1103" t="inlineStr">
        <is>
          <t>JÄMTLANDS LÄN</t>
        </is>
      </c>
      <c r="E1103" t="inlineStr">
        <is>
          <t>HÄRJEDALEN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37315-2023</t>
        </is>
      </c>
      <c r="B1104" s="1" t="n">
        <v>45156</v>
      </c>
      <c r="C1104" s="1" t="n">
        <v>45337</v>
      </c>
      <c r="D1104" t="inlineStr">
        <is>
          <t>JÄMTLANDS LÄN</t>
        </is>
      </c>
      <c r="E1104" t="inlineStr">
        <is>
          <t>HÄRJEDALEN</t>
        </is>
      </c>
      <c r="F1104" t="inlineStr">
        <is>
          <t>Bergvik skog väst AB</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37345-2023</t>
        </is>
      </c>
      <c r="B1105" s="1" t="n">
        <v>45156</v>
      </c>
      <c r="C1105" s="1" t="n">
        <v>45337</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37365-2023</t>
        </is>
      </c>
      <c r="B1106" s="1" t="n">
        <v>45156</v>
      </c>
      <c r="C1106" s="1" t="n">
        <v>45337</v>
      </c>
      <c r="D1106" t="inlineStr">
        <is>
          <t>JÄMTLANDS LÄN</t>
        </is>
      </c>
      <c r="E1106" t="inlineStr">
        <is>
          <t>HÄRJEDALEN</t>
        </is>
      </c>
      <c r="F1106" t="inlineStr">
        <is>
          <t>Bergvik skog väst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37363-2023</t>
        </is>
      </c>
      <c r="B1107" s="1" t="n">
        <v>45156</v>
      </c>
      <c r="C1107" s="1" t="n">
        <v>45337</v>
      </c>
      <c r="D1107" t="inlineStr">
        <is>
          <t>JÄMTLANDS LÄN</t>
        </is>
      </c>
      <c r="E1107" t="inlineStr">
        <is>
          <t>HÄRJEDALEN</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v>
      </c>
      <c r="C1108" s="1" t="n">
        <v>45337</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37764-2023</t>
        </is>
      </c>
      <c r="B1109" s="1" t="n">
        <v>45159</v>
      </c>
      <c r="C1109" s="1" t="n">
        <v>45337</v>
      </c>
      <c r="D1109" t="inlineStr">
        <is>
          <t>JÄMTLANDS LÄN</t>
        </is>
      </c>
      <c r="E1109" t="inlineStr">
        <is>
          <t>HÄRJEDALEN</t>
        </is>
      </c>
      <c r="F1109" t="inlineStr">
        <is>
          <t>Bergvik skog väst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37715-2023</t>
        </is>
      </c>
      <c r="B1110" s="1" t="n">
        <v>45159</v>
      </c>
      <c r="C1110" s="1" t="n">
        <v>45337</v>
      </c>
      <c r="D1110" t="inlineStr">
        <is>
          <t>JÄMTLANDS LÄN</t>
        </is>
      </c>
      <c r="E1110" t="inlineStr">
        <is>
          <t>HÄRJEDALEN</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37719-2023</t>
        </is>
      </c>
      <c r="B1111" s="1" t="n">
        <v>45159</v>
      </c>
      <c r="C1111" s="1" t="n">
        <v>45337</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37747-2023</t>
        </is>
      </c>
      <c r="B1112" s="1" t="n">
        <v>45159</v>
      </c>
      <c r="C1112" s="1" t="n">
        <v>45337</v>
      </c>
      <c r="D1112" t="inlineStr">
        <is>
          <t>JÄMTLANDS LÄN</t>
        </is>
      </c>
      <c r="E1112" t="inlineStr">
        <is>
          <t>HÄRJEDALEN</t>
        </is>
      </c>
      <c r="F1112" t="inlineStr">
        <is>
          <t>Bergvik skog väst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37762-2023</t>
        </is>
      </c>
      <c r="B1113" s="1" t="n">
        <v>45159</v>
      </c>
      <c r="C1113" s="1" t="n">
        <v>45337</v>
      </c>
      <c r="D1113" t="inlineStr">
        <is>
          <t>JÄMTLANDS LÄN</t>
        </is>
      </c>
      <c r="E1113" t="inlineStr">
        <is>
          <t>HÄRJEDALEN</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38683-2023</t>
        </is>
      </c>
      <c r="B1114" s="1" t="n">
        <v>45162</v>
      </c>
      <c r="C1114" s="1" t="n">
        <v>45337</v>
      </c>
      <c r="D1114" t="inlineStr">
        <is>
          <t>JÄMTLANDS LÄN</t>
        </is>
      </c>
      <c r="E1114" t="inlineStr">
        <is>
          <t>HÄRJEDALEN</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38929-2023</t>
        </is>
      </c>
      <c r="B1115" s="1" t="n">
        <v>45163</v>
      </c>
      <c r="C1115" s="1" t="n">
        <v>45337</v>
      </c>
      <c r="D1115" t="inlineStr">
        <is>
          <t>JÄMTLANDS LÄN</t>
        </is>
      </c>
      <c r="E1115" t="inlineStr">
        <is>
          <t>HÄRJEDALEN</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v>
      </c>
      <c r="C1116" s="1" t="n">
        <v>45337</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39355-2023</t>
        </is>
      </c>
      <c r="B1117" s="1" t="n">
        <v>45166</v>
      </c>
      <c r="C1117" s="1" t="n">
        <v>45337</v>
      </c>
      <c r="D1117" t="inlineStr">
        <is>
          <t>JÄMTLANDS LÄN</t>
        </is>
      </c>
      <c r="E1117" t="inlineStr">
        <is>
          <t>HÄRJEDALEN</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39614-2023</t>
        </is>
      </c>
      <c r="B1118" s="1" t="n">
        <v>45167</v>
      </c>
      <c r="C1118" s="1" t="n">
        <v>45337</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39612-2023</t>
        </is>
      </c>
      <c r="B1119" s="1" t="n">
        <v>45167</v>
      </c>
      <c r="C1119" s="1" t="n">
        <v>45337</v>
      </c>
      <c r="D1119" t="inlineStr">
        <is>
          <t>JÄMTLANDS LÄN</t>
        </is>
      </c>
      <c r="E1119" t="inlineStr">
        <is>
          <t>HÄRJEDALEN</t>
        </is>
      </c>
      <c r="F1119" t="inlineStr">
        <is>
          <t>Bergvik skog väst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39649-2023</t>
        </is>
      </c>
      <c r="B1120" s="1" t="n">
        <v>45167</v>
      </c>
      <c r="C1120" s="1" t="n">
        <v>45337</v>
      </c>
      <c r="D1120" t="inlineStr">
        <is>
          <t>JÄMTLANDS LÄN</t>
        </is>
      </c>
      <c r="E1120" t="inlineStr">
        <is>
          <t>HÄRJEDALEN</t>
        </is>
      </c>
      <c r="F1120" t="inlineStr">
        <is>
          <t>Bergvik skog väst AB</t>
        </is>
      </c>
      <c r="G1120" t="n">
        <v>23.6</v>
      </c>
      <c r="H1120" t="n">
        <v>0</v>
      </c>
      <c r="I1120" t="n">
        <v>0</v>
      </c>
      <c r="J1120" t="n">
        <v>0</v>
      </c>
      <c r="K1120" t="n">
        <v>0</v>
      </c>
      <c r="L1120" t="n">
        <v>0</v>
      </c>
      <c r="M1120" t="n">
        <v>0</v>
      </c>
      <c r="N1120" t="n">
        <v>0</v>
      </c>
      <c r="O1120" t="n">
        <v>0</v>
      </c>
      <c r="P1120" t="n">
        <v>0</v>
      </c>
      <c r="Q1120" t="n">
        <v>0</v>
      </c>
      <c r="R1120" s="2" t="inlineStr"/>
    </row>
    <row r="1121" ht="15" customHeight="1">
      <c r="A1121" t="inlineStr">
        <is>
          <t>A 40215-2023</t>
        </is>
      </c>
      <c r="B1121" s="1" t="n">
        <v>45169</v>
      </c>
      <c r="C1121" s="1" t="n">
        <v>45337</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40217-2023</t>
        </is>
      </c>
      <c r="B1122" s="1" t="n">
        <v>45169</v>
      </c>
      <c r="C1122" s="1" t="n">
        <v>45337</v>
      </c>
      <c r="D1122" t="inlineStr">
        <is>
          <t>JÄMTLANDS LÄN</t>
        </is>
      </c>
      <c r="E1122" t="inlineStr">
        <is>
          <t>HÄRJEDALEN</t>
        </is>
      </c>
      <c r="G1122" t="n">
        <v>23.5</v>
      </c>
      <c r="H1122" t="n">
        <v>0</v>
      </c>
      <c r="I1122" t="n">
        <v>0</v>
      </c>
      <c r="J1122" t="n">
        <v>0</v>
      </c>
      <c r="K1122" t="n">
        <v>0</v>
      </c>
      <c r="L1122" t="n">
        <v>0</v>
      </c>
      <c r="M1122" t="n">
        <v>0</v>
      </c>
      <c r="N1122" t="n">
        <v>0</v>
      </c>
      <c r="O1122" t="n">
        <v>0</v>
      </c>
      <c r="P1122" t="n">
        <v>0</v>
      </c>
      <c r="Q1122" t="n">
        <v>0</v>
      </c>
      <c r="R1122" s="2" t="inlineStr"/>
    </row>
    <row r="1123" ht="15" customHeight="1">
      <c r="A1123" t="inlineStr">
        <is>
          <t>A 40560-2023</t>
        </is>
      </c>
      <c r="B1123" s="1" t="n">
        <v>45170</v>
      </c>
      <c r="C1123" s="1" t="n">
        <v>45337</v>
      </c>
      <c r="D1123" t="inlineStr">
        <is>
          <t>JÄMTLANDS LÄN</t>
        </is>
      </c>
      <c r="E1123" t="inlineStr">
        <is>
          <t>HÄRJEDALEN</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40569-2023</t>
        </is>
      </c>
      <c r="B1124" s="1" t="n">
        <v>45170</v>
      </c>
      <c r="C1124" s="1" t="n">
        <v>45337</v>
      </c>
      <c r="D1124" t="inlineStr">
        <is>
          <t>JÄMTLANDS LÄN</t>
        </is>
      </c>
      <c r="E1124" t="inlineStr">
        <is>
          <t>HÄRJEDALEN</t>
        </is>
      </c>
      <c r="F1124" t="inlineStr">
        <is>
          <t>Holmen skog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40578-2023</t>
        </is>
      </c>
      <c r="B1125" s="1" t="n">
        <v>45170</v>
      </c>
      <c r="C1125" s="1" t="n">
        <v>45337</v>
      </c>
      <c r="D1125" t="inlineStr">
        <is>
          <t>JÄMTLANDS LÄN</t>
        </is>
      </c>
      <c r="E1125" t="inlineStr">
        <is>
          <t>HÄRJEDALEN</t>
        </is>
      </c>
      <c r="F1125" t="inlineStr">
        <is>
          <t>Holmen skog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40664-2023</t>
        </is>
      </c>
      <c r="B1126" s="1" t="n">
        <v>45170</v>
      </c>
      <c r="C1126" s="1" t="n">
        <v>45337</v>
      </c>
      <c r="D1126" t="inlineStr">
        <is>
          <t>JÄMTLANDS LÄN</t>
        </is>
      </c>
      <c r="E1126" t="inlineStr">
        <is>
          <t>HÄRJEDALEN</t>
        </is>
      </c>
      <c r="G1126" t="n">
        <v>65.3</v>
      </c>
      <c r="H1126" t="n">
        <v>0</v>
      </c>
      <c r="I1126" t="n">
        <v>0</v>
      </c>
      <c r="J1126" t="n">
        <v>0</v>
      </c>
      <c r="K1126" t="n">
        <v>0</v>
      </c>
      <c r="L1126" t="n">
        <v>0</v>
      </c>
      <c r="M1126" t="n">
        <v>0</v>
      </c>
      <c r="N1126" t="n">
        <v>0</v>
      </c>
      <c r="O1126" t="n">
        <v>0</v>
      </c>
      <c r="P1126" t="n">
        <v>0</v>
      </c>
      <c r="Q1126" t="n">
        <v>0</v>
      </c>
      <c r="R1126" s="2" t="inlineStr"/>
    </row>
    <row r="1127" ht="15" customHeight="1">
      <c r="A1127" t="inlineStr">
        <is>
          <t>A 40567-2023</t>
        </is>
      </c>
      <c r="B1127" s="1" t="n">
        <v>45170</v>
      </c>
      <c r="C1127" s="1" t="n">
        <v>45337</v>
      </c>
      <c r="D1127" t="inlineStr">
        <is>
          <t>JÄMTLANDS LÄN</t>
        </is>
      </c>
      <c r="E1127" t="inlineStr">
        <is>
          <t>HÄRJEDALEN</t>
        </is>
      </c>
      <c r="F1127" t="inlineStr">
        <is>
          <t>Holmen skog AB</t>
        </is>
      </c>
      <c r="G1127" t="n">
        <v>19.4</v>
      </c>
      <c r="H1127" t="n">
        <v>0</v>
      </c>
      <c r="I1127" t="n">
        <v>0</v>
      </c>
      <c r="J1127" t="n">
        <v>0</v>
      </c>
      <c r="K1127" t="n">
        <v>0</v>
      </c>
      <c r="L1127" t="n">
        <v>0</v>
      </c>
      <c r="M1127" t="n">
        <v>0</v>
      </c>
      <c r="N1127" t="n">
        <v>0</v>
      </c>
      <c r="O1127" t="n">
        <v>0</v>
      </c>
      <c r="P1127" t="n">
        <v>0</v>
      </c>
      <c r="Q1127" t="n">
        <v>0</v>
      </c>
      <c r="R1127" s="2" t="inlineStr"/>
    </row>
    <row r="1128" ht="15" customHeight="1">
      <c r="A1128" t="inlineStr">
        <is>
          <t>A 40573-2023</t>
        </is>
      </c>
      <c r="B1128" s="1" t="n">
        <v>45170</v>
      </c>
      <c r="C1128" s="1" t="n">
        <v>45337</v>
      </c>
      <c r="D1128" t="inlineStr">
        <is>
          <t>JÄMTLANDS LÄN</t>
        </is>
      </c>
      <c r="E1128" t="inlineStr">
        <is>
          <t>HÄRJEDALEN</t>
        </is>
      </c>
      <c r="F1128" t="inlineStr">
        <is>
          <t>Holmen skog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40900-2023</t>
        </is>
      </c>
      <c r="B1129" s="1" t="n">
        <v>45173</v>
      </c>
      <c r="C1129" s="1" t="n">
        <v>45337</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40904-2023</t>
        </is>
      </c>
      <c r="B1130" s="1" t="n">
        <v>45173</v>
      </c>
      <c r="C1130" s="1" t="n">
        <v>45337</v>
      </c>
      <c r="D1130" t="inlineStr">
        <is>
          <t>JÄMTLANDS LÄN</t>
        </is>
      </c>
      <c r="E1130" t="inlineStr">
        <is>
          <t>HÄRJEDALEN</t>
        </is>
      </c>
      <c r="F1130" t="inlineStr">
        <is>
          <t>Bergvik skog väst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41058-2023</t>
        </is>
      </c>
      <c r="B1131" s="1" t="n">
        <v>45173</v>
      </c>
      <c r="C1131" s="1" t="n">
        <v>45337</v>
      </c>
      <c r="D1131" t="inlineStr">
        <is>
          <t>JÄMTLANDS LÄN</t>
        </is>
      </c>
      <c r="E1131" t="inlineStr">
        <is>
          <t>HÄRJEDALEN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41094-2023</t>
        </is>
      </c>
      <c r="B1132" s="1" t="n">
        <v>45173</v>
      </c>
      <c r="C1132" s="1" t="n">
        <v>45337</v>
      </c>
      <c r="D1132" t="inlineStr">
        <is>
          <t>JÄMTLANDS LÄN</t>
        </is>
      </c>
      <c r="E1132" t="inlineStr">
        <is>
          <t>HÄRJEDALEN</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45337</v>
      </c>
      <c r="D1133" t="inlineStr">
        <is>
          <t>JÄMTLANDS LÄN</t>
        </is>
      </c>
      <c r="E1133" t="inlineStr">
        <is>
          <t>HÄRJEDALEN</t>
        </is>
      </c>
      <c r="G1133" t="n">
        <v>60.4</v>
      </c>
      <c r="H1133" t="n">
        <v>0</v>
      </c>
      <c r="I1133" t="n">
        <v>0</v>
      </c>
      <c r="J1133" t="n">
        <v>0</v>
      </c>
      <c r="K1133" t="n">
        <v>0</v>
      </c>
      <c r="L1133" t="n">
        <v>0</v>
      </c>
      <c r="M1133" t="n">
        <v>0</v>
      </c>
      <c r="N1133" t="n">
        <v>0</v>
      </c>
      <c r="O1133" t="n">
        <v>0</v>
      </c>
      <c r="P1133" t="n">
        <v>0</v>
      </c>
      <c r="Q1133" t="n">
        <v>0</v>
      </c>
      <c r="R1133" s="2" t="inlineStr"/>
    </row>
    <row r="1134" ht="15" customHeight="1">
      <c r="A1134" t="inlineStr">
        <is>
          <t>A 41555-2023</t>
        </is>
      </c>
      <c r="B1134" s="1" t="n">
        <v>45175</v>
      </c>
      <c r="C1134" s="1" t="n">
        <v>45337</v>
      </c>
      <c r="D1134" t="inlineStr">
        <is>
          <t>JÄMTLANDS LÄN</t>
        </is>
      </c>
      <c r="E1134" t="inlineStr">
        <is>
          <t>HÄRJEDALEN</t>
        </is>
      </c>
      <c r="F1134" t="inlineStr">
        <is>
          <t>Bergvik skog väst AB</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42146-2023</t>
        </is>
      </c>
      <c r="B1135" s="1" t="n">
        <v>45178</v>
      </c>
      <c r="C1135" s="1" t="n">
        <v>45337</v>
      </c>
      <c r="D1135" t="inlineStr">
        <is>
          <t>JÄMTLANDS LÄN</t>
        </is>
      </c>
      <c r="E1135" t="inlineStr">
        <is>
          <t>HÄRJEDALEN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42143-2023</t>
        </is>
      </c>
      <c r="B1136" s="1" t="n">
        <v>45178</v>
      </c>
      <c r="C1136" s="1" t="n">
        <v>45337</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43192-2023</t>
        </is>
      </c>
      <c r="B1137" s="1" t="n">
        <v>45180</v>
      </c>
      <c r="C1137" s="1" t="n">
        <v>45337</v>
      </c>
      <c r="D1137" t="inlineStr">
        <is>
          <t>JÄMTLANDS LÄN</t>
        </is>
      </c>
      <c r="E1137" t="inlineStr">
        <is>
          <t>HÄRJEDALEN</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43211-2023</t>
        </is>
      </c>
      <c r="B1138" s="1" t="n">
        <v>45180</v>
      </c>
      <c r="C1138" s="1" t="n">
        <v>45337</v>
      </c>
      <c r="D1138" t="inlineStr">
        <is>
          <t>JÄMTLANDS LÄN</t>
        </is>
      </c>
      <c r="E1138" t="inlineStr">
        <is>
          <t>HÄRJEDALEN</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42720-2023</t>
        </is>
      </c>
      <c r="B1139" s="1" t="n">
        <v>45181</v>
      </c>
      <c r="C1139" s="1" t="n">
        <v>45337</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43503-2023</t>
        </is>
      </c>
      <c r="B1140" s="1" t="n">
        <v>45184</v>
      </c>
      <c r="C1140" s="1" t="n">
        <v>45337</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43481-2023</t>
        </is>
      </c>
      <c r="B1141" s="1" t="n">
        <v>45184</v>
      </c>
      <c r="C1141" s="1" t="n">
        <v>45337</v>
      </c>
      <c r="D1141" t="inlineStr">
        <is>
          <t>JÄMTLANDS LÄN</t>
        </is>
      </c>
      <c r="E1141" t="inlineStr">
        <is>
          <t>HÄRJEDALEN</t>
        </is>
      </c>
      <c r="F1141" t="inlineStr">
        <is>
          <t>Bergvik skog väst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43870-2023</t>
        </is>
      </c>
      <c r="B1142" s="1" t="n">
        <v>45187</v>
      </c>
      <c r="C1142" s="1" t="n">
        <v>45337</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43804-2023</t>
        </is>
      </c>
      <c r="B1143" s="1" t="n">
        <v>45187</v>
      </c>
      <c r="C1143" s="1" t="n">
        <v>45337</v>
      </c>
      <c r="D1143" t="inlineStr">
        <is>
          <t>JÄMTLANDS LÄN</t>
        </is>
      </c>
      <c r="E1143" t="inlineStr">
        <is>
          <t>HÄRJEDALEN</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43811-2023</t>
        </is>
      </c>
      <c r="B1144" s="1" t="n">
        <v>45187</v>
      </c>
      <c r="C1144" s="1" t="n">
        <v>45337</v>
      </c>
      <c r="D1144" t="inlineStr">
        <is>
          <t>JÄMTLANDS LÄN</t>
        </is>
      </c>
      <c r="E1144" t="inlineStr">
        <is>
          <t>HÄRJEDALEN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43820-2023</t>
        </is>
      </c>
      <c r="B1145" s="1" t="n">
        <v>45187</v>
      </c>
      <c r="C1145" s="1" t="n">
        <v>45337</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44102-2023</t>
        </is>
      </c>
      <c r="B1146" s="1" t="n">
        <v>45188</v>
      </c>
      <c r="C1146" s="1" t="n">
        <v>45337</v>
      </c>
      <c r="D1146" t="inlineStr">
        <is>
          <t>JÄMTLANDS LÄN</t>
        </is>
      </c>
      <c r="E1146" t="inlineStr">
        <is>
          <t>HÄRJEDALEN</t>
        </is>
      </c>
      <c r="F1146" t="inlineStr">
        <is>
          <t>Bergvik skog väst AB</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44270-2023</t>
        </is>
      </c>
      <c r="B1147" s="1" t="n">
        <v>45188</v>
      </c>
      <c r="C1147" s="1" t="n">
        <v>45337</v>
      </c>
      <c r="D1147" t="inlineStr">
        <is>
          <t>JÄMTLANDS LÄN</t>
        </is>
      </c>
      <c r="E1147" t="inlineStr">
        <is>
          <t>HÄRJEDALEN</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45640-2023</t>
        </is>
      </c>
      <c r="B1148" s="1" t="n">
        <v>45188</v>
      </c>
      <c r="C1148" s="1" t="n">
        <v>45337</v>
      </c>
      <c r="D1148" t="inlineStr">
        <is>
          <t>JÄMTLANDS LÄN</t>
        </is>
      </c>
      <c r="E1148" t="inlineStr">
        <is>
          <t>HÄRJEDALEN</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45179-2023</t>
        </is>
      </c>
      <c r="B1149" s="1" t="n">
        <v>45191</v>
      </c>
      <c r="C1149" s="1" t="n">
        <v>45337</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45143-2023</t>
        </is>
      </c>
      <c r="B1150" s="1" t="n">
        <v>45191</v>
      </c>
      <c r="C1150" s="1" t="n">
        <v>45337</v>
      </c>
      <c r="D1150" t="inlineStr">
        <is>
          <t>JÄMTLANDS LÄN</t>
        </is>
      </c>
      <c r="E1150" t="inlineStr">
        <is>
          <t>HÄRJEDALEN</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45274-2023</t>
        </is>
      </c>
      <c r="B1151" s="1" t="n">
        <v>45191</v>
      </c>
      <c r="C1151" s="1" t="n">
        <v>45337</v>
      </c>
      <c r="D1151" t="inlineStr">
        <is>
          <t>JÄMTLANDS LÄN</t>
        </is>
      </c>
      <c r="E1151" t="inlineStr">
        <is>
          <t>HÄRJEDALEN</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45491-2023</t>
        </is>
      </c>
      <c r="B1152" s="1" t="n">
        <v>45194</v>
      </c>
      <c r="C1152" s="1" t="n">
        <v>45337</v>
      </c>
      <c r="D1152" t="inlineStr">
        <is>
          <t>JÄMTLANDS LÄN</t>
        </is>
      </c>
      <c r="E1152" t="inlineStr">
        <is>
          <t>HÄRJEDALEN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45495-2023</t>
        </is>
      </c>
      <c r="B1153" s="1" t="n">
        <v>45194</v>
      </c>
      <c r="C1153" s="1" t="n">
        <v>45337</v>
      </c>
      <c r="D1153" t="inlineStr">
        <is>
          <t>JÄMTLANDS LÄN</t>
        </is>
      </c>
      <c r="E1153" t="inlineStr">
        <is>
          <t>HÄRJEDALEN</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45613-2023</t>
        </is>
      </c>
      <c r="B1154" s="1" t="n">
        <v>45194</v>
      </c>
      <c r="C1154" s="1" t="n">
        <v>45337</v>
      </c>
      <c r="D1154" t="inlineStr">
        <is>
          <t>JÄMTLANDS LÄN</t>
        </is>
      </c>
      <c r="E1154" t="inlineStr">
        <is>
          <t>HÄRJEDALEN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45636-2023</t>
        </is>
      </c>
      <c r="B1155" s="1" t="n">
        <v>45194</v>
      </c>
      <c r="C1155" s="1" t="n">
        <v>45337</v>
      </c>
      <c r="D1155" t="inlineStr">
        <is>
          <t>JÄMTLANDS LÄN</t>
        </is>
      </c>
      <c r="E1155" t="inlineStr">
        <is>
          <t>HÄRJEDALEN</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45616-2023</t>
        </is>
      </c>
      <c r="B1156" s="1" t="n">
        <v>45194</v>
      </c>
      <c r="C1156" s="1" t="n">
        <v>45337</v>
      </c>
      <c r="D1156" t="inlineStr">
        <is>
          <t>JÄMTLANDS LÄN</t>
        </is>
      </c>
      <c r="E1156" t="inlineStr">
        <is>
          <t>HÄRJEDALEN</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45684-2023</t>
        </is>
      </c>
      <c r="B1157" s="1" t="n">
        <v>45195</v>
      </c>
      <c r="C1157" s="1" t="n">
        <v>45337</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45716-2023</t>
        </is>
      </c>
      <c r="B1158" s="1" t="n">
        <v>45195</v>
      </c>
      <c r="C1158" s="1" t="n">
        <v>45337</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45720-2023</t>
        </is>
      </c>
      <c r="B1159" s="1" t="n">
        <v>45195</v>
      </c>
      <c r="C1159" s="1" t="n">
        <v>45337</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45747-2023</t>
        </is>
      </c>
      <c r="B1160" s="1" t="n">
        <v>45195</v>
      </c>
      <c r="C1160" s="1" t="n">
        <v>45337</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v>
      </c>
      <c r="C1161" s="1" t="n">
        <v>45337</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45843-2023</t>
        </is>
      </c>
      <c r="B1162" s="1" t="n">
        <v>45195</v>
      </c>
      <c r="C1162" s="1" t="n">
        <v>45337</v>
      </c>
      <c r="D1162" t="inlineStr">
        <is>
          <t>JÄMTLANDS LÄN</t>
        </is>
      </c>
      <c r="E1162" t="inlineStr">
        <is>
          <t>HÄRJEDALEN</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45999-2023</t>
        </is>
      </c>
      <c r="B1163" s="1" t="n">
        <v>45196</v>
      </c>
      <c r="C1163" s="1" t="n">
        <v>45337</v>
      </c>
      <c r="D1163" t="inlineStr">
        <is>
          <t>JÄMTLANDS LÄN</t>
        </is>
      </c>
      <c r="E1163" t="inlineStr">
        <is>
          <t>HÄRJEDALEN</t>
        </is>
      </c>
      <c r="F1163" t="inlineStr">
        <is>
          <t>Bergvik skog väst AB</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46383-2023</t>
        </is>
      </c>
      <c r="B1164" s="1" t="n">
        <v>45197</v>
      </c>
      <c r="C1164" s="1" t="n">
        <v>45337</v>
      </c>
      <c r="D1164" t="inlineStr">
        <is>
          <t>JÄMTLANDS LÄN</t>
        </is>
      </c>
      <c r="E1164" t="inlineStr">
        <is>
          <t>HÄRJEDALEN</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46394-2023</t>
        </is>
      </c>
      <c r="B1165" s="1" t="n">
        <v>45197</v>
      </c>
      <c r="C1165" s="1" t="n">
        <v>45337</v>
      </c>
      <c r="D1165" t="inlineStr">
        <is>
          <t>JÄMTLANDS LÄN</t>
        </is>
      </c>
      <c r="E1165" t="inlineStr">
        <is>
          <t>HÄRJEDALEN</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46633-2023</t>
        </is>
      </c>
      <c r="B1166" s="1" t="n">
        <v>45198</v>
      </c>
      <c r="C1166" s="1" t="n">
        <v>45337</v>
      </c>
      <c r="D1166" t="inlineStr">
        <is>
          <t>JÄMTLANDS LÄN</t>
        </is>
      </c>
      <c r="E1166" t="inlineStr">
        <is>
          <t>HÄRJEDALEN</t>
        </is>
      </c>
      <c r="F1166" t="inlineStr">
        <is>
          <t>Bergvik skog väst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46977-2023</t>
        </is>
      </c>
      <c r="B1167" s="1" t="n">
        <v>45201</v>
      </c>
      <c r="C1167" s="1" t="n">
        <v>45337</v>
      </c>
      <c r="D1167" t="inlineStr">
        <is>
          <t>JÄMTLANDS LÄN</t>
        </is>
      </c>
      <c r="E1167" t="inlineStr">
        <is>
          <t>HÄRJEDALEN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46993-2023</t>
        </is>
      </c>
      <c r="B1168" s="1" t="n">
        <v>45201</v>
      </c>
      <c r="C1168" s="1" t="n">
        <v>45337</v>
      </c>
      <c r="D1168" t="inlineStr">
        <is>
          <t>JÄMTLANDS LÄN</t>
        </is>
      </c>
      <c r="E1168" t="inlineStr">
        <is>
          <t>HÄRJEDALEN</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47095-2023</t>
        </is>
      </c>
      <c r="B1169" s="1" t="n">
        <v>45201</v>
      </c>
      <c r="C1169" s="1" t="n">
        <v>45337</v>
      </c>
      <c r="D1169" t="inlineStr">
        <is>
          <t>JÄMTLANDS LÄN</t>
        </is>
      </c>
      <c r="E1169" t="inlineStr">
        <is>
          <t>HÄRJEDALEN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47244-2023</t>
        </is>
      </c>
      <c r="B1170" s="1" t="n">
        <v>45202</v>
      </c>
      <c r="C1170" s="1" t="n">
        <v>45337</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47546-2023</t>
        </is>
      </c>
      <c r="B1171" s="1" t="n">
        <v>45203</v>
      </c>
      <c r="C1171" s="1" t="n">
        <v>45337</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47705-2023</t>
        </is>
      </c>
      <c r="B1172" s="1" t="n">
        <v>45203</v>
      </c>
      <c r="C1172" s="1" t="n">
        <v>45337</v>
      </c>
      <c r="D1172" t="inlineStr">
        <is>
          <t>JÄMTLANDS LÄN</t>
        </is>
      </c>
      <c r="E1172" t="inlineStr">
        <is>
          <t>HÄRJEDALEN</t>
        </is>
      </c>
      <c r="F1172" t="inlineStr">
        <is>
          <t>Bergvik skog väst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47510-2023</t>
        </is>
      </c>
      <c r="B1173" s="1" t="n">
        <v>45203</v>
      </c>
      <c r="C1173" s="1" t="n">
        <v>45337</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47795-2023</t>
        </is>
      </c>
      <c r="B1174" s="1" t="n">
        <v>45204</v>
      </c>
      <c r="C1174" s="1" t="n">
        <v>45337</v>
      </c>
      <c r="D1174" t="inlineStr">
        <is>
          <t>JÄMTLANDS LÄN</t>
        </is>
      </c>
      <c r="E1174" t="inlineStr">
        <is>
          <t>HÄRJEDALEN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48669-2023</t>
        </is>
      </c>
      <c r="B1175" s="1" t="n">
        <v>45203</v>
      </c>
      <c r="C1175" s="1" t="n">
        <v>45337</v>
      </c>
      <c r="D1175" t="inlineStr">
        <is>
          <t>JÄMTLANDS LÄN</t>
        </is>
      </c>
      <c r="E1175" t="inlineStr">
        <is>
          <t>HÄRJEDALEN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47955-2023</t>
        </is>
      </c>
      <c r="B1176" s="1" t="n">
        <v>45204</v>
      </c>
      <c r="C1176" s="1" t="n">
        <v>45337</v>
      </c>
      <c r="D1176" t="inlineStr">
        <is>
          <t>JÄMTLANDS LÄN</t>
        </is>
      </c>
      <c r="E1176" t="inlineStr">
        <is>
          <t>HÄRJEDALEN</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48051-2023</t>
        </is>
      </c>
      <c r="B1177" s="1" t="n">
        <v>45204</v>
      </c>
      <c r="C1177" s="1" t="n">
        <v>45337</v>
      </c>
      <c r="D1177" t="inlineStr">
        <is>
          <t>JÄMTLANDS LÄN</t>
        </is>
      </c>
      <c r="E1177" t="inlineStr">
        <is>
          <t>HÄRJEDALEN</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48050-2023</t>
        </is>
      </c>
      <c r="B1178" s="1" t="n">
        <v>45204</v>
      </c>
      <c r="C1178" s="1" t="n">
        <v>45337</v>
      </c>
      <c r="D1178" t="inlineStr">
        <is>
          <t>JÄMTLANDS LÄN</t>
        </is>
      </c>
      <c r="E1178" t="inlineStr">
        <is>
          <t>HÄRJEDALEN</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48048-2023</t>
        </is>
      </c>
      <c r="B1179" s="1" t="n">
        <v>45204</v>
      </c>
      <c r="C1179" s="1" t="n">
        <v>45337</v>
      </c>
      <c r="D1179" t="inlineStr">
        <is>
          <t>JÄMTLANDS LÄN</t>
        </is>
      </c>
      <c r="E1179" t="inlineStr">
        <is>
          <t>HÄRJEDALEN</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48100-2023</t>
        </is>
      </c>
      <c r="B1180" s="1" t="n">
        <v>45205</v>
      </c>
      <c r="C1180" s="1" t="n">
        <v>45337</v>
      </c>
      <c r="D1180" t="inlineStr">
        <is>
          <t>JÄMTLANDS LÄN</t>
        </is>
      </c>
      <c r="E1180" t="inlineStr">
        <is>
          <t>HÄRJEDALEN</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48213-2023</t>
        </is>
      </c>
      <c r="B1181" s="1" t="n">
        <v>45205</v>
      </c>
      <c r="C1181" s="1" t="n">
        <v>45337</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48179-2023</t>
        </is>
      </c>
      <c r="B1182" s="1" t="n">
        <v>45205</v>
      </c>
      <c r="C1182" s="1" t="n">
        <v>45337</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48299-2023</t>
        </is>
      </c>
      <c r="B1183" s="1" t="n">
        <v>45205</v>
      </c>
      <c r="C1183" s="1" t="n">
        <v>45337</v>
      </c>
      <c r="D1183" t="inlineStr">
        <is>
          <t>JÄMTLANDS LÄN</t>
        </is>
      </c>
      <c r="E1183" t="inlineStr">
        <is>
          <t>HÄRJEDALEN</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48318-2023</t>
        </is>
      </c>
      <c r="B1184" s="1" t="n">
        <v>45205</v>
      </c>
      <c r="C1184" s="1" t="n">
        <v>45337</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48226-2023</t>
        </is>
      </c>
      <c r="B1185" s="1" t="n">
        <v>45205</v>
      </c>
      <c r="C1185" s="1" t="n">
        <v>45337</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48364-2023</t>
        </is>
      </c>
      <c r="B1186" s="1" t="n">
        <v>45205</v>
      </c>
      <c r="C1186" s="1" t="n">
        <v>45337</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48438-2023</t>
        </is>
      </c>
      <c r="B1187" s="1" t="n">
        <v>45205</v>
      </c>
      <c r="C1187" s="1" t="n">
        <v>45337</v>
      </c>
      <c r="D1187" t="inlineStr">
        <is>
          <t>JÄMTLANDS LÄN</t>
        </is>
      </c>
      <c r="E1187" t="inlineStr">
        <is>
          <t>HÄRJEDALEN</t>
        </is>
      </c>
      <c r="F1187" t="inlineStr">
        <is>
          <t>SCA</t>
        </is>
      </c>
      <c r="G1187" t="n">
        <v>23.3</v>
      </c>
      <c r="H1187" t="n">
        <v>0</v>
      </c>
      <c r="I1187" t="n">
        <v>0</v>
      </c>
      <c r="J1187" t="n">
        <v>0</v>
      </c>
      <c r="K1187" t="n">
        <v>0</v>
      </c>
      <c r="L1187" t="n">
        <v>0</v>
      </c>
      <c r="M1187" t="n">
        <v>0</v>
      </c>
      <c r="N1187" t="n">
        <v>0</v>
      </c>
      <c r="O1187" t="n">
        <v>0</v>
      </c>
      <c r="P1187" t="n">
        <v>0</v>
      </c>
      <c r="Q1187" t="n">
        <v>0</v>
      </c>
      <c r="R1187" s="2" t="inlineStr"/>
    </row>
    <row r="1188" ht="15" customHeight="1">
      <c r="A1188" t="inlineStr">
        <is>
          <t>A 48201-2023</t>
        </is>
      </c>
      <c r="B1188" s="1" t="n">
        <v>45205</v>
      </c>
      <c r="C1188" s="1" t="n">
        <v>45337</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48485-2023</t>
        </is>
      </c>
      <c r="B1189" s="1" t="n">
        <v>45206</v>
      </c>
      <c r="C1189" s="1" t="n">
        <v>45337</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48583-2023</t>
        </is>
      </c>
      <c r="B1190" s="1" t="n">
        <v>45208</v>
      </c>
      <c r="C1190" s="1" t="n">
        <v>45337</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48675-2023</t>
        </is>
      </c>
      <c r="B1191" s="1" t="n">
        <v>45208</v>
      </c>
      <c r="C1191" s="1" t="n">
        <v>45337</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48689-2023</t>
        </is>
      </c>
      <c r="B1192" s="1" t="n">
        <v>45208</v>
      </c>
      <c r="C1192" s="1" t="n">
        <v>45337</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48708-2023</t>
        </is>
      </c>
      <c r="B1193" s="1" t="n">
        <v>45208</v>
      </c>
      <c r="C1193" s="1" t="n">
        <v>45337</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48854-2023</t>
        </is>
      </c>
      <c r="B1194" s="1" t="n">
        <v>45209</v>
      </c>
      <c r="C1194" s="1" t="n">
        <v>45337</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48867-2023</t>
        </is>
      </c>
      <c r="B1195" s="1" t="n">
        <v>45209</v>
      </c>
      <c r="C1195" s="1" t="n">
        <v>45337</v>
      </c>
      <c r="D1195" t="inlineStr">
        <is>
          <t>JÄMTLANDS LÄN</t>
        </is>
      </c>
      <c r="E1195" t="inlineStr">
        <is>
          <t>HÄRJEDALEN</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49120-2023</t>
        </is>
      </c>
      <c r="B1196" s="1" t="n">
        <v>45210</v>
      </c>
      <c r="C1196" s="1" t="n">
        <v>45337</v>
      </c>
      <c r="D1196" t="inlineStr">
        <is>
          <t>JÄMTLANDS LÄN</t>
        </is>
      </c>
      <c r="E1196" t="inlineStr">
        <is>
          <t>HÄRJEDALEN</t>
        </is>
      </c>
      <c r="G1196" t="n">
        <v>38.2</v>
      </c>
      <c r="H1196" t="n">
        <v>0</v>
      </c>
      <c r="I1196" t="n">
        <v>0</v>
      </c>
      <c r="J1196" t="n">
        <v>0</v>
      </c>
      <c r="K1196" t="n">
        <v>0</v>
      </c>
      <c r="L1196" t="n">
        <v>0</v>
      </c>
      <c r="M1196" t="n">
        <v>0</v>
      </c>
      <c r="N1196" t="n">
        <v>0</v>
      </c>
      <c r="O1196" t="n">
        <v>0</v>
      </c>
      <c r="P1196" t="n">
        <v>0</v>
      </c>
      <c r="Q1196" t="n">
        <v>0</v>
      </c>
      <c r="R1196" s="2" t="inlineStr"/>
    </row>
    <row r="1197" ht="15" customHeight="1">
      <c r="A1197" t="inlineStr">
        <is>
          <t>A 49134-2023</t>
        </is>
      </c>
      <c r="B1197" s="1" t="n">
        <v>45210</v>
      </c>
      <c r="C1197" s="1" t="n">
        <v>45337</v>
      </c>
      <c r="D1197" t="inlineStr">
        <is>
          <t>JÄMTLANDS LÄN</t>
        </is>
      </c>
      <c r="E1197" t="inlineStr">
        <is>
          <t>HÄRJEDALEN</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49712-2023</t>
        </is>
      </c>
      <c r="B1198" s="1" t="n">
        <v>45212</v>
      </c>
      <c r="C1198" s="1" t="n">
        <v>45337</v>
      </c>
      <c r="D1198" t="inlineStr">
        <is>
          <t>JÄMTLANDS LÄN</t>
        </is>
      </c>
      <c r="E1198" t="inlineStr">
        <is>
          <t>HÄRJEDALEN</t>
        </is>
      </c>
      <c r="G1198" t="n">
        <v>42.9</v>
      </c>
      <c r="H1198" t="n">
        <v>0</v>
      </c>
      <c r="I1198" t="n">
        <v>0</v>
      </c>
      <c r="J1198" t="n">
        <v>0</v>
      </c>
      <c r="K1198" t="n">
        <v>0</v>
      </c>
      <c r="L1198" t="n">
        <v>0</v>
      </c>
      <c r="M1198" t="n">
        <v>0</v>
      </c>
      <c r="N1198" t="n">
        <v>0</v>
      </c>
      <c r="O1198" t="n">
        <v>0</v>
      </c>
      <c r="P1198" t="n">
        <v>0</v>
      </c>
      <c r="Q1198" t="n">
        <v>0</v>
      </c>
      <c r="R1198" s="2" t="inlineStr"/>
    </row>
    <row r="1199" ht="15" customHeight="1">
      <c r="A1199" t="inlineStr">
        <is>
          <t>A 49792-2023</t>
        </is>
      </c>
      <c r="B1199" s="1" t="n">
        <v>45212</v>
      </c>
      <c r="C1199" s="1" t="n">
        <v>45337</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49969-2023</t>
        </is>
      </c>
      <c r="B1200" s="1" t="n">
        <v>45215</v>
      </c>
      <c r="C1200" s="1" t="n">
        <v>45337</v>
      </c>
      <c r="D1200" t="inlineStr">
        <is>
          <t>JÄMTLANDS LÄN</t>
        </is>
      </c>
      <c r="E1200" t="inlineStr">
        <is>
          <t>HÄRJEDALEN</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50360-2023</t>
        </is>
      </c>
      <c r="B1201" s="1" t="n">
        <v>45216</v>
      </c>
      <c r="C1201" s="1" t="n">
        <v>45337</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50331-2023</t>
        </is>
      </c>
      <c r="B1202" s="1" t="n">
        <v>45216</v>
      </c>
      <c r="C1202" s="1" t="n">
        <v>45337</v>
      </c>
      <c r="D1202" t="inlineStr">
        <is>
          <t>JÄMTLANDS LÄN</t>
        </is>
      </c>
      <c r="E1202" t="inlineStr">
        <is>
          <t>HÄRJEDALEN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50291-2023</t>
        </is>
      </c>
      <c r="B1203" s="1" t="n">
        <v>45216</v>
      </c>
      <c r="C1203" s="1" t="n">
        <v>45337</v>
      </c>
      <c r="D1203" t="inlineStr">
        <is>
          <t>JÄMTLANDS LÄN</t>
        </is>
      </c>
      <c r="E1203" t="inlineStr">
        <is>
          <t>HÄRJEDALEN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50424-2023</t>
        </is>
      </c>
      <c r="B1204" s="1" t="n">
        <v>45216</v>
      </c>
      <c r="C1204" s="1" t="n">
        <v>45337</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50328-2023</t>
        </is>
      </c>
      <c r="B1205" s="1" t="n">
        <v>45216</v>
      </c>
      <c r="C1205" s="1" t="n">
        <v>45337</v>
      </c>
      <c r="D1205" t="inlineStr">
        <is>
          <t>JÄMTLANDS LÄN</t>
        </is>
      </c>
      <c r="E1205" t="inlineStr">
        <is>
          <t>HÄRJEDALEN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50539-2023</t>
        </is>
      </c>
      <c r="B1206" s="1" t="n">
        <v>45217</v>
      </c>
      <c r="C1206" s="1" t="n">
        <v>45337</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51017-2023</t>
        </is>
      </c>
      <c r="B1207" s="1" t="n">
        <v>45218</v>
      </c>
      <c r="C1207" s="1" t="n">
        <v>45337</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51351-2023</t>
        </is>
      </c>
      <c r="B1208" s="1" t="n">
        <v>45219</v>
      </c>
      <c r="C1208" s="1" t="n">
        <v>45337</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51898-2023</t>
        </is>
      </c>
      <c r="B1209" s="1" t="n">
        <v>45223</v>
      </c>
      <c r="C1209" s="1" t="n">
        <v>45337</v>
      </c>
      <c r="D1209" t="inlineStr">
        <is>
          <t>JÄMTLANDS LÄN</t>
        </is>
      </c>
      <c r="E1209" t="inlineStr">
        <is>
          <t>HÄRJEDALEN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52565-2023</t>
        </is>
      </c>
      <c r="B1210" s="1" t="n">
        <v>45225</v>
      </c>
      <c r="C1210" s="1" t="n">
        <v>45337</v>
      </c>
      <c r="D1210" t="inlineStr">
        <is>
          <t>JÄMTLANDS LÄN</t>
        </is>
      </c>
      <c r="E1210" t="inlineStr">
        <is>
          <t>HÄRJEDALEN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52554-2023</t>
        </is>
      </c>
      <c r="B1211" s="1" t="n">
        <v>45225</v>
      </c>
      <c r="C1211" s="1" t="n">
        <v>45337</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52567-2023</t>
        </is>
      </c>
      <c r="B1212" s="1" t="n">
        <v>45225</v>
      </c>
      <c r="C1212" s="1" t="n">
        <v>45337</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52683-2023</t>
        </is>
      </c>
      <c r="B1213" s="1" t="n">
        <v>45225</v>
      </c>
      <c r="C1213" s="1" t="n">
        <v>45337</v>
      </c>
      <c r="D1213" t="inlineStr">
        <is>
          <t>JÄMTLANDS LÄN</t>
        </is>
      </c>
      <c r="E1213" t="inlineStr">
        <is>
          <t>HÄRJEDALEN</t>
        </is>
      </c>
      <c r="F1213" t="inlineStr">
        <is>
          <t>Bergvik skog väst AB</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52741-2023</t>
        </is>
      </c>
      <c r="B1214" s="1" t="n">
        <v>45225</v>
      </c>
      <c r="C1214" s="1" t="n">
        <v>45337</v>
      </c>
      <c r="D1214" t="inlineStr">
        <is>
          <t>JÄMTLANDS LÄN</t>
        </is>
      </c>
      <c r="E1214" t="inlineStr">
        <is>
          <t>HÄRJEDALEN</t>
        </is>
      </c>
      <c r="F1214" t="inlineStr">
        <is>
          <t>SCA</t>
        </is>
      </c>
      <c r="G1214" t="n">
        <v>75.40000000000001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53003-2023</t>
        </is>
      </c>
      <c r="B1215" s="1" t="n">
        <v>45226</v>
      </c>
      <c r="C1215" s="1" t="n">
        <v>45337</v>
      </c>
      <c r="D1215" t="inlineStr">
        <is>
          <t>JÄMTLANDS LÄN</t>
        </is>
      </c>
      <c r="E1215" t="inlineStr">
        <is>
          <t>HÄRJEDALEN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53431-2023</t>
        </is>
      </c>
      <c r="B1216" s="1" t="n">
        <v>45229</v>
      </c>
      <c r="C1216" s="1" t="n">
        <v>45337</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53432-2023</t>
        </is>
      </c>
      <c r="B1217" s="1" t="n">
        <v>45229</v>
      </c>
      <c r="C1217" s="1" t="n">
        <v>45337</v>
      </c>
      <c r="D1217" t="inlineStr">
        <is>
          <t>JÄMTLANDS LÄN</t>
        </is>
      </c>
      <c r="E1217" t="inlineStr">
        <is>
          <t>HÄRJEDALEN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53681-2023</t>
        </is>
      </c>
      <c r="B1218" s="1" t="n">
        <v>45230</v>
      </c>
      <c r="C1218" s="1" t="n">
        <v>45337</v>
      </c>
      <c r="D1218" t="inlineStr">
        <is>
          <t>JÄMTLANDS LÄN</t>
        </is>
      </c>
      <c r="E1218" t="inlineStr">
        <is>
          <t>HÄRJEDALEN</t>
        </is>
      </c>
      <c r="G1218" t="n">
        <v>13.6</v>
      </c>
      <c r="H1218" t="n">
        <v>0</v>
      </c>
      <c r="I1218" t="n">
        <v>0</v>
      </c>
      <c r="J1218" t="n">
        <v>0</v>
      </c>
      <c r="K1218" t="n">
        <v>0</v>
      </c>
      <c r="L1218" t="n">
        <v>0</v>
      </c>
      <c r="M1218" t="n">
        <v>0</v>
      </c>
      <c r="N1218" t="n">
        <v>0</v>
      </c>
      <c r="O1218" t="n">
        <v>0</v>
      </c>
      <c r="P1218" t="n">
        <v>0</v>
      </c>
      <c r="Q1218" t="n">
        <v>0</v>
      </c>
      <c r="R1218" s="2" t="inlineStr"/>
    </row>
    <row r="1219" ht="15" customHeight="1">
      <c r="A1219" t="inlineStr">
        <is>
          <t>A 53804-2023</t>
        </is>
      </c>
      <c r="B1219" s="1" t="n">
        <v>45231</v>
      </c>
      <c r="C1219" s="1" t="n">
        <v>45337</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53993-2023</t>
        </is>
      </c>
      <c r="B1220" s="1" t="n">
        <v>45231</v>
      </c>
      <c r="C1220" s="1" t="n">
        <v>45337</v>
      </c>
      <c r="D1220" t="inlineStr">
        <is>
          <t>JÄMTLANDS LÄN</t>
        </is>
      </c>
      <c r="E1220" t="inlineStr">
        <is>
          <t>HÄRJEDALEN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54382-2023</t>
        </is>
      </c>
      <c r="B1221" s="1" t="n">
        <v>45233</v>
      </c>
      <c r="C1221" s="1" t="n">
        <v>45337</v>
      </c>
      <c r="D1221" t="inlineStr">
        <is>
          <t>JÄMTLANDS LÄN</t>
        </is>
      </c>
      <c r="E1221" t="inlineStr">
        <is>
          <t>HÄRJEDALEN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55127-2023</t>
        </is>
      </c>
      <c r="B1222" s="1" t="n">
        <v>45237</v>
      </c>
      <c r="C1222" s="1" t="n">
        <v>45337</v>
      </c>
      <c r="D1222" t="inlineStr">
        <is>
          <t>JÄMTLANDS LÄN</t>
        </is>
      </c>
      <c r="E1222" t="inlineStr">
        <is>
          <t>HÄRJEDALEN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55150-2023</t>
        </is>
      </c>
      <c r="B1223" s="1" t="n">
        <v>45237</v>
      </c>
      <c r="C1223" s="1" t="n">
        <v>45337</v>
      </c>
      <c r="D1223" t="inlineStr">
        <is>
          <t>JÄMTLANDS LÄN</t>
        </is>
      </c>
      <c r="E1223" t="inlineStr">
        <is>
          <t>HÄRJEDALEN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55183-2023</t>
        </is>
      </c>
      <c r="B1224" s="1" t="n">
        <v>45237</v>
      </c>
      <c r="C1224" s="1" t="n">
        <v>45337</v>
      </c>
      <c r="D1224" t="inlineStr">
        <is>
          <t>JÄMTLANDS LÄN</t>
        </is>
      </c>
      <c r="E1224" t="inlineStr">
        <is>
          <t>HÄRJEDALEN</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55195-2023</t>
        </is>
      </c>
      <c r="B1225" s="1" t="n">
        <v>45237</v>
      </c>
      <c r="C1225" s="1" t="n">
        <v>45337</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55220-2023</t>
        </is>
      </c>
      <c r="B1226" s="1" t="n">
        <v>45237</v>
      </c>
      <c r="C1226" s="1" t="n">
        <v>45337</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55180-2023</t>
        </is>
      </c>
      <c r="B1227" s="1" t="n">
        <v>45237</v>
      </c>
      <c r="C1227" s="1" t="n">
        <v>45337</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55185-2023</t>
        </is>
      </c>
      <c r="B1228" s="1" t="n">
        <v>45237</v>
      </c>
      <c r="C1228" s="1" t="n">
        <v>45337</v>
      </c>
      <c r="D1228" t="inlineStr">
        <is>
          <t>JÄMTLANDS LÄN</t>
        </is>
      </c>
      <c r="E1228" t="inlineStr">
        <is>
          <t>HÄRJEDALEN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55189-2023</t>
        </is>
      </c>
      <c r="B1229" s="1" t="n">
        <v>45237</v>
      </c>
      <c r="C1229" s="1" t="n">
        <v>45337</v>
      </c>
      <c r="D1229" t="inlineStr">
        <is>
          <t>JÄMTLANDS LÄN</t>
        </is>
      </c>
      <c r="E1229" t="inlineStr">
        <is>
          <t>HÄRJEDALEN</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55193-2023</t>
        </is>
      </c>
      <c r="B1230" s="1" t="n">
        <v>45237</v>
      </c>
      <c r="C1230" s="1" t="n">
        <v>45337</v>
      </c>
      <c r="D1230" t="inlineStr">
        <is>
          <t>JÄMTLANDS LÄN</t>
        </is>
      </c>
      <c r="E1230" t="inlineStr">
        <is>
          <t>HÄRJEDALEN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55500-2023</t>
        </is>
      </c>
      <c r="B1231" s="1" t="n">
        <v>45238</v>
      </c>
      <c r="C1231" s="1" t="n">
        <v>45337</v>
      </c>
      <c r="D1231" t="inlineStr">
        <is>
          <t>JÄMTLANDS LÄN</t>
        </is>
      </c>
      <c r="E1231" t="inlineStr">
        <is>
          <t>HÄRJEDALEN</t>
        </is>
      </c>
      <c r="F1231" t="inlineStr">
        <is>
          <t>Kyrkan</t>
        </is>
      </c>
      <c r="G1231" t="n">
        <v>81.2</v>
      </c>
      <c r="H1231" t="n">
        <v>0</v>
      </c>
      <c r="I1231" t="n">
        <v>0</v>
      </c>
      <c r="J1231" t="n">
        <v>0</v>
      </c>
      <c r="K1231" t="n">
        <v>0</v>
      </c>
      <c r="L1231" t="n">
        <v>0</v>
      </c>
      <c r="M1231" t="n">
        <v>0</v>
      </c>
      <c r="N1231" t="n">
        <v>0</v>
      </c>
      <c r="O1231" t="n">
        <v>0</v>
      </c>
      <c r="P1231" t="n">
        <v>0</v>
      </c>
      <c r="Q1231" t="n">
        <v>0</v>
      </c>
      <c r="R1231" s="2" t="inlineStr"/>
    </row>
    <row r="1232" ht="15" customHeight="1">
      <c r="A1232" t="inlineStr">
        <is>
          <t>A 55562-2023</t>
        </is>
      </c>
      <c r="B1232" s="1" t="n">
        <v>45238</v>
      </c>
      <c r="C1232" s="1" t="n">
        <v>45337</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55463-2023</t>
        </is>
      </c>
      <c r="B1233" s="1" t="n">
        <v>45238</v>
      </c>
      <c r="C1233" s="1" t="n">
        <v>45337</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55555-2023</t>
        </is>
      </c>
      <c r="B1234" s="1" t="n">
        <v>45238</v>
      </c>
      <c r="C1234" s="1" t="n">
        <v>45337</v>
      </c>
      <c r="D1234" t="inlineStr">
        <is>
          <t>JÄMTLANDS LÄN</t>
        </is>
      </c>
      <c r="E1234" t="inlineStr">
        <is>
          <t>HÄRJEDALEN</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55566-2023</t>
        </is>
      </c>
      <c r="B1235" s="1" t="n">
        <v>45238</v>
      </c>
      <c r="C1235" s="1" t="n">
        <v>45337</v>
      </c>
      <c r="D1235" t="inlineStr">
        <is>
          <t>JÄMTLANDS LÄN</t>
        </is>
      </c>
      <c r="E1235" t="inlineStr">
        <is>
          <t>HÄRJEDALEN</t>
        </is>
      </c>
      <c r="F1235" t="inlineStr">
        <is>
          <t>Bergvik skog väst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55844-2023</t>
        </is>
      </c>
      <c r="B1236" s="1" t="n">
        <v>45239</v>
      </c>
      <c r="C1236" s="1" t="n">
        <v>45337</v>
      </c>
      <c r="D1236" t="inlineStr">
        <is>
          <t>JÄMTLANDS LÄN</t>
        </is>
      </c>
      <c r="E1236" t="inlineStr">
        <is>
          <t>HÄRJEDALEN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55736-2023</t>
        </is>
      </c>
      <c r="B1237" s="1" t="n">
        <v>45239</v>
      </c>
      <c r="C1237" s="1" t="n">
        <v>45337</v>
      </c>
      <c r="D1237" t="inlineStr">
        <is>
          <t>JÄMTLANDS LÄN</t>
        </is>
      </c>
      <c r="E1237" t="inlineStr">
        <is>
          <t>HÄRJEDALEN</t>
        </is>
      </c>
      <c r="F1237" t="inlineStr">
        <is>
          <t>Holmen skog AB</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55766-2023</t>
        </is>
      </c>
      <c r="B1238" s="1" t="n">
        <v>45239</v>
      </c>
      <c r="C1238" s="1" t="n">
        <v>45337</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55834-2023</t>
        </is>
      </c>
      <c r="B1239" s="1" t="n">
        <v>45239</v>
      </c>
      <c r="C1239" s="1" t="n">
        <v>45337</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56013-2023</t>
        </is>
      </c>
      <c r="B1240" s="1" t="n">
        <v>45240</v>
      </c>
      <c r="C1240" s="1" t="n">
        <v>45337</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56483-2023</t>
        </is>
      </c>
      <c r="B1241" s="1" t="n">
        <v>45243</v>
      </c>
      <c r="C1241" s="1" t="n">
        <v>45337</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45337</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45337</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45337</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45337</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45337</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45337</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45337</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45337</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45337</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45337</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45337</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45337</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45337</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45337</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45337</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45337</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45337</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45337</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45337</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45337</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45337</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45337</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45337</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45337</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45337</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45337</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60521-2023</t>
        </is>
      </c>
      <c r="B1268" s="1" t="n">
        <v>45259</v>
      </c>
      <c r="C1268" s="1" t="n">
        <v>45337</v>
      </c>
      <c r="D1268" t="inlineStr">
        <is>
          <t>JÄMTLANDS LÄN</t>
        </is>
      </c>
      <c r="E1268" t="inlineStr">
        <is>
          <t>HÄRJEDALEN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45337</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45337</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45337</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45337</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45337</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45337</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45337</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45337</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45337</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45337</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45337</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45337</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45337</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45337</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45337</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45337</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45337</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45337</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45337</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45337</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45337</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45337</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45337</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45337</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45337</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45337</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45337</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45337</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45337</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45337</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45337</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45337</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45337</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45337</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45337</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2066-2024</t>
        </is>
      </c>
      <c r="B1304" s="1" t="n">
        <v>45308</v>
      </c>
      <c r="C1304" s="1" t="n">
        <v>45337</v>
      </c>
      <c r="D1304" t="inlineStr">
        <is>
          <t>JÄMTLANDS LÄN</t>
        </is>
      </c>
      <c r="E1304" t="inlineStr">
        <is>
          <t>HÄRJEDALEN</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45337</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45337</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5912-2024</t>
        </is>
      </c>
      <c r="B1307" s="1" t="n">
        <v>45335</v>
      </c>
      <c r="C1307" s="1" t="n">
        <v>45337</v>
      </c>
      <c r="D1307" t="inlineStr">
        <is>
          <t>JÄMTLANDS LÄN</t>
        </is>
      </c>
      <c r="E1307" t="inlineStr">
        <is>
          <t>HÄRJEDALEN</t>
        </is>
      </c>
      <c r="G1307" t="n">
        <v>39.3</v>
      </c>
      <c r="H1307" t="n">
        <v>0</v>
      </c>
      <c r="I1307" t="n">
        <v>0</v>
      </c>
      <c r="J1307" t="n">
        <v>0</v>
      </c>
      <c r="K1307" t="n">
        <v>0</v>
      </c>
      <c r="L1307" t="n">
        <v>0</v>
      </c>
      <c r="M1307" t="n">
        <v>0</v>
      </c>
      <c r="N1307" t="n">
        <v>0</v>
      </c>
      <c r="O1307" t="n">
        <v>0</v>
      </c>
      <c r="P1307" t="n">
        <v>0</v>
      </c>
      <c r="Q1307" t="n">
        <v>0</v>
      </c>
      <c r="R1307" s="2" t="inlineStr"/>
    </row>
    <row r="1308">
      <c r="A1308" t="inlineStr">
        <is>
          <t>A 5913-2024</t>
        </is>
      </c>
      <c r="B1308" s="1" t="n">
        <v>45335</v>
      </c>
      <c r="C1308" s="1" t="n">
        <v>45337</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2024-02-15T10:56:50Z</dcterms:created>
  <dcterms:modified xmlns:dcterms="http://purl.org/dc/terms/" xmlns:xsi="http://www.w3.org/2001/XMLSchema-instance" xsi:type="dcterms:W3CDTF">2024-02-15T10:56:51Z</dcterms:modified>
</cp:coreProperties>
</file>