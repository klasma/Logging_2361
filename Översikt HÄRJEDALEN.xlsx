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45691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45691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45691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45691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45691</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45691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45691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45691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45691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45691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45691</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45691</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45691</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45691</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45691</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45691</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45691</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45691</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45691</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45691</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45691</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45691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45691</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45691</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45691</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45691</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45691</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45691</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45691</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45691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45691</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45691</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45691</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45691</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45691</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45691</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45691</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45691</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45691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45691</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45691</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45691</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45691</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45691</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45691</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45691</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45691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45691</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45691</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45691</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45691</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45691</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45691</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45691</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45691</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45691</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45691</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45691</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45691</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45691</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45691</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45691</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45691</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45691</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45691</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45691</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45691</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45691</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45691</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45691</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45691</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45691</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45691</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45691</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45691</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45691</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45691</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45691</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45691</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45691</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45691</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45691</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45691</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45691</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45691</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45691</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45691</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45691</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45691</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45691</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45691</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45691</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45691</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45691</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45691</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45691</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45691</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45691</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45691</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45691</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45691</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45691</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45691</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45691</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45691</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45691</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45691</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45691</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45691</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45691</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45691</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45691</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45691</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45691</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45691</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45691</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45691</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45691</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45691</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45691</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45691</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45691</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45691</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45691</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45691</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45691</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45691</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45691</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45691</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45691</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45691</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45691</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45691</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45691</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45691</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45691</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45691</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45691</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45691</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45691</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45691</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45691</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45691</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45691</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45691</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45691</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45691</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45691</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45691</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45691</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45691</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45691</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45691</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45691</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45691</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45691</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45691</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45691</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45691</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45691</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45691</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45691</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45691</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45691</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49246-2020</t>
        </is>
      </c>
      <c r="B180" s="1" t="n">
        <v>44105</v>
      </c>
      <c r="C180" s="1" t="n">
        <v>45691</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Granticka</t>
        </is>
      </c>
      <c r="S180">
        <f>HYPERLINK("https://klasma.github.io/Logging_2361/artfynd/A 49246-2020 artfynd.xlsx", "A 49246-2020")</f>
        <v/>
      </c>
      <c r="T180">
        <f>HYPERLINK("https://klasma.github.io/Logging_2361/kartor/A 49246-2020 karta.png", "A 49246-2020")</f>
        <v/>
      </c>
      <c r="V180">
        <f>HYPERLINK("https://klasma.github.io/Logging_2361/klagomål/A 49246-2020 FSC-klagomål.docx", "A 49246-2020")</f>
        <v/>
      </c>
      <c r="W180">
        <f>HYPERLINK("https://klasma.github.io/Logging_2361/klagomålsmail/A 49246-2020 FSC-klagomål mail.docx", "A 49246-2020")</f>
        <v/>
      </c>
      <c r="X180">
        <f>HYPERLINK("https://klasma.github.io/Logging_2361/tillsyn/A 49246-2020 tillsynsbegäran.docx", "A 49246-2020")</f>
        <v/>
      </c>
      <c r="Y180">
        <f>HYPERLINK("https://klasma.github.io/Logging_2361/tillsynsmail/A 49246-2020 tillsynsbegäran mail.docx", "A 49246-2020")</f>
        <v/>
      </c>
    </row>
    <row r="181" ht="15" customHeight="1">
      <c r="A181" t="inlineStr">
        <is>
          <t>A 51387-2020</t>
        </is>
      </c>
      <c r="B181" s="1" t="n">
        <v>44113</v>
      </c>
      <c r="C181" s="1" t="n">
        <v>45691</v>
      </c>
      <c r="D181" t="inlineStr">
        <is>
          <t>JÄMTLANDS LÄN</t>
        </is>
      </c>
      <c r="E181" t="inlineStr">
        <is>
          <t>HÄRJEDALEN</t>
        </is>
      </c>
      <c r="G181" t="n">
        <v>1</v>
      </c>
      <c r="H181" t="n">
        <v>0</v>
      </c>
      <c r="I181" t="n">
        <v>0</v>
      </c>
      <c r="J181" t="n">
        <v>0</v>
      </c>
      <c r="K181" t="n">
        <v>1</v>
      </c>
      <c r="L181" t="n">
        <v>0</v>
      </c>
      <c r="M181" t="n">
        <v>0</v>
      </c>
      <c r="N181" t="n">
        <v>0</v>
      </c>
      <c r="O181" t="n">
        <v>1</v>
      </c>
      <c r="P181" t="n">
        <v>1</v>
      </c>
      <c r="Q181" t="n">
        <v>1</v>
      </c>
      <c r="R181" s="2" t="inlineStr">
        <is>
          <t>Goliatmusseron</t>
        </is>
      </c>
      <c r="S181">
        <f>HYPERLINK("https://klasma.github.io/Logging_2361/artfynd/A 51387-2020 artfynd.xlsx", "A 51387-2020")</f>
        <v/>
      </c>
      <c r="T181">
        <f>HYPERLINK("https://klasma.github.io/Logging_2361/kartor/A 51387-2020 karta.png", "A 51387-2020")</f>
        <v/>
      </c>
      <c r="V181">
        <f>HYPERLINK("https://klasma.github.io/Logging_2361/klagomål/A 51387-2020 FSC-klagomål.docx", "A 51387-2020")</f>
        <v/>
      </c>
      <c r="W181">
        <f>HYPERLINK("https://klasma.github.io/Logging_2361/klagomålsmail/A 51387-2020 FSC-klagomål mail.docx", "A 51387-2020")</f>
        <v/>
      </c>
      <c r="X181">
        <f>HYPERLINK("https://klasma.github.io/Logging_2361/tillsyn/A 51387-2020 tillsynsbegäran.docx", "A 51387-2020")</f>
        <v/>
      </c>
      <c r="Y181">
        <f>HYPERLINK("https://klasma.github.io/Logging_2361/tillsynsmail/A 51387-2020 tillsynsbegäran mail.docx", "A 51387-2020")</f>
        <v/>
      </c>
    </row>
    <row r="182" ht="15" customHeight="1">
      <c r="A182" t="inlineStr">
        <is>
          <t>A 21572-2021</t>
        </is>
      </c>
      <c r="B182" s="1" t="n">
        <v>44321</v>
      </c>
      <c r="C182" s="1" t="n">
        <v>45691</v>
      </c>
      <c r="D182" t="inlineStr">
        <is>
          <t>JÄMTLANDS LÄN</t>
        </is>
      </c>
      <c r="E182" t="inlineStr">
        <is>
          <t>HÄRJEDALEN</t>
        </is>
      </c>
      <c r="F182" t="inlineStr">
        <is>
          <t>Holmen skog AB</t>
        </is>
      </c>
      <c r="G182" t="n">
        <v>29</v>
      </c>
      <c r="H182" t="n">
        <v>0</v>
      </c>
      <c r="I182" t="n">
        <v>0</v>
      </c>
      <c r="J182" t="n">
        <v>1</v>
      </c>
      <c r="K182" t="n">
        <v>0</v>
      </c>
      <c r="L182" t="n">
        <v>0</v>
      </c>
      <c r="M182" t="n">
        <v>0</v>
      </c>
      <c r="N182" t="n">
        <v>0</v>
      </c>
      <c r="O182" t="n">
        <v>1</v>
      </c>
      <c r="P182" t="n">
        <v>0</v>
      </c>
      <c r="Q182" t="n">
        <v>1</v>
      </c>
      <c r="R182" s="2" t="inlineStr">
        <is>
          <t>Skrovlig taggsvamp</t>
        </is>
      </c>
      <c r="S182">
        <f>HYPERLINK("https://klasma.github.io/Logging_2361/artfynd/A 21572-2021 artfynd.xlsx", "A 21572-2021")</f>
        <v/>
      </c>
      <c r="T182">
        <f>HYPERLINK("https://klasma.github.io/Logging_2361/kartor/A 21572-2021 karta.png", "A 21572-2021")</f>
        <v/>
      </c>
      <c r="V182">
        <f>HYPERLINK("https://klasma.github.io/Logging_2361/klagomål/A 21572-2021 FSC-klagomål.docx", "A 21572-2021")</f>
        <v/>
      </c>
      <c r="W182">
        <f>HYPERLINK("https://klasma.github.io/Logging_2361/klagomålsmail/A 21572-2021 FSC-klagomål mail.docx", "A 21572-2021")</f>
        <v/>
      </c>
      <c r="X182">
        <f>HYPERLINK("https://klasma.github.io/Logging_2361/tillsyn/A 21572-2021 tillsynsbegäran.docx", "A 21572-2021")</f>
        <v/>
      </c>
      <c r="Y182">
        <f>HYPERLINK("https://klasma.github.io/Logging_2361/tillsynsmail/A 21572-2021 tillsynsbegäran mail.docx", "A 21572-2021")</f>
        <v/>
      </c>
    </row>
    <row r="183" ht="15" customHeight="1">
      <c r="A183" t="inlineStr">
        <is>
          <t>A 55223-2021</t>
        </is>
      </c>
      <c r="B183" s="1" t="n">
        <v>44475</v>
      </c>
      <c r="C183" s="1" t="n">
        <v>45691</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55222-2021</t>
        </is>
      </c>
      <c r="B184" s="1" t="n">
        <v>44475</v>
      </c>
      <c r="C184" s="1" t="n">
        <v>45691</v>
      </c>
      <c r="D184" t="inlineStr">
        <is>
          <t>JÄMTLANDS LÄN</t>
        </is>
      </c>
      <c r="E184" t="inlineStr">
        <is>
          <t>HÄRJEDALEN</t>
        </is>
      </c>
      <c r="G184" t="n">
        <v>1.1</v>
      </c>
      <c r="H184" t="n">
        <v>1</v>
      </c>
      <c r="I184" t="n">
        <v>0</v>
      </c>
      <c r="J184" t="n">
        <v>1</v>
      </c>
      <c r="K184" t="n">
        <v>0</v>
      </c>
      <c r="L184" t="n">
        <v>0</v>
      </c>
      <c r="M184" t="n">
        <v>0</v>
      </c>
      <c r="N184" t="n">
        <v>0</v>
      </c>
      <c r="O184" t="n">
        <v>1</v>
      </c>
      <c r="P184" t="n">
        <v>0</v>
      </c>
      <c r="Q184" t="n">
        <v>1</v>
      </c>
      <c r="R184" s="2" t="inlineStr">
        <is>
          <t>Varglav</t>
        </is>
      </c>
      <c r="S184">
        <f>HYPERLINK("https://klasma.github.io/Logging_2361/artfynd/A 55222-2021 artfynd.xlsx", "A 55222-2021")</f>
        <v/>
      </c>
      <c r="T184">
        <f>HYPERLINK("https://klasma.github.io/Logging_2361/kartor/A 55222-2021 karta.png", "A 55222-2021")</f>
        <v/>
      </c>
      <c r="V184">
        <f>HYPERLINK("https://klasma.github.io/Logging_2361/klagomål/A 55222-2021 FSC-klagomål.docx", "A 55222-2021")</f>
        <v/>
      </c>
      <c r="W184">
        <f>HYPERLINK("https://klasma.github.io/Logging_2361/klagomålsmail/A 55222-2021 FSC-klagomål mail.docx", "A 55222-2021")</f>
        <v/>
      </c>
      <c r="X184">
        <f>HYPERLINK("https://klasma.github.io/Logging_2361/tillsyn/A 55222-2021 tillsynsbegäran.docx", "A 55222-2021")</f>
        <v/>
      </c>
      <c r="Y184">
        <f>HYPERLINK("https://klasma.github.io/Logging_2361/tillsynsmail/A 55222-2021 tillsynsbegäran mail.docx", "A 55222-2021")</f>
        <v/>
      </c>
    </row>
    <row r="185" ht="15" customHeight="1">
      <c r="A185" t="inlineStr">
        <is>
          <t>A 55221-2021</t>
        </is>
      </c>
      <c r="B185" s="1" t="n">
        <v>44475</v>
      </c>
      <c r="C185" s="1" t="n">
        <v>45691</v>
      </c>
      <c r="D185" t="inlineStr">
        <is>
          <t>JÄMTLANDS LÄN</t>
        </is>
      </c>
      <c r="E185" t="inlineStr">
        <is>
          <t>HÄRJEDALEN</t>
        </is>
      </c>
      <c r="G185" t="n">
        <v>0.2</v>
      </c>
      <c r="H185" t="n">
        <v>1</v>
      </c>
      <c r="I185" t="n">
        <v>0</v>
      </c>
      <c r="J185" t="n">
        <v>1</v>
      </c>
      <c r="K185" t="n">
        <v>0</v>
      </c>
      <c r="L185" t="n">
        <v>0</v>
      </c>
      <c r="M185" t="n">
        <v>0</v>
      </c>
      <c r="N185" t="n">
        <v>0</v>
      </c>
      <c r="O185" t="n">
        <v>1</v>
      </c>
      <c r="P185" t="n">
        <v>0</v>
      </c>
      <c r="Q185" t="n">
        <v>1</v>
      </c>
      <c r="R185" s="2" t="inlineStr">
        <is>
          <t>Varglav</t>
        </is>
      </c>
      <c r="S185">
        <f>HYPERLINK("https://klasma.github.io/Logging_2361/artfynd/A 55221-2021 artfynd.xlsx", "A 55221-2021")</f>
        <v/>
      </c>
      <c r="T185">
        <f>HYPERLINK("https://klasma.github.io/Logging_2361/kartor/A 55221-2021 karta.png", "A 55221-2021")</f>
        <v/>
      </c>
      <c r="V185">
        <f>HYPERLINK("https://klasma.github.io/Logging_2361/klagomål/A 55221-2021 FSC-klagomål.docx", "A 55221-2021")</f>
        <v/>
      </c>
      <c r="W185">
        <f>HYPERLINK("https://klasma.github.io/Logging_2361/klagomålsmail/A 55221-2021 FSC-klagomål mail.docx", "A 55221-2021")</f>
        <v/>
      </c>
      <c r="X185">
        <f>HYPERLINK("https://klasma.github.io/Logging_2361/tillsyn/A 55221-2021 tillsynsbegäran.docx", "A 55221-2021")</f>
        <v/>
      </c>
      <c r="Y185">
        <f>HYPERLINK("https://klasma.github.io/Logging_2361/tillsynsmail/A 55221-2021 tillsynsbegäran mail.docx", "A 55221-2021")</f>
        <v/>
      </c>
    </row>
    <row r="186" ht="15" customHeight="1">
      <c r="A186" t="inlineStr">
        <is>
          <t>A 55245-2021</t>
        </is>
      </c>
      <c r="B186" s="1" t="n">
        <v>44475</v>
      </c>
      <c r="C186" s="1" t="n">
        <v>45691</v>
      </c>
      <c r="D186" t="inlineStr">
        <is>
          <t>JÄMTLANDS LÄN</t>
        </is>
      </c>
      <c r="E186" t="inlineStr">
        <is>
          <t>HÄRJEDALEN</t>
        </is>
      </c>
      <c r="G186" t="n">
        <v>5.1</v>
      </c>
      <c r="H186" t="n">
        <v>0</v>
      </c>
      <c r="I186" t="n">
        <v>0</v>
      </c>
      <c r="J186" t="n">
        <v>1</v>
      </c>
      <c r="K186" t="n">
        <v>0</v>
      </c>
      <c r="L186" t="n">
        <v>0</v>
      </c>
      <c r="M186" t="n">
        <v>0</v>
      </c>
      <c r="N186" t="n">
        <v>0</v>
      </c>
      <c r="O186" t="n">
        <v>1</v>
      </c>
      <c r="P186" t="n">
        <v>0</v>
      </c>
      <c r="Q186" t="n">
        <v>1</v>
      </c>
      <c r="R186" s="2" t="inlineStr">
        <is>
          <t>Blanksvart spiklav</t>
        </is>
      </c>
      <c r="S186">
        <f>HYPERLINK("https://klasma.github.io/Logging_2361/artfynd/A 55245-2021 artfynd.xlsx", "A 55245-2021")</f>
        <v/>
      </c>
      <c r="T186">
        <f>HYPERLINK("https://klasma.github.io/Logging_2361/kartor/A 55245-2021 karta.png", "A 55245-2021")</f>
        <v/>
      </c>
      <c r="V186">
        <f>HYPERLINK("https://klasma.github.io/Logging_2361/klagomål/A 55245-2021 FSC-klagomål.docx", "A 55245-2021")</f>
        <v/>
      </c>
      <c r="W186">
        <f>HYPERLINK("https://klasma.github.io/Logging_2361/klagomålsmail/A 55245-2021 FSC-klagomål mail.docx", "A 55245-2021")</f>
        <v/>
      </c>
      <c r="X186">
        <f>HYPERLINK("https://klasma.github.io/Logging_2361/tillsyn/A 55245-2021 tillsynsbegäran.docx", "A 55245-2021")</f>
        <v/>
      </c>
      <c r="Y186">
        <f>HYPERLINK("https://klasma.github.io/Logging_2361/tillsynsmail/A 55245-2021 tillsynsbegäran mail.docx", "A 55245-2021")</f>
        <v/>
      </c>
    </row>
    <row r="187" ht="15" customHeight="1">
      <c r="A187" t="inlineStr">
        <is>
          <t>A 13982-2022</t>
        </is>
      </c>
      <c r="B187" s="1" t="n">
        <v>44650</v>
      </c>
      <c r="C187" s="1" t="n">
        <v>45691</v>
      </c>
      <c r="D187" t="inlineStr">
        <is>
          <t>JÄMTLANDS LÄN</t>
        </is>
      </c>
      <c r="E187" t="inlineStr">
        <is>
          <t>HÄRJEDALEN</t>
        </is>
      </c>
      <c r="F187" t="inlineStr">
        <is>
          <t>Holmen skog AB</t>
        </is>
      </c>
      <c r="G187" t="n">
        <v>4.4</v>
      </c>
      <c r="H187" t="n">
        <v>0</v>
      </c>
      <c r="I187" t="n">
        <v>0</v>
      </c>
      <c r="J187" t="n">
        <v>1</v>
      </c>
      <c r="K187" t="n">
        <v>0</v>
      </c>
      <c r="L187" t="n">
        <v>0</v>
      </c>
      <c r="M187" t="n">
        <v>0</v>
      </c>
      <c r="N187" t="n">
        <v>0</v>
      </c>
      <c r="O187" t="n">
        <v>1</v>
      </c>
      <c r="P187" t="n">
        <v>0</v>
      </c>
      <c r="Q187" t="n">
        <v>1</v>
      </c>
      <c r="R187" s="2" t="inlineStr">
        <is>
          <t>Garnlav</t>
        </is>
      </c>
      <c r="S187">
        <f>HYPERLINK("https://klasma.github.io/Logging_2361/artfynd/A 13982-2022 artfynd.xlsx", "A 13982-2022")</f>
        <v/>
      </c>
      <c r="T187">
        <f>HYPERLINK("https://klasma.github.io/Logging_2361/kartor/A 13982-2022 karta.png", "A 13982-2022")</f>
        <v/>
      </c>
      <c r="V187">
        <f>HYPERLINK("https://klasma.github.io/Logging_2361/klagomål/A 13982-2022 FSC-klagomål.docx", "A 13982-2022")</f>
        <v/>
      </c>
      <c r="W187">
        <f>HYPERLINK("https://klasma.github.io/Logging_2361/klagomålsmail/A 13982-2022 FSC-klagomål mail.docx", "A 13982-2022")</f>
        <v/>
      </c>
      <c r="X187">
        <f>HYPERLINK("https://klasma.github.io/Logging_2361/tillsyn/A 13982-2022 tillsynsbegäran.docx", "A 13982-2022")</f>
        <v/>
      </c>
      <c r="Y187">
        <f>HYPERLINK("https://klasma.github.io/Logging_2361/tillsynsmail/A 13982-2022 tillsynsbegäran mail.docx", "A 13982-2022")</f>
        <v/>
      </c>
    </row>
    <row r="188" ht="15" customHeight="1">
      <c r="A188" t="inlineStr">
        <is>
          <t>A 15360-2022</t>
        </is>
      </c>
      <c r="B188" s="1" t="n">
        <v>44659</v>
      </c>
      <c r="C188" s="1" t="n">
        <v>45691</v>
      </c>
      <c r="D188" t="inlineStr">
        <is>
          <t>JÄMTLANDS LÄN</t>
        </is>
      </c>
      <c r="E188" t="inlineStr">
        <is>
          <t>HÄRJEDALEN</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15360-2022 artfynd.xlsx", "A 15360-2022")</f>
        <v/>
      </c>
      <c r="T188">
        <f>HYPERLINK("https://klasma.github.io/Logging_2361/kartor/A 15360-2022 karta.png", "A 15360-2022")</f>
        <v/>
      </c>
      <c r="V188">
        <f>HYPERLINK("https://klasma.github.io/Logging_2361/klagomål/A 15360-2022 FSC-klagomål.docx", "A 15360-2022")</f>
        <v/>
      </c>
      <c r="W188">
        <f>HYPERLINK("https://klasma.github.io/Logging_2361/klagomålsmail/A 15360-2022 FSC-klagomål mail.docx", "A 15360-2022")</f>
        <v/>
      </c>
      <c r="X188">
        <f>HYPERLINK("https://klasma.github.io/Logging_2361/tillsyn/A 15360-2022 tillsynsbegäran.docx", "A 15360-2022")</f>
        <v/>
      </c>
      <c r="Y188">
        <f>HYPERLINK("https://klasma.github.io/Logging_2361/tillsynsmail/A 15360-2022 tillsynsbegäran mail.docx", "A 15360-2022")</f>
        <v/>
      </c>
    </row>
    <row r="189" ht="15" customHeight="1">
      <c r="A189" t="inlineStr">
        <is>
          <t>A 31061-2022</t>
        </is>
      </c>
      <c r="B189" s="1" t="n">
        <v>44769</v>
      </c>
      <c r="C189" s="1" t="n">
        <v>45691</v>
      </c>
      <c r="D189" t="inlineStr">
        <is>
          <t>JÄMTLANDS LÄN</t>
        </is>
      </c>
      <c r="E189" t="inlineStr">
        <is>
          <t>HÄRJEDALEN</t>
        </is>
      </c>
      <c r="F189" t="inlineStr">
        <is>
          <t>Bergvik skog väst AB</t>
        </is>
      </c>
      <c r="G189" t="n">
        <v>15.8</v>
      </c>
      <c r="H189" t="n">
        <v>0</v>
      </c>
      <c r="I189" t="n">
        <v>0</v>
      </c>
      <c r="J189" t="n">
        <v>1</v>
      </c>
      <c r="K189" t="n">
        <v>0</v>
      </c>
      <c r="L189" t="n">
        <v>0</v>
      </c>
      <c r="M189" t="n">
        <v>0</v>
      </c>
      <c r="N189" t="n">
        <v>0</v>
      </c>
      <c r="O189" t="n">
        <v>1</v>
      </c>
      <c r="P189" t="n">
        <v>0</v>
      </c>
      <c r="Q189" t="n">
        <v>1</v>
      </c>
      <c r="R189" s="2" t="inlineStr">
        <is>
          <t>Lunglav</t>
        </is>
      </c>
      <c r="S189">
        <f>HYPERLINK("https://klasma.github.io/Logging_2361/artfynd/A 31061-2022 artfynd.xlsx", "A 31061-2022")</f>
        <v/>
      </c>
      <c r="T189">
        <f>HYPERLINK("https://klasma.github.io/Logging_2361/kartor/A 31061-2022 karta.png", "A 31061-2022")</f>
        <v/>
      </c>
      <c r="V189">
        <f>HYPERLINK("https://klasma.github.io/Logging_2361/klagomål/A 31061-2022 FSC-klagomål.docx", "A 31061-2022")</f>
        <v/>
      </c>
      <c r="W189">
        <f>HYPERLINK("https://klasma.github.io/Logging_2361/klagomålsmail/A 31061-2022 FSC-klagomål mail.docx", "A 31061-2022")</f>
        <v/>
      </c>
      <c r="X189">
        <f>HYPERLINK("https://klasma.github.io/Logging_2361/tillsyn/A 31061-2022 tillsynsbegäran.docx", "A 31061-2022")</f>
        <v/>
      </c>
      <c r="Y189">
        <f>HYPERLINK("https://klasma.github.io/Logging_2361/tillsynsmail/A 31061-2022 tillsynsbegäran mail.docx", "A 31061-2022")</f>
        <v/>
      </c>
    </row>
    <row r="190" ht="15" customHeight="1">
      <c r="A190" t="inlineStr">
        <is>
          <t>A 42214-2022</t>
        </is>
      </c>
      <c r="B190" s="1" t="n">
        <v>44830</v>
      </c>
      <c r="C190" s="1" t="n">
        <v>45691</v>
      </c>
      <c r="D190" t="inlineStr">
        <is>
          <t>JÄMTLANDS LÄN</t>
        </is>
      </c>
      <c r="E190" t="inlineStr">
        <is>
          <t>HÄRJEDALEN</t>
        </is>
      </c>
      <c r="F190" t="inlineStr">
        <is>
          <t>Sveaskog</t>
        </is>
      </c>
      <c r="G190" t="n">
        <v>8.800000000000001</v>
      </c>
      <c r="H190" t="n">
        <v>0</v>
      </c>
      <c r="I190" t="n">
        <v>0</v>
      </c>
      <c r="J190" t="n">
        <v>0</v>
      </c>
      <c r="K190" t="n">
        <v>1</v>
      </c>
      <c r="L190" t="n">
        <v>0</v>
      </c>
      <c r="M190" t="n">
        <v>0</v>
      </c>
      <c r="N190" t="n">
        <v>0</v>
      </c>
      <c r="O190" t="n">
        <v>1</v>
      </c>
      <c r="P190" t="n">
        <v>1</v>
      </c>
      <c r="Q190" t="n">
        <v>1</v>
      </c>
      <c r="R190" s="2" t="inlineStr">
        <is>
          <t>Rynkskinn</t>
        </is>
      </c>
      <c r="S190">
        <f>HYPERLINK("https://klasma.github.io/Logging_2361/artfynd/A 42214-2022 artfynd.xlsx", "A 42214-2022")</f>
        <v/>
      </c>
      <c r="T190">
        <f>HYPERLINK("https://klasma.github.io/Logging_2361/kartor/A 42214-2022 karta.png", "A 42214-2022")</f>
        <v/>
      </c>
      <c r="V190">
        <f>HYPERLINK("https://klasma.github.io/Logging_2361/klagomål/A 42214-2022 FSC-klagomål.docx", "A 42214-2022")</f>
        <v/>
      </c>
      <c r="W190">
        <f>HYPERLINK("https://klasma.github.io/Logging_2361/klagomålsmail/A 42214-2022 FSC-klagomål mail.docx", "A 42214-2022")</f>
        <v/>
      </c>
      <c r="X190">
        <f>HYPERLINK("https://klasma.github.io/Logging_2361/tillsyn/A 42214-2022 tillsynsbegäran.docx", "A 42214-2022")</f>
        <v/>
      </c>
      <c r="Y190">
        <f>HYPERLINK("https://klasma.github.io/Logging_2361/tillsynsmail/A 42214-2022 tillsynsbegäran mail.docx", "A 42214-2022")</f>
        <v/>
      </c>
    </row>
    <row r="191" ht="15" customHeight="1">
      <c r="A191" t="inlineStr">
        <is>
          <t>A 52328-2022</t>
        </is>
      </c>
      <c r="B191" s="1" t="n">
        <v>44873</v>
      </c>
      <c r="C191" s="1" t="n">
        <v>45691</v>
      </c>
      <c r="D191" t="inlineStr">
        <is>
          <t>JÄMTLANDS LÄN</t>
        </is>
      </c>
      <c r="E191" t="inlineStr">
        <is>
          <t>HÄRJEDALEN</t>
        </is>
      </c>
      <c r="G191" t="n">
        <v>30.5</v>
      </c>
      <c r="H191" t="n">
        <v>0</v>
      </c>
      <c r="I191" t="n">
        <v>0</v>
      </c>
      <c r="J191" t="n">
        <v>1</v>
      </c>
      <c r="K191" t="n">
        <v>0</v>
      </c>
      <c r="L191" t="n">
        <v>0</v>
      </c>
      <c r="M191" t="n">
        <v>0</v>
      </c>
      <c r="N191" t="n">
        <v>0</v>
      </c>
      <c r="O191" t="n">
        <v>1</v>
      </c>
      <c r="P191" t="n">
        <v>0</v>
      </c>
      <c r="Q191" t="n">
        <v>1</v>
      </c>
      <c r="R191" s="2" t="inlineStr">
        <is>
          <t>Stjärntagging</t>
        </is>
      </c>
      <c r="S191">
        <f>HYPERLINK("https://klasma.github.io/Logging_2361/artfynd/A 52328-2022 artfynd.xlsx", "A 52328-2022")</f>
        <v/>
      </c>
      <c r="T191">
        <f>HYPERLINK("https://klasma.github.io/Logging_2361/kartor/A 52328-2022 karta.png", "A 52328-2022")</f>
        <v/>
      </c>
      <c r="V191">
        <f>HYPERLINK("https://klasma.github.io/Logging_2361/klagomål/A 52328-2022 FSC-klagomål.docx", "A 52328-2022")</f>
        <v/>
      </c>
      <c r="W191">
        <f>HYPERLINK("https://klasma.github.io/Logging_2361/klagomålsmail/A 52328-2022 FSC-klagomål mail.docx", "A 52328-2022")</f>
        <v/>
      </c>
      <c r="X191">
        <f>HYPERLINK("https://klasma.github.io/Logging_2361/tillsyn/A 52328-2022 tillsynsbegäran.docx", "A 52328-2022")</f>
        <v/>
      </c>
      <c r="Y191">
        <f>HYPERLINK("https://klasma.github.io/Logging_2361/tillsynsmail/A 52328-2022 tillsynsbegäran mail.docx", "A 52328-2022")</f>
        <v/>
      </c>
    </row>
    <row r="192" ht="15" customHeight="1">
      <c r="A192" t="inlineStr">
        <is>
          <t>A 56084-2022</t>
        </is>
      </c>
      <c r="B192" s="1" t="n">
        <v>44886</v>
      </c>
      <c r="C192" s="1" t="n">
        <v>45691</v>
      </c>
      <c r="D192" t="inlineStr">
        <is>
          <t>JÄMTLANDS LÄN</t>
        </is>
      </c>
      <c r="E192" t="inlineStr">
        <is>
          <t>HÄRJEDALEN</t>
        </is>
      </c>
      <c r="F192" t="inlineStr">
        <is>
          <t>Övriga statliga verk och myndigheter</t>
        </is>
      </c>
      <c r="G192" t="n">
        <v>18.6</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56084-2022 artfynd.xlsx", "A 56084-2022")</f>
        <v/>
      </c>
      <c r="T192">
        <f>HYPERLINK("https://klasma.github.io/Logging_2361/kartor/A 56084-2022 karta.png", "A 56084-2022")</f>
        <v/>
      </c>
      <c r="V192">
        <f>HYPERLINK("https://klasma.github.io/Logging_2361/klagomål/A 56084-2022 FSC-klagomål.docx", "A 56084-2022")</f>
        <v/>
      </c>
      <c r="W192">
        <f>HYPERLINK("https://klasma.github.io/Logging_2361/klagomålsmail/A 56084-2022 FSC-klagomål mail.docx", "A 56084-2022")</f>
        <v/>
      </c>
      <c r="X192">
        <f>HYPERLINK("https://klasma.github.io/Logging_2361/tillsyn/A 56084-2022 tillsynsbegäran.docx", "A 56084-2022")</f>
        <v/>
      </c>
      <c r="Y192">
        <f>HYPERLINK("https://klasma.github.io/Logging_2361/tillsynsmail/A 56084-2022 tillsynsbegäran mail.docx", "A 56084-2022")</f>
        <v/>
      </c>
    </row>
    <row r="193" ht="15" customHeight="1">
      <c r="A193" t="inlineStr">
        <is>
          <t>A 184-2023</t>
        </is>
      </c>
      <c r="B193" s="1" t="n">
        <v>44928</v>
      </c>
      <c r="C193" s="1" t="n">
        <v>45691</v>
      </c>
      <c r="D193" t="inlineStr">
        <is>
          <t>JÄMTLANDS LÄN</t>
        </is>
      </c>
      <c r="E193" t="inlineStr">
        <is>
          <t>HÄRJEDALEN</t>
        </is>
      </c>
      <c r="F193" t="inlineStr">
        <is>
          <t>Holmen skog AB</t>
        </is>
      </c>
      <c r="G193" t="n">
        <v>7.8</v>
      </c>
      <c r="H193" t="n">
        <v>1</v>
      </c>
      <c r="I193" t="n">
        <v>1</v>
      </c>
      <c r="J193" t="n">
        <v>0</v>
      </c>
      <c r="K193" t="n">
        <v>0</v>
      </c>
      <c r="L193" t="n">
        <v>0</v>
      </c>
      <c r="M193" t="n">
        <v>0</v>
      </c>
      <c r="N193" t="n">
        <v>0</v>
      </c>
      <c r="O193" t="n">
        <v>0</v>
      </c>
      <c r="P193" t="n">
        <v>0</v>
      </c>
      <c r="Q193" t="n">
        <v>1</v>
      </c>
      <c r="R193" s="2" t="inlineStr">
        <is>
          <t>Spindelblomster</t>
        </is>
      </c>
      <c r="S193">
        <f>HYPERLINK("https://klasma.github.io/Logging_2361/artfynd/A 184-2023 artfynd.xlsx", "A 184-2023")</f>
        <v/>
      </c>
      <c r="T193">
        <f>HYPERLINK("https://klasma.github.io/Logging_2361/kartor/A 184-2023 karta.png", "A 184-2023")</f>
        <v/>
      </c>
      <c r="U193">
        <f>HYPERLINK("https://klasma.github.io/Logging_2361/knärot/A 184-2023 karta knärot.png", "A 184-2023")</f>
        <v/>
      </c>
      <c r="V193">
        <f>HYPERLINK("https://klasma.github.io/Logging_2361/klagomål/A 184-2023 FSC-klagomål.docx", "A 184-2023")</f>
        <v/>
      </c>
      <c r="W193">
        <f>HYPERLINK("https://klasma.github.io/Logging_2361/klagomålsmail/A 184-2023 FSC-klagomål mail.docx", "A 184-2023")</f>
        <v/>
      </c>
      <c r="X193">
        <f>HYPERLINK("https://klasma.github.io/Logging_2361/tillsyn/A 184-2023 tillsynsbegäran.docx", "A 184-2023")</f>
        <v/>
      </c>
      <c r="Y193">
        <f>HYPERLINK("https://klasma.github.io/Logging_2361/tillsynsmail/A 184-2023 tillsynsbegäran mail.docx", "A 184-2023")</f>
        <v/>
      </c>
    </row>
    <row r="194" ht="15" customHeight="1">
      <c r="A194" t="inlineStr">
        <is>
          <t>A 30330-2023</t>
        </is>
      </c>
      <c r="B194" s="1" t="n">
        <v>45111</v>
      </c>
      <c r="C194" s="1" t="n">
        <v>45691</v>
      </c>
      <c r="D194" t="inlineStr">
        <is>
          <t>JÄMTLANDS LÄN</t>
        </is>
      </c>
      <c r="E194" t="inlineStr">
        <is>
          <t>HÄRJEDALEN</t>
        </is>
      </c>
      <c r="F194" t="inlineStr">
        <is>
          <t>Bergvik skog väst AB</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30330-2023 artfynd.xlsx", "A 30330-2023")</f>
        <v/>
      </c>
      <c r="T194">
        <f>HYPERLINK("https://klasma.github.io/Logging_2361/kartor/A 30330-2023 karta.png", "A 30330-2023")</f>
        <v/>
      </c>
      <c r="V194">
        <f>HYPERLINK("https://klasma.github.io/Logging_2361/klagomål/A 30330-2023 FSC-klagomål.docx", "A 30330-2023")</f>
        <v/>
      </c>
      <c r="W194">
        <f>HYPERLINK("https://klasma.github.io/Logging_2361/klagomålsmail/A 30330-2023 FSC-klagomål mail.docx", "A 30330-2023")</f>
        <v/>
      </c>
      <c r="X194">
        <f>HYPERLINK("https://klasma.github.io/Logging_2361/tillsyn/A 30330-2023 tillsynsbegäran.docx", "A 30330-2023")</f>
        <v/>
      </c>
      <c r="Y194">
        <f>HYPERLINK("https://klasma.github.io/Logging_2361/tillsynsmail/A 30330-2023 tillsynsbegäran mail.docx", "A 30330-2023")</f>
        <v/>
      </c>
    </row>
    <row r="195" ht="15" customHeight="1">
      <c r="A195" t="inlineStr">
        <is>
          <t>A 39524-2023</t>
        </is>
      </c>
      <c r="B195" s="1" t="n">
        <v>45167</v>
      </c>
      <c r="C195" s="1" t="n">
        <v>45691</v>
      </c>
      <c r="D195" t="inlineStr">
        <is>
          <t>JÄMTLANDS LÄN</t>
        </is>
      </c>
      <c r="E195" t="inlineStr">
        <is>
          <t>HÄRJEDALEN</t>
        </is>
      </c>
      <c r="F195" t="inlineStr">
        <is>
          <t>Bergvik skog väst AB</t>
        </is>
      </c>
      <c r="G195" t="n">
        <v>4.1</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39524-2023 artfynd.xlsx", "A 39524-2023")</f>
        <v/>
      </c>
      <c r="T195">
        <f>HYPERLINK("https://klasma.github.io/Logging_2361/kartor/A 39524-2023 karta.png", "A 39524-2023")</f>
        <v/>
      </c>
      <c r="V195">
        <f>HYPERLINK("https://klasma.github.io/Logging_2361/klagomål/A 39524-2023 FSC-klagomål.docx", "A 39524-2023")</f>
        <v/>
      </c>
      <c r="W195">
        <f>HYPERLINK("https://klasma.github.io/Logging_2361/klagomålsmail/A 39524-2023 FSC-klagomål mail.docx", "A 39524-2023")</f>
        <v/>
      </c>
      <c r="X195">
        <f>HYPERLINK("https://klasma.github.io/Logging_2361/tillsyn/A 39524-2023 tillsynsbegäran.docx", "A 39524-2023")</f>
        <v/>
      </c>
      <c r="Y195">
        <f>HYPERLINK("https://klasma.github.io/Logging_2361/tillsynsmail/A 39524-2023 tillsynsbegäran mail.docx", "A 39524-2023")</f>
        <v/>
      </c>
      <c r="Z195">
        <f>HYPERLINK("https://klasma.github.io/Logging_2361/fåglar/A 39524-2023 prioriterade fågelarter.docx", "A 39524-2023")</f>
        <v/>
      </c>
    </row>
    <row r="196" ht="15" customHeight="1">
      <c r="A196" t="inlineStr">
        <is>
          <t>A 50470-2023</t>
        </is>
      </c>
      <c r="B196" s="1" t="n">
        <v>45216</v>
      </c>
      <c r="C196" s="1" t="n">
        <v>45691</v>
      </c>
      <c r="D196" t="inlineStr">
        <is>
          <t>JÄMTLANDS LÄN</t>
        </is>
      </c>
      <c r="E196" t="inlineStr">
        <is>
          <t>HÄRJEDALEN</t>
        </is>
      </c>
      <c r="F196" t="inlineStr">
        <is>
          <t>Sveaskog</t>
        </is>
      </c>
      <c r="G196" t="n">
        <v>3.5</v>
      </c>
      <c r="H196" t="n">
        <v>0</v>
      </c>
      <c r="I196" t="n">
        <v>0</v>
      </c>
      <c r="J196" t="n">
        <v>0</v>
      </c>
      <c r="K196" t="n">
        <v>1</v>
      </c>
      <c r="L196" t="n">
        <v>0</v>
      </c>
      <c r="M196" t="n">
        <v>0</v>
      </c>
      <c r="N196" t="n">
        <v>0</v>
      </c>
      <c r="O196" t="n">
        <v>1</v>
      </c>
      <c r="P196" t="n">
        <v>1</v>
      </c>
      <c r="Q196" t="n">
        <v>1</v>
      </c>
      <c r="R196" s="2" t="inlineStr">
        <is>
          <t>Gräddporing</t>
        </is>
      </c>
      <c r="S196">
        <f>HYPERLINK("https://klasma.github.io/Logging_2361/artfynd/A 50470-2023 artfynd.xlsx", "A 50470-2023")</f>
        <v/>
      </c>
      <c r="T196">
        <f>HYPERLINK("https://klasma.github.io/Logging_2361/kartor/A 50470-2023 karta.png", "A 50470-2023")</f>
        <v/>
      </c>
      <c r="V196">
        <f>HYPERLINK("https://klasma.github.io/Logging_2361/klagomål/A 50470-2023 FSC-klagomål.docx", "A 50470-2023")</f>
        <v/>
      </c>
      <c r="W196">
        <f>HYPERLINK("https://klasma.github.io/Logging_2361/klagomålsmail/A 50470-2023 FSC-klagomål mail.docx", "A 50470-2023")</f>
        <v/>
      </c>
      <c r="X196">
        <f>HYPERLINK("https://klasma.github.io/Logging_2361/tillsyn/A 50470-2023 tillsynsbegäran.docx", "A 50470-2023")</f>
        <v/>
      </c>
      <c r="Y196">
        <f>HYPERLINK("https://klasma.github.io/Logging_2361/tillsynsmail/A 50470-2023 tillsynsbegäran mail.docx", "A 50470-2023")</f>
        <v/>
      </c>
    </row>
    <row r="197" ht="15" customHeight="1">
      <c r="A197" t="inlineStr">
        <is>
          <t>A 51414-2023</t>
        </is>
      </c>
      <c r="B197" s="1" t="n">
        <v>45219</v>
      </c>
      <c r="C197" s="1" t="n">
        <v>45691</v>
      </c>
      <c r="D197" t="inlineStr">
        <is>
          <t>JÄMTLANDS LÄN</t>
        </is>
      </c>
      <c r="E197" t="inlineStr">
        <is>
          <t>HÄRJEDALEN</t>
        </is>
      </c>
      <c r="F197" t="inlineStr">
        <is>
          <t>Sveaskog</t>
        </is>
      </c>
      <c r="G197" t="n">
        <v>3.9</v>
      </c>
      <c r="H197" t="n">
        <v>0</v>
      </c>
      <c r="I197" t="n">
        <v>0</v>
      </c>
      <c r="J197" t="n">
        <v>1</v>
      </c>
      <c r="K197" t="n">
        <v>0</v>
      </c>
      <c r="L197" t="n">
        <v>0</v>
      </c>
      <c r="M197" t="n">
        <v>0</v>
      </c>
      <c r="N197" t="n">
        <v>0</v>
      </c>
      <c r="O197" t="n">
        <v>1</v>
      </c>
      <c r="P197" t="n">
        <v>0</v>
      </c>
      <c r="Q197" t="n">
        <v>1</v>
      </c>
      <c r="R197" s="2" t="inlineStr">
        <is>
          <t>Lunglav</t>
        </is>
      </c>
      <c r="S197">
        <f>HYPERLINK("https://klasma.github.io/Logging_2361/artfynd/A 51414-2023 artfynd.xlsx", "A 51414-2023")</f>
        <v/>
      </c>
      <c r="T197">
        <f>HYPERLINK("https://klasma.github.io/Logging_2361/kartor/A 51414-2023 karta.png", "A 51414-2023")</f>
        <v/>
      </c>
      <c r="V197">
        <f>HYPERLINK("https://klasma.github.io/Logging_2361/klagomål/A 51414-2023 FSC-klagomål.docx", "A 51414-2023")</f>
        <v/>
      </c>
      <c r="W197">
        <f>HYPERLINK("https://klasma.github.io/Logging_2361/klagomålsmail/A 51414-2023 FSC-klagomål mail.docx", "A 51414-2023")</f>
        <v/>
      </c>
      <c r="X197">
        <f>HYPERLINK("https://klasma.github.io/Logging_2361/tillsyn/A 51414-2023 tillsynsbegäran.docx", "A 51414-2023")</f>
        <v/>
      </c>
      <c r="Y197">
        <f>HYPERLINK("https://klasma.github.io/Logging_2361/tillsynsmail/A 51414-2023 tillsynsbegäran mail.docx", "A 51414-2023")</f>
        <v/>
      </c>
    </row>
    <row r="198" ht="15" customHeight="1">
      <c r="A198" t="inlineStr">
        <is>
          <t>A 62539-2023</t>
        </is>
      </c>
      <c r="B198" s="1" t="n">
        <v>45268</v>
      </c>
      <c r="C198" s="1" t="n">
        <v>45691</v>
      </c>
      <c r="D198" t="inlineStr">
        <is>
          <t>JÄMTLANDS LÄN</t>
        </is>
      </c>
      <c r="E198" t="inlineStr">
        <is>
          <t>HÄRJEDALEN</t>
        </is>
      </c>
      <c r="G198" t="n">
        <v>7.6</v>
      </c>
      <c r="H198" t="n">
        <v>1</v>
      </c>
      <c r="I198" t="n">
        <v>0</v>
      </c>
      <c r="J198" t="n">
        <v>1</v>
      </c>
      <c r="K198" t="n">
        <v>0</v>
      </c>
      <c r="L198" t="n">
        <v>0</v>
      </c>
      <c r="M198" t="n">
        <v>0</v>
      </c>
      <c r="N198" t="n">
        <v>0</v>
      </c>
      <c r="O198" t="n">
        <v>1</v>
      </c>
      <c r="P198" t="n">
        <v>0</v>
      </c>
      <c r="Q198" t="n">
        <v>1</v>
      </c>
      <c r="R198" s="2" t="inlineStr">
        <is>
          <t>Talltita</t>
        </is>
      </c>
      <c r="S198">
        <f>HYPERLINK("https://klasma.github.io/Logging_2361/artfynd/A 62539-2023 artfynd.xlsx", "A 62539-2023")</f>
        <v/>
      </c>
      <c r="T198">
        <f>HYPERLINK("https://klasma.github.io/Logging_2361/kartor/A 62539-2023 karta.png", "A 62539-2023")</f>
        <v/>
      </c>
      <c r="V198">
        <f>HYPERLINK("https://klasma.github.io/Logging_2361/klagomål/A 62539-2023 FSC-klagomål.docx", "A 62539-2023")</f>
        <v/>
      </c>
      <c r="W198">
        <f>HYPERLINK("https://klasma.github.io/Logging_2361/klagomålsmail/A 62539-2023 FSC-klagomål mail.docx", "A 62539-2023")</f>
        <v/>
      </c>
      <c r="X198">
        <f>HYPERLINK("https://klasma.github.io/Logging_2361/tillsyn/A 62539-2023 tillsynsbegäran.docx", "A 62539-2023")</f>
        <v/>
      </c>
      <c r="Y198">
        <f>HYPERLINK("https://klasma.github.io/Logging_2361/tillsynsmail/A 62539-2023 tillsynsbegäran mail.docx", "A 62539-2023")</f>
        <v/>
      </c>
      <c r="Z198">
        <f>HYPERLINK("https://klasma.github.io/Logging_2361/fåglar/A 62539-2023 prioriterade fågelarter.docx", "A 62539-2023")</f>
        <v/>
      </c>
    </row>
    <row r="199" ht="15" customHeight="1">
      <c r="A199" t="inlineStr">
        <is>
          <t>A 63659-2023</t>
        </is>
      </c>
      <c r="B199" s="1" t="n">
        <v>45275</v>
      </c>
      <c r="C199" s="1" t="n">
        <v>45691</v>
      </c>
      <c r="D199" t="inlineStr">
        <is>
          <t>JÄMTLANDS LÄN</t>
        </is>
      </c>
      <c r="E199" t="inlineStr">
        <is>
          <t>HÄRJEDALEN</t>
        </is>
      </c>
      <c r="G199" t="n">
        <v>11.7</v>
      </c>
      <c r="H199" t="n">
        <v>0</v>
      </c>
      <c r="I199" t="n">
        <v>0</v>
      </c>
      <c r="J199" t="n">
        <v>1</v>
      </c>
      <c r="K199" t="n">
        <v>0</v>
      </c>
      <c r="L199" t="n">
        <v>0</v>
      </c>
      <c r="M199" t="n">
        <v>0</v>
      </c>
      <c r="N199" t="n">
        <v>0</v>
      </c>
      <c r="O199" t="n">
        <v>1</v>
      </c>
      <c r="P199" t="n">
        <v>0</v>
      </c>
      <c r="Q199" t="n">
        <v>1</v>
      </c>
      <c r="R199" s="2" t="inlineStr">
        <is>
          <t>Lunglav</t>
        </is>
      </c>
      <c r="S199">
        <f>HYPERLINK("https://klasma.github.io/Logging_2361/artfynd/A 63659-2023 artfynd.xlsx", "A 63659-2023")</f>
        <v/>
      </c>
      <c r="T199">
        <f>HYPERLINK("https://klasma.github.io/Logging_2361/kartor/A 63659-2023 karta.png", "A 63659-2023")</f>
        <v/>
      </c>
      <c r="V199">
        <f>HYPERLINK("https://klasma.github.io/Logging_2361/klagomål/A 63659-2023 FSC-klagomål.docx", "A 63659-2023")</f>
        <v/>
      </c>
      <c r="W199">
        <f>HYPERLINK("https://klasma.github.io/Logging_2361/klagomålsmail/A 63659-2023 FSC-klagomål mail.docx", "A 63659-2023")</f>
        <v/>
      </c>
      <c r="X199">
        <f>HYPERLINK("https://klasma.github.io/Logging_2361/tillsyn/A 63659-2023 tillsynsbegäran.docx", "A 63659-2023")</f>
        <v/>
      </c>
      <c r="Y199">
        <f>HYPERLINK("https://klasma.github.io/Logging_2361/tillsynsmail/A 63659-2023 tillsynsbegäran mail.docx", "A 63659-2023")</f>
        <v/>
      </c>
    </row>
    <row r="200" ht="15" customHeight="1">
      <c r="A200" t="inlineStr">
        <is>
          <t>A 3593-2024</t>
        </is>
      </c>
      <c r="B200" s="1" t="n">
        <v>45320</v>
      </c>
      <c r="C200" s="1" t="n">
        <v>45691</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7327-2024</t>
        </is>
      </c>
      <c r="B201" s="1" t="n">
        <v>45345</v>
      </c>
      <c r="C201" s="1" t="n">
        <v>45691</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16471-2024</t>
        </is>
      </c>
      <c r="B202" s="1" t="n">
        <v>45408</v>
      </c>
      <c r="C202" s="1" t="n">
        <v>45691</v>
      </c>
      <c r="D202" t="inlineStr">
        <is>
          <t>JÄMTLANDS LÄN</t>
        </is>
      </c>
      <c r="E202" t="inlineStr">
        <is>
          <t>HÄRJEDALEN</t>
        </is>
      </c>
      <c r="G202" t="n">
        <v>31.7</v>
      </c>
      <c r="H202" t="n">
        <v>0</v>
      </c>
      <c r="I202" t="n">
        <v>0</v>
      </c>
      <c r="J202" t="n">
        <v>0</v>
      </c>
      <c r="K202" t="n">
        <v>0</v>
      </c>
      <c r="L202" t="n">
        <v>0</v>
      </c>
      <c r="M202" t="n">
        <v>1</v>
      </c>
      <c r="N202" t="n">
        <v>0</v>
      </c>
      <c r="O202" t="n">
        <v>1</v>
      </c>
      <c r="P202" t="n">
        <v>1</v>
      </c>
      <c r="Q202" t="n">
        <v>1</v>
      </c>
      <c r="R202" s="2" t="inlineStr">
        <is>
          <t>Limbergsfibbla</t>
        </is>
      </c>
      <c r="S202">
        <f>HYPERLINK("https://klasma.github.io/Logging_2361/artfynd/A 16471-2024 artfynd.xlsx", "A 16471-2024")</f>
        <v/>
      </c>
      <c r="T202">
        <f>HYPERLINK("https://klasma.github.io/Logging_2361/kartor/A 16471-2024 karta.png", "A 16471-2024")</f>
        <v/>
      </c>
      <c r="V202">
        <f>HYPERLINK("https://klasma.github.io/Logging_2361/klagomål/A 16471-2024 FSC-klagomål.docx", "A 16471-2024")</f>
        <v/>
      </c>
      <c r="W202">
        <f>HYPERLINK("https://klasma.github.io/Logging_2361/klagomålsmail/A 16471-2024 FSC-klagomål mail.docx", "A 16471-2024")</f>
        <v/>
      </c>
      <c r="X202">
        <f>HYPERLINK("https://klasma.github.io/Logging_2361/tillsyn/A 16471-2024 tillsynsbegäran.docx", "A 16471-2024")</f>
        <v/>
      </c>
      <c r="Y202">
        <f>HYPERLINK("https://klasma.github.io/Logging_2361/tillsynsmail/A 16471-2024 tillsynsbegäran mail.docx", "A 16471-2024")</f>
        <v/>
      </c>
    </row>
    <row r="203" ht="15" customHeight="1">
      <c r="A203" t="inlineStr">
        <is>
          <t>A 23680-2024</t>
        </is>
      </c>
      <c r="B203" s="1" t="n">
        <v>45454</v>
      </c>
      <c r="C203" s="1" t="n">
        <v>45691</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24254-2024</t>
        </is>
      </c>
      <c r="B204" s="1" t="n">
        <v>45457</v>
      </c>
      <c r="C204" s="1" t="n">
        <v>45691</v>
      </c>
      <c r="D204" t="inlineStr">
        <is>
          <t>JÄMTLANDS LÄN</t>
        </is>
      </c>
      <c r="E204" t="inlineStr">
        <is>
          <t>HÄRJEDALEN</t>
        </is>
      </c>
      <c r="F204" t="inlineStr">
        <is>
          <t>Sveaskog</t>
        </is>
      </c>
      <c r="G204" t="n">
        <v>6</v>
      </c>
      <c r="H204" t="n">
        <v>0</v>
      </c>
      <c r="I204" t="n">
        <v>0</v>
      </c>
      <c r="J204" t="n">
        <v>1</v>
      </c>
      <c r="K204" t="n">
        <v>0</v>
      </c>
      <c r="L204" t="n">
        <v>0</v>
      </c>
      <c r="M204" t="n">
        <v>0</v>
      </c>
      <c r="N204" t="n">
        <v>0</v>
      </c>
      <c r="O204" t="n">
        <v>1</v>
      </c>
      <c r="P204" t="n">
        <v>0</v>
      </c>
      <c r="Q204" t="n">
        <v>1</v>
      </c>
      <c r="R204" s="2" t="inlineStr">
        <is>
          <t>Kolflarnlav</t>
        </is>
      </c>
      <c r="S204">
        <f>HYPERLINK("https://klasma.github.io/Logging_2361/artfynd/A 24254-2024 artfynd.xlsx", "A 24254-2024")</f>
        <v/>
      </c>
      <c r="T204">
        <f>HYPERLINK("https://klasma.github.io/Logging_2361/kartor/A 24254-2024 karta.png", "A 24254-2024")</f>
        <v/>
      </c>
      <c r="V204">
        <f>HYPERLINK("https://klasma.github.io/Logging_2361/klagomål/A 24254-2024 FSC-klagomål.docx", "A 24254-2024")</f>
        <v/>
      </c>
      <c r="W204">
        <f>HYPERLINK("https://klasma.github.io/Logging_2361/klagomålsmail/A 24254-2024 FSC-klagomål mail.docx", "A 24254-2024")</f>
        <v/>
      </c>
      <c r="X204">
        <f>HYPERLINK("https://klasma.github.io/Logging_2361/tillsyn/A 24254-2024 tillsynsbegäran.docx", "A 24254-2024")</f>
        <v/>
      </c>
      <c r="Y204">
        <f>HYPERLINK("https://klasma.github.io/Logging_2361/tillsynsmail/A 24254-2024 tillsynsbegäran mail.docx", "A 24254-2024")</f>
        <v/>
      </c>
    </row>
    <row r="205" ht="15" customHeight="1">
      <c r="A205" t="inlineStr">
        <is>
          <t>A 24249-2024</t>
        </is>
      </c>
      <c r="B205" s="1" t="n">
        <v>45457</v>
      </c>
      <c r="C205" s="1" t="n">
        <v>45691</v>
      </c>
      <c r="D205" t="inlineStr">
        <is>
          <t>JÄMTLANDS LÄN</t>
        </is>
      </c>
      <c r="E205" t="inlineStr">
        <is>
          <t>HÄRJEDALEN</t>
        </is>
      </c>
      <c r="F205" t="inlineStr">
        <is>
          <t>Sveaskog</t>
        </is>
      </c>
      <c r="G205" t="n">
        <v>15.1</v>
      </c>
      <c r="H205" t="n">
        <v>0</v>
      </c>
      <c r="I205" t="n">
        <v>0</v>
      </c>
      <c r="J205" t="n">
        <v>1</v>
      </c>
      <c r="K205" t="n">
        <v>0</v>
      </c>
      <c r="L205" t="n">
        <v>0</v>
      </c>
      <c r="M205" t="n">
        <v>0</v>
      </c>
      <c r="N205" t="n">
        <v>0</v>
      </c>
      <c r="O205" t="n">
        <v>1</v>
      </c>
      <c r="P205" t="n">
        <v>0</v>
      </c>
      <c r="Q205" t="n">
        <v>1</v>
      </c>
      <c r="R205" s="2" t="inlineStr">
        <is>
          <t>Garnlav</t>
        </is>
      </c>
      <c r="S205">
        <f>HYPERLINK("https://klasma.github.io/Logging_2361/artfynd/A 24249-2024 artfynd.xlsx", "A 24249-2024")</f>
        <v/>
      </c>
      <c r="T205">
        <f>HYPERLINK("https://klasma.github.io/Logging_2361/kartor/A 24249-2024 karta.png", "A 24249-2024")</f>
        <v/>
      </c>
      <c r="V205">
        <f>HYPERLINK("https://klasma.github.io/Logging_2361/klagomål/A 24249-2024 FSC-klagomål.docx", "A 24249-2024")</f>
        <v/>
      </c>
      <c r="W205">
        <f>HYPERLINK("https://klasma.github.io/Logging_2361/klagomålsmail/A 24249-2024 FSC-klagomål mail.docx", "A 24249-2024")</f>
        <v/>
      </c>
      <c r="X205">
        <f>HYPERLINK("https://klasma.github.io/Logging_2361/tillsyn/A 24249-2024 tillsynsbegäran.docx", "A 24249-2024")</f>
        <v/>
      </c>
      <c r="Y205">
        <f>HYPERLINK("https://klasma.github.io/Logging_2361/tillsynsmail/A 24249-2024 tillsynsbegäran mail.docx", "A 24249-2024")</f>
        <v/>
      </c>
    </row>
    <row r="206" ht="15" customHeight="1">
      <c r="A206" t="inlineStr">
        <is>
          <t>A 24251-2024</t>
        </is>
      </c>
      <c r="B206" s="1" t="n">
        <v>45457</v>
      </c>
      <c r="C206" s="1" t="n">
        <v>45691</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25942-2024</t>
        </is>
      </c>
      <c r="B207" s="1" t="n">
        <v>45467</v>
      </c>
      <c r="C207" s="1" t="n">
        <v>45691</v>
      </c>
      <c r="D207" t="inlineStr">
        <is>
          <t>JÄMTLANDS LÄN</t>
        </is>
      </c>
      <c r="E207" t="inlineStr">
        <is>
          <t>HÄRJEDALEN</t>
        </is>
      </c>
      <c r="F207" t="inlineStr">
        <is>
          <t>Sveaskog</t>
        </is>
      </c>
      <c r="G207" t="n">
        <v>6.4</v>
      </c>
      <c r="H207" t="n">
        <v>0</v>
      </c>
      <c r="I207" t="n">
        <v>0</v>
      </c>
      <c r="J207" t="n">
        <v>1</v>
      </c>
      <c r="K207" t="n">
        <v>0</v>
      </c>
      <c r="L207" t="n">
        <v>0</v>
      </c>
      <c r="M207" t="n">
        <v>0</v>
      </c>
      <c r="N207" t="n">
        <v>0</v>
      </c>
      <c r="O207" t="n">
        <v>1</v>
      </c>
      <c r="P207" t="n">
        <v>0</v>
      </c>
      <c r="Q207" t="n">
        <v>1</v>
      </c>
      <c r="R207" s="2" t="inlineStr">
        <is>
          <t>Lunglav</t>
        </is>
      </c>
      <c r="S207">
        <f>HYPERLINK("https://klasma.github.io/Logging_2361/artfynd/A 25942-2024 artfynd.xlsx", "A 25942-2024")</f>
        <v/>
      </c>
      <c r="T207">
        <f>HYPERLINK("https://klasma.github.io/Logging_2361/kartor/A 25942-2024 karta.png", "A 25942-2024")</f>
        <v/>
      </c>
      <c r="V207">
        <f>HYPERLINK("https://klasma.github.io/Logging_2361/klagomål/A 25942-2024 FSC-klagomål.docx", "A 25942-2024")</f>
        <v/>
      </c>
      <c r="W207">
        <f>HYPERLINK("https://klasma.github.io/Logging_2361/klagomålsmail/A 25942-2024 FSC-klagomål mail.docx", "A 25942-2024")</f>
        <v/>
      </c>
      <c r="X207">
        <f>HYPERLINK("https://klasma.github.io/Logging_2361/tillsyn/A 25942-2024 tillsynsbegäran.docx", "A 25942-2024")</f>
        <v/>
      </c>
      <c r="Y207">
        <f>HYPERLINK("https://klasma.github.io/Logging_2361/tillsynsmail/A 25942-2024 tillsynsbegäran mail.docx", "A 25942-2024")</f>
        <v/>
      </c>
    </row>
    <row r="208" ht="15" customHeight="1">
      <c r="A208" t="inlineStr">
        <is>
          <t>A 28629-2024</t>
        </is>
      </c>
      <c r="B208" s="1" t="n">
        <v>45478</v>
      </c>
      <c r="C208" s="1" t="n">
        <v>45691</v>
      </c>
      <c r="D208" t="inlineStr">
        <is>
          <t>JÄMTLANDS LÄN</t>
        </is>
      </c>
      <c r="E208" t="inlineStr">
        <is>
          <t>HÄRJEDALEN</t>
        </is>
      </c>
      <c r="G208" t="n">
        <v>8.699999999999999</v>
      </c>
      <c r="H208" t="n">
        <v>1</v>
      </c>
      <c r="I208" t="n">
        <v>0</v>
      </c>
      <c r="J208" t="n">
        <v>0</v>
      </c>
      <c r="K208" t="n">
        <v>0</v>
      </c>
      <c r="L208" t="n">
        <v>1</v>
      </c>
      <c r="M208" t="n">
        <v>0</v>
      </c>
      <c r="N208" t="n">
        <v>0</v>
      </c>
      <c r="O208" t="n">
        <v>1</v>
      </c>
      <c r="P208" t="n">
        <v>1</v>
      </c>
      <c r="Q208" t="n">
        <v>1</v>
      </c>
      <c r="R208" s="2" t="inlineStr">
        <is>
          <t>Mosippa</t>
        </is>
      </c>
      <c r="S208">
        <f>HYPERLINK("https://klasma.github.io/Logging_2361/artfynd/A 28629-2024 artfynd.xlsx", "A 28629-2024")</f>
        <v/>
      </c>
      <c r="T208">
        <f>HYPERLINK("https://klasma.github.io/Logging_2361/kartor/A 28629-2024 karta.png", "A 28629-2024")</f>
        <v/>
      </c>
      <c r="V208">
        <f>HYPERLINK("https://klasma.github.io/Logging_2361/klagomål/A 28629-2024 FSC-klagomål.docx", "A 28629-2024")</f>
        <v/>
      </c>
      <c r="W208">
        <f>HYPERLINK("https://klasma.github.io/Logging_2361/klagomålsmail/A 28629-2024 FSC-klagomål mail.docx", "A 28629-2024")</f>
        <v/>
      </c>
      <c r="X208">
        <f>HYPERLINK("https://klasma.github.io/Logging_2361/tillsyn/A 28629-2024 tillsynsbegäran.docx", "A 28629-2024")</f>
        <v/>
      </c>
      <c r="Y208">
        <f>HYPERLINK("https://klasma.github.io/Logging_2361/tillsynsmail/A 28629-2024 tillsynsbegäran mail.docx", "A 28629-2024")</f>
        <v/>
      </c>
    </row>
    <row r="209" ht="15" customHeight="1">
      <c r="A209" t="inlineStr">
        <is>
          <t>A 31607-2024</t>
        </is>
      </c>
      <c r="B209" s="1" t="n">
        <v>45506</v>
      </c>
      <c r="C209" s="1" t="n">
        <v>45691</v>
      </c>
      <c r="D209" t="inlineStr">
        <is>
          <t>JÄMTLANDS LÄN</t>
        </is>
      </c>
      <c r="E209" t="inlineStr">
        <is>
          <t>HÄRJEDALEN</t>
        </is>
      </c>
      <c r="F209" t="inlineStr">
        <is>
          <t>Sveaskog</t>
        </is>
      </c>
      <c r="G209" t="n">
        <v>9.1</v>
      </c>
      <c r="H209" t="n">
        <v>0</v>
      </c>
      <c r="I209" t="n">
        <v>1</v>
      </c>
      <c r="J209" t="n">
        <v>0</v>
      </c>
      <c r="K209" t="n">
        <v>0</v>
      </c>
      <c r="L209" t="n">
        <v>0</v>
      </c>
      <c r="M209" t="n">
        <v>0</v>
      </c>
      <c r="N209" t="n">
        <v>0</v>
      </c>
      <c r="O209" t="n">
        <v>0</v>
      </c>
      <c r="P209" t="n">
        <v>0</v>
      </c>
      <c r="Q209" t="n">
        <v>1</v>
      </c>
      <c r="R209" s="2" t="inlineStr">
        <is>
          <t>Dropptaggsvamp</t>
        </is>
      </c>
      <c r="S209">
        <f>HYPERLINK("https://klasma.github.io/Logging_2361/artfynd/A 31607-2024 artfynd.xlsx", "A 31607-2024")</f>
        <v/>
      </c>
      <c r="T209">
        <f>HYPERLINK("https://klasma.github.io/Logging_2361/kartor/A 31607-2024 karta.png", "A 31607-2024")</f>
        <v/>
      </c>
      <c r="V209">
        <f>HYPERLINK("https://klasma.github.io/Logging_2361/klagomål/A 31607-2024 FSC-klagomål.docx", "A 31607-2024")</f>
        <v/>
      </c>
      <c r="W209">
        <f>HYPERLINK("https://klasma.github.io/Logging_2361/klagomålsmail/A 31607-2024 FSC-klagomål mail.docx", "A 31607-2024")</f>
        <v/>
      </c>
      <c r="X209">
        <f>HYPERLINK("https://klasma.github.io/Logging_2361/tillsyn/A 31607-2024 tillsynsbegäran.docx", "A 31607-2024")</f>
        <v/>
      </c>
      <c r="Y209">
        <f>HYPERLINK("https://klasma.github.io/Logging_2361/tillsynsmail/A 31607-2024 tillsynsbegäran mail.docx", "A 31607-2024")</f>
        <v/>
      </c>
    </row>
    <row r="210" ht="15" customHeight="1">
      <c r="A210" t="inlineStr">
        <is>
          <t>A 31583-2024</t>
        </is>
      </c>
      <c r="B210" s="1" t="n">
        <v>45506</v>
      </c>
      <c r="C210" s="1" t="n">
        <v>45691</v>
      </c>
      <c r="D210" t="inlineStr">
        <is>
          <t>JÄMTLANDS LÄN</t>
        </is>
      </c>
      <c r="E210" t="inlineStr">
        <is>
          <t>HÄRJEDALEN</t>
        </is>
      </c>
      <c r="G210" t="n">
        <v>9.199999999999999</v>
      </c>
      <c r="H210" t="n">
        <v>0</v>
      </c>
      <c r="I210" t="n">
        <v>0</v>
      </c>
      <c r="J210" t="n">
        <v>1</v>
      </c>
      <c r="K210" t="n">
        <v>0</v>
      </c>
      <c r="L210" t="n">
        <v>0</v>
      </c>
      <c r="M210" t="n">
        <v>0</v>
      </c>
      <c r="N210" t="n">
        <v>0</v>
      </c>
      <c r="O210" t="n">
        <v>1</v>
      </c>
      <c r="P210" t="n">
        <v>0</v>
      </c>
      <c r="Q210" t="n">
        <v>1</v>
      </c>
      <c r="R210" s="2" t="inlineStr">
        <is>
          <t>Igelkott</t>
        </is>
      </c>
      <c r="S210">
        <f>HYPERLINK("https://klasma.github.io/Logging_2361/artfynd/A 31583-2024 artfynd.xlsx", "A 31583-2024")</f>
        <v/>
      </c>
      <c r="T210">
        <f>HYPERLINK("https://klasma.github.io/Logging_2361/kartor/A 31583-2024 karta.png", "A 31583-2024")</f>
        <v/>
      </c>
      <c r="V210">
        <f>HYPERLINK("https://klasma.github.io/Logging_2361/klagomål/A 31583-2024 FSC-klagomål.docx", "A 31583-2024")</f>
        <v/>
      </c>
      <c r="W210">
        <f>HYPERLINK("https://klasma.github.io/Logging_2361/klagomålsmail/A 31583-2024 FSC-klagomål mail.docx", "A 31583-2024")</f>
        <v/>
      </c>
      <c r="X210">
        <f>HYPERLINK("https://klasma.github.io/Logging_2361/tillsyn/A 31583-2024 tillsynsbegäran.docx", "A 31583-2024")</f>
        <v/>
      </c>
      <c r="Y210">
        <f>HYPERLINK("https://klasma.github.io/Logging_2361/tillsynsmail/A 31583-2024 tillsynsbegäran mail.docx", "A 31583-2024")</f>
        <v/>
      </c>
    </row>
    <row r="211" ht="15" customHeight="1">
      <c r="A211" t="inlineStr">
        <is>
          <t>A 37451-2024</t>
        </is>
      </c>
      <c r="B211" s="1" t="n">
        <v>45540</v>
      </c>
      <c r="C211" s="1" t="n">
        <v>45691</v>
      </c>
      <c r="D211" t="inlineStr">
        <is>
          <t>JÄMTLANDS LÄN</t>
        </is>
      </c>
      <c r="E211" t="inlineStr">
        <is>
          <t>HÄRJEDALEN</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HYPERLINK("https://klasma.github.io/Logging_2361/artfynd/A 37451-2024 artfynd.xlsx", "A 37451-2024")</f>
        <v/>
      </c>
      <c r="T211">
        <f>HYPERLINK("https://klasma.github.io/Logging_2361/kartor/A 37451-2024 karta.png", "A 37451-2024")</f>
        <v/>
      </c>
      <c r="V211">
        <f>HYPERLINK("https://klasma.github.io/Logging_2361/klagomål/A 37451-2024 FSC-klagomål.docx", "A 37451-2024")</f>
        <v/>
      </c>
      <c r="W211">
        <f>HYPERLINK("https://klasma.github.io/Logging_2361/klagomålsmail/A 37451-2024 FSC-klagomål mail.docx", "A 37451-2024")</f>
        <v/>
      </c>
      <c r="X211">
        <f>HYPERLINK("https://klasma.github.io/Logging_2361/tillsyn/A 37451-2024 tillsynsbegäran.docx", "A 37451-2024")</f>
        <v/>
      </c>
      <c r="Y211">
        <f>HYPERLINK("https://klasma.github.io/Logging_2361/tillsynsmail/A 37451-2024 tillsynsbegäran mail.docx", "A 37451-2024")</f>
        <v/>
      </c>
    </row>
    <row r="212" ht="15" customHeight="1">
      <c r="A212" t="inlineStr">
        <is>
          <t>A 38285-2024</t>
        </is>
      </c>
      <c r="B212" s="1" t="n">
        <v>45545</v>
      </c>
      <c r="C212" s="1" t="n">
        <v>45691</v>
      </c>
      <c r="D212" t="inlineStr">
        <is>
          <t>JÄMTLANDS LÄN</t>
        </is>
      </c>
      <c r="E212" t="inlineStr">
        <is>
          <t>HÄRJEDALEN</t>
        </is>
      </c>
      <c r="F212" t="inlineStr">
        <is>
          <t>Sveaskog</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HYPERLINK("https://klasma.github.io/Logging_2361/artfynd/A 38285-2024 artfynd.xlsx", "A 38285-2024")</f>
        <v/>
      </c>
      <c r="T212">
        <f>HYPERLINK("https://klasma.github.io/Logging_2361/kartor/A 38285-2024 karta.png", "A 38285-2024")</f>
        <v/>
      </c>
      <c r="V212">
        <f>HYPERLINK("https://klasma.github.io/Logging_2361/klagomål/A 38285-2024 FSC-klagomål.docx", "A 38285-2024")</f>
        <v/>
      </c>
      <c r="W212">
        <f>HYPERLINK("https://klasma.github.io/Logging_2361/klagomålsmail/A 38285-2024 FSC-klagomål mail.docx", "A 38285-2024")</f>
        <v/>
      </c>
      <c r="X212">
        <f>HYPERLINK("https://klasma.github.io/Logging_2361/tillsyn/A 38285-2024 tillsynsbegäran.docx", "A 38285-2024")</f>
        <v/>
      </c>
      <c r="Y212">
        <f>HYPERLINK("https://klasma.github.io/Logging_2361/tillsynsmail/A 38285-2024 tillsynsbegäran mail.docx", "A 38285-2024")</f>
        <v/>
      </c>
    </row>
    <row r="213" ht="15" customHeight="1">
      <c r="A213" t="inlineStr">
        <is>
          <t>A 43744-2024</t>
        </is>
      </c>
      <c r="B213" s="1" t="n">
        <v>45569</v>
      </c>
      <c r="C213" s="1" t="n">
        <v>45691</v>
      </c>
      <c r="D213" t="inlineStr">
        <is>
          <t>JÄMTLANDS LÄN</t>
        </is>
      </c>
      <c r="E213" t="inlineStr">
        <is>
          <t>HÄRJEDALEN</t>
        </is>
      </c>
      <c r="G213" t="n">
        <v>15.8</v>
      </c>
      <c r="H213" t="n">
        <v>1</v>
      </c>
      <c r="I213" t="n">
        <v>0</v>
      </c>
      <c r="J213" t="n">
        <v>1</v>
      </c>
      <c r="K213" t="n">
        <v>0</v>
      </c>
      <c r="L213" t="n">
        <v>0</v>
      </c>
      <c r="M213" t="n">
        <v>0</v>
      </c>
      <c r="N213" t="n">
        <v>0</v>
      </c>
      <c r="O213" t="n">
        <v>1</v>
      </c>
      <c r="P213" t="n">
        <v>0</v>
      </c>
      <c r="Q213" t="n">
        <v>1</v>
      </c>
      <c r="R213" s="2" t="inlineStr">
        <is>
          <t>Skogsfru</t>
        </is>
      </c>
      <c r="S213">
        <f>HYPERLINK("https://klasma.github.io/Logging_2361/artfynd/A 43744-2024 artfynd.xlsx", "A 43744-2024")</f>
        <v/>
      </c>
      <c r="T213">
        <f>HYPERLINK("https://klasma.github.io/Logging_2361/kartor/A 43744-2024 karta.png", "A 43744-2024")</f>
        <v/>
      </c>
      <c r="V213">
        <f>HYPERLINK("https://klasma.github.io/Logging_2361/klagomål/A 43744-2024 FSC-klagomål.docx", "A 43744-2024")</f>
        <v/>
      </c>
      <c r="W213">
        <f>HYPERLINK("https://klasma.github.io/Logging_2361/klagomålsmail/A 43744-2024 FSC-klagomål mail.docx", "A 43744-2024")</f>
        <v/>
      </c>
      <c r="X213">
        <f>HYPERLINK("https://klasma.github.io/Logging_2361/tillsyn/A 43744-2024 tillsynsbegäran.docx", "A 43744-2024")</f>
        <v/>
      </c>
      <c r="Y213">
        <f>HYPERLINK("https://klasma.github.io/Logging_2361/tillsynsmail/A 43744-2024 tillsynsbegäran mail.docx", "A 43744-2024")</f>
        <v/>
      </c>
    </row>
    <row r="214" ht="15" customHeight="1">
      <c r="A214" t="inlineStr">
        <is>
          <t>A 51234-2024</t>
        </is>
      </c>
      <c r="B214" s="1" t="n">
        <v>45603</v>
      </c>
      <c r="C214" s="1" t="n">
        <v>45691</v>
      </c>
      <c r="D214" t="inlineStr">
        <is>
          <t>JÄMTLANDS LÄN</t>
        </is>
      </c>
      <c r="E214" t="inlineStr">
        <is>
          <t>HÄRJEDALEN</t>
        </is>
      </c>
      <c r="F214" t="inlineStr">
        <is>
          <t>Holmen skog AB</t>
        </is>
      </c>
      <c r="G214" t="n">
        <v>2.6</v>
      </c>
      <c r="H214" t="n">
        <v>0</v>
      </c>
      <c r="I214" t="n">
        <v>0</v>
      </c>
      <c r="J214" t="n">
        <v>1</v>
      </c>
      <c r="K214" t="n">
        <v>0</v>
      </c>
      <c r="L214" t="n">
        <v>0</v>
      </c>
      <c r="M214" t="n">
        <v>0</v>
      </c>
      <c r="N214" t="n">
        <v>0</v>
      </c>
      <c r="O214" t="n">
        <v>1</v>
      </c>
      <c r="P214" t="n">
        <v>0</v>
      </c>
      <c r="Q214" t="n">
        <v>1</v>
      </c>
      <c r="R214" s="2" t="inlineStr">
        <is>
          <t>Blågrå svartspik</t>
        </is>
      </c>
      <c r="S214">
        <f>HYPERLINK("https://klasma.github.io/Logging_2361/artfynd/A 51234-2024 artfynd.xlsx", "A 51234-2024")</f>
        <v/>
      </c>
      <c r="T214">
        <f>HYPERLINK("https://klasma.github.io/Logging_2361/kartor/A 51234-2024 karta.png", "A 51234-2024")</f>
        <v/>
      </c>
      <c r="V214">
        <f>HYPERLINK("https://klasma.github.io/Logging_2361/klagomål/A 51234-2024 FSC-klagomål.docx", "A 51234-2024")</f>
        <v/>
      </c>
      <c r="W214">
        <f>HYPERLINK("https://klasma.github.io/Logging_2361/klagomålsmail/A 51234-2024 FSC-klagomål mail.docx", "A 51234-2024")</f>
        <v/>
      </c>
      <c r="X214">
        <f>HYPERLINK("https://klasma.github.io/Logging_2361/tillsyn/A 51234-2024 tillsynsbegäran.docx", "A 51234-2024")</f>
        <v/>
      </c>
      <c r="Y214">
        <f>HYPERLINK("https://klasma.github.io/Logging_2361/tillsynsmail/A 51234-2024 tillsynsbegäran mail.docx", "A 51234-2024")</f>
        <v/>
      </c>
    </row>
    <row r="215" ht="15" customHeight="1">
      <c r="A215" t="inlineStr">
        <is>
          <t>A 54520-2024</t>
        </is>
      </c>
      <c r="B215" s="1" t="n">
        <v>45617</v>
      </c>
      <c r="C215" s="1" t="n">
        <v>45691</v>
      </c>
      <c r="D215" t="inlineStr">
        <is>
          <t>JÄMTLANDS LÄN</t>
        </is>
      </c>
      <c r="E215" t="inlineStr">
        <is>
          <t>HÄRJEDALEN</t>
        </is>
      </c>
      <c r="F215" t="inlineStr">
        <is>
          <t>Holmen skog AB</t>
        </is>
      </c>
      <c r="G215" t="n">
        <v>4.6</v>
      </c>
      <c r="H215" t="n">
        <v>1</v>
      </c>
      <c r="I215" t="n">
        <v>0</v>
      </c>
      <c r="J215" t="n">
        <v>1</v>
      </c>
      <c r="K215" t="n">
        <v>0</v>
      </c>
      <c r="L215" t="n">
        <v>0</v>
      </c>
      <c r="M215" t="n">
        <v>0</v>
      </c>
      <c r="N215" t="n">
        <v>0</v>
      </c>
      <c r="O215" t="n">
        <v>1</v>
      </c>
      <c r="P215" t="n">
        <v>0</v>
      </c>
      <c r="Q215" t="n">
        <v>1</v>
      </c>
      <c r="R215" s="2" t="inlineStr">
        <is>
          <t>Talltita</t>
        </is>
      </c>
      <c r="S215">
        <f>HYPERLINK("https://klasma.github.io/Logging_2361/artfynd/A 54520-2024 artfynd.xlsx", "A 54520-2024")</f>
        <v/>
      </c>
      <c r="T215">
        <f>HYPERLINK("https://klasma.github.io/Logging_2361/kartor/A 54520-2024 karta.png", "A 54520-2024")</f>
        <v/>
      </c>
      <c r="V215">
        <f>HYPERLINK("https://klasma.github.io/Logging_2361/klagomål/A 54520-2024 FSC-klagomål.docx", "A 54520-2024")</f>
        <v/>
      </c>
      <c r="W215">
        <f>HYPERLINK("https://klasma.github.io/Logging_2361/klagomålsmail/A 54520-2024 FSC-klagomål mail.docx", "A 54520-2024")</f>
        <v/>
      </c>
      <c r="X215">
        <f>HYPERLINK("https://klasma.github.io/Logging_2361/tillsyn/A 54520-2024 tillsynsbegäran.docx", "A 54520-2024")</f>
        <v/>
      </c>
      <c r="Y215">
        <f>HYPERLINK("https://klasma.github.io/Logging_2361/tillsynsmail/A 54520-2024 tillsynsbegäran mail.docx", "A 54520-2024")</f>
        <v/>
      </c>
      <c r="Z215">
        <f>HYPERLINK("https://klasma.github.io/Logging_2361/fåglar/A 54520-2024 prioriterade fågelarter.docx", "A 54520-2024")</f>
        <v/>
      </c>
    </row>
    <row r="216" ht="15" customHeight="1">
      <c r="A216" t="inlineStr">
        <is>
          <t>A 55135-2024</t>
        </is>
      </c>
      <c r="B216" s="1" t="n">
        <v>45621</v>
      </c>
      <c r="C216" s="1" t="n">
        <v>45691</v>
      </c>
      <c r="D216" t="inlineStr">
        <is>
          <t>JÄMTLANDS LÄN</t>
        </is>
      </c>
      <c r="E216" t="inlineStr">
        <is>
          <t>HÄRJEDALEN</t>
        </is>
      </c>
      <c r="F216" t="inlineStr">
        <is>
          <t>Sveaskog</t>
        </is>
      </c>
      <c r="G216" t="n">
        <v>12.6</v>
      </c>
      <c r="H216" t="n">
        <v>0</v>
      </c>
      <c r="I216" t="n">
        <v>1</v>
      </c>
      <c r="J216" t="n">
        <v>0</v>
      </c>
      <c r="K216" t="n">
        <v>0</v>
      </c>
      <c r="L216" t="n">
        <v>0</v>
      </c>
      <c r="M216" t="n">
        <v>0</v>
      </c>
      <c r="N216" t="n">
        <v>0</v>
      </c>
      <c r="O216" t="n">
        <v>0</v>
      </c>
      <c r="P216" t="n">
        <v>0</v>
      </c>
      <c r="Q216" t="n">
        <v>1</v>
      </c>
      <c r="R216" s="2" t="inlineStr">
        <is>
          <t>Skarp dropptaggsvamp</t>
        </is>
      </c>
      <c r="S216">
        <f>HYPERLINK("https://klasma.github.io/Logging_2361/artfynd/A 55135-2024 artfynd.xlsx", "A 55135-2024")</f>
        <v/>
      </c>
      <c r="T216">
        <f>HYPERLINK("https://klasma.github.io/Logging_2361/kartor/A 55135-2024 karta.png", "A 55135-2024")</f>
        <v/>
      </c>
      <c r="V216">
        <f>HYPERLINK("https://klasma.github.io/Logging_2361/klagomål/A 55135-2024 FSC-klagomål.docx", "A 55135-2024")</f>
        <v/>
      </c>
      <c r="W216">
        <f>HYPERLINK("https://klasma.github.io/Logging_2361/klagomålsmail/A 55135-2024 FSC-klagomål mail.docx", "A 55135-2024")</f>
        <v/>
      </c>
      <c r="X216">
        <f>HYPERLINK("https://klasma.github.io/Logging_2361/tillsyn/A 55135-2024 tillsynsbegäran.docx", "A 55135-2024")</f>
        <v/>
      </c>
      <c r="Y216">
        <f>HYPERLINK("https://klasma.github.io/Logging_2361/tillsynsmail/A 55135-2024 tillsynsbegäran mail.docx", "A 55135-2024")</f>
        <v/>
      </c>
    </row>
    <row r="217" ht="15" customHeight="1">
      <c r="A217" t="inlineStr">
        <is>
          <t>A 55214-2024</t>
        </is>
      </c>
      <c r="B217" s="1" t="n">
        <v>45621</v>
      </c>
      <c r="C217" s="1" t="n">
        <v>45691</v>
      </c>
      <c r="D217" t="inlineStr">
        <is>
          <t>JÄMTLANDS LÄN</t>
        </is>
      </c>
      <c r="E217" t="inlineStr">
        <is>
          <t>HÄRJEDALEN</t>
        </is>
      </c>
      <c r="F217" t="inlineStr">
        <is>
          <t>Sveaskog</t>
        </is>
      </c>
      <c r="G217" t="n">
        <v>1.1</v>
      </c>
      <c r="H217" t="n">
        <v>0</v>
      </c>
      <c r="I217" t="n">
        <v>0</v>
      </c>
      <c r="J217" t="n">
        <v>1</v>
      </c>
      <c r="K217" t="n">
        <v>0</v>
      </c>
      <c r="L217" t="n">
        <v>0</v>
      </c>
      <c r="M217" t="n">
        <v>0</v>
      </c>
      <c r="N217" t="n">
        <v>0</v>
      </c>
      <c r="O217" t="n">
        <v>1</v>
      </c>
      <c r="P217" t="n">
        <v>0</v>
      </c>
      <c r="Q217" t="n">
        <v>1</v>
      </c>
      <c r="R217" s="2" t="inlineStr">
        <is>
          <t>Kolflarnlav</t>
        </is>
      </c>
      <c r="S217">
        <f>HYPERLINK("https://klasma.github.io/Logging_2361/artfynd/A 55214-2024 artfynd.xlsx", "A 55214-2024")</f>
        <v/>
      </c>
      <c r="T217">
        <f>HYPERLINK("https://klasma.github.io/Logging_2361/kartor/A 55214-2024 karta.png", "A 55214-2024")</f>
        <v/>
      </c>
      <c r="V217">
        <f>HYPERLINK("https://klasma.github.io/Logging_2361/klagomål/A 55214-2024 FSC-klagomål.docx", "A 55214-2024")</f>
        <v/>
      </c>
      <c r="W217">
        <f>HYPERLINK("https://klasma.github.io/Logging_2361/klagomålsmail/A 55214-2024 FSC-klagomål mail.docx", "A 55214-2024")</f>
        <v/>
      </c>
      <c r="X217">
        <f>HYPERLINK("https://klasma.github.io/Logging_2361/tillsyn/A 55214-2024 tillsynsbegäran.docx", "A 55214-2024")</f>
        <v/>
      </c>
      <c r="Y217">
        <f>HYPERLINK("https://klasma.github.io/Logging_2361/tillsynsmail/A 55214-2024 tillsynsbegäran mail.docx", "A 55214-2024")</f>
        <v/>
      </c>
    </row>
    <row r="218" ht="15" customHeight="1">
      <c r="A218" t="inlineStr">
        <is>
          <t>A 59367-2024</t>
        </is>
      </c>
      <c r="B218" s="1" t="n">
        <v>45638</v>
      </c>
      <c r="C218" s="1" t="n">
        <v>45691</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2041-2025</t>
        </is>
      </c>
      <c r="B219" s="1" t="n">
        <v>45672</v>
      </c>
      <c r="C219" s="1" t="n">
        <v>45691</v>
      </c>
      <c r="D219" t="inlineStr">
        <is>
          <t>JÄMTLANDS LÄN</t>
        </is>
      </c>
      <c r="E219" t="inlineStr">
        <is>
          <t>HÄRJEDALEN</t>
        </is>
      </c>
      <c r="G219" t="n">
        <v>10</v>
      </c>
      <c r="H219" t="n">
        <v>0</v>
      </c>
      <c r="I219" t="n">
        <v>0</v>
      </c>
      <c r="J219" t="n">
        <v>1</v>
      </c>
      <c r="K219" t="n">
        <v>0</v>
      </c>
      <c r="L219" t="n">
        <v>0</v>
      </c>
      <c r="M219" t="n">
        <v>0</v>
      </c>
      <c r="N219" t="n">
        <v>0</v>
      </c>
      <c r="O219" t="n">
        <v>1</v>
      </c>
      <c r="P219" t="n">
        <v>0</v>
      </c>
      <c r="Q219" t="n">
        <v>1</v>
      </c>
      <c r="R219" s="2" t="inlineStr">
        <is>
          <t>Gränsticka</t>
        </is>
      </c>
      <c r="S219">
        <f>HYPERLINK("https://klasma.github.io/Logging_2361/artfynd/A 2041-2025 artfynd.xlsx", "A 2041-2025")</f>
        <v/>
      </c>
      <c r="T219">
        <f>HYPERLINK("https://klasma.github.io/Logging_2361/kartor/A 2041-2025 karta.png", "A 2041-2025")</f>
        <v/>
      </c>
      <c r="V219">
        <f>HYPERLINK("https://klasma.github.io/Logging_2361/klagomål/A 2041-2025 FSC-klagomål.docx", "A 2041-2025")</f>
        <v/>
      </c>
      <c r="W219">
        <f>HYPERLINK("https://klasma.github.io/Logging_2361/klagomålsmail/A 2041-2025 FSC-klagomål mail.docx", "A 2041-2025")</f>
        <v/>
      </c>
      <c r="X219">
        <f>HYPERLINK("https://klasma.github.io/Logging_2361/tillsyn/A 2041-2025 tillsynsbegäran.docx", "A 2041-2025")</f>
        <v/>
      </c>
      <c r="Y219">
        <f>HYPERLINK("https://klasma.github.io/Logging_2361/tillsynsmail/A 2041-2025 tillsynsbegäran mail.docx", "A 2041-2025")</f>
        <v/>
      </c>
    </row>
    <row r="220" ht="15" customHeight="1">
      <c r="A220" t="inlineStr">
        <is>
          <t>A 17811-2019</t>
        </is>
      </c>
      <c r="B220" s="1" t="n">
        <v>43556</v>
      </c>
      <c r="C220" s="1" t="n">
        <v>45691</v>
      </c>
      <c r="D220" t="inlineStr">
        <is>
          <t>JÄMTLANDS LÄN</t>
        </is>
      </c>
      <c r="E220" t="inlineStr">
        <is>
          <t>HÄRJEDALEN</t>
        </is>
      </c>
      <c r="G220" t="n">
        <v>10.3</v>
      </c>
      <c r="H220" t="n">
        <v>0</v>
      </c>
      <c r="I220" t="n">
        <v>0</v>
      </c>
      <c r="J220" t="n">
        <v>0</v>
      </c>
      <c r="K220" t="n">
        <v>0</v>
      </c>
      <c r="L220" t="n">
        <v>0</v>
      </c>
      <c r="M220" t="n">
        <v>0</v>
      </c>
      <c r="N220" t="n">
        <v>0</v>
      </c>
      <c r="O220" t="n">
        <v>0</v>
      </c>
      <c r="P220" t="n">
        <v>0</v>
      </c>
      <c r="Q220" t="n">
        <v>0</v>
      </c>
      <c r="R220" s="2" t="inlineStr"/>
    </row>
    <row r="221" ht="15" customHeight="1">
      <c r="A221" t="inlineStr">
        <is>
          <t>A 17986-2019</t>
        </is>
      </c>
      <c r="B221" s="1" t="n">
        <v>43557</v>
      </c>
      <c r="C221" s="1" t="n">
        <v>45691</v>
      </c>
      <c r="D221" t="inlineStr">
        <is>
          <t>JÄMTLANDS LÄN</t>
        </is>
      </c>
      <c r="E221" t="inlineStr">
        <is>
          <t>HÄRJEDALEN</t>
        </is>
      </c>
      <c r="F221" t="inlineStr">
        <is>
          <t>Kyrkan</t>
        </is>
      </c>
      <c r="G221" t="n">
        <v>17.5</v>
      </c>
      <c r="H221" t="n">
        <v>0</v>
      </c>
      <c r="I221" t="n">
        <v>0</v>
      </c>
      <c r="J221" t="n">
        <v>0</v>
      </c>
      <c r="K221" t="n">
        <v>0</v>
      </c>
      <c r="L221" t="n">
        <v>0</v>
      </c>
      <c r="M221" t="n">
        <v>0</v>
      </c>
      <c r="N221" t="n">
        <v>0</v>
      </c>
      <c r="O221" t="n">
        <v>0</v>
      </c>
      <c r="P221" t="n">
        <v>0</v>
      </c>
      <c r="Q221" t="n">
        <v>0</v>
      </c>
      <c r="R221" s="2" t="inlineStr"/>
    </row>
    <row r="222" ht="15" customHeight="1">
      <c r="A222" t="inlineStr">
        <is>
          <t>A 17917-2019</t>
        </is>
      </c>
      <c r="B222" s="1" t="n">
        <v>43557</v>
      </c>
      <c r="C222" s="1" t="n">
        <v>45691</v>
      </c>
      <c r="D222" t="inlineStr">
        <is>
          <t>JÄMTLANDS LÄN</t>
        </is>
      </c>
      <c r="E222" t="inlineStr">
        <is>
          <t>HÄRJEDALEN</t>
        </is>
      </c>
      <c r="F222" t="inlineStr">
        <is>
          <t>Bergvik skog väst AB</t>
        </is>
      </c>
      <c r="G222" t="n">
        <v>166.3</v>
      </c>
      <c r="H222" t="n">
        <v>0</v>
      </c>
      <c r="I222" t="n">
        <v>0</v>
      </c>
      <c r="J222" t="n">
        <v>0</v>
      </c>
      <c r="K222" t="n">
        <v>0</v>
      </c>
      <c r="L222" t="n">
        <v>0</v>
      </c>
      <c r="M222" t="n">
        <v>0</v>
      </c>
      <c r="N222" t="n">
        <v>0</v>
      </c>
      <c r="O222" t="n">
        <v>0</v>
      </c>
      <c r="P222" t="n">
        <v>0</v>
      </c>
      <c r="Q222" t="n">
        <v>0</v>
      </c>
      <c r="R222" s="2" t="inlineStr"/>
    </row>
    <row r="223" ht="15" customHeight="1">
      <c r="A223" t="inlineStr">
        <is>
          <t>A 18539-2019</t>
        </is>
      </c>
      <c r="B223" s="1" t="n">
        <v>43559</v>
      </c>
      <c r="C223" s="1" t="n">
        <v>45691</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18648-2019</t>
        </is>
      </c>
      <c r="B224" s="1" t="n">
        <v>43560</v>
      </c>
      <c r="C224" s="1" t="n">
        <v>45691</v>
      </c>
      <c r="D224" t="inlineStr">
        <is>
          <t>JÄMTLANDS LÄN</t>
        </is>
      </c>
      <c r="E224" t="inlineStr">
        <is>
          <t>HÄRJEDALEN</t>
        </is>
      </c>
      <c r="G224" t="n">
        <v>5.5</v>
      </c>
      <c r="H224" t="n">
        <v>0</v>
      </c>
      <c r="I224" t="n">
        <v>0</v>
      </c>
      <c r="J224" t="n">
        <v>0</v>
      </c>
      <c r="K224" t="n">
        <v>0</v>
      </c>
      <c r="L224" t="n">
        <v>0</v>
      </c>
      <c r="M224" t="n">
        <v>0</v>
      </c>
      <c r="N224" t="n">
        <v>0</v>
      </c>
      <c r="O224" t="n">
        <v>0</v>
      </c>
      <c r="P224" t="n">
        <v>0</v>
      </c>
      <c r="Q224" t="n">
        <v>0</v>
      </c>
      <c r="R224" s="2" t="inlineStr"/>
    </row>
    <row r="225" ht="15" customHeight="1">
      <c r="A225" t="inlineStr">
        <is>
          <t>A 19114-2019</t>
        </is>
      </c>
      <c r="B225" s="1" t="n">
        <v>43563</v>
      </c>
      <c r="C225" s="1" t="n">
        <v>45691</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20063-2019</t>
        </is>
      </c>
      <c r="B226" s="1" t="n">
        <v>43567</v>
      </c>
      <c r="C226" s="1" t="n">
        <v>45691</v>
      </c>
      <c r="D226" t="inlineStr">
        <is>
          <t>JÄMTLANDS LÄN</t>
        </is>
      </c>
      <c r="E226" t="inlineStr">
        <is>
          <t>HÄRJEDALEN</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19864-2019</t>
        </is>
      </c>
      <c r="B227" s="1" t="n">
        <v>43567</v>
      </c>
      <c r="C227" s="1" t="n">
        <v>45691</v>
      </c>
      <c r="D227" t="inlineStr">
        <is>
          <t>JÄMTLANDS LÄN</t>
        </is>
      </c>
      <c r="E227" t="inlineStr">
        <is>
          <t>HÄRJEDALEN</t>
        </is>
      </c>
      <c r="G227" t="n">
        <v>2.6</v>
      </c>
      <c r="H227" t="n">
        <v>0</v>
      </c>
      <c r="I227" t="n">
        <v>0</v>
      </c>
      <c r="J227" t="n">
        <v>0</v>
      </c>
      <c r="K227" t="n">
        <v>0</v>
      </c>
      <c r="L227" t="n">
        <v>0</v>
      </c>
      <c r="M227" t="n">
        <v>0</v>
      </c>
      <c r="N227" t="n">
        <v>0</v>
      </c>
      <c r="O227" t="n">
        <v>0</v>
      </c>
      <c r="P227" t="n">
        <v>0</v>
      </c>
      <c r="Q227" t="n">
        <v>0</v>
      </c>
      <c r="R227" s="2" t="inlineStr"/>
    </row>
    <row r="228" ht="15" customHeight="1">
      <c r="A228" t="inlineStr">
        <is>
          <t>A 20403-2019</t>
        </is>
      </c>
      <c r="B228" s="1" t="n">
        <v>43571</v>
      </c>
      <c r="C228" s="1" t="n">
        <v>45691</v>
      </c>
      <c r="D228" t="inlineStr">
        <is>
          <t>JÄMTLANDS LÄN</t>
        </is>
      </c>
      <c r="E228" t="inlineStr">
        <is>
          <t>HÄRJEDALEN</t>
        </is>
      </c>
      <c r="F228" t="inlineStr">
        <is>
          <t>Bergvik skog väst AB</t>
        </is>
      </c>
      <c r="G228" t="n">
        <v>7.8</v>
      </c>
      <c r="H228" t="n">
        <v>0</v>
      </c>
      <c r="I228" t="n">
        <v>0</v>
      </c>
      <c r="J228" t="n">
        <v>0</v>
      </c>
      <c r="K228" t="n">
        <v>0</v>
      </c>
      <c r="L228" t="n">
        <v>0</v>
      </c>
      <c r="M228" t="n">
        <v>0</v>
      </c>
      <c r="N228" t="n">
        <v>0</v>
      </c>
      <c r="O228" t="n">
        <v>0</v>
      </c>
      <c r="P228" t="n">
        <v>0</v>
      </c>
      <c r="Q228" t="n">
        <v>0</v>
      </c>
      <c r="R228" s="2" t="inlineStr"/>
    </row>
    <row r="229" ht="15" customHeight="1">
      <c r="A229" t="inlineStr">
        <is>
          <t>A 20373-2019</t>
        </is>
      </c>
      <c r="B229" s="1" t="n">
        <v>43571</v>
      </c>
      <c r="C229" s="1" t="n">
        <v>45691</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20851-2019</t>
        </is>
      </c>
      <c r="B230" s="1" t="n">
        <v>43577</v>
      </c>
      <c r="C230" s="1" t="n">
        <v>45691</v>
      </c>
      <c r="D230" t="inlineStr">
        <is>
          <t>JÄMTLANDS LÄN</t>
        </is>
      </c>
      <c r="E230" t="inlineStr">
        <is>
          <t>HÄRJEDALEN</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21040-2019</t>
        </is>
      </c>
      <c r="B231" s="1" t="n">
        <v>43578</v>
      </c>
      <c r="C231" s="1" t="n">
        <v>45691</v>
      </c>
      <c r="D231" t="inlineStr">
        <is>
          <t>JÄMTLANDS LÄN</t>
        </is>
      </c>
      <c r="E231" t="inlineStr">
        <is>
          <t>HÄRJEDALEN</t>
        </is>
      </c>
      <c r="G231" t="n">
        <v>0.8</v>
      </c>
      <c r="H231" t="n">
        <v>0</v>
      </c>
      <c r="I231" t="n">
        <v>0</v>
      </c>
      <c r="J231" t="n">
        <v>0</v>
      </c>
      <c r="K231" t="n">
        <v>0</v>
      </c>
      <c r="L231" t="n">
        <v>0</v>
      </c>
      <c r="M231" t="n">
        <v>0</v>
      </c>
      <c r="N231" t="n">
        <v>0</v>
      </c>
      <c r="O231" t="n">
        <v>0</v>
      </c>
      <c r="P231" t="n">
        <v>0</v>
      </c>
      <c r="Q231" t="n">
        <v>0</v>
      </c>
      <c r="R231" s="2" t="inlineStr"/>
    </row>
    <row r="232" ht="15" customHeight="1">
      <c r="A232" t="inlineStr">
        <is>
          <t>A 21189-2019</t>
        </is>
      </c>
      <c r="B232" s="1" t="n">
        <v>43579</v>
      </c>
      <c r="C232" s="1" t="n">
        <v>45691</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22622-2019</t>
        </is>
      </c>
      <c r="B233" s="1" t="n">
        <v>43588</v>
      </c>
      <c r="C233" s="1" t="n">
        <v>45691</v>
      </c>
      <c r="D233" t="inlineStr">
        <is>
          <t>JÄMTLANDS LÄN</t>
        </is>
      </c>
      <c r="E233" t="inlineStr">
        <is>
          <t>HÄRJEDALEN</t>
        </is>
      </c>
      <c r="G233" t="n">
        <v>1.5</v>
      </c>
      <c r="H233" t="n">
        <v>0</v>
      </c>
      <c r="I233" t="n">
        <v>0</v>
      </c>
      <c r="J233" t="n">
        <v>0</v>
      </c>
      <c r="K233" t="n">
        <v>0</v>
      </c>
      <c r="L233" t="n">
        <v>0</v>
      </c>
      <c r="M233" t="n">
        <v>0</v>
      </c>
      <c r="N233" t="n">
        <v>0</v>
      </c>
      <c r="O233" t="n">
        <v>0</v>
      </c>
      <c r="P233" t="n">
        <v>0</v>
      </c>
      <c r="Q233" t="n">
        <v>0</v>
      </c>
      <c r="R233" s="2" t="inlineStr"/>
    </row>
    <row r="234" ht="15" customHeight="1">
      <c r="A234" t="inlineStr">
        <is>
          <t>A 24030-2019</t>
        </is>
      </c>
      <c r="B234" s="1" t="n">
        <v>43598</v>
      </c>
      <c r="C234" s="1" t="n">
        <v>45691</v>
      </c>
      <c r="D234" t="inlineStr">
        <is>
          <t>JÄMTLANDS LÄN</t>
        </is>
      </c>
      <c r="E234" t="inlineStr">
        <is>
          <t>HÄRJEDALEN</t>
        </is>
      </c>
      <c r="F234" t="inlineStr">
        <is>
          <t>Sveaskog</t>
        </is>
      </c>
      <c r="G234" t="n">
        <v>39.9</v>
      </c>
      <c r="H234" t="n">
        <v>0</v>
      </c>
      <c r="I234" t="n">
        <v>0</v>
      </c>
      <c r="J234" t="n">
        <v>0</v>
      </c>
      <c r="K234" t="n">
        <v>0</v>
      </c>
      <c r="L234" t="n">
        <v>0</v>
      </c>
      <c r="M234" t="n">
        <v>0</v>
      </c>
      <c r="N234" t="n">
        <v>0</v>
      </c>
      <c r="O234" t="n">
        <v>0</v>
      </c>
      <c r="P234" t="n">
        <v>0</v>
      </c>
      <c r="Q234" t="n">
        <v>0</v>
      </c>
      <c r="R234" s="2" t="inlineStr"/>
    </row>
    <row r="235" ht="15" customHeight="1">
      <c r="A235" t="inlineStr">
        <is>
          <t>A 24760-2019</t>
        </is>
      </c>
      <c r="B235" s="1" t="n">
        <v>43601</v>
      </c>
      <c r="C235" s="1" t="n">
        <v>45691</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25309-2019</t>
        </is>
      </c>
      <c r="B236" s="1" t="n">
        <v>43605</v>
      </c>
      <c r="C236" s="1" t="n">
        <v>45691</v>
      </c>
      <c r="D236" t="inlineStr">
        <is>
          <t>JÄMTLANDS LÄN</t>
        </is>
      </c>
      <c r="E236" t="inlineStr">
        <is>
          <t>HÄRJEDALEN</t>
        </is>
      </c>
      <c r="G236" t="n">
        <v>0.1</v>
      </c>
      <c r="H236" t="n">
        <v>0</v>
      </c>
      <c r="I236" t="n">
        <v>0</v>
      </c>
      <c r="J236" t="n">
        <v>0</v>
      </c>
      <c r="K236" t="n">
        <v>0</v>
      </c>
      <c r="L236" t="n">
        <v>0</v>
      </c>
      <c r="M236" t="n">
        <v>0</v>
      </c>
      <c r="N236" t="n">
        <v>0</v>
      </c>
      <c r="O236" t="n">
        <v>0</v>
      </c>
      <c r="P236" t="n">
        <v>0</v>
      </c>
      <c r="Q236" t="n">
        <v>0</v>
      </c>
      <c r="R236" s="2" t="inlineStr"/>
    </row>
    <row r="237" ht="15" customHeight="1">
      <c r="A237" t="inlineStr">
        <is>
          <t>A 25470-2019</t>
        </is>
      </c>
      <c r="B237" s="1" t="n">
        <v>43606</v>
      </c>
      <c r="C237" s="1" t="n">
        <v>45691</v>
      </c>
      <c r="D237" t="inlineStr">
        <is>
          <t>JÄMTLANDS LÄN</t>
        </is>
      </c>
      <c r="E237" t="inlineStr">
        <is>
          <t>HÄRJEDALEN</t>
        </is>
      </c>
      <c r="G237" t="n">
        <v>36.8</v>
      </c>
      <c r="H237" t="n">
        <v>0</v>
      </c>
      <c r="I237" t="n">
        <v>0</v>
      </c>
      <c r="J237" t="n">
        <v>0</v>
      </c>
      <c r="K237" t="n">
        <v>0</v>
      </c>
      <c r="L237" t="n">
        <v>0</v>
      </c>
      <c r="M237" t="n">
        <v>0</v>
      </c>
      <c r="N237" t="n">
        <v>0</v>
      </c>
      <c r="O237" t="n">
        <v>0</v>
      </c>
      <c r="P237" t="n">
        <v>0</v>
      </c>
      <c r="Q237" t="n">
        <v>0</v>
      </c>
      <c r="R237" s="2" t="inlineStr"/>
    </row>
    <row r="238" ht="15" customHeight="1">
      <c r="A238" t="inlineStr">
        <is>
          <t>A 26166-2019</t>
        </is>
      </c>
      <c r="B238" s="1" t="n">
        <v>43609</v>
      </c>
      <c r="C238" s="1" t="n">
        <v>45691</v>
      </c>
      <c r="D238" t="inlineStr">
        <is>
          <t>JÄMTLANDS LÄN</t>
        </is>
      </c>
      <c r="E238" t="inlineStr">
        <is>
          <t>HÄRJEDALEN</t>
        </is>
      </c>
      <c r="G238" t="n">
        <v>85.2</v>
      </c>
      <c r="H238" t="n">
        <v>0</v>
      </c>
      <c r="I238" t="n">
        <v>0</v>
      </c>
      <c r="J238" t="n">
        <v>0</v>
      </c>
      <c r="K238" t="n">
        <v>0</v>
      </c>
      <c r="L238" t="n">
        <v>0</v>
      </c>
      <c r="M238" t="n">
        <v>0</v>
      </c>
      <c r="N238" t="n">
        <v>0</v>
      </c>
      <c r="O238" t="n">
        <v>0</v>
      </c>
      <c r="P238" t="n">
        <v>0</v>
      </c>
      <c r="Q238" t="n">
        <v>0</v>
      </c>
      <c r="R238" s="2" t="inlineStr"/>
    </row>
    <row r="239" ht="15" customHeight="1">
      <c r="A239" t="inlineStr">
        <is>
          <t>A 26310-2019</t>
        </is>
      </c>
      <c r="B239" s="1" t="n">
        <v>43612</v>
      </c>
      <c r="C239" s="1" t="n">
        <v>45691</v>
      </c>
      <c r="D239" t="inlineStr">
        <is>
          <t>JÄMTLANDS LÄN</t>
        </is>
      </c>
      <c r="E239" t="inlineStr">
        <is>
          <t>HÄRJEDALEN</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26423-2019</t>
        </is>
      </c>
      <c r="B240" s="1" t="n">
        <v>43612</v>
      </c>
      <c r="C240" s="1" t="n">
        <v>45691</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27683-2019</t>
        </is>
      </c>
      <c r="B241" s="1" t="n">
        <v>43619</v>
      </c>
      <c r="C241" s="1" t="n">
        <v>45691</v>
      </c>
      <c r="D241" t="inlineStr">
        <is>
          <t>JÄMTLANDS LÄN</t>
        </is>
      </c>
      <c r="E241" t="inlineStr">
        <is>
          <t>HÄRJEDALEN</t>
        </is>
      </c>
      <c r="G241" t="n">
        <v>5.4</v>
      </c>
      <c r="H241" t="n">
        <v>0</v>
      </c>
      <c r="I241" t="n">
        <v>0</v>
      </c>
      <c r="J241" t="n">
        <v>0</v>
      </c>
      <c r="K241" t="n">
        <v>0</v>
      </c>
      <c r="L241" t="n">
        <v>0</v>
      </c>
      <c r="M241" t="n">
        <v>0</v>
      </c>
      <c r="N241" t="n">
        <v>0</v>
      </c>
      <c r="O241" t="n">
        <v>0</v>
      </c>
      <c r="P241" t="n">
        <v>0</v>
      </c>
      <c r="Q241" t="n">
        <v>0</v>
      </c>
      <c r="R241" s="2" t="inlineStr"/>
    </row>
    <row r="242" ht="15" customHeight="1">
      <c r="A242" t="inlineStr">
        <is>
          <t>A 27903-2019</t>
        </is>
      </c>
      <c r="B242" s="1" t="n">
        <v>43620</v>
      </c>
      <c r="C242" s="1" t="n">
        <v>45691</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28312-2019</t>
        </is>
      </c>
      <c r="B243" s="1" t="n">
        <v>43623</v>
      </c>
      <c r="C243" s="1" t="n">
        <v>45691</v>
      </c>
      <c r="D243" t="inlineStr">
        <is>
          <t>JÄMTLANDS LÄN</t>
        </is>
      </c>
      <c r="E243" t="inlineStr">
        <is>
          <t>HÄRJEDALEN</t>
        </is>
      </c>
      <c r="G243" t="n">
        <v>6.5</v>
      </c>
      <c r="H243" t="n">
        <v>0</v>
      </c>
      <c r="I243" t="n">
        <v>0</v>
      </c>
      <c r="J243" t="n">
        <v>0</v>
      </c>
      <c r="K243" t="n">
        <v>0</v>
      </c>
      <c r="L243" t="n">
        <v>0</v>
      </c>
      <c r="M243" t="n">
        <v>0</v>
      </c>
      <c r="N243" t="n">
        <v>0</v>
      </c>
      <c r="O243" t="n">
        <v>0</v>
      </c>
      <c r="P243" t="n">
        <v>0</v>
      </c>
      <c r="Q243" t="n">
        <v>0</v>
      </c>
      <c r="R243" s="2" t="inlineStr"/>
    </row>
    <row r="244" ht="15" customHeight="1">
      <c r="A244" t="inlineStr">
        <is>
          <t>A 28326-2019</t>
        </is>
      </c>
      <c r="B244" s="1" t="n">
        <v>43623</v>
      </c>
      <c r="C244" s="1" t="n">
        <v>45691</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28513-2019</t>
        </is>
      </c>
      <c r="B245" s="1" t="n">
        <v>43626</v>
      </c>
      <c r="C245" s="1" t="n">
        <v>45691</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29263-2019</t>
        </is>
      </c>
      <c r="B246" s="1" t="n">
        <v>43629</v>
      </c>
      <c r="C246" s="1" t="n">
        <v>45691</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29822-2019</t>
        </is>
      </c>
      <c r="B247" s="1" t="n">
        <v>43633</v>
      </c>
      <c r="C247" s="1" t="n">
        <v>45691</v>
      </c>
      <c r="D247" t="inlineStr">
        <is>
          <t>JÄMTLANDS LÄN</t>
        </is>
      </c>
      <c r="E247" t="inlineStr">
        <is>
          <t>HÄRJEDALEN</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34618-2019</t>
        </is>
      </c>
      <c r="B248" s="1" t="n">
        <v>43647</v>
      </c>
      <c r="C248" s="1" t="n">
        <v>45691</v>
      </c>
      <c r="D248" t="inlineStr">
        <is>
          <t>JÄMTLANDS LÄN</t>
        </is>
      </c>
      <c r="E248" t="inlineStr">
        <is>
          <t>HÄRJEDALEN</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32878-2019</t>
        </is>
      </c>
      <c r="B249" s="1" t="n">
        <v>43648</v>
      </c>
      <c r="C249" s="1" t="n">
        <v>45691</v>
      </c>
      <c r="D249" t="inlineStr">
        <is>
          <t>JÄMTLANDS LÄN</t>
        </is>
      </c>
      <c r="E249" t="inlineStr">
        <is>
          <t>HÄRJEDALEN</t>
        </is>
      </c>
      <c r="F249" t="inlineStr">
        <is>
          <t>Övriga Aktiebolag</t>
        </is>
      </c>
      <c r="G249" t="n">
        <v>91.8</v>
      </c>
      <c r="H249" t="n">
        <v>0</v>
      </c>
      <c r="I249" t="n">
        <v>0</v>
      </c>
      <c r="J249" t="n">
        <v>0</v>
      </c>
      <c r="K249" t="n">
        <v>0</v>
      </c>
      <c r="L249" t="n">
        <v>0</v>
      </c>
      <c r="M249" t="n">
        <v>0</v>
      </c>
      <c r="N249" t="n">
        <v>0</v>
      </c>
      <c r="O249" t="n">
        <v>0</v>
      </c>
      <c r="P249" t="n">
        <v>0</v>
      </c>
      <c r="Q249" t="n">
        <v>0</v>
      </c>
      <c r="R249" s="2" t="inlineStr"/>
    </row>
    <row r="250" ht="15" customHeight="1">
      <c r="A250" t="inlineStr">
        <is>
          <t>A 33496-2019</t>
        </is>
      </c>
      <c r="B250" s="1" t="n">
        <v>43651</v>
      </c>
      <c r="C250" s="1" t="n">
        <v>45691</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33497-2019</t>
        </is>
      </c>
      <c r="B251" s="1" t="n">
        <v>43651</v>
      </c>
      <c r="C251" s="1" t="n">
        <v>45691</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34688-2019</t>
        </is>
      </c>
      <c r="B252" s="1" t="n">
        <v>43657</v>
      </c>
      <c r="C252" s="1" t="n">
        <v>45691</v>
      </c>
      <c r="D252" t="inlineStr">
        <is>
          <t>JÄMTLANDS LÄN</t>
        </is>
      </c>
      <c r="E252" t="inlineStr">
        <is>
          <t>HÄRJEDALEN</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34805-2019</t>
        </is>
      </c>
      <c r="B253" s="1" t="n">
        <v>43658</v>
      </c>
      <c r="C253" s="1" t="n">
        <v>45691</v>
      </c>
      <c r="D253" t="inlineStr">
        <is>
          <t>JÄMTLANDS LÄN</t>
        </is>
      </c>
      <c r="E253" t="inlineStr">
        <is>
          <t>HÄRJEDALEN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35160-2019</t>
        </is>
      </c>
      <c r="B254" s="1" t="n">
        <v>43661</v>
      </c>
      <c r="C254" s="1" t="n">
        <v>45691</v>
      </c>
      <c r="D254" t="inlineStr">
        <is>
          <t>JÄMTLANDS LÄN</t>
        </is>
      </c>
      <c r="E254" t="inlineStr">
        <is>
          <t>HÄRJEDALEN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36343-2019</t>
        </is>
      </c>
      <c r="B255" s="1" t="n">
        <v>43662</v>
      </c>
      <c r="C255" s="1" t="n">
        <v>45691</v>
      </c>
      <c r="D255" t="inlineStr">
        <is>
          <t>JÄMTLANDS LÄN</t>
        </is>
      </c>
      <c r="E255" t="inlineStr">
        <is>
          <t>HÄRJEDALEN</t>
        </is>
      </c>
      <c r="G255" t="n">
        <v>8</v>
      </c>
      <c r="H255" t="n">
        <v>0</v>
      </c>
      <c r="I255" t="n">
        <v>0</v>
      </c>
      <c r="J255" t="n">
        <v>0</v>
      </c>
      <c r="K255" t="n">
        <v>0</v>
      </c>
      <c r="L255" t="n">
        <v>0</v>
      </c>
      <c r="M255" t="n">
        <v>0</v>
      </c>
      <c r="N255" t="n">
        <v>0</v>
      </c>
      <c r="O255" t="n">
        <v>0</v>
      </c>
      <c r="P255" t="n">
        <v>0</v>
      </c>
      <c r="Q255" t="n">
        <v>0</v>
      </c>
      <c r="R255" s="2" t="inlineStr"/>
    </row>
    <row r="256" ht="15" customHeight="1">
      <c r="A256" t="inlineStr">
        <is>
          <t>A 38283-2019</t>
        </is>
      </c>
      <c r="B256" s="1" t="n">
        <v>43684</v>
      </c>
      <c r="C256" s="1" t="n">
        <v>45691</v>
      </c>
      <c r="D256" t="inlineStr">
        <is>
          <t>JÄMTLANDS LÄN</t>
        </is>
      </c>
      <c r="E256" t="inlineStr">
        <is>
          <t>HÄRJEDALEN</t>
        </is>
      </c>
      <c r="F256" t="inlineStr">
        <is>
          <t>Bergvik skog väst AB</t>
        </is>
      </c>
      <c r="G256" t="n">
        <v>29.5</v>
      </c>
      <c r="H256" t="n">
        <v>0</v>
      </c>
      <c r="I256" t="n">
        <v>0</v>
      </c>
      <c r="J256" t="n">
        <v>0</v>
      </c>
      <c r="K256" t="n">
        <v>0</v>
      </c>
      <c r="L256" t="n">
        <v>0</v>
      </c>
      <c r="M256" t="n">
        <v>0</v>
      </c>
      <c r="N256" t="n">
        <v>0</v>
      </c>
      <c r="O256" t="n">
        <v>0</v>
      </c>
      <c r="P256" t="n">
        <v>0</v>
      </c>
      <c r="Q256" t="n">
        <v>0</v>
      </c>
      <c r="R256" s="2" t="inlineStr"/>
    </row>
    <row r="257" ht="15" customHeight="1">
      <c r="A257" t="inlineStr">
        <is>
          <t>A 38859-2019</t>
        </is>
      </c>
      <c r="B257" s="1" t="n">
        <v>43689</v>
      </c>
      <c r="C257" s="1" t="n">
        <v>45691</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38884-2019</t>
        </is>
      </c>
      <c r="B258" s="1" t="n">
        <v>43689</v>
      </c>
      <c r="C258" s="1" t="n">
        <v>45691</v>
      </c>
      <c r="D258" t="inlineStr">
        <is>
          <t>JÄMTLANDS LÄN</t>
        </is>
      </c>
      <c r="E258" t="inlineStr">
        <is>
          <t>HÄRJEDALEN</t>
        </is>
      </c>
      <c r="G258" t="n">
        <v>2.5</v>
      </c>
      <c r="H258" t="n">
        <v>0</v>
      </c>
      <c r="I258" t="n">
        <v>0</v>
      </c>
      <c r="J258" t="n">
        <v>0</v>
      </c>
      <c r="K258" t="n">
        <v>0</v>
      </c>
      <c r="L258" t="n">
        <v>0</v>
      </c>
      <c r="M258" t="n">
        <v>0</v>
      </c>
      <c r="N258" t="n">
        <v>0</v>
      </c>
      <c r="O258" t="n">
        <v>0</v>
      </c>
      <c r="P258" t="n">
        <v>0</v>
      </c>
      <c r="Q258" t="n">
        <v>0</v>
      </c>
      <c r="R258" s="2" t="inlineStr"/>
    </row>
    <row r="259" ht="15" customHeight="1">
      <c r="A259" t="inlineStr">
        <is>
          <t>A 40244-2019</t>
        </is>
      </c>
      <c r="B259" s="1" t="n">
        <v>43694</v>
      </c>
      <c r="C259" s="1" t="n">
        <v>45691</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42123-2019</t>
        </is>
      </c>
      <c r="B260" s="1" t="n">
        <v>43703</v>
      </c>
      <c r="C260" s="1" t="n">
        <v>45691</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43103-2019</t>
        </is>
      </c>
      <c r="B261" s="1" t="n">
        <v>43705</v>
      </c>
      <c r="C261" s="1" t="n">
        <v>45691</v>
      </c>
      <c r="D261" t="inlineStr">
        <is>
          <t>JÄMTLANDS LÄN</t>
        </is>
      </c>
      <c r="E261" t="inlineStr">
        <is>
          <t>HÄRJEDALEN</t>
        </is>
      </c>
      <c r="G261" t="n">
        <v>38.6</v>
      </c>
      <c r="H261" t="n">
        <v>0</v>
      </c>
      <c r="I261" t="n">
        <v>0</v>
      </c>
      <c r="J261" t="n">
        <v>0</v>
      </c>
      <c r="K261" t="n">
        <v>0</v>
      </c>
      <c r="L261" t="n">
        <v>0</v>
      </c>
      <c r="M261" t="n">
        <v>0</v>
      </c>
      <c r="N261" t="n">
        <v>0</v>
      </c>
      <c r="O261" t="n">
        <v>0</v>
      </c>
      <c r="P261" t="n">
        <v>0</v>
      </c>
      <c r="Q261" t="n">
        <v>0</v>
      </c>
      <c r="R261" s="2" t="inlineStr"/>
    </row>
    <row r="262" ht="15" customHeight="1">
      <c r="A262" t="inlineStr">
        <is>
          <t>A 43142-2019</t>
        </is>
      </c>
      <c r="B262" s="1" t="n">
        <v>43705</v>
      </c>
      <c r="C262" s="1" t="n">
        <v>45691</v>
      </c>
      <c r="D262" t="inlineStr">
        <is>
          <t>JÄMTLANDS LÄN</t>
        </is>
      </c>
      <c r="E262" t="inlineStr">
        <is>
          <t>HÄRJEDALEN</t>
        </is>
      </c>
      <c r="G262" t="n">
        <v>3.2</v>
      </c>
      <c r="H262" t="n">
        <v>0</v>
      </c>
      <c r="I262" t="n">
        <v>0</v>
      </c>
      <c r="J262" t="n">
        <v>0</v>
      </c>
      <c r="K262" t="n">
        <v>0</v>
      </c>
      <c r="L262" t="n">
        <v>0</v>
      </c>
      <c r="M262" t="n">
        <v>0</v>
      </c>
      <c r="N262" t="n">
        <v>0</v>
      </c>
      <c r="O262" t="n">
        <v>0</v>
      </c>
      <c r="P262" t="n">
        <v>0</v>
      </c>
      <c r="Q262" t="n">
        <v>0</v>
      </c>
      <c r="R262" s="2" t="inlineStr"/>
    </row>
    <row r="263" ht="15" customHeight="1">
      <c r="A263" t="inlineStr">
        <is>
          <t>A 43649-2019</t>
        </is>
      </c>
      <c r="B263" s="1" t="n">
        <v>43707</v>
      </c>
      <c r="C263" s="1" t="n">
        <v>45691</v>
      </c>
      <c r="D263" t="inlineStr">
        <is>
          <t>JÄMTLANDS LÄN</t>
        </is>
      </c>
      <c r="E263" t="inlineStr">
        <is>
          <t>HÄRJEDALEN</t>
        </is>
      </c>
      <c r="F263" t="inlineStr">
        <is>
          <t>Sveaskog</t>
        </is>
      </c>
      <c r="G263" t="n">
        <v>6.7</v>
      </c>
      <c r="H263" t="n">
        <v>0</v>
      </c>
      <c r="I263" t="n">
        <v>0</v>
      </c>
      <c r="J263" t="n">
        <v>0</v>
      </c>
      <c r="K263" t="n">
        <v>0</v>
      </c>
      <c r="L263" t="n">
        <v>0</v>
      </c>
      <c r="M263" t="n">
        <v>0</v>
      </c>
      <c r="N263" t="n">
        <v>0</v>
      </c>
      <c r="O263" t="n">
        <v>0</v>
      </c>
      <c r="P263" t="n">
        <v>0</v>
      </c>
      <c r="Q263" t="n">
        <v>0</v>
      </c>
      <c r="R263" s="2" t="inlineStr"/>
    </row>
    <row r="264" ht="15" customHeight="1">
      <c r="A264" t="inlineStr">
        <is>
          <t>A 43896-2019</t>
        </is>
      </c>
      <c r="B264" s="1" t="n">
        <v>43707</v>
      </c>
      <c r="C264" s="1" t="n">
        <v>45691</v>
      </c>
      <c r="D264" t="inlineStr">
        <is>
          <t>JÄMTLANDS LÄN</t>
        </is>
      </c>
      <c r="E264" t="inlineStr">
        <is>
          <t>HÄRJEDALEN</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45167-2019</t>
        </is>
      </c>
      <c r="B265" s="1" t="n">
        <v>43713</v>
      </c>
      <c r="C265" s="1" t="n">
        <v>45691</v>
      </c>
      <c r="D265" t="inlineStr">
        <is>
          <t>JÄMTLANDS LÄN</t>
        </is>
      </c>
      <c r="E265" t="inlineStr">
        <is>
          <t>HÄRJEDALEN</t>
        </is>
      </c>
      <c r="F265" t="inlineStr">
        <is>
          <t>Holmen skog AB</t>
        </is>
      </c>
      <c r="G265" t="n">
        <v>15.9</v>
      </c>
      <c r="H265" t="n">
        <v>0</v>
      </c>
      <c r="I265" t="n">
        <v>0</v>
      </c>
      <c r="J265" t="n">
        <v>0</v>
      </c>
      <c r="K265" t="n">
        <v>0</v>
      </c>
      <c r="L265" t="n">
        <v>0</v>
      </c>
      <c r="M265" t="n">
        <v>0</v>
      </c>
      <c r="N265" t="n">
        <v>0</v>
      </c>
      <c r="O265" t="n">
        <v>0</v>
      </c>
      <c r="P265" t="n">
        <v>0</v>
      </c>
      <c r="Q265" t="n">
        <v>0</v>
      </c>
      <c r="R265" s="2" t="inlineStr"/>
    </row>
    <row r="266" ht="15" customHeight="1">
      <c r="A266" t="inlineStr">
        <is>
          <t>A 44939-2019</t>
        </is>
      </c>
      <c r="B266" s="1" t="n">
        <v>43713</v>
      </c>
      <c r="C266" s="1" t="n">
        <v>45691</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45858-2019</t>
        </is>
      </c>
      <c r="B267" s="1" t="n">
        <v>43717</v>
      </c>
      <c r="C267" s="1" t="n">
        <v>45691</v>
      </c>
      <c r="D267" t="inlineStr">
        <is>
          <t>JÄMTLANDS LÄN</t>
        </is>
      </c>
      <c r="E267" t="inlineStr">
        <is>
          <t>HÄRJEDALEN</t>
        </is>
      </c>
      <c r="F267" t="inlineStr">
        <is>
          <t>Holmen skog AB</t>
        </is>
      </c>
      <c r="G267" t="n">
        <v>3.9</v>
      </c>
      <c r="H267" t="n">
        <v>0</v>
      </c>
      <c r="I267" t="n">
        <v>0</v>
      </c>
      <c r="J267" t="n">
        <v>0</v>
      </c>
      <c r="K267" t="n">
        <v>0</v>
      </c>
      <c r="L267" t="n">
        <v>0</v>
      </c>
      <c r="M267" t="n">
        <v>0</v>
      </c>
      <c r="N267" t="n">
        <v>0</v>
      </c>
      <c r="O267" t="n">
        <v>0</v>
      </c>
      <c r="P267" t="n">
        <v>0</v>
      </c>
      <c r="Q267" t="n">
        <v>0</v>
      </c>
      <c r="R267" s="2" t="inlineStr"/>
    </row>
    <row r="268" ht="15" customHeight="1">
      <c r="A268" t="inlineStr">
        <is>
          <t>A 45781-2019</t>
        </is>
      </c>
      <c r="B268" s="1" t="n">
        <v>43717</v>
      </c>
      <c r="C268" s="1" t="n">
        <v>45691</v>
      </c>
      <c r="D268" t="inlineStr">
        <is>
          <t>JÄMTLANDS LÄN</t>
        </is>
      </c>
      <c r="E268" t="inlineStr">
        <is>
          <t>HÄRJEDALEN</t>
        </is>
      </c>
      <c r="F268" t="inlineStr">
        <is>
          <t>Holmen skog AB</t>
        </is>
      </c>
      <c r="G268" t="n">
        <v>13.8</v>
      </c>
      <c r="H268" t="n">
        <v>0</v>
      </c>
      <c r="I268" t="n">
        <v>0</v>
      </c>
      <c r="J268" t="n">
        <v>0</v>
      </c>
      <c r="K268" t="n">
        <v>0</v>
      </c>
      <c r="L268" t="n">
        <v>0</v>
      </c>
      <c r="M268" t="n">
        <v>0</v>
      </c>
      <c r="N268" t="n">
        <v>0</v>
      </c>
      <c r="O268" t="n">
        <v>0</v>
      </c>
      <c r="P268" t="n">
        <v>0</v>
      </c>
      <c r="Q268" t="n">
        <v>0</v>
      </c>
      <c r="R268" s="2" t="inlineStr"/>
    </row>
    <row r="269" ht="15" customHeight="1">
      <c r="A269" t="inlineStr">
        <is>
          <t>A 46156-2019</t>
        </is>
      </c>
      <c r="B269" s="1" t="n">
        <v>43718</v>
      </c>
      <c r="C269" s="1" t="n">
        <v>45691</v>
      </c>
      <c r="D269" t="inlineStr">
        <is>
          <t>JÄMTLANDS LÄN</t>
        </is>
      </c>
      <c r="E269" t="inlineStr">
        <is>
          <t>HÄRJEDALEN</t>
        </is>
      </c>
      <c r="G269" t="n">
        <v>3.9</v>
      </c>
      <c r="H269" t="n">
        <v>0</v>
      </c>
      <c r="I269" t="n">
        <v>0</v>
      </c>
      <c r="J269" t="n">
        <v>0</v>
      </c>
      <c r="K269" t="n">
        <v>0</v>
      </c>
      <c r="L269" t="n">
        <v>0</v>
      </c>
      <c r="M269" t="n">
        <v>0</v>
      </c>
      <c r="N269" t="n">
        <v>0</v>
      </c>
      <c r="O269" t="n">
        <v>0</v>
      </c>
      <c r="P269" t="n">
        <v>0</v>
      </c>
      <c r="Q269" t="n">
        <v>0</v>
      </c>
      <c r="R269" s="2" t="inlineStr"/>
    </row>
    <row r="270" ht="15" customHeight="1">
      <c r="A270" t="inlineStr">
        <is>
          <t>A 46133-2019</t>
        </is>
      </c>
      <c r="B270" s="1" t="n">
        <v>43718</v>
      </c>
      <c r="C270" s="1" t="n">
        <v>45691</v>
      </c>
      <c r="D270" t="inlineStr">
        <is>
          <t>JÄMTLANDS LÄN</t>
        </is>
      </c>
      <c r="E270" t="inlineStr">
        <is>
          <t>HÄRJEDALEN</t>
        </is>
      </c>
      <c r="G270" t="n">
        <v>17.6</v>
      </c>
      <c r="H270" t="n">
        <v>0</v>
      </c>
      <c r="I270" t="n">
        <v>0</v>
      </c>
      <c r="J270" t="n">
        <v>0</v>
      </c>
      <c r="K270" t="n">
        <v>0</v>
      </c>
      <c r="L270" t="n">
        <v>0</v>
      </c>
      <c r="M270" t="n">
        <v>0</v>
      </c>
      <c r="N270" t="n">
        <v>0</v>
      </c>
      <c r="O270" t="n">
        <v>0</v>
      </c>
      <c r="P270" t="n">
        <v>0</v>
      </c>
      <c r="Q270" t="n">
        <v>0</v>
      </c>
      <c r="R270" s="2" t="inlineStr"/>
    </row>
    <row r="271" ht="15" customHeight="1">
      <c r="A271" t="inlineStr">
        <is>
          <t>A 46163-2019</t>
        </is>
      </c>
      <c r="B271" s="1" t="n">
        <v>43718</v>
      </c>
      <c r="C271" s="1" t="n">
        <v>45691</v>
      </c>
      <c r="D271" t="inlineStr">
        <is>
          <t>JÄMTLANDS LÄN</t>
        </is>
      </c>
      <c r="E271" t="inlineStr">
        <is>
          <t>HÄRJEDALEN</t>
        </is>
      </c>
      <c r="G271" t="n">
        <v>28.9</v>
      </c>
      <c r="H271" t="n">
        <v>0</v>
      </c>
      <c r="I271" t="n">
        <v>0</v>
      </c>
      <c r="J271" t="n">
        <v>0</v>
      </c>
      <c r="K271" t="n">
        <v>0</v>
      </c>
      <c r="L271" t="n">
        <v>0</v>
      </c>
      <c r="M271" t="n">
        <v>0</v>
      </c>
      <c r="N271" t="n">
        <v>0</v>
      </c>
      <c r="O271" t="n">
        <v>0</v>
      </c>
      <c r="P271" t="n">
        <v>0</v>
      </c>
      <c r="Q271" t="n">
        <v>0</v>
      </c>
      <c r="R271" s="2" t="inlineStr"/>
    </row>
    <row r="272" ht="15" customHeight="1">
      <c r="A272" t="inlineStr">
        <is>
          <t>A 47004-2019</t>
        </is>
      </c>
      <c r="B272" s="1" t="n">
        <v>43720</v>
      </c>
      <c r="C272" s="1" t="n">
        <v>45691</v>
      </c>
      <c r="D272" t="inlineStr">
        <is>
          <t>JÄMTLANDS LÄN</t>
        </is>
      </c>
      <c r="E272" t="inlineStr">
        <is>
          <t>HÄRJEDALEN</t>
        </is>
      </c>
      <c r="F272" t="inlineStr">
        <is>
          <t>Bergvik skog väst AB</t>
        </is>
      </c>
      <c r="G272" t="n">
        <v>13.7</v>
      </c>
      <c r="H272" t="n">
        <v>0</v>
      </c>
      <c r="I272" t="n">
        <v>0</v>
      </c>
      <c r="J272" t="n">
        <v>0</v>
      </c>
      <c r="K272" t="n">
        <v>0</v>
      </c>
      <c r="L272" t="n">
        <v>0</v>
      </c>
      <c r="M272" t="n">
        <v>0</v>
      </c>
      <c r="N272" t="n">
        <v>0</v>
      </c>
      <c r="O272" t="n">
        <v>0</v>
      </c>
      <c r="P272" t="n">
        <v>0</v>
      </c>
      <c r="Q272" t="n">
        <v>0</v>
      </c>
      <c r="R272" s="2" t="inlineStr"/>
    </row>
    <row r="273" ht="15" customHeight="1">
      <c r="A273" t="inlineStr">
        <is>
          <t>A 49328-2019</t>
        </is>
      </c>
      <c r="B273" s="1" t="n">
        <v>43731</v>
      </c>
      <c r="C273" s="1" t="n">
        <v>45691</v>
      </c>
      <c r="D273" t="inlineStr">
        <is>
          <t>JÄMTLANDS LÄN</t>
        </is>
      </c>
      <c r="E273" t="inlineStr">
        <is>
          <t>HÄRJEDALEN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49336-2019</t>
        </is>
      </c>
      <c r="B274" s="1" t="n">
        <v>43731</v>
      </c>
      <c r="C274" s="1" t="n">
        <v>45691</v>
      </c>
      <c r="D274" t="inlineStr">
        <is>
          <t>JÄMTLANDS LÄN</t>
        </is>
      </c>
      <c r="E274" t="inlineStr">
        <is>
          <t>HÄRJEDALEN</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50310-2019</t>
        </is>
      </c>
      <c r="B275" s="1" t="n">
        <v>43735</v>
      </c>
      <c r="C275" s="1" t="n">
        <v>45691</v>
      </c>
      <c r="D275" t="inlineStr">
        <is>
          <t>JÄMTLANDS LÄN</t>
        </is>
      </c>
      <c r="E275" t="inlineStr">
        <is>
          <t>HÄRJEDALEN</t>
        </is>
      </c>
      <c r="G275" t="n">
        <v>9.1</v>
      </c>
      <c r="H275" t="n">
        <v>0</v>
      </c>
      <c r="I275" t="n">
        <v>0</v>
      </c>
      <c r="J275" t="n">
        <v>0</v>
      </c>
      <c r="K275" t="n">
        <v>0</v>
      </c>
      <c r="L275" t="n">
        <v>0</v>
      </c>
      <c r="M275" t="n">
        <v>0</v>
      </c>
      <c r="N275" t="n">
        <v>0</v>
      </c>
      <c r="O275" t="n">
        <v>0</v>
      </c>
      <c r="P275" t="n">
        <v>0</v>
      </c>
      <c r="Q275" t="n">
        <v>0</v>
      </c>
      <c r="R275" s="2" t="inlineStr"/>
    </row>
    <row r="276" ht="15" customHeight="1">
      <c r="A276" t="inlineStr">
        <is>
          <t>A 50411-2019</t>
        </is>
      </c>
      <c r="B276" s="1" t="n">
        <v>43735</v>
      </c>
      <c r="C276" s="1" t="n">
        <v>45691</v>
      </c>
      <c r="D276" t="inlineStr">
        <is>
          <t>JÄMTLANDS LÄN</t>
        </is>
      </c>
      <c r="E276" t="inlineStr">
        <is>
          <t>HÄRJEDALEN</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50519-2019</t>
        </is>
      </c>
      <c r="B277" s="1" t="n">
        <v>43735</v>
      </c>
      <c r="C277" s="1" t="n">
        <v>45691</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50624-2019</t>
        </is>
      </c>
      <c r="B278" s="1" t="n">
        <v>43736</v>
      </c>
      <c r="C278" s="1" t="n">
        <v>45691</v>
      </c>
      <c r="D278" t="inlineStr">
        <is>
          <t>JÄMTLANDS LÄN</t>
        </is>
      </c>
      <c r="E278" t="inlineStr">
        <is>
          <t>HÄRJEDALEN</t>
        </is>
      </c>
      <c r="G278" t="n">
        <v>2.4</v>
      </c>
      <c r="H278" t="n">
        <v>0</v>
      </c>
      <c r="I278" t="n">
        <v>0</v>
      </c>
      <c r="J278" t="n">
        <v>0</v>
      </c>
      <c r="K278" t="n">
        <v>0</v>
      </c>
      <c r="L278" t="n">
        <v>0</v>
      </c>
      <c r="M278" t="n">
        <v>0</v>
      </c>
      <c r="N278" t="n">
        <v>0</v>
      </c>
      <c r="O278" t="n">
        <v>0</v>
      </c>
      <c r="P278" t="n">
        <v>0</v>
      </c>
      <c r="Q278" t="n">
        <v>0</v>
      </c>
      <c r="R278" s="2" t="inlineStr"/>
    </row>
    <row r="279" ht="15" customHeight="1">
      <c r="A279" t="inlineStr">
        <is>
          <t>A 51108-2019</t>
        </is>
      </c>
      <c r="B279" s="1" t="n">
        <v>43739</v>
      </c>
      <c r="C279" s="1" t="n">
        <v>45691</v>
      </c>
      <c r="D279" t="inlineStr">
        <is>
          <t>JÄMTLANDS LÄN</t>
        </is>
      </c>
      <c r="E279" t="inlineStr">
        <is>
          <t>HÄRJEDALEN</t>
        </is>
      </c>
      <c r="G279" t="n">
        <v>4.2</v>
      </c>
      <c r="H279" t="n">
        <v>0</v>
      </c>
      <c r="I279" t="n">
        <v>0</v>
      </c>
      <c r="J279" t="n">
        <v>0</v>
      </c>
      <c r="K279" t="n">
        <v>0</v>
      </c>
      <c r="L279" t="n">
        <v>0</v>
      </c>
      <c r="M279" t="n">
        <v>0</v>
      </c>
      <c r="N279" t="n">
        <v>0</v>
      </c>
      <c r="O279" t="n">
        <v>0</v>
      </c>
      <c r="P279" t="n">
        <v>0</v>
      </c>
      <c r="Q279" t="n">
        <v>0</v>
      </c>
      <c r="R279" s="2" t="inlineStr"/>
    </row>
    <row r="280" ht="15" customHeight="1">
      <c r="A280" t="inlineStr">
        <is>
          <t>A 51118-2019</t>
        </is>
      </c>
      <c r="B280" s="1" t="n">
        <v>43739</v>
      </c>
      <c r="C280" s="1" t="n">
        <v>45691</v>
      </c>
      <c r="D280" t="inlineStr">
        <is>
          <t>JÄMTLANDS LÄN</t>
        </is>
      </c>
      <c r="E280" t="inlineStr">
        <is>
          <t>HÄRJEDALEN</t>
        </is>
      </c>
      <c r="G280" t="n">
        <v>12.5</v>
      </c>
      <c r="H280" t="n">
        <v>0</v>
      </c>
      <c r="I280" t="n">
        <v>0</v>
      </c>
      <c r="J280" t="n">
        <v>0</v>
      </c>
      <c r="K280" t="n">
        <v>0</v>
      </c>
      <c r="L280" t="n">
        <v>0</v>
      </c>
      <c r="M280" t="n">
        <v>0</v>
      </c>
      <c r="N280" t="n">
        <v>0</v>
      </c>
      <c r="O280" t="n">
        <v>0</v>
      </c>
      <c r="P280" t="n">
        <v>0</v>
      </c>
      <c r="Q280" t="n">
        <v>0</v>
      </c>
      <c r="R280" s="2" t="inlineStr"/>
    </row>
    <row r="281" ht="15" customHeight="1">
      <c r="A281" t="inlineStr">
        <is>
          <t>A 51123-2019</t>
        </is>
      </c>
      <c r="B281" s="1" t="n">
        <v>43739</v>
      </c>
      <c r="C281" s="1" t="n">
        <v>45691</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51105-2019</t>
        </is>
      </c>
      <c r="B282" s="1" t="n">
        <v>43739</v>
      </c>
      <c r="C282" s="1" t="n">
        <v>45691</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51111-2019</t>
        </is>
      </c>
      <c r="B283" s="1" t="n">
        <v>43739</v>
      </c>
      <c r="C283" s="1" t="n">
        <v>45691</v>
      </c>
      <c r="D283" t="inlineStr">
        <is>
          <t>JÄMTLANDS LÄN</t>
        </is>
      </c>
      <c r="E283" t="inlineStr">
        <is>
          <t>HÄRJEDALEN</t>
        </is>
      </c>
      <c r="G283" t="n">
        <v>3.7</v>
      </c>
      <c r="H283" t="n">
        <v>0</v>
      </c>
      <c r="I283" t="n">
        <v>0</v>
      </c>
      <c r="J283" t="n">
        <v>0</v>
      </c>
      <c r="K283" t="n">
        <v>0</v>
      </c>
      <c r="L283" t="n">
        <v>0</v>
      </c>
      <c r="M283" t="n">
        <v>0</v>
      </c>
      <c r="N283" t="n">
        <v>0</v>
      </c>
      <c r="O283" t="n">
        <v>0</v>
      </c>
      <c r="P283" t="n">
        <v>0</v>
      </c>
      <c r="Q283" t="n">
        <v>0</v>
      </c>
      <c r="R283" s="2" t="inlineStr"/>
    </row>
    <row r="284" ht="15" customHeight="1">
      <c r="A284" t="inlineStr">
        <is>
          <t>A 52304-2019</t>
        </is>
      </c>
      <c r="B284" s="1" t="n">
        <v>43745</v>
      </c>
      <c r="C284" s="1" t="n">
        <v>45691</v>
      </c>
      <c r="D284" t="inlineStr">
        <is>
          <t>JÄMTLANDS LÄN</t>
        </is>
      </c>
      <c r="E284" t="inlineStr">
        <is>
          <t>HÄRJEDALEN</t>
        </is>
      </c>
      <c r="G284" t="n">
        <v>4.8</v>
      </c>
      <c r="H284" t="n">
        <v>0</v>
      </c>
      <c r="I284" t="n">
        <v>0</v>
      </c>
      <c r="J284" t="n">
        <v>0</v>
      </c>
      <c r="K284" t="n">
        <v>0</v>
      </c>
      <c r="L284" t="n">
        <v>0</v>
      </c>
      <c r="M284" t="n">
        <v>0</v>
      </c>
      <c r="N284" t="n">
        <v>0</v>
      </c>
      <c r="O284" t="n">
        <v>0</v>
      </c>
      <c r="P284" t="n">
        <v>0</v>
      </c>
      <c r="Q284" t="n">
        <v>0</v>
      </c>
      <c r="R284" s="2" t="inlineStr"/>
    </row>
    <row r="285" ht="15" customHeight="1">
      <c r="A285" t="inlineStr">
        <is>
          <t>A 52709-2019</t>
        </is>
      </c>
      <c r="B285" s="1" t="n">
        <v>43746</v>
      </c>
      <c r="C285" s="1" t="n">
        <v>45691</v>
      </c>
      <c r="D285" t="inlineStr">
        <is>
          <t>JÄMTLANDS LÄN</t>
        </is>
      </c>
      <c r="E285" t="inlineStr">
        <is>
          <t>HÄRJEDALEN</t>
        </is>
      </c>
      <c r="G285" t="n">
        <v>10.6</v>
      </c>
      <c r="H285" t="n">
        <v>0</v>
      </c>
      <c r="I285" t="n">
        <v>0</v>
      </c>
      <c r="J285" t="n">
        <v>0</v>
      </c>
      <c r="K285" t="n">
        <v>0</v>
      </c>
      <c r="L285" t="n">
        <v>0</v>
      </c>
      <c r="M285" t="n">
        <v>0</v>
      </c>
      <c r="N285" t="n">
        <v>0</v>
      </c>
      <c r="O285" t="n">
        <v>0</v>
      </c>
      <c r="P285" t="n">
        <v>0</v>
      </c>
      <c r="Q285" t="n">
        <v>0</v>
      </c>
      <c r="R285" s="2" t="inlineStr"/>
    </row>
    <row r="286" ht="15" customHeight="1">
      <c r="A286" t="inlineStr">
        <is>
          <t>A 52992-2019</t>
        </is>
      </c>
      <c r="B286" s="1" t="n">
        <v>43747</v>
      </c>
      <c r="C286" s="1" t="n">
        <v>45691</v>
      </c>
      <c r="D286" t="inlineStr">
        <is>
          <t>JÄMTLANDS LÄN</t>
        </is>
      </c>
      <c r="E286" t="inlineStr">
        <is>
          <t>HÄRJEDALEN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52991-2019</t>
        </is>
      </c>
      <c r="B287" s="1" t="n">
        <v>43747</v>
      </c>
      <c r="C287" s="1" t="n">
        <v>45691</v>
      </c>
      <c r="D287" t="inlineStr">
        <is>
          <t>JÄMTLANDS LÄN</t>
        </is>
      </c>
      <c r="E287" t="inlineStr">
        <is>
          <t>HÄRJEDALEN</t>
        </is>
      </c>
      <c r="F287" t="inlineStr">
        <is>
          <t>Sveaskog</t>
        </is>
      </c>
      <c r="G287" t="n">
        <v>13.6</v>
      </c>
      <c r="H287" t="n">
        <v>0</v>
      </c>
      <c r="I287" t="n">
        <v>0</v>
      </c>
      <c r="J287" t="n">
        <v>0</v>
      </c>
      <c r="K287" t="n">
        <v>0</v>
      </c>
      <c r="L287" t="n">
        <v>0</v>
      </c>
      <c r="M287" t="n">
        <v>0</v>
      </c>
      <c r="N287" t="n">
        <v>0</v>
      </c>
      <c r="O287" t="n">
        <v>0</v>
      </c>
      <c r="P287" t="n">
        <v>0</v>
      </c>
      <c r="Q287" t="n">
        <v>0</v>
      </c>
      <c r="R287" s="2" t="inlineStr"/>
    </row>
    <row r="288" ht="15" customHeight="1">
      <c r="A288" t="inlineStr">
        <is>
          <t>A 53418-2019</t>
        </is>
      </c>
      <c r="B288" s="1" t="n">
        <v>43748</v>
      </c>
      <c r="C288" s="1" t="n">
        <v>45691</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53952-2019</t>
        </is>
      </c>
      <c r="B289" s="1" t="n">
        <v>43752</v>
      </c>
      <c r="C289" s="1" t="n">
        <v>45691</v>
      </c>
      <c r="D289" t="inlineStr">
        <is>
          <t>JÄMTLANDS LÄN</t>
        </is>
      </c>
      <c r="E289" t="inlineStr">
        <is>
          <t>HÄRJEDALEN</t>
        </is>
      </c>
      <c r="G289" t="n">
        <v>8.6</v>
      </c>
      <c r="H289" t="n">
        <v>0</v>
      </c>
      <c r="I289" t="n">
        <v>0</v>
      </c>
      <c r="J289" t="n">
        <v>0</v>
      </c>
      <c r="K289" t="n">
        <v>0</v>
      </c>
      <c r="L289" t="n">
        <v>0</v>
      </c>
      <c r="M289" t="n">
        <v>0</v>
      </c>
      <c r="N289" t="n">
        <v>0</v>
      </c>
      <c r="O289" t="n">
        <v>0</v>
      </c>
      <c r="P289" t="n">
        <v>0</v>
      </c>
      <c r="Q289" t="n">
        <v>0</v>
      </c>
      <c r="R289" s="2" t="inlineStr"/>
    </row>
    <row r="290" ht="15" customHeight="1">
      <c r="A290" t="inlineStr">
        <is>
          <t>A 53962-2019</t>
        </is>
      </c>
      <c r="B290" s="1" t="n">
        <v>43752</v>
      </c>
      <c r="C290" s="1" t="n">
        <v>45691</v>
      </c>
      <c r="D290" t="inlineStr">
        <is>
          <t>JÄMTLANDS LÄN</t>
        </is>
      </c>
      <c r="E290" t="inlineStr">
        <is>
          <t>HÄRJEDALEN</t>
        </is>
      </c>
      <c r="G290" t="n">
        <v>19.4</v>
      </c>
      <c r="H290" t="n">
        <v>0</v>
      </c>
      <c r="I290" t="n">
        <v>0</v>
      </c>
      <c r="J290" t="n">
        <v>0</v>
      </c>
      <c r="K290" t="n">
        <v>0</v>
      </c>
      <c r="L290" t="n">
        <v>0</v>
      </c>
      <c r="M290" t="n">
        <v>0</v>
      </c>
      <c r="N290" t="n">
        <v>0</v>
      </c>
      <c r="O290" t="n">
        <v>0</v>
      </c>
      <c r="P290" t="n">
        <v>0</v>
      </c>
      <c r="Q290" t="n">
        <v>0</v>
      </c>
      <c r="R290" s="2" t="inlineStr"/>
    </row>
    <row r="291" ht="15" customHeight="1">
      <c r="A291" t="inlineStr">
        <is>
          <t>A 54905-2019</t>
        </is>
      </c>
      <c r="B291" s="1" t="n">
        <v>43755</v>
      </c>
      <c r="C291" s="1" t="n">
        <v>45691</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55197-2019</t>
        </is>
      </c>
      <c r="B292" s="1" t="n">
        <v>43756</v>
      </c>
      <c r="C292" s="1" t="n">
        <v>45691</v>
      </c>
      <c r="D292" t="inlineStr">
        <is>
          <t>JÄMTLANDS LÄN</t>
        </is>
      </c>
      <c r="E292" t="inlineStr">
        <is>
          <t>HÄRJEDALEN</t>
        </is>
      </c>
      <c r="F292" t="inlineStr">
        <is>
          <t>Sveaskog</t>
        </is>
      </c>
      <c r="G292" t="n">
        <v>9</v>
      </c>
      <c r="H292" t="n">
        <v>0</v>
      </c>
      <c r="I292" t="n">
        <v>0</v>
      </c>
      <c r="J292" t="n">
        <v>0</v>
      </c>
      <c r="K292" t="n">
        <v>0</v>
      </c>
      <c r="L292" t="n">
        <v>0</v>
      </c>
      <c r="M292" t="n">
        <v>0</v>
      </c>
      <c r="N292" t="n">
        <v>0</v>
      </c>
      <c r="O292" t="n">
        <v>0</v>
      </c>
      <c r="P292" t="n">
        <v>0</v>
      </c>
      <c r="Q292" t="n">
        <v>0</v>
      </c>
      <c r="R292" s="2" t="inlineStr"/>
    </row>
    <row r="293" ht="15" customHeight="1">
      <c r="A293" t="inlineStr">
        <is>
          <t>A 55241-2019</t>
        </is>
      </c>
      <c r="B293" s="1" t="n">
        <v>43756</v>
      </c>
      <c r="C293" s="1" t="n">
        <v>45691</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55193-2019</t>
        </is>
      </c>
      <c r="B294" s="1" t="n">
        <v>43756</v>
      </c>
      <c r="C294" s="1" t="n">
        <v>45691</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55238-2019</t>
        </is>
      </c>
      <c r="B295" s="1" t="n">
        <v>43756</v>
      </c>
      <c r="C295" s="1" t="n">
        <v>45691</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55801-2019</t>
        </is>
      </c>
      <c r="B296" s="1" t="n">
        <v>43759</v>
      </c>
      <c r="C296" s="1" t="n">
        <v>45691</v>
      </c>
      <c r="D296" t="inlineStr">
        <is>
          <t>JÄMTLANDS LÄN</t>
        </is>
      </c>
      <c r="E296" t="inlineStr">
        <is>
          <t>HÄRJEDALEN</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55554-2019</t>
        </is>
      </c>
      <c r="B297" s="1" t="n">
        <v>43759</v>
      </c>
      <c r="C297" s="1" t="n">
        <v>45691</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57281-2019</t>
        </is>
      </c>
      <c r="B298" s="1" t="n">
        <v>43759</v>
      </c>
      <c r="C298" s="1" t="n">
        <v>45691</v>
      </c>
      <c r="D298" t="inlineStr">
        <is>
          <t>JÄMTLANDS LÄN</t>
        </is>
      </c>
      <c r="E298" t="inlineStr">
        <is>
          <t>HÄRJEDALEN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55578-2019</t>
        </is>
      </c>
      <c r="B299" s="1" t="n">
        <v>43760</v>
      </c>
      <c r="C299" s="1" t="n">
        <v>45691</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55607-2019</t>
        </is>
      </c>
      <c r="B300" s="1" t="n">
        <v>43760</v>
      </c>
      <c r="C300" s="1" t="n">
        <v>45691</v>
      </c>
      <c r="D300" t="inlineStr">
        <is>
          <t>JÄMTLANDS LÄN</t>
        </is>
      </c>
      <c r="E300" t="inlineStr">
        <is>
          <t>HÄRJEDALEN</t>
        </is>
      </c>
      <c r="G300" t="n">
        <v>3.7</v>
      </c>
      <c r="H300" t="n">
        <v>0</v>
      </c>
      <c r="I300" t="n">
        <v>0</v>
      </c>
      <c r="J300" t="n">
        <v>0</v>
      </c>
      <c r="K300" t="n">
        <v>0</v>
      </c>
      <c r="L300" t="n">
        <v>0</v>
      </c>
      <c r="M300" t="n">
        <v>0</v>
      </c>
      <c r="N300" t="n">
        <v>0</v>
      </c>
      <c r="O300" t="n">
        <v>0</v>
      </c>
      <c r="P300" t="n">
        <v>0</v>
      </c>
      <c r="Q300" t="n">
        <v>0</v>
      </c>
      <c r="R300" s="2" t="inlineStr"/>
    </row>
    <row r="301" ht="15" customHeight="1">
      <c r="A301" t="inlineStr">
        <is>
          <t>A 56217-2019</t>
        </is>
      </c>
      <c r="B301" s="1" t="n">
        <v>43762</v>
      </c>
      <c r="C301" s="1" t="n">
        <v>45691</v>
      </c>
      <c r="D301" t="inlineStr">
        <is>
          <t>JÄMTLANDS LÄN</t>
        </is>
      </c>
      <c r="E301" t="inlineStr">
        <is>
          <t>HÄRJEDALEN</t>
        </is>
      </c>
      <c r="G301" t="n">
        <v>43.2</v>
      </c>
      <c r="H301" t="n">
        <v>0</v>
      </c>
      <c r="I301" t="n">
        <v>0</v>
      </c>
      <c r="J301" t="n">
        <v>0</v>
      </c>
      <c r="K301" t="n">
        <v>0</v>
      </c>
      <c r="L301" t="n">
        <v>0</v>
      </c>
      <c r="M301" t="n">
        <v>0</v>
      </c>
      <c r="N301" t="n">
        <v>0</v>
      </c>
      <c r="O301" t="n">
        <v>0</v>
      </c>
      <c r="P301" t="n">
        <v>0</v>
      </c>
      <c r="Q301" t="n">
        <v>0</v>
      </c>
      <c r="R301" s="2" t="inlineStr"/>
    </row>
    <row r="302" ht="15" customHeight="1">
      <c r="A302" t="inlineStr">
        <is>
          <t>A 58175-2019</t>
        </is>
      </c>
      <c r="B302" s="1" t="n">
        <v>43769</v>
      </c>
      <c r="C302" s="1" t="n">
        <v>45691</v>
      </c>
      <c r="D302" t="inlineStr">
        <is>
          <t>JÄMTLANDS LÄN</t>
        </is>
      </c>
      <c r="E302" t="inlineStr">
        <is>
          <t>HÄRJEDALEN</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59347-2019</t>
        </is>
      </c>
      <c r="B303" s="1" t="n">
        <v>43770</v>
      </c>
      <c r="C303" s="1" t="n">
        <v>45691</v>
      </c>
      <c r="D303" t="inlineStr">
        <is>
          <t>JÄMTLANDS LÄN</t>
        </is>
      </c>
      <c r="E303" t="inlineStr">
        <is>
          <t>HÄRJEDALEN</t>
        </is>
      </c>
      <c r="G303" t="n">
        <v>2.3</v>
      </c>
      <c r="H303" t="n">
        <v>0</v>
      </c>
      <c r="I303" t="n">
        <v>0</v>
      </c>
      <c r="J303" t="n">
        <v>0</v>
      </c>
      <c r="K303" t="n">
        <v>0</v>
      </c>
      <c r="L303" t="n">
        <v>0</v>
      </c>
      <c r="M303" t="n">
        <v>0</v>
      </c>
      <c r="N303" t="n">
        <v>0</v>
      </c>
      <c r="O303" t="n">
        <v>0</v>
      </c>
      <c r="P303" t="n">
        <v>0</v>
      </c>
      <c r="Q303" t="n">
        <v>0</v>
      </c>
      <c r="R303" s="2" t="inlineStr"/>
    </row>
    <row r="304" ht="15" customHeight="1">
      <c r="A304" t="inlineStr">
        <is>
          <t>A 58742-2019</t>
        </is>
      </c>
      <c r="B304" s="1" t="n">
        <v>43773</v>
      </c>
      <c r="C304" s="1" t="n">
        <v>45691</v>
      </c>
      <c r="D304" t="inlineStr">
        <is>
          <t>JÄMTLANDS LÄN</t>
        </is>
      </c>
      <c r="E304" t="inlineStr">
        <is>
          <t>HÄRJEDALEN</t>
        </is>
      </c>
      <c r="G304" t="n">
        <v>4</v>
      </c>
      <c r="H304" t="n">
        <v>0</v>
      </c>
      <c r="I304" t="n">
        <v>0</v>
      </c>
      <c r="J304" t="n">
        <v>0</v>
      </c>
      <c r="K304" t="n">
        <v>0</v>
      </c>
      <c r="L304" t="n">
        <v>0</v>
      </c>
      <c r="M304" t="n">
        <v>0</v>
      </c>
      <c r="N304" t="n">
        <v>0</v>
      </c>
      <c r="O304" t="n">
        <v>0</v>
      </c>
      <c r="P304" t="n">
        <v>0</v>
      </c>
      <c r="Q304" t="n">
        <v>0</v>
      </c>
      <c r="R304" s="2" t="inlineStr"/>
    </row>
    <row r="305" ht="15" customHeight="1">
      <c r="A305" t="inlineStr">
        <is>
          <t>A 59984-2019</t>
        </is>
      </c>
      <c r="B305" s="1" t="n">
        <v>43775</v>
      </c>
      <c r="C305" s="1" t="n">
        <v>45691</v>
      </c>
      <c r="D305" t="inlineStr">
        <is>
          <t>JÄMTLANDS LÄN</t>
        </is>
      </c>
      <c r="E305" t="inlineStr">
        <is>
          <t>HÄRJEDALEN</t>
        </is>
      </c>
      <c r="G305" t="n">
        <v>20.4</v>
      </c>
      <c r="H305" t="n">
        <v>0</v>
      </c>
      <c r="I305" t="n">
        <v>0</v>
      </c>
      <c r="J305" t="n">
        <v>0</v>
      </c>
      <c r="K305" t="n">
        <v>0</v>
      </c>
      <c r="L305" t="n">
        <v>0</v>
      </c>
      <c r="M305" t="n">
        <v>0</v>
      </c>
      <c r="N305" t="n">
        <v>0</v>
      </c>
      <c r="O305" t="n">
        <v>0</v>
      </c>
      <c r="P305" t="n">
        <v>0</v>
      </c>
      <c r="Q305" t="n">
        <v>0</v>
      </c>
      <c r="R305" s="2" t="inlineStr"/>
    </row>
    <row r="306" ht="15" customHeight="1">
      <c r="A306" t="inlineStr">
        <is>
          <t>A 59733-2019</t>
        </is>
      </c>
      <c r="B306" s="1" t="n">
        <v>43776</v>
      </c>
      <c r="C306" s="1" t="n">
        <v>45691</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60213-2019</t>
        </is>
      </c>
      <c r="B307" s="1" t="n">
        <v>43780</v>
      </c>
      <c r="C307" s="1" t="n">
        <v>45691</v>
      </c>
      <c r="D307" t="inlineStr">
        <is>
          <t>JÄMTLANDS LÄN</t>
        </is>
      </c>
      <c r="E307" t="inlineStr">
        <is>
          <t>HÄRJEDALEN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62342-2019</t>
        </is>
      </c>
      <c r="B308" s="1" t="n">
        <v>43782</v>
      </c>
      <c r="C308" s="1" t="n">
        <v>45691</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60919-2019</t>
        </is>
      </c>
      <c r="B309" s="1" t="n">
        <v>43782</v>
      </c>
      <c r="C309" s="1" t="n">
        <v>45691</v>
      </c>
      <c r="D309" t="inlineStr">
        <is>
          <t>JÄMTLANDS LÄN</t>
        </is>
      </c>
      <c r="E309" t="inlineStr">
        <is>
          <t>HÄRJEDALEN</t>
        </is>
      </c>
      <c r="G309" t="n">
        <v>6.4</v>
      </c>
      <c r="H309" t="n">
        <v>0</v>
      </c>
      <c r="I309" t="n">
        <v>0</v>
      </c>
      <c r="J309" t="n">
        <v>0</v>
      </c>
      <c r="K309" t="n">
        <v>0</v>
      </c>
      <c r="L309" t="n">
        <v>0</v>
      </c>
      <c r="M309" t="n">
        <v>0</v>
      </c>
      <c r="N309" t="n">
        <v>0</v>
      </c>
      <c r="O309" t="n">
        <v>0</v>
      </c>
      <c r="P309" t="n">
        <v>0</v>
      </c>
      <c r="Q309" t="n">
        <v>0</v>
      </c>
      <c r="R309" s="2" t="inlineStr"/>
    </row>
    <row r="310" ht="15" customHeight="1">
      <c r="A310" t="inlineStr">
        <is>
          <t>A 62115-2019</t>
        </is>
      </c>
      <c r="B310" s="1" t="n">
        <v>43787</v>
      </c>
      <c r="C310" s="1" t="n">
        <v>45691</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62451-2019</t>
        </is>
      </c>
      <c r="B311" s="1" t="n">
        <v>43788</v>
      </c>
      <c r="C311" s="1" t="n">
        <v>45691</v>
      </c>
      <c r="D311" t="inlineStr">
        <is>
          <t>JÄMTLANDS LÄN</t>
        </is>
      </c>
      <c r="E311" t="inlineStr">
        <is>
          <t>HÄRJEDALEN</t>
        </is>
      </c>
      <c r="F311" t="inlineStr">
        <is>
          <t>Bergvik skog väst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62971-2019</t>
        </is>
      </c>
      <c r="B312" s="1" t="n">
        <v>43790</v>
      </c>
      <c r="C312" s="1" t="n">
        <v>45691</v>
      </c>
      <c r="D312" t="inlineStr">
        <is>
          <t>JÄMTLANDS LÄN</t>
        </is>
      </c>
      <c r="E312" t="inlineStr">
        <is>
          <t>HÄRJEDALEN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64417-2019</t>
        </is>
      </c>
      <c r="B313" s="1" t="n">
        <v>43794</v>
      </c>
      <c r="C313" s="1" t="n">
        <v>45691</v>
      </c>
      <c r="D313" t="inlineStr">
        <is>
          <t>JÄMTLANDS LÄN</t>
        </is>
      </c>
      <c r="E313" t="inlineStr">
        <is>
          <t>HÄRJEDALEN</t>
        </is>
      </c>
      <c r="G313" t="n">
        <v>6.9</v>
      </c>
      <c r="H313" t="n">
        <v>0</v>
      </c>
      <c r="I313" t="n">
        <v>0</v>
      </c>
      <c r="J313" t="n">
        <v>0</v>
      </c>
      <c r="K313" t="n">
        <v>0</v>
      </c>
      <c r="L313" t="n">
        <v>0</v>
      </c>
      <c r="M313" t="n">
        <v>0</v>
      </c>
      <c r="N313" t="n">
        <v>0</v>
      </c>
      <c r="O313" t="n">
        <v>0</v>
      </c>
      <c r="P313" t="n">
        <v>0</v>
      </c>
      <c r="Q313" t="n">
        <v>0</v>
      </c>
      <c r="R313" s="2" t="inlineStr"/>
    </row>
    <row r="314" ht="15" customHeight="1">
      <c r="A314" t="inlineStr">
        <is>
          <t>A 64229-2019</t>
        </is>
      </c>
      <c r="B314" s="1" t="n">
        <v>43797</v>
      </c>
      <c r="C314" s="1" t="n">
        <v>45691</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64689-2019</t>
        </is>
      </c>
      <c r="B315" s="1" t="n">
        <v>43798</v>
      </c>
      <c r="C315" s="1" t="n">
        <v>45691</v>
      </c>
      <c r="D315" t="inlineStr">
        <is>
          <t>JÄMTLANDS LÄN</t>
        </is>
      </c>
      <c r="E315" t="inlineStr">
        <is>
          <t>HÄRJEDALEN</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65759-2019</t>
        </is>
      </c>
      <c r="B316" s="1" t="n">
        <v>43804</v>
      </c>
      <c r="C316" s="1" t="n">
        <v>45691</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66255-2019</t>
        </is>
      </c>
      <c r="B317" s="1" t="n">
        <v>43808</v>
      </c>
      <c r="C317" s="1" t="n">
        <v>45691</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66735-2019</t>
        </is>
      </c>
      <c r="B318" s="1" t="n">
        <v>43810</v>
      </c>
      <c r="C318" s="1" t="n">
        <v>45691</v>
      </c>
      <c r="D318" t="inlineStr">
        <is>
          <t>JÄMTLANDS LÄN</t>
        </is>
      </c>
      <c r="E318" t="inlineStr">
        <is>
          <t>HÄRJEDALEN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67619-2019</t>
        </is>
      </c>
      <c r="B319" s="1" t="n">
        <v>43815</v>
      </c>
      <c r="C319" s="1" t="n">
        <v>45691</v>
      </c>
      <c r="D319" t="inlineStr">
        <is>
          <t>JÄMTLANDS LÄN</t>
        </is>
      </c>
      <c r="E319" t="inlineStr">
        <is>
          <t>HÄRJEDALEN</t>
        </is>
      </c>
      <c r="F319" t="inlineStr">
        <is>
          <t>Holmen skog AB</t>
        </is>
      </c>
      <c r="G319" t="n">
        <v>6.4</v>
      </c>
      <c r="H319" t="n">
        <v>0</v>
      </c>
      <c r="I319" t="n">
        <v>0</v>
      </c>
      <c r="J319" t="n">
        <v>0</v>
      </c>
      <c r="K319" t="n">
        <v>0</v>
      </c>
      <c r="L319" t="n">
        <v>0</v>
      </c>
      <c r="M319" t="n">
        <v>0</v>
      </c>
      <c r="N319" t="n">
        <v>0</v>
      </c>
      <c r="O319" t="n">
        <v>0</v>
      </c>
      <c r="P319" t="n">
        <v>0</v>
      </c>
      <c r="Q319" t="n">
        <v>0</v>
      </c>
      <c r="R319" s="2" t="inlineStr"/>
    </row>
    <row r="320" ht="15" customHeight="1">
      <c r="A320" t="inlineStr">
        <is>
          <t>A 67693-2019</t>
        </is>
      </c>
      <c r="B320" s="1" t="n">
        <v>43815</v>
      </c>
      <c r="C320" s="1" t="n">
        <v>45691</v>
      </c>
      <c r="D320" t="inlineStr">
        <is>
          <t>JÄMTLANDS LÄN</t>
        </is>
      </c>
      <c r="E320" t="inlineStr">
        <is>
          <t>HÄRJEDALEN</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67500-2019</t>
        </is>
      </c>
      <c r="B321" s="1" t="n">
        <v>43815</v>
      </c>
      <c r="C321" s="1" t="n">
        <v>45691</v>
      </c>
      <c r="D321" t="inlineStr">
        <is>
          <t>JÄMTLANDS LÄN</t>
        </is>
      </c>
      <c r="E321" t="inlineStr">
        <is>
          <t>HÄRJEDALEN</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67695-2019</t>
        </is>
      </c>
      <c r="B322" s="1" t="n">
        <v>43815</v>
      </c>
      <c r="C322" s="1" t="n">
        <v>45691</v>
      </c>
      <c r="D322" t="inlineStr">
        <is>
          <t>JÄMTLANDS LÄN</t>
        </is>
      </c>
      <c r="E322" t="inlineStr">
        <is>
          <t>HÄRJEDALEN</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67757-2019</t>
        </is>
      </c>
      <c r="B323" s="1" t="n">
        <v>43815</v>
      </c>
      <c r="C323" s="1" t="n">
        <v>45691</v>
      </c>
      <c r="D323" t="inlineStr">
        <is>
          <t>JÄMTLANDS LÄN</t>
        </is>
      </c>
      <c r="E323" t="inlineStr">
        <is>
          <t>HÄRJEDALEN</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67688-2019</t>
        </is>
      </c>
      <c r="B324" s="1" t="n">
        <v>43815</v>
      </c>
      <c r="C324" s="1" t="n">
        <v>45691</v>
      </c>
      <c r="D324" t="inlineStr">
        <is>
          <t>JÄMTLANDS LÄN</t>
        </is>
      </c>
      <c r="E324" t="inlineStr">
        <is>
          <t>HÄRJEDALEN</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67738-2019</t>
        </is>
      </c>
      <c r="B325" s="1" t="n">
        <v>43815</v>
      </c>
      <c r="C325" s="1" t="n">
        <v>45691</v>
      </c>
      <c r="D325" t="inlineStr">
        <is>
          <t>JÄMTLANDS LÄN</t>
        </is>
      </c>
      <c r="E325" t="inlineStr">
        <is>
          <t>HÄRJEDALEN</t>
        </is>
      </c>
      <c r="F325" t="inlineStr">
        <is>
          <t>Holmen skog AB</t>
        </is>
      </c>
      <c r="G325" t="n">
        <v>15.9</v>
      </c>
      <c r="H325" t="n">
        <v>0</v>
      </c>
      <c r="I325" t="n">
        <v>0</v>
      </c>
      <c r="J325" t="n">
        <v>0</v>
      </c>
      <c r="K325" t="n">
        <v>0</v>
      </c>
      <c r="L325" t="n">
        <v>0</v>
      </c>
      <c r="M325" t="n">
        <v>0</v>
      </c>
      <c r="N325" t="n">
        <v>0</v>
      </c>
      <c r="O325" t="n">
        <v>0</v>
      </c>
      <c r="P325" t="n">
        <v>0</v>
      </c>
      <c r="Q325" t="n">
        <v>0</v>
      </c>
      <c r="R325" s="2" t="inlineStr"/>
    </row>
    <row r="326" ht="15" customHeight="1">
      <c r="A326" t="inlineStr">
        <is>
          <t>A 67506-2019</t>
        </is>
      </c>
      <c r="B326" s="1" t="n">
        <v>43815</v>
      </c>
      <c r="C326" s="1" t="n">
        <v>45691</v>
      </c>
      <c r="D326" t="inlineStr">
        <is>
          <t>JÄMTLANDS LÄN</t>
        </is>
      </c>
      <c r="E326" t="inlineStr">
        <is>
          <t>HÄRJEDALEN</t>
        </is>
      </c>
      <c r="F326" t="inlineStr">
        <is>
          <t>Holmen skog AB</t>
        </is>
      </c>
      <c r="G326" t="n">
        <v>27</v>
      </c>
      <c r="H326" t="n">
        <v>0</v>
      </c>
      <c r="I326" t="n">
        <v>0</v>
      </c>
      <c r="J326" t="n">
        <v>0</v>
      </c>
      <c r="K326" t="n">
        <v>0</v>
      </c>
      <c r="L326" t="n">
        <v>0</v>
      </c>
      <c r="M326" t="n">
        <v>0</v>
      </c>
      <c r="N326" t="n">
        <v>0</v>
      </c>
      <c r="O326" t="n">
        <v>0</v>
      </c>
      <c r="P326" t="n">
        <v>0</v>
      </c>
      <c r="Q326" t="n">
        <v>0</v>
      </c>
      <c r="R326" s="2" t="inlineStr"/>
    </row>
    <row r="327" ht="15" customHeight="1">
      <c r="A327" t="inlineStr">
        <is>
          <t>A 67692-2019</t>
        </is>
      </c>
      <c r="B327" s="1" t="n">
        <v>43815</v>
      </c>
      <c r="C327" s="1" t="n">
        <v>45691</v>
      </c>
      <c r="D327" t="inlineStr">
        <is>
          <t>JÄMTLANDS LÄN</t>
        </is>
      </c>
      <c r="E327" t="inlineStr">
        <is>
          <t>HÄRJEDALEN</t>
        </is>
      </c>
      <c r="F327" t="inlineStr">
        <is>
          <t>Holmen skog AB</t>
        </is>
      </c>
      <c r="G327" t="n">
        <v>12.9</v>
      </c>
      <c r="H327" t="n">
        <v>0</v>
      </c>
      <c r="I327" t="n">
        <v>0</v>
      </c>
      <c r="J327" t="n">
        <v>0</v>
      </c>
      <c r="K327" t="n">
        <v>0</v>
      </c>
      <c r="L327" t="n">
        <v>0</v>
      </c>
      <c r="M327" t="n">
        <v>0</v>
      </c>
      <c r="N327" t="n">
        <v>0</v>
      </c>
      <c r="O327" t="n">
        <v>0</v>
      </c>
      <c r="P327" t="n">
        <v>0</v>
      </c>
      <c r="Q327" t="n">
        <v>0</v>
      </c>
      <c r="R327" s="2" t="inlineStr"/>
    </row>
    <row r="328" ht="15" customHeight="1">
      <c r="A328" t="inlineStr">
        <is>
          <t>A 67733-2019</t>
        </is>
      </c>
      <c r="B328" s="1" t="n">
        <v>43815</v>
      </c>
      <c r="C328" s="1" t="n">
        <v>45691</v>
      </c>
      <c r="D328" t="inlineStr">
        <is>
          <t>JÄMTLANDS LÄN</t>
        </is>
      </c>
      <c r="E328" t="inlineStr">
        <is>
          <t>HÄRJEDALEN</t>
        </is>
      </c>
      <c r="F328" t="inlineStr">
        <is>
          <t>Holmen skog AB</t>
        </is>
      </c>
      <c r="G328" t="n">
        <v>15.5</v>
      </c>
      <c r="H328" t="n">
        <v>0</v>
      </c>
      <c r="I328" t="n">
        <v>0</v>
      </c>
      <c r="J328" t="n">
        <v>0</v>
      </c>
      <c r="K328" t="n">
        <v>0</v>
      </c>
      <c r="L328" t="n">
        <v>0</v>
      </c>
      <c r="M328" t="n">
        <v>0</v>
      </c>
      <c r="N328" t="n">
        <v>0</v>
      </c>
      <c r="O328" t="n">
        <v>0</v>
      </c>
      <c r="P328" t="n">
        <v>0</v>
      </c>
      <c r="Q328" t="n">
        <v>0</v>
      </c>
      <c r="R328" s="2" t="inlineStr"/>
    </row>
    <row r="329" ht="15" customHeight="1">
      <c r="A329" t="inlineStr">
        <is>
          <t>A 67593-2019</t>
        </is>
      </c>
      <c r="B329" s="1" t="n">
        <v>43815</v>
      </c>
      <c r="C329" s="1" t="n">
        <v>45691</v>
      </c>
      <c r="D329" t="inlineStr">
        <is>
          <t>JÄMTLANDS LÄN</t>
        </is>
      </c>
      <c r="E329" t="inlineStr">
        <is>
          <t>HÄRJEDALEN</t>
        </is>
      </c>
      <c r="F329" t="inlineStr">
        <is>
          <t>Holmen skog AB</t>
        </is>
      </c>
      <c r="G329" t="n">
        <v>7.9</v>
      </c>
      <c r="H329" t="n">
        <v>0</v>
      </c>
      <c r="I329" t="n">
        <v>0</v>
      </c>
      <c r="J329" t="n">
        <v>0</v>
      </c>
      <c r="K329" t="n">
        <v>0</v>
      </c>
      <c r="L329" t="n">
        <v>0</v>
      </c>
      <c r="M329" t="n">
        <v>0</v>
      </c>
      <c r="N329" t="n">
        <v>0</v>
      </c>
      <c r="O329" t="n">
        <v>0</v>
      </c>
      <c r="P329" t="n">
        <v>0</v>
      </c>
      <c r="Q329" t="n">
        <v>0</v>
      </c>
      <c r="R329" s="2" t="inlineStr"/>
    </row>
    <row r="330" ht="15" customHeight="1">
      <c r="A330" t="inlineStr">
        <is>
          <t>A 67535-2019</t>
        </is>
      </c>
      <c r="B330" s="1" t="n">
        <v>43815</v>
      </c>
      <c r="C330" s="1" t="n">
        <v>45691</v>
      </c>
      <c r="D330" t="inlineStr">
        <is>
          <t>JÄMTLANDS LÄN</t>
        </is>
      </c>
      <c r="E330" t="inlineStr">
        <is>
          <t>HÄRJEDALEN</t>
        </is>
      </c>
      <c r="F330" t="inlineStr">
        <is>
          <t>Holmen skog AB</t>
        </is>
      </c>
      <c r="G330" t="n">
        <v>34.3</v>
      </c>
      <c r="H330" t="n">
        <v>0</v>
      </c>
      <c r="I330" t="n">
        <v>0</v>
      </c>
      <c r="J330" t="n">
        <v>0</v>
      </c>
      <c r="K330" t="n">
        <v>0</v>
      </c>
      <c r="L330" t="n">
        <v>0</v>
      </c>
      <c r="M330" t="n">
        <v>0</v>
      </c>
      <c r="N330" t="n">
        <v>0</v>
      </c>
      <c r="O330" t="n">
        <v>0</v>
      </c>
      <c r="P330" t="n">
        <v>0</v>
      </c>
      <c r="Q330" t="n">
        <v>0</v>
      </c>
      <c r="R330" s="2" t="inlineStr"/>
    </row>
    <row r="331" ht="15" customHeight="1">
      <c r="A331" t="inlineStr">
        <is>
          <t>A 67972-2019</t>
        </is>
      </c>
      <c r="B331" s="1" t="n">
        <v>43816</v>
      </c>
      <c r="C331" s="1" t="n">
        <v>45691</v>
      </c>
      <c r="D331" t="inlineStr">
        <is>
          <t>JÄMTLANDS LÄN</t>
        </is>
      </c>
      <c r="E331" t="inlineStr">
        <is>
          <t>HÄRJEDALEN</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642-2020</t>
        </is>
      </c>
      <c r="B332" s="1" t="n">
        <v>43817</v>
      </c>
      <c r="C332" s="1" t="n">
        <v>45691</v>
      </c>
      <c r="D332" t="inlineStr">
        <is>
          <t>JÄMTLANDS LÄN</t>
        </is>
      </c>
      <c r="E332" t="inlineStr">
        <is>
          <t>HÄRJEDALEN</t>
        </is>
      </c>
      <c r="G332" t="n">
        <v>15.5</v>
      </c>
      <c r="H332" t="n">
        <v>0</v>
      </c>
      <c r="I332" t="n">
        <v>0</v>
      </c>
      <c r="J332" t="n">
        <v>0</v>
      </c>
      <c r="K332" t="n">
        <v>0</v>
      </c>
      <c r="L332" t="n">
        <v>0</v>
      </c>
      <c r="M332" t="n">
        <v>0</v>
      </c>
      <c r="N332" t="n">
        <v>0</v>
      </c>
      <c r="O332" t="n">
        <v>0</v>
      </c>
      <c r="P332" t="n">
        <v>0</v>
      </c>
      <c r="Q332" t="n">
        <v>0</v>
      </c>
      <c r="R332" s="2" t="inlineStr"/>
    </row>
    <row r="333" ht="15" customHeight="1">
      <c r="A333" t="inlineStr">
        <is>
          <t>A 159-2020</t>
        </is>
      </c>
      <c r="B333" s="1" t="n">
        <v>43833</v>
      </c>
      <c r="C333" s="1" t="n">
        <v>45691</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2320-2020</t>
        </is>
      </c>
      <c r="B334" s="1" t="n">
        <v>43846</v>
      </c>
      <c r="C334" s="1" t="n">
        <v>45691</v>
      </c>
      <c r="D334" t="inlineStr">
        <is>
          <t>JÄMTLANDS LÄN</t>
        </is>
      </c>
      <c r="E334" t="inlineStr">
        <is>
          <t>HÄRJEDALEN</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4663-2020</t>
        </is>
      </c>
      <c r="B335" s="1" t="n">
        <v>43858</v>
      </c>
      <c r="C335" s="1" t="n">
        <v>45691</v>
      </c>
      <c r="D335" t="inlineStr">
        <is>
          <t>JÄMTLANDS LÄN</t>
        </is>
      </c>
      <c r="E335" t="inlineStr">
        <is>
          <t>HÄRJEDALEN</t>
        </is>
      </c>
      <c r="G335" t="n">
        <v>10.2</v>
      </c>
      <c r="H335" t="n">
        <v>0</v>
      </c>
      <c r="I335" t="n">
        <v>0</v>
      </c>
      <c r="J335" t="n">
        <v>0</v>
      </c>
      <c r="K335" t="n">
        <v>0</v>
      </c>
      <c r="L335" t="n">
        <v>0</v>
      </c>
      <c r="M335" t="n">
        <v>0</v>
      </c>
      <c r="N335" t="n">
        <v>0</v>
      </c>
      <c r="O335" t="n">
        <v>0</v>
      </c>
      <c r="P335" t="n">
        <v>0</v>
      </c>
      <c r="Q335" t="n">
        <v>0</v>
      </c>
      <c r="R335" s="2" t="inlineStr"/>
    </row>
    <row r="336" ht="15" customHeight="1">
      <c r="A336" t="inlineStr">
        <is>
          <t>A 6719-2020</t>
        </is>
      </c>
      <c r="B336" s="1" t="n">
        <v>43866</v>
      </c>
      <c r="C336" s="1" t="n">
        <v>45691</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6715-2020</t>
        </is>
      </c>
      <c r="B337" s="1" t="n">
        <v>43866</v>
      </c>
      <c r="C337" s="1" t="n">
        <v>45691</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6675-2020</t>
        </is>
      </c>
      <c r="B338" s="1" t="n">
        <v>43866</v>
      </c>
      <c r="C338" s="1" t="n">
        <v>45691</v>
      </c>
      <c r="D338" t="inlineStr">
        <is>
          <t>JÄMTLANDS LÄN</t>
        </is>
      </c>
      <c r="E338" t="inlineStr">
        <is>
          <t>HÄRJEDALEN</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6584-2020</t>
        </is>
      </c>
      <c r="B339" s="1" t="n">
        <v>43867</v>
      </c>
      <c r="C339" s="1" t="n">
        <v>45691</v>
      </c>
      <c r="D339" t="inlineStr">
        <is>
          <t>JÄMTLANDS LÄN</t>
        </is>
      </c>
      <c r="E339" t="inlineStr">
        <is>
          <t>HÄRJEDALEN</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6903-2020</t>
        </is>
      </c>
      <c r="B340" s="1" t="n">
        <v>43867</v>
      </c>
      <c r="C340" s="1" t="n">
        <v>45691</v>
      </c>
      <c r="D340" t="inlineStr">
        <is>
          <t>JÄMTLANDS LÄN</t>
        </is>
      </c>
      <c r="E340" t="inlineStr">
        <is>
          <t>HÄRJEDALEN</t>
        </is>
      </c>
      <c r="G340" t="n">
        <v>10.5</v>
      </c>
      <c r="H340" t="n">
        <v>0</v>
      </c>
      <c r="I340" t="n">
        <v>0</v>
      </c>
      <c r="J340" t="n">
        <v>0</v>
      </c>
      <c r="K340" t="n">
        <v>0</v>
      </c>
      <c r="L340" t="n">
        <v>0</v>
      </c>
      <c r="M340" t="n">
        <v>0</v>
      </c>
      <c r="N340" t="n">
        <v>0</v>
      </c>
      <c r="O340" t="n">
        <v>0</v>
      </c>
      <c r="P340" t="n">
        <v>0</v>
      </c>
      <c r="Q340" t="n">
        <v>0</v>
      </c>
      <c r="R340" s="2" t="inlineStr"/>
    </row>
    <row r="341" ht="15" customHeight="1">
      <c r="A341" t="inlineStr">
        <is>
          <t>A 7184-2020</t>
        </is>
      </c>
      <c r="B341" s="1" t="n">
        <v>43871</v>
      </c>
      <c r="C341" s="1" t="n">
        <v>45691</v>
      </c>
      <c r="D341" t="inlineStr">
        <is>
          <t>JÄMTLANDS LÄN</t>
        </is>
      </c>
      <c r="E341" t="inlineStr">
        <is>
          <t>HÄRJEDALEN</t>
        </is>
      </c>
      <c r="G341" t="n">
        <v>41.4</v>
      </c>
      <c r="H341" t="n">
        <v>0</v>
      </c>
      <c r="I341" t="n">
        <v>0</v>
      </c>
      <c r="J341" t="n">
        <v>0</v>
      </c>
      <c r="K341" t="n">
        <v>0</v>
      </c>
      <c r="L341" t="n">
        <v>0</v>
      </c>
      <c r="M341" t="n">
        <v>0</v>
      </c>
      <c r="N341" t="n">
        <v>0</v>
      </c>
      <c r="O341" t="n">
        <v>0</v>
      </c>
      <c r="P341" t="n">
        <v>0</v>
      </c>
      <c r="Q341" t="n">
        <v>0</v>
      </c>
      <c r="R341" s="2" t="inlineStr"/>
    </row>
    <row r="342" ht="15" customHeight="1">
      <c r="A342" t="inlineStr">
        <is>
          <t>A 8111-2020</t>
        </is>
      </c>
      <c r="B342" s="1" t="n">
        <v>43874</v>
      </c>
      <c r="C342" s="1" t="n">
        <v>45691</v>
      </c>
      <c r="D342" t="inlineStr">
        <is>
          <t>JÄMTLANDS LÄN</t>
        </is>
      </c>
      <c r="E342" t="inlineStr">
        <is>
          <t>HÄRJEDALEN</t>
        </is>
      </c>
      <c r="G342" t="n">
        <v>15.4</v>
      </c>
      <c r="H342" t="n">
        <v>0</v>
      </c>
      <c r="I342" t="n">
        <v>0</v>
      </c>
      <c r="J342" t="n">
        <v>0</v>
      </c>
      <c r="K342" t="n">
        <v>0</v>
      </c>
      <c r="L342" t="n">
        <v>0</v>
      </c>
      <c r="M342" t="n">
        <v>0</v>
      </c>
      <c r="N342" t="n">
        <v>0</v>
      </c>
      <c r="O342" t="n">
        <v>0</v>
      </c>
      <c r="P342" t="n">
        <v>0</v>
      </c>
      <c r="Q342" t="n">
        <v>0</v>
      </c>
      <c r="R342" s="2" t="inlineStr"/>
    </row>
    <row r="343" ht="15" customHeight="1">
      <c r="A343" t="inlineStr">
        <is>
          <t>A 8762-2020</t>
        </is>
      </c>
      <c r="B343" s="1" t="n">
        <v>43875</v>
      </c>
      <c r="C343" s="1" t="n">
        <v>45691</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8908-2020</t>
        </is>
      </c>
      <c r="B344" s="1" t="n">
        <v>43878</v>
      </c>
      <c r="C344" s="1" t="n">
        <v>45691</v>
      </c>
      <c r="D344" t="inlineStr">
        <is>
          <t>JÄMTLANDS LÄN</t>
        </is>
      </c>
      <c r="E344" t="inlineStr">
        <is>
          <t>HÄRJEDALEN</t>
        </is>
      </c>
      <c r="G344" t="n">
        <v>18.1</v>
      </c>
      <c r="H344" t="n">
        <v>0</v>
      </c>
      <c r="I344" t="n">
        <v>0</v>
      </c>
      <c r="J344" t="n">
        <v>0</v>
      </c>
      <c r="K344" t="n">
        <v>0</v>
      </c>
      <c r="L344" t="n">
        <v>0</v>
      </c>
      <c r="M344" t="n">
        <v>0</v>
      </c>
      <c r="N344" t="n">
        <v>0</v>
      </c>
      <c r="O344" t="n">
        <v>0</v>
      </c>
      <c r="P344" t="n">
        <v>0</v>
      </c>
      <c r="Q344" t="n">
        <v>0</v>
      </c>
      <c r="R344" s="2" t="inlineStr"/>
    </row>
    <row r="345" ht="15" customHeight="1">
      <c r="A345" t="inlineStr">
        <is>
          <t>A 9034-2020</t>
        </is>
      </c>
      <c r="B345" s="1" t="n">
        <v>43879</v>
      </c>
      <c r="C345" s="1" t="n">
        <v>45691</v>
      </c>
      <c r="D345" t="inlineStr">
        <is>
          <t>JÄMTLANDS LÄN</t>
        </is>
      </c>
      <c r="E345" t="inlineStr">
        <is>
          <t>HÄRJEDALEN</t>
        </is>
      </c>
      <c r="G345" t="n">
        <v>0.7</v>
      </c>
      <c r="H345" t="n">
        <v>0</v>
      </c>
      <c r="I345" t="n">
        <v>0</v>
      </c>
      <c r="J345" t="n">
        <v>0</v>
      </c>
      <c r="K345" t="n">
        <v>0</v>
      </c>
      <c r="L345" t="n">
        <v>0</v>
      </c>
      <c r="M345" t="n">
        <v>0</v>
      </c>
      <c r="N345" t="n">
        <v>0</v>
      </c>
      <c r="O345" t="n">
        <v>0</v>
      </c>
      <c r="P345" t="n">
        <v>0</v>
      </c>
      <c r="Q345" t="n">
        <v>0</v>
      </c>
      <c r="R345" s="2" t="inlineStr"/>
    </row>
    <row r="346" ht="15" customHeight="1">
      <c r="A346" t="inlineStr">
        <is>
          <t>A 9591-2020</t>
        </is>
      </c>
      <c r="B346" s="1" t="n">
        <v>43881</v>
      </c>
      <c r="C346" s="1" t="n">
        <v>45691</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11731-2020</t>
        </is>
      </c>
      <c r="B347" s="1" t="n">
        <v>43894</v>
      </c>
      <c r="C347" s="1" t="n">
        <v>45691</v>
      </c>
      <c r="D347" t="inlineStr">
        <is>
          <t>JÄMTLANDS LÄN</t>
        </is>
      </c>
      <c r="E347" t="inlineStr">
        <is>
          <t>HÄRJEDALEN</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11816-2020</t>
        </is>
      </c>
      <c r="B348" s="1" t="n">
        <v>43894</v>
      </c>
      <c r="C348" s="1" t="n">
        <v>45691</v>
      </c>
      <c r="D348" t="inlineStr">
        <is>
          <t>JÄMTLANDS LÄN</t>
        </is>
      </c>
      <c r="E348" t="inlineStr">
        <is>
          <t>HÄRJEDALEN</t>
        </is>
      </c>
      <c r="F348" t="inlineStr">
        <is>
          <t>Holmen skog AB</t>
        </is>
      </c>
      <c r="G348" t="n">
        <v>20.4</v>
      </c>
      <c r="H348" t="n">
        <v>0</v>
      </c>
      <c r="I348" t="n">
        <v>0</v>
      </c>
      <c r="J348" t="n">
        <v>0</v>
      </c>
      <c r="K348" t="n">
        <v>0</v>
      </c>
      <c r="L348" t="n">
        <v>0</v>
      </c>
      <c r="M348" t="n">
        <v>0</v>
      </c>
      <c r="N348" t="n">
        <v>0</v>
      </c>
      <c r="O348" t="n">
        <v>0</v>
      </c>
      <c r="P348" t="n">
        <v>0</v>
      </c>
      <c r="Q348" t="n">
        <v>0</v>
      </c>
      <c r="R348" s="2" t="inlineStr"/>
    </row>
    <row r="349" ht="15" customHeight="1">
      <c r="A349" t="inlineStr">
        <is>
          <t>A 11818-2020</t>
        </is>
      </c>
      <c r="B349" s="1" t="n">
        <v>43894</v>
      </c>
      <c r="C349" s="1" t="n">
        <v>45691</v>
      </c>
      <c r="D349" t="inlineStr">
        <is>
          <t>JÄMTLANDS LÄN</t>
        </is>
      </c>
      <c r="E349" t="inlineStr">
        <is>
          <t>HÄRJEDALEN</t>
        </is>
      </c>
      <c r="F349" t="inlineStr">
        <is>
          <t>Holmen skog AB</t>
        </is>
      </c>
      <c r="G349" t="n">
        <v>6</v>
      </c>
      <c r="H349" t="n">
        <v>0</v>
      </c>
      <c r="I349" t="n">
        <v>0</v>
      </c>
      <c r="J349" t="n">
        <v>0</v>
      </c>
      <c r="K349" t="n">
        <v>0</v>
      </c>
      <c r="L349" t="n">
        <v>0</v>
      </c>
      <c r="M349" t="n">
        <v>0</v>
      </c>
      <c r="N349" t="n">
        <v>0</v>
      </c>
      <c r="O349" t="n">
        <v>0</v>
      </c>
      <c r="P349" t="n">
        <v>0</v>
      </c>
      <c r="Q349" t="n">
        <v>0</v>
      </c>
      <c r="R349" s="2" t="inlineStr"/>
    </row>
    <row r="350" ht="15" customHeight="1">
      <c r="A350" t="inlineStr">
        <is>
          <t>A 11885-2020</t>
        </is>
      </c>
      <c r="B350" s="1" t="n">
        <v>43894</v>
      </c>
      <c r="C350" s="1" t="n">
        <v>45691</v>
      </c>
      <c r="D350" t="inlineStr">
        <is>
          <t>JÄMTLANDS LÄN</t>
        </is>
      </c>
      <c r="E350" t="inlineStr">
        <is>
          <t>HÄRJEDALEN</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11828-2020</t>
        </is>
      </c>
      <c r="B351" s="1" t="n">
        <v>43894</v>
      </c>
      <c r="C351" s="1" t="n">
        <v>45691</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11905-2020</t>
        </is>
      </c>
      <c r="B352" s="1" t="n">
        <v>43894</v>
      </c>
      <c r="C352" s="1" t="n">
        <v>45691</v>
      </c>
      <c r="D352" t="inlineStr">
        <is>
          <t>JÄMTLANDS LÄN</t>
        </is>
      </c>
      <c r="E352" t="inlineStr">
        <is>
          <t>HÄRJEDALEN</t>
        </is>
      </c>
      <c r="F352" t="inlineStr">
        <is>
          <t>Holmen skog AB</t>
        </is>
      </c>
      <c r="G352" t="n">
        <v>10.3</v>
      </c>
      <c r="H352" t="n">
        <v>0</v>
      </c>
      <c r="I352" t="n">
        <v>0</v>
      </c>
      <c r="J352" t="n">
        <v>0</v>
      </c>
      <c r="K352" t="n">
        <v>0</v>
      </c>
      <c r="L352" t="n">
        <v>0</v>
      </c>
      <c r="M352" t="n">
        <v>0</v>
      </c>
      <c r="N352" t="n">
        <v>0</v>
      </c>
      <c r="O352" t="n">
        <v>0</v>
      </c>
      <c r="P352" t="n">
        <v>0</v>
      </c>
      <c r="Q352" t="n">
        <v>0</v>
      </c>
      <c r="R352" s="2" t="inlineStr"/>
    </row>
    <row r="353" ht="15" customHeight="1">
      <c r="A353" t="inlineStr">
        <is>
          <t>A 13604-2020</t>
        </is>
      </c>
      <c r="B353" s="1" t="n">
        <v>43895</v>
      </c>
      <c r="C353" s="1" t="n">
        <v>45691</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12398-2020</t>
        </is>
      </c>
      <c r="B354" s="1" t="n">
        <v>43896</v>
      </c>
      <c r="C354" s="1" t="n">
        <v>45691</v>
      </c>
      <c r="D354" t="inlineStr">
        <is>
          <t>JÄMTLANDS LÄN</t>
        </is>
      </c>
      <c r="E354" t="inlineStr">
        <is>
          <t>HÄRJEDALEN</t>
        </is>
      </c>
      <c r="G354" t="n">
        <v>12.3</v>
      </c>
      <c r="H354" t="n">
        <v>0</v>
      </c>
      <c r="I354" t="n">
        <v>0</v>
      </c>
      <c r="J354" t="n">
        <v>0</v>
      </c>
      <c r="K354" t="n">
        <v>0</v>
      </c>
      <c r="L354" t="n">
        <v>0</v>
      </c>
      <c r="M354" t="n">
        <v>0</v>
      </c>
      <c r="N354" t="n">
        <v>0</v>
      </c>
      <c r="O354" t="n">
        <v>0</v>
      </c>
      <c r="P354" t="n">
        <v>0</v>
      </c>
      <c r="Q354" t="n">
        <v>0</v>
      </c>
      <c r="R354" s="2" t="inlineStr"/>
    </row>
    <row r="355" ht="15" customHeight="1">
      <c r="A355" t="inlineStr">
        <is>
          <t>A 12410-2020</t>
        </is>
      </c>
      <c r="B355" s="1" t="n">
        <v>43896</v>
      </c>
      <c r="C355" s="1" t="n">
        <v>45691</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13588-2020</t>
        </is>
      </c>
      <c r="B356" s="1" t="n">
        <v>43896</v>
      </c>
      <c r="C356" s="1" t="n">
        <v>45691</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12898-2020</t>
        </is>
      </c>
      <c r="B357" s="1" t="n">
        <v>43900</v>
      </c>
      <c r="C357" s="1" t="n">
        <v>45691</v>
      </c>
      <c r="D357" t="inlineStr">
        <is>
          <t>JÄMTLANDS LÄN</t>
        </is>
      </c>
      <c r="E357" t="inlineStr">
        <is>
          <t>HÄRJEDALEN</t>
        </is>
      </c>
      <c r="G357" t="n">
        <v>2.6</v>
      </c>
      <c r="H357" t="n">
        <v>0</v>
      </c>
      <c r="I357" t="n">
        <v>0</v>
      </c>
      <c r="J357" t="n">
        <v>0</v>
      </c>
      <c r="K357" t="n">
        <v>0</v>
      </c>
      <c r="L357" t="n">
        <v>0</v>
      </c>
      <c r="M357" t="n">
        <v>0</v>
      </c>
      <c r="N357" t="n">
        <v>0</v>
      </c>
      <c r="O357" t="n">
        <v>0</v>
      </c>
      <c r="P357" t="n">
        <v>0</v>
      </c>
      <c r="Q357" t="n">
        <v>0</v>
      </c>
      <c r="R357" s="2" t="inlineStr"/>
    </row>
    <row r="358" ht="15" customHeight="1">
      <c r="A358" t="inlineStr">
        <is>
          <t>A 15020-2020</t>
        </is>
      </c>
      <c r="B358" s="1" t="n">
        <v>43907</v>
      </c>
      <c r="C358" s="1" t="n">
        <v>45691</v>
      </c>
      <c r="D358" t="inlineStr">
        <is>
          <t>JÄMTLANDS LÄN</t>
        </is>
      </c>
      <c r="E358" t="inlineStr">
        <is>
          <t>HÄRJEDALEN</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15576-2020</t>
        </is>
      </c>
      <c r="B359" s="1" t="n">
        <v>43914</v>
      </c>
      <c r="C359" s="1" t="n">
        <v>45691</v>
      </c>
      <c r="D359" t="inlineStr">
        <is>
          <t>JÄMTLANDS LÄN</t>
        </is>
      </c>
      <c r="E359" t="inlineStr">
        <is>
          <t>HÄRJEDALEN</t>
        </is>
      </c>
      <c r="F359" t="inlineStr">
        <is>
          <t>Kyrkan</t>
        </is>
      </c>
      <c r="G359" t="n">
        <v>8.1</v>
      </c>
      <c r="H359" t="n">
        <v>0</v>
      </c>
      <c r="I359" t="n">
        <v>0</v>
      </c>
      <c r="J359" t="n">
        <v>0</v>
      </c>
      <c r="K359" t="n">
        <v>0</v>
      </c>
      <c r="L359" t="n">
        <v>0</v>
      </c>
      <c r="M359" t="n">
        <v>0</v>
      </c>
      <c r="N359" t="n">
        <v>0</v>
      </c>
      <c r="O359" t="n">
        <v>0</v>
      </c>
      <c r="P359" t="n">
        <v>0</v>
      </c>
      <c r="Q359" t="n">
        <v>0</v>
      </c>
      <c r="R359" s="2" t="inlineStr"/>
    </row>
    <row r="360" ht="15" customHeight="1">
      <c r="A360" t="inlineStr">
        <is>
          <t>A 17515-2020</t>
        </is>
      </c>
      <c r="B360" s="1" t="n">
        <v>43920</v>
      </c>
      <c r="C360" s="1" t="n">
        <v>45691</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17024-2020</t>
        </is>
      </c>
      <c r="B361" s="1" t="n">
        <v>43921</v>
      </c>
      <c r="C361" s="1" t="n">
        <v>45691</v>
      </c>
      <c r="D361" t="inlineStr">
        <is>
          <t>JÄMTLANDS LÄN</t>
        </is>
      </c>
      <c r="E361" t="inlineStr">
        <is>
          <t>HÄRJEDALEN</t>
        </is>
      </c>
      <c r="G361" t="n">
        <v>0.8</v>
      </c>
      <c r="H361" t="n">
        <v>0</v>
      </c>
      <c r="I361" t="n">
        <v>0</v>
      </c>
      <c r="J361" t="n">
        <v>0</v>
      </c>
      <c r="K361" t="n">
        <v>0</v>
      </c>
      <c r="L361" t="n">
        <v>0</v>
      </c>
      <c r="M361" t="n">
        <v>0</v>
      </c>
      <c r="N361" t="n">
        <v>0</v>
      </c>
      <c r="O361" t="n">
        <v>0</v>
      </c>
      <c r="P361" t="n">
        <v>0</v>
      </c>
      <c r="Q361" t="n">
        <v>0</v>
      </c>
      <c r="R361" s="2" t="inlineStr"/>
    </row>
    <row r="362" ht="15" customHeight="1">
      <c r="A362" t="inlineStr">
        <is>
          <t>A 17676-2020</t>
        </is>
      </c>
      <c r="B362" s="1" t="n">
        <v>43924</v>
      </c>
      <c r="C362" s="1" t="n">
        <v>45691</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18038-2020</t>
        </is>
      </c>
      <c r="B363" s="1" t="n">
        <v>43927</v>
      </c>
      <c r="C363" s="1" t="n">
        <v>45691</v>
      </c>
      <c r="D363" t="inlineStr">
        <is>
          <t>JÄMTLANDS LÄN</t>
        </is>
      </c>
      <c r="E363" t="inlineStr">
        <is>
          <t>HÄRJEDALEN</t>
        </is>
      </c>
      <c r="G363" t="n">
        <v>13.5</v>
      </c>
      <c r="H363" t="n">
        <v>0</v>
      </c>
      <c r="I363" t="n">
        <v>0</v>
      </c>
      <c r="J363" t="n">
        <v>0</v>
      </c>
      <c r="K363" t="n">
        <v>0</v>
      </c>
      <c r="L363" t="n">
        <v>0</v>
      </c>
      <c r="M363" t="n">
        <v>0</v>
      </c>
      <c r="N363" t="n">
        <v>0</v>
      </c>
      <c r="O363" t="n">
        <v>0</v>
      </c>
      <c r="P363" t="n">
        <v>0</v>
      </c>
      <c r="Q363" t="n">
        <v>0</v>
      </c>
      <c r="R363" s="2" t="inlineStr"/>
    </row>
    <row r="364" ht="15" customHeight="1">
      <c r="A364" t="inlineStr">
        <is>
          <t>A 18761-2020</t>
        </is>
      </c>
      <c r="B364" s="1" t="n">
        <v>43930</v>
      </c>
      <c r="C364" s="1" t="n">
        <v>45691</v>
      </c>
      <c r="D364" t="inlineStr">
        <is>
          <t>JÄMTLANDS LÄN</t>
        </is>
      </c>
      <c r="E364" t="inlineStr">
        <is>
          <t>HÄRJEDALEN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18760-2020</t>
        </is>
      </c>
      <c r="B365" s="1" t="n">
        <v>43930</v>
      </c>
      <c r="C365" s="1" t="n">
        <v>45691</v>
      </c>
      <c r="D365" t="inlineStr">
        <is>
          <t>JÄMTLANDS LÄN</t>
        </is>
      </c>
      <c r="E365" t="inlineStr">
        <is>
          <t>HÄRJEDALEN</t>
        </is>
      </c>
      <c r="F365" t="inlineStr">
        <is>
          <t>Sveaskog</t>
        </is>
      </c>
      <c r="G365" t="n">
        <v>16.1</v>
      </c>
      <c r="H365" t="n">
        <v>0</v>
      </c>
      <c r="I365" t="n">
        <v>0</v>
      </c>
      <c r="J365" t="n">
        <v>0</v>
      </c>
      <c r="K365" t="n">
        <v>0</v>
      </c>
      <c r="L365" t="n">
        <v>0</v>
      </c>
      <c r="M365" t="n">
        <v>0</v>
      </c>
      <c r="N365" t="n">
        <v>0</v>
      </c>
      <c r="O365" t="n">
        <v>0</v>
      </c>
      <c r="P365" t="n">
        <v>0</v>
      </c>
      <c r="Q365" t="n">
        <v>0</v>
      </c>
      <c r="R365" s="2" t="inlineStr"/>
    </row>
    <row r="366" ht="15" customHeight="1">
      <c r="A366" t="inlineStr">
        <is>
          <t>A 18759-2020</t>
        </is>
      </c>
      <c r="B366" s="1" t="n">
        <v>43930</v>
      </c>
      <c r="C366" s="1" t="n">
        <v>45691</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18877-2020</t>
        </is>
      </c>
      <c r="B367" s="1" t="n">
        <v>43935</v>
      </c>
      <c r="C367" s="1" t="n">
        <v>45691</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18879-2020</t>
        </is>
      </c>
      <c r="B368" s="1" t="n">
        <v>43935</v>
      </c>
      <c r="C368" s="1" t="n">
        <v>45691</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19304-2020</t>
        </is>
      </c>
      <c r="B369" s="1" t="n">
        <v>43937</v>
      </c>
      <c r="C369" s="1" t="n">
        <v>45691</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19506-2020</t>
        </is>
      </c>
      <c r="B370" s="1" t="n">
        <v>43938</v>
      </c>
      <c r="C370" s="1" t="n">
        <v>45691</v>
      </c>
      <c r="D370" t="inlineStr">
        <is>
          <t>JÄMTLANDS LÄN</t>
        </is>
      </c>
      <c r="E370" t="inlineStr">
        <is>
          <t>HÄRJEDALEN</t>
        </is>
      </c>
      <c r="F370" t="inlineStr">
        <is>
          <t>Sveaskog</t>
        </is>
      </c>
      <c r="G370" t="n">
        <v>6.8</v>
      </c>
      <c r="H370" t="n">
        <v>0</v>
      </c>
      <c r="I370" t="n">
        <v>0</v>
      </c>
      <c r="J370" t="n">
        <v>0</v>
      </c>
      <c r="K370" t="n">
        <v>0</v>
      </c>
      <c r="L370" t="n">
        <v>0</v>
      </c>
      <c r="M370" t="n">
        <v>0</v>
      </c>
      <c r="N370" t="n">
        <v>0</v>
      </c>
      <c r="O370" t="n">
        <v>0</v>
      </c>
      <c r="P370" t="n">
        <v>0</v>
      </c>
      <c r="Q370" t="n">
        <v>0</v>
      </c>
      <c r="R370" s="2" t="inlineStr"/>
    </row>
    <row r="371" ht="15" customHeight="1">
      <c r="A371" t="inlineStr">
        <is>
          <t>A 20781-2020</t>
        </is>
      </c>
      <c r="B371" s="1" t="n">
        <v>43949</v>
      </c>
      <c r="C371" s="1" t="n">
        <v>45691</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21537-2020</t>
        </is>
      </c>
      <c r="B372" s="1" t="n">
        <v>43956</v>
      </c>
      <c r="C372" s="1" t="n">
        <v>45691</v>
      </c>
      <c r="D372" t="inlineStr">
        <is>
          <t>JÄMTLANDS LÄN</t>
        </is>
      </c>
      <c r="E372" t="inlineStr">
        <is>
          <t>HÄRJEDALEN</t>
        </is>
      </c>
      <c r="G372" t="n">
        <v>4.3</v>
      </c>
      <c r="H372" t="n">
        <v>0</v>
      </c>
      <c r="I372" t="n">
        <v>0</v>
      </c>
      <c r="J372" t="n">
        <v>0</v>
      </c>
      <c r="K372" t="n">
        <v>0</v>
      </c>
      <c r="L372" t="n">
        <v>0</v>
      </c>
      <c r="M372" t="n">
        <v>0</v>
      </c>
      <c r="N372" t="n">
        <v>0</v>
      </c>
      <c r="O372" t="n">
        <v>0</v>
      </c>
      <c r="P372" t="n">
        <v>0</v>
      </c>
      <c r="Q372" t="n">
        <v>0</v>
      </c>
      <c r="R372" s="2" t="inlineStr"/>
    </row>
    <row r="373" ht="15" customHeight="1">
      <c r="A373" t="inlineStr">
        <is>
          <t>A 23082-2020</t>
        </is>
      </c>
      <c r="B373" s="1" t="n">
        <v>43964</v>
      </c>
      <c r="C373" s="1" t="n">
        <v>45691</v>
      </c>
      <c r="D373" t="inlineStr">
        <is>
          <t>JÄMTLANDS LÄN</t>
        </is>
      </c>
      <c r="E373" t="inlineStr">
        <is>
          <t>HÄRJEDALEN</t>
        </is>
      </c>
      <c r="G373" t="n">
        <v>2.1</v>
      </c>
      <c r="H373" t="n">
        <v>0</v>
      </c>
      <c r="I373" t="n">
        <v>0</v>
      </c>
      <c r="J373" t="n">
        <v>0</v>
      </c>
      <c r="K373" t="n">
        <v>0</v>
      </c>
      <c r="L373" t="n">
        <v>0</v>
      </c>
      <c r="M373" t="n">
        <v>0</v>
      </c>
      <c r="N373" t="n">
        <v>0</v>
      </c>
      <c r="O373" t="n">
        <v>0</v>
      </c>
      <c r="P373" t="n">
        <v>0</v>
      </c>
      <c r="Q373" t="n">
        <v>0</v>
      </c>
      <c r="R373" s="2" t="inlineStr"/>
    </row>
    <row r="374" ht="15" customHeight="1">
      <c r="A374" t="inlineStr">
        <is>
          <t>A 23310-2020</t>
        </is>
      </c>
      <c r="B374" s="1" t="n">
        <v>43966</v>
      </c>
      <c r="C374" s="1" t="n">
        <v>45691</v>
      </c>
      <c r="D374" t="inlineStr">
        <is>
          <t>JÄMTLANDS LÄN</t>
        </is>
      </c>
      <c r="E374" t="inlineStr">
        <is>
          <t>HÄRJEDALEN</t>
        </is>
      </c>
      <c r="G374" t="n">
        <v>1.6</v>
      </c>
      <c r="H374" t="n">
        <v>0</v>
      </c>
      <c r="I374" t="n">
        <v>0</v>
      </c>
      <c r="J374" t="n">
        <v>0</v>
      </c>
      <c r="K374" t="n">
        <v>0</v>
      </c>
      <c r="L374" t="n">
        <v>0</v>
      </c>
      <c r="M374" t="n">
        <v>0</v>
      </c>
      <c r="N374" t="n">
        <v>0</v>
      </c>
      <c r="O374" t="n">
        <v>0</v>
      </c>
      <c r="P374" t="n">
        <v>0</v>
      </c>
      <c r="Q374" t="n">
        <v>0</v>
      </c>
      <c r="R374" s="2" t="inlineStr"/>
    </row>
    <row r="375" ht="15" customHeight="1">
      <c r="A375" t="inlineStr">
        <is>
          <t>A 23174-2020</t>
        </is>
      </c>
      <c r="B375" s="1" t="n">
        <v>43966</v>
      </c>
      <c r="C375" s="1" t="n">
        <v>45691</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23560-2020</t>
        </is>
      </c>
      <c r="B376" s="1" t="n">
        <v>43969</v>
      </c>
      <c r="C376" s="1" t="n">
        <v>45691</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24077-2020</t>
        </is>
      </c>
      <c r="B377" s="1" t="n">
        <v>43972</v>
      </c>
      <c r="C377" s="1" t="n">
        <v>45691</v>
      </c>
      <c r="D377" t="inlineStr">
        <is>
          <t>JÄMTLANDS LÄN</t>
        </is>
      </c>
      <c r="E377" t="inlineStr">
        <is>
          <t>HÄRJEDALEN</t>
        </is>
      </c>
      <c r="F377" t="inlineStr">
        <is>
          <t>Sveaskog</t>
        </is>
      </c>
      <c r="G377" t="n">
        <v>9.6</v>
      </c>
      <c r="H377" t="n">
        <v>0</v>
      </c>
      <c r="I377" t="n">
        <v>0</v>
      </c>
      <c r="J377" t="n">
        <v>0</v>
      </c>
      <c r="K377" t="n">
        <v>0</v>
      </c>
      <c r="L377" t="n">
        <v>0</v>
      </c>
      <c r="M377" t="n">
        <v>0</v>
      </c>
      <c r="N377" t="n">
        <v>0</v>
      </c>
      <c r="O377" t="n">
        <v>0</v>
      </c>
      <c r="P377" t="n">
        <v>0</v>
      </c>
      <c r="Q377" t="n">
        <v>0</v>
      </c>
      <c r="R377" s="2" t="inlineStr"/>
    </row>
    <row r="378" ht="15" customHeight="1">
      <c r="A378" t="inlineStr">
        <is>
          <t>A 24127-2020</t>
        </is>
      </c>
      <c r="B378" s="1" t="n">
        <v>43973</v>
      </c>
      <c r="C378" s="1" t="n">
        <v>45691</v>
      </c>
      <c r="D378" t="inlineStr">
        <is>
          <t>JÄMTLANDS LÄN</t>
        </is>
      </c>
      <c r="E378" t="inlineStr">
        <is>
          <t>HÄRJEDALEN</t>
        </is>
      </c>
      <c r="G378" t="n">
        <v>4.6</v>
      </c>
      <c r="H378" t="n">
        <v>0</v>
      </c>
      <c r="I378" t="n">
        <v>0</v>
      </c>
      <c r="J378" t="n">
        <v>0</v>
      </c>
      <c r="K378" t="n">
        <v>0</v>
      </c>
      <c r="L378" t="n">
        <v>0</v>
      </c>
      <c r="M378" t="n">
        <v>0</v>
      </c>
      <c r="N378" t="n">
        <v>0</v>
      </c>
      <c r="O378" t="n">
        <v>0</v>
      </c>
      <c r="P378" t="n">
        <v>0</v>
      </c>
      <c r="Q378" t="n">
        <v>0</v>
      </c>
      <c r="R378" s="2" t="inlineStr"/>
    </row>
    <row r="379" ht="15" customHeight="1">
      <c r="A379" t="inlineStr">
        <is>
          <t>A 25240-2020</t>
        </is>
      </c>
      <c r="B379" s="1" t="n">
        <v>43980</v>
      </c>
      <c r="C379" s="1" t="n">
        <v>45691</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25341-2020</t>
        </is>
      </c>
      <c r="B380" s="1" t="n">
        <v>43980</v>
      </c>
      <c r="C380" s="1" t="n">
        <v>45691</v>
      </c>
      <c r="D380" t="inlineStr">
        <is>
          <t>JÄMTLANDS LÄN</t>
        </is>
      </c>
      <c r="E380" t="inlineStr">
        <is>
          <t>HÄRJEDALEN</t>
        </is>
      </c>
      <c r="G380" t="n">
        <v>2</v>
      </c>
      <c r="H380" t="n">
        <v>0</v>
      </c>
      <c r="I380" t="n">
        <v>0</v>
      </c>
      <c r="J380" t="n">
        <v>0</v>
      </c>
      <c r="K380" t="n">
        <v>0</v>
      </c>
      <c r="L380" t="n">
        <v>0</v>
      </c>
      <c r="M380" t="n">
        <v>0</v>
      </c>
      <c r="N380" t="n">
        <v>0</v>
      </c>
      <c r="O380" t="n">
        <v>0</v>
      </c>
      <c r="P380" t="n">
        <v>0</v>
      </c>
      <c r="Q380" t="n">
        <v>0</v>
      </c>
      <c r="R380" s="2" t="inlineStr"/>
    </row>
    <row r="381" ht="15" customHeight="1">
      <c r="A381" t="inlineStr">
        <is>
          <t>A 25232-2020</t>
        </is>
      </c>
      <c r="B381" s="1" t="n">
        <v>43980</v>
      </c>
      <c r="C381" s="1" t="n">
        <v>45691</v>
      </c>
      <c r="D381" t="inlineStr">
        <is>
          <t>JÄMTLANDS LÄN</t>
        </is>
      </c>
      <c r="E381" t="inlineStr">
        <is>
          <t>HÄRJEDALEN</t>
        </is>
      </c>
      <c r="G381" t="n">
        <v>14.9</v>
      </c>
      <c r="H381" t="n">
        <v>0</v>
      </c>
      <c r="I381" t="n">
        <v>0</v>
      </c>
      <c r="J381" t="n">
        <v>0</v>
      </c>
      <c r="K381" t="n">
        <v>0</v>
      </c>
      <c r="L381" t="n">
        <v>0</v>
      </c>
      <c r="M381" t="n">
        <v>0</v>
      </c>
      <c r="N381" t="n">
        <v>0</v>
      </c>
      <c r="O381" t="n">
        <v>0</v>
      </c>
      <c r="P381" t="n">
        <v>0</v>
      </c>
      <c r="Q381" t="n">
        <v>0</v>
      </c>
      <c r="R381" s="2" t="inlineStr"/>
    </row>
    <row r="382" ht="15" customHeight="1">
      <c r="A382" t="inlineStr">
        <is>
          <t>A 25238-2020</t>
        </is>
      </c>
      <c r="B382" s="1" t="n">
        <v>43980</v>
      </c>
      <c r="C382" s="1" t="n">
        <v>45691</v>
      </c>
      <c r="D382" t="inlineStr">
        <is>
          <t>JÄMTLANDS LÄN</t>
        </is>
      </c>
      <c r="E382" t="inlineStr">
        <is>
          <t>HÄRJEDALEN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25236-2020</t>
        </is>
      </c>
      <c r="B383" s="1" t="n">
        <v>43980</v>
      </c>
      <c r="C383" s="1" t="n">
        <v>45691</v>
      </c>
      <c r="D383" t="inlineStr">
        <is>
          <t>JÄMTLANDS LÄN</t>
        </is>
      </c>
      <c r="E383" t="inlineStr">
        <is>
          <t>HÄRJEDALEN</t>
        </is>
      </c>
      <c r="G383" t="n">
        <v>2.2</v>
      </c>
      <c r="H383" t="n">
        <v>0</v>
      </c>
      <c r="I383" t="n">
        <v>0</v>
      </c>
      <c r="J383" t="n">
        <v>0</v>
      </c>
      <c r="K383" t="n">
        <v>0</v>
      </c>
      <c r="L383" t="n">
        <v>0</v>
      </c>
      <c r="M383" t="n">
        <v>0</v>
      </c>
      <c r="N383" t="n">
        <v>0</v>
      </c>
      <c r="O383" t="n">
        <v>0</v>
      </c>
      <c r="P383" t="n">
        <v>0</v>
      </c>
      <c r="Q383" t="n">
        <v>0</v>
      </c>
      <c r="R383" s="2" t="inlineStr"/>
    </row>
    <row r="384" ht="15" customHeight="1">
      <c r="A384" t="inlineStr">
        <is>
          <t>A 25779-2020</t>
        </is>
      </c>
      <c r="B384" s="1" t="n">
        <v>43984</v>
      </c>
      <c r="C384" s="1" t="n">
        <v>45691</v>
      </c>
      <c r="D384" t="inlineStr">
        <is>
          <t>JÄMTLANDS LÄN</t>
        </is>
      </c>
      <c r="E384" t="inlineStr">
        <is>
          <t>HÄRJEDALEN</t>
        </is>
      </c>
      <c r="G384" t="n">
        <v>22.2</v>
      </c>
      <c r="H384" t="n">
        <v>0</v>
      </c>
      <c r="I384" t="n">
        <v>0</v>
      </c>
      <c r="J384" t="n">
        <v>0</v>
      </c>
      <c r="K384" t="n">
        <v>0</v>
      </c>
      <c r="L384" t="n">
        <v>0</v>
      </c>
      <c r="M384" t="n">
        <v>0</v>
      </c>
      <c r="N384" t="n">
        <v>0</v>
      </c>
      <c r="O384" t="n">
        <v>0</v>
      </c>
      <c r="P384" t="n">
        <v>0</v>
      </c>
      <c r="Q384" t="n">
        <v>0</v>
      </c>
      <c r="R384" s="2" t="inlineStr"/>
    </row>
    <row r="385" ht="15" customHeight="1">
      <c r="A385" t="inlineStr">
        <is>
          <t>A 26056-2020</t>
        </is>
      </c>
      <c r="B385" s="1" t="n">
        <v>43984</v>
      </c>
      <c r="C385" s="1" t="n">
        <v>45691</v>
      </c>
      <c r="D385" t="inlineStr">
        <is>
          <t>JÄMTLANDS LÄN</t>
        </is>
      </c>
      <c r="E385" t="inlineStr">
        <is>
          <t>HÄRJEDALEN</t>
        </is>
      </c>
      <c r="G385" t="n">
        <v>53.1</v>
      </c>
      <c r="H385" t="n">
        <v>0</v>
      </c>
      <c r="I385" t="n">
        <v>0</v>
      </c>
      <c r="J385" t="n">
        <v>0</v>
      </c>
      <c r="K385" t="n">
        <v>0</v>
      </c>
      <c r="L385" t="n">
        <v>0</v>
      </c>
      <c r="M385" t="n">
        <v>0</v>
      </c>
      <c r="N385" t="n">
        <v>0</v>
      </c>
      <c r="O385" t="n">
        <v>0</v>
      </c>
      <c r="P385" t="n">
        <v>0</v>
      </c>
      <c r="Q385" t="n">
        <v>0</v>
      </c>
      <c r="R385" s="2" t="inlineStr"/>
    </row>
    <row r="386" ht="15" customHeight="1">
      <c r="A386" t="inlineStr">
        <is>
          <t>A 27854-2020</t>
        </is>
      </c>
      <c r="B386" s="1" t="n">
        <v>43994</v>
      </c>
      <c r="C386" s="1" t="n">
        <v>45691</v>
      </c>
      <c r="D386" t="inlineStr">
        <is>
          <t>JÄMTLANDS LÄN</t>
        </is>
      </c>
      <c r="E386" t="inlineStr">
        <is>
          <t>HÄRJEDALEN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28543-2020</t>
        </is>
      </c>
      <c r="B387" s="1" t="n">
        <v>43999</v>
      </c>
      <c r="C387" s="1" t="n">
        <v>45691</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29158-2020</t>
        </is>
      </c>
      <c r="B388" s="1" t="n">
        <v>44004</v>
      </c>
      <c r="C388" s="1" t="n">
        <v>45691</v>
      </c>
      <c r="D388" t="inlineStr">
        <is>
          <t>JÄMTLANDS LÄN</t>
        </is>
      </c>
      <c r="E388" t="inlineStr">
        <is>
          <t>HÄRJEDALEN</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29154-2020</t>
        </is>
      </c>
      <c r="B389" s="1" t="n">
        <v>44004</v>
      </c>
      <c r="C389" s="1" t="n">
        <v>45691</v>
      </c>
      <c r="D389" t="inlineStr">
        <is>
          <t>JÄMTLANDS LÄN</t>
        </is>
      </c>
      <c r="E389" t="inlineStr">
        <is>
          <t>HÄRJEDALEN</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30963-2020</t>
        </is>
      </c>
      <c r="B390" s="1" t="n">
        <v>44011</v>
      </c>
      <c r="C390" s="1" t="n">
        <v>45691</v>
      </c>
      <c r="D390" t="inlineStr">
        <is>
          <t>JÄMTLANDS LÄN</t>
        </is>
      </c>
      <c r="E390" t="inlineStr">
        <is>
          <t>HÄRJEDALEN</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30936-2020</t>
        </is>
      </c>
      <c r="B391" s="1" t="n">
        <v>44011</v>
      </c>
      <c r="C391" s="1" t="n">
        <v>45691</v>
      </c>
      <c r="D391" t="inlineStr">
        <is>
          <t>JÄMTLANDS LÄN</t>
        </is>
      </c>
      <c r="E391" t="inlineStr">
        <is>
          <t>HÄRJEDALEN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30940-2020</t>
        </is>
      </c>
      <c r="B392" s="1" t="n">
        <v>44011</v>
      </c>
      <c r="C392" s="1" t="n">
        <v>45691</v>
      </c>
      <c r="D392" t="inlineStr">
        <is>
          <t>JÄMTLANDS LÄN</t>
        </is>
      </c>
      <c r="E392" t="inlineStr">
        <is>
          <t>HÄRJEDALEN</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31264-2020</t>
        </is>
      </c>
      <c r="B393" s="1" t="n">
        <v>44012</v>
      </c>
      <c r="C393" s="1" t="n">
        <v>45691</v>
      </c>
      <c r="D393" t="inlineStr">
        <is>
          <t>JÄMTLANDS LÄN</t>
        </is>
      </c>
      <c r="E393" t="inlineStr">
        <is>
          <t>HÄRJEDALEN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31872-2020</t>
        </is>
      </c>
      <c r="B394" s="1" t="n">
        <v>44014</v>
      </c>
      <c r="C394" s="1" t="n">
        <v>45691</v>
      </c>
      <c r="D394" t="inlineStr">
        <is>
          <t>JÄMTLANDS LÄN</t>
        </is>
      </c>
      <c r="E394" t="inlineStr">
        <is>
          <t>HÄRJEDALEN</t>
        </is>
      </c>
      <c r="G394" t="n">
        <v>21.4</v>
      </c>
      <c r="H394" t="n">
        <v>0</v>
      </c>
      <c r="I394" t="n">
        <v>0</v>
      </c>
      <c r="J394" t="n">
        <v>0</v>
      </c>
      <c r="K394" t="n">
        <v>0</v>
      </c>
      <c r="L394" t="n">
        <v>0</v>
      </c>
      <c r="M394" t="n">
        <v>0</v>
      </c>
      <c r="N394" t="n">
        <v>0</v>
      </c>
      <c r="O394" t="n">
        <v>0</v>
      </c>
      <c r="P394" t="n">
        <v>0</v>
      </c>
      <c r="Q394" t="n">
        <v>0</v>
      </c>
      <c r="R394" s="2" t="inlineStr"/>
    </row>
    <row r="395" ht="15" customHeight="1">
      <c r="A395" t="inlineStr">
        <is>
          <t>A 31920-2020</t>
        </is>
      </c>
      <c r="B395" s="1" t="n">
        <v>44014</v>
      </c>
      <c r="C395" s="1" t="n">
        <v>45691</v>
      </c>
      <c r="D395" t="inlineStr">
        <is>
          <t>JÄMTLANDS LÄN</t>
        </is>
      </c>
      <c r="E395" t="inlineStr">
        <is>
          <t>HÄRJEDALEN</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33020-2020</t>
        </is>
      </c>
      <c r="B396" s="1" t="n">
        <v>44021</v>
      </c>
      <c r="C396" s="1" t="n">
        <v>45691</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33812-2020</t>
        </is>
      </c>
      <c r="B397" s="1" t="n">
        <v>44025</v>
      </c>
      <c r="C397" s="1" t="n">
        <v>45691</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33513-2020</t>
        </is>
      </c>
      <c r="B398" s="1" t="n">
        <v>44025</v>
      </c>
      <c r="C398" s="1" t="n">
        <v>45691</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33701-2020</t>
        </is>
      </c>
      <c r="B399" s="1" t="n">
        <v>44026</v>
      </c>
      <c r="C399" s="1" t="n">
        <v>45691</v>
      </c>
      <c r="D399" t="inlineStr">
        <is>
          <t>JÄMTLANDS LÄN</t>
        </is>
      </c>
      <c r="E399" t="inlineStr">
        <is>
          <t>HÄRJEDALEN</t>
        </is>
      </c>
      <c r="F399" t="inlineStr">
        <is>
          <t>Bergvik skog väst AB</t>
        </is>
      </c>
      <c r="G399" t="n">
        <v>7.2</v>
      </c>
      <c r="H399" t="n">
        <v>0</v>
      </c>
      <c r="I399" t="n">
        <v>0</v>
      </c>
      <c r="J399" t="n">
        <v>0</v>
      </c>
      <c r="K399" t="n">
        <v>0</v>
      </c>
      <c r="L399" t="n">
        <v>0</v>
      </c>
      <c r="M399" t="n">
        <v>0</v>
      </c>
      <c r="N399" t="n">
        <v>0</v>
      </c>
      <c r="O399" t="n">
        <v>0</v>
      </c>
      <c r="P399" t="n">
        <v>0</v>
      </c>
      <c r="Q399" t="n">
        <v>0</v>
      </c>
      <c r="R399" s="2" t="inlineStr"/>
    </row>
    <row r="400" ht="15" customHeight="1">
      <c r="A400" t="inlineStr">
        <is>
          <t>A 33942-2020</t>
        </is>
      </c>
      <c r="B400" s="1" t="n">
        <v>44028</v>
      </c>
      <c r="C400" s="1" t="n">
        <v>45691</v>
      </c>
      <c r="D400" t="inlineStr">
        <is>
          <t>JÄMTLANDS LÄN</t>
        </is>
      </c>
      <c r="E400" t="inlineStr">
        <is>
          <t>HÄRJEDALEN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34894-2020</t>
        </is>
      </c>
      <c r="B401" s="1" t="n">
        <v>44036</v>
      </c>
      <c r="C401" s="1" t="n">
        <v>45691</v>
      </c>
      <c r="D401" t="inlineStr">
        <is>
          <t>JÄMTLANDS LÄN</t>
        </is>
      </c>
      <c r="E401" t="inlineStr">
        <is>
          <t>HÄRJEDALEN</t>
        </is>
      </c>
      <c r="G401" t="n">
        <v>4</v>
      </c>
      <c r="H401" t="n">
        <v>0</v>
      </c>
      <c r="I401" t="n">
        <v>0</v>
      </c>
      <c r="J401" t="n">
        <v>0</v>
      </c>
      <c r="K401" t="n">
        <v>0</v>
      </c>
      <c r="L401" t="n">
        <v>0</v>
      </c>
      <c r="M401" t="n">
        <v>0</v>
      </c>
      <c r="N401" t="n">
        <v>0</v>
      </c>
      <c r="O401" t="n">
        <v>0</v>
      </c>
      <c r="P401" t="n">
        <v>0</v>
      </c>
      <c r="Q401" t="n">
        <v>0</v>
      </c>
      <c r="R401" s="2" t="inlineStr"/>
    </row>
    <row r="402" ht="15" customHeight="1">
      <c r="A402" t="inlineStr">
        <is>
          <t>A 34900-2020</t>
        </is>
      </c>
      <c r="B402" s="1" t="n">
        <v>44036</v>
      </c>
      <c r="C402" s="1" t="n">
        <v>45691</v>
      </c>
      <c r="D402" t="inlineStr">
        <is>
          <t>JÄMTLANDS LÄN</t>
        </is>
      </c>
      <c r="E402" t="inlineStr">
        <is>
          <t>HÄRJEDALEN</t>
        </is>
      </c>
      <c r="G402" t="n">
        <v>13.1</v>
      </c>
      <c r="H402" t="n">
        <v>0</v>
      </c>
      <c r="I402" t="n">
        <v>0</v>
      </c>
      <c r="J402" t="n">
        <v>0</v>
      </c>
      <c r="K402" t="n">
        <v>0</v>
      </c>
      <c r="L402" t="n">
        <v>0</v>
      </c>
      <c r="M402" t="n">
        <v>0</v>
      </c>
      <c r="N402" t="n">
        <v>0</v>
      </c>
      <c r="O402" t="n">
        <v>0</v>
      </c>
      <c r="P402" t="n">
        <v>0</v>
      </c>
      <c r="Q402" t="n">
        <v>0</v>
      </c>
      <c r="R402" s="2" t="inlineStr"/>
    </row>
    <row r="403" ht="15" customHeight="1">
      <c r="A403" t="inlineStr">
        <is>
          <t>A 34975-2020</t>
        </is>
      </c>
      <c r="B403" s="1" t="n">
        <v>44039</v>
      </c>
      <c r="C403" s="1" t="n">
        <v>45691</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34963-2020</t>
        </is>
      </c>
      <c r="B404" s="1" t="n">
        <v>44039</v>
      </c>
      <c r="C404" s="1" t="n">
        <v>45691</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35160-2020</t>
        </is>
      </c>
      <c r="B405" s="1" t="n">
        <v>44040</v>
      </c>
      <c r="C405" s="1" t="n">
        <v>45691</v>
      </c>
      <c r="D405" t="inlineStr">
        <is>
          <t>JÄMTLANDS LÄN</t>
        </is>
      </c>
      <c r="E405" t="inlineStr">
        <is>
          <t>HÄRJEDALEN</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35436-2020</t>
        </is>
      </c>
      <c r="B406" s="1" t="n">
        <v>44042</v>
      </c>
      <c r="C406" s="1" t="n">
        <v>45691</v>
      </c>
      <c r="D406" t="inlineStr">
        <is>
          <t>JÄMTLANDS LÄN</t>
        </is>
      </c>
      <c r="E406" t="inlineStr">
        <is>
          <t>HÄRJEDALEN</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35548-2020</t>
        </is>
      </c>
      <c r="B407" s="1" t="n">
        <v>44043</v>
      </c>
      <c r="C407" s="1" t="n">
        <v>45691</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36471-2020</t>
        </is>
      </c>
      <c r="B408" s="1" t="n">
        <v>44050</v>
      </c>
      <c r="C408" s="1" t="n">
        <v>45691</v>
      </c>
      <c r="D408" t="inlineStr">
        <is>
          <t>JÄMTLANDS LÄN</t>
        </is>
      </c>
      <c r="E408" t="inlineStr">
        <is>
          <t>HÄRJEDALEN</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36790-2020</t>
        </is>
      </c>
      <c r="B409" s="1" t="n">
        <v>44053</v>
      </c>
      <c r="C409" s="1" t="n">
        <v>45691</v>
      </c>
      <c r="D409" t="inlineStr">
        <is>
          <t>JÄMTLANDS LÄN</t>
        </is>
      </c>
      <c r="E409" t="inlineStr">
        <is>
          <t>HÄRJEDALEN</t>
        </is>
      </c>
      <c r="G409" t="n">
        <v>3.8</v>
      </c>
      <c r="H409" t="n">
        <v>0</v>
      </c>
      <c r="I409" t="n">
        <v>0</v>
      </c>
      <c r="J409" t="n">
        <v>0</v>
      </c>
      <c r="K409" t="n">
        <v>0</v>
      </c>
      <c r="L409" t="n">
        <v>0</v>
      </c>
      <c r="M409" t="n">
        <v>0</v>
      </c>
      <c r="N409" t="n">
        <v>0</v>
      </c>
      <c r="O409" t="n">
        <v>0</v>
      </c>
      <c r="P409" t="n">
        <v>0</v>
      </c>
      <c r="Q409" t="n">
        <v>0</v>
      </c>
      <c r="R409" s="2" t="inlineStr"/>
    </row>
    <row r="410" ht="15" customHeight="1">
      <c r="A410" t="inlineStr">
        <is>
          <t>A 37780-2020</t>
        </is>
      </c>
      <c r="B410" s="1" t="n">
        <v>44056</v>
      </c>
      <c r="C410" s="1" t="n">
        <v>45691</v>
      </c>
      <c r="D410" t="inlineStr">
        <is>
          <t>JÄMTLANDS LÄN</t>
        </is>
      </c>
      <c r="E410" t="inlineStr">
        <is>
          <t>HÄRJEDALEN</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38044-2020</t>
        </is>
      </c>
      <c r="B411" s="1" t="n">
        <v>44057</v>
      </c>
      <c r="C411" s="1" t="n">
        <v>45691</v>
      </c>
      <c r="D411" t="inlineStr">
        <is>
          <t>JÄMTLANDS LÄN</t>
        </is>
      </c>
      <c r="E411" t="inlineStr">
        <is>
          <t>HÄRJEDALEN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38107-2020</t>
        </is>
      </c>
      <c r="B412" s="1" t="n">
        <v>44057</v>
      </c>
      <c r="C412" s="1" t="n">
        <v>45691</v>
      </c>
      <c r="D412" t="inlineStr">
        <is>
          <t>JÄMTLANDS LÄN</t>
        </is>
      </c>
      <c r="E412" t="inlineStr">
        <is>
          <t>HÄRJEDALEN</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38403-2020</t>
        </is>
      </c>
      <c r="B413" s="1" t="n">
        <v>44060</v>
      </c>
      <c r="C413" s="1" t="n">
        <v>45691</v>
      </c>
      <c r="D413" t="inlineStr">
        <is>
          <t>JÄMTLANDS LÄN</t>
        </is>
      </c>
      <c r="E413" t="inlineStr">
        <is>
          <t>HÄRJEDALEN</t>
        </is>
      </c>
      <c r="G413" t="n">
        <v>4.7</v>
      </c>
      <c r="H413" t="n">
        <v>0</v>
      </c>
      <c r="I413" t="n">
        <v>0</v>
      </c>
      <c r="J413" t="n">
        <v>0</v>
      </c>
      <c r="K413" t="n">
        <v>0</v>
      </c>
      <c r="L413" t="n">
        <v>0</v>
      </c>
      <c r="M413" t="n">
        <v>0</v>
      </c>
      <c r="N413" t="n">
        <v>0</v>
      </c>
      <c r="O413" t="n">
        <v>0</v>
      </c>
      <c r="P413" t="n">
        <v>0</v>
      </c>
      <c r="Q413" t="n">
        <v>0</v>
      </c>
      <c r="R413" s="2" t="inlineStr"/>
      <c r="U413">
        <f>HYPERLINK("https://klasma.github.io/Logging_2361/knärot/A 38403-2020 karta knärot.png", "A 38403-2020")</f>
        <v/>
      </c>
      <c r="V413">
        <f>HYPERLINK("https://klasma.github.io/Logging_2361/klagomål/A 38403-2020 FSC-klagomål.docx", "A 38403-2020")</f>
        <v/>
      </c>
      <c r="W413">
        <f>HYPERLINK("https://klasma.github.io/Logging_2361/klagomålsmail/A 38403-2020 FSC-klagomål mail.docx", "A 38403-2020")</f>
        <v/>
      </c>
      <c r="X413">
        <f>HYPERLINK("https://klasma.github.io/Logging_2361/tillsyn/A 38403-2020 tillsynsbegäran.docx", "A 38403-2020")</f>
        <v/>
      </c>
      <c r="Y413">
        <f>HYPERLINK("https://klasma.github.io/Logging_2361/tillsynsmail/A 38403-2020 tillsynsbegäran mail.docx", "A 38403-2020")</f>
        <v/>
      </c>
    </row>
    <row r="414" ht="15" customHeight="1">
      <c r="A414" t="inlineStr">
        <is>
          <t>A 42078-2020</t>
        </is>
      </c>
      <c r="B414" s="1" t="n">
        <v>44075</v>
      </c>
      <c r="C414" s="1" t="n">
        <v>45691</v>
      </c>
      <c r="D414" t="inlineStr">
        <is>
          <t>JÄMTLANDS LÄN</t>
        </is>
      </c>
      <c r="E414" t="inlineStr">
        <is>
          <t>HÄRJEDALEN</t>
        </is>
      </c>
      <c r="G414" t="n">
        <v>3.9</v>
      </c>
      <c r="H414" t="n">
        <v>0</v>
      </c>
      <c r="I414" t="n">
        <v>0</v>
      </c>
      <c r="J414" t="n">
        <v>0</v>
      </c>
      <c r="K414" t="n">
        <v>0</v>
      </c>
      <c r="L414" t="n">
        <v>0</v>
      </c>
      <c r="M414" t="n">
        <v>0</v>
      </c>
      <c r="N414" t="n">
        <v>0</v>
      </c>
      <c r="O414" t="n">
        <v>0</v>
      </c>
      <c r="P414" t="n">
        <v>0</v>
      </c>
      <c r="Q414" t="n">
        <v>0</v>
      </c>
      <c r="R414" s="2" t="inlineStr"/>
    </row>
    <row r="415" ht="15" customHeight="1">
      <c r="A415" t="inlineStr">
        <is>
          <t>A 43417-2020</t>
        </is>
      </c>
      <c r="B415" s="1" t="n">
        <v>44078</v>
      </c>
      <c r="C415" s="1" t="n">
        <v>45691</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43748-2020</t>
        </is>
      </c>
      <c r="B416" s="1" t="n">
        <v>44082</v>
      </c>
      <c r="C416" s="1" t="n">
        <v>45691</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43750-2020</t>
        </is>
      </c>
      <c r="B417" s="1" t="n">
        <v>44082</v>
      </c>
      <c r="C417" s="1" t="n">
        <v>45691</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44381-2020</t>
        </is>
      </c>
      <c r="B418" s="1" t="n">
        <v>44084</v>
      </c>
      <c r="C418" s="1" t="n">
        <v>45691</v>
      </c>
      <c r="D418" t="inlineStr">
        <is>
          <t>JÄMTLANDS LÄN</t>
        </is>
      </c>
      <c r="E418" t="inlineStr">
        <is>
          <t>HÄRJEDALEN</t>
        </is>
      </c>
      <c r="F418" t="inlineStr">
        <is>
          <t>Holmen skog AB</t>
        </is>
      </c>
      <c r="G418" t="n">
        <v>2.3</v>
      </c>
      <c r="H418" t="n">
        <v>0</v>
      </c>
      <c r="I418" t="n">
        <v>0</v>
      </c>
      <c r="J418" t="n">
        <v>0</v>
      </c>
      <c r="K418" t="n">
        <v>0</v>
      </c>
      <c r="L418" t="n">
        <v>0</v>
      </c>
      <c r="M418" t="n">
        <v>0</v>
      </c>
      <c r="N418" t="n">
        <v>0</v>
      </c>
      <c r="O418" t="n">
        <v>0</v>
      </c>
      <c r="P418" t="n">
        <v>0</v>
      </c>
      <c r="Q418" t="n">
        <v>0</v>
      </c>
      <c r="R418" s="2" t="inlineStr"/>
    </row>
    <row r="419" ht="15" customHeight="1">
      <c r="A419" t="inlineStr">
        <is>
          <t>A 45426-2020</t>
        </is>
      </c>
      <c r="B419" s="1" t="n">
        <v>44088</v>
      </c>
      <c r="C419" s="1" t="n">
        <v>45691</v>
      </c>
      <c r="D419" t="inlineStr">
        <is>
          <t>JÄMTLANDS LÄN</t>
        </is>
      </c>
      <c r="E419" t="inlineStr">
        <is>
          <t>HÄRJEDALEN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45866-2020</t>
        </is>
      </c>
      <c r="B420" s="1" t="n">
        <v>44091</v>
      </c>
      <c r="C420" s="1" t="n">
        <v>45691</v>
      </c>
      <c r="D420" t="inlineStr">
        <is>
          <t>JÄMTLANDS LÄN</t>
        </is>
      </c>
      <c r="E420" t="inlineStr">
        <is>
          <t>HÄRJEDALEN</t>
        </is>
      </c>
      <c r="G420" t="n">
        <v>0.2</v>
      </c>
      <c r="H420" t="n">
        <v>0</v>
      </c>
      <c r="I420" t="n">
        <v>0</v>
      </c>
      <c r="J420" t="n">
        <v>0</v>
      </c>
      <c r="K420" t="n">
        <v>0</v>
      </c>
      <c r="L420" t="n">
        <v>0</v>
      </c>
      <c r="M420" t="n">
        <v>0</v>
      </c>
      <c r="N420" t="n">
        <v>0</v>
      </c>
      <c r="O420" t="n">
        <v>0</v>
      </c>
      <c r="P420" t="n">
        <v>0</v>
      </c>
      <c r="Q420" t="n">
        <v>0</v>
      </c>
      <c r="R420" s="2" t="inlineStr"/>
    </row>
    <row r="421" ht="15" customHeight="1">
      <c r="A421" t="inlineStr">
        <is>
          <t>A 46103-2020</t>
        </is>
      </c>
      <c r="B421" s="1" t="n">
        <v>44091</v>
      </c>
      <c r="C421" s="1" t="n">
        <v>45691</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46310-2020</t>
        </is>
      </c>
      <c r="B422" s="1" t="n">
        <v>44092</v>
      </c>
      <c r="C422" s="1" t="n">
        <v>45691</v>
      </c>
      <c r="D422" t="inlineStr">
        <is>
          <t>JÄMTLANDS LÄN</t>
        </is>
      </c>
      <c r="E422" t="inlineStr">
        <is>
          <t>HÄRJEDALEN</t>
        </is>
      </c>
      <c r="F422" t="inlineStr">
        <is>
          <t>Bergvik skog väst AB</t>
        </is>
      </c>
      <c r="G422" t="n">
        <v>26.6</v>
      </c>
      <c r="H422" t="n">
        <v>0</v>
      </c>
      <c r="I422" t="n">
        <v>0</v>
      </c>
      <c r="J422" t="n">
        <v>0</v>
      </c>
      <c r="K422" t="n">
        <v>0</v>
      </c>
      <c r="L422" t="n">
        <v>0</v>
      </c>
      <c r="M422" t="n">
        <v>0</v>
      </c>
      <c r="N422" t="n">
        <v>0</v>
      </c>
      <c r="O422" t="n">
        <v>0</v>
      </c>
      <c r="P422" t="n">
        <v>0</v>
      </c>
      <c r="Q422" t="n">
        <v>0</v>
      </c>
      <c r="R422" s="2" t="inlineStr"/>
    </row>
    <row r="423" ht="15" customHeight="1">
      <c r="A423" t="inlineStr">
        <is>
          <t>A 49430-2020</t>
        </is>
      </c>
      <c r="B423" s="1" t="n">
        <v>44102</v>
      </c>
      <c r="C423" s="1" t="n">
        <v>45691</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49447-2020</t>
        </is>
      </c>
      <c r="B424" s="1" t="n">
        <v>44102</v>
      </c>
      <c r="C424" s="1" t="n">
        <v>45691</v>
      </c>
      <c r="D424" t="inlineStr">
        <is>
          <t>JÄMTLANDS LÄN</t>
        </is>
      </c>
      <c r="E424" t="inlineStr">
        <is>
          <t>HÄRJEDALEN</t>
        </is>
      </c>
      <c r="F424" t="inlineStr">
        <is>
          <t>Bergvik skog väst AB</t>
        </is>
      </c>
      <c r="G424" t="n">
        <v>8.4</v>
      </c>
      <c r="H424" t="n">
        <v>0</v>
      </c>
      <c r="I424" t="n">
        <v>0</v>
      </c>
      <c r="J424" t="n">
        <v>0</v>
      </c>
      <c r="K424" t="n">
        <v>0</v>
      </c>
      <c r="L424" t="n">
        <v>0</v>
      </c>
      <c r="M424" t="n">
        <v>0</v>
      </c>
      <c r="N424" t="n">
        <v>0</v>
      </c>
      <c r="O424" t="n">
        <v>0</v>
      </c>
      <c r="P424" t="n">
        <v>0</v>
      </c>
      <c r="Q424" t="n">
        <v>0</v>
      </c>
      <c r="R424" s="2" t="inlineStr"/>
    </row>
    <row r="425" ht="15" customHeight="1">
      <c r="A425" t="inlineStr">
        <is>
          <t>A 49248-2020</t>
        </is>
      </c>
      <c r="B425" s="1" t="n">
        <v>44105</v>
      </c>
      <c r="C425" s="1" t="n">
        <v>45691</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45691</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45691</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45691</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45691</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45691</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45691</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45691</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45691</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45691</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45691</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45691</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45691</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45691</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45691</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45691</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45691</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45691</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45691</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45691</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45691</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45691</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45691</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45691</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45691</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45691</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45691</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45691</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45691</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45691</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45691</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45691</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45691</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45691</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45691</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45691</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45691</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45691</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45691</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45691</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45691</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45691</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45691</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45691</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45691</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45691</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45691</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45691</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45691</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45691</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45691</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45691</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45691</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45691</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45691</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45691</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45691</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45691</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45691</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45691</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45691</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45691</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45691</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45691</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45691</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45691</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45691</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45691</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45691</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45691</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45691</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45691</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45691</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45691</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45691</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45691</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45691</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45691</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45691</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45691</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45691</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45691</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45691</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45691</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45691</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45691</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45691</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45691</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45691</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45691</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45691</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45691</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45691</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45691</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45691</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45691</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45691</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45691</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45691</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45691</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45691</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45691</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45691</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45691</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45691</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45691</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45691</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45691</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45691</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45691</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45691</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45691</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45691</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45691</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45691</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45691</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45691</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45691</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45691</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45691</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45691</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45691</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45691</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45691</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45691</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45691</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45691</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45691</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45691</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45691</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45691</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45691</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45691</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45691</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45691</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45691</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45691</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45691</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45691</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45691</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45691</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45691</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45691</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45691</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45691</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45691</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45691</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45691</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45691</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45691</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45691</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45691</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45691</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45691</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45691</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45691</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45691</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45691</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45691</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45691</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45691</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45691</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45691</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45691</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45691</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45691</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45691</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45691</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45691</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45691</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45691</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45691</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45691</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45691</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45691</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45691</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45691</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45691</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45691</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45691</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45691</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45691</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45691</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45691</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45691</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45691</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45691</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45691</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45691</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45691</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45691</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45691</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45691</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45691</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45691</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45691</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45691</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45691</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45691</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45691</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45691</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45691</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45691</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45691</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45691</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45691</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45691</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45691</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45691</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45691</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45691</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45691</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45691</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45691</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45691</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45691</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45691</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45691</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45691</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45691</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45691</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45691</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45691</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45691</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45691</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45691</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45691</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45691</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45691</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45691</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45691</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45691</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45691</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45691</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45691</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45691</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45691</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45691</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45691</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45691</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45691</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45691</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45691</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45691</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45691</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45691</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45691</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45691</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45691</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45691</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45691</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45691</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45691</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45691</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45691</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45691</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45691</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45691</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45691</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45691</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45691</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45691</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45691</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45691</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45691</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45691</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45691</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45691</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45691</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45691</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45691</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45691</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45691</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45691</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45691</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45691</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45691</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45691</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45691</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45691</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45691</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45691</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45691</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45691</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45691</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45691</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45691</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45691</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45691</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45691</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45691</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45691</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45691</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45691</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45691</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45691</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45691</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45691</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45691</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45691</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45691</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45691</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45691</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45691</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45691</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45691</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45691</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45691</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45691</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45691</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45691</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45691</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45691</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45691</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45691</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45691</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45691</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45691</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45691</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45691</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45691</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45691</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45691</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45691</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45691</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45691</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45691</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45691</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45691</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45691</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45691</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45691</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45691</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45691</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45691</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45691</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45691</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45691</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45691</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45691</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45691</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45691</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45691</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45691</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45691</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45691</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45691</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45691</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45691</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45691</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45691</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45691</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45691</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45691</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45691</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45691</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45691</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45691</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45691</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45691</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45691</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45691</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45691</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45691</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45691</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45691</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45691</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45691</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45691</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45691</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45691</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45691</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45691</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45691</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45691</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45691</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45691</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45691</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45691</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45691</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45691</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45691</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45691</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45691</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45691</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45691</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45691</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45691</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45691</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45691</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45691</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45691</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45691</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45691</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45691</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45691</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45691</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45691</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45691</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45691</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45691</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45691</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45691</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45691</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45691</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45691</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45691</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45691</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45691</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45691</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45691</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45691</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45691</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45691</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45691</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45691</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45691</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45691</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45691</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45691</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45691</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45691</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45691</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45691</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45691</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45691</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45691</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45691</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45691</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45691</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45691</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45691</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45691</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45691</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45691</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45691</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45691</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45691</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45691</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45691</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45691</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45691</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45691</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45691</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45691</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45691</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45691</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45691</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45691</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45691</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45691</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45691</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45691</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45691</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45691</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45691</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45691</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45691</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45691</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45691</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45691</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45691</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45691</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45691</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45691</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45691</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45691</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45691</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45691</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45691</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45691</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45691</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45691</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45691</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45691</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45691</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45691</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45691</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45691</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45691</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45691</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45691</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45691</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45691</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45691</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45691</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45691</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45691</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45691</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45691</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45691</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45691</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45691</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45691</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45691</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45691</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45691</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45691</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45691</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45691</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45691</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45691</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45691</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45691</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45691</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45691</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45691</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45691</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45691</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45691</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45691</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45691</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45691</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45691</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45691</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45691</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45691</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45691</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45691</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45691</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45691</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45691</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45691</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45691</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45691</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45691</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45691</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45691</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45691</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45691</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45691</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45691</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45691</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45691</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45691</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45691</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45691</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45691</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45691</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45691</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45691</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45691</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45691</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45691</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45691</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45691</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45691</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45691</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45691</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45691</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45691</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45691</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45691</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45691</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45691</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45691</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45691</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45691</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45691</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45691</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45691</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45691</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45691</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45691</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45691</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45691</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45691</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45691</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45691</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45691</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45691</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45691</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45691</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45691</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45691</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45691</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45691</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45691</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45691</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45691</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45691</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45691</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45691</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45691</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45691</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45691</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45691</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45691</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45691</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45691</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45691</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45691</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45691</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45691</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45691</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45691</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45691</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45691</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45691</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45691</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45691</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45691</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45691</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45691</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45691</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45691</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45691</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45691</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45691</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45691</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45691</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45691</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45691</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45691</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45691</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45691</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45691</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45691</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45691</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45691</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45691</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45691</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45691</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45691</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45691</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45691</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45691</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45691</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45691</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45691</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45691</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45691</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45691</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45691</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45691</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45691</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45691</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45691</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45691</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45691</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45691</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45691</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45691</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45691</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45691</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45691</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45691</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45691</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45691</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45691</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45691</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45691</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45691</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45691</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45691</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45691</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45691</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45691</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45691</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45691</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45691</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45691</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45691</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45691</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45691</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45691</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45691</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45691</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45691</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45691</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45691</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45691</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45691</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45691</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45691</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45691</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45691</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45691</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45691</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45691</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45691</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45691</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45691</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45691</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45691</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45691</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45691</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45691</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45691</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45691</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45691</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45691</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45691</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45691</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45691</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45691</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45691</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45691</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45691</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45691</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45691</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45691</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45691</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45691</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45691</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45691</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45691</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45691</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45691</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45691</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45691</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45691</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45691</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45691</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45691</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45691</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45691</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45691</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45691</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45691</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45691</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45691</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45691</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45691</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45691</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45691</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45691</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45691</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45691</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45691</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45691</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45691</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45691</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45691</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45691</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45691</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45691</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45691</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45691</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45691</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45691</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45691</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45691</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45691</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45691</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45691</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45691</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45691</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45691</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45691</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45691</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45691</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45691</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45691</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45691</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45691</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45691</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45691</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45691</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45691</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45691</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45691</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45691</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45691</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45691</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45691</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45691</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45691</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45691</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45691</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45691</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45691</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45691</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45691</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45691</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45691</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45691</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45691</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45691</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45691</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45691</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45691</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45691</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45691</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45691</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45691</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45691</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45691</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45691</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45691</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45691</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45691</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45691</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45691</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45691</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45691</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45691</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45691</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45691</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45691</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45691</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45691</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45691</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45691</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45691</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45691</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45691</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45691</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45691</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45691</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45691</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45691</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45691</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45691</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45691</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45691</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45691</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45691</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45691</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45691</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45691</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45691</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45691</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45691</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45691</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45691</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45691</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45691</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45691</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45691</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45691</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45691</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45691</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45691</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45691</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45691</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45691</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45691</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45691</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45691</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45691</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45691</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45691</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45691</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45691</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45691</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45691</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45691</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45691</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45691</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45691</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45691</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45691</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45691</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45691</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45691</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45691</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45691</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45691</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45691</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45691</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45691</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45691</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45691</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45691</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45691</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45691</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45691</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45691</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45691</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45691</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45691</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45691</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45691</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45691</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45691</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45691</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45691</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45691</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45691</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45691</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45691</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45691</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45691</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45691</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45691</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45691</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45691</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45691</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45691</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45691</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45691</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45691</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45691</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45691</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45691</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45691</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45691</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45691</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45691</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45691</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45691</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45691</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45691</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45691</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45691</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45691</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45691</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45691</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45691</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45691</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45691</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45691</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45691</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45691</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45691</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45691</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45691</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45691</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45691</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45691</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45691</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45691</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45691</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45691</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45691</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45691</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45691</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45691</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45691</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45691</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45691</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45691</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45691</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45691</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45691</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45691</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45691</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45691</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45691</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45691</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45691</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45691</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45691</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45691</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45691</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45691</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45691</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45691</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45691</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45691</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45691</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45691</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45691</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45691</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45691</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45691</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45691</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45691</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45691</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45691</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45691</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45691</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45691</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45691</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45691</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45691</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45691</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45691</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45691</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45691</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45691</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45691</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45691</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45691</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45691</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45691</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45691</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45691</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45691</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45691</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45691</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45691</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45691</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45691</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45691</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45691</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45691</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45691</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45691</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45691</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45691</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45691</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45691</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45691</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45691</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45691</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45691</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45691</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45691</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45691</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45691</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45691</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45691</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45691</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45691</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45691</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45691</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45691</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45691</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45691</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45691</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45691</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45691</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45691</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45691</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45691</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45691</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45691</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45691</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45691</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45691</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45691</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45691</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45691</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45691</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45691</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45691</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45691</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45691</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45691</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45691</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45691</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45691</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45691</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45691</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45691</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45691</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45691</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45691</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45691</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45691</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45691</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45691</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45691</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45691</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45691</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45691</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45691</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45691</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45691</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45691</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45691</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45691</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45691</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45691</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45691</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45691</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45691</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45691</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45691</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45691</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45691</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45691</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45691</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45691</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45691</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45691</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45691</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45691</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45691</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45691</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45691</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45691</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45691</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45691</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45691</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45691</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45691</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45691</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45691</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45691</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45691</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45691</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45691</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45691</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45691</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45691</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45691</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45691</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45691</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45691</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45691</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45691</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45691</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45691</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45691</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45691</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45691</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45691</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45691</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45691</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45691</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45691</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45691</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45691</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45691</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45691</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45691</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45691</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45691</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45691</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45691</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45691</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45691</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45691</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45691</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45691</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45691</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45691</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45691</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45691</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45691</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45691</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45691</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45691</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45691</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45691</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45691</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45691</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45691</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45691</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45691</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45691</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45691</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45691</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45691</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45691</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45691</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45691</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45691</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45691</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45691</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45691</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45691</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45691</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45691</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45691</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45691</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45691</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45691</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45691</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45691</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45691</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45691</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45691</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45691</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45691</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45691</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45691</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45691</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45691</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45691</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45691</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45691</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45691</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45691</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45691</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45691</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45691</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45691</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45691</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45691</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45691</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45691</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45691</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45691</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45691</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45691</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45691</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45691</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45691</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45691</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45691</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45691</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45691</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45691</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45691</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45691</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45691</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45691</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45691</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45691</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45691</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45691</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45691</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45691</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45691</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45691</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45691</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45691</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45691</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45691</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45691</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45691</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45691</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45691</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45691</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45691</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45691</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45691</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45691</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45691</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45691</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45691</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45691</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45691</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45691</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45691</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45691</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45691</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45691</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45691</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45691</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45691</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45691</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45691</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45691</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45691</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45691</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45691</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45691</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45691</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45691</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45691</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45691</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45691</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45691</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45691</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45691</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45691</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45691</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45691</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45691</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45691</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45691</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45691</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45691</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45691</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45691</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45691</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45691</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45691</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45691</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45691</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45691</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45691</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45691</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45691</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45691</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45691</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45691</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45691</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45691</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45691</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45691</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45691</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45691</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45691</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45691</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45691</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45691</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45691</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45691</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45691</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45691</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45691</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45691</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45691</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45691</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45691</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45691</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45691</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45691</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45691</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45691</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45691</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45691</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45691</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45691</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45691</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45691</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45691</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45691</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45691</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45691</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45691</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45691</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45691</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45691</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45691</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45691</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45691</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45691</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45691</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45691</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45691</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45691</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45691</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45691</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45691</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45691</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45691</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45691</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45691</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45691</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45691</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45691</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45691</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45691</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45691</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45691</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45691</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45691</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45691</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45691</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45691</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45691</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515-2025</t>
        </is>
      </c>
      <c r="B1753" s="1" t="n">
        <v>45664</v>
      </c>
      <c r="C1753" s="1" t="n">
        <v>45691</v>
      </c>
      <c r="D1753" t="inlineStr">
        <is>
          <t>JÄMTLANDS LÄN</t>
        </is>
      </c>
      <c r="E1753" t="inlineStr">
        <is>
          <t>HÄRJEDALEN</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523-2025</t>
        </is>
      </c>
      <c r="B1754" s="1" t="n">
        <v>45664</v>
      </c>
      <c r="C1754" s="1" t="n">
        <v>45691</v>
      </c>
      <c r="D1754" t="inlineStr">
        <is>
          <t>JÄMTLANDS LÄN</t>
        </is>
      </c>
      <c r="E1754" t="inlineStr">
        <is>
          <t>HÄRJEDALEN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576-2025</t>
        </is>
      </c>
      <c r="B1755" s="1" t="n">
        <v>45664</v>
      </c>
      <c r="C1755" s="1" t="n">
        <v>45691</v>
      </c>
      <c r="D1755" t="inlineStr">
        <is>
          <t>JÄMTLANDS LÄN</t>
        </is>
      </c>
      <c r="E1755" t="inlineStr">
        <is>
          <t>HÄRJEDALEN</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45691</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816-2025</t>
        </is>
      </c>
      <c r="B1757" s="1" t="n">
        <v>45665</v>
      </c>
      <c r="C1757" s="1" t="n">
        <v>45691</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45691</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846-2025</t>
        </is>
      </c>
      <c r="B1759" s="1" t="n">
        <v>45665</v>
      </c>
      <c r="C1759" s="1" t="n">
        <v>45691</v>
      </c>
      <c r="D1759" t="inlineStr">
        <is>
          <t>JÄMTLANDS LÄN</t>
        </is>
      </c>
      <c r="E1759" t="inlineStr">
        <is>
          <t>HÄRJEDALEN</t>
        </is>
      </c>
      <c r="F1759" t="inlineStr">
        <is>
          <t>Bergvik skog väst AB</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45691</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1242-2025</t>
        </is>
      </c>
      <c r="B1761" s="1" t="n">
        <v>45667</v>
      </c>
      <c r="C1761" s="1" t="n">
        <v>45691</v>
      </c>
      <c r="D1761" t="inlineStr">
        <is>
          <t>JÄMTLANDS LÄN</t>
        </is>
      </c>
      <c r="E1761" t="inlineStr">
        <is>
          <t>HÄRJEDALEN</t>
        </is>
      </c>
      <c r="F1761" t="inlineStr">
        <is>
          <t>Bergvik skog väst AB</t>
        </is>
      </c>
      <c r="G1761" t="n">
        <v>80.5</v>
      </c>
      <c r="H1761" t="n">
        <v>0</v>
      </c>
      <c r="I1761" t="n">
        <v>0</v>
      </c>
      <c r="J1761" t="n">
        <v>0</v>
      </c>
      <c r="K1761" t="n">
        <v>0</v>
      </c>
      <c r="L1761" t="n">
        <v>0</v>
      </c>
      <c r="M1761" t="n">
        <v>0</v>
      </c>
      <c r="N1761" t="n">
        <v>0</v>
      </c>
      <c r="O1761" t="n">
        <v>0</v>
      </c>
      <c r="P1761" t="n">
        <v>0</v>
      </c>
      <c r="Q1761" t="n">
        <v>0</v>
      </c>
      <c r="R1761" s="2" t="inlineStr"/>
    </row>
    <row r="1762" ht="15" customHeight="1">
      <c r="A1762" t="inlineStr">
        <is>
          <t>A 1172-2025</t>
        </is>
      </c>
      <c r="B1762" s="1" t="n">
        <v>45667</v>
      </c>
      <c r="C1762" s="1" t="n">
        <v>45691</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45691</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45691</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45691</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1665-2025</t>
        </is>
      </c>
      <c r="B1766" s="1" t="n">
        <v>45670</v>
      </c>
      <c r="C1766" s="1" t="n">
        <v>45691</v>
      </c>
      <c r="D1766" t="inlineStr">
        <is>
          <t>JÄMTLANDS LÄN</t>
        </is>
      </c>
      <c r="E1766" t="inlineStr">
        <is>
          <t>HÄRJEDALEN</t>
        </is>
      </c>
      <c r="F1766" t="inlineStr">
        <is>
          <t>Bergvik skog väst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45691</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45691</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45691</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2106-2025</t>
        </is>
      </c>
      <c r="B1770" s="1" t="n">
        <v>45672</v>
      </c>
      <c r="C1770" s="1" t="n">
        <v>45691</v>
      </c>
      <c r="D1770" t="inlineStr">
        <is>
          <t>JÄMTLANDS LÄN</t>
        </is>
      </c>
      <c r="E1770" t="inlineStr">
        <is>
          <t>HÄRJEDALEN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1998-2025</t>
        </is>
      </c>
      <c r="B1771" s="1" t="n">
        <v>45672</v>
      </c>
      <c r="C1771" s="1" t="n">
        <v>45691</v>
      </c>
      <c r="D1771" t="inlineStr">
        <is>
          <t>JÄMTLANDS LÄN</t>
        </is>
      </c>
      <c r="E1771" t="inlineStr">
        <is>
          <t>HÄRJEDALEN</t>
        </is>
      </c>
      <c r="G1771" t="n">
        <v>15.2</v>
      </c>
      <c r="H1771" t="n">
        <v>0</v>
      </c>
      <c r="I1771" t="n">
        <v>0</v>
      </c>
      <c r="J1771" t="n">
        <v>0</v>
      </c>
      <c r="K1771" t="n">
        <v>0</v>
      </c>
      <c r="L1771" t="n">
        <v>0</v>
      </c>
      <c r="M1771" t="n">
        <v>0</v>
      </c>
      <c r="N1771" t="n">
        <v>0</v>
      </c>
      <c r="O1771" t="n">
        <v>0</v>
      </c>
      <c r="P1771" t="n">
        <v>0</v>
      </c>
      <c r="Q1771" t="n">
        <v>0</v>
      </c>
      <c r="R1771" s="2" t="inlineStr"/>
    </row>
    <row r="1772" ht="15" customHeight="1">
      <c r="A1772" t="inlineStr">
        <is>
          <t>A 2105-2025</t>
        </is>
      </c>
      <c r="B1772" s="1" t="n">
        <v>45672</v>
      </c>
      <c r="C1772" s="1" t="n">
        <v>45691</v>
      </c>
      <c r="D1772" t="inlineStr">
        <is>
          <t>JÄMTLANDS LÄN</t>
        </is>
      </c>
      <c r="E1772" t="inlineStr">
        <is>
          <t>HÄRJEDALEN</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45691</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45691</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2100-2025</t>
        </is>
      </c>
      <c r="B1775" s="1" t="n">
        <v>45672</v>
      </c>
      <c r="C1775" s="1" t="n">
        <v>45691</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45691</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2281-2025</t>
        </is>
      </c>
      <c r="B1777" s="1" t="n">
        <v>45673</v>
      </c>
      <c r="C1777" s="1" t="n">
        <v>45691</v>
      </c>
      <c r="D1777" t="inlineStr">
        <is>
          <t>JÄMTLANDS LÄN</t>
        </is>
      </c>
      <c r="E1777" t="inlineStr">
        <is>
          <t>HÄRJEDALEN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45691</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45691</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2510-2025</t>
        </is>
      </c>
      <c r="B1780" s="1" t="n">
        <v>45674</v>
      </c>
      <c r="C1780" s="1" t="n">
        <v>45691</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2728-2025</t>
        </is>
      </c>
      <c r="B1781" s="1" t="n">
        <v>45677</v>
      </c>
      <c r="C1781" s="1" t="n">
        <v>45691</v>
      </c>
      <c r="D1781" t="inlineStr">
        <is>
          <t>JÄMTLANDS LÄN</t>
        </is>
      </c>
      <c r="E1781" t="inlineStr">
        <is>
          <t>HÄRJEDALEN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2718-2025</t>
        </is>
      </c>
      <c r="B1782" s="1" t="n">
        <v>45677</v>
      </c>
      <c r="C1782" s="1" t="n">
        <v>45691</v>
      </c>
      <c r="D1782" t="inlineStr">
        <is>
          <t>JÄMTLANDS LÄN</t>
        </is>
      </c>
      <c r="E1782" t="inlineStr">
        <is>
          <t>HÄRJEDALEN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2737-2025</t>
        </is>
      </c>
      <c r="B1783" s="1" t="n">
        <v>45677</v>
      </c>
      <c r="C1783" s="1" t="n">
        <v>45691</v>
      </c>
      <c r="D1783" t="inlineStr">
        <is>
          <t>JÄMTLANDS LÄN</t>
        </is>
      </c>
      <c r="E1783" t="inlineStr">
        <is>
          <t>HÄRJEDALEN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2875-2025</t>
        </is>
      </c>
      <c r="B1784" s="1" t="n">
        <v>45677</v>
      </c>
      <c r="C1784" s="1" t="n">
        <v>45691</v>
      </c>
      <c r="D1784" t="inlineStr">
        <is>
          <t>JÄMTLANDS LÄN</t>
        </is>
      </c>
      <c r="E1784" t="inlineStr">
        <is>
          <t>HÄRJEDALEN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2935-2025</t>
        </is>
      </c>
      <c r="B1785" s="1" t="n">
        <v>45678</v>
      </c>
      <c r="C1785" s="1" t="n">
        <v>45691</v>
      </c>
      <c r="D1785" t="inlineStr">
        <is>
          <t>JÄMTLANDS LÄN</t>
        </is>
      </c>
      <c r="E1785" t="inlineStr">
        <is>
          <t>HÄRJEDALEN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3425-2025</t>
        </is>
      </c>
      <c r="B1786" s="1" t="n">
        <v>45680</v>
      </c>
      <c r="C1786" s="1" t="n">
        <v>45691</v>
      </c>
      <c r="D1786" t="inlineStr">
        <is>
          <t>JÄMTLANDS LÄN</t>
        </is>
      </c>
      <c r="E1786" t="inlineStr">
        <is>
          <t>HÄRJEDALEN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3965-2025</t>
        </is>
      </c>
      <c r="B1787" s="1" t="n">
        <v>45684</v>
      </c>
      <c r="C1787" s="1" t="n">
        <v>45691</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4155-2025</t>
        </is>
      </c>
      <c r="B1788" s="1" t="n">
        <v>45685</v>
      </c>
      <c r="C1788" s="1" t="n">
        <v>45691</v>
      </c>
      <c r="D1788" t="inlineStr">
        <is>
          <t>JÄMTLANDS LÄN</t>
        </is>
      </c>
      <c r="E1788" t="inlineStr">
        <is>
          <t>HÄRJEDALEN</t>
        </is>
      </c>
      <c r="F1788" t="inlineStr">
        <is>
          <t>Bergvik skog väst AB</t>
        </is>
      </c>
      <c r="G1788" t="n">
        <v>22.2</v>
      </c>
      <c r="H1788" t="n">
        <v>0</v>
      </c>
      <c r="I1788" t="n">
        <v>0</v>
      </c>
      <c r="J1788" t="n">
        <v>0</v>
      </c>
      <c r="K1788" t="n">
        <v>0</v>
      </c>
      <c r="L1788" t="n">
        <v>0</v>
      </c>
      <c r="M1788" t="n">
        <v>0</v>
      </c>
      <c r="N1788" t="n">
        <v>0</v>
      </c>
      <c r="O1788" t="n">
        <v>0</v>
      </c>
      <c r="P1788" t="n">
        <v>0</v>
      </c>
      <c r="Q1788" t="n">
        <v>0</v>
      </c>
      <c r="R1788" s="2" t="inlineStr"/>
    </row>
    <row r="1789" ht="15" customHeight="1">
      <c r="A1789" t="inlineStr">
        <is>
          <t>A 4217-2025</t>
        </is>
      </c>
      <c r="B1789" s="1" t="n">
        <v>45685</v>
      </c>
      <c r="C1789" s="1" t="n">
        <v>45691</v>
      </c>
      <c r="D1789" t="inlineStr">
        <is>
          <t>JÄMTLANDS LÄN</t>
        </is>
      </c>
      <c r="E1789" t="inlineStr">
        <is>
          <t>HÄRJEDALEN</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4221-2025</t>
        </is>
      </c>
      <c r="B1790" s="1" t="n">
        <v>45685</v>
      </c>
      <c r="C1790" s="1" t="n">
        <v>45691</v>
      </c>
      <c r="D1790" t="inlineStr">
        <is>
          <t>JÄMTLANDS LÄN</t>
        </is>
      </c>
      <c r="E1790" t="inlineStr">
        <is>
          <t>HÄRJEDALEN</t>
        </is>
      </c>
      <c r="F1790" t="inlineStr">
        <is>
          <t>Bergvik skog väst AB</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4225-2025</t>
        </is>
      </c>
      <c r="B1791" s="1" t="n">
        <v>45685</v>
      </c>
      <c r="C1791" s="1" t="n">
        <v>45691</v>
      </c>
      <c r="D1791" t="inlineStr">
        <is>
          <t>JÄMTLANDS LÄN</t>
        </is>
      </c>
      <c r="E1791" t="inlineStr">
        <is>
          <t>HÄRJEDALEN</t>
        </is>
      </c>
      <c r="F1791" t="inlineStr">
        <is>
          <t>Bergvik skog väst AB</t>
        </is>
      </c>
      <c r="G1791" t="n">
        <v>13.4</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45691</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4590-2025</t>
        </is>
      </c>
      <c r="B1793" s="1" t="n">
        <v>45687</v>
      </c>
      <c r="C1793" s="1" t="n">
        <v>45691</v>
      </c>
      <c r="D1793" t="inlineStr">
        <is>
          <t>JÄMTLANDS LÄN</t>
        </is>
      </c>
      <c r="E1793" t="inlineStr">
        <is>
          <t>HÄRJEDALEN</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4593-2025</t>
        </is>
      </c>
      <c r="B1794" s="1" t="n">
        <v>45687</v>
      </c>
      <c r="C1794" s="1" t="n">
        <v>45691</v>
      </c>
      <c r="D1794" t="inlineStr">
        <is>
          <t>JÄMTLANDS LÄN</t>
        </is>
      </c>
      <c r="E1794" t="inlineStr">
        <is>
          <t>HÄRJEDALEN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4642-2025</t>
        </is>
      </c>
      <c r="B1795" s="1" t="n">
        <v>45687</v>
      </c>
      <c r="C1795" s="1" t="n">
        <v>45691</v>
      </c>
      <c r="D1795" t="inlineStr">
        <is>
          <t>JÄMTLANDS LÄN</t>
        </is>
      </c>
      <c r="E1795" t="inlineStr">
        <is>
          <t>HÄRJEDALEN</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4749-2025</t>
        </is>
      </c>
      <c r="B1796" s="1" t="n">
        <v>45688</v>
      </c>
      <c r="C1796" s="1" t="n">
        <v>45691</v>
      </c>
      <c r="D1796" t="inlineStr">
        <is>
          <t>JÄMTLANDS LÄN</t>
        </is>
      </c>
      <c r="E1796" t="inlineStr">
        <is>
          <t>HÄRJEDALEN</t>
        </is>
      </c>
      <c r="F1796" t="inlineStr">
        <is>
          <t>Bergvik skog väst AB</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4752-2025</t>
        </is>
      </c>
      <c r="B1797" s="1" t="n">
        <v>45688</v>
      </c>
      <c r="C1797" s="1" t="n">
        <v>45691</v>
      </c>
      <c r="D1797" t="inlineStr">
        <is>
          <t>JÄMTLANDS LÄN</t>
        </is>
      </c>
      <c r="E1797" t="inlineStr">
        <is>
          <t>HÄRJEDALEN</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4862-2025</t>
        </is>
      </c>
      <c r="B1798" s="1" t="n">
        <v>45688</v>
      </c>
      <c r="C1798" s="1" t="n">
        <v>45691</v>
      </c>
      <c r="D1798" t="inlineStr">
        <is>
          <t>JÄMTLANDS LÄN</t>
        </is>
      </c>
      <c r="E1798" t="inlineStr">
        <is>
          <t>HÄRJEDALEN</t>
        </is>
      </c>
      <c r="F1798" t="inlineStr">
        <is>
          <t>SCA</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4879-2025</t>
        </is>
      </c>
      <c r="B1799" s="1" t="n">
        <v>45688</v>
      </c>
      <c r="C1799" s="1" t="n">
        <v>45691</v>
      </c>
      <c r="D1799" t="inlineStr">
        <is>
          <t>JÄMTLANDS LÄN</t>
        </is>
      </c>
      <c r="E1799" t="inlineStr">
        <is>
          <t>HÄRJEDALEN</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4899-2025</t>
        </is>
      </c>
      <c r="B1800" s="1" t="n">
        <v>45688</v>
      </c>
      <c r="C1800" s="1" t="n">
        <v>45691</v>
      </c>
      <c r="D1800" t="inlineStr">
        <is>
          <t>JÄMTLANDS LÄN</t>
        </is>
      </c>
      <c r="E1800" t="inlineStr">
        <is>
          <t>HÄRJEDALEN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4898-2025</t>
        </is>
      </c>
      <c r="B1801" s="1" t="n">
        <v>45688</v>
      </c>
      <c r="C1801" s="1" t="n">
        <v>45691</v>
      </c>
      <c r="D1801" t="inlineStr">
        <is>
          <t>JÄMTLANDS LÄN</t>
        </is>
      </c>
      <c r="E1801" t="inlineStr">
        <is>
          <t>HÄRJEDALEN</t>
        </is>
      </c>
      <c r="F1801" t="inlineStr">
        <is>
          <t>SCA</t>
        </is>
      </c>
      <c r="G1801" t="n">
        <v>5.8</v>
      </c>
      <c r="H1801" t="n">
        <v>0</v>
      </c>
      <c r="I1801" t="n">
        <v>0</v>
      </c>
      <c r="J1801" t="n">
        <v>0</v>
      </c>
      <c r="K1801" t="n">
        <v>0</v>
      </c>
      <c r="L1801" t="n">
        <v>0</v>
      </c>
      <c r="M1801" t="n">
        <v>0</v>
      </c>
      <c r="N1801" t="n">
        <v>0</v>
      </c>
      <c r="O1801" t="n">
        <v>0</v>
      </c>
      <c r="P1801" t="n">
        <v>0</v>
      </c>
      <c r="Q1801" t="n">
        <v>0</v>
      </c>
      <c r="R1801" s="2" t="inlineStr"/>
    </row>
    <row r="1802">
      <c r="A1802" t="inlineStr">
        <is>
          <t>A 4837-2025</t>
        </is>
      </c>
      <c r="B1802" s="1" t="n">
        <v>45688</v>
      </c>
      <c r="C1802" s="1" t="n">
        <v>45691</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2025-02-03T16:47:41Z</dcterms:created>
  <dcterms:modified xmlns:dcterms="http://purl.org/dc/terms/" xmlns:xsi="http://www.w3.org/2001/XMLSchema-instance" xsi:type="dcterms:W3CDTF">2025-02-03T16:47:43Z</dcterms:modified>
</cp:coreProperties>
</file>