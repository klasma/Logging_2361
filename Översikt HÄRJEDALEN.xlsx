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58107-2025</t>
        </is>
      </c>
      <c r="B2" t="inlineStr">
        <is>
          <t>avverkningsanmälan</t>
        </is>
      </c>
      <c r="C2" t="inlineStr">
        <is>
          <t>Föryngringsavverkning</t>
        </is>
      </c>
      <c r="D2" s="1" t="n">
        <v>45982</v>
      </c>
      <c r="E2" s="1" t="n">
        <v>46223</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HYPERLINK("https://klasma.github.io/Logging_2361/kartor_geotiff/A 58107-2025 georefererad karta.tif", "A 58107-2025")</f>
        <v/>
      </c>
      <c r="Y2">
        <f>HYPERLINK("https://klasma.github.io/Logging_2361/knärot/A 58107-2025 karta knärot.png", "A 58107-2025")</f>
        <v/>
      </c>
      <c r="Z2">
        <f>HYPERLINK("https://klasma.github.io/Logging_2361/klagomål/A 58107-2025 FSC-klagomål.docx", "A 58107-2025")</f>
        <v/>
      </c>
      <c r="AA2">
        <f>HYPERLINK("https://klasma.github.io/Logging_2361/klagomålsmail/A 58107-2025 FSC-klagomål mail.docx", "A 58107-2025")</f>
        <v/>
      </c>
      <c r="AB2">
        <f>HYPERLINK("https://klasma.github.io/Logging_2361/tillsyn/A 58107-2025 tillsynsbegäran.docx", "A 58107-2025")</f>
        <v/>
      </c>
      <c r="AC2">
        <f>HYPERLINK("https://klasma.github.io/Logging_2361/tillsynsmail/A 58107-2025 tillsynsbegäran mail.docx", "A 58107-2025")</f>
        <v/>
      </c>
      <c r="AD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46223</v>
      </c>
      <c r="F3" t="inlineStr">
        <is>
          <t>JÄMTLANDS LÄN</t>
        </is>
      </c>
      <c r="G3" t="inlineStr">
        <is>
          <t>HÄRJEDALEN</t>
        </is>
      </c>
      <c r="I3" t="n">
        <v>25.3</v>
      </c>
      <c r="J3" t="n">
        <v>7</v>
      </c>
      <c r="K3" t="n">
        <v>7</v>
      </c>
      <c r="L3" t="n">
        <v>16</v>
      </c>
      <c r="M3" t="n">
        <v>6</v>
      </c>
      <c r="N3" t="n">
        <v>0</v>
      </c>
      <c r="O3" t="n">
        <v>0</v>
      </c>
      <c r="P3" t="n">
        <v>0</v>
      </c>
      <c r="Q3" t="n">
        <v>22</v>
      </c>
      <c r="R3" t="n">
        <v>6</v>
      </c>
      <c r="S3" t="n">
        <v>32</v>
      </c>
      <c r="T3" t="n">
        <v>213</v>
      </c>
      <c r="U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3">
        <f>HYPERLINK("https://klasma.github.io/Logging_2361/artfynd/A 33058-2022 artfynd.xlsx", "A 33058-2022")</f>
        <v/>
      </c>
      <c r="W3">
        <f>HYPERLINK("https://klasma.github.io/Logging_2361/kartor/A 33058-2022 karta.png", "A 33058-2022")</f>
        <v/>
      </c>
      <c r="X3">
        <f>HYPERLINK("https://klasma.github.io/Logging_2361/kartor_geotiff/A 33058-2022 georefererad karta.tif", "A 33058-2022")</f>
        <v/>
      </c>
      <c r="Z3">
        <f>HYPERLINK("https://klasma.github.io/Logging_2361/klagomål/A 33058-2022 FSC-klagomål.docx", "A 33058-2022")</f>
        <v/>
      </c>
      <c r="AA3">
        <f>HYPERLINK("https://klasma.github.io/Logging_2361/klagomålsmail/A 33058-2022 FSC-klagomål mail.docx", "A 33058-2022")</f>
        <v/>
      </c>
      <c r="AB3">
        <f>HYPERLINK("https://klasma.github.io/Logging_2361/tillsyn/A 33058-2022 tillsynsbegäran.docx", "A 33058-2022")</f>
        <v/>
      </c>
      <c r="AC3">
        <f>HYPERLINK("https://klasma.github.io/Logging_2361/tillsynsmail/A 33058-2022 tillsynsbegäran mail.docx", "A 33058-2022")</f>
        <v/>
      </c>
      <c r="AD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4">
        <f>HYPERLINK("https://klasma.github.io/Logging_2361/artfynd/A 34896-2022 artfynd.xlsx", "A 34896-2022")</f>
        <v/>
      </c>
      <c r="W4">
        <f>HYPERLINK("https://klasma.github.io/Logging_2361/kartor/A 34896-2022 karta.png", "A 34896-2022")</f>
        <v/>
      </c>
      <c r="X4">
        <f>HYPERLINK("https://klasma.github.io/Logging_2361/kartor_geotiff/A 34896-2022 georefererad karta.tif", "A 34896-2022")</f>
        <v/>
      </c>
      <c r="Z4">
        <f>HYPERLINK("https://klasma.github.io/Logging_2361/klagomål/A 34896-2022 FSC-klagomål.docx", "A 34896-2022")</f>
        <v/>
      </c>
      <c r="AA4">
        <f>HYPERLINK("https://klasma.github.io/Logging_2361/klagomålsmail/A 34896-2022 FSC-klagomål mail.docx", "A 34896-2022")</f>
        <v/>
      </c>
      <c r="AB4">
        <f>HYPERLINK("https://klasma.github.io/Logging_2361/tillsyn/A 34896-2022 tillsynsbegäran.docx", "A 34896-2022")</f>
        <v/>
      </c>
      <c r="AC4">
        <f>HYPERLINK("https://klasma.github.io/Logging_2361/tillsynsmail/A 34896-2022 tillsynsbegäran mail.docx", "A 34896-2022")</f>
        <v/>
      </c>
      <c r="AD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46223</v>
      </c>
      <c r="F5" t="inlineStr">
        <is>
          <t>JÄMTLANDS LÄN</t>
        </is>
      </c>
      <c r="G5" t="inlineStr">
        <is>
          <t>HÄRJEDALEN</t>
        </is>
      </c>
      <c r="I5" t="n">
        <v>46.9</v>
      </c>
      <c r="J5" t="n">
        <v>7</v>
      </c>
      <c r="K5" t="n">
        <v>3</v>
      </c>
      <c r="L5" t="n">
        <v>20</v>
      </c>
      <c r="M5" t="n">
        <v>4</v>
      </c>
      <c r="N5" t="n">
        <v>0</v>
      </c>
      <c r="O5" t="n">
        <v>0</v>
      </c>
      <c r="P5" t="n">
        <v>0</v>
      </c>
      <c r="Q5" t="n">
        <v>24</v>
      </c>
      <c r="R5" t="n">
        <v>4</v>
      </c>
      <c r="S5" t="n">
        <v>30</v>
      </c>
      <c r="T5" t="n">
        <v>562</v>
      </c>
      <c r="U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5">
        <f>HYPERLINK("https://klasma.github.io/Logging_2361/artfynd/A 18557-2025 artfynd.xlsx", "A 18557-2025")</f>
        <v/>
      </c>
      <c r="W5">
        <f>HYPERLINK("https://klasma.github.io/Logging_2361/kartor/A 18557-2025 karta.png", "A 18557-2025")</f>
        <v/>
      </c>
      <c r="X5">
        <f>HYPERLINK("https://klasma.github.io/Logging_2361/kartor_geotiff/A 18557-2025 georefererad karta.tif", "A 18557-2025")</f>
        <v/>
      </c>
      <c r="Z5">
        <f>HYPERLINK("https://klasma.github.io/Logging_2361/klagomål/A 18557-2025 FSC-klagomål.docx", "A 18557-2025")</f>
        <v/>
      </c>
      <c r="AA5">
        <f>HYPERLINK("https://klasma.github.io/Logging_2361/klagomålsmail/A 18557-2025 FSC-klagomål mail.docx", "A 18557-2025")</f>
        <v/>
      </c>
      <c r="AB5">
        <f>HYPERLINK("https://klasma.github.io/Logging_2361/tillsyn/A 18557-2025 tillsynsbegäran.docx", "A 18557-2025")</f>
        <v/>
      </c>
      <c r="AC5">
        <f>HYPERLINK("https://klasma.github.io/Logging_2361/tillsynsmail/A 18557-2025 tillsynsbegäran mail.docx", "A 18557-2025")</f>
        <v/>
      </c>
      <c r="AD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46223</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X6">
        <f>HYPERLINK("https://klasma.github.io/Logging_2361/kartor_geotiff/A 52368-2025 georefererad karta.tif", "A 52368-2025")</f>
        <v/>
      </c>
      <c r="Z6">
        <f>HYPERLINK("https://klasma.github.io/Logging_2361/klagomål/A 52368-2025 FSC-klagomål.docx", "A 52368-2025")</f>
        <v/>
      </c>
      <c r="AA6">
        <f>HYPERLINK("https://klasma.github.io/Logging_2361/klagomålsmail/A 52368-2025 FSC-klagomål mail.docx", "A 52368-2025")</f>
        <v/>
      </c>
      <c r="AB6">
        <f>HYPERLINK("https://klasma.github.io/Logging_2361/tillsyn/A 52368-2025 tillsynsbegäran.docx", "A 52368-2025")</f>
        <v/>
      </c>
      <c r="AC6">
        <f>HYPERLINK("https://klasma.github.io/Logging_2361/tillsynsmail/A 52368-2025 tillsynsbegäran mail.docx", "A 52368-2025")</f>
        <v/>
      </c>
      <c r="AD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46223</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HYPERLINK("https://klasma.github.io/Logging_2361/kartor_geotiff/A 43777-2022 georefererad karta.tif", "A 43777-2022")</f>
        <v/>
      </c>
      <c r="Y7">
        <f>HYPERLINK("https://klasma.github.io/Logging_2361/knärot/A 43777-2022 karta knärot.png", "A 43777-2022")</f>
        <v/>
      </c>
      <c r="Z7">
        <f>HYPERLINK("https://klasma.github.io/Logging_2361/klagomål/A 43777-2022 FSC-klagomål.docx", "A 43777-2022")</f>
        <v/>
      </c>
      <c r="AA7">
        <f>HYPERLINK("https://klasma.github.io/Logging_2361/klagomålsmail/A 43777-2022 FSC-klagomål mail.docx", "A 43777-2022")</f>
        <v/>
      </c>
      <c r="AB7">
        <f>HYPERLINK("https://klasma.github.io/Logging_2361/tillsyn/A 43777-2022 tillsynsbegäran.docx", "A 43777-2022")</f>
        <v/>
      </c>
      <c r="AC7">
        <f>HYPERLINK("https://klasma.github.io/Logging_2361/tillsynsmail/A 43777-2022 tillsynsbegäran mail.docx", "A 43777-2022")</f>
        <v/>
      </c>
      <c r="AD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46223</v>
      </c>
      <c r="F8" t="inlineStr">
        <is>
          <t>JÄMTLANDS LÄN</t>
        </is>
      </c>
      <c r="G8" t="inlineStr">
        <is>
          <t>HÄRJEDALEN</t>
        </is>
      </c>
      <c r="I8" t="n">
        <v>9.9</v>
      </c>
      <c r="J8" t="n">
        <v>7</v>
      </c>
      <c r="K8" t="n">
        <v>8</v>
      </c>
      <c r="L8" t="n">
        <v>11</v>
      </c>
      <c r="M8" t="n">
        <v>2</v>
      </c>
      <c r="N8" t="n">
        <v>0</v>
      </c>
      <c r="O8" t="n">
        <v>0</v>
      </c>
      <c r="P8" t="n">
        <v>0</v>
      </c>
      <c r="Q8" t="n">
        <v>13</v>
      </c>
      <c r="R8" t="n">
        <v>2</v>
      </c>
      <c r="S8" t="n">
        <v>26</v>
      </c>
      <c r="T8" t="n">
        <v>92</v>
      </c>
      <c r="U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8">
        <f>HYPERLINK("https://klasma.github.io/Logging_2361/artfynd/A 28769-2022 artfynd.xlsx", "A 28769-2022")</f>
        <v/>
      </c>
      <c r="W8">
        <f>HYPERLINK("https://klasma.github.io/Logging_2361/kartor/A 28769-2022 karta.png", "A 28769-2022")</f>
        <v/>
      </c>
      <c r="X8">
        <f>HYPERLINK("https://klasma.github.io/Logging_2361/kartor_geotiff/A 28769-2022 georefererad karta.tif", "A 28769-2022")</f>
        <v/>
      </c>
      <c r="Z8">
        <f>HYPERLINK("https://klasma.github.io/Logging_2361/klagomål/A 28769-2022 FSC-klagomål.docx", "A 28769-2022")</f>
        <v/>
      </c>
      <c r="AA8">
        <f>HYPERLINK("https://klasma.github.io/Logging_2361/klagomålsmail/A 28769-2022 FSC-klagomål mail.docx", "A 28769-2022")</f>
        <v/>
      </c>
      <c r="AB8">
        <f>HYPERLINK("https://klasma.github.io/Logging_2361/tillsyn/A 28769-2022 tillsynsbegäran.docx", "A 28769-2022")</f>
        <v/>
      </c>
      <c r="AC8">
        <f>HYPERLINK("https://klasma.github.io/Logging_2361/tillsynsmail/A 28769-2022 tillsynsbegäran mail.docx", "A 28769-2022")</f>
        <v/>
      </c>
      <c r="AD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46223</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9">
        <f>HYPERLINK("https://klasma.github.io/Logging_2361/artfynd/A 28936-2026 artfynd.xlsx", "A 28936-2026")</f>
        <v/>
      </c>
      <c r="W9">
        <f>HYPERLINK("https://klasma.github.io/Logging_2361/kartor/A 28936-2026 karta.png", "A 28936-2026")</f>
        <v/>
      </c>
      <c r="X9">
        <f>HYPERLINK("https://klasma.github.io/Logging_2361/kartor_geotiff/A 28936-2026 georefererad karta.tif", "A 28936-2026")</f>
        <v/>
      </c>
      <c r="Z9">
        <f>HYPERLINK("https://klasma.github.io/Logging_2361/klagomål/A 28936-2026 FSC-klagomål.docx", "A 28936-2026")</f>
        <v/>
      </c>
      <c r="AA9">
        <f>HYPERLINK("https://klasma.github.io/Logging_2361/klagomålsmail/A 28936-2026 FSC-klagomål mail.docx", "A 28936-2026")</f>
        <v/>
      </c>
      <c r="AB9">
        <f>HYPERLINK("https://klasma.github.io/Logging_2361/tillsyn/A 28936-2026 tillsynsbegäran.docx", "A 28936-2026")</f>
        <v/>
      </c>
      <c r="AC9">
        <f>HYPERLINK("https://klasma.github.io/Logging_2361/tillsynsmail/A 28936-2026 tillsynsbegäran mail.docx", "A 28936-2026")</f>
        <v/>
      </c>
      <c r="AD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46223</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HYPERLINK("https://klasma.github.io/Logging_2361/kartor_geotiff/A 45429-2022 georefererad karta.tif", "A 45429-2022")</f>
        <v/>
      </c>
      <c r="Y10">
        <f>HYPERLINK("https://klasma.github.io/Logging_2361/knärot/A 45429-2022 karta knärot.png", "A 45429-2022")</f>
        <v/>
      </c>
      <c r="Z10">
        <f>HYPERLINK("https://klasma.github.io/Logging_2361/klagomål/A 45429-2022 FSC-klagomål.docx", "A 45429-2022")</f>
        <v/>
      </c>
      <c r="AA10">
        <f>HYPERLINK("https://klasma.github.io/Logging_2361/klagomålsmail/A 45429-2022 FSC-klagomål mail.docx", "A 45429-2022")</f>
        <v/>
      </c>
      <c r="AB10">
        <f>HYPERLINK("https://klasma.github.io/Logging_2361/tillsyn/A 45429-2022 tillsynsbegäran.docx", "A 45429-2022")</f>
        <v/>
      </c>
      <c r="AC10">
        <f>HYPERLINK("https://klasma.github.io/Logging_2361/tillsynsmail/A 45429-2022 tillsynsbegäran mail.docx", "A 45429-2022")</f>
        <v/>
      </c>
      <c r="AD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46223</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HYPERLINK("https://klasma.github.io/Logging_2361/kartor_geotiff/A 61561-2021 georefererad karta.tif", "A 61561-2021")</f>
        <v/>
      </c>
      <c r="Y11">
        <f>HYPERLINK("https://klasma.github.io/Logging_2361/knärot/A 61561-2021 karta knärot.png", "A 61561-2021")</f>
        <v/>
      </c>
      <c r="Z11">
        <f>HYPERLINK("https://klasma.github.io/Logging_2361/klagomål/A 61561-2021 FSC-klagomål.docx", "A 61561-2021")</f>
        <v/>
      </c>
      <c r="AA11">
        <f>HYPERLINK("https://klasma.github.io/Logging_2361/klagomålsmail/A 61561-2021 FSC-klagomål mail.docx", "A 61561-2021")</f>
        <v/>
      </c>
      <c r="AB11">
        <f>HYPERLINK("https://klasma.github.io/Logging_2361/tillsyn/A 61561-2021 tillsynsbegäran.docx", "A 61561-2021")</f>
        <v/>
      </c>
      <c r="AC11">
        <f>HYPERLINK("https://klasma.github.io/Logging_2361/tillsynsmail/A 61561-2021 tillsynsbegäran mail.docx", "A 61561-2021")</f>
        <v/>
      </c>
      <c r="AD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46223</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X12">
        <f>HYPERLINK("https://klasma.github.io/Logging_2361/kartor_geotiff/A 73869-2021 georefererad karta.tif", "A 73869-2021")</f>
        <v/>
      </c>
      <c r="Z12">
        <f>HYPERLINK("https://klasma.github.io/Logging_2361/klagomål/A 73869-2021 FSC-klagomål.docx", "A 73869-2021")</f>
        <v/>
      </c>
      <c r="AA12">
        <f>HYPERLINK("https://klasma.github.io/Logging_2361/klagomålsmail/A 73869-2021 FSC-klagomål mail.docx", "A 73869-2021")</f>
        <v/>
      </c>
      <c r="AB12">
        <f>HYPERLINK("https://klasma.github.io/Logging_2361/tillsyn/A 73869-2021 tillsynsbegäran.docx", "A 73869-2021")</f>
        <v/>
      </c>
      <c r="AC12">
        <f>HYPERLINK("https://klasma.github.io/Logging_2361/tillsynsmail/A 73869-2021 tillsynsbegäran mail.docx", "A 73869-2021")</f>
        <v/>
      </c>
      <c r="AD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46223</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3">
        <f>HYPERLINK("https://klasma.github.io/Logging_2361/artfynd/A 5221-2025 artfynd.xlsx", "A 5221-2025")</f>
        <v/>
      </c>
      <c r="W13">
        <f>HYPERLINK("https://klasma.github.io/Logging_2361/kartor/A 5221-2025 karta.png", "A 5221-2025")</f>
        <v/>
      </c>
      <c r="X13">
        <f>HYPERLINK("https://klasma.github.io/Logging_2361/kartor_geotiff/A 5221-2025 georefererad karta.tif", "A 5221-2025")</f>
        <v/>
      </c>
      <c r="Z13">
        <f>HYPERLINK("https://klasma.github.io/Logging_2361/klagomål/A 5221-2025 FSC-klagomål.docx", "A 5221-2025")</f>
        <v/>
      </c>
      <c r="AA13">
        <f>HYPERLINK("https://klasma.github.io/Logging_2361/klagomålsmail/A 5221-2025 FSC-klagomål mail.docx", "A 5221-2025")</f>
        <v/>
      </c>
      <c r="AB13">
        <f>HYPERLINK("https://klasma.github.io/Logging_2361/tillsyn/A 5221-2025 tillsynsbegäran.docx", "A 5221-2025")</f>
        <v/>
      </c>
      <c r="AC13">
        <f>HYPERLINK("https://klasma.github.io/Logging_2361/tillsynsmail/A 5221-2025 tillsynsbegäran mail.docx", "A 5221-2025")</f>
        <v/>
      </c>
      <c r="AD13">
        <f>HYPERLINK("https://klasma.github.io/Logging_2361/fåglar/A 5221-2025 prioriterade fågelarter.docx", "A 5221-2025")</f>
        <v/>
      </c>
    </row>
    <row r="14" ht="15" customHeight="1">
      <c r="A14" t="inlineStr">
        <is>
          <t>A 32341-2025</t>
        </is>
      </c>
      <c r="B14" t="inlineStr">
        <is>
          <t>avverkningsanmälan</t>
        </is>
      </c>
      <c r="C14" t="inlineStr">
        <is>
          <t>Föryngringsavverkning</t>
        </is>
      </c>
      <c r="D14" s="1" t="n">
        <v>45837</v>
      </c>
      <c r="E14" s="1" t="n">
        <v>46223</v>
      </c>
      <c r="F14" t="inlineStr">
        <is>
          <t>JÄMTLANDS LÄN</t>
        </is>
      </c>
      <c r="G14" t="inlineStr">
        <is>
          <t>HÄRJEDALEN</t>
        </is>
      </c>
      <c r="I14" t="n">
        <v>19.5</v>
      </c>
      <c r="J14" t="n">
        <v>6</v>
      </c>
      <c r="K14" t="n">
        <v>3</v>
      </c>
      <c r="L14" t="n">
        <v>16</v>
      </c>
      <c r="M14" t="n">
        <v>3</v>
      </c>
      <c r="N14" t="n">
        <v>0</v>
      </c>
      <c r="O14" t="n">
        <v>0</v>
      </c>
      <c r="P14" t="n">
        <v>0</v>
      </c>
      <c r="Q14" t="n">
        <v>19</v>
      </c>
      <c r="R14" t="n">
        <v>3</v>
      </c>
      <c r="S14" t="n">
        <v>23</v>
      </c>
      <c r="T14" t="n">
        <v>117</v>
      </c>
      <c r="U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4">
        <f>HYPERLINK("https://klasma.github.io/Logging_2361/artfynd/A 32341-2025 artfynd.xlsx", "A 32341-2025")</f>
        <v/>
      </c>
      <c r="W14">
        <f>HYPERLINK("https://klasma.github.io/Logging_2361/kartor/A 32341-2025 karta.png", "A 32341-2025")</f>
        <v/>
      </c>
      <c r="X14">
        <f>HYPERLINK("https://klasma.github.io/Logging_2361/kartor_geotiff/A 32341-2025 georefererad karta.tif", "A 32341-2025")</f>
        <v/>
      </c>
      <c r="Z14">
        <f>HYPERLINK("https://klasma.github.io/Logging_2361/klagomål/A 32341-2025 FSC-klagomål.docx", "A 32341-2025")</f>
        <v/>
      </c>
      <c r="AA14">
        <f>HYPERLINK("https://klasma.github.io/Logging_2361/klagomålsmail/A 32341-2025 FSC-klagomål mail.docx", "A 32341-2025")</f>
        <v/>
      </c>
      <c r="AB14">
        <f>HYPERLINK("https://klasma.github.io/Logging_2361/tillsyn/A 32341-2025 tillsynsbegäran.docx", "A 32341-2025")</f>
        <v/>
      </c>
      <c r="AC14">
        <f>HYPERLINK("https://klasma.github.io/Logging_2361/tillsynsmail/A 32341-2025 tillsynsbegäran mail.docx", "A 32341-2025")</f>
        <v/>
      </c>
      <c r="AD14">
        <f>HYPERLINK("https://klasma.github.io/Logging_2361/fåglar/A 32341-2025 prioriterade fågelarter.docx", "A 32341-2025")</f>
        <v/>
      </c>
    </row>
    <row r="15" ht="15" customHeight="1">
      <c r="A15" t="inlineStr">
        <is>
          <t>A 42342-2022</t>
        </is>
      </c>
      <c r="B15" t="inlineStr">
        <is>
          <t>avverkningsanmälan</t>
        </is>
      </c>
      <c r="C15" t="inlineStr">
        <is>
          <t>Föryngringsavverkning</t>
        </is>
      </c>
      <c r="D15" s="1" t="n">
        <v>44831</v>
      </c>
      <c r="E15" s="1" t="n">
        <v>46223</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5">
        <f>HYPERLINK("https://klasma.github.io/Logging_2361/artfynd/A 42342-2022 artfynd.xlsx", "A 42342-2022")</f>
        <v/>
      </c>
      <c r="W15">
        <f>HYPERLINK("https://klasma.github.io/Logging_2361/kartor/A 42342-2022 karta.png", "A 42342-2022")</f>
        <v/>
      </c>
      <c r="X15">
        <f>HYPERLINK("https://klasma.github.io/Logging_2361/kartor_geotiff/A 42342-2022 georefererad karta.tif", "A 42342-2022")</f>
        <v/>
      </c>
      <c r="Y15">
        <f>HYPERLINK("https://klasma.github.io/Logging_2361/knärot/A 42342-2022 karta knärot.png", "A 42342-2022")</f>
        <v/>
      </c>
      <c r="Z15">
        <f>HYPERLINK("https://klasma.github.io/Logging_2361/klagomål/A 42342-2022 FSC-klagomål.docx", "A 42342-2022")</f>
        <v/>
      </c>
      <c r="AA15">
        <f>HYPERLINK("https://klasma.github.io/Logging_2361/klagomålsmail/A 42342-2022 FSC-klagomål mail.docx", "A 42342-2022")</f>
        <v/>
      </c>
      <c r="AB15">
        <f>HYPERLINK("https://klasma.github.io/Logging_2361/tillsyn/A 42342-2022 tillsynsbegäran.docx", "A 42342-2022")</f>
        <v/>
      </c>
      <c r="AC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46223</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HYPERLINK("https://klasma.github.io/Logging_2361/kartor_geotiff/A 38362-2021 georefererad karta.tif", "A 38362-2021")</f>
        <v/>
      </c>
      <c r="Y16">
        <f>HYPERLINK("https://klasma.github.io/Logging_2361/knärot/A 38362-2021 karta knärot.png", "A 38362-2021")</f>
        <v/>
      </c>
      <c r="Z16">
        <f>HYPERLINK("https://klasma.github.io/Logging_2361/klagomål/A 38362-2021 FSC-klagomål.docx", "A 38362-2021")</f>
        <v/>
      </c>
      <c r="AA16">
        <f>HYPERLINK("https://klasma.github.io/Logging_2361/klagomålsmail/A 38362-2021 FSC-klagomål mail.docx", "A 38362-2021")</f>
        <v/>
      </c>
      <c r="AB16">
        <f>HYPERLINK("https://klasma.github.io/Logging_2361/tillsyn/A 38362-2021 tillsynsbegäran.docx", "A 38362-2021")</f>
        <v/>
      </c>
      <c r="AC16">
        <f>HYPERLINK("https://klasma.github.io/Logging_2361/tillsynsmail/A 38362-2021 tillsynsbegäran mail.docx", "A 38362-2021")</f>
        <v/>
      </c>
      <c r="AD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46223</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HYPERLINK("https://klasma.github.io/Logging_2361/kartor_geotiff/A 18116-2025 georefererad karta.tif", "A 18116-2025")</f>
        <v/>
      </c>
      <c r="Y17">
        <f>HYPERLINK("https://klasma.github.io/Logging_2361/knärot/A 18116-2025 karta knärot.png", "A 18116-2025")</f>
        <v/>
      </c>
      <c r="Z17">
        <f>HYPERLINK("https://klasma.github.io/Logging_2361/klagomål/A 18116-2025 FSC-klagomål.docx", "A 18116-2025")</f>
        <v/>
      </c>
      <c r="AA17">
        <f>HYPERLINK("https://klasma.github.io/Logging_2361/klagomålsmail/A 18116-2025 FSC-klagomål mail.docx", "A 18116-2025")</f>
        <v/>
      </c>
      <c r="AB17">
        <f>HYPERLINK("https://klasma.github.io/Logging_2361/tillsyn/A 18116-2025 tillsynsbegäran.docx", "A 18116-2025")</f>
        <v/>
      </c>
      <c r="AC17">
        <f>HYPERLINK("https://klasma.github.io/Logging_2361/tillsynsmail/A 18116-2025 tillsynsbegäran mail.docx", "A 18116-2025")</f>
        <v/>
      </c>
      <c r="AD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46223</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HYPERLINK("https://klasma.github.io/Logging_2361/kartor_geotiff/A 60766-2021 georefererad karta.tif", "A 60766-2021")</f>
        <v/>
      </c>
      <c r="Y18">
        <f>HYPERLINK("https://klasma.github.io/Logging_2361/knärot/A 60766-2021 karta knärot.png", "A 60766-2021")</f>
        <v/>
      </c>
      <c r="Z18">
        <f>HYPERLINK("https://klasma.github.io/Logging_2361/klagomål/A 60766-2021 FSC-klagomål.docx", "A 60766-2021")</f>
        <v/>
      </c>
      <c r="AA18">
        <f>HYPERLINK("https://klasma.github.io/Logging_2361/klagomålsmail/A 60766-2021 FSC-klagomål mail.docx", "A 60766-2021")</f>
        <v/>
      </c>
      <c r="AB18">
        <f>HYPERLINK("https://klasma.github.io/Logging_2361/tillsyn/A 60766-2021 tillsynsbegäran.docx", "A 60766-2021")</f>
        <v/>
      </c>
      <c r="AC18">
        <f>HYPERLINK("https://klasma.github.io/Logging_2361/tillsynsmail/A 60766-2021 tillsynsbegäran mail.docx", "A 60766-2021")</f>
        <v/>
      </c>
      <c r="AD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46223</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X19">
        <f>HYPERLINK("https://klasma.github.io/Logging_2361/kartor_geotiff/A 8533-2024 georefererad karta.tif", "A 8533-2024")</f>
        <v/>
      </c>
      <c r="Z19">
        <f>HYPERLINK("https://klasma.github.io/Logging_2361/klagomål/A 8533-2024 FSC-klagomål.docx", "A 8533-2024")</f>
        <v/>
      </c>
      <c r="AA19">
        <f>HYPERLINK("https://klasma.github.io/Logging_2361/klagomålsmail/A 8533-2024 FSC-klagomål mail.docx", "A 8533-2024")</f>
        <v/>
      </c>
      <c r="AB19">
        <f>HYPERLINK("https://klasma.github.io/Logging_2361/tillsyn/A 8533-2024 tillsynsbegäran.docx", "A 8533-2024")</f>
        <v/>
      </c>
      <c r="AC19">
        <f>HYPERLINK("https://klasma.github.io/Logging_2361/tillsynsmail/A 8533-2024 tillsynsbegäran mail.docx", "A 8533-2024")</f>
        <v/>
      </c>
      <c r="AD19">
        <f>HYPERLINK("https://klasma.github.io/Logging_2361/fåglar/A 8533-2024 prioriterade fågelarter.docx", "A 8533-2024")</f>
        <v/>
      </c>
    </row>
    <row r="20" ht="15" customHeight="1">
      <c r="A20" t="inlineStr">
        <is>
          <t>A 31892-2025</t>
        </is>
      </c>
      <c r="B20" t="inlineStr">
        <is>
          <t>avverkningsanmälan</t>
        </is>
      </c>
      <c r="C20" t="inlineStr">
        <is>
          <t>Föryngringsavverkning</t>
        </is>
      </c>
      <c r="D20" s="1" t="n">
        <v>45834</v>
      </c>
      <c r="E20" s="1" t="n">
        <v>46223</v>
      </c>
      <c r="F20" t="inlineStr">
        <is>
          <t>JÄMTLANDS LÄN</t>
        </is>
      </c>
      <c r="G20" t="inlineStr">
        <is>
          <t>HÄRJEDALEN</t>
        </is>
      </c>
      <c r="I20" t="n">
        <v>13.7</v>
      </c>
      <c r="J20" t="n">
        <v>7</v>
      </c>
      <c r="K20" t="n">
        <v>2</v>
      </c>
      <c r="L20" t="n">
        <v>15</v>
      </c>
      <c r="M20" t="n">
        <v>2</v>
      </c>
      <c r="N20" t="n">
        <v>0</v>
      </c>
      <c r="O20" t="n">
        <v>0</v>
      </c>
      <c r="P20" t="n">
        <v>0</v>
      </c>
      <c r="Q20" t="n">
        <v>17</v>
      </c>
      <c r="R20" t="n">
        <v>2</v>
      </c>
      <c r="S20" t="n">
        <v>21</v>
      </c>
      <c r="T20" t="n">
        <v>99</v>
      </c>
      <c r="U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0">
        <f>HYPERLINK("https://klasma.github.io/Logging_2361/artfynd/A 31892-2025 artfynd.xlsx", "A 31892-2025")</f>
        <v/>
      </c>
      <c r="W20">
        <f>HYPERLINK("https://klasma.github.io/Logging_2361/kartor/A 31892-2025 karta.png", "A 31892-2025")</f>
        <v/>
      </c>
      <c r="X20">
        <f>HYPERLINK("https://klasma.github.io/Logging_2361/kartor_geotiff/A 31892-2025 georefererad karta.tif", "A 31892-2025")</f>
        <v/>
      </c>
      <c r="Y20">
        <f>HYPERLINK("https://klasma.github.io/Logging_2361/knärot/A 31892-2025 karta knärot.png", "A 31892-2025")</f>
        <v/>
      </c>
      <c r="Z20">
        <f>HYPERLINK("https://klasma.github.io/Logging_2361/klagomål/A 31892-2025 FSC-klagomål.docx", "A 31892-2025")</f>
        <v/>
      </c>
      <c r="AA20">
        <f>HYPERLINK("https://klasma.github.io/Logging_2361/klagomålsmail/A 31892-2025 FSC-klagomål mail.docx", "A 31892-2025")</f>
        <v/>
      </c>
      <c r="AB20">
        <f>HYPERLINK("https://klasma.github.io/Logging_2361/tillsyn/A 31892-2025 tillsynsbegäran.docx", "A 31892-2025")</f>
        <v/>
      </c>
      <c r="AC20">
        <f>HYPERLINK("https://klasma.github.io/Logging_2361/tillsynsmail/A 31892-2025 tillsynsbegäran mail.docx", "A 31892-2025")</f>
        <v/>
      </c>
      <c r="AD20">
        <f>HYPERLINK("https://klasma.github.io/Logging_2361/fåglar/A 31892-2025 prioriterade fågelarter.docx", "A 31892-2025")</f>
        <v/>
      </c>
    </row>
    <row r="21" ht="15" customHeight="1">
      <c r="A21" t="inlineStr">
        <is>
          <t>A 28359-2026</t>
        </is>
      </c>
      <c r="B21" t="inlineStr">
        <is>
          <t>avverkningsanmälan</t>
        </is>
      </c>
      <c r="C21" t="inlineStr">
        <is>
          <t>Avverkning för att bevara och utveckla /försöksver</t>
        </is>
      </c>
      <c r="D21" s="1" t="n">
        <v>46196</v>
      </c>
      <c r="E21" s="1" t="n">
        <v>46223</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80</v>
      </c>
      <c r="U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1">
        <f>HYPERLINK("https://klasma.github.io/Logging_2361/artfynd/A 28359-2026 artfynd.xlsx", "A 28359-2026")</f>
        <v/>
      </c>
      <c r="W21">
        <f>HYPERLINK("https://klasma.github.io/Logging_2361/kartor/A 28359-2026 karta.png", "A 28359-2026")</f>
        <v/>
      </c>
      <c r="X21">
        <f>HYPERLINK("https://klasma.github.io/Logging_2361/kartor_geotiff/A 28359-2026 georefererad karta.tif", "A 28359-2026")</f>
        <v/>
      </c>
      <c r="Y21">
        <f>HYPERLINK("https://klasma.github.io/Logging_2361/knärot/A 28359-2026 karta knärot.png", "A 28359-2026")</f>
        <v/>
      </c>
      <c r="Z21">
        <f>HYPERLINK("https://klasma.github.io/Logging_2361/klagomål/A 28359-2026 FSC-klagomål.docx", "A 28359-2026")</f>
        <v/>
      </c>
      <c r="AA21">
        <f>HYPERLINK("https://klasma.github.io/Logging_2361/klagomålsmail/A 28359-2026 FSC-klagomål mail.docx", "A 28359-2026")</f>
        <v/>
      </c>
      <c r="AB21">
        <f>HYPERLINK("https://klasma.github.io/Logging_2361/tillsyn/A 28359-2026 tillsynsbegäran.docx", "A 28359-2026")</f>
        <v/>
      </c>
      <c r="AC21">
        <f>HYPERLINK("https://klasma.github.io/Logging_2361/tillsynsmail/A 28359-2026 tillsynsbegäran mail.docx", "A 28359-2026")</f>
        <v/>
      </c>
      <c r="AD21">
        <f>HYPERLINK("https://klasma.github.io/Logging_2361/fåglar/A 28359-2026 prioriterade fågelarter.docx", "A 28359-2026")</f>
        <v/>
      </c>
    </row>
    <row r="22" ht="15" customHeight="1">
      <c r="A22" t="inlineStr">
        <is>
          <t>A 28384-2026</t>
        </is>
      </c>
      <c r="B22" t="inlineStr">
        <is>
          <t>avverkningsanmälan</t>
        </is>
      </c>
      <c r="C22" t="inlineStr">
        <is>
          <t>Föryngringsavverkning</t>
        </is>
      </c>
      <c r="D22" s="1" t="n">
        <v>46196</v>
      </c>
      <c r="E22" s="1" t="n">
        <v>46223</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s="2" t="inlineStr">
        <is>
          <t>Garnlav
Knärot
Doftskinn
Dvärgbägarlav
Kolflarnlav
Lavskrika
Lunglav
Skrovellav
Talltita
Ullticka
Vedflamlav
Korallrot
Spindelblomster
Vedticka
Brudborste
Fjällskära
Kärrfibbla
Tjäder
Torta
Lopplummer (aggregat)</t>
        </is>
      </c>
      <c r="V22">
        <f>HYPERLINK("https://klasma.github.io/Logging_2361/artfynd/A 28384-2026 artfynd.xlsx", "A 28384-2026")</f>
        <v/>
      </c>
      <c r="W22">
        <f>HYPERLINK("https://klasma.github.io/Logging_2361/kartor/A 28384-2026 karta.png", "A 28384-2026")</f>
        <v/>
      </c>
      <c r="X22">
        <f>HYPERLINK("https://klasma.github.io/Logging_2361/kartor_geotiff/A 28384-2026 georefererad karta.tif", "A 28384-2026")</f>
        <v/>
      </c>
      <c r="Y22">
        <f>HYPERLINK("https://klasma.github.io/Logging_2361/knärot/A 28384-2026 karta knärot.png", "A 28384-2026")</f>
        <v/>
      </c>
      <c r="Z22">
        <f>HYPERLINK("https://klasma.github.io/Logging_2361/klagomål/A 28384-2026 FSC-klagomål.docx", "A 28384-2026")</f>
        <v/>
      </c>
      <c r="AA22">
        <f>HYPERLINK("https://klasma.github.io/Logging_2361/klagomålsmail/A 28384-2026 FSC-klagomål mail.docx", "A 28384-2026")</f>
        <v/>
      </c>
      <c r="AB22">
        <f>HYPERLINK("https://klasma.github.io/Logging_2361/tillsyn/A 28384-2026 tillsynsbegäran.docx", "A 28384-2026")</f>
        <v/>
      </c>
      <c r="AC22">
        <f>HYPERLINK("https://klasma.github.io/Logging_2361/tillsynsmail/A 28384-2026 tillsynsbegäran mail.docx", "A 28384-2026")</f>
        <v/>
      </c>
      <c r="AD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46223</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s="2" t="inlineStr">
        <is>
          <t>Knärot
Smalfotad taggsvamp
Tallgråticka
Blå taggsvamp
Dvärgbägarlav
Kolflarnlav
Lunglav
Mörk kolflarnlav
Nordtagging
Skarp dropptaggsvamp
Skrattmås
Skrovellav
Talltaggsvamp
Vedflamlav
Vedskivlav
Plattlummer
Spindelblomster
Stuplav
Vedticka</t>
        </is>
      </c>
      <c r="V23">
        <f>HYPERLINK("https://klasma.github.io/Logging_2361/artfynd/A 27191-2024 artfynd.xlsx", "A 27191-2024")</f>
        <v/>
      </c>
      <c r="W23">
        <f>HYPERLINK("https://klasma.github.io/Logging_2361/kartor/A 27191-2024 karta.png", "A 27191-2024")</f>
        <v/>
      </c>
      <c r="X23">
        <f>HYPERLINK("https://klasma.github.io/Logging_2361/kartor_geotiff/A 27191-2024 georefererad karta.tif", "A 27191-2024")</f>
        <v/>
      </c>
      <c r="Y23">
        <f>HYPERLINK("https://klasma.github.io/Logging_2361/knärot/A 27191-2024 karta knärot.png", "A 27191-2024")</f>
        <v/>
      </c>
      <c r="Z23">
        <f>HYPERLINK("https://klasma.github.io/Logging_2361/klagomål/A 27191-2024 FSC-klagomål.docx", "A 27191-2024")</f>
        <v/>
      </c>
      <c r="AA23">
        <f>HYPERLINK("https://klasma.github.io/Logging_2361/klagomålsmail/A 27191-2024 FSC-klagomål mail.docx", "A 27191-2024")</f>
        <v/>
      </c>
      <c r="AB23">
        <f>HYPERLINK("https://klasma.github.io/Logging_2361/tillsyn/A 27191-2024 tillsynsbegäran.docx", "A 27191-2024")</f>
        <v/>
      </c>
      <c r="AC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46223</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s="2" t="inlineStr">
        <is>
          <t>Garnlav
Blanksvart spiklav
Doftskinn
Dvärgbägarlav
Gullpudra
Kolflarnlav
Lavskrika
Liten svartspik
Lunglav
Mörk kolflarnlav
Skrovellav
Tretåig hackspett
Ullticka
Vedflamlav
Vedskivlav
Vitgrynig nållav
Gytterlav
Spindelblomster
Stuplav</t>
        </is>
      </c>
      <c r="V24">
        <f>HYPERLINK("https://klasma.github.io/Logging_2361/artfynd/A 1242-2025 artfynd.xlsx", "A 1242-2025")</f>
        <v/>
      </c>
      <c r="W24">
        <f>HYPERLINK("https://klasma.github.io/Logging_2361/kartor/A 1242-2025 karta.png", "A 1242-2025")</f>
        <v/>
      </c>
      <c r="X24">
        <f>HYPERLINK("https://klasma.github.io/Logging_2361/kartor_geotiff/A 1242-2025 georefererad karta.tif", "A 1242-2025")</f>
        <v/>
      </c>
      <c r="Z24">
        <f>HYPERLINK("https://klasma.github.io/Logging_2361/klagomål/A 1242-2025 FSC-klagomål.docx", "A 1242-2025")</f>
        <v/>
      </c>
      <c r="AA24">
        <f>HYPERLINK("https://klasma.github.io/Logging_2361/klagomålsmail/A 1242-2025 FSC-klagomål mail.docx", "A 1242-2025")</f>
        <v/>
      </c>
      <c r="AB24">
        <f>HYPERLINK("https://klasma.github.io/Logging_2361/tillsyn/A 1242-2025 tillsynsbegäran.docx", "A 1242-2025")</f>
        <v/>
      </c>
      <c r="AC24">
        <f>HYPERLINK("https://klasma.github.io/Logging_2361/tillsynsmail/A 1242-2025 tillsynsbegäran mail.docx", "A 1242-2025")</f>
        <v/>
      </c>
      <c r="AD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46223</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5">
        <f>HYPERLINK("https://klasma.github.io/Logging_2361/artfynd/A 136-2025 artfynd.xlsx", "A 136-2025")</f>
        <v/>
      </c>
      <c r="W25">
        <f>HYPERLINK("https://klasma.github.io/Logging_2361/kartor/A 136-2025 karta.png", "A 136-2025")</f>
        <v/>
      </c>
      <c r="X25">
        <f>HYPERLINK("https://klasma.github.io/Logging_2361/kartor_geotiff/A 136-2025 georefererad karta.tif", "A 136-2025")</f>
        <v/>
      </c>
      <c r="Y25">
        <f>HYPERLINK("https://klasma.github.io/Logging_2361/knärot/A 136-2025 karta knärot.png", "A 136-2025")</f>
        <v/>
      </c>
      <c r="Z25">
        <f>HYPERLINK("https://klasma.github.io/Logging_2361/klagomål/A 136-2025 FSC-klagomål.docx", "A 136-2025")</f>
        <v/>
      </c>
      <c r="AA25">
        <f>HYPERLINK("https://klasma.github.io/Logging_2361/klagomålsmail/A 136-2025 FSC-klagomål mail.docx", "A 136-2025")</f>
        <v/>
      </c>
      <c r="AB25">
        <f>HYPERLINK("https://klasma.github.io/Logging_2361/tillsyn/A 136-2025 tillsynsbegäran.docx", "A 136-2025")</f>
        <v/>
      </c>
      <c r="AC25">
        <f>HYPERLINK("https://klasma.github.io/Logging_2361/tillsynsmail/A 136-2025 tillsynsbegäran mail.docx", "A 136-2025")</f>
        <v/>
      </c>
      <c r="AD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46223</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6">
        <f>HYPERLINK("https://klasma.github.io/Logging_2361/artfynd/A 50145-2022 artfynd.xlsx", "A 50145-2022")</f>
        <v/>
      </c>
      <c r="W26">
        <f>HYPERLINK("https://klasma.github.io/Logging_2361/kartor/A 50145-2022 karta.png", "A 50145-2022")</f>
        <v/>
      </c>
      <c r="X26">
        <f>HYPERLINK("https://klasma.github.io/Logging_2361/kartor_geotiff/A 50145-2022 georefererad karta.tif", "A 50145-2022")</f>
        <v/>
      </c>
      <c r="Z26">
        <f>HYPERLINK("https://klasma.github.io/Logging_2361/klagomål/A 50145-2022 FSC-klagomål.docx", "A 50145-2022")</f>
        <v/>
      </c>
      <c r="AA26">
        <f>HYPERLINK("https://klasma.github.io/Logging_2361/klagomålsmail/A 50145-2022 FSC-klagomål mail.docx", "A 50145-2022")</f>
        <v/>
      </c>
      <c r="AB26">
        <f>HYPERLINK("https://klasma.github.io/Logging_2361/tillsyn/A 50145-2022 tillsynsbegäran.docx", "A 50145-2022")</f>
        <v/>
      </c>
      <c r="AC26">
        <f>HYPERLINK("https://klasma.github.io/Logging_2361/tillsynsmail/A 50145-2022 tillsynsbegäran mail.docx", "A 50145-2022")</f>
        <v/>
      </c>
      <c r="AD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46223</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HYPERLINK("https://klasma.github.io/Logging_2361/kartor_geotiff/S 296-2024 georefererad karta.tif", "S 296-2024")</f>
        <v/>
      </c>
      <c r="Y27">
        <f>HYPERLINK("https://klasma.github.io/Logging_2361/knärot/S 296-2024 karta knärot.png", "S 296-2024")</f>
        <v/>
      </c>
      <c r="Z27">
        <f>HYPERLINK("https://klasma.github.io/Logging_2361/klagomål/S 296-2024 FSC-klagomål.docx", "S 296-2024")</f>
        <v/>
      </c>
      <c r="AA27">
        <f>HYPERLINK("https://klasma.github.io/Logging_2361/klagomålsmail/S 296-2024 FSC-klagomål mail.docx", "S 296-2024")</f>
        <v/>
      </c>
      <c r="AB27">
        <f>HYPERLINK("https://klasma.github.io/Logging_2361/tillsyn/S 296-2024 tillsynsbegäran.docx", "S 296-2024")</f>
        <v/>
      </c>
      <c r="AC27">
        <f>HYPERLINK("https://klasma.github.io/Logging_2361/tillsynsmail/S 296-2024 tillsynsbegäran mail.docx", "S 296-2024")</f>
        <v/>
      </c>
      <c r="AD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46223</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X28">
        <f>HYPERLINK("https://klasma.github.io/Logging_2361/kartor_geotiff/S 1219-2025 georefererad karta.tif", "S 1219-2025")</f>
        <v/>
      </c>
      <c r="Z28">
        <f>HYPERLINK("https://klasma.github.io/Logging_2361/klagomål/S 1219-2025 FSC-klagomål.docx", "S 1219-2025")</f>
        <v/>
      </c>
      <c r="AA28">
        <f>HYPERLINK("https://klasma.github.io/Logging_2361/klagomålsmail/S 1219-2025 FSC-klagomål mail.docx", "S 1219-2025")</f>
        <v/>
      </c>
      <c r="AB28">
        <f>HYPERLINK("https://klasma.github.io/Logging_2361/tillsyn/S 1219-2025 tillsynsbegäran.docx", "S 1219-2025")</f>
        <v/>
      </c>
      <c r="AC28">
        <f>HYPERLINK("https://klasma.github.io/Logging_2361/tillsynsmail/S 1219-2025 tillsynsbegäran mail.docx", "S 1219-2025")</f>
        <v/>
      </c>
      <c r="AD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46223</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X29">
        <f>HYPERLINK("https://klasma.github.io/Logging_2361/kartor_geotiff/A 40322-2024 georefererad karta.tif", "A 40322-2024")</f>
        <v/>
      </c>
      <c r="Z29">
        <f>HYPERLINK("https://klasma.github.io/Logging_2361/klagomål/A 40322-2024 FSC-klagomål.docx", "A 40322-2024")</f>
        <v/>
      </c>
      <c r="AA29">
        <f>HYPERLINK("https://klasma.github.io/Logging_2361/klagomålsmail/A 40322-2024 FSC-klagomål mail.docx", "A 40322-2024")</f>
        <v/>
      </c>
      <c r="AB29">
        <f>HYPERLINK("https://klasma.github.io/Logging_2361/tillsyn/A 40322-2024 tillsynsbegäran.docx", "A 40322-2024")</f>
        <v/>
      </c>
      <c r="AC29">
        <f>HYPERLINK("https://klasma.github.io/Logging_2361/tillsynsmail/A 40322-2024 tillsynsbegäran mail.docx", "A 40322-2024")</f>
        <v/>
      </c>
      <c r="AD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46223</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s="2" t="inlineStr">
        <is>
          <t>Doftticka
Knärot
Skrovlig taggsvamp
Blå taggsvamp
Dropptaggsvamp
Dvärgbägarlav
Kolflarnlav
Motaggsvamp
Orange taggsvamp
Skarp dropptaggsvamp
Talltaggsvamp
Vedflamlav
Vedskivlav
Korallrot
Plattlummer
Rödgul trumpetsvamp
Spindelblomster
Tjäder</t>
        </is>
      </c>
      <c r="V30">
        <f>HYPERLINK("https://klasma.github.io/Logging_2361/artfynd/A 18916-2022 artfynd.xlsx", "A 18916-2022")</f>
        <v/>
      </c>
      <c r="W30">
        <f>HYPERLINK("https://klasma.github.io/Logging_2361/kartor/A 18916-2022 karta.png", "A 18916-2022")</f>
        <v/>
      </c>
      <c r="X30">
        <f>HYPERLINK("https://klasma.github.io/Logging_2361/kartor_geotiff/A 18916-2022 georefererad karta.tif", "A 18916-2022")</f>
        <v/>
      </c>
      <c r="Y30">
        <f>HYPERLINK("https://klasma.github.io/Logging_2361/knärot/A 18916-2022 karta knärot.png", "A 18916-2022")</f>
        <v/>
      </c>
      <c r="Z30">
        <f>HYPERLINK("https://klasma.github.io/Logging_2361/klagomål/A 18916-2022 FSC-klagomål.docx", "A 18916-2022")</f>
        <v/>
      </c>
      <c r="AA30">
        <f>HYPERLINK("https://klasma.github.io/Logging_2361/klagomålsmail/A 18916-2022 FSC-klagomål mail.docx", "A 18916-2022")</f>
        <v/>
      </c>
      <c r="AB30">
        <f>HYPERLINK("https://klasma.github.io/Logging_2361/tillsyn/A 18916-2022 tillsynsbegäran.docx", "A 18916-2022")</f>
        <v/>
      </c>
      <c r="AC30">
        <f>HYPERLINK("https://klasma.github.io/Logging_2361/tillsynsmail/A 18916-2022 tillsynsbegäran mail.docx", "A 18916-2022")</f>
        <v/>
      </c>
      <c r="AD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46223</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X31">
        <f>HYPERLINK("https://klasma.github.io/Logging_2361/kartor_geotiff/A 13974-2022 georefererad karta.tif", "A 13974-2022")</f>
        <v/>
      </c>
      <c r="Z31">
        <f>HYPERLINK("https://klasma.github.io/Logging_2361/klagomål/A 13974-2022 FSC-klagomål.docx", "A 13974-2022")</f>
        <v/>
      </c>
      <c r="AA31">
        <f>HYPERLINK("https://klasma.github.io/Logging_2361/klagomålsmail/A 13974-2022 FSC-klagomål mail.docx", "A 13974-2022")</f>
        <v/>
      </c>
      <c r="AB31">
        <f>HYPERLINK("https://klasma.github.io/Logging_2361/tillsyn/A 13974-2022 tillsynsbegäran.docx", "A 13974-2022")</f>
        <v/>
      </c>
      <c r="AC31">
        <f>HYPERLINK("https://klasma.github.io/Logging_2361/tillsynsmail/A 13974-2022 tillsynsbegäran mail.docx", "A 13974-2022")</f>
        <v/>
      </c>
      <c r="AD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46223</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X32">
        <f>HYPERLINK("https://klasma.github.io/Logging_2361/kartor_geotiff/A 58277-2021 georefererad karta.tif", "A 58277-2021")</f>
        <v/>
      </c>
      <c r="Z32">
        <f>HYPERLINK("https://klasma.github.io/Logging_2361/klagomål/A 58277-2021 FSC-klagomål.docx", "A 58277-2021")</f>
        <v/>
      </c>
      <c r="AA32">
        <f>HYPERLINK("https://klasma.github.io/Logging_2361/klagomålsmail/A 58277-2021 FSC-klagomål mail.docx", "A 58277-2021")</f>
        <v/>
      </c>
      <c r="AB32">
        <f>HYPERLINK("https://klasma.github.io/Logging_2361/tillsyn/A 58277-2021 tillsynsbegäran.docx", "A 58277-2021")</f>
        <v/>
      </c>
      <c r="AC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46223</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s="2" t="inlineStr">
        <is>
          <t>Garnlav
Gränsticka
Lappticka
Blanksvart spiklav
Blågrå svartspik
Doftskinn
Gammelgransskål
Harticka
Knottrig blåslav
Rosenticka
Tretåig hackspett
Ullticka
Vedtrappmossa
Violmussling
Vitgrynig nållav
Vedticka
Vågbandad barkbock</t>
        </is>
      </c>
      <c r="V33">
        <f>HYPERLINK("https://klasma.github.io/Logging_2361/artfynd/A 57804-2024 artfynd.xlsx", "A 57804-2024")</f>
        <v/>
      </c>
      <c r="W33">
        <f>HYPERLINK("https://klasma.github.io/Logging_2361/kartor/A 57804-2024 karta.png", "A 57804-2024")</f>
        <v/>
      </c>
      <c r="X33">
        <f>HYPERLINK("https://klasma.github.io/Logging_2361/kartor_geotiff/A 57804-2024 georefererad karta.tif", "A 57804-2024")</f>
        <v/>
      </c>
      <c r="Z33">
        <f>HYPERLINK("https://klasma.github.io/Logging_2361/klagomål/A 57804-2024 FSC-klagomål.docx", "A 57804-2024")</f>
        <v/>
      </c>
      <c r="AA33">
        <f>HYPERLINK("https://klasma.github.io/Logging_2361/klagomålsmail/A 57804-2024 FSC-klagomål mail.docx", "A 57804-2024")</f>
        <v/>
      </c>
      <c r="AB33">
        <f>HYPERLINK("https://klasma.github.io/Logging_2361/tillsyn/A 57804-2024 tillsynsbegäran.docx", "A 57804-2024")</f>
        <v/>
      </c>
      <c r="AC33">
        <f>HYPERLINK("https://klasma.github.io/Logging_2361/tillsynsmail/A 57804-2024 tillsynsbegäran mail.docx", "A 57804-2024")</f>
        <v/>
      </c>
      <c r="AD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46223</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s="2" t="inlineStr">
        <is>
          <t>Garnlav
Gräddporing
Gränsticka
Ostticka
Blanksvart spiklav
Gammelgransskål
Harticka
Knottrig blåslav
Lavskrika
Rosenticka
Talltita
Tretåig hackspett
Ullticka
Vedflamlav
Järpe
Sälg
Tjäder</t>
        </is>
      </c>
      <c r="V34">
        <f>HYPERLINK("https://klasma.github.io/Logging_2361/artfynd/A 57827-2024 artfynd.xlsx", "A 57827-2024")</f>
        <v/>
      </c>
      <c r="W34">
        <f>HYPERLINK("https://klasma.github.io/Logging_2361/kartor/A 57827-2024 karta.png", "A 57827-2024")</f>
        <v/>
      </c>
      <c r="X34">
        <f>HYPERLINK("https://klasma.github.io/Logging_2361/kartor_geotiff/A 57827-2024 georefererad karta.tif", "A 57827-2024")</f>
        <v/>
      </c>
      <c r="Z34">
        <f>HYPERLINK("https://klasma.github.io/Logging_2361/klagomål/A 57827-2024 FSC-klagomål.docx", "A 57827-2024")</f>
        <v/>
      </c>
      <c r="AA34">
        <f>HYPERLINK("https://klasma.github.io/Logging_2361/klagomålsmail/A 57827-2024 FSC-klagomål mail.docx", "A 57827-2024")</f>
        <v/>
      </c>
      <c r="AB34">
        <f>HYPERLINK("https://klasma.github.io/Logging_2361/tillsyn/A 57827-2024 tillsynsbegäran.docx", "A 57827-2024")</f>
        <v/>
      </c>
      <c r="AC34">
        <f>HYPERLINK("https://klasma.github.io/Logging_2361/tillsynsmail/A 57827-2024 tillsynsbegäran mail.docx", "A 57827-2024")</f>
        <v/>
      </c>
      <c r="AD34">
        <f>HYPERLINK("https://klasma.github.io/Logging_2361/fåglar/A 57827-2024 prioriterade fågelarter.docx", "A 57827-2024")</f>
        <v/>
      </c>
    </row>
    <row r="35" ht="15" customHeight="1">
      <c r="A35" t="inlineStr">
        <is>
          <t>A 18164-2026</t>
        </is>
      </c>
      <c r="B35" t="inlineStr">
        <is>
          <t>avverkningsanmälan</t>
        </is>
      </c>
      <c r="C35" t="inlineStr">
        <is>
          <t>Föryngringsavverkning</t>
        </is>
      </c>
      <c r="D35" s="1" t="n">
        <v>46125</v>
      </c>
      <c r="E35" s="1" t="n">
        <v>46223</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s="2" t="inlineStr">
        <is>
          <t>Garnlav
Blågrå svartspik
Dropptaggsvamp
Dvärgbägarlav
Knottrig blåslav
Kolflarnlav
Lunglav
Mörk kolflarnlav
Tretåig hackspett
Varglav
Vedflamlav
Vedskivlav
Violettgrå tagellav
Vitgrynig nållav
Stuplav
Tjäder
Tofsmes</t>
        </is>
      </c>
      <c r="V35">
        <f>HYPERLINK("https://klasma.github.io/Logging_2361/artfynd/A 18164-2026 artfynd.xlsx", "A 18164-2026")</f>
        <v/>
      </c>
      <c r="W35">
        <f>HYPERLINK("https://klasma.github.io/Logging_2361/kartor/A 18164-2026 karta.png", "A 18164-2026")</f>
        <v/>
      </c>
      <c r="X35">
        <f>HYPERLINK("https://klasma.github.io/Logging_2361/kartor_geotiff/A 18164-2026 georefererad karta.tif", "A 18164-2026")</f>
        <v/>
      </c>
      <c r="Z35">
        <f>HYPERLINK("https://klasma.github.io/Logging_2361/klagomål/A 18164-2026 FSC-klagomål.docx", "A 18164-2026")</f>
        <v/>
      </c>
      <c r="AA35">
        <f>HYPERLINK("https://klasma.github.io/Logging_2361/klagomålsmail/A 18164-2026 FSC-klagomål mail.docx", "A 18164-2026")</f>
        <v/>
      </c>
      <c r="AB35">
        <f>HYPERLINK("https://klasma.github.io/Logging_2361/tillsyn/A 18164-2026 tillsynsbegäran.docx", "A 18164-2026")</f>
        <v/>
      </c>
      <c r="AC35">
        <f>HYPERLINK("https://klasma.github.io/Logging_2361/tillsynsmail/A 18164-2026 tillsynsbegäran mail.docx", "A 18164-2026")</f>
        <v/>
      </c>
      <c r="AD35">
        <f>HYPERLINK("https://klasma.github.io/Logging_2361/fåglar/A 18164-2026 prioriterade fågelarter.docx", "A 18164-2026")</f>
        <v/>
      </c>
    </row>
    <row r="36" ht="15" customHeight="1">
      <c r="A36" t="inlineStr">
        <is>
          <t>A 58154-2023</t>
        </is>
      </c>
      <c r="B36" t="inlineStr">
        <is>
          <t>avverkningsanmälan</t>
        </is>
      </c>
      <c r="C36" t="inlineStr">
        <is>
          <t>Föryngringsavverkning</t>
        </is>
      </c>
      <c r="D36" s="1" t="n">
        <v>45250</v>
      </c>
      <c r="E36" s="1" t="n">
        <v>46223</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s="2" t="inlineStr">
        <is>
          <t>Garnlav
Gräddporing
Gränsticka
Blanksvart spiklav
Blågrå svartspik
Dvärgbägarlav
Grantaggsvamp
Kolflarnlav
Lunglav
Mörk kolflarnlav
Nordtagging
Skrovellav
Ullticka
Vedtrappmossa
Barkkornlav
Bårdlav
Korallblylav</t>
        </is>
      </c>
      <c r="V36">
        <f>HYPERLINK("https://klasma.github.io/Logging_2361/artfynd/A 58154-2023 artfynd.xlsx", "A 58154-2023")</f>
        <v/>
      </c>
      <c r="W36">
        <f>HYPERLINK("https://klasma.github.io/Logging_2361/kartor/A 58154-2023 karta.png", "A 58154-2023")</f>
        <v/>
      </c>
      <c r="X36">
        <f>HYPERLINK("https://klasma.github.io/Logging_2361/kartor_geotiff/A 58154-2023 georefererad karta.tif", "A 58154-2023")</f>
        <v/>
      </c>
      <c r="Z36">
        <f>HYPERLINK("https://klasma.github.io/Logging_2361/klagomål/A 58154-2023 FSC-klagomål.docx", "A 58154-2023")</f>
        <v/>
      </c>
      <c r="AA36">
        <f>HYPERLINK("https://klasma.github.io/Logging_2361/klagomålsmail/A 58154-2023 FSC-klagomål mail.docx", "A 58154-2023")</f>
        <v/>
      </c>
      <c r="AB36">
        <f>HYPERLINK("https://klasma.github.io/Logging_2361/tillsyn/A 58154-2023 tillsynsbegäran.docx", "A 58154-2023")</f>
        <v/>
      </c>
      <c r="AC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46223</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HYPERLINK("https://klasma.github.io/Logging_2361/kartor_geotiff/A 28288-2024 georefererad karta.tif", "A 28288-2024")</f>
        <v/>
      </c>
      <c r="Y37">
        <f>HYPERLINK("https://klasma.github.io/Logging_2361/knärot/A 28288-2024 karta knärot.png", "A 28288-2024")</f>
        <v/>
      </c>
      <c r="Z37">
        <f>HYPERLINK("https://klasma.github.io/Logging_2361/klagomål/A 28288-2024 FSC-klagomål.docx", "A 28288-2024")</f>
        <v/>
      </c>
      <c r="AA37">
        <f>HYPERLINK("https://klasma.github.io/Logging_2361/klagomålsmail/A 28288-2024 FSC-klagomål mail.docx", "A 28288-2024")</f>
        <v/>
      </c>
      <c r="AB37">
        <f>HYPERLINK("https://klasma.github.io/Logging_2361/tillsyn/A 28288-2024 tillsynsbegäran.docx", "A 28288-2024")</f>
        <v/>
      </c>
      <c r="AC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46223</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s="2" t="inlineStr">
        <is>
          <t>Garnlav
Knärot
Brunpudrad nållav
Kolflarnlav
Lunglav
Skrovellav
Tretåig hackspett
Ullticka
Violettgrå tagellav
Vitgrynig nållav
Bollvitmossa
Gulnål
Rävticka
Skinnlav
Stuplav
Vedticka
Revlummer</t>
        </is>
      </c>
      <c r="V38">
        <f>HYPERLINK("https://klasma.github.io/Logging_2361/artfynd/A 23570-2026 artfynd.xlsx", "A 23570-2026")</f>
        <v/>
      </c>
      <c r="W38">
        <f>HYPERLINK("https://klasma.github.io/Logging_2361/kartor/A 23570-2026 karta.png", "A 23570-2026")</f>
        <v/>
      </c>
      <c r="X38">
        <f>HYPERLINK("https://klasma.github.io/Logging_2361/kartor_geotiff/A 23570-2026 georefererad karta.tif", "A 23570-2026")</f>
        <v/>
      </c>
      <c r="Y38">
        <f>HYPERLINK("https://klasma.github.io/Logging_2361/knärot/A 23570-2026 karta knärot.png", "A 23570-2026")</f>
        <v/>
      </c>
      <c r="Z38">
        <f>HYPERLINK("https://klasma.github.io/Logging_2361/klagomål/A 23570-2026 FSC-klagomål.docx", "A 23570-2026")</f>
        <v/>
      </c>
      <c r="AA38">
        <f>HYPERLINK("https://klasma.github.io/Logging_2361/klagomålsmail/A 23570-2026 FSC-klagomål mail.docx", "A 23570-2026")</f>
        <v/>
      </c>
      <c r="AB38">
        <f>HYPERLINK("https://klasma.github.io/Logging_2361/tillsyn/A 23570-2026 tillsynsbegäran.docx", "A 23570-2026")</f>
        <v/>
      </c>
      <c r="AC38">
        <f>HYPERLINK("https://klasma.github.io/Logging_2361/tillsynsmail/A 23570-2026 tillsynsbegäran mail.docx", "A 23570-2026")</f>
        <v/>
      </c>
      <c r="AD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46223</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X39">
        <f>HYPERLINK("https://klasma.github.io/Logging_2361/kartor_geotiff/A 42444-2023 georefererad karta.tif", "A 42444-2023")</f>
        <v/>
      </c>
      <c r="Z39">
        <f>HYPERLINK("https://klasma.github.io/Logging_2361/klagomål/A 42444-2023 FSC-klagomål.docx", "A 42444-2023")</f>
        <v/>
      </c>
      <c r="AA39">
        <f>HYPERLINK("https://klasma.github.io/Logging_2361/klagomålsmail/A 42444-2023 FSC-klagomål mail.docx", "A 42444-2023")</f>
        <v/>
      </c>
      <c r="AB39">
        <f>HYPERLINK("https://klasma.github.io/Logging_2361/tillsyn/A 42444-2023 tillsynsbegäran.docx", "A 42444-2023")</f>
        <v/>
      </c>
      <c r="AC39">
        <f>HYPERLINK("https://klasma.github.io/Logging_2361/tillsynsmail/A 42444-2023 tillsynsbegäran mail.docx", "A 42444-2023")</f>
        <v/>
      </c>
      <c r="AD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46223</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X40">
        <f>HYPERLINK("https://klasma.github.io/Logging_2361/kartor_geotiff/A 20935-2023 georefererad karta.tif", "A 20935-2023")</f>
        <v/>
      </c>
      <c r="Z40">
        <f>HYPERLINK("https://klasma.github.io/Logging_2361/klagomål/A 20935-2023 FSC-klagomål.docx", "A 20935-2023")</f>
        <v/>
      </c>
      <c r="AA40">
        <f>HYPERLINK("https://klasma.github.io/Logging_2361/klagomålsmail/A 20935-2023 FSC-klagomål mail.docx", "A 20935-2023")</f>
        <v/>
      </c>
      <c r="AB40">
        <f>HYPERLINK("https://klasma.github.io/Logging_2361/tillsyn/A 20935-2023 tillsynsbegäran.docx", "A 20935-2023")</f>
        <v/>
      </c>
      <c r="AC40">
        <f>HYPERLINK("https://klasma.github.io/Logging_2361/tillsynsmail/A 20935-2023 tillsynsbegäran mail.docx", "A 20935-2023")</f>
        <v/>
      </c>
      <c r="AD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46223</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HYPERLINK("https://klasma.github.io/Logging_2361/kartor_geotiff/A 47109-2025 georefererad karta.tif", "A 47109-2025")</f>
        <v/>
      </c>
      <c r="Y41">
        <f>HYPERLINK("https://klasma.github.io/Logging_2361/knärot/A 47109-2025 karta knärot.png", "A 47109-2025")</f>
        <v/>
      </c>
      <c r="Z41">
        <f>HYPERLINK("https://klasma.github.io/Logging_2361/klagomål/A 47109-2025 FSC-klagomål.docx", "A 47109-2025")</f>
        <v/>
      </c>
      <c r="AA41">
        <f>HYPERLINK("https://klasma.github.io/Logging_2361/klagomålsmail/A 47109-2025 FSC-klagomål mail.docx", "A 47109-2025")</f>
        <v/>
      </c>
      <c r="AB41">
        <f>HYPERLINK("https://klasma.github.io/Logging_2361/tillsyn/A 47109-2025 tillsynsbegäran.docx", "A 47109-2025")</f>
        <v/>
      </c>
      <c r="AC41">
        <f>HYPERLINK("https://klasma.github.io/Logging_2361/tillsynsmail/A 47109-2025 tillsynsbegäran mail.docx", "A 47109-2025")</f>
        <v/>
      </c>
      <c r="AD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46223</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X42">
        <f>HYPERLINK("https://klasma.github.io/Logging_2361/kartor_geotiff/A 38064-2024 georefererad karta.tif", "A 38064-2024")</f>
        <v/>
      </c>
      <c r="Z42">
        <f>HYPERLINK("https://klasma.github.io/Logging_2361/klagomål/A 38064-2024 FSC-klagomål.docx", "A 38064-2024")</f>
        <v/>
      </c>
      <c r="AA42">
        <f>HYPERLINK("https://klasma.github.io/Logging_2361/klagomålsmail/A 38064-2024 FSC-klagomål mail.docx", "A 38064-2024")</f>
        <v/>
      </c>
      <c r="AB42">
        <f>HYPERLINK("https://klasma.github.io/Logging_2361/tillsyn/A 38064-2024 tillsynsbegäran.docx", "A 38064-2024")</f>
        <v/>
      </c>
      <c r="AC42">
        <f>HYPERLINK("https://klasma.github.io/Logging_2361/tillsynsmail/A 38064-2024 tillsynsbegäran mail.docx", "A 38064-2024")</f>
        <v/>
      </c>
      <c r="AD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46223</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X43">
        <f>HYPERLINK("https://klasma.github.io/Logging_2361/kartor_geotiff/A 32340-2025 georefererad karta.tif", "A 32340-2025")</f>
        <v/>
      </c>
      <c r="Z43">
        <f>HYPERLINK("https://klasma.github.io/Logging_2361/klagomål/A 32340-2025 FSC-klagomål.docx", "A 32340-2025")</f>
        <v/>
      </c>
      <c r="AA43">
        <f>HYPERLINK("https://klasma.github.io/Logging_2361/klagomålsmail/A 32340-2025 FSC-klagomål mail.docx", "A 32340-2025")</f>
        <v/>
      </c>
      <c r="AB43">
        <f>HYPERLINK("https://klasma.github.io/Logging_2361/tillsyn/A 32340-2025 tillsynsbegäran.docx", "A 32340-2025")</f>
        <v/>
      </c>
      <c r="AC43">
        <f>HYPERLINK("https://klasma.github.io/Logging_2361/tillsynsmail/A 32340-2025 tillsynsbegäran mail.docx", "A 32340-2025")</f>
        <v/>
      </c>
      <c r="AD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46223</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X44">
        <f>HYPERLINK("https://klasma.github.io/Logging_2361/kartor_geotiff/A 60494-2025 georefererad karta.tif", "A 60494-2025")</f>
        <v/>
      </c>
      <c r="Z44">
        <f>HYPERLINK("https://klasma.github.io/Logging_2361/klagomål/A 60494-2025 FSC-klagomål.docx", "A 60494-2025")</f>
        <v/>
      </c>
      <c r="AA44">
        <f>HYPERLINK("https://klasma.github.io/Logging_2361/klagomålsmail/A 60494-2025 FSC-klagomål mail.docx", "A 60494-2025")</f>
        <v/>
      </c>
      <c r="AB44">
        <f>HYPERLINK("https://klasma.github.io/Logging_2361/tillsyn/A 60494-2025 tillsynsbegäran.docx", "A 60494-2025")</f>
        <v/>
      </c>
      <c r="AC44">
        <f>HYPERLINK("https://klasma.github.io/Logging_2361/tillsynsmail/A 60494-2025 tillsynsbegäran mail.docx", "A 60494-2025")</f>
        <v/>
      </c>
      <c r="AD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46223</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X45">
        <f>HYPERLINK("https://klasma.github.io/Logging_2361/kartor_geotiff/A 31328-2022 georefererad karta.tif", "A 31328-2022")</f>
        <v/>
      </c>
      <c r="Z45">
        <f>HYPERLINK("https://klasma.github.io/Logging_2361/klagomål/A 31328-2022 FSC-klagomål.docx", "A 31328-2022")</f>
        <v/>
      </c>
      <c r="AA45">
        <f>HYPERLINK("https://klasma.github.io/Logging_2361/klagomålsmail/A 31328-2022 FSC-klagomål mail.docx", "A 31328-2022")</f>
        <v/>
      </c>
      <c r="AB45">
        <f>HYPERLINK("https://klasma.github.io/Logging_2361/tillsyn/A 31328-2022 tillsynsbegäran.docx", "A 31328-2022")</f>
        <v/>
      </c>
      <c r="AC45">
        <f>HYPERLINK("https://klasma.github.io/Logging_2361/tillsynsmail/A 31328-2022 tillsynsbegäran mail.docx", "A 31328-2022")</f>
        <v/>
      </c>
      <c r="AD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46223</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s="2" t="inlineStr">
        <is>
          <t>Mosippa
Goliatmusseron
Skrovlig taggsvamp
Tallgråticka
Torrmusseron
Blå taggsvamp
Dropptaggsvamp
Mjölsvärting
Motaggsvamp
Orange taggsvamp
Skarp dropptaggsvamp
Tallfingersvamp
Tallticka</t>
        </is>
      </c>
      <c r="V46">
        <f>HYPERLINK("https://klasma.github.io/Logging_2361/artfynd/A 45557-2021 artfynd.xlsx", "A 45557-2021")</f>
        <v/>
      </c>
      <c r="W46">
        <f>HYPERLINK("https://klasma.github.io/Logging_2361/kartor/A 45557-2021 karta.png", "A 45557-2021")</f>
        <v/>
      </c>
      <c r="X46">
        <f>HYPERLINK("https://klasma.github.io/Logging_2361/kartor_geotiff/A 45557-2021 georefererad karta.tif", "A 45557-2021")</f>
        <v/>
      </c>
      <c r="Z46">
        <f>HYPERLINK("https://klasma.github.io/Logging_2361/klagomål/A 45557-2021 FSC-klagomål.docx", "A 45557-2021")</f>
        <v/>
      </c>
      <c r="AA46">
        <f>HYPERLINK("https://klasma.github.io/Logging_2361/klagomålsmail/A 45557-2021 FSC-klagomål mail.docx", "A 45557-2021")</f>
        <v/>
      </c>
      <c r="AB46">
        <f>HYPERLINK("https://klasma.github.io/Logging_2361/tillsyn/A 45557-2021 tillsynsbegäran.docx", "A 45557-2021")</f>
        <v/>
      </c>
      <c r="AC46">
        <f>HYPERLINK("https://klasma.github.io/Logging_2361/tillsynsmail/A 45557-2021 tillsynsbegäran mail.docx", "A 45557-2021")</f>
        <v/>
      </c>
    </row>
    <row r="47" ht="15" customHeight="1">
      <c r="A47" t="inlineStr">
        <is>
          <t>A 29434-2023</t>
        </is>
      </c>
      <c r="B47" t="inlineStr">
        <is>
          <t>avverkningsanmälan</t>
        </is>
      </c>
      <c r="C47" t="inlineStr">
        <is>
          <t>Föryngringsavverkning</t>
        </is>
      </c>
      <c r="D47" s="1" t="n">
        <v>45106</v>
      </c>
      <c r="E47" s="1" t="n">
        <v>46223</v>
      </c>
      <c r="F47" t="inlineStr">
        <is>
          <t>JÄMTLANDS LÄN</t>
        </is>
      </c>
      <c r="G47" t="inlineStr">
        <is>
          <t>HÄRJEDALEN</t>
        </is>
      </c>
      <c r="I47" t="n">
        <v>7.5</v>
      </c>
      <c r="J47" t="n">
        <v>1</v>
      </c>
      <c r="K47" t="n">
        <v>0</v>
      </c>
      <c r="L47" t="n">
        <v>12</v>
      </c>
      <c r="M47" t="n">
        <v>1</v>
      </c>
      <c r="N47" t="n">
        <v>0</v>
      </c>
      <c r="O47" t="n">
        <v>0</v>
      </c>
      <c r="P47" t="n">
        <v>0</v>
      </c>
      <c r="Q47" t="n">
        <v>13</v>
      </c>
      <c r="R47" t="n">
        <v>1</v>
      </c>
      <c r="S47" t="n">
        <v>13</v>
      </c>
      <c r="T47" t="n">
        <v>18</v>
      </c>
      <c r="U47" s="2" t="inlineStr">
        <is>
          <t>Garnlav
Blanksvart spiklav
Blågrå svartspik
Brunpudrad nållav
Knottrig blåslav
Kolflarnlav
Mörk kolflarnlav
Talltagel
Tretåig hackspett
Vedflamlav
Vedskivlav
Violettgrå tagellav
Vitgrynig nållav</t>
        </is>
      </c>
      <c r="V47">
        <f>HYPERLINK("https://klasma.github.io/Logging_2361/artfynd/A 29434-2023 artfynd.xlsx", "A 29434-2023")</f>
        <v/>
      </c>
      <c r="W47">
        <f>HYPERLINK("https://klasma.github.io/Logging_2361/kartor/A 29434-2023 karta.png", "A 29434-2023")</f>
        <v/>
      </c>
      <c r="X47">
        <f>HYPERLINK("https://klasma.github.io/Logging_2361/kartor_geotiff/A 29434-2023 georefererad karta.tif", "A 29434-2023")</f>
        <v/>
      </c>
      <c r="Z47">
        <f>HYPERLINK("https://klasma.github.io/Logging_2361/klagomål/A 29434-2023 FSC-klagomål.docx", "A 29434-2023")</f>
        <v/>
      </c>
      <c r="AA47">
        <f>HYPERLINK("https://klasma.github.io/Logging_2361/klagomålsmail/A 29434-2023 FSC-klagomål mail.docx", "A 29434-2023")</f>
        <v/>
      </c>
      <c r="AB47">
        <f>HYPERLINK("https://klasma.github.io/Logging_2361/tillsyn/A 29434-2023 tillsynsbegäran.docx", "A 29434-2023")</f>
        <v/>
      </c>
      <c r="AC47">
        <f>HYPERLINK("https://klasma.github.io/Logging_2361/tillsynsmail/A 29434-2023 tillsynsbegäran mail.docx", "A 29434-2023")</f>
        <v/>
      </c>
      <c r="AD47">
        <f>HYPERLINK("https://klasma.github.io/Logging_2361/fåglar/A 29434-2023 prioriterade fågelarter.docx", "A 29434-2023")</f>
        <v/>
      </c>
    </row>
    <row r="48" ht="15" customHeight="1">
      <c r="A48" t="inlineStr">
        <is>
          <t>A 38070-2024</t>
        </is>
      </c>
      <c r="B48" t="inlineStr">
        <is>
          <t>avverkningsanmälan</t>
        </is>
      </c>
      <c r="C48" t="inlineStr">
        <is>
          <t>Föryngringsavverkning</t>
        </is>
      </c>
      <c r="D48" s="1" t="n">
        <v>45544</v>
      </c>
      <c r="E48" s="1" t="n">
        <v>46223</v>
      </c>
      <c r="F48" t="inlineStr">
        <is>
          <t>JÄMTLANDS LÄN</t>
        </is>
      </c>
      <c r="G48" t="inlineStr">
        <is>
          <t>HÄRJEDALEN</t>
        </is>
      </c>
      <c r="I48" t="n">
        <v>5.1</v>
      </c>
      <c r="J48" t="n">
        <v>3</v>
      </c>
      <c r="K48" t="n">
        <v>1</v>
      </c>
      <c r="L48" t="n">
        <v>9</v>
      </c>
      <c r="M48" t="n">
        <v>3</v>
      </c>
      <c r="N48" t="n">
        <v>0</v>
      </c>
      <c r="O48" t="n">
        <v>0</v>
      </c>
      <c r="P48" t="n">
        <v>0</v>
      </c>
      <c r="Q48" t="n">
        <v>12</v>
      </c>
      <c r="R48" t="n">
        <v>3</v>
      </c>
      <c r="S48" t="n">
        <v>13</v>
      </c>
      <c r="T48" t="n">
        <v>42</v>
      </c>
      <c r="U48" s="2" t="inlineStr">
        <is>
          <t>Garnlav
Gränsticka
Vitskaftad svartspik
Blanksvart spiklav
Blågrå svartspik
Lavskrika
Rosenticka
Skrovellav
Talltita
Tretåig hackspett
Ullticka
Vitgrynig nållav
Stuplav</t>
        </is>
      </c>
      <c r="V48">
        <f>HYPERLINK("https://klasma.github.io/Logging_2361/artfynd/A 38070-2024 artfynd.xlsx", "A 38070-2024")</f>
        <v/>
      </c>
      <c r="W48">
        <f>HYPERLINK("https://klasma.github.io/Logging_2361/kartor/A 38070-2024 karta.png", "A 38070-2024")</f>
        <v/>
      </c>
      <c r="X48">
        <f>HYPERLINK("https://klasma.github.io/Logging_2361/kartor_geotiff/A 38070-2024 georefererad karta.tif", "A 38070-2024")</f>
        <v/>
      </c>
      <c r="Z48">
        <f>HYPERLINK("https://klasma.github.io/Logging_2361/klagomål/A 38070-2024 FSC-klagomål.docx", "A 38070-2024")</f>
        <v/>
      </c>
      <c r="AA48">
        <f>HYPERLINK("https://klasma.github.io/Logging_2361/klagomålsmail/A 38070-2024 FSC-klagomål mail.docx", "A 38070-2024")</f>
        <v/>
      </c>
      <c r="AB48">
        <f>HYPERLINK("https://klasma.github.io/Logging_2361/tillsyn/A 38070-2024 tillsynsbegäran.docx", "A 38070-2024")</f>
        <v/>
      </c>
      <c r="AC48">
        <f>HYPERLINK("https://klasma.github.io/Logging_2361/tillsynsmail/A 38070-2024 tillsynsbegäran mail.docx", "A 38070-2024")</f>
        <v/>
      </c>
      <c r="AD48">
        <f>HYPERLINK("https://klasma.github.io/Logging_2361/fåglar/A 38070-2024 prioriterade fågelarter.docx", "A 38070-2024")</f>
        <v/>
      </c>
    </row>
    <row r="49" ht="15" customHeight="1">
      <c r="A49" t="inlineStr">
        <is>
          <t>A 56499-2024</t>
        </is>
      </c>
      <c r="B49" t="inlineStr">
        <is>
          <t>avverkningsanmälan</t>
        </is>
      </c>
      <c r="C49" t="inlineStr">
        <is>
          <t>Föryngringsavverkning</t>
        </is>
      </c>
      <c r="D49" s="1" t="n">
        <v>45625</v>
      </c>
      <c r="E49" s="1" t="n">
        <v>46223</v>
      </c>
      <c r="F49" t="inlineStr">
        <is>
          <t>JÄMTLANDS LÄN</t>
        </is>
      </c>
      <c r="G49" t="inlineStr">
        <is>
          <t>HÄRJEDALEN</t>
        </is>
      </c>
      <c r="I49" t="n">
        <v>3.4</v>
      </c>
      <c r="J49" t="n">
        <v>3</v>
      </c>
      <c r="K49" t="n">
        <v>1</v>
      </c>
      <c r="L49" t="n">
        <v>10</v>
      </c>
      <c r="M49" t="n">
        <v>2</v>
      </c>
      <c r="N49" t="n">
        <v>0</v>
      </c>
      <c r="O49" t="n">
        <v>0</v>
      </c>
      <c r="P49" t="n">
        <v>0</v>
      </c>
      <c r="Q49" t="n">
        <v>12</v>
      </c>
      <c r="R49" t="n">
        <v>2</v>
      </c>
      <c r="S49" t="n">
        <v>13</v>
      </c>
      <c r="T49" t="n">
        <v>76</v>
      </c>
      <c r="U49" s="2" t="inlineStr">
        <is>
          <t>Garnlav
Knärot
Dropptaggsvamp
Kolflarnlav
Lunglav
Mörk kolflarnlav
Tallticka
Talltita
Tretåig hackspett
Vedflamlav
Vedskivlav
Violettgrå tagellav
Grönpyrola</t>
        </is>
      </c>
      <c r="V49">
        <f>HYPERLINK("https://klasma.github.io/Logging_2361/artfynd/A 56499-2024 artfynd.xlsx", "A 56499-2024")</f>
        <v/>
      </c>
      <c r="W49">
        <f>HYPERLINK("https://klasma.github.io/Logging_2361/kartor/A 56499-2024 karta.png", "A 56499-2024")</f>
        <v/>
      </c>
      <c r="X49">
        <f>HYPERLINK("https://klasma.github.io/Logging_2361/kartor_geotiff/A 56499-2024 georefererad karta.tif", "A 56499-2024")</f>
        <v/>
      </c>
      <c r="Y49">
        <f>HYPERLINK("https://klasma.github.io/Logging_2361/knärot/A 56499-2024 karta knärot.png", "A 56499-2024")</f>
        <v/>
      </c>
      <c r="Z49">
        <f>HYPERLINK("https://klasma.github.io/Logging_2361/klagomål/A 56499-2024 FSC-klagomål.docx", "A 56499-2024")</f>
        <v/>
      </c>
      <c r="AA49">
        <f>HYPERLINK("https://klasma.github.io/Logging_2361/klagomålsmail/A 56499-2024 FSC-klagomål mail.docx", "A 56499-2024")</f>
        <v/>
      </c>
      <c r="AB49">
        <f>HYPERLINK("https://klasma.github.io/Logging_2361/tillsyn/A 56499-2024 tillsynsbegäran.docx", "A 56499-2024")</f>
        <v/>
      </c>
      <c r="AC49">
        <f>HYPERLINK("https://klasma.github.io/Logging_2361/tillsynsmail/A 56499-2024 tillsynsbegäran mail.docx", "A 56499-2024")</f>
        <v/>
      </c>
      <c r="AD49">
        <f>HYPERLINK("https://klasma.github.io/Logging_2361/fåglar/A 56499-2024 prioriterade fågelarter.docx", "A 56499-2024")</f>
        <v/>
      </c>
    </row>
    <row r="50" ht="15" customHeight="1">
      <c r="A50" t="inlineStr">
        <is>
          <t>A 28376-2026</t>
        </is>
      </c>
      <c r="B50" t="inlineStr">
        <is>
          <t>avverkningsanmälan</t>
        </is>
      </c>
      <c r="C50" t="inlineStr">
        <is>
          <t>Föryngringsavverkning</t>
        </is>
      </c>
      <c r="D50" s="1" t="n">
        <v>46196</v>
      </c>
      <c r="E50" s="1" t="n">
        <v>46223</v>
      </c>
      <c r="F50" t="inlineStr">
        <is>
          <t>JÄMTLANDS LÄN</t>
        </is>
      </c>
      <c r="G50" t="inlineStr">
        <is>
          <t>HÄRJEDALEN</t>
        </is>
      </c>
      <c r="I50" t="n">
        <v>5.4</v>
      </c>
      <c r="J50" t="n">
        <v>4</v>
      </c>
      <c r="K50" t="n">
        <v>4</v>
      </c>
      <c r="L50" t="n">
        <v>6</v>
      </c>
      <c r="M50" t="n">
        <v>2</v>
      </c>
      <c r="N50" t="n">
        <v>0</v>
      </c>
      <c r="O50" t="n">
        <v>0</v>
      </c>
      <c r="P50" t="n">
        <v>0</v>
      </c>
      <c r="Q50" t="n">
        <v>8</v>
      </c>
      <c r="R50" t="n">
        <v>2</v>
      </c>
      <c r="S50" t="n">
        <v>13</v>
      </c>
      <c r="T50" t="n">
        <v>49</v>
      </c>
      <c r="U50" s="2" t="inlineStr">
        <is>
          <t>Garnlav
Knärot
Dropptaggsvamp
Knottrig blåslav
Kolflarnlav
Lavskrika
Mörk kolflarnlav
Talltita
Mindre märgborre
Norrlandslav
Nästlav
Stuplav
Tjäder</t>
        </is>
      </c>
      <c r="V50">
        <f>HYPERLINK("https://klasma.github.io/Logging_2361/artfynd/A 28376-2026 artfynd.xlsx", "A 28376-2026")</f>
        <v/>
      </c>
      <c r="W50">
        <f>HYPERLINK("https://klasma.github.io/Logging_2361/kartor/A 28376-2026 karta.png", "A 28376-2026")</f>
        <v/>
      </c>
      <c r="X50">
        <f>HYPERLINK("https://klasma.github.io/Logging_2361/kartor_geotiff/A 28376-2026 georefererad karta.tif", "A 28376-2026")</f>
        <v/>
      </c>
      <c r="Y50">
        <f>HYPERLINK("https://klasma.github.io/Logging_2361/knärot/A 28376-2026 karta knärot.png", "A 28376-2026")</f>
        <v/>
      </c>
      <c r="Z50">
        <f>HYPERLINK("https://klasma.github.io/Logging_2361/klagomål/A 28376-2026 FSC-klagomål.docx", "A 28376-2026")</f>
        <v/>
      </c>
      <c r="AA50">
        <f>HYPERLINK("https://klasma.github.io/Logging_2361/klagomålsmail/A 28376-2026 FSC-klagomål mail.docx", "A 28376-2026")</f>
        <v/>
      </c>
      <c r="AB50">
        <f>HYPERLINK("https://klasma.github.io/Logging_2361/tillsyn/A 28376-2026 tillsynsbegäran.docx", "A 28376-2026")</f>
        <v/>
      </c>
      <c r="AC50">
        <f>HYPERLINK("https://klasma.github.io/Logging_2361/tillsynsmail/A 28376-2026 tillsynsbegäran mail.docx", "A 28376-2026")</f>
        <v/>
      </c>
      <c r="AD50">
        <f>HYPERLINK("https://klasma.github.io/Logging_2361/fåglar/A 28376-2026 prioriterade fågelarter.docx", "A 28376-2026")</f>
        <v/>
      </c>
    </row>
    <row r="51" ht="15" customHeight="1">
      <c r="A51" t="inlineStr">
        <is>
          <t>A 38354-2021</t>
        </is>
      </c>
      <c r="B51" t="inlineStr">
        <is>
          <t>avverkningsanmälan</t>
        </is>
      </c>
      <c r="C51" t="inlineStr">
        <is>
          <t>Föryngringsavverkning</t>
        </is>
      </c>
      <c r="D51" s="1" t="n">
        <v>44406</v>
      </c>
      <c r="E51" s="1" t="n">
        <v>46223</v>
      </c>
      <c r="F51" t="inlineStr">
        <is>
          <t>JÄMTLANDS LÄN</t>
        </is>
      </c>
      <c r="G51" t="inlineStr">
        <is>
          <t>HÄRJEDALEN</t>
        </is>
      </c>
      <c r="I51" t="n">
        <v>15.8</v>
      </c>
      <c r="J51" t="n">
        <v>2</v>
      </c>
      <c r="K51" t="n">
        <v>1</v>
      </c>
      <c r="L51" t="n">
        <v>11</v>
      </c>
      <c r="M51" t="n">
        <v>1</v>
      </c>
      <c r="N51" t="n">
        <v>0</v>
      </c>
      <c r="O51" t="n">
        <v>0</v>
      </c>
      <c r="P51" t="n">
        <v>0</v>
      </c>
      <c r="Q51" t="n">
        <v>12</v>
      </c>
      <c r="R51" t="n">
        <v>1</v>
      </c>
      <c r="S51" t="n">
        <v>13</v>
      </c>
      <c r="T51" t="n">
        <v>40</v>
      </c>
      <c r="U51" s="2" t="inlineStr">
        <is>
          <t>Doftticka
Blå taggsvamp
Blågrå svartspik
Dropptaggsvamp
Dvärgbägarlav
Mörk kolflarnlav
Orange taggsvamp
Skarp dropptaggsvamp
Tallriska
Varglav
Vedflamlav
Vedskivlav
Skinnlav</t>
        </is>
      </c>
      <c r="V51">
        <f>HYPERLINK("https://klasma.github.io/Logging_2361/artfynd/A 38354-2021 artfynd.xlsx", "A 38354-2021")</f>
        <v/>
      </c>
      <c r="W51">
        <f>HYPERLINK("https://klasma.github.io/Logging_2361/kartor/A 38354-2021 karta.png", "A 38354-2021")</f>
        <v/>
      </c>
      <c r="X51">
        <f>HYPERLINK("https://klasma.github.io/Logging_2361/kartor_geotiff/A 38354-2021 georefererad karta.tif", "A 38354-2021")</f>
        <v/>
      </c>
      <c r="Z51">
        <f>HYPERLINK("https://klasma.github.io/Logging_2361/klagomål/A 38354-2021 FSC-klagomål.docx", "A 38354-2021")</f>
        <v/>
      </c>
      <c r="AA51">
        <f>HYPERLINK("https://klasma.github.io/Logging_2361/klagomålsmail/A 38354-2021 FSC-klagomål mail.docx", "A 38354-2021")</f>
        <v/>
      </c>
      <c r="AB51">
        <f>HYPERLINK("https://klasma.github.io/Logging_2361/tillsyn/A 38354-2021 tillsynsbegäran.docx", "A 38354-2021")</f>
        <v/>
      </c>
      <c r="AC51">
        <f>HYPERLINK("https://klasma.github.io/Logging_2361/tillsynsmail/A 38354-2021 tillsynsbegäran mail.docx", "A 38354-2021")</f>
        <v/>
      </c>
    </row>
    <row r="52" ht="15" customHeight="1">
      <c r="A52" t="inlineStr">
        <is>
          <t>A 46633-2023</t>
        </is>
      </c>
      <c r="B52" t="inlineStr">
        <is>
          <t>avverkningsanmälan</t>
        </is>
      </c>
      <c r="C52" t="inlineStr">
        <is>
          <t>Föryngringsavverkning</t>
        </is>
      </c>
      <c r="D52" s="1" t="n">
        <v>45198</v>
      </c>
      <c r="E52" s="1" t="n">
        <v>46223</v>
      </c>
      <c r="F52" t="inlineStr">
        <is>
          <t>JÄMTLANDS LÄN</t>
        </is>
      </c>
      <c r="G52" t="inlineStr">
        <is>
          <t>HÄRJEDALEN</t>
        </is>
      </c>
      <c r="H52" t="inlineStr">
        <is>
          <t>Bergvik skog väst AB</t>
        </is>
      </c>
      <c r="I52" t="n">
        <v>13.3</v>
      </c>
      <c r="J52" t="n">
        <v>5</v>
      </c>
      <c r="K52" t="n">
        <v>6</v>
      </c>
      <c r="L52" t="n">
        <v>4</v>
      </c>
      <c r="M52" t="n">
        <v>2</v>
      </c>
      <c r="N52" t="n">
        <v>0</v>
      </c>
      <c r="O52" t="n">
        <v>0</v>
      </c>
      <c r="P52" t="n">
        <v>0</v>
      </c>
      <c r="Q52" t="n">
        <v>6</v>
      </c>
      <c r="R52" t="n">
        <v>2</v>
      </c>
      <c r="S52" t="n">
        <v>13</v>
      </c>
      <c r="T52" t="n">
        <v>67</v>
      </c>
      <c r="U52" s="2" t="inlineStr">
        <is>
          <t>Garnlav
Knärot
Dvärgbägarlav
Lunglav
Skrovellav
Talltita
Bårdlav
Korallblylav
Korallrot
Spindelblomster
Stuplav
Vedticka
Huggorm</t>
        </is>
      </c>
      <c r="V52">
        <f>HYPERLINK("https://klasma.github.io/Logging_2361/artfynd/A 46633-2023 artfynd.xlsx", "A 46633-2023")</f>
        <v/>
      </c>
      <c r="W52">
        <f>HYPERLINK("https://klasma.github.io/Logging_2361/kartor/A 46633-2023 karta.png", "A 46633-2023")</f>
        <v/>
      </c>
      <c r="X52">
        <f>HYPERLINK("https://klasma.github.io/Logging_2361/kartor_geotiff/A 46633-2023 georefererad karta.tif", "A 46633-2023")</f>
        <v/>
      </c>
      <c r="Y52">
        <f>HYPERLINK("https://klasma.github.io/Logging_2361/knärot/A 46633-2023 karta knärot.png", "A 46633-2023")</f>
        <v/>
      </c>
      <c r="Z52">
        <f>HYPERLINK("https://klasma.github.io/Logging_2361/klagomål/A 46633-2023 FSC-klagomål.docx", "A 46633-2023")</f>
        <v/>
      </c>
      <c r="AA52">
        <f>HYPERLINK("https://klasma.github.io/Logging_2361/klagomålsmail/A 46633-2023 FSC-klagomål mail.docx", "A 46633-2023")</f>
        <v/>
      </c>
      <c r="AB52">
        <f>HYPERLINK("https://klasma.github.io/Logging_2361/tillsyn/A 46633-2023 tillsynsbegäran.docx", "A 46633-2023")</f>
        <v/>
      </c>
      <c r="AC52">
        <f>HYPERLINK("https://klasma.github.io/Logging_2361/tillsynsmail/A 46633-2023 tillsynsbegäran mail.docx", "A 46633-2023")</f>
        <v/>
      </c>
      <c r="AD52">
        <f>HYPERLINK("https://klasma.github.io/Logging_2361/fåglar/A 46633-2023 prioriterade fågelarter.docx", "A 46633-2023")</f>
        <v/>
      </c>
    </row>
    <row r="53" ht="15" customHeight="1">
      <c r="A53" t="inlineStr">
        <is>
          <t>A 41555-2023</t>
        </is>
      </c>
      <c r="B53" t="inlineStr">
        <is>
          <t>avverkningsanmälan</t>
        </is>
      </c>
      <c r="C53" t="inlineStr">
        <is>
          <t>Föryngringsavverkning</t>
        </is>
      </c>
      <c r="D53" s="1" t="n">
        <v>45175</v>
      </c>
      <c r="E53" s="1" t="n">
        <v>46223</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s="2" t="inlineStr">
        <is>
          <t>Garnlav
Knärot
Dvärgbägarlav
Kolflarnlav
Mörk kolflarnlav
Tretåig hackspett
Ullticka
Vedflamlav
Vedskivlav
Violettgrå tagellav
Plattlummer
Spindelblomster
Vedticka</t>
        </is>
      </c>
      <c r="V53">
        <f>HYPERLINK("https://klasma.github.io/Logging_2361/artfynd/A 41555-2023 artfynd.xlsx", "A 41555-2023")</f>
        <v/>
      </c>
      <c r="W53">
        <f>HYPERLINK("https://klasma.github.io/Logging_2361/kartor/A 41555-2023 karta.png", "A 41555-2023")</f>
        <v/>
      </c>
      <c r="X53">
        <f>HYPERLINK("https://klasma.github.io/Logging_2361/kartor_geotiff/A 41555-2023 georefererad karta.tif", "A 41555-2023")</f>
        <v/>
      </c>
      <c r="Y53">
        <f>HYPERLINK("https://klasma.github.io/Logging_2361/knärot/A 41555-2023 karta knärot.png", "A 41555-2023")</f>
        <v/>
      </c>
      <c r="Z53">
        <f>HYPERLINK("https://klasma.github.io/Logging_2361/klagomål/A 41555-2023 FSC-klagomål.docx", "A 41555-2023")</f>
        <v/>
      </c>
      <c r="AA53">
        <f>HYPERLINK("https://klasma.github.io/Logging_2361/klagomålsmail/A 41555-2023 FSC-klagomål mail.docx", "A 41555-2023")</f>
        <v/>
      </c>
      <c r="AB53">
        <f>HYPERLINK("https://klasma.github.io/Logging_2361/tillsyn/A 41555-2023 tillsynsbegäran.docx", "A 41555-2023")</f>
        <v/>
      </c>
      <c r="AC53">
        <f>HYPERLINK("https://klasma.github.io/Logging_2361/tillsynsmail/A 41555-2023 tillsynsbegäran mail.docx", "A 41555-2023")</f>
        <v/>
      </c>
      <c r="AD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46223</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s="2" t="inlineStr">
        <is>
          <t>Drillsnäppa
Månlåsbräken
Grönkulla
Korallrot
Källmossor
Spindelblomster
Tvåblad
Vanlig groda
Brudsporre
Fläcknycklar
Ängsnycklar
Lopplummer (aggregat)
Revlummer</t>
        </is>
      </c>
      <c r="V54">
        <f>HYPERLINK("https://klasma.github.io/Logging_2361/artfynd/A 18885-2024 artfynd.xlsx", "A 18885-2024")</f>
        <v/>
      </c>
      <c r="W54">
        <f>HYPERLINK("https://klasma.github.io/Logging_2361/kartor/A 18885-2024 karta.png", "A 18885-2024")</f>
        <v/>
      </c>
      <c r="X54">
        <f>HYPERLINK("https://klasma.github.io/Logging_2361/kartor_geotiff/A 18885-2024 georefererad karta.tif", "A 18885-2024")</f>
        <v/>
      </c>
      <c r="Z54">
        <f>HYPERLINK("https://klasma.github.io/Logging_2361/klagomål/A 18885-2024 FSC-klagomål.docx", "A 18885-2024")</f>
        <v/>
      </c>
      <c r="AA54">
        <f>HYPERLINK("https://klasma.github.io/Logging_2361/klagomålsmail/A 18885-2024 FSC-klagomål mail.docx", "A 18885-2024")</f>
        <v/>
      </c>
      <c r="AB54">
        <f>HYPERLINK("https://klasma.github.io/Logging_2361/tillsyn/A 18885-2024 tillsynsbegäran.docx", "A 18885-2024")</f>
        <v/>
      </c>
      <c r="AC54">
        <f>HYPERLINK("https://klasma.github.io/Logging_2361/tillsynsmail/A 18885-2024 tillsynsbegäran mail.docx", "A 18885-2024")</f>
        <v/>
      </c>
      <c r="AD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46223</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X55">
        <f>HYPERLINK("https://klasma.github.io/Logging_2361/kartor_geotiff/S 1222-2025 georefererad karta.tif", "S 1222-2025")</f>
        <v/>
      </c>
      <c r="Z55">
        <f>HYPERLINK("https://klasma.github.io/Logging_2361/klagomål/S 1222-2025 FSC-klagomål.docx", "S 1222-2025")</f>
        <v/>
      </c>
      <c r="AA55">
        <f>HYPERLINK("https://klasma.github.io/Logging_2361/klagomålsmail/S 1222-2025 FSC-klagomål mail.docx", "S 1222-2025")</f>
        <v/>
      </c>
      <c r="AB55">
        <f>HYPERLINK("https://klasma.github.io/Logging_2361/tillsyn/S 1222-2025 tillsynsbegäran.docx", "S 1222-2025")</f>
        <v/>
      </c>
      <c r="AC55">
        <f>HYPERLINK("https://klasma.github.io/Logging_2361/tillsynsmail/S 1222-2025 tillsynsbegäran mail.docx", "S 1222-2025")</f>
        <v/>
      </c>
      <c r="AD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46223</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s="2" t="inlineStr">
        <is>
          <t>Knärot
Blågrå svartspik
Kolflarnlav
Lavskrika
Lunglav
Mörk kolflarnlav
Skrovellav
Tretåig hackspett
Vedflamlav
Bårdlav
Stuplav
Gråspett</t>
        </is>
      </c>
      <c r="V56">
        <f>HYPERLINK("https://klasma.github.io/Logging_2361/artfynd/A 50604-2023 artfynd.xlsx", "A 50604-2023")</f>
        <v/>
      </c>
      <c r="W56">
        <f>HYPERLINK("https://klasma.github.io/Logging_2361/kartor/A 50604-2023 karta.png", "A 50604-2023")</f>
        <v/>
      </c>
      <c r="X56">
        <f>HYPERLINK("https://klasma.github.io/Logging_2361/kartor_geotiff/A 50604-2023 georefererad karta.tif", "A 50604-2023")</f>
        <v/>
      </c>
      <c r="Y56">
        <f>HYPERLINK("https://klasma.github.io/Logging_2361/knärot/A 50604-2023 karta knärot.png", "A 50604-2023")</f>
        <v/>
      </c>
      <c r="Z56">
        <f>HYPERLINK("https://klasma.github.io/Logging_2361/klagomål/A 50604-2023 FSC-klagomål.docx", "A 50604-2023")</f>
        <v/>
      </c>
      <c r="AA56">
        <f>HYPERLINK("https://klasma.github.io/Logging_2361/klagomålsmail/A 50604-2023 FSC-klagomål mail.docx", "A 50604-2023")</f>
        <v/>
      </c>
      <c r="AB56">
        <f>HYPERLINK("https://klasma.github.io/Logging_2361/tillsyn/A 50604-2023 tillsynsbegäran.docx", "A 50604-2023")</f>
        <v/>
      </c>
      <c r="AC56">
        <f>HYPERLINK("https://klasma.github.io/Logging_2361/tillsynsmail/A 50604-2023 tillsynsbegäran mail.docx", "A 50604-2023")</f>
        <v/>
      </c>
      <c r="AD56">
        <f>HYPERLINK("https://klasma.github.io/Logging_2361/fåglar/A 50604-2023 prioriterade fågelarter.docx", "A 50604-2023")</f>
        <v/>
      </c>
    </row>
    <row r="57" ht="15" customHeight="1">
      <c r="A57" t="inlineStr">
        <is>
          <t>A 24249-2024</t>
        </is>
      </c>
      <c r="B57" t="inlineStr">
        <is>
          <t>avverkningsanmälan</t>
        </is>
      </c>
      <c r="C57" t="inlineStr">
        <is>
          <t>Föryngringsavverkning</t>
        </is>
      </c>
      <c r="D57" s="1" t="n">
        <v>45457</v>
      </c>
      <c r="E57" s="1" t="n">
        <v>46223</v>
      </c>
      <c r="F57" t="inlineStr">
        <is>
          <t>JÄMTLANDS LÄN</t>
        </is>
      </c>
      <c r="G57" t="inlineStr">
        <is>
          <t>HÄRJEDALEN</t>
        </is>
      </c>
      <c r="H57" t="inlineStr">
        <is>
          <t>Sveaskog</t>
        </is>
      </c>
      <c r="I57" t="n">
        <v>15.1</v>
      </c>
      <c r="J57" t="n">
        <v>4</v>
      </c>
      <c r="K57" t="n">
        <v>0</v>
      </c>
      <c r="L57" t="n">
        <v>9</v>
      </c>
      <c r="M57" t="n">
        <v>2</v>
      </c>
      <c r="N57" t="n">
        <v>0</v>
      </c>
      <c r="O57" t="n">
        <v>0</v>
      </c>
      <c r="P57" t="n">
        <v>0</v>
      </c>
      <c r="Q57" t="n">
        <v>11</v>
      </c>
      <c r="R57" t="n">
        <v>2</v>
      </c>
      <c r="S57" t="n">
        <v>12</v>
      </c>
      <c r="T57" t="n">
        <v>37</v>
      </c>
      <c r="U57" s="2" t="inlineStr">
        <is>
          <t>Doftticka
Garnlav
Blågrå svartspik
Knottrig blåslav
Kolflarnlav
Lunglav
Skrovellav
Talltita
Tretåig hackspett
Vedskivlav
Vitgrynig nållav
Tjäder</t>
        </is>
      </c>
      <c r="V57">
        <f>HYPERLINK("https://klasma.github.io/Logging_2361/artfynd/A 24249-2024 artfynd.xlsx", "A 24249-2024")</f>
        <v/>
      </c>
      <c r="W57">
        <f>HYPERLINK("https://klasma.github.io/Logging_2361/kartor/A 24249-2024 karta.png", "A 24249-2024")</f>
        <v/>
      </c>
      <c r="X57">
        <f>HYPERLINK("https://klasma.github.io/Logging_2361/kartor_geotiff/A 24249-2024 georefererad karta.tif", "A 24249-2024")</f>
        <v/>
      </c>
      <c r="Z57">
        <f>HYPERLINK("https://klasma.github.io/Logging_2361/klagomål/A 24249-2024 FSC-klagomål.docx", "A 24249-2024")</f>
        <v/>
      </c>
      <c r="AA57">
        <f>HYPERLINK("https://klasma.github.io/Logging_2361/klagomålsmail/A 24249-2024 FSC-klagomål mail.docx", "A 24249-2024")</f>
        <v/>
      </c>
      <c r="AB57">
        <f>HYPERLINK("https://klasma.github.io/Logging_2361/tillsyn/A 24249-2024 tillsynsbegäran.docx", "A 24249-2024")</f>
        <v/>
      </c>
      <c r="AC57">
        <f>HYPERLINK("https://klasma.github.io/Logging_2361/tillsynsmail/A 24249-2024 tillsynsbegäran mail.docx", "A 24249-2024")</f>
        <v/>
      </c>
      <c r="AD57">
        <f>HYPERLINK("https://klasma.github.io/Logging_2361/fåglar/A 24249-2024 prioriterade fågelarter.docx", "A 24249-2024")</f>
        <v/>
      </c>
    </row>
    <row r="58" ht="15" customHeight="1">
      <c r="A58" t="inlineStr">
        <is>
          <t>A 14058-2023</t>
        </is>
      </c>
      <c r="B58" t="inlineStr">
        <is>
          <t>avverkningsanmälan</t>
        </is>
      </c>
      <c r="C58" t="inlineStr">
        <is>
          <t>Föryngringsavverkning</t>
        </is>
      </c>
      <c r="D58" s="1" t="n">
        <v>45007</v>
      </c>
      <c r="E58" s="1" t="n">
        <v>46223</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s="2" t="inlineStr">
        <is>
          <t>Fläckporing
Gräddporing
Björktrast
Dvärgbägarlav
Kolflarnlav
Mörk kolflarnlav
Nordtagging
Skarp dropptaggsvamp
Tallriska
Vedflamlav
Vedskivlav</t>
        </is>
      </c>
      <c r="V58">
        <f>HYPERLINK("https://klasma.github.io/Logging_2361/artfynd/A 14058-2023 artfynd.xlsx", "A 14058-2023")</f>
        <v/>
      </c>
      <c r="W58">
        <f>HYPERLINK("https://klasma.github.io/Logging_2361/kartor/A 14058-2023 karta.png", "A 14058-2023")</f>
        <v/>
      </c>
      <c r="X58">
        <f>HYPERLINK("https://klasma.github.io/Logging_2361/kartor_geotiff/A 14058-2023 georefererad karta.tif", "A 14058-2023")</f>
        <v/>
      </c>
      <c r="Z58">
        <f>HYPERLINK("https://klasma.github.io/Logging_2361/klagomål/A 14058-2023 FSC-klagomål.docx", "A 14058-2023")</f>
        <v/>
      </c>
      <c r="AA58">
        <f>HYPERLINK("https://klasma.github.io/Logging_2361/klagomålsmail/A 14058-2023 FSC-klagomål mail.docx", "A 14058-2023")</f>
        <v/>
      </c>
      <c r="AB58">
        <f>HYPERLINK("https://klasma.github.io/Logging_2361/tillsyn/A 14058-2023 tillsynsbegäran.docx", "A 14058-2023")</f>
        <v/>
      </c>
      <c r="AC58">
        <f>HYPERLINK("https://klasma.github.io/Logging_2361/tillsynsmail/A 14058-2023 tillsynsbegäran mail.docx", "A 14058-2023")</f>
        <v/>
      </c>
      <c r="AD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46223</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s="2" t="inlineStr">
        <is>
          <t>Garnlav
Kolflarnlav
Mörk kolflarnlav
Tallticka
Tretåig hackspett
Vedflamlav
Vedskivlav
Violettgrå tagellav
Norrlandslav
Nästlav
Orre</t>
        </is>
      </c>
      <c r="V59">
        <f>HYPERLINK("https://klasma.github.io/Logging_2361/artfynd/A 29054-2026 artfynd.xlsx", "A 29054-2026")</f>
        <v/>
      </c>
      <c r="W59">
        <f>HYPERLINK("https://klasma.github.io/Logging_2361/kartor/A 29054-2026 karta.png", "A 29054-2026")</f>
        <v/>
      </c>
      <c r="X59">
        <f>HYPERLINK("https://klasma.github.io/Logging_2361/kartor_geotiff/A 29054-2026 georefererad karta.tif", "A 29054-2026")</f>
        <v/>
      </c>
      <c r="Z59">
        <f>HYPERLINK("https://klasma.github.io/Logging_2361/klagomål/A 29054-2026 FSC-klagomål.docx", "A 29054-2026")</f>
        <v/>
      </c>
      <c r="AA59">
        <f>HYPERLINK("https://klasma.github.io/Logging_2361/klagomålsmail/A 29054-2026 FSC-klagomål mail.docx", "A 29054-2026")</f>
        <v/>
      </c>
      <c r="AB59">
        <f>HYPERLINK("https://klasma.github.io/Logging_2361/tillsyn/A 29054-2026 tillsynsbegäran.docx", "A 29054-2026")</f>
        <v/>
      </c>
      <c r="AC59">
        <f>HYPERLINK("https://klasma.github.io/Logging_2361/tillsynsmail/A 29054-2026 tillsynsbegäran mail.docx", "A 29054-2026")</f>
        <v/>
      </c>
      <c r="AD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46223</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s="2" t="inlineStr">
        <is>
          <t>Garnlav
Gammelgransskål
Kolflarnlav
Lavskrika
Rynkskinn
Talltita
Tretåig hackspett
Ullticka
Vedflamlav
Vedskivlav
Vitgrynig nållav</t>
        </is>
      </c>
      <c r="V60">
        <f>HYPERLINK("https://klasma.github.io/Logging_2361/artfynd/A 43789-2024 artfynd.xlsx", "A 43789-2024")</f>
        <v/>
      </c>
      <c r="W60">
        <f>HYPERLINK("https://klasma.github.io/Logging_2361/kartor/A 43789-2024 karta.png", "A 43789-2024")</f>
        <v/>
      </c>
      <c r="X60">
        <f>HYPERLINK("https://klasma.github.io/Logging_2361/kartor_geotiff/A 43789-2024 georefererad karta.tif", "A 43789-2024")</f>
        <v/>
      </c>
      <c r="Z60">
        <f>HYPERLINK("https://klasma.github.io/Logging_2361/klagomål/A 43789-2024 FSC-klagomål.docx", "A 43789-2024")</f>
        <v/>
      </c>
      <c r="AA60">
        <f>HYPERLINK("https://klasma.github.io/Logging_2361/klagomålsmail/A 43789-2024 FSC-klagomål mail.docx", "A 43789-2024")</f>
        <v/>
      </c>
      <c r="AB60">
        <f>HYPERLINK("https://klasma.github.io/Logging_2361/tillsyn/A 43789-2024 tillsynsbegäran.docx", "A 43789-2024")</f>
        <v/>
      </c>
      <c r="AC60">
        <f>HYPERLINK("https://klasma.github.io/Logging_2361/tillsynsmail/A 43789-2024 tillsynsbegäran mail.docx", "A 43789-2024")</f>
        <v/>
      </c>
      <c r="AD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46223</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s="2" t="inlineStr">
        <is>
          <t>Garnlav
Knärot
Kolflarnlav
Lunglav
Motaggsvamp
Rosenticka
Ullticka
Violettgrå tagellav
Bårdlav
Stuplav</t>
        </is>
      </c>
      <c r="V61">
        <f>HYPERLINK("https://klasma.github.io/Logging_2361/artfynd/A 38359-2021 artfynd.xlsx", "A 38359-2021")</f>
        <v/>
      </c>
      <c r="W61">
        <f>HYPERLINK("https://klasma.github.io/Logging_2361/kartor/A 38359-2021 karta.png", "A 38359-2021")</f>
        <v/>
      </c>
      <c r="X61">
        <f>HYPERLINK("https://klasma.github.io/Logging_2361/kartor_geotiff/A 38359-2021 georefererad karta.tif", "A 38359-2021")</f>
        <v/>
      </c>
      <c r="Y61">
        <f>HYPERLINK("https://klasma.github.io/Logging_2361/knärot/A 38359-2021 karta knärot.png", "A 38359-2021")</f>
        <v/>
      </c>
      <c r="Z61">
        <f>HYPERLINK("https://klasma.github.io/Logging_2361/klagomål/A 38359-2021 FSC-klagomål.docx", "A 38359-2021")</f>
        <v/>
      </c>
      <c r="AA61">
        <f>HYPERLINK("https://klasma.github.io/Logging_2361/klagomålsmail/A 38359-2021 FSC-klagomål mail.docx", "A 38359-2021")</f>
        <v/>
      </c>
      <c r="AB61">
        <f>HYPERLINK("https://klasma.github.io/Logging_2361/tillsyn/A 38359-2021 tillsynsbegäran.docx", "A 38359-2021")</f>
        <v/>
      </c>
      <c r="AC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46223</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HYPERLINK("https://klasma.github.io/Logging_2361/kartor_geotiff/A 11545-2022 georefererad karta.tif", "A 11545-2022")</f>
        <v/>
      </c>
      <c r="Y62">
        <f>HYPERLINK("https://klasma.github.io/Logging_2361/knärot/A 11545-2022 karta knärot.png", "A 11545-2022")</f>
        <v/>
      </c>
      <c r="Z62">
        <f>HYPERLINK("https://klasma.github.io/Logging_2361/klagomål/A 11545-2022 FSC-klagomål.docx", "A 11545-2022")</f>
        <v/>
      </c>
      <c r="AA62">
        <f>HYPERLINK("https://klasma.github.io/Logging_2361/klagomålsmail/A 11545-2022 FSC-klagomål mail.docx", "A 11545-2022")</f>
        <v/>
      </c>
      <c r="AB62">
        <f>HYPERLINK("https://klasma.github.io/Logging_2361/tillsyn/A 11545-2022 tillsynsbegäran.docx", "A 11545-2022")</f>
        <v/>
      </c>
      <c r="AC62">
        <f>HYPERLINK("https://klasma.github.io/Logging_2361/tillsynsmail/A 11545-2022 tillsynsbegäran mail.docx", "A 11545-2022")</f>
        <v/>
      </c>
      <c r="AD62">
        <f>HYPERLINK("https://klasma.github.io/Logging_2361/fåglar/A 11545-2022 prioriterade fågelarter.docx", "A 11545-2022")</f>
        <v/>
      </c>
    </row>
    <row r="63" ht="15" customHeight="1">
      <c r="A63" t="inlineStr">
        <is>
          <t>A 31367-2025</t>
        </is>
      </c>
      <c r="B63" t="inlineStr">
        <is>
          <t>avverkningsanmälan</t>
        </is>
      </c>
      <c r="C63" t="inlineStr">
        <is>
          <t>Föryngringsavverkning</t>
        </is>
      </c>
      <c r="D63" s="1" t="n">
        <v>45833</v>
      </c>
      <c r="E63" s="1" t="n">
        <v>46223</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s="2" t="inlineStr">
        <is>
          <t>Garnlav
Blanksvart spiklav
Blågrå svartspik
Dvärgbägarlav
Kolflarnlav
Lavskrika
Mörk kolflarnlav
Vedflamlav
Vedskivlav
Tjäder</t>
        </is>
      </c>
      <c r="V63">
        <f>HYPERLINK("https://klasma.github.io/Logging_2361/artfynd/A 31367-2025 artfynd.xlsx", "A 31367-2025")</f>
        <v/>
      </c>
      <c r="W63">
        <f>HYPERLINK("https://klasma.github.io/Logging_2361/kartor/A 31367-2025 karta.png", "A 31367-2025")</f>
        <v/>
      </c>
      <c r="X63">
        <f>HYPERLINK("https://klasma.github.io/Logging_2361/kartor_geotiff/A 31367-2025 georefererad karta.tif", "A 31367-2025")</f>
        <v/>
      </c>
      <c r="Z63">
        <f>HYPERLINK("https://klasma.github.io/Logging_2361/klagomål/A 31367-2025 FSC-klagomål.docx", "A 31367-2025")</f>
        <v/>
      </c>
      <c r="AA63">
        <f>HYPERLINK("https://klasma.github.io/Logging_2361/klagomålsmail/A 31367-2025 FSC-klagomål mail.docx", "A 31367-2025")</f>
        <v/>
      </c>
      <c r="AB63">
        <f>HYPERLINK("https://klasma.github.io/Logging_2361/tillsyn/A 31367-2025 tillsynsbegäran.docx", "A 31367-2025")</f>
        <v/>
      </c>
      <c r="AC63">
        <f>HYPERLINK("https://klasma.github.io/Logging_2361/tillsynsmail/A 31367-2025 tillsynsbegäran mail.docx", "A 31367-2025")</f>
        <v/>
      </c>
      <c r="AD63">
        <f>HYPERLINK("https://klasma.github.io/Logging_2361/fåglar/A 31367-2025 prioriterade fågelarter.docx", "A 31367-2025")</f>
        <v/>
      </c>
    </row>
    <row r="64" ht="15" customHeight="1">
      <c r="A64" t="inlineStr">
        <is>
          <t>A 56437-2025</t>
        </is>
      </c>
      <c r="B64" t="inlineStr">
        <is>
          <t>avverkningsanmälan</t>
        </is>
      </c>
      <c r="C64" t="inlineStr">
        <is>
          <t>Föryngringsavverkning</t>
        </is>
      </c>
      <c r="D64" s="1" t="n">
        <v>45975</v>
      </c>
      <c r="E64" s="1" t="n">
        <v>46223</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s="2" t="inlineStr">
        <is>
          <t>Goliatmusseron
Skrovlig taggsvamp
Blå taggsvamp
Dropptaggsvamp
Orange taggsvamp
Skarp dropptaggsvamp
Tallriska
Talltaggsvamp
Talltita
Vaddporing</t>
        </is>
      </c>
      <c r="V64">
        <f>HYPERLINK("https://klasma.github.io/Logging_2361/artfynd/A 56437-2025 artfynd.xlsx", "A 56437-2025")</f>
        <v/>
      </c>
      <c r="W64">
        <f>HYPERLINK("https://klasma.github.io/Logging_2361/kartor/A 56437-2025 karta.png", "A 56437-2025")</f>
        <v/>
      </c>
      <c r="X64">
        <f>HYPERLINK("https://klasma.github.io/Logging_2361/kartor_geotiff/A 56437-2025 georefererad karta.tif", "A 56437-2025")</f>
        <v/>
      </c>
      <c r="Z64">
        <f>HYPERLINK("https://klasma.github.io/Logging_2361/klagomål/A 56437-2025 FSC-klagomål.docx", "A 56437-2025")</f>
        <v/>
      </c>
      <c r="AA64">
        <f>HYPERLINK("https://klasma.github.io/Logging_2361/klagomålsmail/A 56437-2025 FSC-klagomål mail.docx", "A 56437-2025")</f>
        <v/>
      </c>
      <c r="AB64">
        <f>HYPERLINK("https://klasma.github.io/Logging_2361/tillsyn/A 56437-2025 tillsynsbegäran.docx", "A 56437-2025")</f>
        <v/>
      </c>
      <c r="AC64">
        <f>HYPERLINK("https://klasma.github.io/Logging_2361/tillsynsmail/A 56437-2025 tillsynsbegäran mail.docx", "A 56437-2025")</f>
        <v/>
      </c>
      <c r="AD64">
        <f>HYPERLINK("https://klasma.github.io/Logging_2361/fåglar/A 56437-2025 prioriterade fågelarter.docx", "A 56437-2025")</f>
        <v/>
      </c>
    </row>
    <row r="65" ht="15" customHeight="1">
      <c r="A65" t="inlineStr">
        <is>
          <t>A 16890-2024</t>
        </is>
      </c>
      <c r="B65" t="inlineStr">
        <is>
          <t>avverkningsanmälan</t>
        </is>
      </c>
      <c r="C65" t="inlineStr">
        <is>
          <t>Föryngringsavverkning</t>
        </is>
      </c>
      <c r="D65" s="1" t="n">
        <v>45411</v>
      </c>
      <c r="E65" s="1" t="n">
        <v>46223</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s="2" t="inlineStr">
        <is>
          <t>Garnlav
Gränsticka
Knärot
Brunpudrad nållav
Kötticka
Lunglav
Vitgrynig nållav
Äggvaxskivling
Luddlav
Stuplav</t>
        </is>
      </c>
      <c r="V65">
        <f>HYPERLINK("https://klasma.github.io/Logging_2361/artfynd/A 16890-2024 artfynd.xlsx", "A 16890-2024")</f>
        <v/>
      </c>
      <c r="W65">
        <f>HYPERLINK("https://klasma.github.io/Logging_2361/kartor/A 16890-2024 karta.png", "A 16890-2024")</f>
        <v/>
      </c>
      <c r="X65">
        <f>HYPERLINK("https://klasma.github.io/Logging_2361/kartor_geotiff/A 16890-2024 georefererad karta.tif", "A 16890-2024")</f>
        <v/>
      </c>
      <c r="Y65">
        <f>HYPERLINK("https://klasma.github.io/Logging_2361/knärot/A 16890-2024 karta knärot.png", "A 16890-2024")</f>
        <v/>
      </c>
      <c r="Z65">
        <f>HYPERLINK("https://klasma.github.io/Logging_2361/klagomål/A 16890-2024 FSC-klagomål.docx", "A 16890-2024")</f>
        <v/>
      </c>
      <c r="AA65">
        <f>HYPERLINK("https://klasma.github.io/Logging_2361/klagomålsmail/A 16890-2024 FSC-klagomål mail.docx", "A 16890-2024")</f>
        <v/>
      </c>
      <c r="AB65">
        <f>HYPERLINK("https://klasma.github.io/Logging_2361/tillsyn/A 16890-2024 tillsynsbegäran.docx", "A 16890-2024")</f>
        <v/>
      </c>
      <c r="AC65">
        <f>HYPERLINK("https://klasma.github.io/Logging_2361/tillsynsmail/A 16890-2024 tillsynsbegäran mail.docx", "A 16890-2024")</f>
        <v/>
      </c>
    </row>
    <row r="66" ht="15" customHeight="1">
      <c r="A66" t="inlineStr">
        <is>
          <t>A 65905-2021</t>
        </is>
      </c>
      <c r="B66" t="inlineStr">
        <is>
          <t>avverkningsanmälan</t>
        </is>
      </c>
      <c r="C66" t="inlineStr">
        <is>
          <t>Föryngringsavverkning</t>
        </is>
      </c>
      <c r="D66" s="1" t="n">
        <v>44517</v>
      </c>
      <c r="E66" s="1" t="n">
        <v>46223</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s="2" t="inlineStr">
        <is>
          <t>Garnlav
Gränsticka
Liten sotlav
Gammelgransskål
Harticka
Knottrig blåslav
Lavskrika
Rosenticka
Rynkskinn
Ullticka</t>
        </is>
      </c>
      <c r="V66">
        <f>HYPERLINK("https://klasma.github.io/Logging_2361/artfynd/A 65905-2021 artfynd.xlsx", "A 65905-2021")</f>
        <v/>
      </c>
      <c r="W66">
        <f>HYPERLINK("https://klasma.github.io/Logging_2361/kartor/A 65905-2021 karta.png", "A 65905-2021")</f>
        <v/>
      </c>
      <c r="X66">
        <f>HYPERLINK("https://klasma.github.io/Logging_2361/kartor_geotiff/A 65905-2021 georefererad karta.tif", "A 65905-2021")</f>
        <v/>
      </c>
      <c r="Z66">
        <f>HYPERLINK("https://klasma.github.io/Logging_2361/klagomål/A 65905-2021 FSC-klagomål.docx", "A 65905-2021")</f>
        <v/>
      </c>
      <c r="AA66">
        <f>HYPERLINK("https://klasma.github.io/Logging_2361/klagomålsmail/A 65905-2021 FSC-klagomål mail.docx", "A 65905-2021")</f>
        <v/>
      </c>
      <c r="AB66">
        <f>HYPERLINK("https://klasma.github.io/Logging_2361/tillsyn/A 65905-2021 tillsynsbegäran.docx", "A 65905-2021")</f>
        <v/>
      </c>
      <c r="AC66">
        <f>HYPERLINK("https://klasma.github.io/Logging_2361/tillsynsmail/A 65905-2021 tillsynsbegäran mail.docx", "A 65905-2021")</f>
        <v/>
      </c>
      <c r="AD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46223</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X67">
        <f>HYPERLINK("https://klasma.github.io/Logging_2361/kartor_geotiff/A 74002-2021 georefererad karta.tif", "A 74002-2021")</f>
        <v/>
      </c>
      <c r="Z67">
        <f>HYPERLINK("https://klasma.github.io/Logging_2361/klagomål/A 74002-2021 FSC-klagomål.docx", "A 74002-2021")</f>
        <v/>
      </c>
      <c r="AA67">
        <f>HYPERLINK("https://klasma.github.io/Logging_2361/klagomålsmail/A 74002-2021 FSC-klagomål mail.docx", "A 74002-2021")</f>
        <v/>
      </c>
      <c r="AB67">
        <f>HYPERLINK("https://klasma.github.io/Logging_2361/tillsyn/A 74002-2021 tillsynsbegäran.docx", "A 74002-2021")</f>
        <v/>
      </c>
      <c r="AC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46223</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s="2" t="inlineStr">
        <is>
          <t>Knärot
Dvärgbägarlav
Knottrig blåslav
Kolflarnlav
Lunglav
Skrovellav
Tretåig hackspett
Vedflamlav
Violettgrå tagellav</t>
        </is>
      </c>
      <c r="V68">
        <f>HYPERLINK("https://klasma.github.io/Logging_2361/artfynd/A 56468-2024 artfynd.xlsx", "A 56468-2024")</f>
        <v/>
      </c>
      <c r="W68">
        <f>HYPERLINK("https://klasma.github.io/Logging_2361/kartor/A 56468-2024 karta.png", "A 56468-2024")</f>
        <v/>
      </c>
      <c r="X68">
        <f>HYPERLINK("https://klasma.github.io/Logging_2361/kartor_geotiff/A 56468-2024 georefererad karta.tif", "A 56468-2024")</f>
        <v/>
      </c>
      <c r="Y68">
        <f>HYPERLINK("https://klasma.github.io/Logging_2361/knärot/A 56468-2024 karta knärot.png", "A 56468-2024")</f>
        <v/>
      </c>
      <c r="Z68">
        <f>HYPERLINK("https://klasma.github.io/Logging_2361/klagomål/A 56468-2024 FSC-klagomål.docx", "A 56468-2024")</f>
        <v/>
      </c>
      <c r="AA68">
        <f>HYPERLINK("https://klasma.github.io/Logging_2361/klagomålsmail/A 56468-2024 FSC-klagomål mail.docx", "A 56468-2024")</f>
        <v/>
      </c>
      <c r="AB68">
        <f>HYPERLINK("https://klasma.github.io/Logging_2361/tillsyn/A 56468-2024 tillsynsbegäran.docx", "A 56468-2024")</f>
        <v/>
      </c>
      <c r="AC68">
        <f>HYPERLINK("https://klasma.github.io/Logging_2361/tillsynsmail/A 56468-2024 tillsynsbegäran mail.docx", "A 56468-2024")</f>
        <v/>
      </c>
      <c r="AD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46223</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s="2" t="inlineStr">
        <is>
          <t>Knärot
Kolflarnlav
Mörk kolflarnlav
Skarp dropptaggsvamp
Talltita
Varglav
Vedskivlav
Tjäder
Orre</t>
        </is>
      </c>
      <c r="V69">
        <f>HYPERLINK("https://klasma.github.io/Logging_2361/artfynd/A 53354-2024 artfynd.xlsx", "A 53354-2024")</f>
        <v/>
      </c>
      <c r="W69">
        <f>HYPERLINK("https://klasma.github.io/Logging_2361/kartor/A 53354-2024 karta.png", "A 53354-2024")</f>
        <v/>
      </c>
      <c r="X69">
        <f>HYPERLINK("https://klasma.github.io/Logging_2361/kartor_geotiff/A 53354-2024 georefererad karta.tif", "A 53354-2024")</f>
        <v/>
      </c>
      <c r="Y69">
        <f>HYPERLINK("https://klasma.github.io/Logging_2361/knärot/A 53354-2024 karta knärot.png", "A 53354-2024")</f>
        <v/>
      </c>
      <c r="Z69">
        <f>HYPERLINK("https://klasma.github.io/Logging_2361/klagomål/A 53354-2024 FSC-klagomål.docx", "A 53354-2024")</f>
        <v/>
      </c>
      <c r="AA69">
        <f>HYPERLINK("https://klasma.github.io/Logging_2361/klagomålsmail/A 53354-2024 FSC-klagomål mail.docx", "A 53354-2024")</f>
        <v/>
      </c>
      <c r="AB69">
        <f>HYPERLINK("https://klasma.github.io/Logging_2361/tillsyn/A 53354-2024 tillsynsbegäran.docx", "A 53354-2024")</f>
        <v/>
      </c>
      <c r="AC69">
        <f>HYPERLINK("https://klasma.github.io/Logging_2361/tillsynsmail/A 53354-2024 tillsynsbegäran mail.docx", "A 53354-2024")</f>
        <v/>
      </c>
      <c r="AD69">
        <f>HYPERLINK("https://klasma.github.io/Logging_2361/fåglar/A 53354-2024 prioriterade fågelarter.docx", "A 53354-2024")</f>
        <v/>
      </c>
    </row>
    <row r="70" ht="15" customHeight="1">
      <c r="A70" t="inlineStr">
        <is>
          <t>A 15256-2026</t>
        </is>
      </c>
      <c r="B70" t="inlineStr">
        <is>
          <t>avverkningsanmälan</t>
        </is>
      </c>
      <c r="C70" t="inlineStr">
        <is>
          <t>Föryngringsavverkning</t>
        </is>
      </c>
      <c r="D70" s="1" t="n">
        <v>46105</v>
      </c>
      <c r="E70" s="1" t="n">
        <v>46223</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s="2" t="inlineStr">
        <is>
          <t>Garnlav
Knärot
Dvärgbägarlav
Knottrig blåslav
Kolflarnlav
Mörk kolflarnlav
Talltita
Tretåig hackspett
Vedflamlav</t>
        </is>
      </c>
      <c r="V70">
        <f>HYPERLINK("https://klasma.github.io/Logging_2361/artfynd/A 15256-2026 artfynd.xlsx", "A 15256-2026")</f>
        <v/>
      </c>
      <c r="W70">
        <f>HYPERLINK("https://klasma.github.io/Logging_2361/kartor/A 15256-2026 karta.png", "A 15256-2026")</f>
        <v/>
      </c>
      <c r="X70">
        <f>HYPERLINK("https://klasma.github.io/Logging_2361/kartor_geotiff/A 15256-2026 georefererad karta.tif", "A 15256-2026")</f>
        <v/>
      </c>
      <c r="Y70">
        <f>HYPERLINK("https://klasma.github.io/Logging_2361/knärot/A 15256-2026 karta knärot.png", "A 15256-2026")</f>
        <v/>
      </c>
      <c r="Z70">
        <f>HYPERLINK("https://klasma.github.io/Logging_2361/klagomål/A 15256-2026 FSC-klagomål.docx", "A 15256-2026")</f>
        <v/>
      </c>
      <c r="AA70">
        <f>HYPERLINK("https://klasma.github.io/Logging_2361/klagomålsmail/A 15256-2026 FSC-klagomål mail.docx", "A 15256-2026")</f>
        <v/>
      </c>
      <c r="AB70">
        <f>HYPERLINK("https://klasma.github.io/Logging_2361/tillsyn/A 15256-2026 tillsynsbegäran.docx", "A 15256-2026")</f>
        <v/>
      </c>
      <c r="AC70">
        <f>HYPERLINK("https://klasma.github.io/Logging_2361/tillsynsmail/A 15256-2026 tillsynsbegäran mail.docx", "A 15256-2026")</f>
        <v/>
      </c>
      <c r="AD70">
        <f>HYPERLINK("https://klasma.github.io/Logging_2361/fåglar/A 15256-2026 prioriterade fågelarter.docx", "A 15256-2026")</f>
        <v/>
      </c>
    </row>
    <row r="71" ht="15" customHeight="1">
      <c r="A71" t="inlineStr">
        <is>
          <t>A 289-2026</t>
        </is>
      </c>
      <c r="B71" t="inlineStr">
        <is>
          <t>avverkningsanmälan</t>
        </is>
      </c>
      <c r="C71" t="inlineStr">
        <is>
          <t>Föryngringsavverkning</t>
        </is>
      </c>
      <c r="D71" s="1" t="n">
        <v>46027</v>
      </c>
      <c r="E71" s="1" t="n">
        <v>46223</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s="2" t="inlineStr">
        <is>
          <t>Knärot
Blågrå svartspik
Knottrig blåslav
Kolflarnlav
Lunglav
Mörk kolflarnlav
Vedflamlav
Violettgrå tagellav
Tjäder</t>
        </is>
      </c>
      <c r="V71">
        <f>HYPERLINK("https://klasma.github.io/Logging_2361/artfynd/A 289-2026 artfynd.xlsx", "A 289-2026")</f>
        <v/>
      </c>
      <c r="W71">
        <f>HYPERLINK("https://klasma.github.io/Logging_2361/kartor/A 289-2026 karta.png", "A 289-2026")</f>
        <v/>
      </c>
      <c r="X71">
        <f>HYPERLINK("https://klasma.github.io/Logging_2361/kartor_geotiff/A 289-2026 georefererad karta.tif", "A 289-2026")</f>
        <v/>
      </c>
      <c r="Y71">
        <f>HYPERLINK("https://klasma.github.io/Logging_2361/knärot/A 289-2026 karta knärot.png", "A 289-2026")</f>
        <v/>
      </c>
      <c r="Z71">
        <f>HYPERLINK("https://klasma.github.io/Logging_2361/klagomål/A 289-2026 FSC-klagomål.docx", "A 289-2026")</f>
        <v/>
      </c>
      <c r="AA71">
        <f>HYPERLINK("https://klasma.github.io/Logging_2361/klagomålsmail/A 289-2026 FSC-klagomål mail.docx", "A 289-2026")</f>
        <v/>
      </c>
      <c r="AB71">
        <f>HYPERLINK("https://klasma.github.io/Logging_2361/tillsyn/A 289-2026 tillsynsbegäran.docx", "A 289-2026")</f>
        <v/>
      </c>
      <c r="AC71">
        <f>HYPERLINK("https://klasma.github.io/Logging_2361/tillsynsmail/A 289-2026 tillsynsbegäran mail.docx", "A 289-2026")</f>
        <v/>
      </c>
      <c r="AD71">
        <f>HYPERLINK("https://klasma.github.io/Logging_2361/fåglar/A 289-2026 prioriterade fågelarter.docx", "A 289-2026")</f>
        <v/>
      </c>
    </row>
    <row r="72" ht="15" customHeight="1">
      <c r="A72" t="inlineStr">
        <is>
          <t>A 43579-2025</t>
        </is>
      </c>
      <c r="B72" t="inlineStr">
        <is>
          <t>avverkningsanmälan</t>
        </is>
      </c>
      <c r="C72" t="inlineStr">
        <is>
          <t>Föryngringsavverkning</t>
        </is>
      </c>
      <c r="D72" s="1" t="n">
        <v>45911</v>
      </c>
      <c r="E72" s="1" t="n">
        <v>46223</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s="2" t="inlineStr">
        <is>
          <t>Garnlav
Dropptaggsvamp
Dvärgbägarlav
Kolflarnlav
Mörk kolflarnlav
Tretåig hackspett
Vaddporing
Vedflamlav
Vedskivlav</t>
        </is>
      </c>
      <c r="V72">
        <f>HYPERLINK("https://klasma.github.io/Logging_2361/artfynd/A 43579-2025 artfynd.xlsx", "A 43579-2025")</f>
        <v/>
      </c>
      <c r="W72">
        <f>HYPERLINK("https://klasma.github.io/Logging_2361/kartor/A 43579-2025 karta.png", "A 43579-2025")</f>
        <v/>
      </c>
      <c r="X72">
        <f>HYPERLINK("https://klasma.github.io/Logging_2361/kartor_geotiff/A 43579-2025 georefererad karta.tif", "A 43579-2025")</f>
        <v/>
      </c>
      <c r="Z72">
        <f>HYPERLINK("https://klasma.github.io/Logging_2361/klagomål/A 43579-2025 FSC-klagomål.docx", "A 43579-2025")</f>
        <v/>
      </c>
      <c r="AA72">
        <f>HYPERLINK("https://klasma.github.io/Logging_2361/klagomålsmail/A 43579-2025 FSC-klagomål mail.docx", "A 43579-2025")</f>
        <v/>
      </c>
      <c r="AB72">
        <f>HYPERLINK("https://klasma.github.io/Logging_2361/tillsyn/A 43579-2025 tillsynsbegäran.docx", "A 43579-2025")</f>
        <v/>
      </c>
      <c r="AC72">
        <f>HYPERLINK("https://klasma.github.io/Logging_2361/tillsynsmail/A 43579-2025 tillsynsbegäran mail.docx", "A 43579-2025")</f>
        <v/>
      </c>
      <c r="AD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46223</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X73">
        <f>HYPERLINK("https://klasma.github.io/Logging_2361/kartor_geotiff/S 1897-2025 georefererad karta.tif", "S 1897-2025")</f>
        <v/>
      </c>
      <c r="Z73">
        <f>HYPERLINK("https://klasma.github.io/Logging_2361/klagomål/S 1897-2025 FSC-klagomål.docx", "S 1897-2025")</f>
        <v/>
      </c>
      <c r="AA73">
        <f>HYPERLINK("https://klasma.github.io/Logging_2361/klagomålsmail/S 1897-2025 FSC-klagomål mail.docx", "S 1897-2025")</f>
        <v/>
      </c>
      <c r="AB73">
        <f>HYPERLINK("https://klasma.github.io/Logging_2361/tillsyn/S 1897-2025 tillsynsbegäran.docx", "S 1897-2025")</f>
        <v/>
      </c>
      <c r="AC73">
        <f>HYPERLINK("https://klasma.github.io/Logging_2361/tillsynsmail/S 1897-2025 tillsynsbegäran mail.docx", "S 1897-2025")</f>
        <v/>
      </c>
      <c r="AD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46223</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X74">
        <f>HYPERLINK("https://klasma.github.io/Logging_2361/kartor_geotiff/A 74075-2021 georefererad karta.tif", "A 74075-2021")</f>
        <v/>
      </c>
      <c r="Z74">
        <f>HYPERLINK("https://klasma.github.io/Logging_2361/klagomål/A 74075-2021 FSC-klagomål.docx", "A 74075-2021")</f>
        <v/>
      </c>
      <c r="AA74">
        <f>HYPERLINK("https://klasma.github.io/Logging_2361/klagomålsmail/A 74075-2021 FSC-klagomål mail.docx", "A 74075-2021")</f>
        <v/>
      </c>
      <c r="AB74">
        <f>HYPERLINK("https://klasma.github.io/Logging_2361/tillsyn/A 74075-2021 tillsynsbegäran.docx", "A 74075-2021")</f>
        <v/>
      </c>
      <c r="AC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46223</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s="2" t="inlineStr">
        <is>
          <t>Skrovlig taggsvamp
Grå blåbärsfältmätare
Kolflarnlav
Mörk kolflarnlav
Nordtagging
Vedflamlav
Vedticka
Tjäder</t>
        </is>
      </c>
      <c r="V75">
        <f>HYPERLINK("https://klasma.github.io/Logging_2361/artfynd/A 6614-2026 artfynd.xlsx", "A 6614-2026")</f>
        <v/>
      </c>
      <c r="W75">
        <f>HYPERLINK("https://klasma.github.io/Logging_2361/kartor/A 6614-2026 karta.png", "A 6614-2026")</f>
        <v/>
      </c>
      <c r="X75">
        <f>HYPERLINK("https://klasma.github.io/Logging_2361/kartor_geotiff/A 6614-2026 georefererad karta.tif", "A 6614-2026")</f>
        <v/>
      </c>
      <c r="Y75">
        <f>HYPERLINK("https://klasma.github.io/Logging_2361/knärot/A 6614-2026 karta knärot.png", "A 6614-2026")</f>
        <v/>
      </c>
      <c r="Z75">
        <f>HYPERLINK("https://klasma.github.io/Logging_2361/klagomål/A 6614-2026 FSC-klagomål.docx", "A 6614-2026")</f>
        <v/>
      </c>
      <c r="AA75">
        <f>HYPERLINK("https://klasma.github.io/Logging_2361/klagomålsmail/A 6614-2026 FSC-klagomål mail.docx", "A 6614-2026")</f>
        <v/>
      </c>
      <c r="AB75">
        <f>HYPERLINK("https://klasma.github.io/Logging_2361/tillsyn/A 6614-2026 tillsynsbegäran.docx", "A 6614-2026")</f>
        <v/>
      </c>
      <c r="AC75">
        <f>HYPERLINK("https://klasma.github.io/Logging_2361/tillsynsmail/A 6614-2026 tillsynsbegäran mail.docx", "A 6614-2026")</f>
        <v/>
      </c>
      <c r="AD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46223</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s="2" t="inlineStr">
        <is>
          <t>Garnlav
Blanksvart spiklav
Lavskrika
Rosenticka
Rynkskinn
Talltita
Tretåig hackspett
Ullticka</t>
        </is>
      </c>
      <c r="V76">
        <f>HYPERLINK("https://klasma.github.io/Logging_2361/artfynd/A 44450-2024 artfynd.xlsx", "A 44450-2024")</f>
        <v/>
      </c>
      <c r="W76">
        <f>HYPERLINK("https://klasma.github.io/Logging_2361/kartor/A 44450-2024 karta.png", "A 44450-2024")</f>
        <v/>
      </c>
      <c r="X76">
        <f>HYPERLINK("https://klasma.github.io/Logging_2361/kartor_geotiff/A 44450-2024 georefererad karta.tif", "A 44450-2024")</f>
        <v/>
      </c>
      <c r="Z76">
        <f>HYPERLINK("https://klasma.github.io/Logging_2361/klagomål/A 44450-2024 FSC-klagomål.docx", "A 44450-2024")</f>
        <v/>
      </c>
      <c r="AA76">
        <f>HYPERLINK("https://klasma.github.io/Logging_2361/klagomålsmail/A 44450-2024 FSC-klagomål mail.docx", "A 44450-2024")</f>
        <v/>
      </c>
      <c r="AB76">
        <f>HYPERLINK("https://klasma.github.io/Logging_2361/tillsyn/A 44450-2024 tillsynsbegäran.docx", "A 44450-2024")</f>
        <v/>
      </c>
      <c r="AC76">
        <f>HYPERLINK("https://klasma.github.io/Logging_2361/tillsynsmail/A 44450-2024 tillsynsbegäran mail.docx", "A 44450-2024")</f>
        <v/>
      </c>
      <c r="AD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46223</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s="2" t="inlineStr">
        <is>
          <t>Garnlav
Knärot
Gammelgransskål
Lunglav
Skrovellav
Violettgrå tagellav
Gytterlav
Stuplav</t>
        </is>
      </c>
      <c r="V77">
        <f>HYPERLINK("https://klasma.github.io/Logging_2361/artfynd/A 10344-2023 artfynd.xlsx", "A 10344-2023")</f>
        <v/>
      </c>
      <c r="W77">
        <f>HYPERLINK("https://klasma.github.io/Logging_2361/kartor/A 10344-2023 karta.png", "A 10344-2023")</f>
        <v/>
      </c>
      <c r="X77">
        <f>HYPERLINK("https://klasma.github.io/Logging_2361/kartor_geotiff/A 10344-2023 georefererad karta.tif", "A 10344-2023")</f>
        <v/>
      </c>
      <c r="Y77">
        <f>HYPERLINK("https://klasma.github.io/Logging_2361/knärot/A 10344-2023 karta knärot.png", "A 10344-2023")</f>
        <v/>
      </c>
      <c r="Z77">
        <f>HYPERLINK("https://klasma.github.io/Logging_2361/klagomål/A 10344-2023 FSC-klagomål.docx", "A 10344-2023")</f>
        <v/>
      </c>
      <c r="AA77">
        <f>HYPERLINK("https://klasma.github.io/Logging_2361/klagomålsmail/A 10344-2023 FSC-klagomål mail.docx", "A 10344-2023")</f>
        <v/>
      </c>
      <c r="AB77">
        <f>HYPERLINK("https://klasma.github.io/Logging_2361/tillsyn/A 10344-2023 tillsynsbegäran.docx", "A 10344-2023")</f>
        <v/>
      </c>
      <c r="AC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46223</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X78">
        <f>HYPERLINK("https://klasma.github.io/Logging_2361/kartor_geotiff/A 10023-2023 georefererad karta.tif", "A 10023-2023")</f>
        <v/>
      </c>
      <c r="Z78">
        <f>HYPERLINK("https://klasma.github.io/Logging_2361/klagomål/A 10023-2023 FSC-klagomål.docx", "A 10023-2023")</f>
        <v/>
      </c>
      <c r="AA78">
        <f>HYPERLINK("https://klasma.github.io/Logging_2361/klagomålsmail/A 10023-2023 FSC-klagomål mail.docx", "A 10023-2023")</f>
        <v/>
      </c>
      <c r="AB78">
        <f>HYPERLINK("https://klasma.github.io/Logging_2361/tillsyn/A 10023-2023 tillsynsbegäran.docx", "A 10023-2023")</f>
        <v/>
      </c>
      <c r="AC78">
        <f>HYPERLINK("https://klasma.github.io/Logging_2361/tillsynsmail/A 10023-2023 tillsynsbegäran mail.docx", "A 10023-2023")</f>
        <v/>
      </c>
      <c r="AD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46223</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HYPERLINK("https://klasma.github.io/Logging_2361/kartor_geotiff/S 562-2024 georefererad karta.tif", "S 562-2024")</f>
        <v/>
      </c>
      <c r="Y79">
        <f>HYPERLINK("https://klasma.github.io/Logging_2361/knärot/S 562-2024 karta knärot.png", "S 562-2024")</f>
        <v/>
      </c>
      <c r="Z79">
        <f>HYPERLINK("https://klasma.github.io/Logging_2361/klagomål/S 562-2024 FSC-klagomål.docx", "S 562-2024")</f>
        <v/>
      </c>
      <c r="AA79">
        <f>HYPERLINK("https://klasma.github.io/Logging_2361/klagomålsmail/S 562-2024 FSC-klagomål mail.docx", "S 562-2024")</f>
        <v/>
      </c>
      <c r="AB79">
        <f>HYPERLINK("https://klasma.github.io/Logging_2361/tillsyn/S 562-2024 tillsynsbegäran.docx", "S 562-2024")</f>
        <v/>
      </c>
      <c r="AC79">
        <f>HYPERLINK("https://klasma.github.io/Logging_2361/tillsynsmail/S 562-2024 tillsynsbegäran mail.docx", "S 562-2024")</f>
        <v/>
      </c>
      <c r="AD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46223</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X80">
        <f>HYPERLINK("https://klasma.github.io/Logging_2361/kartor_geotiff/S 7097-2022 georefererad karta.tif", "S 7097-2022")</f>
        <v/>
      </c>
      <c r="Z80">
        <f>HYPERLINK("https://klasma.github.io/Logging_2361/klagomål/S 7097-2022 FSC-klagomål.docx", "S 7097-2022")</f>
        <v/>
      </c>
      <c r="AA80">
        <f>HYPERLINK("https://klasma.github.io/Logging_2361/klagomålsmail/S 7097-2022 FSC-klagomål mail.docx", "S 7097-2022")</f>
        <v/>
      </c>
      <c r="AB80">
        <f>HYPERLINK("https://klasma.github.io/Logging_2361/tillsyn/S 7097-2022 tillsynsbegäran.docx", "S 7097-2022")</f>
        <v/>
      </c>
      <c r="AC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46223</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HYPERLINK("https://klasma.github.io/Logging_2361/kartor_geotiff/S 501-2026 georefererad karta.tif", "S 501-2026")</f>
        <v/>
      </c>
      <c r="Y81">
        <f>HYPERLINK("https://klasma.github.io/Logging_2361/knärot/S 501-2026 karta knärot.png", "S 501-2026")</f>
        <v/>
      </c>
      <c r="Z81">
        <f>HYPERLINK("https://klasma.github.io/Logging_2361/klagomål/S 501-2026 FSC-klagomål.docx", "S 501-2026")</f>
        <v/>
      </c>
      <c r="AA81">
        <f>HYPERLINK("https://klasma.github.io/Logging_2361/klagomålsmail/S 501-2026 FSC-klagomål mail.docx", "S 501-2026")</f>
        <v/>
      </c>
      <c r="AB81">
        <f>HYPERLINK("https://klasma.github.io/Logging_2361/tillsyn/S 501-2026 tillsynsbegäran.docx", "S 501-2026")</f>
        <v/>
      </c>
      <c r="AC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46223</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X82">
        <f>HYPERLINK("https://klasma.github.io/Logging_2361/kartor_geotiff/A 42828-2021 georefererad karta.tif", "A 42828-2021")</f>
        <v/>
      </c>
      <c r="Z82">
        <f>HYPERLINK("https://klasma.github.io/Logging_2361/klagomål/A 42828-2021 FSC-klagomål.docx", "A 42828-2021")</f>
        <v/>
      </c>
      <c r="AA82">
        <f>HYPERLINK("https://klasma.github.io/Logging_2361/klagomålsmail/A 42828-2021 FSC-klagomål mail.docx", "A 42828-2021")</f>
        <v/>
      </c>
      <c r="AB82">
        <f>HYPERLINK("https://klasma.github.io/Logging_2361/tillsyn/A 42828-2021 tillsynsbegäran.docx", "A 42828-2021")</f>
        <v/>
      </c>
      <c r="AC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46223</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X83">
        <f>HYPERLINK("https://klasma.github.io/Logging_2361/kartor_geotiff/A 74070-2021 georefererad karta.tif", "A 74070-2021")</f>
        <v/>
      </c>
      <c r="Z83">
        <f>HYPERLINK("https://klasma.github.io/Logging_2361/klagomål/A 74070-2021 FSC-klagomål.docx", "A 74070-2021")</f>
        <v/>
      </c>
      <c r="AA83">
        <f>HYPERLINK("https://klasma.github.io/Logging_2361/klagomålsmail/A 74070-2021 FSC-klagomål mail.docx", "A 74070-2021")</f>
        <v/>
      </c>
      <c r="AB83">
        <f>HYPERLINK("https://klasma.github.io/Logging_2361/tillsyn/A 74070-2021 tillsynsbegäran.docx", "A 74070-2021")</f>
        <v/>
      </c>
      <c r="AC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46223</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55641-2021 artfynd.xlsx", "A 55641-2021")</f>
        <v/>
      </c>
      <c r="W84">
        <f>HYPERLINK("https://klasma.github.io/Logging_2361/kartor/A 55641-2021 karta.png", "A 55641-2021")</f>
        <v/>
      </c>
      <c r="X84">
        <f>HYPERLINK("https://klasma.github.io/Logging_2361/kartor_geotiff/A 55641-2021 georefererad karta.tif", "A 55641-2021")</f>
        <v/>
      </c>
      <c r="Z84">
        <f>HYPERLINK("https://klasma.github.io/Logging_2361/klagomål/A 55641-2021 FSC-klagomål.docx", "A 55641-2021")</f>
        <v/>
      </c>
      <c r="AA84">
        <f>HYPERLINK("https://klasma.github.io/Logging_2361/klagomålsmail/A 55641-2021 FSC-klagomål mail.docx", "A 55641-2021")</f>
        <v/>
      </c>
      <c r="AB84">
        <f>HYPERLINK("https://klasma.github.io/Logging_2361/tillsyn/A 55641-2021 tillsynsbegäran.docx", "A 55641-2021")</f>
        <v/>
      </c>
      <c r="AC84">
        <f>HYPERLINK("https://klasma.github.io/Logging_2361/tillsynsmail/A 55641-2021 tillsynsbegäran mail.docx", "A 55641-2021")</f>
        <v/>
      </c>
      <c r="AD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46223</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s="2" t="inlineStr">
        <is>
          <t>Dropptaggsvamp
Dvärgbägarlav
Kolflarnlav
Mörk kolflarnlav
Vedflamlav
Vedskivlav
Bårdlav</t>
        </is>
      </c>
      <c r="V85">
        <f>HYPERLINK("https://klasma.github.io/Logging_2361/artfynd/A 42999-2025 artfynd.xlsx", "A 42999-2025")</f>
        <v/>
      </c>
      <c r="W85">
        <f>HYPERLINK("https://klasma.github.io/Logging_2361/kartor/A 42999-2025 karta.png", "A 42999-2025")</f>
        <v/>
      </c>
      <c r="X85">
        <f>HYPERLINK("https://klasma.github.io/Logging_2361/kartor_geotiff/A 42999-2025 georefererad karta.tif", "A 42999-2025")</f>
        <v/>
      </c>
      <c r="Z85">
        <f>HYPERLINK("https://klasma.github.io/Logging_2361/klagomål/A 42999-2025 FSC-klagomål.docx", "A 42999-2025")</f>
        <v/>
      </c>
      <c r="AA85">
        <f>HYPERLINK("https://klasma.github.io/Logging_2361/klagomålsmail/A 42999-2025 FSC-klagomål mail.docx", "A 42999-2025")</f>
        <v/>
      </c>
      <c r="AB85">
        <f>HYPERLINK("https://klasma.github.io/Logging_2361/tillsyn/A 42999-2025 tillsynsbegäran.docx", "A 42999-2025")</f>
        <v/>
      </c>
      <c r="AC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46223</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s="2" t="inlineStr">
        <is>
          <t>Garnlav
Knärot
Dvärgbägarlav
Lunglav
Skrovellav
Violettgrå tagellav
Stuplav</t>
        </is>
      </c>
      <c r="V86">
        <f>HYPERLINK("https://klasma.github.io/Logging_2361/artfynd/A 320-2026 artfynd.xlsx", "A 320-2026")</f>
        <v/>
      </c>
      <c r="W86">
        <f>HYPERLINK("https://klasma.github.io/Logging_2361/kartor/A 320-2026 karta.png", "A 320-2026")</f>
        <v/>
      </c>
      <c r="X86">
        <f>HYPERLINK("https://klasma.github.io/Logging_2361/kartor_geotiff/A 320-2026 georefererad karta.tif", "A 320-2026")</f>
        <v/>
      </c>
      <c r="Y86">
        <f>HYPERLINK("https://klasma.github.io/Logging_2361/knärot/A 320-2026 karta knärot.png", "A 320-2026")</f>
        <v/>
      </c>
      <c r="Z86">
        <f>HYPERLINK("https://klasma.github.io/Logging_2361/klagomål/A 320-2026 FSC-klagomål.docx", "A 320-2026")</f>
        <v/>
      </c>
      <c r="AA86">
        <f>HYPERLINK("https://klasma.github.io/Logging_2361/klagomålsmail/A 320-2026 FSC-klagomål mail.docx", "A 320-2026")</f>
        <v/>
      </c>
      <c r="AB86">
        <f>HYPERLINK("https://klasma.github.io/Logging_2361/tillsyn/A 320-2026 tillsynsbegäran.docx", "A 320-2026")</f>
        <v/>
      </c>
      <c r="AC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46223</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s="2" t="inlineStr">
        <is>
          <t>Garnlav
Knottrig blåslav
Mörk kolflarnlav
Skrovellav
Tretåig hackspett
Korallrot
Spindelblomster</t>
        </is>
      </c>
      <c r="V87">
        <f>HYPERLINK("https://klasma.github.io/Logging_2361/artfynd/A 35454-2024 artfynd.xlsx", "A 35454-2024")</f>
        <v/>
      </c>
      <c r="W87">
        <f>HYPERLINK("https://klasma.github.io/Logging_2361/kartor/A 35454-2024 karta.png", "A 35454-2024")</f>
        <v/>
      </c>
      <c r="X87">
        <f>HYPERLINK("https://klasma.github.io/Logging_2361/kartor_geotiff/A 35454-2024 georefererad karta.tif", "A 35454-2024")</f>
        <v/>
      </c>
      <c r="Z87">
        <f>HYPERLINK("https://klasma.github.io/Logging_2361/klagomål/A 35454-2024 FSC-klagomål.docx", "A 35454-2024")</f>
        <v/>
      </c>
      <c r="AA87">
        <f>HYPERLINK("https://klasma.github.io/Logging_2361/klagomålsmail/A 35454-2024 FSC-klagomål mail.docx", "A 35454-2024")</f>
        <v/>
      </c>
      <c r="AB87">
        <f>HYPERLINK("https://klasma.github.io/Logging_2361/tillsyn/A 35454-2024 tillsynsbegäran.docx", "A 35454-2024")</f>
        <v/>
      </c>
      <c r="AC87">
        <f>HYPERLINK("https://klasma.github.io/Logging_2361/tillsynsmail/A 35454-2024 tillsynsbegäran mail.docx", "A 35454-2024")</f>
        <v/>
      </c>
      <c r="AD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46223</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s="2" t="inlineStr">
        <is>
          <t>Garnlav
Knärot
Kolflarnlav
Lunglav
Skrovellav
Violettgrå tagellav
Stuplav</t>
        </is>
      </c>
      <c r="V88">
        <f>HYPERLINK("https://klasma.github.io/Logging_2361/artfynd/A 41185-2024 artfynd.xlsx", "A 41185-2024")</f>
        <v/>
      </c>
      <c r="W88">
        <f>HYPERLINK("https://klasma.github.io/Logging_2361/kartor/A 41185-2024 karta.png", "A 41185-2024")</f>
        <v/>
      </c>
      <c r="X88">
        <f>HYPERLINK("https://klasma.github.io/Logging_2361/kartor_geotiff/A 41185-2024 georefererad karta.tif", "A 41185-2024")</f>
        <v/>
      </c>
      <c r="Y88">
        <f>HYPERLINK("https://klasma.github.io/Logging_2361/knärot/A 41185-2024 karta knärot.png", "A 41185-2024")</f>
        <v/>
      </c>
      <c r="Z88">
        <f>HYPERLINK("https://klasma.github.io/Logging_2361/klagomål/A 41185-2024 FSC-klagomål.docx", "A 41185-2024")</f>
        <v/>
      </c>
      <c r="AA88">
        <f>HYPERLINK("https://klasma.github.io/Logging_2361/klagomålsmail/A 41185-2024 FSC-klagomål mail.docx", "A 41185-2024")</f>
        <v/>
      </c>
      <c r="AB88">
        <f>HYPERLINK("https://klasma.github.io/Logging_2361/tillsyn/A 41185-2024 tillsynsbegäran.docx", "A 41185-2024")</f>
        <v/>
      </c>
      <c r="AC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46223</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24955-2023 artfynd.xlsx", "A 24955-2023")</f>
        <v/>
      </c>
      <c r="W89">
        <f>HYPERLINK("https://klasma.github.io/Logging_2361/kartor/A 24955-2023 karta.png", "A 24955-2023")</f>
        <v/>
      </c>
      <c r="X89">
        <f>HYPERLINK("https://klasma.github.io/Logging_2361/kartor_geotiff/A 24955-2023 georefererad karta.tif", "A 24955-2023")</f>
        <v/>
      </c>
      <c r="Z89">
        <f>HYPERLINK("https://klasma.github.io/Logging_2361/klagomål/A 24955-2023 FSC-klagomål.docx", "A 24955-2023")</f>
        <v/>
      </c>
      <c r="AA89">
        <f>HYPERLINK("https://klasma.github.io/Logging_2361/klagomålsmail/A 24955-2023 FSC-klagomål mail.docx", "A 24955-2023")</f>
        <v/>
      </c>
      <c r="AB89">
        <f>HYPERLINK("https://klasma.github.io/Logging_2361/tillsyn/A 24955-2023 tillsynsbegäran.docx", "A 24955-2023")</f>
        <v/>
      </c>
      <c r="AC89">
        <f>HYPERLINK("https://klasma.github.io/Logging_2361/tillsynsmail/A 24955-2023 tillsynsbegäran mail.docx", "A 24955-2023")</f>
        <v/>
      </c>
      <c r="AD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46223</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s="2" t="inlineStr">
        <is>
          <t>Goliatmusseron
Skrovlig taggsvamp
Smalfotad taggsvamp
Tallgråticka
Blå taggsvamp
Mjölsvärting
Talltaggsvamp</t>
        </is>
      </c>
      <c r="V90">
        <f>HYPERLINK("https://klasma.github.io/Logging_2361/artfynd/A 14565-2025 artfynd.xlsx", "A 14565-2025")</f>
        <v/>
      </c>
      <c r="W90">
        <f>HYPERLINK("https://klasma.github.io/Logging_2361/kartor/A 14565-2025 karta.png", "A 14565-2025")</f>
        <v/>
      </c>
      <c r="X90">
        <f>HYPERLINK("https://klasma.github.io/Logging_2361/kartor_geotiff/A 14565-2025 georefererad karta.tif", "A 14565-2025")</f>
        <v/>
      </c>
      <c r="Z90">
        <f>HYPERLINK("https://klasma.github.io/Logging_2361/klagomål/A 14565-2025 FSC-klagomål.docx", "A 14565-2025")</f>
        <v/>
      </c>
      <c r="AA90">
        <f>HYPERLINK("https://klasma.github.io/Logging_2361/klagomålsmail/A 14565-2025 FSC-klagomål mail.docx", "A 14565-2025")</f>
        <v/>
      </c>
      <c r="AB90">
        <f>HYPERLINK("https://klasma.github.io/Logging_2361/tillsyn/A 14565-2025 tillsynsbegäran.docx", "A 14565-2025")</f>
        <v/>
      </c>
      <c r="AC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46223</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HYPERLINK("https://klasma.github.io/Logging_2361/kartor_geotiff/A 22464-2022 georefererad karta.tif", "A 22464-2022")</f>
        <v/>
      </c>
      <c r="Y91">
        <f>HYPERLINK("https://klasma.github.io/Logging_2361/knärot/A 22464-2022 karta knärot.png", "A 22464-2022")</f>
        <v/>
      </c>
      <c r="Z91">
        <f>HYPERLINK("https://klasma.github.io/Logging_2361/klagomål/A 22464-2022 FSC-klagomål.docx", "A 22464-2022")</f>
        <v/>
      </c>
      <c r="AA91">
        <f>HYPERLINK("https://klasma.github.io/Logging_2361/klagomålsmail/A 22464-2022 FSC-klagomål mail.docx", "A 22464-2022")</f>
        <v/>
      </c>
      <c r="AB91">
        <f>HYPERLINK("https://klasma.github.io/Logging_2361/tillsyn/A 22464-2022 tillsynsbegäran.docx", "A 22464-2022")</f>
        <v/>
      </c>
      <c r="AC91">
        <f>HYPERLINK("https://klasma.github.io/Logging_2361/tillsynsmail/A 22464-2022 tillsynsbegäran mail.docx", "A 22464-2022")</f>
        <v/>
      </c>
      <c r="AD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46223</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s="2" t="inlineStr">
        <is>
          <t>Garnlav
Blanksvart spiklav
Blågrå svartspik
Tretåig hackspett
Ullticka
Vedflamlav</t>
        </is>
      </c>
      <c r="V92">
        <f>HYPERLINK("https://klasma.github.io/Logging_2361/artfynd/A 56483-2023 artfynd.xlsx", "A 56483-2023")</f>
        <v/>
      </c>
      <c r="W92">
        <f>HYPERLINK("https://klasma.github.io/Logging_2361/kartor/A 56483-2023 karta.png", "A 56483-2023")</f>
        <v/>
      </c>
      <c r="X92">
        <f>HYPERLINK("https://klasma.github.io/Logging_2361/kartor_geotiff/A 56483-2023 georefererad karta.tif", "A 56483-2023")</f>
        <v/>
      </c>
      <c r="Z92">
        <f>HYPERLINK("https://klasma.github.io/Logging_2361/klagomål/A 56483-2023 FSC-klagomål.docx", "A 56483-2023")</f>
        <v/>
      </c>
      <c r="AA92">
        <f>HYPERLINK("https://klasma.github.io/Logging_2361/klagomålsmail/A 56483-2023 FSC-klagomål mail.docx", "A 56483-2023")</f>
        <v/>
      </c>
      <c r="AB92">
        <f>HYPERLINK("https://klasma.github.io/Logging_2361/tillsyn/A 56483-2023 tillsynsbegäran.docx", "A 56483-2023")</f>
        <v/>
      </c>
      <c r="AC92">
        <f>HYPERLINK("https://klasma.github.io/Logging_2361/tillsynsmail/A 56483-2023 tillsynsbegäran mail.docx", "A 56483-2023")</f>
        <v/>
      </c>
      <c r="AD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46223</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s="2" t="inlineStr">
        <is>
          <t>Blanksvart spiklav
Blågrå svartspik
Dvärgbägarlav
Kolflarnlav
Mörk kolflarnlav
Nordtagging</t>
        </is>
      </c>
      <c r="V93">
        <f>HYPERLINK("https://klasma.github.io/Logging_2361/artfynd/A 48699-2025 artfynd.xlsx", "A 48699-2025")</f>
        <v/>
      </c>
      <c r="W93">
        <f>HYPERLINK("https://klasma.github.io/Logging_2361/kartor/A 48699-2025 karta.png", "A 48699-2025")</f>
        <v/>
      </c>
      <c r="X93">
        <f>HYPERLINK("https://klasma.github.io/Logging_2361/kartor_geotiff/A 48699-2025 georefererad karta.tif", "A 48699-2025")</f>
        <v/>
      </c>
      <c r="Z93">
        <f>HYPERLINK("https://klasma.github.io/Logging_2361/klagomål/A 48699-2025 FSC-klagomål.docx", "A 48699-2025")</f>
        <v/>
      </c>
      <c r="AA93">
        <f>HYPERLINK("https://klasma.github.io/Logging_2361/klagomålsmail/A 48699-2025 FSC-klagomål mail.docx", "A 48699-2025")</f>
        <v/>
      </c>
      <c r="AB93">
        <f>HYPERLINK("https://klasma.github.io/Logging_2361/tillsyn/A 48699-2025 tillsynsbegäran.docx", "A 48699-2025")</f>
        <v/>
      </c>
      <c r="AC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46223</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X94">
        <f>HYPERLINK("https://klasma.github.io/Logging_2361/kartor_geotiff/A 43278-2024 georefererad karta.tif", "A 43278-2024")</f>
        <v/>
      </c>
      <c r="Z94">
        <f>HYPERLINK("https://klasma.github.io/Logging_2361/klagomål/A 43278-2024 FSC-klagomål.docx", "A 43278-2024")</f>
        <v/>
      </c>
      <c r="AA94">
        <f>HYPERLINK("https://klasma.github.io/Logging_2361/klagomålsmail/A 43278-2024 FSC-klagomål mail.docx", "A 43278-2024")</f>
        <v/>
      </c>
      <c r="AB94">
        <f>HYPERLINK("https://klasma.github.io/Logging_2361/tillsyn/A 43278-2024 tillsynsbegäran.docx", "A 43278-2024")</f>
        <v/>
      </c>
      <c r="AC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46223</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X95">
        <f>HYPERLINK("https://klasma.github.io/Logging_2361/kartor_geotiff/A 39687-2024 georefererad karta.tif", "A 39687-2024")</f>
        <v/>
      </c>
      <c r="Z95">
        <f>HYPERLINK("https://klasma.github.io/Logging_2361/klagomål/A 39687-2024 FSC-klagomål.docx", "A 39687-2024")</f>
        <v/>
      </c>
      <c r="AA95">
        <f>HYPERLINK("https://klasma.github.io/Logging_2361/klagomålsmail/A 39687-2024 FSC-klagomål mail.docx", "A 39687-2024")</f>
        <v/>
      </c>
      <c r="AB95">
        <f>HYPERLINK("https://klasma.github.io/Logging_2361/tillsyn/A 39687-2024 tillsynsbegäran.docx", "A 39687-2024")</f>
        <v/>
      </c>
      <c r="AC95">
        <f>HYPERLINK("https://klasma.github.io/Logging_2361/tillsynsmail/A 39687-2024 tillsynsbegäran mail.docx", "A 39687-2024")</f>
        <v/>
      </c>
    </row>
    <row r="96" ht="15" customHeight="1">
      <c r="A96" t="inlineStr">
        <is>
          <t>A 36522-2025</t>
        </is>
      </c>
      <c r="B96" t="inlineStr">
        <is>
          <t>avverkningsanmälan</t>
        </is>
      </c>
      <c r="C96" t="inlineStr">
        <is>
          <t>Föryngringsavverkning</t>
        </is>
      </c>
      <c r="D96" s="1" t="n">
        <v>45869</v>
      </c>
      <c r="E96" s="1" t="n">
        <v>46223</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s="2" t="inlineStr">
        <is>
          <t>Garnlav
Knottrig blåslav
Tretåig hackspett
Varglav
Vedflamlav
Luddlav</t>
        </is>
      </c>
      <c r="V96">
        <f>HYPERLINK("https://klasma.github.io/Logging_2361/artfynd/A 36522-2025 artfynd.xlsx", "A 36522-2025")</f>
        <v/>
      </c>
      <c r="W96">
        <f>HYPERLINK("https://klasma.github.io/Logging_2361/kartor/A 36522-2025 karta.png", "A 36522-2025")</f>
        <v/>
      </c>
      <c r="X96">
        <f>HYPERLINK("https://klasma.github.io/Logging_2361/kartor_geotiff/A 36522-2025 georefererad karta.tif", "A 36522-2025")</f>
        <v/>
      </c>
      <c r="Z96">
        <f>HYPERLINK("https://klasma.github.io/Logging_2361/klagomål/A 36522-2025 FSC-klagomål.docx", "A 36522-2025")</f>
        <v/>
      </c>
      <c r="AA96">
        <f>HYPERLINK("https://klasma.github.io/Logging_2361/klagomålsmail/A 36522-2025 FSC-klagomål mail.docx", "A 36522-2025")</f>
        <v/>
      </c>
      <c r="AB96">
        <f>HYPERLINK("https://klasma.github.io/Logging_2361/tillsyn/A 36522-2025 tillsynsbegäran.docx", "A 36522-2025")</f>
        <v/>
      </c>
      <c r="AC96">
        <f>HYPERLINK("https://klasma.github.io/Logging_2361/tillsynsmail/A 36522-2025 tillsynsbegäran mail.docx", "A 36522-2025")</f>
        <v/>
      </c>
      <c r="AD96">
        <f>HYPERLINK("https://klasma.github.io/Logging_2361/fåglar/A 36522-2025 prioriterade fågelarter.docx", "A 36522-2025")</f>
        <v/>
      </c>
    </row>
    <row r="97" ht="15" customHeight="1">
      <c r="A97" t="inlineStr">
        <is>
          <t>A 63663-2025</t>
        </is>
      </c>
      <c r="B97" t="inlineStr">
        <is>
          <t>avverkningsanmälan</t>
        </is>
      </c>
      <c r="C97" t="inlineStr">
        <is>
          <t>Föryngringsavverkning</t>
        </is>
      </c>
      <c r="D97" s="1" t="n">
        <v>46014</v>
      </c>
      <c r="E97" s="1" t="n">
        <v>46223</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s="2" t="inlineStr">
        <is>
          <t>Goliatmusseron
Blå taggsvamp
Dropptaggsvamp
Orange taggsvamp
Skarp dropptaggsvamp
Tallriska</t>
        </is>
      </c>
      <c r="V97">
        <f>HYPERLINK("https://klasma.github.io/Logging_2361/artfynd/A 63663-2025 artfynd.xlsx", "A 63663-2025")</f>
        <v/>
      </c>
      <c r="W97">
        <f>HYPERLINK("https://klasma.github.io/Logging_2361/kartor/A 63663-2025 karta.png", "A 63663-2025")</f>
        <v/>
      </c>
      <c r="X97">
        <f>HYPERLINK("https://klasma.github.io/Logging_2361/kartor_geotiff/A 63663-2025 georefererad karta.tif", "A 63663-2025")</f>
        <v/>
      </c>
      <c r="Z97">
        <f>HYPERLINK("https://klasma.github.io/Logging_2361/klagomål/A 63663-2025 FSC-klagomål.docx", "A 63663-2025")</f>
        <v/>
      </c>
      <c r="AA97">
        <f>HYPERLINK("https://klasma.github.io/Logging_2361/klagomålsmail/A 63663-2025 FSC-klagomål mail.docx", "A 63663-2025")</f>
        <v/>
      </c>
      <c r="AB97">
        <f>HYPERLINK("https://klasma.github.io/Logging_2361/tillsyn/A 63663-2025 tillsynsbegäran.docx", "A 63663-2025")</f>
        <v/>
      </c>
      <c r="AC97">
        <f>HYPERLINK("https://klasma.github.io/Logging_2361/tillsynsmail/A 63663-2025 tillsynsbegäran mail.docx", "A 63663-2025")</f>
        <v/>
      </c>
    </row>
    <row r="98" ht="15" customHeight="1">
      <c r="A98" t="inlineStr">
        <is>
          <t>A 22888-2026</t>
        </is>
      </c>
      <c r="B98" t="inlineStr">
        <is>
          <t>avverkningsanmälan</t>
        </is>
      </c>
      <c r="C98" t="inlineStr">
        <is>
          <t>Föryngringsavverkning</t>
        </is>
      </c>
      <c r="D98" s="1" t="n">
        <v>46160</v>
      </c>
      <c r="E98" s="1" t="n">
        <v>46223</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s="2" t="inlineStr">
        <is>
          <t>Garnlav
Kolflarnlav
Tretåig hackspett
Vedflamlav
Vedskivlav
Tjäder</t>
        </is>
      </c>
      <c r="V98">
        <f>HYPERLINK("https://klasma.github.io/Logging_2361/artfynd/A 22888-2026 artfynd.xlsx", "A 22888-2026")</f>
        <v/>
      </c>
      <c r="W98">
        <f>HYPERLINK("https://klasma.github.io/Logging_2361/kartor/A 22888-2026 karta.png", "A 22888-2026")</f>
        <v/>
      </c>
      <c r="X98">
        <f>HYPERLINK("https://klasma.github.io/Logging_2361/kartor_geotiff/A 22888-2026 georefererad karta.tif", "A 22888-2026")</f>
        <v/>
      </c>
      <c r="Z98">
        <f>HYPERLINK("https://klasma.github.io/Logging_2361/klagomål/A 22888-2026 FSC-klagomål.docx", "A 22888-2026")</f>
        <v/>
      </c>
      <c r="AA98">
        <f>HYPERLINK("https://klasma.github.io/Logging_2361/klagomålsmail/A 22888-2026 FSC-klagomål mail.docx", "A 22888-2026")</f>
        <v/>
      </c>
      <c r="AB98">
        <f>HYPERLINK("https://klasma.github.io/Logging_2361/tillsyn/A 22888-2026 tillsynsbegäran.docx", "A 22888-2026")</f>
        <v/>
      </c>
      <c r="AC98">
        <f>HYPERLINK("https://klasma.github.io/Logging_2361/tillsynsmail/A 22888-2026 tillsynsbegäran mail.docx", "A 22888-2026")</f>
        <v/>
      </c>
      <c r="AD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46223</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X99">
        <f>HYPERLINK("https://klasma.github.io/Logging_2361/kartor_geotiff/A 10010-2025 georefererad karta.tif", "A 10010-2025")</f>
        <v/>
      </c>
      <c r="Z99">
        <f>HYPERLINK("https://klasma.github.io/Logging_2361/klagomål/A 10010-2025 FSC-klagomål.docx", "A 10010-2025")</f>
        <v/>
      </c>
      <c r="AA99">
        <f>HYPERLINK("https://klasma.github.io/Logging_2361/klagomålsmail/A 10010-2025 FSC-klagomål mail.docx", "A 10010-2025")</f>
        <v/>
      </c>
      <c r="AB99">
        <f>HYPERLINK("https://klasma.github.io/Logging_2361/tillsyn/A 10010-2025 tillsynsbegäran.docx", "A 10010-2025")</f>
        <v/>
      </c>
      <c r="AC99">
        <f>HYPERLINK("https://klasma.github.io/Logging_2361/tillsynsmail/A 10010-2025 tillsynsbegäran mail.docx", "A 10010-2025")</f>
        <v/>
      </c>
      <c r="AD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46223</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X100">
        <f>HYPERLINK("https://klasma.github.io/Logging_2361/kartor_geotiff/A 54364-2024 georefererad karta.tif", "A 54364-2024")</f>
        <v/>
      </c>
      <c r="Z100">
        <f>HYPERLINK("https://klasma.github.io/Logging_2361/klagomål/A 54364-2024 FSC-klagomål.docx", "A 54364-2024")</f>
        <v/>
      </c>
      <c r="AA100">
        <f>HYPERLINK("https://klasma.github.io/Logging_2361/klagomålsmail/A 54364-2024 FSC-klagomål mail.docx", "A 54364-2024")</f>
        <v/>
      </c>
      <c r="AB100">
        <f>HYPERLINK("https://klasma.github.io/Logging_2361/tillsyn/A 54364-2024 tillsynsbegäran.docx", "A 54364-2024")</f>
        <v/>
      </c>
      <c r="AC100">
        <f>HYPERLINK("https://klasma.github.io/Logging_2361/tillsynsmail/A 54364-2024 tillsynsbegäran mail.docx", "A 54364-2024")</f>
        <v/>
      </c>
      <c r="AD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46223</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s="2" t="inlineStr">
        <is>
          <t>Dropptaggsvamp
Dvärgbägarlav
Mörk kolflarnlav
Vedflamlav
Vedskivlav</t>
        </is>
      </c>
      <c r="V101">
        <f>HYPERLINK("https://klasma.github.io/Logging_2361/artfynd/A 42982-2025 artfynd.xlsx", "A 42982-2025")</f>
        <v/>
      </c>
      <c r="W101">
        <f>HYPERLINK("https://klasma.github.io/Logging_2361/kartor/A 42982-2025 karta.png", "A 42982-2025")</f>
        <v/>
      </c>
      <c r="X101">
        <f>HYPERLINK("https://klasma.github.io/Logging_2361/kartor_geotiff/A 42982-2025 georefererad karta.tif", "A 42982-2025")</f>
        <v/>
      </c>
      <c r="Z101">
        <f>HYPERLINK("https://klasma.github.io/Logging_2361/klagomål/A 42982-2025 FSC-klagomål.docx", "A 42982-2025")</f>
        <v/>
      </c>
      <c r="AA101">
        <f>HYPERLINK("https://klasma.github.io/Logging_2361/klagomålsmail/A 42982-2025 FSC-klagomål mail.docx", "A 42982-2025")</f>
        <v/>
      </c>
      <c r="AB101">
        <f>HYPERLINK("https://klasma.github.io/Logging_2361/tillsyn/A 42982-2025 tillsynsbegäran.docx", "A 42982-2025")</f>
        <v/>
      </c>
      <c r="AC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46223</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X102">
        <f>HYPERLINK("https://klasma.github.io/Logging_2361/kartor_geotiff/A 52548-2025 georefererad karta.tif", "A 52548-2025")</f>
        <v/>
      </c>
      <c r="Z102">
        <f>HYPERLINK("https://klasma.github.io/Logging_2361/klagomål/A 52548-2025 FSC-klagomål.docx", "A 52548-2025")</f>
        <v/>
      </c>
      <c r="AA102">
        <f>HYPERLINK("https://klasma.github.io/Logging_2361/klagomålsmail/A 52548-2025 FSC-klagomål mail.docx", "A 52548-2025")</f>
        <v/>
      </c>
      <c r="AB102">
        <f>HYPERLINK("https://klasma.github.io/Logging_2361/tillsyn/A 52548-2025 tillsynsbegäran.docx", "A 52548-2025")</f>
        <v/>
      </c>
      <c r="AC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46223</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X103">
        <f>HYPERLINK("https://klasma.github.io/Logging_2361/kartor_geotiff/A 56516-2025 georefererad karta.tif", "A 56516-2025")</f>
        <v/>
      </c>
      <c r="Z103">
        <f>HYPERLINK("https://klasma.github.io/Logging_2361/klagomål/A 56516-2025 FSC-klagomål.docx", "A 56516-2025")</f>
        <v/>
      </c>
      <c r="AA103">
        <f>HYPERLINK("https://klasma.github.io/Logging_2361/klagomålsmail/A 56516-2025 FSC-klagomål mail.docx", "A 56516-2025")</f>
        <v/>
      </c>
      <c r="AB103">
        <f>HYPERLINK("https://klasma.github.io/Logging_2361/tillsyn/A 56516-2025 tillsynsbegäran.docx", "A 56516-2025")</f>
        <v/>
      </c>
      <c r="AC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46223</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X104">
        <f>HYPERLINK("https://klasma.github.io/Logging_2361/kartor_geotiff/A 19977-2026 georefererad karta.tif", "A 19977-2026")</f>
        <v/>
      </c>
      <c r="Z104">
        <f>HYPERLINK("https://klasma.github.io/Logging_2361/klagomål/A 19977-2026 FSC-klagomål.docx", "A 19977-2026")</f>
        <v/>
      </c>
      <c r="AA104">
        <f>HYPERLINK("https://klasma.github.io/Logging_2361/klagomålsmail/A 19977-2026 FSC-klagomål mail.docx", "A 19977-2026")</f>
        <v/>
      </c>
      <c r="AB104">
        <f>HYPERLINK("https://klasma.github.io/Logging_2361/tillsyn/A 19977-2026 tillsynsbegäran.docx", "A 19977-2026")</f>
        <v/>
      </c>
      <c r="AC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46223</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X105">
        <f>HYPERLINK("https://klasma.github.io/Logging_2361/kartor_geotiff/S 1959-2024 georefererad karta.tif", "S 1959-2024")</f>
        <v/>
      </c>
      <c r="Z105">
        <f>HYPERLINK("https://klasma.github.io/Logging_2361/klagomål/S 1959-2024 FSC-klagomål.docx", "S 1959-2024")</f>
        <v/>
      </c>
      <c r="AA105">
        <f>HYPERLINK("https://klasma.github.io/Logging_2361/klagomålsmail/S 1959-2024 FSC-klagomål mail.docx", "S 1959-2024")</f>
        <v/>
      </c>
      <c r="AB105">
        <f>HYPERLINK("https://klasma.github.io/Logging_2361/tillsyn/S 1959-2024 tillsynsbegäran.docx", "S 1959-2024")</f>
        <v/>
      </c>
      <c r="AC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46223</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X106">
        <f>HYPERLINK("https://klasma.github.io/Logging_2361/kartor_geotiff/S 1186-2025 georefererad karta.tif", "S 1186-2025")</f>
        <v/>
      </c>
      <c r="Z106">
        <f>HYPERLINK("https://klasma.github.io/Logging_2361/klagomål/S 1186-2025 FSC-klagomål.docx", "S 1186-2025")</f>
        <v/>
      </c>
      <c r="AA106">
        <f>HYPERLINK("https://klasma.github.io/Logging_2361/klagomålsmail/S 1186-2025 FSC-klagomål mail.docx", "S 1186-2025")</f>
        <v/>
      </c>
      <c r="AB106">
        <f>HYPERLINK("https://klasma.github.io/Logging_2361/tillsyn/S 1186-2025 tillsynsbegäran.docx", "S 1186-2025")</f>
        <v/>
      </c>
      <c r="AC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46223</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X107">
        <f>HYPERLINK("https://klasma.github.io/Logging_2361/kartor_geotiff/A 17082-2022 georefererad karta.tif", "A 17082-2022")</f>
        <v/>
      </c>
      <c r="Z107">
        <f>HYPERLINK("https://klasma.github.io/Logging_2361/klagomål/A 17082-2022 FSC-klagomål.docx", "A 17082-2022")</f>
        <v/>
      </c>
      <c r="AA107">
        <f>HYPERLINK("https://klasma.github.io/Logging_2361/klagomålsmail/A 17082-2022 FSC-klagomål mail.docx", "A 17082-2022")</f>
        <v/>
      </c>
      <c r="AB107">
        <f>HYPERLINK("https://klasma.github.io/Logging_2361/tillsyn/A 17082-2022 tillsynsbegäran.docx", "A 17082-2022")</f>
        <v/>
      </c>
      <c r="AC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46223</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X108">
        <f>HYPERLINK("https://klasma.github.io/Logging_2361/kartor_geotiff/A 55244-2021 georefererad karta.tif", "A 55244-2021")</f>
        <v/>
      </c>
      <c r="Z108">
        <f>HYPERLINK("https://klasma.github.io/Logging_2361/klagomål/A 55244-2021 FSC-klagomål.docx", "A 55244-2021")</f>
        <v/>
      </c>
      <c r="AA108">
        <f>HYPERLINK("https://klasma.github.io/Logging_2361/klagomålsmail/A 55244-2021 FSC-klagomål mail.docx", "A 55244-2021")</f>
        <v/>
      </c>
      <c r="AB108">
        <f>HYPERLINK("https://klasma.github.io/Logging_2361/tillsyn/A 55244-2021 tillsynsbegäran.docx", "A 55244-2021")</f>
        <v/>
      </c>
      <c r="AC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46223</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X109">
        <f>HYPERLINK("https://klasma.github.io/Logging_2361/kartor_geotiff/A 36249-2022 georefererad karta.tif", "A 36249-2022")</f>
        <v/>
      </c>
      <c r="Z109">
        <f>HYPERLINK("https://klasma.github.io/Logging_2361/klagomål/A 36249-2022 FSC-klagomål.docx", "A 36249-2022")</f>
        <v/>
      </c>
      <c r="AA109">
        <f>HYPERLINK("https://klasma.github.io/Logging_2361/klagomålsmail/A 36249-2022 FSC-klagomål mail.docx", "A 36249-2022")</f>
        <v/>
      </c>
      <c r="AB109">
        <f>HYPERLINK("https://klasma.github.io/Logging_2361/tillsyn/A 36249-2022 tillsynsbegäran.docx", "A 36249-2022")</f>
        <v/>
      </c>
      <c r="AC109">
        <f>HYPERLINK("https://klasma.github.io/Logging_2361/tillsynsmail/A 36249-2022 tillsynsbegäran mail.docx", "A 36249-2022")</f>
        <v/>
      </c>
      <c r="AD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46223</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s="2" t="inlineStr">
        <is>
          <t>Dvärgbägarlav
Kolflarnlav
Mörk kolflarnlav
Vedflamlav</t>
        </is>
      </c>
      <c r="V110">
        <f>HYPERLINK("https://klasma.github.io/Logging_2361/artfynd/A 25864-2024 artfynd.xlsx", "A 25864-2024")</f>
        <v/>
      </c>
      <c r="W110">
        <f>HYPERLINK("https://klasma.github.io/Logging_2361/kartor/A 25864-2024 karta.png", "A 25864-2024")</f>
        <v/>
      </c>
      <c r="X110">
        <f>HYPERLINK("https://klasma.github.io/Logging_2361/kartor_geotiff/A 25864-2024 georefererad karta.tif", "A 25864-2024")</f>
        <v/>
      </c>
      <c r="Z110">
        <f>HYPERLINK("https://klasma.github.io/Logging_2361/klagomål/A 25864-2024 FSC-klagomål.docx", "A 25864-2024")</f>
        <v/>
      </c>
      <c r="AA110">
        <f>HYPERLINK("https://klasma.github.io/Logging_2361/klagomålsmail/A 25864-2024 FSC-klagomål mail.docx", "A 25864-2024")</f>
        <v/>
      </c>
      <c r="AB110">
        <f>HYPERLINK("https://klasma.github.io/Logging_2361/tillsyn/A 25864-2024 tillsynsbegäran.docx", "A 25864-2024")</f>
        <v/>
      </c>
      <c r="AC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46223</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s="2" t="inlineStr">
        <is>
          <t>Grantickeporing
Stjärntagging
Ullticka
Spillkråka</t>
        </is>
      </c>
      <c r="V111">
        <f>HYPERLINK("https://klasma.github.io/Logging_2361/artfynd/A 20206-2022 artfynd.xlsx", "A 20206-2022")</f>
        <v/>
      </c>
      <c r="W111">
        <f>HYPERLINK("https://klasma.github.io/Logging_2361/kartor/A 20206-2022 karta.png", "A 20206-2022")</f>
        <v/>
      </c>
      <c r="X111">
        <f>HYPERLINK("https://klasma.github.io/Logging_2361/kartor_geotiff/A 20206-2022 georefererad karta.tif", "A 20206-2022")</f>
        <v/>
      </c>
      <c r="Z111">
        <f>HYPERLINK("https://klasma.github.io/Logging_2361/klagomål/A 20206-2022 FSC-klagomål.docx", "A 20206-2022")</f>
        <v/>
      </c>
      <c r="AA111">
        <f>HYPERLINK("https://klasma.github.io/Logging_2361/klagomålsmail/A 20206-2022 FSC-klagomål mail.docx", "A 20206-2022")</f>
        <v/>
      </c>
      <c r="AB111">
        <f>HYPERLINK("https://klasma.github.io/Logging_2361/tillsyn/A 20206-2022 tillsynsbegäran.docx", "A 20206-2022")</f>
        <v/>
      </c>
      <c r="AC111">
        <f>HYPERLINK("https://klasma.github.io/Logging_2361/tillsynsmail/A 20206-2022 tillsynsbegäran mail.docx", "A 20206-2022")</f>
        <v/>
      </c>
      <c r="AD111">
        <f>HYPERLINK("https://klasma.github.io/Logging_2361/fåglar/A 20206-2022 prioriterade fågelarter.docx", "A 20206-2022")</f>
        <v/>
      </c>
    </row>
    <row r="112" ht="15" customHeight="1">
      <c r="A112" t="inlineStr">
        <is>
          <t>A 55383-2022</t>
        </is>
      </c>
      <c r="B112" t="inlineStr">
        <is>
          <t>avverkningsanmälan</t>
        </is>
      </c>
      <c r="C112" t="inlineStr">
        <is>
          <t>Föryngringsavverkning</t>
        </is>
      </c>
      <c r="D112" s="1" t="n">
        <v>44882</v>
      </c>
      <c r="E112" s="1" t="n">
        <v>46223</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s="2" t="inlineStr">
        <is>
          <t>Garnlav
Grantickeporing
Tretåig hackspett
Svavelriska</t>
        </is>
      </c>
      <c r="V112">
        <f>HYPERLINK("https://klasma.github.io/Logging_2361/artfynd/A 55383-2022 artfynd.xlsx", "A 55383-2022")</f>
        <v/>
      </c>
      <c r="W112">
        <f>HYPERLINK("https://klasma.github.io/Logging_2361/kartor/A 55383-2022 karta.png", "A 55383-2022")</f>
        <v/>
      </c>
      <c r="X112">
        <f>HYPERLINK("https://klasma.github.io/Logging_2361/kartor_geotiff/A 55383-2022 georefererad karta.tif", "A 55383-2022")</f>
        <v/>
      </c>
      <c r="Z112">
        <f>HYPERLINK("https://klasma.github.io/Logging_2361/klagomål/A 55383-2022 FSC-klagomål.docx", "A 55383-2022")</f>
        <v/>
      </c>
      <c r="AA112">
        <f>HYPERLINK("https://klasma.github.io/Logging_2361/klagomålsmail/A 55383-2022 FSC-klagomål mail.docx", "A 55383-2022")</f>
        <v/>
      </c>
      <c r="AB112">
        <f>HYPERLINK("https://klasma.github.io/Logging_2361/tillsyn/A 55383-2022 tillsynsbegäran.docx", "A 55383-2022")</f>
        <v/>
      </c>
      <c r="AC112">
        <f>HYPERLINK("https://klasma.github.io/Logging_2361/tillsynsmail/A 55383-2022 tillsynsbegäran mail.docx", "A 55383-2022")</f>
        <v/>
      </c>
      <c r="AD112">
        <f>HYPERLINK("https://klasma.github.io/Logging_2361/fåglar/A 55383-2022 prioriterade fågelarter.docx", "A 55383-2022")</f>
        <v/>
      </c>
    </row>
    <row r="113" ht="15" customHeight="1">
      <c r="A113" t="inlineStr">
        <is>
          <t>A 65899-2021</t>
        </is>
      </c>
      <c r="B113" t="inlineStr">
        <is>
          <t>avverkningsanmälan</t>
        </is>
      </c>
      <c r="C113" t="inlineStr">
        <is>
          <t>Föryngringsavverkning</t>
        </is>
      </c>
      <c r="D113" s="1" t="n">
        <v>44517</v>
      </c>
      <c r="E113" s="1" t="n">
        <v>46223</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s="2" t="inlineStr">
        <is>
          <t>Garnlav
Gammelgransskål
Harticka
Vedskivlav</t>
        </is>
      </c>
      <c r="V113">
        <f>HYPERLINK("https://klasma.github.io/Logging_2361/artfynd/A 65899-2021 artfynd.xlsx", "A 65899-2021")</f>
        <v/>
      </c>
      <c r="W113">
        <f>HYPERLINK("https://klasma.github.io/Logging_2361/kartor/A 65899-2021 karta.png", "A 65899-2021")</f>
        <v/>
      </c>
      <c r="X113">
        <f>HYPERLINK("https://klasma.github.io/Logging_2361/kartor_geotiff/A 65899-2021 georefererad karta.tif", "A 65899-2021")</f>
        <v/>
      </c>
      <c r="Z113">
        <f>HYPERLINK("https://klasma.github.io/Logging_2361/klagomål/A 65899-2021 FSC-klagomål.docx", "A 65899-2021")</f>
        <v/>
      </c>
      <c r="AA113">
        <f>HYPERLINK("https://klasma.github.io/Logging_2361/klagomålsmail/A 65899-2021 FSC-klagomål mail.docx", "A 65899-2021")</f>
        <v/>
      </c>
      <c r="AB113">
        <f>HYPERLINK("https://klasma.github.io/Logging_2361/tillsyn/A 65899-2021 tillsynsbegäran.docx", "A 65899-2021")</f>
        <v/>
      </c>
      <c r="AC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46223</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s="2" t="inlineStr">
        <is>
          <t>Broktagel
Knottrig blåslav
Lunglav
Fläcknycklar</t>
        </is>
      </c>
      <c r="V114">
        <f>HYPERLINK("https://klasma.github.io/Logging_2361/artfynd/A 32676-2025 artfynd.xlsx", "A 32676-2025")</f>
        <v/>
      </c>
      <c r="W114">
        <f>HYPERLINK("https://klasma.github.io/Logging_2361/kartor/A 32676-2025 karta.png", "A 32676-2025")</f>
        <v/>
      </c>
      <c r="X114">
        <f>HYPERLINK("https://klasma.github.io/Logging_2361/kartor_geotiff/A 32676-2025 georefererad karta.tif", "A 32676-2025")</f>
        <v/>
      </c>
      <c r="Z114">
        <f>HYPERLINK("https://klasma.github.io/Logging_2361/klagomål/A 32676-2025 FSC-klagomål.docx", "A 32676-2025")</f>
        <v/>
      </c>
      <c r="AA114">
        <f>HYPERLINK("https://klasma.github.io/Logging_2361/klagomålsmail/A 32676-2025 FSC-klagomål mail.docx", "A 32676-2025")</f>
        <v/>
      </c>
      <c r="AB114">
        <f>HYPERLINK("https://klasma.github.io/Logging_2361/tillsyn/A 32676-2025 tillsynsbegäran.docx", "A 32676-2025")</f>
        <v/>
      </c>
      <c r="AC114">
        <f>HYPERLINK("https://klasma.github.io/Logging_2361/tillsynsmail/A 32676-2025 tillsynsbegäran mail.docx", "A 32676-2025")</f>
        <v/>
      </c>
    </row>
    <row r="115" ht="15" customHeight="1">
      <c r="A115" t="inlineStr">
        <is>
          <t>A 999-2025</t>
        </is>
      </c>
      <c r="B115" t="inlineStr">
        <is>
          <t>avverkningsanmälan</t>
        </is>
      </c>
      <c r="C115" t="inlineStr">
        <is>
          <t>Föryngringsavverkning</t>
        </is>
      </c>
      <c r="D115" s="1" t="n">
        <v>45666</v>
      </c>
      <c r="E115" s="1" t="n">
        <v>46223</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s="2" t="inlineStr">
        <is>
          <t>Lunglav
Tretåig hackspett
Ullticka
Violettgrå tagellav</t>
        </is>
      </c>
      <c r="V115">
        <f>HYPERLINK("https://klasma.github.io/Logging_2361/artfynd/A 999-2025 artfynd.xlsx", "A 999-2025")</f>
        <v/>
      </c>
      <c r="W115">
        <f>HYPERLINK("https://klasma.github.io/Logging_2361/kartor/A 999-2025 karta.png", "A 999-2025")</f>
        <v/>
      </c>
      <c r="X115">
        <f>HYPERLINK("https://klasma.github.io/Logging_2361/kartor_geotiff/A 999-2025 georefererad karta.tif", "A 999-2025")</f>
        <v/>
      </c>
      <c r="Z115">
        <f>HYPERLINK("https://klasma.github.io/Logging_2361/klagomål/A 999-2025 FSC-klagomål.docx", "A 999-2025")</f>
        <v/>
      </c>
      <c r="AA115">
        <f>HYPERLINK("https://klasma.github.io/Logging_2361/klagomålsmail/A 999-2025 FSC-klagomål mail.docx", "A 999-2025")</f>
        <v/>
      </c>
      <c r="AB115">
        <f>HYPERLINK("https://klasma.github.io/Logging_2361/tillsyn/A 999-2025 tillsynsbegäran.docx", "A 999-2025")</f>
        <v/>
      </c>
      <c r="AC115">
        <f>HYPERLINK("https://klasma.github.io/Logging_2361/tillsynsmail/A 999-2025 tillsynsbegäran mail.docx", "A 999-2025")</f>
        <v/>
      </c>
      <c r="AD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46223</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s="2" t="inlineStr">
        <is>
          <t>Lavskrika
Tretåig hackspett
Spillkråka
Tjäder</t>
        </is>
      </c>
      <c r="V116">
        <f>HYPERLINK("https://klasma.github.io/Logging_2361/artfynd/A 4372-2023 artfynd.xlsx", "A 4372-2023")</f>
        <v/>
      </c>
      <c r="W116">
        <f>HYPERLINK("https://klasma.github.io/Logging_2361/kartor/A 4372-2023 karta.png", "A 4372-2023")</f>
        <v/>
      </c>
      <c r="X116">
        <f>HYPERLINK("https://klasma.github.io/Logging_2361/kartor_geotiff/A 4372-2023 georefererad karta.tif", "A 4372-2023")</f>
        <v/>
      </c>
      <c r="Z116">
        <f>HYPERLINK("https://klasma.github.io/Logging_2361/klagomål/A 4372-2023 FSC-klagomål.docx", "A 4372-2023")</f>
        <v/>
      </c>
      <c r="AA116">
        <f>HYPERLINK("https://klasma.github.io/Logging_2361/klagomålsmail/A 4372-2023 FSC-klagomål mail.docx", "A 4372-2023")</f>
        <v/>
      </c>
      <c r="AB116">
        <f>HYPERLINK("https://klasma.github.io/Logging_2361/tillsyn/A 4372-2023 tillsynsbegäran.docx", "A 4372-2023")</f>
        <v/>
      </c>
      <c r="AC116">
        <f>HYPERLINK("https://klasma.github.io/Logging_2361/tillsynsmail/A 4372-2023 tillsynsbegäran mail.docx", "A 4372-2023")</f>
        <v/>
      </c>
      <c r="AD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46223</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s="2" t="inlineStr">
        <is>
          <t>Blå taggsvamp
Dofttaggsvamp
Dropptaggsvamp
Orange taggsvamp</t>
        </is>
      </c>
      <c r="V117">
        <f>HYPERLINK("https://klasma.github.io/Logging_2361/artfynd/A 20132-2025 artfynd.xlsx", "A 20132-2025")</f>
        <v/>
      </c>
      <c r="W117">
        <f>HYPERLINK("https://klasma.github.io/Logging_2361/kartor/A 20132-2025 karta.png", "A 20132-2025")</f>
        <v/>
      </c>
      <c r="X117">
        <f>HYPERLINK("https://klasma.github.io/Logging_2361/kartor_geotiff/A 20132-2025 georefererad karta.tif", "A 20132-2025")</f>
        <v/>
      </c>
      <c r="Z117">
        <f>HYPERLINK("https://klasma.github.io/Logging_2361/klagomål/A 20132-2025 FSC-klagomål.docx", "A 20132-2025")</f>
        <v/>
      </c>
      <c r="AA117">
        <f>HYPERLINK("https://klasma.github.io/Logging_2361/klagomålsmail/A 20132-2025 FSC-klagomål mail.docx", "A 20132-2025")</f>
        <v/>
      </c>
      <c r="AB117">
        <f>HYPERLINK("https://klasma.github.io/Logging_2361/tillsyn/A 20132-2025 tillsynsbegäran.docx", "A 20132-2025")</f>
        <v/>
      </c>
      <c r="AC117">
        <f>HYPERLINK("https://klasma.github.io/Logging_2361/tillsynsmail/A 20132-2025 tillsynsbegäran mail.docx", "A 20132-2025")</f>
        <v/>
      </c>
    </row>
    <row r="118" ht="15" customHeight="1">
      <c r="A118" t="inlineStr">
        <is>
          <t>A 43906-2025</t>
        </is>
      </c>
      <c r="B118" t="inlineStr">
        <is>
          <t>avverkningsanmälan</t>
        </is>
      </c>
      <c r="C118" t="inlineStr">
        <is>
          <t>Föryngringsavverkning</t>
        </is>
      </c>
      <c r="D118" s="1" t="n">
        <v>45913</v>
      </c>
      <c r="E118" s="1" t="n">
        <v>46223</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s="2" t="inlineStr">
        <is>
          <t>Dropptaggsvamp
Talltita
Tretåig hackspett
Vitgrynig nållav</t>
        </is>
      </c>
      <c r="V118">
        <f>HYPERLINK("https://klasma.github.io/Logging_2361/artfynd/A 43906-2025 artfynd.xlsx", "A 43906-2025")</f>
        <v/>
      </c>
      <c r="W118">
        <f>HYPERLINK("https://klasma.github.io/Logging_2361/kartor/A 43906-2025 karta.png", "A 43906-2025")</f>
        <v/>
      </c>
      <c r="X118">
        <f>HYPERLINK("https://klasma.github.io/Logging_2361/kartor_geotiff/A 43906-2025 georefererad karta.tif", "A 43906-2025")</f>
        <v/>
      </c>
      <c r="Z118">
        <f>HYPERLINK("https://klasma.github.io/Logging_2361/klagomål/A 43906-2025 FSC-klagomål.docx", "A 43906-2025")</f>
        <v/>
      </c>
      <c r="AA118">
        <f>HYPERLINK("https://klasma.github.io/Logging_2361/klagomålsmail/A 43906-2025 FSC-klagomål mail.docx", "A 43906-2025")</f>
        <v/>
      </c>
      <c r="AB118">
        <f>HYPERLINK("https://klasma.github.io/Logging_2361/tillsyn/A 43906-2025 tillsynsbegäran.docx", "A 43906-2025")</f>
        <v/>
      </c>
      <c r="AC118">
        <f>HYPERLINK("https://klasma.github.io/Logging_2361/tillsynsmail/A 43906-2025 tillsynsbegäran mail.docx", "A 43906-2025")</f>
        <v/>
      </c>
      <c r="AD118">
        <f>HYPERLINK("https://klasma.github.io/Logging_2361/fåglar/A 43906-2025 prioriterade fågelarter.docx", "A 43906-2025")</f>
        <v/>
      </c>
    </row>
    <row r="119" ht="15" customHeight="1">
      <c r="A119" t="inlineStr">
        <is>
          <t>A 14059-2023</t>
        </is>
      </c>
      <c r="B119" t="inlineStr">
        <is>
          <t>avverkningsanmälan</t>
        </is>
      </c>
      <c r="C119" t="inlineStr">
        <is>
          <t>Föryngringsavverkning</t>
        </is>
      </c>
      <c r="D119" s="1" t="n">
        <v>45007</v>
      </c>
      <c r="E119" s="1" t="n">
        <v>46223</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s="2" t="inlineStr">
        <is>
          <t>Fläckporing
Gräddporing
Nordtagging
Skrovellav</t>
        </is>
      </c>
      <c r="V119">
        <f>HYPERLINK("https://klasma.github.io/Logging_2361/artfynd/A 14059-2023 artfynd.xlsx", "A 14059-2023")</f>
        <v/>
      </c>
      <c r="W119">
        <f>HYPERLINK("https://klasma.github.io/Logging_2361/kartor/A 14059-2023 karta.png", "A 14059-2023")</f>
        <v/>
      </c>
      <c r="X119">
        <f>HYPERLINK("https://klasma.github.io/Logging_2361/kartor_geotiff/A 14059-2023 georefererad karta.tif", "A 14059-2023")</f>
        <v/>
      </c>
      <c r="Z119">
        <f>HYPERLINK("https://klasma.github.io/Logging_2361/klagomål/A 14059-2023 FSC-klagomål.docx", "A 14059-2023")</f>
        <v/>
      </c>
      <c r="AA119">
        <f>HYPERLINK("https://klasma.github.io/Logging_2361/klagomålsmail/A 14059-2023 FSC-klagomål mail.docx", "A 14059-2023")</f>
        <v/>
      </c>
      <c r="AB119">
        <f>HYPERLINK("https://klasma.github.io/Logging_2361/tillsyn/A 14059-2023 tillsynsbegäran.docx", "A 14059-2023")</f>
        <v/>
      </c>
      <c r="AC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46223</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s="2" t="inlineStr">
        <is>
          <t>Dvärgbägarlav
Kolflarnlav
Mörk kolflarnlav
Varglav</t>
        </is>
      </c>
      <c r="V120">
        <f>HYPERLINK("https://klasma.github.io/Logging_2361/artfynd/A 35457-2024 artfynd.xlsx", "A 35457-2024")</f>
        <v/>
      </c>
      <c r="W120">
        <f>HYPERLINK("https://klasma.github.io/Logging_2361/kartor/A 35457-2024 karta.png", "A 35457-2024")</f>
        <v/>
      </c>
      <c r="X120">
        <f>HYPERLINK("https://klasma.github.io/Logging_2361/kartor_geotiff/A 35457-2024 georefererad karta.tif", "A 35457-2024")</f>
        <v/>
      </c>
      <c r="Z120">
        <f>HYPERLINK("https://klasma.github.io/Logging_2361/klagomål/A 35457-2024 FSC-klagomål.docx", "A 35457-2024")</f>
        <v/>
      </c>
      <c r="AA120">
        <f>HYPERLINK("https://klasma.github.io/Logging_2361/klagomålsmail/A 35457-2024 FSC-klagomål mail.docx", "A 35457-2024")</f>
        <v/>
      </c>
      <c r="AB120">
        <f>HYPERLINK("https://klasma.github.io/Logging_2361/tillsyn/A 35457-2024 tillsynsbegäran.docx", "A 35457-2024")</f>
        <v/>
      </c>
      <c r="AC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46223</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HYPERLINK("https://klasma.github.io/Logging_2361/kartor_geotiff/A 42826-2021 georefererad karta.tif", "A 42826-2021")</f>
        <v/>
      </c>
      <c r="Y121">
        <f>HYPERLINK("https://klasma.github.io/Logging_2361/knärot/A 42826-2021 karta knärot.png", "A 42826-2021")</f>
        <v/>
      </c>
      <c r="Z121">
        <f>HYPERLINK("https://klasma.github.io/Logging_2361/klagomål/A 42826-2021 FSC-klagomål.docx", "A 42826-2021")</f>
        <v/>
      </c>
      <c r="AA121">
        <f>HYPERLINK("https://klasma.github.io/Logging_2361/klagomålsmail/A 42826-2021 FSC-klagomål mail.docx", "A 42826-2021")</f>
        <v/>
      </c>
      <c r="AB121">
        <f>HYPERLINK("https://klasma.github.io/Logging_2361/tillsyn/A 42826-2021 tillsynsbegäran.docx", "A 42826-2021")</f>
        <v/>
      </c>
      <c r="AC121">
        <f>HYPERLINK("https://klasma.github.io/Logging_2361/tillsynsmail/A 42826-2021 tillsynsbegäran mail.docx", "A 42826-2021")</f>
        <v/>
      </c>
      <c r="AD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46223</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X122">
        <f>HYPERLINK("https://klasma.github.io/Logging_2361/kartor_geotiff/A 55394-2021 georefererad karta.tif", "A 55394-2021")</f>
        <v/>
      </c>
      <c r="Z122">
        <f>HYPERLINK("https://klasma.github.io/Logging_2361/klagomål/A 55394-2021 FSC-klagomål.docx", "A 55394-2021")</f>
        <v/>
      </c>
      <c r="AA122">
        <f>HYPERLINK("https://klasma.github.io/Logging_2361/klagomålsmail/A 55394-2021 FSC-klagomål mail.docx", "A 55394-2021")</f>
        <v/>
      </c>
      <c r="AB122">
        <f>HYPERLINK("https://klasma.github.io/Logging_2361/tillsyn/A 55394-2021 tillsynsbegäran.docx", "A 55394-2021")</f>
        <v/>
      </c>
      <c r="AC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46223</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X123">
        <f>HYPERLINK("https://klasma.github.io/Logging_2361/kartor_geotiff/A 55233-2021 georefererad karta.tif", "A 55233-2021")</f>
        <v/>
      </c>
      <c r="Z123">
        <f>HYPERLINK("https://klasma.github.io/Logging_2361/klagomål/A 55233-2021 FSC-klagomål.docx", "A 55233-2021")</f>
        <v/>
      </c>
      <c r="AA123">
        <f>HYPERLINK("https://klasma.github.io/Logging_2361/klagomålsmail/A 55233-2021 FSC-klagomål mail.docx", "A 55233-2021")</f>
        <v/>
      </c>
      <c r="AB123">
        <f>HYPERLINK("https://klasma.github.io/Logging_2361/tillsyn/A 55233-2021 tillsynsbegäran.docx", "A 55233-2021")</f>
        <v/>
      </c>
      <c r="AC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46223</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X124">
        <f>HYPERLINK("https://klasma.github.io/Logging_2361/kartor_geotiff/A 55542-2021 georefererad karta.tif", "A 55542-2021")</f>
        <v/>
      </c>
      <c r="Z124">
        <f>HYPERLINK("https://klasma.github.io/Logging_2361/klagomål/A 55542-2021 FSC-klagomål.docx", "A 55542-2021")</f>
        <v/>
      </c>
      <c r="AA124">
        <f>HYPERLINK("https://klasma.github.io/Logging_2361/klagomålsmail/A 55542-2021 FSC-klagomål mail.docx", "A 55542-2021")</f>
        <v/>
      </c>
      <c r="AB124">
        <f>HYPERLINK("https://klasma.github.io/Logging_2361/tillsyn/A 55542-2021 tillsynsbegäran.docx", "A 55542-2021")</f>
        <v/>
      </c>
      <c r="AC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46223</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X125">
        <f>HYPERLINK("https://klasma.github.io/Logging_2361/kartor_geotiff/A 55238-2021 georefererad karta.tif", "A 55238-2021")</f>
        <v/>
      </c>
      <c r="Z125">
        <f>HYPERLINK("https://klasma.github.io/Logging_2361/klagomål/A 55238-2021 FSC-klagomål.docx", "A 55238-2021")</f>
        <v/>
      </c>
      <c r="AA125">
        <f>HYPERLINK("https://klasma.github.io/Logging_2361/klagomålsmail/A 55238-2021 FSC-klagomål mail.docx", "A 55238-2021")</f>
        <v/>
      </c>
      <c r="AB125">
        <f>HYPERLINK("https://klasma.github.io/Logging_2361/tillsyn/A 55238-2021 tillsynsbegäran.docx", "A 55238-2021")</f>
        <v/>
      </c>
      <c r="AC125">
        <f>HYPERLINK("https://klasma.github.io/Logging_2361/tillsynsmail/A 55238-2021 tillsynsbegäran mail.docx", "A 55238-2021")</f>
        <v/>
      </c>
      <c r="AD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46223</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s="2" t="inlineStr">
        <is>
          <t>Knärot
Mörk kolflarnlav
Vedflamlav</t>
        </is>
      </c>
      <c r="V126">
        <f>HYPERLINK("https://klasma.github.io/Logging_2361/artfynd/A 17368-2023 artfynd.xlsx", "A 17368-2023")</f>
        <v/>
      </c>
      <c r="W126">
        <f>HYPERLINK("https://klasma.github.io/Logging_2361/kartor/A 17368-2023 karta.png", "A 17368-2023")</f>
        <v/>
      </c>
      <c r="X126">
        <f>HYPERLINK("https://klasma.github.io/Logging_2361/kartor_geotiff/A 17368-2023 georefererad karta.tif", "A 17368-2023")</f>
        <v/>
      </c>
      <c r="Y126">
        <f>HYPERLINK("https://klasma.github.io/Logging_2361/knärot/A 17368-2023 karta knärot.png", "A 17368-2023")</f>
        <v/>
      </c>
      <c r="Z126">
        <f>HYPERLINK("https://klasma.github.io/Logging_2361/klagomål/A 17368-2023 FSC-klagomål.docx", "A 17368-2023")</f>
        <v/>
      </c>
      <c r="AA126">
        <f>HYPERLINK("https://klasma.github.io/Logging_2361/klagomålsmail/A 17368-2023 FSC-klagomål mail.docx", "A 17368-2023")</f>
        <v/>
      </c>
      <c r="AB126">
        <f>HYPERLINK("https://klasma.github.io/Logging_2361/tillsyn/A 17368-2023 tillsynsbegäran.docx", "A 17368-2023")</f>
        <v/>
      </c>
      <c r="AC126">
        <f>HYPERLINK("https://klasma.github.io/Logging_2361/tillsynsmail/A 17368-2023 tillsynsbegäran mail.docx", "A 17368-2023")</f>
        <v/>
      </c>
    </row>
    <row r="127" ht="15" customHeight="1">
      <c r="A127" t="inlineStr">
        <is>
          <t>A 60897-2022</t>
        </is>
      </c>
      <c r="B127" t="inlineStr">
        <is>
          <t>avverkningsanmälan</t>
        </is>
      </c>
      <c r="C127" t="inlineStr">
        <is>
          <t>Avverkning för annat ändamål</t>
        </is>
      </c>
      <c r="D127" s="1" t="n">
        <v>44914</v>
      </c>
      <c r="E127" s="1" t="n">
        <v>46223</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s="2" t="inlineStr">
        <is>
          <t>Knärot
Mörk kolflarnlav
Ullticka</t>
        </is>
      </c>
      <c r="V127">
        <f>HYPERLINK("https://klasma.github.io/Logging_2361/artfynd/A 60897-2022 artfynd.xlsx", "A 60897-2022")</f>
        <v/>
      </c>
      <c r="W127">
        <f>HYPERLINK("https://klasma.github.io/Logging_2361/kartor/A 60897-2022 karta.png", "A 60897-2022")</f>
        <v/>
      </c>
      <c r="X127">
        <f>HYPERLINK("https://klasma.github.io/Logging_2361/kartor_geotiff/A 60897-2022 georefererad karta.tif", "A 60897-2022")</f>
        <v/>
      </c>
      <c r="Y127">
        <f>HYPERLINK("https://klasma.github.io/Logging_2361/knärot/A 60897-2022 karta knärot.png", "A 60897-2022")</f>
        <v/>
      </c>
      <c r="Z127">
        <f>HYPERLINK("https://klasma.github.io/Logging_2361/klagomål/A 60897-2022 FSC-klagomål.docx", "A 60897-2022")</f>
        <v/>
      </c>
      <c r="AA127">
        <f>HYPERLINK("https://klasma.github.io/Logging_2361/klagomålsmail/A 60897-2022 FSC-klagomål mail.docx", "A 60897-2022")</f>
        <v/>
      </c>
      <c r="AB127">
        <f>HYPERLINK("https://klasma.github.io/Logging_2361/tillsyn/A 60897-2022 tillsynsbegäran.docx", "A 60897-2022")</f>
        <v/>
      </c>
      <c r="AC127">
        <f>HYPERLINK("https://klasma.github.io/Logging_2361/tillsynsmail/A 60897-2022 tillsynsbegäran mail.docx", "A 60897-2022")</f>
        <v/>
      </c>
    </row>
    <row r="128" ht="15" customHeight="1">
      <c r="A128" t="inlineStr">
        <is>
          <t>A 29098-2025</t>
        </is>
      </c>
      <c r="B128" t="inlineStr">
        <is>
          <t>avverkningsanmälan</t>
        </is>
      </c>
      <c r="C128" t="inlineStr">
        <is>
          <t>Föryngringsavverkning</t>
        </is>
      </c>
      <c r="D128" s="1" t="n">
        <v>45821</v>
      </c>
      <c r="E128" s="1" t="n">
        <v>46223</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s="2" t="inlineStr">
        <is>
          <t>Kolflarnlav
Mörk kolflarnlav
Vedflamlav</t>
        </is>
      </c>
      <c r="V128">
        <f>HYPERLINK("https://klasma.github.io/Logging_2361/artfynd/A 29098-2025 artfynd.xlsx", "A 29098-2025")</f>
        <v/>
      </c>
      <c r="W128">
        <f>HYPERLINK("https://klasma.github.io/Logging_2361/kartor/A 29098-2025 karta.png", "A 29098-2025")</f>
        <v/>
      </c>
      <c r="X128">
        <f>HYPERLINK("https://klasma.github.io/Logging_2361/kartor_geotiff/A 29098-2025 georefererad karta.tif", "A 29098-2025")</f>
        <v/>
      </c>
      <c r="Z128">
        <f>HYPERLINK("https://klasma.github.io/Logging_2361/klagomål/A 29098-2025 FSC-klagomål.docx", "A 29098-2025")</f>
        <v/>
      </c>
      <c r="AA128">
        <f>HYPERLINK("https://klasma.github.io/Logging_2361/klagomålsmail/A 29098-2025 FSC-klagomål mail.docx", "A 29098-2025")</f>
        <v/>
      </c>
      <c r="AB128">
        <f>HYPERLINK("https://klasma.github.io/Logging_2361/tillsyn/A 29098-2025 tillsynsbegäran.docx", "A 29098-2025")</f>
        <v/>
      </c>
      <c r="AC128">
        <f>HYPERLINK("https://klasma.github.io/Logging_2361/tillsynsmail/A 29098-2025 tillsynsbegäran mail.docx", "A 29098-2025")</f>
        <v/>
      </c>
    </row>
    <row r="129" ht="15" customHeight="1">
      <c r="A129" t="inlineStr">
        <is>
          <t>A 60080-2025</t>
        </is>
      </c>
      <c r="B129" t="inlineStr">
        <is>
          <t>avverkningsanmälan</t>
        </is>
      </c>
      <c r="C129" t="inlineStr">
        <is>
          <t>Föryngringsavverkning</t>
        </is>
      </c>
      <c r="D129" s="1" t="n">
        <v>45993</v>
      </c>
      <c r="E129" s="1" t="n">
        <v>46223</v>
      </c>
      <c r="F129" t="inlineStr">
        <is>
          <t>JÄMTLANDS LÄN</t>
        </is>
      </c>
      <c r="G129" t="inlineStr">
        <is>
          <t>HÄRJEDALEN</t>
        </is>
      </c>
      <c r="H129" t="inlineStr">
        <is>
          <t>Bergvik skog väst AB</t>
        </is>
      </c>
      <c r="I129" t="n">
        <v>12.1</v>
      </c>
      <c r="J129" t="n">
        <v>1</v>
      </c>
      <c r="K129" t="n">
        <v>1</v>
      </c>
      <c r="L129" t="n">
        <v>1</v>
      </c>
      <c r="M129" t="n">
        <v>0</v>
      </c>
      <c r="N129" t="n">
        <v>0</v>
      </c>
      <c r="O129" t="n">
        <v>0</v>
      </c>
      <c r="P129" t="n">
        <v>0</v>
      </c>
      <c r="Q129" t="n">
        <v>1</v>
      </c>
      <c r="R129" t="n">
        <v>0</v>
      </c>
      <c r="S129" t="n">
        <v>3</v>
      </c>
      <c r="T129" t="n">
        <v>3</v>
      </c>
      <c r="U129" s="2" t="inlineStr">
        <is>
          <t>Skuggblåslav
Mussellav
Utter</t>
        </is>
      </c>
      <c r="V129">
        <f>HYPERLINK("https://klasma.github.io/Logging_2361/artfynd/A 60080-2025 artfynd.xlsx", "A 60080-2025")</f>
        <v/>
      </c>
      <c r="W129">
        <f>HYPERLINK("https://klasma.github.io/Logging_2361/kartor/A 60080-2025 karta.png", "A 60080-2025")</f>
        <v/>
      </c>
      <c r="X129">
        <f>HYPERLINK("https://klasma.github.io/Logging_2361/kartor_geotiff/A 60080-2025 georefererad karta.tif", "A 60080-2025")</f>
        <v/>
      </c>
      <c r="Z129">
        <f>HYPERLINK("https://klasma.github.io/Logging_2361/klagomål/A 60080-2025 FSC-klagomål.docx", "A 60080-2025")</f>
        <v/>
      </c>
      <c r="AA129">
        <f>HYPERLINK("https://klasma.github.io/Logging_2361/klagomålsmail/A 60080-2025 FSC-klagomål mail.docx", "A 60080-2025")</f>
        <v/>
      </c>
      <c r="AB129">
        <f>HYPERLINK("https://klasma.github.io/Logging_2361/tillsyn/A 60080-2025 tillsynsbegäran.docx", "A 60080-2025")</f>
        <v/>
      </c>
      <c r="AC129">
        <f>HYPERLINK("https://klasma.github.io/Logging_2361/tillsynsmail/A 60080-2025 tillsynsbegäran mail.docx", "A 60080-2025")</f>
        <v/>
      </c>
    </row>
    <row r="130" ht="15" customHeight="1">
      <c r="A130" t="inlineStr">
        <is>
          <t>A 56521-2025</t>
        </is>
      </c>
      <c r="B130" t="inlineStr">
        <is>
          <t>avverkningsanmälan</t>
        </is>
      </c>
      <c r="C130" t="inlineStr">
        <is>
          <t>Föryngringsavverkning</t>
        </is>
      </c>
      <c r="D130" s="1" t="n">
        <v>45975</v>
      </c>
      <c r="E130" s="1" t="n">
        <v>46223</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s="2" t="inlineStr">
        <is>
          <t>Blanksvart spiklav
Vedflamlav
Vedskivlav</t>
        </is>
      </c>
      <c r="V130">
        <f>HYPERLINK("https://klasma.github.io/Logging_2361/artfynd/A 56521-2025 artfynd.xlsx", "A 56521-2025")</f>
        <v/>
      </c>
      <c r="W130">
        <f>HYPERLINK("https://klasma.github.io/Logging_2361/kartor/A 56521-2025 karta.png", "A 56521-2025")</f>
        <v/>
      </c>
      <c r="X130">
        <f>HYPERLINK("https://klasma.github.io/Logging_2361/kartor_geotiff/A 56521-2025 georefererad karta.tif", "A 56521-2025")</f>
        <v/>
      </c>
      <c r="Z130">
        <f>HYPERLINK("https://klasma.github.io/Logging_2361/klagomål/A 56521-2025 FSC-klagomål.docx", "A 56521-2025")</f>
        <v/>
      </c>
      <c r="AA130">
        <f>HYPERLINK("https://klasma.github.io/Logging_2361/klagomålsmail/A 56521-2025 FSC-klagomål mail.docx", "A 56521-2025")</f>
        <v/>
      </c>
      <c r="AB130">
        <f>HYPERLINK("https://klasma.github.io/Logging_2361/tillsyn/A 56521-2025 tillsynsbegäran.docx", "A 56521-2025")</f>
        <v/>
      </c>
      <c r="AC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46223</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s="2" t="inlineStr">
        <is>
          <t>Garnlav
Kolflarnlav
Talltita</t>
        </is>
      </c>
      <c r="V131">
        <f>HYPERLINK("https://klasma.github.io/Logging_2361/artfynd/A 54545-2024 artfynd.xlsx", "A 54545-2024")</f>
        <v/>
      </c>
      <c r="W131">
        <f>HYPERLINK("https://klasma.github.io/Logging_2361/kartor/A 54545-2024 karta.png", "A 54545-2024")</f>
        <v/>
      </c>
      <c r="X131">
        <f>HYPERLINK("https://klasma.github.io/Logging_2361/kartor_geotiff/A 54545-2024 georefererad karta.tif", "A 54545-2024")</f>
        <v/>
      </c>
      <c r="Z131">
        <f>HYPERLINK("https://klasma.github.io/Logging_2361/klagomål/A 54545-2024 FSC-klagomål.docx", "A 54545-2024")</f>
        <v/>
      </c>
      <c r="AA131">
        <f>HYPERLINK("https://klasma.github.io/Logging_2361/klagomålsmail/A 54545-2024 FSC-klagomål mail.docx", "A 54545-2024")</f>
        <v/>
      </c>
      <c r="AB131">
        <f>HYPERLINK("https://klasma.github.io/Logging_2361/tillsyn/A 54545-2024 tillsynsbegäran.docx", "A 54545-2024")</f>
        <v/>
      </c>
      <c r="AC131">
        <f>HYPERLINK("https://klasma.github.io/Logging_2361/tillsynsmail/A 54545-2024 tillsynsbegäran mail.docx", "A 54545-2024")</f>
        <v/>
      </c>
      <c r="AD131">
        <f>HYPERLINK("https://klasma.github.io/Logging_2361/fåglar/A 54545-2024 prioriterade fågelarter.docx", "A 54545-2024")</f>
        <v/>
      </c>
    </row>
    <row r="132" ht="15" customHeight="1">
      <c r="A132" t="inlineStr">
        <is>
          <t>A 18144-2025</t>
        </is>
      </c>
      <c r="B132" t="inlineStr">
        <is>
          <t>avverkningsanmälan</t>
        </is>
      </c>
      <c r="C132" t="inlineStr">
        <is>
          <t>Föryngringsavverkning</t>
        </is>
      </c>
      <c r="D132" s="1" t="n">
        <v>45761</v>
      </c>
      <c r="E132" s="1" t="n">
        <v>46223</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s="2" t="inlineStr">
        <is>
          <t>Gammelgransskål
Ullticka
Vitgrynig nållav</t>
        </is>
      </c>
      <c r="V132">
        <f>HYPERLINK("https://klasma.github.io/Logging_2361/artfynd/A 18144-2025 artfynd.xlsx", "A 18144-2025")</f>
        <v/>
      </c>
      <c r="W132">
        <f>HYPERLINK("https://klasma.github.io/Logging_2361/kartor/A 18144-2025 karta.png", "A 18144-2025")</f>
        <v/>
      </c>
      <c r="X132">
        <f>HYPERLINK("https://klasma.github.io/Logging_2361/kartor_geotiff/A 18144-2025 georefererad karta.tif", "A 18144-2025")</f>
        <v/>
      </c>
      <c r="Z132">
        <f>HYPERLINK("https://klasma.github.io/Logging_2361/klagomål/A 18144-2025 FSC-klagomål.docx", "A 18144-2025")</f>
        <v/>
      </c>
      <c r="AA132">
        <f>HYPERLINK("https://klasma.github.io/Logging_2361/klagomålsmail/A 18144-2025 FSC-klagomål mail.docx", "A 18144-2025")</f>
        <v/>
      </c>
      <c r="AB132">
        <f>HYPERLINK("https://klasma.github.io/Logging_2361/tillsyn/A 18144-2025 tillsynsbegäran.docx", "A 18144-2025")</f>
        <v/>
      </c>
      <c r="AC132">
        <f>HYPERLINK("https://klasma.github.io/Logging_2361/tillsynsmail/A 18144-2025 tillsynsbegäran mail.docx", "A 18144-2025")</f>
        <v/>
      </c>
    </row>
    <row r="133" ht="15" customHeight="1">
      <c r="A133" t="inlineStr">
        <is>
          <t>A 63706-2025</t>
        </is>
      </c>
      <c r="B133" t="inlineStr">
        <is>
          <t>avverkningsanmälan</t>
        </is>
      </c>
      <c r="C133" t="inlineStr">
        <is>
          <t>Föryngringsavverkning</t>
        </is>
      </c>
      <c r="D133" s="1" t="n">
        <v>46014</v>
      </c>
      <c r="E133" s="1" t="n">
        <v>46223</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s="2" t="inlineStr">
        <is>
          <t>Knärot
Mörk kolflarnlav
Skrovellav</t>
        </is>
      </c>
      <c r="V133">
        <f>HYPERLINK("https://klasma.github.io/Logging_2361/artfynd/A 63706-2025 artfynd.xlsx", "A 63706-2025")</f>
        <v/>
      </c>
      <c r="W133">
        <f>HYPERLINK("https://klasma.github.io/Logging_2361/kartor/A 63706-2025 karta.png", "A 63706-2025")</f>
        <v/>
      </c>
      <c r="X133">
        <f>HYPERLINK("https://klasma.github.io/Logging_2361/kartor_geotiff/A 63706-2025 georefererad karta.tif", "A 63706-2025")</f>
        <v/>
      </c>
      <c r="Y133">
        <f>HYPERLINK("https://klasma.github.io/Logging_2361/knärot/A 63706-2025 karta knärot.png", "A 63706-2025")</f>
        <v/>
      </c>
      <c r="Z133">
        <f>HYPERLINK("https://klasma.github.io/Logging_2361/klagomål/A 63706-2025 FSC-klagomål.docx", "A 63706-2025")</f>
        <v/>
      </c>
      <c r="AA133">
        <f>HYPERLINK("https://klasma.github.io/Logging_2361/klagomålsmail/A 63706-2025 FSC-klagomål mail.docx", "A 63706-2025")</f>
        <v/>
      </c>
      <c r="AB133">
        <f>HYPERLINK("https://klasma.github.io/Logging_2361/tillsyn/A 63706-2025 tillsynsbegäran.docx", "A 63706-2025")</f>
        <v/>
      </c>
      <c r="AC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46223</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s="2" t="inlineStr">
        <is>
          <t>Garnlav
Kolflarnlav
Mörk kolflarnlav</t>
        </is>
      </c>
      <c r="V134">
        <f>HYPERLINK("https://klasma.github.io/Logging_2361/artfynd/A 313-2026 artfynd.xlsx", "A 313-2026")</f>
        <v/>
      </c>
      <c r="W134">
        <f>HYPERLINK("https://klasma.github.io/Logging_2361/kartor/A 313-2026 karta.png", "A 313-2026")</f>
        <v/>
      </c>
      <c r="X134">
        <f>HYPERLINK("https://klasma.github.io/Logging_2361/kartor_geotiff/A 313-2026 georefererad karta.tif", "A 313-2026")</f>
        <v/>
      </c>
      <c r="Z134">
        <f>HYPERLINK("https://klasma.github.io/Logging_2361/klagomål/A 313-2026 FSC-klagomål.docx", "A 313-2026")</f>
        <v/>
      </c>
      <c r="AA134">
        <f>HYPERLINK("https://klasma.github.io/Logging_2361/klagomålsmail/A 313-2026 FSC-klagomål mail.docx", "A 313-2026")</f>
        <v/>
      </c>
      <c r="AB134">
        <f>HYPERLINK("https://klasma.github.io/Logging_2361/tillsyn/A 313-2026 tillsynsbegäran.docx", "A 313-2026")</f>
        <v/>
      </c>
      <c r="AC134">
        <f>HYPERLINK("https://klasma.github.io/Logging_2361/tillsynsmail/A 313-2026 tillsynsbegäran mail.docx", "A 313-2026")</f>
        <v/>
      </c>
    </row>
    <row r="135" ht="15" customHeight="1">
      <c r="A135" t="inlineStr">
        <is>
          <t>A 5795-2025</t>
        </is>
      </c>
      <c r="B135" t="inlineStr">
        <is>
          <t>avverkningsanmälan</t>
        </is>
      </c>
      <c r="C135" t="inlineStr">
        <is>
          <t>Föryngringsavverkning</t>
        </is>
      </c>
      <c r="D135" s="1" t="n">
        <v>45694</v>
      </c>
      <c r="E135" s="1" t="n">
        <v>46223</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s="2" t="inlineStr">
        <is>
          <t>Garnlav
Ullticka
Vedticka</t>
        </is>
      </c>
      <c r="V135">
        <f>HYPERLINK("https://klasma.github.io/Logging_2361/artfynd/A 5795-2025 artfynd.xlsx", "A 5795-2025")</f>
        <v/>
      </c>
      <c r="W135">
        <f>HYPERLINK("https://klasma.github.io/Logging_2361/kartor/A 5795-2025 karta.png", "A 5795-2025")</f>
        <v/>
      </c>
      <c r="X135">
        <f>HYPERLINK("https://klasma.github.io/Logging_2361/kartor_geotiff/A 5795-2025 georefererad karta.tif", "A 5795-2025")</f>
        <v/>
      </c>
      <c r="Z135">
        <f>HYPERLINK("https://klasma.github.io/Logging_2361/klagomål/A 5795-2025 FSC-klagomål.docx", "A 5795-2025")</f>
        <v/>
      </c>
      <c r="AA135">
        <f>HYPERLINK("https://klasma.github.io/Logging_2361/klagomålsmail/A 5795-2025 FSC-klagomål mail.docx", "A 5795-2025")</f>
        <v/>
      </c>
      <c r="AB135">
        <f>HYPERLINK("https://klasma.github.io/Logging_2361/tillsyn/A 5795-2025 tillsynsbegäran.docx", "A 5795-2025")</f>
        <v/>
      </c>
      <c r="AC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46223</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s="2" t="inlineStr">
        <is>
          <t>Kolflarnlav
Mörk kolflarnlav
Tretåig hackspett</t>
        </is>
      </c>
      <c r="V136">
        <f>HYPERLINK("https://klasma.github.io/Logging_2361/artfynd/A 29717-2024 artfynd.xlsx", "A 29717-2024")</f>
        <v/>
      </c>
      <c r="W136">
        <f>HYPERLINK("https://klasma.github.io/Logging_2361/kartor/A 29717-2024 karta.png", "A 29717-2024")</f>
        <v/>
      </c>
      <c r="X136">
        <f>HYPERLINK("https://klasma.github.io/Logging_2361/kartor_geotiff/A 29717-2024 georefererad karta.tif", "A 29717-2024")</f>
        <v/>
      </c>
      <c r="Z136">
        <f>HYPERLINK("https://klasma.github.io/Logging_2361/klagomål/A 29717-2024 FSC-klagomål.docx", "A 29717-2024")</f>
        <v/>
      </c>
      <c r="AA136">
        <f>HYPERLINK("https://klasma.github.io/Logging_2361/klagomålsmail/A 29717-2024 FSC-klagomål mail.docx", "A 29717-2024")</f>
        <v/>
      </c>
      <c r="AB136">
        <f>HYPERLINK("https://klasma.github.io/Logging_2361/tillsyn/A 29717-2024 tillsynsbegäran.docx", "A 29717-2024")</f>
        <v/>
      </c>
      <c r="AC136">
        <f>HYPERLINK("https://klasma.github.io/Logging_2361/tillsynsmail/A 29717-2024 tillsynsbegäran mail.docx", "A 29717-2024")</f>
        <v/>
      </c>
      <c r="AD136">
        <f>HYPERLINK("https://klasma.github.io/Logging_2361/fåglar/A 29717-2024 prioriterade fågelarter.docx", "A 29717-2024")</f>
        <v/>
      </c>
    </row>
    <row r="137" ht="15" customHeight="1">
      <c r="A137" t="inlineStr">
        <is>
          <t>A 21337-2026</t>
        </is>
      </c>
      <c r="B137" t="inlineStr">
        <is>
          <t>avverkningsanmälan</t>
        </is>
      </c>
      <c r="C137" t="inlineStr">
        <is>
          <t>Föryngringsavverkning</t>
        </is>
      </c>
      <c r="D137" s="1" t="n">
        <v>46147</v>
      </c>
      <c r="E137" s="1" t="n">
        <v>46223</v>
      </c>
      <c r="F137" t="inlineStr">
        <is>
          <t>JÄMTLANDS LÄN</t>
        </is>
      </c>
      <c r="G137" t="inlineStr">
        <is>
          <t>HÄRJEDALEN</t>
        </is>
      </c>
      <c r="H137" t="inlineStr">
        <is>
          <t>SCA</t>
        </is>
      </c>
      <c r="I137" t="n">
        <v>8.1</v>
      </c>
      <c r="J137" t="n">
        <v>1</v>
      </c>
      <c r="K137" t="n">
        <v>1</v>
      </c>
      <c r="L137" t="n">
        <v>1</v>
      </c>
      <c r="M137" t="n">
        <v>1</v>
      </c>
      <c r="N137" t="n">
        <v>0</v>
      </c>
      <c r="O137" t="n">
        <v>0</v>
      </c>
      <c r="P137" t="n">
        <v>0</v>
      </c>
      <c r="Q137" t="n">
        <v>2</v>
      </c>
      <c r="R137" t="n">
        <v>1</v>
      </c>
      <c r="S137" t="n">
        <v>3</v>
      </c>
      <c r="T137" t="n">
        <v>3</v>
      </c>
      <c r="U137" s="2" t="inlineStr">
        <is>
          <t>Doftticka
Skrovellav
Bårdlav</t>
        </is>
      </c>
      <c r="V137">
        <f>HYPERLINK("https://klasma.github.io/Logging_2361/artfynd/A 21337-2026 artfynd.xlsx", "A 21337-2026")</f>
        <v/>
      </c>
      <c r="W137">
        <f>HYPERLINK("https://klasma.github.io/Logging_2361/kartor/A 21337-2026 karta.png", "A 21337-2026")</f>
        <v/>
      </c>
      <c r="X137">
        <f>HYPERLINK("https://klasma.github.io/Logging_2361/kartor_geotiff/A 21337-2026 georefererad karta.tif", "A 21337-2026")</f>
        <v/>
      </c>
      <c r="Z137">
        <f>HYPERLINK("https://klasma.github.io/Logging_2361/klagomål/A 21337-2026 FSC-klagomål.docx", "A 21337-2026")</f>
        <v/>
      </c>
      <c r="AA137">
        <f>HYPERLINK("https://klasma.github.io/Logging_2361/klagomålsmail/A 21337-2026 FSC-klagomål mail.docx", "A 21337-2026")</f>
        <v/>
      </c>
      <c r="AB137">
        <f>HYPERLINK("https://klasma.github.io/Logging_2361/tillsyn/A 21337-2026 tillsynsbegäran.docx", "A 21337-2026")</f>
        <v/>
      </c>
      <c r="AC137">
        <f>HYPERLINK("https://klasma.github.io/Logging_2361/tillsynsmail/A 21337-2026 tillsynsbegäran mail.docx", "A 21337-2026")</f>
        <v/>
      </c>
    </row>
    <row r="138" ht="15" customHeight="1">
      <c r="A138" t="inlineStr">
        <is>
          <t>A 22404-2026</t>
        </is>
      </c>
      <c r="B138" t="inlineStr">
        <is>
          <t>avverkningsanmälan</t>
        </is>
      </c>
      <c r="C138" t="inlineStr">
        <is>
          <t>Föryngringsavverkning</t>
        </is>
      </c>
      <c r="D138" s="1" t="n">
        <v>46154</v>
      </c>
      <c r="E138" s="1" t="n">
        <v>46223</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s="2" t="inlineStr">
        <is>
          <t>Dropptaggsvamp
Kolflarnlav
Vedflamlav</t>
        </is>
      </c>
      <c r="V138">
        <f>HYPERLINK("https://klasma.github.io/Logging_2361/artfynd/A 22404-2026 artfynd.xlsx", "A 22404-2026")</f>
        <v/>
      </c>
      <c r="W138">
        <f>HYPERLINK("https://klasma.github.io/Logging_2361/kartor/A 22404-2026 karta.png", "A 22404-2026")</f>
        <v/>
      </c>
      <c r="X138">
        <f>HYPERLINK("https://klasma.github.io/Logging_2361/kartor_geotiff/A 22404-2026 georefererad karta.tif", "A 22404-2026")</f>
        <v/>
      </c>
      <c r="Z138">
        <f>HYPERLINK("https://klasma.github.io/Logging_2361/klagomål/A 22404-2026 FSC-klagomål.docx", "A 22404-2026")</f>
        <v/>
      </c>
      <c r="AA138">
        <f>HYPERLINK("https://klasma.github.io/Logging_2361/klagomålsmail/A 22404-2026 FSC-klagomål mail.docx", "A 22404-2026")</f>
        <v/>
      </c>
      <c r="AB138">
        <f>HYPERLINK("https://klasma.github.io/Logging_2361/tillsyn/A 22404-2026 tillsynsbegäran.docx", "A 22404-2026")</f>
        <v/>
      </c>
      <c r="AC138">
        <f>HYPERLINK("https://klasma.github.io/Logging_2361/tillsynsmail/A 22404-2026 tillsynsbegäran mail.docx", "A 22404-2026")</f>
        <v/>
      </c>
    </row>
    <row r="139" ht="15" customHeight="1">
      <c r="A139" t="inlineStr">
        <is>
          <t>A 29097-2026</t>
        </is>
      </c>
      <c r="B139" t="inlineStr">
        <is>
          <t>avverkningsanmälan</t>
        </is>
      </c>
      <c r="C139" t="inlineStr">
        <is>
          <t>Föryngringsavverkning</t>
        </is>
      </c>
      <c r="D139" s="1" t="n">
        <v>46200</v>
      </c>
      <c r="E139" s="1" t="n">
        <v>46223</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s="2" t="inlineStr">
        <is>
          <t>Gräddporing
Vedtrappmossa
Vitplätt</t>
        </is>
      </c>
      <c r="V139">
        <f>HYPERLINK("https://klasma.github.io/Logging_2361/artfynd/A 29097-2026 artfynd.xlsx", "A 29097-2026")</f>
        <v/>
      </c>
      <c r="W139">
        <f>HYPERLINK("https://klasma.github.io/Logging_2361/kartor/A 29097-2026 karta.png", "A 29097-2026")</f>
        <v/>
      </c>
      <c r="X139">
        <f>HYPERLINK("https://klasma.github.io/Logging_2361/kartor_geotiff/A 29097-2026 georefererad karta.tif", "A 29097-2026")</f>
        <v/>
      </c>
      <c r="Z139">
        <f>HYPERLINK("https://klasma.github.io/Logging_2361/klagomål/A 29097-2026 FSC-klagomål.docx", "A 29097-2026")</f>
        <v/>
      </c>
      <c r="AA139">
        <f>HYPERLINK("https://klasma.github.io/Logging_2361/klagomålsmail/A 29097-2026 FSC-klagomål mail.docx", "A 29097-2026")</f>
        <v/>
      </c>
      <c r="AB139">
        <f>HYPERLINK("https://klasma.github.io/Logging_2361/tillsyn/A 29097-2026 tillsynsbegäran.docx", "A 29097-2026")</f>
        <v/>
      </c>
      <c r="AC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46223</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s="2" t="inlineStr">
        <is>
          <t>Garnlav
Sprickporing
Tretåig hackspett</t>
        </is>
      </c>
      <c r="V140">
        <f>HYPERLINK("https://klasma.github.io/Logging_2361/artfynd/A 4757-2023 artfynd.xlsx", "A 4757-2023")</f>
        <v/>
      </c>
      <c r="W140">
        <f>HYPERLINK("https://klasma.github.io/Logging_2361/kartor/A 4757-2023 karta.png", "A 4757-2023")</f>
        <v/>
      </c>
      <c r="X140">
        <f>HYPERLINK("https://klasma.github.io/Logging_2361/kartor_geotiff/A 4757-2023 georefererad karta.tif", "A 4757-2023")</f>
        <v/>
      </c>
      <c r="Z140">
        <f>HYPERLINK("https://klasma.github.io/Logging_2361/klagomål/A 4757-2023 FSC-klagomål.docx", "A 4757-2023")</f>
        <v/>
      </c>
      <c r="AA140">
        <f>HYPERLINK("https://klasma.github.io/Logging_2361/klagomålsmail/A 4757-2023 FSC-klagomål mail.docx", "A 4757-2023")</f>
        <v/>
      </c>
      <c r="AB140">
        <f>HYPERLINK("https://klasma.github.io/Logging_2361/tillsyn/A 4757-2023 tillsynsbegäran.docx", "A 4757-2023")</f>
        <v/>
      </c>
      <c r="AC140">
        <f>HYPERLINK("https://klasma.github.io/Logging_2361/tillsynsmail/A 4757-2023 tillsynsbegäran mail.docx", "A 4757-2023")</f>
        <v/>
      </c>
      <c r="AD140">
        <f>HYPERLINK("https://klasma.github.io/Logging_2361/fåglar/A 4757-2023 prioriterade fågelarter.docx", "A 4757-2023")</f>
        <v/>
      </c>
    </row>
    <row r="141" ht="15" customHeight="1">
      <c r="A141" t="inlineStr">
        <is>
          <t>A 23337-2025</t>
        </is>
      </c>
      <c r="B141" t="inlineStr">
        <is>
          <t>avverkningsanmälan</t>
        </is>
      </c>
      <c r="C141" t="inlineStr">
        <is>
          <t>Avverkning för annat ändamål</t>
        </is>
      </c>
      <c r="D141" s="1" t="n">
        <v>45791</v>
      </c>
      <c r="E141" s="1" t="n">
        <v>46223</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s="2" t="inlineStr">
        <is>
          <t>Dvärgbägarlav
Knottrig blåslav
Vedskivlav</t>
        </is>
      </c>
      <c r="V141">
        <f>HYPERLINK("https://klasma.github.io/Logging_2361/artfynd/A 23337-2025 artfynd.xlsx", "A 23337-2025")</f>
        <v/>
      </c>
      <c r="W141">
        <f>HYPERLINK("https://klasma.github.io/Logging_2361/kartor/A 23337-2025 karta.png", "A 23337-2025")</f>
        <v/>
      </c>
      <c r="X141">
        <f>HYPERLINK("https://klasma.github.io/Logging_2361/kartor_geotiff/A 23337-2025 georefererad karta.tif", "A 23337-2025")</f>
        <v/>
      </c>
      <c r="Z141">
        <f>HYPERLINK("https://klasma.github.io/Logging_2361/klagomål/A 23337-2025 FSC-klagomål.docx", "A 23337-2025")</f>
        <v/>
      </c>
      <c r="AA141">
        <f>HYPERLINK("https://klasma.github.io/Logging_2361/klagomålsmail/A 23337-2025 FSC-klagomål mail.docx", "A 23337-2025")</f>
        <v/>
      </c>
      <c r="AB141">
        <f>HYPERLINK("https://klasma.github.io/Logging_2361/tillsyn/A 23337-2025 tillsynsbegäran.docx", "A 23337-2025")</f>
        <v/>
      </c>
      <c r="AC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46223</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s="2" t="inlineStr">
        <is>
          <t>Lunglav
Tretåig hackspett
Fläcknycklar</t>
        </is>
      </c>
      <c r="V142">
        <f>HYPERLINK("https://klasma.github.io/Logging_2361/artfynd/S 2050-2026 artfynd.xlsx", "S 2050-2026")</f>
        <v/>
      </c>
      <c r="W142">
        <f>HYPERLINK("https://klasma.github.io/Logging_2361/kartor/S 2050-2026 karta.png", "S 2050-2026")</f>
        <v/>
      </c>
      <c r="X142">
        <f>HYPERLINK("https://klasma.github.io/Logging_2361/kartor_geotiff/S 2050-2026 georefererad karta.tif", "S 2050-2026")</f>
        <v/>
      </c>
      <c r="Z142">
        <f>HYPERLINK("https://klasma.github.io/Logging_2361/klagomål/S 2050-2026 FSC-klagomål.docx", "S 2050-2026")</f>
        <v/>
      </c>
      <c r="AA142">
        <f>HYPERLINK("https://klasma.github.io/Logging_2361/klagomålsmail/S 2050-2026 FSC-klagomål mail.docx", "S 2050-2026")</f>
        <v/>
      </c>
      <c r="AB142">
        <f>HYPERLINK("https://klasma.github.io/Logging_2361/tillsyn/S 2050-2026 tillsynsbegäran.docx", "S 2050-2026")</f>
        <v/>
      </c>
      <c r="AC142">
        <f>HYPERLINK("https://klasma.github.io/Logging_2361/tillsynsmail/S 2050-2026 tillsynsbegäran mail.docx", "S 2050-2026")</f>
        <v/>
      </c>
      <c r="AD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46223</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s="2" t="inlineStr">
        <is>
          <t>Blanksvart spiklav
Vedflamlav</t>
        </is>
      </c>
      <c r="V143">
        <f>HYPERLINK("https://klasma.github.io/Logging_2361/artfynd/A 55245-2021 artfynd.xlsx", "A 55245-2021")</f>
        <v/>
      </c>
      <c r="W143">
        <f>HYPERLINK("https://klasma.github.io/Logging_2361/kartor/A 55245-2021 karta.png", "A 55245-2021")</f>
        <v/>
      </c>
      <c r="X143">
        <f>HYPERLINK("https://klasma.github.io/Logging_2361/kartor_geotiff/A 55245-2021 georefererad karta.tif", "A 55245-2021")</f>
        <v/>
      </c>
      <c r="Z143">
        <f>HYPERLINK("https://klasma.github.io/Logging_2361/klagomål/A 55245-2021 FSC-klagomål.docx", "A 55245-2021")</f>
        <v/>
      </c>
      <c r="AA143">
        <f>HYPERLINK("https://klasma.github.io/Logging_2361/klagomålsmail/A 55245-2021 FSC-klagomål mail.docx", "A 55245-2021")</f>
        <v/>
      </c>
      <c r="AB143">
        <f>HYPERLINK("https://klasma.github.io/Logging_2361/tillsyn/A 55245-2021 tillsynsbegäran.docx", "A 55245-2021")</f>
        <v/>
      </c>
      <c r="AC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46223</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s="2" t="inlineStr">
        <is>
          <t>Spindelblomster
Ögonpyrola</t>
        </is>
      </c>
      <c r="V144">
        <f>HYPERLINK("https://klasma.github.io/Logging_2361/artfynd/A 45717-2021 artfynd.xlsx", "A 45717-2021")</f>
        <v/>
      </c>
      <c r="W144">
        <f>HYPERLINK("https://klasma.github.io/Logging_2361/kartor/A 45717-2021 karta.png", "A 45717-2021")</f>
        <v/>
      </c>
      <c r="X144">
        <f>HYPERLINK("https://klasma.github.io/Logging_2361/kartor_geotiff/A 45717-2021 georefererad karta.tif", "A 45717-2021")</f>
        <v/>
      </c>
      <c r="Z144">
        <f>HYPERLINK("https://klasma.github.io/Logging_2361/klagomål/A 45717-2021 FSC-klagomål.docx", "A 45717-2021")</f>
        <v/>
      </c>
      <c r="AA144">
        <f>HYPERLINK("https://klasma.github.io/Logging_2361/klagomålsmail/A 45717-2021 FSC-klagomål mail.docx", "A 45717-2021")</f>
        <v/>
      </c>
      <c r="AB144">
        <f>HYPERLINK("https://klasma.github.io/Logging_2361/tillsyn/A 45717-2021 tillsynsbegäran.docx", "A 45717-2021")</f>
        <v/>
      </c>
      <c r="AC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46223</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s="2" t="inlineStr">
        <is>
          <t>Varglavsknöl
Varglav</t>
        </is>
      </c>
      <c r="V145">
        <f>HYPERLINK("https://klasma.github.io/Logging_2361/artfynd/A 55240-2021 artfynd.xlsx", "A 55240-2021")</f>
        <v/>
      </c>
      <c r="W145">
        <f>HYPERLINK("https://klasma.github.io/Logging_2361/kartor/A 55240-2021 karta.png", "A 55240-2021")</f>
        <v/>
      </c>
      <c r="X145">
        <f>HYPERLINK("https://klasma.github.io/Logging_2361/kartor_geotiff/A 55240-2021 georefererad karta.tif", "A 55240-2021")</f>
        <v/>
      </c>
      <c r="Z145">
        <f>HYPERLINK("https://klasma.github.io/Logging_2361/klagomål/A 55240-2021 FSC-klagomål.docx", "A 55240-2021")</f>
        <v/>
      </c>
      <c r="AA145">
        <f>HYPERLINK("https://klasma.github.io/Logging_2361/klagomålsmail/A 55240-2021 FSC-klagomål mail.docx", "A 55240-2021")</f>
        <v/>
      </c>
      <c r="AB145">
        <f>HYPERLINK("https://klasma.github.io/Logging_2361/tillsyn/A 55240-2021 tillsynsbegäran.docx", "A 55240-2021")</f>
        <v/>
      </c>
      <c r="AC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46223</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s="2" t="inlineStr">
        <is>
          <t>Knärot
Tallticka</t>
        </is>
      </c>
      <c r="V146">
        <f>HYPERLINK("https://klasma.github.io/Logging_2361/artfynd/A 16151-2024 artfynd.xlsx", "A 16151-2024")</f>
        <v/>
      </c>
      <c r="W146">
        <f>HYPERLINK("https://klasma.github.io/Logging_2361/kartor/A 16151-2024 karta.png", "A 16151-2024")</f>
        <v/>
      </c>
      <c r="X146">
        <f>HYPERLINK("https://klasma.github.io/Logging_2361/kartor_geotiff/A 16151-2024 georefererad karta.tif", "A 16151-2024")</f>
        <v/>
      </c>
      <c r="Y146">
        <f>HYPERLINK("https://klasma.github.io/Logging_2361/knärot/A 16151-2024 karta knärot.png", "A 16151-2024")</f>
        <v/>
      </c>
      <c r="Z146">
        <f>HYPERLINK("https://klasma.github.io/Logging_2361/klagomål/A 16151-2024 FSC-klagomål.docx", "A 16151-2024")</f>
        <v/>
      </c>
      <c r="AA146">
        <f>HYPERLINK("https://klasma.github.io/Logging_2361/klagomålsmail/A 16151-2024 FSC-klagomål mail.docx", "A 16151-2024")</f>
        <v/>
      </c>
      <c r="AB146">
        <f>HYPERLINK("https://klasma.github.io/Logging_2361/tillsyn/A 16151-2024 tillsynsbegäran.docx", "A 16151-2024")</f>
        <v/>
      </c>
      <c r="AC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46223</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16185-2024 artfynd.xlsx", "A 16185-2024")</f>
        <v/>
      </c>
      <c r="W147">
        <f>HYPERLINK("https://klasma.github.io/Logging_2361/kartor/A 16185-2024 karta.png", "A 16185-2024")</f>
        <v/>
      </c>
      <c r="X147">
        <f>HYPERLINK("https://klasma.github.io/Logging_2361/kartor_geotiff/A 16185-2024 georefererad karta.tif", "A 16185-2024")</f>
        <v/>
      </c>
      <c r="Y147">
        <f>HYPERLINK("https://klasma.github.io/Logging_2361/knärot/A 16185-2024 karta knärot.png", "A 16185-2024")</f>
        <v/>
      </c>
      <c r="Z147">
        <f>HYPERLINK("https://klasma.github.io/Logging_2361/klagomål/A 16185-2024 FSC-klagomål.docx", "A 16185-2024")</f>
        <v/>
      </c>
      <c r="AA147">
        <f>HYPERLINK("https://klasma.github.io/Logging_2361/klagomålsmail/A 16185-2024 FSC-klagomål mail.docx", "A 16185-2024")</f>
        <v/>
      </c>
      <c r="AB147">
        <f>HYPERLINK("https://klasma.github.io/Logging_2361/tillsyn/A 16185-2024 tillsynsbegäran.docx", "A 16185-2024")</f>
        <v/>
      </c>
      <c r="AC147">
        <f>HYPERLINK("https://klasma.github.io/Logging_2361/tillsynsmail/A 16185-2024 tillsynsbegäran mail.docx", "A 16185-2024")</f>
        <v/>
      </c>
    </row>
    <row r="148" ht="15" customHeight="1">
      <c r="A148" t="inlineStr">
        <is>
          <t>A 26346-2025</t>
        </is>
      </c>
      <c r="B148" t="inlineStr">
        <is>
          <t>avverkningsanmälan</t>
        </is>
      </c>
      <c r="C148" t="inlineStr">
        <is>
          <t>Föryngringsavverkning</t>
        </is>
      </c>
      <c r="D148" s="1" t="n">
        <v>45805</v>
      </c>
      <c r="E148" s="1" t="n">
        <v>46223</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s="2" t="inlineStr">
        <is>
          <t>Garnlav
Lunglav</t>
        </is>
      </c>
      <c r="V148">
        <f>HYPERLINK("https://klasma.github.io/Logging_2361/artfynd/A 26346-2025 artfynd.xlsx", "A 26346-2025")</f>
        <v/>
      </c>
      <c r="W148">
        <f>HYPERLINK("https://klasma.github.io/Logging_2361/kartor/A 26346-2025 karta.png", "A 26346-2025")</f>
        <v/>
      </c>
      <c r="X148">
        <f>HYPERLINK("https://klasma.github.io/Logging_2361/kartor_geotiff/A 26346-2025 georefererad karta.tif", "A 26346-2025")</f>
        <v/>
      </c>
      <c r="Z148">
        <f>HYPERLINK("https://klasma.github.io/Logging_2361/klagomål/A 26346-2025 FSC-klagomål.docx", "A 26346-2025")</f>
        <v/>
      </c>
      <c r="AA148">
        <f>HYPERLINK("https://klasma.github.io/Logging_2361/klagomålsmail/A 26346-2025 FSC-klagomål mail.docx", "A 26346-2025")</f>
        <v/>
      </c>
      <c r="AB148">
        <f>HYPERLINK("https://klasma.github.io/Logging_2361/tillsyn/A 26346-2025 tillsynsbegäran.docx", "A 26346-2025")</f>
        <v/>
      </c>
      <c r="AC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46223</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s="2" t="inlineStr">
        <is>
          <t>Kolflarnlav
Plattlummer</t>
        </is>
      </c>
      <c r="V149">
        <f>HYPERLINK("https://klasma.github.io/Logging_2361/artfynd/A 26345-2025 artfynd.xlsx", "A 26345-2025")</f>
        <v/>
      </c>
      <c r="W149">
        <f>HYPERLINK("https://klasma.github.io/Logging_2361/kartor/A 26345-2025 karta.png", "A 26345-2025")</f>
        <v/>
      </c>
      <c r="X149">
        <f>HYPERLINK("https://klasma.github.io/Logging_2361/kartor_geotiff/A 26345-2025 georefererad karta.tif", "A 26345-2025")</f>
        <v/>
      </c>
      <c r="Z149">
        <f>HYPERLINK("https://klasma.github.io/Logging_2361/klagomål/A 26345-2025 FSC-klagomål.docx", "A 26345-2025")</f>
        <v/>
      </c>
      <c r="AA149">
        <f>HYPERLINK("https://klasma.github.io/Logging_2361/klagomålsmail/A 26345-2025 FSC-klagomål mail.docx", "A 26345-2025")</f>
        <v/>
      </c>
      <c r="AB149">
        <f>HYPERLINK("https://klasma.github.io/Logging_2361/tillsyn/A 26345-2025 tillsynsbegäran.docx", "A 26345-2025")</f>
        <v/>
      </c>
      <c r="AC149">
        <f>HYPERLINK("https://klasma.github.io/Logging_2361/tillsynsmail/A 26345-2025 tillsynsbegäran mail.docx", "A 26345-2025")</f>
        <v/>
      </c>
    </row>
    <row r="150" ht="15" customHeight="1">
      <c r="A150" t="inlineStr">
        <is>
          <t>A 55228-2021</t>
        </is>
      </c>
      <c r="B150" t="inlineStr">
        <is>
          <t>avverkningsanmälan</t>
        </is>
      </c>
      <c r="C150" t="inlineStr">
        <is>
          <t>Föryngringsavverkning</t>
        </is>
      </c>
      <c r="D150" s="1" t="n">
        <v>44475</v>
      </c>
      <c r="E150" s="1" t="n">
        <v>46223</v>
      </c>
      <c r="F150" t="inlineStr">
        <is>
          <t>JÄMTLANDS LÄN</t>
        </is>
      </c>
      <c r="G150" t="inlineStr">
        <is>
          <t>HÄRJEDALEN</t>
        </is>
      </c>
      <c r="I150" t="n">
        <v>1.7</v>
      </c>
      <c r="J150" t="n">
        <v>1</v>
      </c>
      <c r="K150" t="n">
        <v>0</v>
      </c>
      <c r="L150" t="n">
        <v>2</v>
      </c>
      <c r="M150" t="n">
        <v>0</v>
      </c>
      <c r="N150" t="n">
        <v>0</v>
      </c>
      <c r="O150" t="n">
        <v>0</v>
      </c>
      <c r="P150" t="n">
        <v>0</v>
      </c>
      <c r="Q150" t="n">
        <v>2</v>
      </c>
      <c r="R150" t="n">
        <v>0</v>
      </c>
      <c r="S150" t="n">
        <v>2</v>
      </c>
      <c r="T150" t="n">
        <v>3</v>
      </c>
      <c r="U150" s="2" t="inlineStr">
        <is>
          <t>Varglav
Vedflamlav</t>
        </is>
      </c>
      <c r="V150">
        <f>HYPERLINK("https://klasma.github.io/Logging_2361/artfynd/A 55228-2021 artfynd.xlsx", "A 55228-2021")</f>
        <v/>
      </c>
      <c r="W150">
        <f>HYPERLINK("https://klasma.github.io/Logging_2361/kartor/A 55228-2021 karta.png", "A 55228-2021")</f>
        <v/>
      </c>
      <c r="X150">
        <f>HYPERLINK("https://klasma.github.io/Logging_2361/kartor_geotiff/A 55228-2021 georefererad karta.tif", "A 55228-2021")</f>
        <v/>
      </c>
      <c r="Z150">
        <f>HYPERLINK("https://klasma.github.io/Logging_2361/klagomål/A 55228-2021 FSC-klagomål.docx", "A 55228-2021")</f>
        <v/>
      </c>
      <c r="AA150">
        <f>HYPERLINK("https://klasma.github.io/Logging_2361/klagomålsmail/A 55228-2021 FSC-klagomål mail.docx", "A 55228-2021")</f>
        <v/>
      </c>
      <c r="AB150">
        <f>HYPERLINK("https://klasma.github.io/Logging_2361/tillsyn/A 55228-2021 tillsynsbegäran.docx", "A 55228-2021")</f>
        <v/>
      </c>
      <c r="AC150">
        <f>HYPERLINK("https://klasma.github.io/Logging_2361/tillsynsmail/A 55228-2021 tillsynsbegäran mail.docx", "A 55228-2021")</f>
        <v/>
      </c>
    </row>
    <row r="151" ht="15" customHeight="1">
      <c r="A151" t="inlineStr">
        <is>
          <t>A 32310-2025</t>
        </is>
      </c>
      <c r="B151" t="inlineStr">
        <is>
          <t>avverkningsanmälan</t>
        </is>
      </c>
      <c r="C151" t="inlineStr">
        <is>
          <t>Föryngringsavverkning</t>
        </is>
      </c>
      <c r="D151" s="1" t="n">
        <v>45835</v>
      </c>
      <c r="E151" s="1" t="n">
        <v>46223</v>
      </c>
      <c r="F151" t="inlineStr">
        <is>
          <t>JÄMTLANDS LÄN</t>
        </is>
      </c>
      <c r="G151" t="inlineStr">
        <is>
          <t>HÄRJEDALEN</t>
        </is>
      </c>
      <c r="H151" t="inlineStr">
        <is>
          <t>Sveaskog</t>
        </is>
      </c>
      <c r="I151" t="n">
        <v>1.6</v>
      </c>
      <c r="J151" t="n">
        <v>0</v>
      </c>
      <c r="K151" t="n">
        <v>0</v>
      </c>
      <c r="L151" t="n">
        <v>2</v>
      </c>
      <c r="M151" t="n">
        <v>0</v>
      </c>
      <c r="N151" t="n">
        <v>0</v>
      </c>
      <c r="O151" t="n">
        <v>0</v>
      </c>
      <c r="P151" t="n">
        <v>0</v>
      </c>
      <c r="Q151" t="n">
        <v>2</v>
      </c>
      <c r="R151" t="n">
        <v>0</v>
      </c>
      <c r="S151" t="n">
        <v>2</v>
      </c>
      <c r="T151" t="n">
        <v>2</v>
      </c>
      <c r="U151" s="2" t="inlineStr">
        <is>
          <t>Kolflarnlav
Lunglav</t>
        </is>
      </c>
      <c r="V151">
        <f>HYPERLINK("https://klasma.github.io/Logging_2361/artfynd/A 32310-2025 artfynd.xlsx", "A 32310-2025")</f>
        <v/>
      </c>
      <c r="W151">
        <f>HYPERLINK("https://klasma.github.io/Logging_2361/kartor/A 32310-2025 karta.png", "A 32310-2025")</f>
        <v/>
      </c>
      <c r="X151">
        <f>HYPERLINK("https://klasma.github.io/Logging_2361/kartor_geotiff/A 32310-2025 georefererad karta.tif", "A 32310-2025")</f>
        <v/>
      </c>
      <c r="Z151">
        <f>HYPERLINK("https://klasma.github.io/Logging_2361/klagomål/A 32310-2025 FSC-klagomål.docx", "A 32310-2025")</f>
        <v/>
      </c>
      <c r="AA151">
        <f>HYPERLINK("https://klasma.github.io/Logging_2361/klagomålsmail/A 32310-2025 FSC-klagomål mail.docx", "A 32310-2025")</f>
        <v/>
      </c>
      <c r="AB151">
        <f>HYPERLINK("https://klasma.github.io/Logging_2361/tillsyn/A 32310-2025 tillsynsbegäran.docx", "A 32310-2025")</f>
        <v/>
      </c>
      <c r="AC151">
        <f>HYPERLINK("https://klasma.github.io/Logging_2361/tillsynsmail/A 32310-2025 tillsynsbegäran mail.docx", "A 32310-2025")</f>
        <v/>
      </c>
    </row>
    <row r="152" ht="15" customHeight="1">
      <c r="A152" t="inlineStr">
        <is>
          <t>A 55298-2024</t>
        </is>
      </c>
      <c r="B152" t="inlineStr">
        <is>
          <t>avverkningsanmälan</t>
        </is>
      </c>
      <c r="C152" t="inlineStr">
        <is>
          <t>Föryngringsavverkning</t>
        </is>
      </c>
      <c r="D152" s="1" t="n">
        <v>45621</v>
      </c>
      <c r="E152" s="1" t="n">
        <v>46223</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s="2" t="inlineStr">
        <is>
          <t>Knärot
Kolflarnlav</t>
        </is>
      </c>
      <c r="V152">
        <f>HYPERLINK("https://klasma.github.io/Logging_2361/artfynd/A 55298-2024 artfynd.xlsx", "A 55298-2024")</f>
        <v/>
      </c>
      <c r="W152">
        <f>HYPERLINK("https://klasma.github.io/Logging_2361/kartor/A 55298-2024 karta.png", "A 55298-2024")</f>
        <v/>
      </c>
      <c r="X152">
        <f>HYPERLINK("https://klasma.github.io/Logging_2361/kartor_geotiff/A 55298-2024 georefererad karta.tif", "A 55298-2024")</f>
        <v/>
      </c>
      <c r="Y152">
        <f>HYPERLINK("https://klasma.github.io/Logging_2361/knärot/A 55298-2024 karta knärot.png", "A 55298-2024")</f>
        <v/>
      </c>
      <c r="Z152">
        <f>HYPERLINK("https://klasma.github.io/Logging_2361/klagomål/A 55298-2024 FSC-klagomål.docx", "A 55298-2024")</f>
        <v/>
      </c>
      <c r="AA152">
        <f>HYPERLINK("https://klasma.github.io/Logging_2361/klagomålsmail/A 55298-2024 FSC-klagomål mail.docx", "A 55298-2024")</f>
        <v/>
      </c>
      <c r="AB152">
        <f>HYPERLINK("https://klasma.github.io/Logging_2361/tillsyn/A 55298-2024 tillsynsbegäran.docx", "A 55298-2024")</f>
        <v/>
      </c>
      <c r="AC152">
        <f>HYPERLINK("https://klasma.github.io/Logging_2361/tillsynsmail/A 55298-2024 tillsynsbegäran mail.docx", "A 55298-2024")</f>
        <v/>
      </c>
    </row>
    <row r="153" ht="15" customHeight="1">
      <c r="A153" t="inlineStr">
        <is>
          <t>A 59462-2024</t>
        </is>
      </c>
      <c r="B153" t="inlineStr">
        <is>
          <t>avverkningsanmälan</t>
        </is>
      </c>
      <c r="C153" t="inlineStr">
        <is>
          <t>Föryngringsavverkning</t>
        </is>
      </c>
      <c r="D153" s="1" t="n">
        <v>45638</v>
      </c>
      <c r="E153" s="1" t="n">
        <v>46223</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s="2" t="inlineStr">
        <is>
          <t>Garnlav
Doftskinn</t>
        </is>
      </c>
      <c r="V153">
        <f>HYPERLINK("https://klasma.github.io/Logging_2361/artfynd/A 59462-2024 artfynd.xlsx", "A 59462-2024")</f>
        <v/>
      </c>
      <c r="W153">
        <f>HYPERLINK("https://klasma.github.io/Logging_2361/kartor/A 59462-2024 karta.png", "A 59462-2024")</f>
        <v/>
      </c>
      <c r="X153">
        <f>HYPERLINK("https://klasma.github.io/Logging_2361/kartor_geotiff/A 59462-2024 georefererad karta.tif", "A 59462-2024")</f>
        <v/>
      </c>
      <c r="Z153">
        <f>HYPERLINK("https://klasma.github.io/Logging_2361/klagomål/A 59462-2024 FSC-klagomål.docx", "A 59462-2024")</f>
        <v/>
      </c>
      <c r="AA153">
        <f>HYPERLINK("https://klasma.github.io/Logging_2361/klagomålsmail/A 59462-2024 FSC-klagomål mail.docx", "A 59462-2024")</f>
        <v/>
      </c>
      <c r="AB153">
        <f>HYPERLINK("https://klasma.github.io/Logging_2361/tillsyn/A 59462-2024 tillsynsbegäran.docx", "A 59462-2024")</f>
        <v/>
      </c>
      <c r="AC153">
        <f>HYPERLINK("https://klasma.github.io/Logging_2361/tillsynsmail/A 59462-2024 tillsynsbegäran mail.docx", "A 59462-2024")</f>
        <v/>
      </c>
    </row>
    <row r="154" ht="15" customHeight="1">
      <c r="A154" t="inlineStr">
        <is>
          <t>A 48303-2025</t>
        </is>
      </c>
      <c r="B154" t="inlineStr">
        <is>
          <t>avverkningsanmälan</t>
        </is>
      </c>
      <c r="C154" t="inlineStr">
        <is>
          <t>Föryngringsavverkning</t>
        </is>
      </c>
      <c r="D154" s="1" t="n">
        <v>45933</v>
      </c>
      <c r="E154" s="1" t="n">
        <v>46223</v>
      </c>
      <c r="F154" t="inlineStr">
        <is>
          <t>JÄMTLANDS LÄN</t>
        </is>
      </c>
      <c r="G154" t="inlineStr">
        <is>
          <t>HÄRJEDALEN</t>
        </is>
      </c>
      <c r="H154" t="inlineStr">
        <is>
          <t>Sveaskog</t>
        </is>
      </c>
      <c r="I154" t="n">
        <v>3.7</v>
      </c>
      <c r="J154" t="n">
        <v>0</v>
      </c>
      <c r="K154" t="n">
        <v>0</v>
      </c>
      <c r="L154" t="n">
        <v>1</v>
      </c>
      <c r="M154" t="n">
        <v>1</v>
      </c>
      <c r="N154" t="n">
        <v>0</v>
      </c>
      <c r="O154" t="n">
        <v>0</v>
      </c>
      <c r="P154" t="n">
        <v>0</v>
      </c>
      <c r="Q154" t="n">
        <v>2</v>
      </c>
      <c r="R154" t="n">
        <v>1</v>
      </c>
      <c r="S154" t="n">
        <v>2</v>
      </c>
      <c r="T154" t="n">
        <v>2</v>
      </c>
      <c r="U154" s="2" t="inlineStr">
        <is>
          <t>Garnlav
Kolflarnlav</t>
        </is>
      </c>
      <c r="V154">
        <f>HYPERLINK("https://klasma.github.io/Logging_2361/artfynd/A 48303-2025 artfynd.xlsx", "A 48303-2025")</f>
        <v/>
      </c>
      <c r="W154">
        <f>HYPERLINK("https://klasma.github.io/Logging_2361/kartor/A 48303-2025 karta.png", "A 48303-2025")</f>
        <v/>
      </c>
      <c r="X154">
        <f>HYPERLINK("https://klasma.github.io/Logging_2361/kartor_geotiff/A 48303-2025 georefererad karta.tif", "A 48303-2025")</f>
        <v/>
      </c>
      <c r="Z154">
        <f>HYPERLINK("https://klasma.github.io/Logging_2361/klagomål/A 48303-2025 FSC-klagomål.docx", "A 48303-2025")</f>
        <v/>
      </c>
      <c r="AA154">
        <f>HYPERLINK("https://klasma.github.io/Logging_2361/klagomålsmail/A 48303-2025 FSC-klagomål mail.docx", "A 48303-2025")</f>
        <v/>
      </c>
      <c r="AB154">
        <f>HYPERLINK("https://klasma.github.io/Logging_2361/tillsyn/A 48303-2025 tillsynsbegäran.docx", "A 48303-2025")</f>
        <v/>
      </c>
      <c r="AC154">
        <f>HYPERLINK("https://klasma.github.io/Logging_2361/tillsynsmail/A 48303-2025 tillsynsbegäran mail.docx", "A 48303-2025")</f>
        <v/>
      </c>
    </row>
    <row r="155" ht="15" customHeight="1">
      <c r="A155" t="inlineStr">
        <is>
          <t>A 50631-2025</t>
        </is>
      </c>
      <c r="B155" t="inlineStr">
        <is>
          <t>avverkningsanmälan</t>
        </is>
      </c>
      <c r="C155" t="inlineStr">
        <is>
          <t>Föryngringsavverkning</t>
        </is>
      </c>
      <c r="D155" s="1" t="n">
        <v>45945</v>
      </c>
      <c r="E155" s="1" t="n">
        <v>46223</v>
      </c>
      <c r="F155" t="inlineStr">
        <is>
          <t>JÄMTLANDS LÄN</t>
        </is>
      </c>
      <c r="G155" t="inlineStr">
        <is>
          <t>HÄRJEDALEN</t>
        </is>
      </c>
      <c r="I155" t="n">
        <v>7.1</v>
      </c>
      <c r="J155" t="n">
        <v>2</v>
      </c>
      <c r="K155" t="n">
        <v>0</v>
      </c>
      <c r="L155" t="n">
        <v>0</v>
      </c>
      <c r="M155" t="n">
        <v>0</v>
      </c>
      <c r="N155" t="n">
        <v>0</v>
      </c>
      <c r="O155" t="n">
        <v>0</v>
      </c>
      <c r="P155" t="n">
        <v>0</v>
      </c>
      <c r="Q155" t="n">
        <v>0</v>
      </c>
      <c r="R155" t="n">
        <v>0</v>
      </c>
      <c r="S155" t="n">
        <v>2</v>
      </c>
      <c r="T155" t="n">
        <v>2</v>
      </c>
      <c r="U155" s="2" t="inlineStr">
        <is>
          <t>Brudsporre
Fläcknycklar</t>
        </is>
      </c>
      <c r="V155">
        <f>HYPERLINK("https://klasma.github.io/Logging_2361/artfynd/A 50631-2025 artfynd.xlsx", "A 50631-2025")</f>
        <v/>
      </c>
      <c r="W155">
        <f>HYPERLINK("https://klasma.github.io/Logging_2361/kartor/A 50631-2025 karta.png", "A 50631-2025")</f>
        <v/>
      </c>
      <c r="X155">
        <f>HYPERLINK("https://klasma.github.io/Logging_2361/kartor_geotiff/A 50631-2025 georefererad karta.tif", "A 50631-2025")</f>
        <v/>
      </c>
      <c r="Z155">
        <f>HYPERLINK("https://klasma.github.io/Logging_2361/klagomål/A 50631-2025 FSC-klagomål.docx", "A 50631-2025")</f>
        <v/>
      </c>
      <c r="AA155">
        <f>HYPERLINK("https://klasma.github.io/Logging_2361/klagomålsmail/A 50631-2025 FSC-klagomål mail.docx", "A 50631-2025")</f>
        <v/>
      </c>
      <c r="AB155">
        <f>HYPERLINK("https://klasma.github.io/Logging_2361/tillsyn/A 50631-2025 tillsynsbegäran.docx", "A 50631-2025")</f>
        <v/>
      </c>
      <c r="AC155">
        <f>HYPERLINK("https://klasma.github.io/Logging_2361/tillsynsmail/A 50631-2025 tillsynsbegäran mail.docx", "A 50631-2025")</f>
        <v/>
      </c>
    </row>
    <row r="156" ht="15" customHeight="1">
      <c r="A156" t="inlineStr">
        <is>
          <t>A 11715-2026</t>
        </is>
      </c>
      <c r="B156" t="inlineStr">
        <is>
          <t>avverkningsanmälan</t>
        </is>
      </c>
      <c r="C156" t="inlineStr">
        <is>
          <t>Föryngringsavverkning</t>
        </is>
      </c>
      <c r="D156" s="1" t="n">
        <v>46084</v>
      </c>
      <c r="E156" s="1" t="n">
        <v>46223</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s="2" t="inlineStr">
        <is>
          <t>Lunglav
Varglav</t>
        </is>
      </c>
      <c r="V156">
        <f>HYPERLINK("https://klasma.github.io/Logging_2361/artfynd/A 11715-2026 artfynd.xlsx", "A 11715-2026")</f>
        <v/>
      </c>
      <c r="W156">
        <f>HYPERLINK("https://klasma.github.io/Logging_2361/kartor/A 11715-2026 karta.png", "A 11715-2026")</f>
        <v/>
      </c>
      <c r="X156">
        <f>HYPERLINK("https://klasma.github.io/Logging_2361/kartor_geotiff/A 11715-2026 georefererad karta.tif", "A 11715-2026")</f>
        <v/>
      </c>
      <c r="Z156">
        <f>HYPERLINK("https://klasma.github.io/Logging_2361/klagomål/A 11715-2026 FSC-klagomål.docx", "A 11715-2026")</f>
        <v/>
      </c>
      <c r="AA156">
        <f>HYPERLINK("https://klasma.github.io/Logging_2361/klagomålsmail/A 11715-2026 FSC-klagomål mail.docx", "A 11715-2026")</f>
        <v/>
      </c>
      <c r="AB156">
        <f>HYPERLINK("https://klasma.github.io/Logging_2361/tillsyn/A 11715-2026 tillsynsbegäran.docx", "A 11715-2026")</f>
        <v/>
      </c>
      <c r="AC156">
        <f>HYPERLINK("https://klasma.github.io/Logging_2361/tillsynsmail/A 11715-2026 tillsynsbegäran mail.docx", "A 11715-2026")</f>
        <v/>
      </c>
    </row>
    <row r="157" ht="15" customHeight="1">
      <c r="A157" t="inlineStr">
        <is>
          <t>A 50438-2022</t>
        </is>
      </c>
      <c r="B157" t="inlineStr">
        <is>
          <t>avverkningsanmälan</t>
        </is>
      </c>
      <c r="C157" t="inlineStr">
        <is>
          <t>Föryngringsavverkning</t>
        </is>
      </c>
      <c r="D157" s="1" t="n">
        <v>44866</v>
      </c>
      <c r="E157" s="1" t="n">
        <v>46223</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s="2" t="inlineStr">
        <is>
          <t>Knärot
Skrovellav</t>
        </is>
      </c>
      <c r="V157">
        <f>HYPERLINK("https://klasma.github.io/Logging_2361/artfynd/A 50438-2022 artfynd.xlsx", "A 50438-2022")</f>
        <v/>
      </c>
      <c r="W157">
        <f>HYPERLINK("https://klasma.github.io/Logging_2361/kartor/A 50438-2022 karta.png", "A 50438-2022")</f>
        <v/>
      </c>
      <c r="X157">
        <f>HYPERLINK("https://klasma.github.io/Logging_2361/kartor_geotiff/A 50438-2022 georefererad karta.tif", "A 50438-2022")</f>
        <v/>
      </c>
      <c r="Y157">
        <f>HYPERLINK("https://klasma.github.io/Logging_2361/knärot/A 50438-2022 karta knärot.png", "A 50438-2022")</f>
        <v/>
      </c>
      <c r="Z157">
        <f>HYPERLINK("https://klasma.github.io/Logging_2361/klagomål/A 50438-2022 FSC-klagomål.docx", "A 50438-2022")</f>
        <v/>
      </c>
      <c r="AA157">
        <f>HYPERLINK("https://klasma.github.io/Logging_2361/klagomålsmail/A 50438-2022 FSC-klagomål mail.docx", "A 50438-2022")</f>
        <v/>
      </c>
      <c r="AB157">
        <f>HYPERLINK("https://klasma.github.io/Logging_2361/tillsyn/A 50438-2022 tillsynsbegäran.docx", "A 50438-2022")</f>
        <v/>
      </c>
      <c r="AC157">
        <f>HYPERLINK("https://klasma.github.io/Logging_2361/tillsynsmail/A 50438-2022 tillsynsbegäran mail.docx", "A 50438-2022")</f>
        <v/>
      </c>
    </row>
    <row r="158" ht="15" customHeight="1">
      <c r="A158" t="inlineStr">
        <is>
          <t>A 62924-2025</t>
        </is>
      </c>
      <c r="B158" t="inlineStr">
        <is>
          <t>avverkningsanmälan</t>
        </is>
      </c>
      <c r="C158" t="inlineStr">
        <is>
          <t>Avverkning för annat ändamål</t>
        </is>
      </c>
      <c r="D158" s="1" t="n">
        <v>46009</v>
      </c>
      <c r="E158" s="1" t="n">
        <v>46223</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s="2" t="inlineStr">
        <is>
          <t>Vedflamlav
Vedskivlav</t>
        </is>
      </c>
      <c r="V158">
        <f>HYPERLINK("https://klasma.github.io/Logging_2361/artfynd/A 62924-2025 artfynd.xlsx", "A 62924-2025")</f>
        <v/>
      </c>
      <c r="W158">
        <f>HYPERLINK("https://klasma.github.io/Logging_2361/kartor/A 62924-2025 karta.png", "A 62924-2025")</f>
        <v/>
      </c>
      <c r="X158">
        <f>HYPERLINK("https://klasma.github.io/Logging_2361/kartor_geotiff/A 62924-2025 georefererad karta.tif", "A 62924-2025")</f>
        <v/>
      </c>
      <c r="Z158">
        <f>HYPERLINK("https://klasma.github.io/Logging_2361/klagomål/A 62924-2025 FSC-klagomål.docx", "A 62924-2025")</f>
        <v/>
      </c>
      <c r="AA158">
        <f>HYPERLINK("https://klasma.github.io/Logging_2361/klagomålsmail/A 62924-2025 FSC-klagomål mail.docx", "A 62924-2025")</f>
        <v/>
      </c>
      <c r="AB158">
        <f>HYPERLINK("https://klasma.github.io/Logging_2361/tillsyn/A 62924-2025 tillsynsbegäran.docx", "A 62924-2025")</f>
        <v/>
      </c>
      <c r="AC158">
        <f>HYPERLINK("https://klasma.github.io/Logging_2361/tillsynsmail/A 62924-2025 tillsynsbegäran mail.docx", "A 62924-2025")</f>
        <v/>
      </c>
    </row>
    <row r="159" ht="15" customHeight="1">
      <c r="A159" t="inlineStr">
        <is>
          <t>A 20023-2026</t>
        </is>
      </c>
      <c r="B159" t="inlineStr">
        <is>
          <t>avverkningsanmälan</t>
        </is>
      </c>
      <c r="C159" t="inlineStr">
        <is>
          <t>Föryngringsavverkning</t>
        </is>
      </c>
      <c r="D159" s="1" t="n">
        <v>46136</v>
      </c>
      <c r="E159" s="1" t="n">
        <v>46223</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s="2" t="inlineStr">
        <is>
          <t>Lunglav
Stuplav</t>
        </is>
      </c>
      <c r="V159">
        <f>HYPERLINK("https://klasma.github.io/Logging_2361/artfynd/A 20023-2026 artfynd.xlsx", "A 20023-2026")</f>
        <v/>
      </c>
      <c r="W159">
        <f>HYPERLINK("https://klasma.github.io/Logging_2361/kartor/A 20023-2026 karta.png", "A 20023-2026")</f>
        <v/>
      </c>
      <c r="X159">
        <f>HYPERLINK("https://klasma.github.io/Logging_2361/kartor_geotiff/A 20023-2026 georefererad karta.tif", "A 20023-2026")</f>
        <v/>
      </c>
      <c r="Z159">
        <f>HYPERLINK("https://klasma.github.io/Logging_2361/klagomål/A 20023-2026 FSC-klagomål.docx", "A 20023-2026")</f>
        <v/>
      </c>
      <c r="AA159">
        <f>HYPERLINK("https://klasma.github.io/Logging_2361/klagomålsmail/A 20023-2026 FSC-klagomål mail.docx", "A 20023-2026")</f>
        <v/>
      </c>
      <c r="AB159">
        <f>HYPERLINK("https://klasma.github.io/Logging_2361/tillsyn/A 20023-2026 tillsynsbegäran.docx", "A 20023-2026")</f>
        <v/>
      </c>
      <c r="AC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46223</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s="2" t="inlineStr">
        <is>
          <t>Garnlav
Harticka</t>
        </is>
      </c>
      <c r="V160">
        <f>HYPERLINK("https://klasma.github.io/Logging_2361/artfynd/A 5781-2025 artfynd.xlsx", "A 5781-2025")</f>
        <v/>
      </c>
      <c r="W160">
        <f>HYPERLINK("https://klasma.github.io/Logging_2361/kartor/A 5781-2025 karta.png", "A 5781-2025")</f>
        <v/>
      </c>
      <c r="X160">
        <f>HYPERLINK("https://klasma.github.io/Logging_2361/kartor_geotiff/A 5781-2025 georefererad karta.tif", "A 5781-2025")</f>
        <v/>
      </c>
      <c r="Z160">
        <f>HYPERLINK("https://klasma.github.io/Logging_2361/klagomål/A 5781-2025 FSC-klagomål.docx", "A 5781-2025")</f>
        <v/>
      </c>
      <c r="AA160">
        <f>HYPERLINK("https://klasma.github.io/Logging_2361/klagomålsmail/A 5781-2025 FSC-klagomål mail.docx", "A 5781-2025")</f>
        <v/>
      </c>
      <c r="AB160">
        <f>HYPERLINK("https://klasma.github.io/Logging_2361/tillsyn/A 5781-2025 tillsynsbegäran.docx", "A 5781-2025")</f>
        <v/>
      </c>
      <c r="AC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46223</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s="2" t="inlineStr">
        <is>
          <t>Lunglav
Järpe</t>
        </is>
      </c>
      <c r="V161">
        <f>HYPERLINK("https://klasma.github.io/Logging_2361/artfynd/A 36750-2023 artfynd.xlsx", "A 36750-2023")</f>
        <v/>
      </c>
      <c r="W161">
        <f>HYPERLINK("https://klasma.github.io/Logging_2361/kartor/A 36750-2023 karta.png", "A 36750-2023")</f>
        <v/>
      </c>
      <c r="X161">
        <f>HYPERLINK("https://klasma.github.io/Logging_2361/kartor_geotiff/A 36750-2023 georefererad karta.tif", "A 36750-2023")</f>
        <v/>
      </c>
      <c r="Z161">
        <f>HYPERLINK("https://klasma.github.io/Logging_2361/klagomål/A 36750-2023 FSC-klagomål.docx", "A 36750-2023")</f>
        <v/>
      </c>
      <c r="AA161">
        <f>HYPERLINK("https://klasma.github.io/Logging_2361/klagomålsmail/A 36750-2023 FSC-klagomål mail.docx", "A 36750-2023")</f>
        <v/>
      </c>
      <c r="AB161">
        <f>HYPERLINK("https://klasma.github.io/Logging_2361/tillsyn/A 36750-2023 tillsynsbegäran.docx", "A 36750-2023")</f>
        <v/>
      </c>
      <c r="AC161">
        <f>HYPERLINK("https://klasma.github.io/Logging_2361/tillsynsmail/A 36750-2023 tillsynsbegäran mail.docx", "A 36750-2023")</f>
        <v/>
      </c>
      <c r="AD161">
        <f>HYPERLINK("https://klasma.github.io/Logging_2361/fåglar/A 36750-2023 prioriterade fågelarter.docx", "A 36750-2023")</f>
        <v/>
      </c>
    </row>
    <row r="162" ht="15" customHeight="1">
      <c r="A162" t="inlineStr">
        <is>
          <t>A 60750-2024</t>
        </is>
      </c>
      <c r="B162" t="inlineStr">
        <is>
          <t>avverkningsanmälan</t>
        </is>
      </c>
      <c r="C162" t="inlineStr">
        <is>
          <t>Föryngringsavverkning</t>
        </is>
      </c>
      <c r="D162" s="1" t="n">
        <v>45644</v>
      </c>
      <c r="E162" s="1" t="n">
        <v>46223</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s="2" t="inlineStr">
        <is>
          <t>Knärot
Kolflarnlav</t>
        </is>
      </c>
      <c r="V162">
        <f>HYPERLINK("https://klasma.github.io/Logging_2361/artfynd/A 60750-2024 artfynd.xlsx", "A 60750-2024")</f>
        <v/>
      </c>
      <c r="W162">
        <f>HYPERLINK("https://klasma.github.io/Logging_2361/kartor/A 60750-2024 karta.png", "A 60750-2024")</f>
        <v/>
      </c>
      <c r="X162">
        <f>HYPERLINK("https://klasma.github.io/Logging_2361/kartor_geotiff/A 60750-2024 georefererad karta.tif", "A 60750-2024")</f>
        <v/>
      </c>
      <c r="Y162">
        <f>HYPERLINK("https://klasma.github.io/Logging_2361/knärot/A 60750-2024 karta knärot.png", "A 60750-2024")</f>
        <v/>
      </c>
      <c r="Z162">
        <f>HYPERLINK("https://klasma.github.io/Logging_2361/klagomål/A 60750-2024 FSC-klagomål.docx", "A 60750-2024")</f>
        <v/>
      </c>
      <c r="AA162">
        <f>HYPERLINK("https://klasma.github.io/Logging_2361/klagomålsmail/A 60750-2024 FSC-klagomål mail.docx", "A 60750-2024")</f>
        <v/>
      </c>
      <c r="AB162">
        <f>HYPERLINK("https://klasma.github.io/Logging_2361/tillsyn/A 60750-2024 tillsynsbegäran.docx", "A 60750-2024")</f>
        <v/>
      </c>
      <c r="AC162">
        <f>HYPERLINK("https://klasma.github.io/Logging_2361/tillsynsmail/A 60750-2024 tillsynsbegäran mail.docx", "A 60750-2024")</f>
        <v/>
      </c>
    </row>
    <row r="163" ht="15" customHeight="1">
      <c r="A163" t="inlineStr">
        <is>
          <t>A 29729-2024</t>
        </is>
      </c>
      <c r="B163" t="inlineStr">
        <is>
          <t>avverkningsanmälan</t>
        </is>
      </c>
      <c r="C163" t="inlineStr">
        <is>
          <t>Föryngringsavverkning</t>
        </is>
      </c>
      <c r="D163" s="1" t="n">
        <v>45485</v>
      </c>
      <c r="E163" s="1" t="n">
        <v>46223</v>
      </c>
      <c r="F163" t="inlineStr">
        <is>
          <t>JÄMTLANDS LÄN</t>
        </is>
      </c>
      <c r="G163" t="inlineStr">
        <is>
          <t>HÄRJEDALEN</t>
        </is>
      </c>
      <c r="H163" t="inlineStr">
        <is>
          <t>Holmen skog AB</t>
        </is>
      </c>
      <c r="I163" t="n">
        <v>3.7</v>
      </c>
      <c r="J163" t="n">
        <v>0</v>
      </c>
      <c r="K163" t="n">
        <v>0</v>
      </c>
      <c r="L163" t="n">
        <v>2</v>
      </c>
      <c r="M163" t="n">
        <v>0</v>
      </c>
      <c r="N163" t="n">
        <v>0</v>
      </c>
      <c r="O163" t="n">
        <v>0</v>
      </c>
      <c r="P163" t="n">
        <v>0</v>
      </c>
      <c r="Q163" t="n">
        <v>2</v>
      </c>
      <c r="R163" t="n">
        <v>0</v>
      </c>
      <c r="S163" t="n">
        <v>2</v>
      </c>
      <c r="T163" t="n">
        <v>2</v>
      </c>
      <c r="U163" s="2" t="inlineStr">
        <is>
          <t>Kolflarnlav
Lunglav</t>
        </is>
      </c>
      <c r="V163">
        <f>HYPERLINK("https://klasma.github.io/Logging_2361/artfynd/A 29729-2024 artfynd.xlsx", "A 29729-2024")</f>
        <v/>
      </c>
      <c r="W163">
        <f>HYPERLINK("https://klasma.github.io/Logging_2361/kartor/A 29729-2024 karta.png", "A 29729-2024")</f>
        <v/>
      </c>
      <c r="X163">
        <f>HYPERLINK("https://klasma.github.io/Logging_2361/kartor_geotiff/A 29729-2024 georefererad karta.tif", "A 29729-2024")</f>
        <v/>
      </c>
      <c r="Z163">
        <f>HYPERLINK("https://klasma.github.io/Logging_2361/klagomål/A 29729-2024 FSC-klagomål.docx", "A 29729-2024")</f>
        <v/>
      </c>
      <c r="AA163">
        <f>HYPERLINK("https://klasma.github.io/Logging_2361/klagomålsmail/A 29729-2024 FSC-klagomål mail.docx", "A 29729-2024")</f>
        <v/>
      </c>
      <c r="AB163">
        <f>HYPERLINK("https://klasma.github.io/Logging_2361/tillsyn/A 29729-2024 tillsynsbegäran.docx", "A 29729-2024")</f>
        <v/>
      </c>
      <c r="AC163">
        <f>HYPERLINK("https://klasma.github.io/Logging_2361/tillsynsmail/A 29729-2024 tillsynsbegäran mail.docx", "A 29729-2024")</f>
        <v/>
      </c>
    </row>
    <row r="164" ht="15" customHeight="1">
      <c r="A164" t="inlineStr">
        <is>
          <t>A 36924-2024</t>
        </is>
      </c>
      <c r="B164" t="inlineStr">
        <is>
          <t>avverkningsanmälan</t>
        </is>
      </c>
      <c r="C164" t="inlineStr">
        <is>
          <t>Föryngringsavverkning</t>
        </is>
      </c>
      <c r="D164" s="1" t="n">
        <v>45538</v>
      </c>
      <c r="E164" s="1" t="n">
        <v>46223</v>
      </c>
      <c r="F164" t="inlineStr">
        <is>
          <t>JÄMTLANDS LÄN</t>
        </is>
      </c>
      <c r="G164" t="inlineStr">
        <is>
          <t>HÄRJEDALEN</t>
        </is>
      </c>
      <c r="H164" t="inlineStr">
        <is>
          <t>Holmen skog AB</t>
        </is>
      </c>
      <c r="I164" t="n">
        <v>4.3</v>
      </c>
      <c r="J164" t="n">
        <v>1</v>
      </c>
      <c r="K164" t="n">
        <v>1</v>
      </c>
      <c r="L164" t="n">
        <v>0</v>
      </c>
      <c r="M164" t="n">
        <v>0</v>
      </c>
      <c r="N164" t="n">
        <v>0</v>
      </c>
      <c r="O164" t="n">
        <v>0</v>
      </c>
      <c r="P164" t="n">
        <v>0</v>
      </c>
      <c r="Q164" t="n">
        <v>0</v>
      </c>
      <c r="R164" t="n">
        <v>0</v>
      </c>
      <c r="S164" t="n">
        <v>2</v>
      </c>
      <c r="T164" t="n">
        <v>3</v>
      </c>
      <c r="U164" s="2" t="inlineStr">
        <is>
          <t>Dvärgtufs
Nattviol</t>
        </is>
      </c>
      <c r="V164">
        <f>HYPERLINK("https://klasma.github.io/Logging_2361/artfynd/A 36924-2024 artfynd.xlsx", "A 36924-2024")</f>
        <v/>
      </c>
      <c r="W164">
        <f>HYPERLINK("https://klasma.github.io/Logging_2361/kartor/A 36924-2024 karta.png", "A 36924-2024")</f>
        <v/>
      </c>
      <c r="X164">
        <f>HYPERLINK("https://klasma.github.io/Logging_2361/kartor_geotiff/A 36924-2024 georefererad karta.tif", "A 36924-2024")</f>
        <v/>
      </c>
      <c r="Z164">
        <f>HYPERLINK("https://klasma.github.io/Logging_2361/klagomål/A 36924-2024 FSC-klagomål.docx", "A 36924-2024")</f>
        <v/>
      </c>
      <c r="AA164">
        <f>HYPERLINK("https://klasma.github.io/Logging_2361/klagomålsmail/A 36924-2024 FSC-klagomål mail.docx", "A 36924-2024")</f>
        <v/>
      </c>
      <c r="AB164">
        <f>HYPERLINK("https://klasma.github.io/Logging_2361/tillsyn/A 36924-2024 tillsynsbegäran.docx", "A 36924-2024")</f>
        <v/>
      </c>
      <c r="AC164">
        <f>HYPERLINK("https://klasma.github.io/Logging_2361/tillsynsmail/A 36924-2024 tillsynsbegäran mail.docx", "A 36924-2024")</f>
        <v/>
      </c>
    </row>
    <row r="165" ht="15" customHeight="1">
      <c r="A165" t="inlineStr">
        <is>
          <t>A 29710-2024</t>
        </is>
      </c>
      <c r="B165" t="inlineStr">
        <is>
          <t>avverkningsanmälan</t>
        </is>
      </c>
      <c r="C165" t="inlineStr">
        <is>
          <t>Föryngringsavverkning</t>
        </is>
      </c>
      <c r="D165" s="1" t="n">
        <v>45485</v>
      </c>
      <c r="E165" s="1" t="n">
        <v>46223</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s="2" t="inlineStr">
        <is>
          <t>Kolflarnlav
Lunglav</t>
        </is>
      </c>
      <c r="V165">
        <f>HYPERLINK("https://klasma.github.io/Logging_2361/artfynd/A 29710-2024 artfynd.xlsx", "A 29710-2024")</f>
        <v/>
      </c>
      <c r="W165">
        <f>HYPERLINK("https://klasma.github.io/Logging_2361/kartor/A 29710-2024 karta.png", "A 29710-2024")</f>
        <v/>
      </c>
      <c r="X165">
        <f>HYPERLINK("https://klasma.github.io/Logging_2361/kartor_geotiff/A 29710-2024 georefererad karta.tif", "A 29710-2024")</f>
        <v/>
      </c>
      <c r="Z165">
        <f>HYPERLINK("https://klasma.github.io/Logging_2361/klagomål/A 29710-2024 FSC-klagomål.docx", "A 29710-2024")</f>
        <v/>
      </c>
      <c r="AA165">
        <f>HYPERLINK("https://klasma.github.io/Logging_2361/klagomålsmail/A 29710-2024 FSC-klagomål mail.docx", "A 29710-2024")</f>
        <v/>
      </c>
      <c r="AB165">
        <f>HYPERLINK("https://klasma.github.io/Logging_2361/tillsyn/A 29710-2024 tillsynsbegäran.docx", "A 29710-2024")</f>
        <v/>
      </c>
      <c r="AC165">
        <f>HYPERLINK("https://klasma.github.io/Logging_2361/tillsynsmail/A 29710-2024 tillsynsbegäran mail.docx", "A 29710-2024")</f>
        <v/>
      </c>
    </row>
    <row r="166" ht="15" customHeight="1">
      <c r="A166" t="inlineStr">
        <is>
          <t>A 21816-2024</t>
        </is>
      </c>
      <c r="B166" t="inlineStr">
        <is>
          <t>avverkningsanmälan</t>
        </is>
      </c>
      <c r="C166" t="inlineStr">
        <is>
          <t>Föryngringsavverkning</t>
        </is>
      </c>
      <c r="D166" s="1" t="n">
        <v>45442</v>
      </c>
      <c r="E166" s="1" t="n">
        <v>46223</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s="2" t="inlineStr">
        <is>
          <t>Gräddporing
Blanksvart spiklav</t>
        </is>
      </c>
      <c r="V166">
        <f>HYPERLINK("https://klasma.github.io/Logging_2361/artfynd/A 21816-2024 artfynd.xlsx", "A 21816-2024")</f>
        <v/>
      </c>
      <c r="W166">
        <f>HYPERLINK("https://klasma.github.io/Logging_2361/kartor/A 21816-2024 karta.png", "A 21816-2024")</f>
        <v/>
      </c>
      <c r="X166">
        <f>HYPERLINK("https://klasma.github.io/Logging_2361/kartor_geotiff/A 21816-2024 georefererad karta.tif", "A 21816-2024")</f>
        <v/>
      </c>
      <c r="Z166">
        <f>HYPERLINK("https://klasma.github.io/Logging_2361/klagomål/A 21816-2024 FSC-klagomål.docx", "A 21816-2024")</f>
        <v/>
      </c>
      <c r="AA166">
        <f>HYPERLINK("https://klasma.github.io/Logging_2361/klagomålsmail/A 21816-2024 FSC-klagomål mail.docx", "A 21816-2024")</f>
        <v/>
      </c>
      <c r="AB166">
        <f>HYPERLINK("https://klasma.github.io/Logging_2361/tillsyn/A 21816-2024 tillsynsbegäran.docx", "A 21816-2024")</f>
        <v/>
      </c>
      <c r="AC166">
        <f>HYPERLINK("https://klasma.github.io/Logging_2361/tillsynsmail/A 21816-2024 tillsynsbegäran mail.docx", "A 21816-2024")</f>
        <v/>
      </c>
    </row>
    <row r="167" ht="15" customHeight="1">
      <c r="A167" t="inlineStr">
        <is>
          <t>A 47348-2022</t>
        </is>
      </c>
      <c r="B167" t="inlineStr">
        <is>
          <t>avverkningsanmälan</t>
        </is>
      </c>
      <c r="C167" t="inlineStr">
        <is>
          <t>Föryngringsavverkning</t>
        </is>
      </c>
      <c r="D167" s="1" t="n">
        <v>44853</v>
      </c>
      <c r="E167" s="1" t="n">
        <v>46223</v>
      </c>
      <c r="F167" t="inlineStr">
        <is>
          <t>JÄMTLANDS LÄN</t>
        </is>
      </c>
      <c r="G167" t="inlineStr">
        <is>
          <t>HÄRJEDALEN</t>
        </is>
      </c>
      <c r="I167" t="n">
        <v>2</v>
      </c>
      <c r="J167" t="n">
        <v>1</v>
      </c>
      <c r="K167" t="n">
        <v>0</v>
      </c>
      <c r="L167" t="n">
        <v>1</v>
      </c>
      <c r="M167" t="n">
        <v>1</v>
      </c>
      <c r="N167" t="n">
        <v>0</v>
      </c>
      <c r="O167" t="n">
        <v>0</v>
      </c>
      <c r="P167" t="n">
        <v>0</v>
      </c>
      <c r="Q167" t="n">
        <v>2</v>
      </c>
      <c r="R167" t="n">
        <v>1</v>
      </c>
      <c r="S167" t="n">
        <v>2</v>
      </c>
      <c r="T167" t="n">
        <v>5</v>
      </c>
      <c r="U167" s="2" t="inlineStr">
        <is>
          <t>Knärot
Lunglav</t>
        </is>
      </c>
      <c r="V167">
        <f>HYPERLINK("https://klasma.github.io/Logging_2361/artfynd/A 47348-2022 artfynd.xlsx", "A 47348-2022")</f>
        <v/>
      </c>
      <c r="W167">
        <f>HYPERLINK("https://klasma.github.io/Logging_2361/kartor/A 47348-2022 karta.png", "A 47348-2022")</f>
        <v/>
      </c>
      <c r="X167">
        <f>HYPERLINK("https://klasma.github.io/Logging_2361/kartor_geotiff/A 47348-2022 georefererad karta.tif", "A 47348-2022")</f>
        <v/>
      </c>
      <c r="Y167">
        <f>HYPERLINK("https://klasma.github.io/Logging_2361/knärot/A 47348-2022 karta knärot.png", "A 47348-2022")</f>
        <v/>
      </c>
      <c r="Z167">
        <f>HYPERLINK("https://klasma.github.io/Logging_2361/klagomål/A 47348-2022 FSC-klagomål.docx", "A 47348-2022")</f>
        <v/>
      </c>
      <c r="AA167">
        <f>HYPERLINK("https://klasma.github.io/Logging_2361/klagomålsmail/A 47348-2022 FSC-klagomål mail.docx", "A 47348-2022")</f>
        <v/>
      </c>
      <c r="AB167">
        <f>HYPERLINK("https://klasma.github.io/Logging_2361/tillsyn/A 47348-2022 tillsynsbegäran.docx", "A 47348-2022")</f>
        <v/>
      </c>
      <c r="AC167">
        <f>HYPERLINK("https://klasma.github.io/Logging_2361/tillsynsmail/A 47348-2022 tillsynsbegäran mail.docx", "A 47348-2022")</f>
        <v/>
      </c>
    </row>
    <row r="168" ht="15" customHeight="1">
      <c r="A168" t="inlineStr">
        <is>
          <t>A 29706-2024</t>
        </is>
      </c>
      <c r="B168" t="inlineStr">
        <is>
          <t>avverkningsanmälan</t>
        </is>
      </c>
      <c r="C168" t="inlineStr">
        <is>
          <t>Föryngringsavverkning</t>
        </is>
      </c>
      <c r="D168" s="1" t="n">
        <v>45485</v>
      </c>
      <c r="E168" s="1" t="n">
        <v>46223</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s="2" t="inlineStr">
        <is>
          <t>Lavskrika
Talltita</t>
        </is>
      </c>
      <c r="V168">
        <f>HYPERLINK("https://klasma.github.io/Logging_2361/artfynd/A 29706-2024 artfynd.xlsx", "A 29706-2024")</f>
        <v/>
      </c>
      <c r="W168">
        <f>HYPERLINK("https://klasma.github.io/Logging_2361/kartor/A 29706-2024 karta.png", "A 29706-2024")</f>
        <v/>
      </c>
      <c r="X168">
        <f>HYPERLINK("https://klasma.github.io/Logging_2361/kartor_geotiff/A 29706-2024 georefererad karta.tif", "A 29706-2024")</f>
        <v/>
      </c>
      <c r="Z168">
        <f>HYPERLINK("https://klasma.github.io/Logging_2361/klagomål/A 29706-2024 FSC-klagomål.docx", "A 29706-2024")</f>
        <v/>
      </c>
      <c r="AA168">
        <f>HYPERLINK("https://klasma.github.io/Logging_2361/klagomålsmail/A 29706-2024 FSC-klagomål mail.docx", "A 29706-2024")</f>
        <v/>
      </c>
      <c r="AB168">
        <f>HYPERLINK("https://klasma.github.io/Logging_2361/tillsyn/A 29706-2024 tillsynsbegäran.docx", "A 29706-2024")</f>
        <v/>
      </c>
      <c r="AC168">
        <f>HYPERLINK("https://klasma.github.io/Logging_2361/tillsynsmail/A 29706-2024 tillsynsbegäran mail.docx", "A 29706-2024")</f>
        <v/>
      </c>
      <c r="AD168">
        <f>HYPERLINK("https://klasma.github.io/Logging_2361/fåglar/A 29706-2024 prioriterade fågelarter.docx", "A 29706-2024")</f>
        <v/>
      </c>
    </row>
    <row r="169" ht="15" customHeight="1">
      <c r="A169" t="inlineStr">
        <is>
          <t>A 10348-2023</t>
        </is>
      </c>
      <c r="B169" t="inlineStr">
        <is>
          <t>avverkningsanmälan</t>
        </is>
      </c>
      <c r="C169" t="inlineStr">
        <is>
          <t>Föryngringsavverkning</t>
        </is>
      </c>
      <c r="D169" s="1" t="n">
        <v>44987</v>
      </c>
      <c r="E169" s="1" t="n">
        <v>46223</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s="2" t="inlineStr">
        <is>
          <t>Garnlav
Dvärgbägarlav</t>
        </is>
      </c>
      <c r="V169">
        <f>HYPERLINK("https://klasma.github.io/Logging_2361/artfynd/A 10348-2023 artfynd.xlsx", "A 10348-2023")</f>
        <v/>
      </c>
      <c r="W169">
        <f>HYPERLINK("https://klasma.github.io/Logging_2361/kartor/A 10348-2023 karta.png", "A 10348-2023")</f>
        <v/>
      </c>
      <c r="X169">
        <f>HYPERLINK("https://klasma.github.io/Logging_2361/kartor_geotiff/A 10348-2023 georefererad karta.tif", "A 10348-2023")</f>
        <v/>
      </c>
      <c r="Z169">
        <f>HYPERLINK("https://klasma.github.io/Logging_2361/klagomål/A 10348-2023 FSC-klagomål.docx", "A 10348-2023")</f>
        <v/>
      </c>
      <c r="AA169">
        <f>HYPERLINK("https://klasma.github.io/Logging_2361/klagomålsmail/A 10348-2023 FSC-klagomål mail.docx", "A 10348-2023")</f>
        <v/>
      </c>
      <c r="AB169">
        <f>HYPERLINK("https://klasma.github.io/Logging_2361/tillsyn/A 10348-2023 tillsynsbegäran.docx", "A 10348-2023")</f>
        <v/>
      </c>
      <c r="AC169">
        <f>HYPERLINK("https://klasma.github.io/Logging_2361/tillsynsmail/A 10348-2023 tillsynsbegäran mail.docx", "A 10348-2023")</f>
        <v/>
      </c>
    </row>
    <row r="170" ht="15" customHeight="1">
      <c r="A170" t="inlineStr">
        <is>
          <t>A 29098-2026</t>
        </is>
      </c>
      <c r="B170" t="inlineStr">
        <is>
          <t>avverkningsanmälan</t>
        </is>
      </c>
      <c r="C170" t="inlineStr">
        <is>
          <t>Föryngringsavverkning</t>
        </is>
      </c>
      <c r="D170" s="1" t="n">
        <v>46200</v>
      </c>
      <c r="E170" s="1" t="n">
        <v>46223</v>
      </c>
      <c r="F170" t="inlineStr">
        <is>
          <t>JÄMTLANDS LÄN</t>
        </is>
      </c>
      <c r="G170" t="inlineStr">
        <is>
          <t>HÄRJEDALEN</t>
        </is>
      </c>
      <c r="I170" t="n">
        <v>22.5</v>
      </c>
      <c r="J170" t="n">
        <v>2</v>
      </c>
      <c r="K170" t="n">
        <v>0</v>
      </c>
      <c r="L170" t="n">
        <v>2</v>
      </c>
      <c r="M170" t="n">
        <v>0</v>
      </c>
      <c r="N170" t="n">
        <v>0</v>
      </c>
      <c r="O170" t="n">
        <v>0</v>
      </c>
      <c r="P170" t="n">
        <v>0</v>
      </c>
      <c r="Q170" t="n">
        <v>2</v>
      </c>
      <c r="R170" t="n">
        <v>0</v>
      </c>
      <c r="S170" t="n">
        <v>2</v>
      </c>
      <c r="T170" t="n">
        <v>2</v>
      </c>
      <c r="U170" s="2" t="inlineStr">
        <is>
          <t>Drillsnäppa
Skrattmås</t>
        </is>
      </c>
      <c r="V170">
        <f>HYPERLINK("https://klasma.github.io/Logging_2361/artfynd/A 29098-2026 artfynd.xlsx", "A 29098-2026")</f>
        <v/>
      </c>
      <c r="W170">
        <f>HYPERLINK("https://klasma.github.io/Logging_2361/kartor/A 29098-2026 karta.png", "A 29098-2026")</f>
        <v/>
      </c>
      <c r="X170">
        <f>HYPERLINK("https://klasma.github.io/Logging_2361/kartor_geotiff/A 29098-2026 georefererad karta.tif", "A 29098-2026")</f>
        <v/>
      </c>
      <c r="Z170">
        <f>HYPERLINK("https://klasma.github.io/Logging_2361/klagomål/A 29098-2026 FSC-klagomål.docx", "A 29098-2026")</f>
        <v/>
      </c>
      <c r="AA170">
        <f>HYPERLINK("https://klasma.github.io/Logging_2361/klagomålsmail/A 29098-2026 FSC-klagomål mail.docx", "A 29098-2026")</f>
        <v/>
      </c>
      <c r="AB170">
        <f>HYPERLINK("https://klasma.github.io/Logging_2361/tillsyn/A 29098-2026 tillsynsbegäran.docx", "A 29098-2026")</f>
        <v/>
      </c>
      <c r="AC170">
        <f>HYPERLINK("https://klasma.github.io/Logging_2361/tillsynsmail/A 29098-2026 tillsynsbegäran mail.docx", "A 29098-2026")</f>
        <v/>
      </c>
      <c r="AD170">
        <f>HYPERLINK("https://klasma.github.io/Logging_2361/fåglar/A 29098-2026 prioriterade fågelarter.docx", "A 29098-2026")</f>
        <v/>
      </c>
    </row>
    <row r="171" ht="15" customHeight="1">
      <c r="A171" t="inlineStr">
        <is>
          <t>A 48065-2021</t>
        </is>
      </c>
      <c r="B171" t="inlineStr">
        <is>
          <t>avverkningsanmälan</t>
        </is>
      </c>
      <c r="C171" t="inlineStr">
        <is>
          <t>Föryngringsavverkning</t>
        </is>
      </c>
      <c r="D171" s="1" t="n">
        <v>44449</v>
      </c>
      <c r="E171" s="1" t="n">
        <v>46223</v>
      </c>
      <c r="F171" t="inlineStr">
        <is>
          <t>JÄMTLANDS LÄN</t>
        </is>
      </c>
      <c r="G171" t="inlineStr">
        <is>
          <t>HÄRJEDALEN</t>
        </is>
      </c>
      <c r="I171" t="n">
        <v>24.8</v>
      </c>
      <c r="J171" t="n">
        <v>0</v>
      </c>
      <c r="K171" t="n">
        <v>0</v>
      </c>
      <c r="L171" t="n">
        <v>1</v>
      </c>
      <c r="M171" t="n">
        <v>1</v>
      </c>
      <c r="N171" t="n">
        <v>0</v>
      </c>
      <c r="O171" t="n">
        <v>0</v>
      </c>
      <c r="P171" t="n">
        <v>0</v>
      </c>
      <c r="Q171" t="n">
        <v>2</v>
      </c>
      <c r="R171" t="n">
        <v>1</v>
      </c>
      <c r="S171" t="n">
        <v>2</v>
      </c>
      <c r="T171" t="n">
        <v>2</v>
      </c>
      <c r="U171" s="2" t="inlineStr">
        <is>
          <t>Garnlav
Vitplätt</t>
        </is>
      </c>
      <c r="V171">
        <f>HYPERLINK("https://klasma.github.io/Logging_2361/artfynd/A 48065-2021 artfynd.xlsx", "A 48065-2021")</f>
        <v/>
      </c>
      <c r="W171">
        <f>HYPERLINK("https://klasma.github.io/Logging_2361/kartor/A 48065-2021 karta.png", "A 48065-2021")</f>
        <v/>
      </c>
      <c r="X171">
        <f>HYPERLINK("https://klasma.github.io/Logging_2361/kartor_geotiff/A 48065-2021 georefererad karta.tif", "A 48065-2021")</f>
        <v/>
      </c>
      <c r="Z171">
        <f>HYPERLINK("https://klasma.github.io/Logging_2361/klagomål/A 48065-2021 FSC-klagomål.docx", "A 48065-2021")</f>
        <v/>
      </c>
      <c r="AA171">
        <f>HYPERLINK("https://klasma.github.io/Logging_2361/klagomålsmail/A 48065-2021 FSC-klagomål mail.docx", "A 48065-2021")</f>
        <v/>
      </c>
      <c r="AB171">
        <f>HYPERLINK("https://klasma.github.io/Logging_2361/tillsyn/A 48065-2021 tillsynsbegäran.docx", "A 48065-2021")</f>
        <v/>
      </c>
      <c r="AC171">
        <f>HYPERLINK("https://klasma.github.io/Logging_2361/tillsynsmail/A 48065-2021 tillsynsbegäran mail.docx", "A 48065-2021")</f>
        <v/>
      </c>
    </row>
    <row r="172" ht="15" customHeight="1">
      <c r="A172" t="inlineStr">
        <is>
          <t>A 22508-2025</t>
        </is>
      </c>
      <c r="B172" t="inlineStr">
        <is>
          <t>avverkningsanmälan</t>
        </is>
      </c>
      <c r="C172" t="inlineStr">
        <is>
          <t>Föryngringsavverkning</t>
        </is>
      </c>
      <c r="D172" s="1" t="n">
        <v>45786</v>
      </c>
      <c r="E172" s="1" t="n">
        <v>46223</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s="2" t="inlineStr">
        <is>
          <t>Kolflarnlav
Vedflamlav</t>
        </is>
      </c>
      <c r="V172">
        <f>HYPERLINK("https://klasma.github.io/Logging_2361/artfynd/A 22508-2025 artfynd.xlsx", "A 22508-2025")</f>
        <v/>
      </c>
      <c r="W172">
        <f>HYPERLINK("https://klasma.github.io/Logging_2361/kartor/A 22508-2025 karta.png", "A 22508-2025")</f>
        <v/>
      </c>
      <c r="X172">
        <f>HYPERLINK("https://klasma.github.io/Logging_2361/kartor_geotiff/A 22508-2025 georefererad karta.tif", "A 22508-2025")</f>
        <v/>
      </c>
      <c r="Z172">
        <f>HYPERLINK("https://klasma.github.io/Logging_2361/klagomål/A 22508-2025 FSC-klagomål.docx", "A 22508-2025")</f>
        <v/>
      </c>
      <c r="AA172">
        <f>HYPERLINK("https://klasma.github.io/Logging_2361/klagomålsmail/A 22508-2025 FSC-klagomål mail.docx", "A 22508-2025")</f>
        <v/>
      </c>
      <c r="AB172">
        <f>HYPERLINK("https://klasma.github.io/Logging_2361/tillsyn/A 22508-2025 tillsynsbegäran.docx", "A 22508-2025")</f>
        <v/>
      </c>
      <c r="AC172">
        <f>HYPERLINK("https://klasma.github.io/Logging_2361/tillsynsmail/A 22508-2025 tillsynsbegäran mail.docx", "A 22508-2025")</f>
        <v/>
      </c>
    </row>
    <row r="173" ht="15" customHeight="1">
      <c r="A173" t="inlineStr">
        <is>
          <t>A 22513-2025</t>
        </is>
      </c>
      <c r="B173" t="inlineStr">
        <is>
          <t>avverkningsanmälan</t>
        </is>
      </c>
      <c r="C173" t="inlineStr">
        <is>
          <t>Föryngringsavverkning</t>
        </is>
      </c>
      <c r="D173" s="1" t="n">
        <v>45786</v>
      </c>
      <c r="E173" s="1" t="n">
        <v>46223</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s="2" t="inlineStr">
        <is>
          <t>Kolflarnlav
Vedflamlav</t>
        </is>
      </c>
      <c r="V173">
        <f>HYPERLINK("https://klasma.github.io/Logging_2361/artfynd/A 22513-2025 artfynd.xlsx", "A 22513-2025")</f>
        <v/>
      </c>
      <c r="W173">
        <f>HYPERLINK("https://klasma.github.io/Logging_2361/kartor/A 22513-2025 karta.png", "A 22513-2025")</f>
        <v/>
      </c>
      <c r="X173">
        <f>HYPERLINK("https://klasma.github.io/Logging_2361/kartor_geotiff/A 22513-2025 georefererad karta.tif", "A 22513-2025")</f>
        <v/>
      </c>
      <c r="Z173">
        <f>HYPERLINK("https://klasma.github.io/Logging_2361/klagomål/A 22513-2025 FSC-klagomål.docx", "A 22513-2025")</f>
        <v/>
      </c>
      <c r="AA173">
        <f>HYPERLINK("https://klasma.github.io/Logging_2361/klagomålsmail/A 22513-2025 FSC-klagomål mail.docx", "A 22513-2025")</f>
        <v/>
      </c>
      <c r="AB173">
        <f>HYPERLINK("https://klasma.github.io/Logging_2361/tillsyn/A 22513-2025 tillsynsbegäran.docx", "A 22513-2025")</f>
        <v/>
      </c>
      <c r="AC173">
        <f>HYPERLINK("https://klasma.github.io/Logging_2361/tillsynsmail/A 22513-2025 tillsynsbegäran mail.docx", "A 22513-2025")</f>
        <v/>
      </c>
    </row>
    <row r="174" ht="15" customHeight="1">
      <c r="A174" t="inlineStr">
        <is>
          <t>A 22512-2025</t>
        </is>
      </c>
      <c r="B174" t="inlineStr">
        <is>
          <t>avverkningsanmälan</t>
        </is>
      </c>
      <c r="C174" t="inlineStr">
        <is>
          <t>Föryngringsavverkning</t>
        </is>
      </c>
      <c r="D174" s="1" t="n">
        <v>45786</v>
      </c>
      <c r="E174" s="1" t="n">
        <v>46223</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s="2" t="inlineStr">
        <is>
          <t>Kolflarnlav
Vedflamlav</t>
        </is>
      </c>
      <c r="V174">
        <f>HYPERLINK("https://klasma.github.io/Logging_2361/artfynd/A 22512-2025 artfynd.xlsx", "A 22512-2025")</f>
        <v/>
      </c>
      <c r="W174">
        <f>HYPERLINK("https://klasma.github.io/Logging_2361/kartor/A 22512-2025 karta.png", "A 22512-2025")</f>
        <v/>
      </c>
      <c r="X174">
        <f>HYPERLINK("https://klasma.github.io/Logging_2361/kartor_geotiff/A 22512-2025 georefererad karta.tif", "A 22512-2025")</f>
        <v/>
      </c>
      <c r="Z174">
        <f>HYPERLINK("https://klasma.github.io/Logging_2361/klagomål/A 22512-2025 FSC-klagomål.docx", "A 22512-2025")</f>
        <v/>
      </c>
      <c r="AA174">
        <f>HYPERLINK("https://klasma.github.io/Logging_2361/klagomålsmail/A 22512-2025 FSC-klagomål mail.docx", "A 22512-2025")</f>
        <v/>
      </c>
      <c r="AB174">
        <f>HYPERLINK("https://klasma.github.io/Logging_2361/tillsyn/A 22512-2025 tillsynsbegäran.docx", "A 22512-2025")</f>
        <v/>
      </c>
      <c r="AC174">
        <f>HYPERLINK("https://klasma.github.io/Logging_2361/tillsynsmail/A 22512-2025 tillsynsbegäran mail.docx", "A 22512-2025")</f>
        <v/>
      </c>
    </row>
    <row r="175" ht="15" customHeight="1">
      <c r="A175" t="inlineStr">
        <is>
          <t>A 22511-2025</t>
        </is>
      </c>
      <c r="B175" t="inlineStr">
        <is>
          <t>avverkningsanmälan</t>
        </is>
      </c>
      <c r="C175" t="inlineStr">
        <is>
          <t>Föryngringsavverkning</t>
        </is>
      </c>
      <c r="D175" s="1" t="n">
        <v>45786</v>
      </c>
      <c r="E175" s="1" t="n">
        <v>46223</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s="2" t="inlineStr">
        <is>
          <t>Kolflarnlav
Vedflamlav</t>
        </is>
      </c>
      <c r="V175">
        <f>HYPERLINK("https://klasma.github.io/Logging_2361/artfynd/A 22511-2025 artfynd.xlsx", "A 22511-2025")</f>
        <v/>
      </c>
      <c r="W175">
        <f>HYPERLINK("https://klasma.github.io/Logging_2361/kartor/A 22511-2025 karta.png", "A 22511-2025")</f>
        <v/>
      </c>
      <c r="X175">
        <f>HYPERLINK("https://klasma.github.io/Logging_2361/kartor_geotiff/A 22511-2025 georefererad karta.tif", "A 22511-2025")</f>
        <v/>
      </c>
      <c r="Z175">
        <f>HYPERLINK("https://klasma.github.io/Logging_2361/klagomål/A 22511-2025 FSC-klagomål.docx", "A 22511-2025")</f>
        <v/>
      </c>
      <c r="AA175">
        <f>HYPERLINK("https://klasma.github.io/Logging_2361/klagomålsmail/A 22511-2025 FSC-klagomål mail.docx", "A 22511-2025")</f>
        <v/>
      </c>
      <c r="AB175">
        <f>HYPERLINK("https://klasma.github.io/Logging_2361/tillsyn/A 22511-2025 tillsynsbegäran.docx", "A 22511-2025")</f>
        <v/>
      </c>
      <c r="AC175">
        <f>HYPERLINK("https://klasma.github.io/Logging_2361/tillsynsmail/A 22511-2025 tillsynsbegäran mail.docx", "A 22511-2025")</f>
        <v/>
      </c>
    </row>
    <row r="176" ht="15" customHeight="1">
      <c r="A176" t="inlineStr">
        <is>
          <t>S 556-2024</t>
        </is>
      </c>
      <c r="B176" t="inlineStr">
        <is>
          <t>samrådsanmälan</t>
        </is>
      </c>
      <c r="C176" t="inlineStr">
        <is>
          <t>Skogsgödsling</t>
        </is>
      </c>
      <c r="D176" s="1" t="n">
        <v>45349</v>
      </c>
      <c r="E176" s="1" t="n">
        <v>46223</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X176">
        <f>HYPERLINK("https://klasma.github.io/Logging_2361/kartor_geotiff/S 556-2024 georefererad karta.tif", "S 556-2024")</f>
        <v/>
      </c>
      <c r="Z176">
        <f>HYPERLINK("https://klasma.github.io/Logging_2361/klagomål/S 556-2024 FSC-klagomål.docx", "S 556-2024")</f>
        <v/>
      </c>
      <c r="AA176">
        <f>HYPERLINK("https://klasma.github.io/Logging_2361/klagomålsmail/S 556-2024 FSC-klagomål mail.docx", "S 556-2024")</f>
        <v/>
      </c>
      <c r="AB176">
        <f>HYPERLINK("https://klasma.github.io/Logging_2361/tillsyn/S 556-2024 tillsynsbegäran.docx", "S 556-2024")</f>
        <v/>
      </c>
      <c r="AC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46223</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HYPERLINK("https://klasma.github.io/Logging_2361/kartor_geotiff/S 392-2022 georefererad karta.tif", "S 392-2022")</f>
        <v/>
      </c>
      <c r="Y177">
        <f>HYPERLINK("https://klasma.github.io/Logging_2361/knärot/S 392-2022 karta knärot.png", "S 392-2022")</f>
        <v/>
      </c>
      <c r="Z177">
        <f>HYPERLINK("https://klasma.github.io/Logging_2361/klagomål/S 392-2022 FSC-klagomål.docx", "S 392-2022")</f>
        <v/>
      </c>
      <c r="AA177">
        <f>HYPERLINK("https://klasma.github.io/Logging_2361/klagomålsmail/S 392-2022 FSC-klagomål mail.docx", "S 392-2022")</f>
        <v/>
      </c>
      <c r="AB177">
        <f>HYPERLINK("https://klasma.github.io/Logging_2361/tillsyn/S 392-2022 tillsynsbegäran.docx", "S 392-2022")</f>
        <v/>
      </c>
      <c r="AC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46223</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X178">
        <f>HYPERLINK("https://klasma.github.io/Logging_2361/kartor_geotiff/S 1500-2026 georefererad karta.tif", "S 1500-2026")</f>
        <v/>
      </c>
      <c r="Z178">
        <f>HYPERLINK("https://klasma.github.io/Logging_2361/klagomål/S 1500-2026 FSC-klagomål.docx", "S 1500-2026")</f>
        <v/>
      </c>
      <c r="AA178">
        <f>HYPERLINK("https://klasma.github.io/Logging_2361/klagomålsmail/S 1500-2026 FSC-klagomål mail.docx", "S 1500-2026")</f>
        <v/>
      </c>
      <c r="AB178">
        <f>HYPERLINK("https://klasma.github.io/Logging_2361/tillsyn/S 1500-2026 tillsynsbegäran.docx", "S 1500-2026")</f>
        <v/>
      </c>
      <c r="AC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46223</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X179">
        <f>HYPERLINK("https://klasma.github.io/Logging_2361/kartor_geotiff/A 55221-2021 georefererad karta.tif", "A 55221-2021")</f>
        <v/>
      </c>
      <c r="Z179">
        <f>HYPERLINK("https://klasma.github.io/Logging_2361/klagomål/A 55221-2021 FSC-klagomål.docx", "A 55221-2021")</f>
        <v/>
      </c>
      <c r="AA179">
        <f>HYPERLINK("https://klasma.github.io/Logging_2361/klagomålsmail/A 55221-2021 FSC-klagomål mail.docx", "A 55221-2021")</f>
        <v/>
      </c>
      <c r="AB179">
        <f>HYPERLINK("https://klasma.github.io/Logging_2361/tillsyn/A 55221-2021 tillsynsbegäran.docx", "A 55221-2021")</f>
        <v/>
      </c>
      <c r="AC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46223</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s="2" t="inlineStr">
        <is>
          <t>Vedflamlav</t>
        </is>
      </c>
      <c r="V180">
        <f>HYPERLINK("https://klasma.github.io/Logging_2361/artfynd/A 55231-2021 artfynd.xlsx", "A 55231-2021")</f>
        <v/>
      </c>
      <c r="W180">
        <f>HYPERLINK("https://klasma.github.io/Logging_2361/kartor/A 55231-2021 karta.png", "A 55231-2021")</f>
        <v/>
      </c>
      <c r="X180">
        <f>HYPERLINK("https://klasma.github.io/Logging_2361/kartor_geotiff/A 55231-2021 georefererad karta.tif", "A 55231-2021")</f>
        <v/>
      </c>
      <c r="Z180">
        <f>HYPERLINK("https://klasma.github.io/Logging_2361/klagomål/A 55231-2021 FSC-klagomål.docx", "A 55231-2021")</f>
        <v/>
      </c>
      <c r="AA180">
        <f>HYPERLINK("https://klasma.github.io/Logging_2361/klagomålsmail/A 55231-2021 FSC-klagomål mail.docx", "A 55231-2021")</f>
        <v/>
      </c>
      <c r="AB180">
        <f>HYPERLINK("https://klasma.github.io/Logging_2361/tillsyn/A 55231-2021 tillsynsbegäran.docx", "A 55231-2021")</f>
        <v/>
      </c>
      <c r="AC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46223</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s="2" t="inlineStr">
        <is>
          <t>Mörk kolflarnlav</t>
        </is>
      </c>
      <c r="V181">
        <f>HYPERLINK("https://klasma.github.io/Logging_2361/artfynd/A 38356-2021 artfynd.xlsx", "A 38356-2021")</f>
        <v/>
      </c>
      <c r="W181">
        <f>HYPERLINK("https://klasma.github.io/Logging_2361/kartor/A 38356-2021 karta.png", "A 38356-2021")</f>
        <v/>
      </c>
      <c r="X181">
        <f>HYPERLINK("https://klasma.github.io/Logging_2361/kartor_geotiff/A 38356-2021 georefererad karta.tif", "A 38356-2021")</f>
        <v/>
      </c>
      <c r="Z181">
        <f>HYPERLINK("https://klasma.github.io/Logging_2361/klagomål/A 38356-2021 FSC-klagomål.docx", "A 38356-2021")</f>
        <v/>
      </c>
      <c r="AA181">
        <f>HYPERLINK("https://klasma.github.io/Logging_2361/klagomålsmail/A 38356-2021 FSC-klagomål mail.docx", "A 38356-2021")</f>
        <v/>
      </c>
      <c r="AB181">
        <f>HYPERLINK("https://klasma.github.io/Logging_2361/tillsyn/A 38356-2021 tillsynsbegäran.docx", "A 38356-2021")</f>
        <v/>
      </c>
      <c r="AC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46223</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X182">
        <f>HYPERLINK("https://klasma.github.io/Logging_2361/kartor_geotiff/A 55222-2021 georefererad karta.tif", "A 55222-2021")</f>
        <v/>
      </c>
      <c r="Z182">
        <f>HYPERLINK("https://klasma.github.io/Logging_2361/klagomål/A 55222-2021 FSC-klagomål.docx", "A 55222-2021")</f>
        <v/>
      </c>
      <c r="AA182">
        <f>HYPERLINK("https://klasma.github.io/Logging_2361/klagomålsmail/A 55222-2021 FSC-klagomål mail.docx", "A 55222-2021")</f>
        <v/>
      </c>
      <c r="AB182">
        <f>HYPERLINK("https://klasma.github.io/Logging_2361/tillsyn/A 55222-2021 tillsynsbegäran.docx", "A 55222-2021")</f>
        <v/>
      </c>
      <c r="AC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46223</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X183">
        <f>HYPERLINK("https://klasma.github.io/Logging_2361/kartor_geotiff/A 55255-2021 georefererad karta.tif", "A 55255-2021")</f>
        <v/>
      </c>
      <c r="Z183">
        <f>HYPERLINK("https://klasma.github.io/Logging_2361/klagomål/A 55255-2021 FSC-klagomål.docx", "A 55255-2021")</f>
        <v/>
      </c>
      <c r="AA183">
        <f>HYPERLINK("https://klasma.github.io/Logging_2361/klagomålsmail/A 55255-2021 FSC-klagomål mail.docx", "A 55255-2021")</f>
        <v/>
      </c>
      <c r="AB183">
        <f>HYPERLINK("https://klasma.github.io/Logging_2361/tillsyn/A 55255-2021 tillsynsbegäran.docx", "A 55255-2021")</f>
        <v/>
      </c>
      <c r="AC183">
        <f>HYPERLINK("https://klasma.github.io/Logging_2361/tillsynsmail/A 55255-2021 tillsynsbegäran mail.docx", "A 55255-2021")</f>
        <v/>
      </c>
    </row>
    <row r="184" ht="15" customHeight="1">
      <c r="A184" t="inlineStr">
        <is>
          <t>A 20104-2025</t>
        </is>
      </c>
      <c r="B184" t="inlineStr">
        <is>
          <t>avverkningsanmälan</t>
        </is>
      </c>
      <c r="C184" t="inlineStr">
        <is>
          <t>Föryngringsavverkning</t>
        </is>
      </c>
      <c r="D184" s="1" t="n">
        <v>45772</v>
      </c>
      <c r="E184" s="1" t="n">
        <v>46223</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s="2" t="inlineStr">
        <is>
          <t>Tjäder</t>
        </is>
      </c>
      <c r="V184">
        <f>HYPERLINK("https://klasma.github.io/Logging_2361/artfynd/A 20104-2025 artfynd.xlsx", "A 20104-2025")</f>
        <v/>
      </c>
      <c r="W184">
        <f>HYPERLINK("https://klasma.github.io/Logging_2361/kartor/A 20104-2025 karta.png", "A 20104-2025")</f>
        <v/>
      </c>
      <c r="X184">
        <f>HYPERLINK("https://klasma.github.io/Logging_2361/kartor_geotiff/A 20104-2025 georefererad karta.tif", "A 20104-2025")</f>
        <v/>
      </c>
      <c r="Z184">
        <f>HYPERLINK("https://klasma.github.io/Logging_2361/klagomål/A 20104-2025 FSC-klagomål.docx", "A 20104-2025")</f>
        <v/>
      </c>
      <c r="AA184">
        <f>HYPERLINK("https://klasma.github.io/Logging_2361/klagomålsmail/A 20104-2025 FSC-klagomål mail.docx", "A 20104-2025")</f>
        <v/>
      </c>
      <c r="AB184">
        <f>HYPERLINK("https://klasma.github.io/Logging_2361/tillsyn/A 20104-2025 tillsynsbegäran.docx", "A 20104-2025")</f>
        <v/>
      </c>
      <c r="AC184">
        <f>HYPERLINK("https://klasma.github.io/Logging_2361/tillsynsmail/A 20104-2025 tillsynsbegäran mail.docx", "A 20104-2025")</f>
        <v/>
      </c>
      <c r="AD184">
        <f>HYPERLINK("https://klasma.github.io/Logging_2361/fåglar/A 20104-2025 prioriterade fågelarter.docx", "A 20104-2025")</f>
        <v/>
      </c>
    </row>
    <row r="185" ht="15" customHeight="1">
      <c r="A185" t="inlineStr">
        <is>
          <t>A 31061-2022</t>
        </is>
      </c>
      <c r="B185" t="inlineStr">
        <is>
          <t>avverkningsanmälan</t>
        </is>
      </c>
      <c r="C185" t="inlineStr">
        <is>
          <t>Föryngringsavverkning</t>
        </is>
      </c>
      <c r="D185" s="1" t="n">
        <v>44769</v>
      </c>
      <c r="E185" s="1" t="n">
        <v>46223</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s="2" t="inlineStr">
        <is>
          <t>Lunglav</t>
        </is>
      </c>
      <c r="V185">
        <f>HYPERLINK("https://klasma.github.io/Logging_2361/artfynd/A 31061-2022 artfynd.xlsx", "A 31061-2022")</f>
        <v/>
      </c>
      <c r="W185">
        <f>HYPERLINK("https://klasma.github.io/Logging_2361/kartor/A 31061-2022 karta.png", "A 31061-2022")</f>
        <v/>
      </c>
      <c r="X185">
        <f>HYPERLINK("https://klasma.github.io/Logging_2361/kartor_geotiff/A 31061-2022 georefererad karta.tif", "A 31061-2022")</f>
        <v/>
      </c>
      <c r="Z185">
        <f>HYPERLINK("https://klasma.github.io/Logging_2361/klagomål/A 31061-2022 FSC-klagomål.docx", "A 31061-2022")</f>
        <v/>
      </c>
      <c r="AA185">
        <f>HYPERLINK("https://klasma.github.io/Logging_2361/klagomålsmail/A 31061-2022 FSC-klagomål mail.docx", "A 31061-2022")</f>
        <v/>
      </c>
      <c r="AB185">
        <f>HYPERLINK("https://klasma.github.io/Logging_2361/tillsyn/A 31061-2022 tillsynsbegäran.docx", "A 31061-2022")</f>
        <v/>
      </c>
      <c r="AC185">
        <f>HYPERLINK("https://klasma.github.io/Logging_2361/tillsynsmail/A 31061-2022 tillsynsbegäran mail.docx", "A 31061-2022")</f>
        <v/>
      </c>
    </row>
    <row r="186" ht="15" customHeight="1">
      <c r="A186" t="inlineStr">
        <is>
          <t>A 3593-2024</t>
        </is>
      </c>
      <c r="B186" t="inlineStr">
        <is>
          <t>avverkningsanmälan</t>
        </is>
      </c>
      <c r="C186" t="inlineStr">
        <is>
          <t>Föryngringsavverkning</t>
        </is>
      </c>
      <c r="D186" s="1" t="n">
        <v>45320</v>
      </c>
      <c r="E186" s="1" t="n">
        <v>46223</v>
      </c>
      <c r="F186" t="inlineStr">
        <is>
          <t>JÄMTLANDS LÄN</t>
        </is>
      </c>
      <c r="G186" t="inlineStr">
        <is>
          <t>HÄRJEDALEN</t>
        </is>
      </c>
      <c r="I186" t="n">
        <v>15.1</v>
      </c>
      <c r="J186" t="n">
        <v>0</v>
      </c>
      <c r="K186" t="n">
        <v>0</v>
      </c>
      <c r="L186" t="n">
        <v>1</v>
      </c>
      <c r="M186" t="n">
        <v>0</v>
      </c>
      <c r="N186" t="n">
        <v>0</v>
      </c>
      <c r="O186" t="n">
        <v>0</v>
      </c>
      <c r="P186" t="n">
        <v>0</v>
      </c>
      <c r="Q186" t="n">
        <v>1</v>
      </c>
      <c r="R186" t="n">
        <v>0</v>
      </c>
      <c r="S186" t="n">
        <v>1</v>
      </c>
      <c r="T186" t="n">
        <v>1</v>
      </c>
      <c r="U186" s="2" t="inlineStr">
        <is>
          <t>Nordtagging</t>
        </is>
      </c>
      <c r="V186">
        <f>HYPERLINK("https://klasma.github.io/Logging_2361/artfynd/A 3593-2024 artfynd.xlsx", "A 3593-2024")</f>
        <v/>
      </c>
      <c r="W186">
        <f>HYPERLINK("https://klasma.github.io/Logging_2361/kartor/A 3593-2024 karta.png", "A 3593-2024")</f>
        <v/>
      </c>
      <c r="X186">
        <f>HYPERLINK("https://klasma.github.io/Logging_2361/kartor_geotiff/A 3593-2024 georefererad karta.tif", "A 3593-2024")</f>
        <v/>
      </c>
      <c r="Z186">
        <f>HYPERLINK("https://klasma.github.io/Logging_2361/klagomål/A 3593-2024 FSC-klagomål.docx", "A 3593-2024")</f>
        <v/>
      </c>
      <c r="AA186">
        <f>HYPERLINK("https://klasma.github.io/Logging_2361/klagomålsmail/A 3593-2024 FSC-klagomål mail.docx", "A 3593-2024")</f>
        <v/>
      </c>
      <c r="AB186">
        <f>HYPERLINK("https://klasma.github.io/Logging_2361/tillsyn/A 3593-2024 tillsynsbegäran.docx", "A 3593-2024")</f>
        <v/>
      </c>
      <c r="AC186">
        <f>HYPERLINK("https://klasma.github.io/Logging_2361/tillsynsmail/A 3593-2024 tillsynsbegäran mail.docx", "A 3593-2024")</f>
        <v/>
      </c>
    </row>
    <row r="187" ht="15" customHeight="1">
      <c r="A187" t="inlineStr">
        <is>
          <t>A 26325-2025</t>
        </is>
      </c>
      <c r="B187" t="inlineStr">
        <is>
          <t>avverkningsanmälan</t>
        </is>
      </c>
      <c r="C187" t="inlineStr">
        <is>
          <t>Föryngringsavverkning</t>
        </is>
      </c>
      <c r="D187" s="1" t="n">
        <v>45805</v>
      </c>
      <c r="E187" s="1" t="n">
        <v>46223</v>
      </c>
      <c r="F187" t="inlineStr">
        <is>
          <t>JÄMTLANDS LÄN</t>
        </is>
      </c>
      <c r="G187" t="inlineStr">
        <is>
          <t>HÄRJEDALEN</t>
        </is>
      </c>
      <c r="H187" t="inlineStr">
        <is>
          <t>Övriga Aktiebolag</t>
        </is>
      </c>
      <c r="I187" t="n">
        <v>34</v>
      </c>
      <c r="J187" t="n">
        <v>1</v>
      </c>
      <c r="K187" t="n">
        <v>0</v>
      </c>
      <c r="L187" t="n">
        <v>0</v>
      </c>
      <c r="M187" t="n">
        <v>0</v>
      </c>
      <c r="N187" t="n">
        <v>0</v>
      </c>
      <c r="O187" t="n">
        <v>0</v>
      </c>
      <c r="P187" t="n">
        <v>0</v>
      </c>
      <c r="Q187" t="n">
        <v>0</v>
      </c>
      <c r="R187" t="n">
        <v>0</v>
      </c>
      <c r="S187" t="n">
        <v>1</v>
      </c>
      <c r="T187" t="n">
        <v>2</v>
      </c>
      <c r="U187" s="2" t="inlineStr">
        <is>
          <t>Tjäder</t>
        </is>
      </c>
      <c r="V187">
        <f>HYPERLINK("https://klasma.github.io/Logging_2361/artfynd/A 26325-2025 artfynd.xlsx", "A 26325-2025")</f>
        <v/>
      </c>
      <c r="W187">
        <f>HYPERLINK("https://klasma.github.io/Logging_2361/kartor/A 26325-2025 karta.png", "A 26325-2025")</f>
        <v/>
      </c>
      <c r="X187">
        <f>HYPERLINK("https://klasma.github.io/Logging_2361/kartor_geotiff/A 26325-2025 georefererad karta.tif", "A 26325-2025")</f>
        <v/>
      </c>
      <c r="Z187">
        <f>HYPERLINK("https://klasma.github.io/Logging_2361/klagomål/A 26325-2025 FSC-klagomål.docx", "A 26325-2025")</f>
        <v/>
      </c>
      <c r="AA187">
        <f>HYPERLINK("https://klasma.github.io/Logging_2361/klagomålsmail/A 26325-2025 FSC-klagomål mail.docx", "A 26325-2025")</f>
        <v/>
      </c>
      <c r="AB187">
        <f>HYPERLINK("https://klasma.github.io/Logging_2361/tillsyn/A 26325-2025 tillsynsbegäran.docx", "A 26325-2025")</f>
        <v/>
      </c>
      <c r="AC187">
        <f>HYPERLINK("https://klasma.github.io/Logging_2361/tillsynsmail/A 26325-2025 tillsynsbegäran mail.docx", "A 26325-2025")</f>
        <v/>
      </c>
      <c r="AD187">
        <f>HYPERLINK("https://klasma.github.io/Logging_2361/fåglar/A 26325-2025 prioriterade fågelarter.docx", "A 26325-2025")</f>
        <v/>
      </c>
    </row>
    <row r="188" ht="15" customHeight="1">
      <c r="A188" t="inlineStr">
        <is>
          <t>A 36941-2024</t>
        </is>
      </c>
      <c r="B188" t="inlineStr">
        <is>
          <t>avverkningsanmälan</t>
        </is>
      </c>
      <c r="C188" t="inlineStr">
        <is>
          <t>Föryngringsavverkning</t>
        </is>
      </c>
      <c r="D188" s="1" t="n">
        <v>45538</v>
      </c>
      <c r="E188" s="1" t="n">
        <v>46223</v>
      </c>
      <c r="F188" t="inlineStr">
        <is>
          <t>JÄMTLANDS LÄN</t>
        </is>
      </c>
      <c r="G188" t="inlineStr">
        <is>
          <t>HÄRJEDALEN</t>
        </is>
      </c>
      <c r="I188" t="n">
        <v>2.2</v>
      </c>
      <c r="J188" t="n">
        <v>1</v>
      </c>
      <c r="K188" t="n">
        <v>0</v>
      </c>
      <c r="L188" t="n">
        <v>0</v>
      </c>
      <c r="M188" t="n">
        <v>0</v>
      </c>
      <c r="N188" t="n">
        <v>0</v>
      </c>
      <c r="O188" t="n">
        <v>0</v>
      </c>
      <c r="P188" t="n">
        <v>0</v>
      </c>
      <c r="Q188" t="n">
        <v>0</v>
      </c>
      <c r="R188" t="n">
        <v>0</v>
      </c>
      <c r="S188" t="n">
        <v>1</v>
      </c>
      <c r="T188" t="n">
        <v>1</v>
      </c>
      <c r="U188" s="2" t="inlineStr">
        <is>
          <t>Orre</t>
        </is>
      </c>
      <c r="V188">
        <f>HYPERLINK("https://klasma.github.io/Logging_2361/artfynd/A 36941-2024 artfynd.xlsx", "A 36941-2024")</f>
        <v/>
      </c>
      <c r="W188">
        <f>HYPERLINK("https://klasma.github.io/Logging_2361/kartor/A 36941-2024 karta.png", "A 36941-2024")</f>
        <v/>
      </c>
      <c r="X188">
        <f>HYPERLINK("https://klasma.github.io/Logging_2361/kartor_geotiff/A 36941-2024 georefererad karta.tif", "A 36941-2024")</f>
        <v/>
      </c>
      <c r="Z188">
        <f>HYPERLINK("https://klasma.github.io/Logging_2361/klagomål/A 36941-2024 FSC-klagomål.docx", "A 36941-2024")</f>
        <v/>
      </c>
      <c r="AA188">
        <f>HYPERLINK("https://klasma.github.io/Logging_2361/klagomålsmail/A 36941-2024 FSC-klagomål mail.docx", "A 36941-2024")</f>
        <v/>
      </c>
      <c r="AB188">
        <f>HYPERLINK("https://klasma.github.io/Logging_2361/tillsyn/A 36941-2024 tillsynsbegäran.docx", "A 36941-2024")</f>
        <v/>
      </c>
      <c r="AC188">
        <f>HYPERLINK("https://klasma.github.io/Logging_2361/tillsynsmail/A 36941-2024 tillsynsbegäran mail.docx", "A 36941-2024")</f>
        <v/>
      </c>
      <c r="AD188">
        <f>HYPERLINK("https://klasma.github.io/Logging_2361/fåglar/A 36941-2024 prioriterade fågelarter.docx", "A 36941-2024")</f>
        <v/>
      </c>
    </row>
    <row r="189" ht="15" customHeight="1">
      <c r="A189" t="inlineStr">
        <is>
          <t>A 60887-2022</t>
        </is>
      </c>
      <c r="B189" t="inlineStr">
        <is>
          <t>avverkningsanmälan</t>
        </is>
      </c>
      <c r="C189" t="inlineStr">
        <is>
          <t>Avverkning för annat ändamål</t>
        </is>
      </c>
      <c r="D189" s="1" t="n">
        <v>44914</v>
      </c>
      <c r="E189" s="1" t="n">
        <v>46223</v>
      </c>
      <c r="F189" t="inlineStr">
        <is>
          <t>JÄMTLANDS LÄN</t>
        </is>
      </c>
      <c r="G189" t="inlineStr">
        <is>
          <t>HÄRJEDALEN</t>
        </is>
      </c>
      <c r="I189" t="n">
        <v>0.9</v>
      </c>
      <c r="J189" t="n">
        <v>1</v>
      </c>
      <c r="K189" t="n">
        <v>0</v>
      </c>
      <c r="L189" t="n">
        <v>0</v>
      </c>
      <c r="M189" t="n">
        <v>0</v>
      </c>
      <c r="N189" t="n">
        <v>0</v>
      </c>
      <c r="O189" t="n">
        <v>0</v>
      </c>
      <c r="P189" t="n">
        <v>0</v>
      </c>
      <c r="Q189" t="n">
        <v>0</v>
      </c>
      <c r="R189" t="n">
        <v>0</v>
      </c>
      <c r="S189" t="n">
        <v>1</v>
      </c>
      <c r="T189" t="n">
        <v>1</v>
      </c>
      <c r="U189" s="2" t="inlineStr">
        <is>
          <t>Mattlummer</t>
        </is>
      </c>
      <c r="V189">
        <f>HYPERLINK("https://klasma.github.io/Logging_2361/artfynd/A 60887-2022 artfynd.xlsx", "A 60887-2022")</f>
        <v/>
      </c>
      <c r="W189">
        <f>HYPERLINK("https://klasma.github.io/Logging_2361/kartor/A 60887-2022 karta.png", "A 60887-2022")</f>
        <v/>
      </c>
      <c r="X189">
        <f>HYPERLINK("https://klasma.github.io/Logging_2361/kartor_geotiff/A 60887-2022 georefererad karta.tif", "A 60887-2022")</f>
        <v/>
      </c>
      <c r="Z189">
        <f>HYPERLINK("https://klasma.github.io/Logging_2361/klagomål/A 60887-2022 FSC-klagomål.docx", "A 60887-2022")</f>
        <v/>
      </c>
      <c r="AA189">
        <f>HYPERLINK("https://klasma.github.io/Logging_2361/klagomålsmail/A 60887-2022 FSC-klagomål mail.docx", "A 60887-2022")</f>
        <v/>
      </c>
      <c r="AB189">
        <f>HYPERLINK("https://klasma.github.io/Logging_2361/tillsyn/A 60887-2022 tillsynsbegäran.docx", "A 60887-2022")</f>
        <v/>
      </c>
      <c r="AC189">
        <f>HYPERLINK("https://klasma.github.io/Logging_2361/tillsynsmail/A 60887-2022 tillsynsbegäran mail.docx", "A 60887-2022")</f>
        <v/>
      </c>
    </row>
    <row r="190" ht="15" customHeight="1">
      <c r="A190" t="inlineStr">
        <is>
          <t>A 23680-2024</t>
        </is>
      </c>
      <c r="B190" t="inlineStr">
        <is>
          <t>avverkningsanmälan</t>
        </is>
      </c>
      <c r="C190" t="inlineStr">
        <is>
          <t>Föryngringsavverkning</t>
        </is>
      </c>
      <c r="D190" s="1" t="n">
        <v>45454</v>
      </c>
      <c r="E190" s="1" t="n">
        <v>46223</v>
      </c>
      <c r="F190" t="inlineStr">
        <is>
          <t>JÄMTLANDS LÄN</t>
        </is>
      </c>
      <c r="G190" t="inlineStr">
        <is>
          <t>HÄRJEDALEN</t>
        </is>
      </c>
      <c r="I190" t="n">
        <v>3.9</v>
      </c>
      <c r="J190" t="n">
        <v>0</v>
      </c>
      <c r="K190" t="n">
        <v>1</v>
      </c>
      <c r="L190" t="n">
        <v>0</v>
      </c>
      <c r="M190" t="n">
        <v>0</v>
      </c>
      <c r="N190" t="n">
        <v>0</v>
      </c>
      <c r="O190" t="n">
        <v>0</v>
      </c>
      <c r="P190" t="n">
        <v>0</v>
      </c>
      <c r="Q190" t="n">
        <v>0</v>
      </c>
      <c r="R190" t="n">
        <v>0</v>
      </c>
      <c r="S190" t="n">
        <v>1</v>
      </c>
      <c r="T190" t="n">
        <v>1</v>
      </c>
      <c r="U190" s="2" t="inlineStr">
        <is>
          <t>Ögonpyrola</t>
        </is>
      </c>
      <c r="V190">
        <f>HYPERLINK("https://klasma.github.io/Logging_2361/artfynd/A 23680-2024 artfynd.xlsx", "A 23680-2024")</f>
        <v/>
      </c>
      <c r="W190">
        <f>HYPERLINK("https://klasma.github.io/Logging_2361/kartor/A 23680-2024 karta.png", "A 23680-2024")</f>
        <v/>
      </c>
      <c r="X190">
        <f>HYPERLINK("https://klasma.github.io/Logging_2361/kartor_geotiff/A 23680-2024 georefererad karta.tif", "A 23680-2024")</f>
        <v/>
      </c>
      <c r="Z190">
        <f>HYPERLINK("https://klasma.github.io/Logging_2361/klagomål/A 23680-2024 FSC-klagomål.docx", "A 23680-2024")</f>
        <v/>
      </c>
      <c r="AA190">
        <f>HYPERLINK("https://klasma.github.io/Logging_2361/klagomålsmail/A 23680-2024 FSC-klagomål mail.docx", "A 23680-2024")</f>
        <v/>
      </c>
      <c r="AB190">
        <f>HYPERLINK("https://klasma.github.io/Logging_2361/tillsyn/A 23680-2024 tillsynsbegäran.docx", "A 23680-2024")</f>
        <v/>
      </c>
      <c r="AC190">
        <f>HYPERLINK("https://klasma.github.io/Logging_2361/tillsynsmail/A 23680-2024 tillsynsbegäran mail.docx", "A 23680-2024")</f>
        <v/>
      </c>
    </row>
    <row r="191" ht="15" customHeight="1">
      <c r="A191" t="inlineStr">
        <is>
          <t>A 27412-2025</t>
        </is>
      </c>
      <c r="B191" t="inlineStr">
        <is>
          <t>avverkningsanmälan</t>
        </is>
      </c>
      <c r="C191" t="inlineStr">
        <is>
          <t>Föryngringsavverkning</t>
        </is>
      </c>
      <c r="D191" s="1" t="n">
        <v>45812</v>
      </c>
      <c r="E191" s="1" t="n">
        <v>46223</v>
      </c>
      <c r="F191" t="inlineStr">
        <is>
          <t>JÄMTLANDS LÄN</t>
        </is>
      </c>
      <c r="G191" t="inlineStr">
        <is>
          <t>HÄRJEDALEN</t>
        </is>
      </c>
      <c r="H191" t="inlineStr">
        <is>
          <t>Sveaskog</t>
        </is>
      </c>
      <c r="I191" t="n">
        <v>6.2</v>
      </c>
      <c r="J191" t="n">
        <v>0</v>
      </c>
      <c r="K191" t="n">
        <v>0</v>
      </c>
      <c r="L191" t="n">
        <v>1</v>
      </c>
      <c r="M191" t="n">
        <v>0</v>
      </c>
      <c r="N191" t="n">
        <v>0</v>
      </c>
      <c r="O191" t="n">
        <v>0</v>
      </c>
      <c r="P191" t="n">
        <v>0</v>
      </c>
      <c r="Q191" t="n">
        <v>1</v>
      </c>
      <c r="R191" t="n">
        <v>0</v>
      </c>
      <c r="S191" t="n">
        <v>1</v>
      </c>
      <c r="T191" t="n">
        <v>2</v>
      </c>
      <c r="U191" s="2" t="inlineStr">
        <is>
          <t>Kolflarnlav</t>
        </is>
      </c>
      <c r="V191">
        <f>HYPERLINK("https://klasma.github.io/Logging_2361/artfynd/A 27412-2025 artfynd.xlsx", "A 27412-2025")</f>
        <v/>
      </c>
      <c r="W191">
        <f>HYPERLINK("https://klasma.github.io/Logging_2361/kartor/A 27412-2025 karta.png", "A 27412-2025")</f>
        <v/>
      </c>
      <c r="X191">
        <f>HYPERLINK("https://klasma.github.io/Logging_2361/kartor_geotiff/A 27412-2025 georefererad karta.tif", "A 27412-2025")</f>
        <v/>
      </c>
      <c r="Z191">
        <f>HYPERLINK("https://klasma.github.io/Logging_2361/klagomål/A 27412-2025 FSC-klagomål.docx", "A 27412-2025")</f>
        <v/>
      </c>
      <c r="AA191">
        <f>HYPERLINK("https://klasma.github.io/Logging_2361/klagomålsmail/A 27412-2025 FSC-klagomål mail.docx", "A 27412-2025")</f>
        <v/>
      </c>
      <c r="AB191">
        <f>HYPERLINK("https://klasma.github.io/Logging_2361/tillsyn/A 27412-2025 tillsynsbegäran.docx", "A 27412-2025")</f>
        <v/>
      </c>
      <c r="AC191">
        <f>HYPERLINK("https://klasma.github.io/Logging_2361/tillsynsmail/A 27412-2025 tillsynsbegäran mail.docx", "A 27412-2025")</f>
        <v/>
      </c>
    </row>
    <row r="192" ht="15" customHeight="1">
      <c r="A192" t="inlineStr">
        <is>
          <t>A 16842-2025</t>
        </is>
      </c>
      <c r="B192" t="inlineStr">
        <is>
          <t>avverkningsanmälan</t>
        </is>
      </c>
      <c r="C192" t="inlineStr">
        <is>
          <t>Föryngringsavverkning</t>
        </is>
      </c>
      <c r="D192" s="1" t="n">
        <v>45754</v>
      </c>
      <c r="E192" s="1" t="n">
        <v>46223</v>
      </c>
      <c r="F192" t="inlineStr">
        <is>
          <t>JÄMTLANDS LÄN</t>
        </is>
      </c>
      <c r="G192" t="inlineStr">
        <is>
          <t>HÄRJEDALEN</t>
        </is>
      </c>
      <c r="I192" t="n">
        <v>18.6</v>
      </c>
      <c r="J192" t="n">
        <v>0</v>
      </c>
      <c r="K192" t="n">
        <v>0</v>
      </c>
      <c r="L192" t="n">
        <v>1</v>
      </c>
      <c r="M192" t="n">
        <v>0</v>
      </c>
      <c r="N192" t="n">
        <v>0</v>
      </c>
      <c r="O192" t="n">
        <v>0</v>
      </c>
      <c r="P192" t="n">
        <v>0</v>
      </c>
      <c r="Q192" t="n">
        <v>1</v>
      </c>
      <c r="R192" t="n">
        <v>0</v>
      </c>
      <c r="S192" t="n">
        <v>1</v>
      </c>
      <c r="T192" t="n">
        <v>1</v>
      </c>
      <c r="U192" s="2" t="inlineStr">
        <is>
          <t>Nordtagging</t>
        </is>
      </c>
      <c r="V192">
        <f>HYPERLINK("https://klasma.github.io/Logging_2361/artfynd/A 16842-2025 artfynd.xlsx", "A 16842-2025")</f>
        <v/>
      </c>
      <c r="W192">
        <f>HYPERLINK("https://klasma.github.io/Logging_2361/kartor/A 16842-2025 karta.png", "A 16842-2025")</f>
        <v/>
      </c>
      <c r="X192">
        <f>HYPERLINK("https://klasma.github.io/Logging_2361/kartor_geotiff/A 16842-2025 georefererad karta.tif", "A 16842-2025")</f>
        <v/>
      </c>
      <c r="Z192">
        <f>HYPERLINK("https://klasma.github.io/Logging_2361/klagomål/A 16842-2025 FSC-klagomål.docx", "A 16842-2025")</f>
        <v/>
      </c>
      <c r="AA192">
        <f>HYPERLINK("https://klasma.github.io/Logging_2361/klagomålsmail/A 16842-2025 FSC-klagomål mail.docx", "A 16842-2025")</f>
        <v/>
      </c>
      <c r="AB192">
        <f>HYPERLINK("https://klasma.github.io/Logging_2361/tillsyn/A 16842-2025 tillsynsbegäran.docx", "A 16842-2025")</f>
        <v/>
      </c>
      <c r="AC192">
        <f>HYPERLINK("https://klasma.github.io/Logging_2361/tillsynsmail/A 16842-2025 tillsynsbegäran mail.docx", "A 16842-2025")</f>
        <v/>
      </c>
    </row>
    <row r="193" ht="15" customHeight="1">
      <c r="A193" t="inlineStr">
        <is>
          <t>A 39362-2025</t>
        </is>
      </c>
      <c r="B193" t="inlineStr">
        <is>
          <t>avverkningsanmälan</t>
        </is>
      </c>
      <c r="C193" t="inlineStr">
        <is>
          <t>Avverkning för att bevara och utveckla /försöksver</t>
        </is>
      </c>
      <c r="D193" s="1" t="n">
        <v>45889</v>
      </c>
      <c r="E193" s="1" t="n">
        <v>46223</v>
      </c>
      <c r="F193" t="inlineStr">
        <is>
          <t>JÄMTLANDS LÄN</t>
        </is>
      </c>
      <c r="G193" t="inlineStr">
        <is>
          <t>HÄRJEDALEN</t>
        </is>
      </c>
      <c r="H193" t="inlineStr">
        <is>
          <t>Sveaskog</t>
        </is>
      </c>
      <c r="I193" t="n">
        <v>3.1</v>
      </c>
      <c r="J193" t="n">
        <v>0</v>
      </c>
      <c r="K193" t="n">
        <v>0</v>
      </c>
      <c r="L193" t="n">
        <v>1</v>
      </c>
      <c r="M193" t="n">
        <v>0</v>
      </c>
      <c r="N193" t="n">
        <v>0</v>
      </c>
      <c r="O193" t="n">
        <v>0</v>
      </c>
      <c r="P193" t="n">
        <v>0</v>
      </c>
      <c r="Q193" t="n">
        <v>1</v>
      </c>
      <c r="R193" t="n">
        <v>0</v>
      </c>
      <c r="S193" t="n">
        <v>1</v>
      </c>
      <c r="T193" t="n">
        <v>1</v>
      </c>
      <c r="U193" s="2" t="inlineStr">
        <is>
          <t>Dropptaggsvamp</t>
        </is>
      </c>
      <c r="V193">
        <f>HYPERLINK("https://klasma.github.io/Logging_2361/artfynd/A 39362-2025 artfynd.xlsx", "A 39362-2025")</f>
        <v/>
      </c>
      <c r="W193">
        <f>HYPERLINK("https://klasma.github.io/Logging_2361/kartor/A 39362-2025 karta.png", "A 39362-2025")</f>
        <v/>
      </c>
      <c r="X193">
        <f>HYPERLINK("https://klasma.github.io/Logging_2361/kartor_geotiff/A 39362-2025 georefererad karta.tif", "A 39362-2025")</f>
        <v/>
      </c>
      <c r="Z193">
        <f>HYPERLINK("https://klasma.github.io/Logging_2361/klagomål/A 39362-2025 FSC-klagomål.docx", "A 39362-2025")</f>
        <v/>
      </c>
      <c r="AA193">
        <f>HYPERLINK("https://klasma.github.io/Logging_2361/klagomålsmail/A 39362-2025 FSC-klagomål mail.docx", "A 39362-2025")</f>
        <v/>
      </c>
      <c r="AB193">
        <f>HYPERLINK("https://klasma.github.io/Logging_2361/tillsyn/A 39362-2025 tillsynsbegäran.docx", "A 39362-2025")</f>
        <v/>
      </c>
      <c r="AC193">
        <f>HYPERLINK("https://klasma.github.io/Logging_2361/tillsynsmail/A 39362-2025 tillsynsbegäran mail.docx", "A 39362-2025")</f>
        <v/>
      </c>
    </row>
    <row r="194" ht="15" customHeight="1">
      <c r="A194" t="inlineStr">
        <is>
          <t>A 40185-2025</t>
        </is>
      </c>
      <c r="B194" t="inlineStr">
        <is>
          <t>avverkningsanmälan</t>
        </is>
      </c>
      <c r="C194" t="inlineStr">
        <is>
          <t>Föryngringsavverkning</t>
        </is>
      </c>
      <c r="D194" s="1" t="n">
        <v>45894</v>
      </c>
      <c r="E194" s="1" t="n">
        <v>46223</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s="2" t="inlineStr">
        <is>
          <t>Tjäder</t>
        </is>
      </c>
      <c r="V194">
        <f>HYPERLINK("https://klasma.github.io/Logging_2361/artfynd/A 40185-2025 artfynd.xlsx", "A 40185-2025")</f>
        <v/>
      </c>
      <c r="W194">
        <f>HYPERLINK("https://klasma.github.io/Logging_2361/kartor/A 40185-2025 karta.png", "A 40185-2025")</f>
        <v/>
      </c>
      <c r="X194">
        <f>HYPERLINK("https://klasma.github.io/Logging_2361/kartor_geotiff/A 40185-2025 georefererad karta.tif", "A 40185-2025")</f>
        <v/>
      </c>
      <c r="Z194">
        <f>HYPERLINK("https://klasma.github.io/Logging_2361/klagomål/A 40185-2025 FSC-klagomål.docx", "A 40185-2025")</f>
        <v/>
      </c>
      <c r="AA194">
        <f>HYPERLINK("https://klasma.github.io/Logging_2361/klagomålsmail/A 40185-2025 FSC-klagomål mail.docx", "A 40185-2025")</f>
        <v/>
      </c>
      <c r="AB194">
        <f>HYPERLINK("https://klasma.github.io/Logging_2361/tillsyn/A 40185-2025 tillsynsbegäran.docx", "A 40185-2025")</f>
        <v/>
      </c>
      <c r="AC194">
        <f>HYPERLINK("https://klasma.github.io/Logging_2361/tillsynsmail/A 40185-2025 tillsynsbegäran mail.docx", "A 40185-2025")</f>
        <v/>
      </c>
      <c r="AD194">
        <f>HYPERLINK("https://klasma.github.io/Logging_2361/fåglar/A 40185-2025 prioriterade fågelarter.docx", "A 40185-2025")</f>
        <v/>
      </c>
    </row>
    <row r="195" ht="15" customHeight="1">
      <c r="A195" t="inlineStr">
        <is>
          <t>A 55223-2021</t>
        </is>
      </c>
      <c r="B195" t="inlineStr">
        <is>
          <t>avverkningsanmälan</t>
        </is>
      </c>
      <c r="C195" t="inlineStr">
        <is>
          <t>Föryngringsavverkning</t>
        </is>
      </c>
      <c r="D195" s="1" t="n">
        <v>44475</v>
      </c>
      <c r="E195" s="1" t="n">
        <v>46223</v>
      </c>
      <c r="F195" t="inlineStr">
        <is>
          <t>JÄMTLANDS LÄN</t>
        </is>
      </c>
      <c r="G195" t="inlineStr">
        <is>
          <t>HÄRJEDALEN</t>
        </is>
      </c>
      <c r="I195" t="n">
        <v>18.2</v>
      </c>
      <c r="J195" t="n">
        <v>1</v>
      </c>
      <c r="K195" t="n">
        <v>0</v>
      </c>
      <c r="L195" t="n">
        <v>1</v>
      </c>
      <c r="M195" t="n">
        <v>0</v>
      </c>
      <c r="N195" t="n">
        <v>0</v>
      </c>
      <c r="O195" t="n">
        <v>0</v>
      </c>
      <c r="P195" t="n">
        <v>0</v>
      </c>
      <c r="Q195" t="n">
        <v>1</v>
      </c>
      <c r="R195" t="n">
        <v>0</v>
      </c>
      <c r="S195" t="n">
        <v>1</v>
      </c>
      <c r="T195" t="n">
        <v>1</v>
      </c>
      <c r="U195" s="2" t="inlineStr">
        <is>
          <t>Varglav</t>
        </is>
      </c>
      <c r="V195">
        <f>HYPERLINK("https://klasma.github.io/Logging_2361/artfynd/A 55223-2021 artfynd.xlsx", "A 55223-2021")</f>
        <v/>
      </c>
      <c r="W195">
        <f>HYPERLINK("https://klasma.github.io/Logging_2361/kartor/A 55223-2021 karta.png", "A 55223-2021")</f>
        <v/>
      </c>
      <c r="X195">
        <f>HYPERLINK("https://klasma.github.io/Logging_2361/kartor_geotiff/A 55223-2021 georefererad karta.tif", "A 55223-2021")</f>
        <v/>
      </c>
      <c r="Z195">
        <f>HYPERLINK("https://klasma.github.io/Logging_2361/klagomål/A 55223-2021 FSC-klagomål.docx", "A 55223-2021")</f>
        <v/>
      </c>
      <c r="AA195">
        <f>HYPERLINK("https://klasma.github.io/Logging_2361/klagomålsmail/A 55223-2021 FSC-klagomål mail.docx", "A 55223-2021")</f>
        <v/>
      </c>
      <c r="AB195">
        <f>HYPERLINK("https://klasma.github.io/Logging_2361/tillsyn/A 55223-2021 tillsynsbegäran.docx", "A 55223-2021")</f>
        <v/>
      </c>
      <c r="AC195">
        <f>HYPERLINK("https://klasma.github.io/Logging_2361/tillsynsmail/A 55223-2021 tillsynsbegäran mail.docx", "A 55223-2021")</f>
        <v/>
      </c>
    </row>
    <row r="196" ht="15" customHeight="1">
      <c r="A196" t="inlineStr">
        <is>
          <t>A 41051-2025</t>
        </is>
      </c>
      <c r="B196" t="inlineStr">
        <is>
          <t>avverkningsanmälan</t>
        </is>
      </c>
      <c r="C196" t="inlineStr">
        <is>
          <t>Föryngringsavverkning</t>
        </is>
      </c>
      <c r="D196" s="1" t="n">
        <v>45898</v>
      </c>
      <c r="E196" s="1" t="n">
        <v>46223</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HYPERLINK("https://klasma.github.io/Logging_2361/artfynd/A 41051-2025 artfynd.xlsx", "A 41051-2025")</f>
        <v/>
      </c>
      <c r="W196">
        <f>HYPERLINK("https://klasma.github.io/Logging_2361/kartor/A 41051-2025 karta.png", "A 41051-2025")</f>
        <v/>
      </c>
      <c r="X196">
        <f>HYPERLINK("https://klasma.github.io/Logging_2361/kartor_geotiff/A 41051-2025 georefererad karta.tif", "A 41051-2025")</f>
        <v/>
      </c>
      <c r="Z196">
        <f>HYPERLINK("https://klasma.github.io/Logging_2361/klagomål/A 41051-2025 FSC-klagomål.docx", "A 41051-2025")</f>
        <v/>
      </c>
      <c r="AA196">
        <f>HYPERLINK("https://klasma.github.io/Logging_2361/klagomålsmail/A 41051-2025 FSC-klagomål mail.docx", "A 41051-2025")</f>
        <v/>
      </c>
      <c r="AB196">
        <f>HYPERLINK("https://klasma.github.io/Logging_2361/tillsyn/A 41051-2025 tillsynsbegäran.docx", "A 41051-2025")</f>
        <v/>
      </c>
      <c r="AC196">
        <f>HYPERLINK("https://klasma.github.io/Logging_2361/tillsynsmail/A 41051-2025 tillsynsbegäran mail.docx", "A 41051-2025")</f>
        <v/>
      </c>
      <c r="AD196">
        <f>HYPERLINK("https://klasma.github.io/Logging_2361/fåglar/A 41051-2025 prioriterade fågelarter.docx", "A 41051-2025")</f>
        <v/>
      </c>
    </row>
    <row r="197" ht="15" customHeight="1">
      <c r="A197" t="inlineStr">
        <is>
          <t>A 31148-2025</t>
        </is>
      </c>
      <c r="B197" t="inlineStr">
        <is>
          <t>avverkningsanmälan</t>
        </is>
      </c>
      <c r="C197" t="inlineStr">
        <is>
          <t>Föryngringsavverkning</t>
        </is>
      </c>
      <c r="D197" s="1" t="n">
        <v>45832</v>
      </c>
      <c r="E197" s="1" t="n">
        <v>46223</v>
      </c>
      <c r="F197" t="inlineStr">
        <is>
          <t>JÄMTLANDS LÄN</t>
        </is>
      </c>
      <c r="G197" t="inlineStr">
        <is>
          <t>HÄRJEDALEN</t>
        </is>
      </c>
      <c r="I197" t="n">
        <v>3.9</v>
      </c>
      <c r="J197" t="n">
        <v>1</v>
      </c>
      <c r="K197" t="n">
        <v>0</v>
      </c>
      <c r="L197" t="n">
        <v>0</v>
      </c>
      <c r="M197" t="n">
        <v>0</v>
      </c>
      <c r="N197" t="n">
        <v>0</v>
      </c>
      <c r="O197" t="n">
        <v>0</v>
      </c>
      <c r="P197" t="n">
        <v>0</v>
      </c>
      <c r="Q197" t="n">
        <v>0</v>
      </c>
      <c r="R197" t="n">
        <v>0</v>
      </c>
      <c r="S197" t="n">
        <v>1</v>
      </c>
      <c r="T197" t="n">
        <v>1</v>
      </c>
      <c r="U197" s="2" t="inlineStr">
        <is>
          <t>Tjäder</t>
        </is>
      </c>
      <c r="V197">
        <f>HYPERLINK("https://klasma.github.io/Logging_2361/artfynd/A 31148-2025 artfynd.xlsx", "A 31148-2025")</f>
        <v/>
      </c>
      <c r="W197">
        <f>HYPERLINK("https://klasma.github.io/Logging_2361/kartor/A 31148-2025 karta.png", "A 31148-2025")</f>
        <v/>
      </c>
      <c r="X197">
        <f>HYPERLINK("https://klasma.github.io/Logging_2361/kartor_geotiff/A 31148-2025 georefererad karta.tif", "A 31148-2025")</f>
        <v/>
      </c>
      <c r="Z197">
        <f>HYPERLINK("https://klasma.github.io/Logging_2361/klagomål/A 31148-2025 FSC-klagomål.docx", "A 31148-2025")</f>
        <v/>
      </c>
      <c r="AA197">
        <f>HYPERLINK("https://klasma.github.io/Logging_2361/klagomålsmail/A 31148-2025 FSC-klagomål mail.docx", "A 31148-2025")</f>
        <v/>
      </c>
      <c r="AB197">
        <f>HYPERLINK("https://klasma.github.io/Logging_2361/tillsyn/A 31148-2025 tillsynsbegäran.docx", "A 31148-2025")</f>
        <v/>
      </c>
      <c r="AC197">
        <f>HYPERLINK("https://klasma.github.io/Logging_2361/tillsynsmail/A 31148-2025 tillsynsbegäran mail.docx", "A 31148-2025")</f>
        <v/>
      </c>
      <c r="AD197">
        <f>HYPERLINK("https://klasma.github.io/Logging_2361/fåglar/A 31148-2025 prioriterade fågelarter.docx", "A 31148-2025")</f>
        <v/>
      </c>
    </row>
    <row r="198" ht="15" customHeight="1">
      <c r="A198" t="inlineStr">
        <is>
          <t>A 42773-2025</t>
        </is>
      </c>
      <c r="B198" t="inlineStr">
        <is>
          <t>avverkningsanmälan</t>
        </is>
      </c>
      <c r="C198" t="inlineStr">
        <is>
          <t>Föryngringsavverkning</t>
        </is>
      </c>
      <c r="D198" s="1" t="n">
        <v>45908</v>
      </c>
      <c r="E198" s="1" t="n">
        <v>46223</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s="2" t="inlineStr">
        <is>
          <t>Knärot</t>
        </is>
      </c>
      <c r="V198">
        <f>HYPERLINK("https://klasma.github.io/Logging_2361/artfynd/A 42773-2025 artfynd.xlsx", "A 42773-2025")</f>
        <v/>
      </c>
      <c r="W198">
        <f>HYPERLINK("https://klasma.github.io/Logging_2361/kartor/A 42773-2025 karta.png", "A 42773-2025")</f>
        <v/>
      </c>
      <c r="X198">
        <f>HYPERLINK("https://klasma.github.io/Logging_2361/kartor_geotiff/A 42773-2025 georefererad karta.tif", "A 42773-2025")</f>
        <v/>
      </c>
      <c r="Y198">
        <f>HYPERLINK("https://klasma.github.io/Logging_2361/knärot/A 42773-2025 karta knärot.png", "A 42773-2025")</f>
        <v/>
      </c>
      <c r="Z198">
        <f>HYPERLINK("https://klasma.github.io/Logging_2361/klagomål/A 42773-2025 FSC-klagomål.docx", "A 42773-2025")</f>
        <v/>
      </c>
      <c r="AA198">
        <f>HYPERLINK("https://klasma.github.io/Logging_2361/klagomålsmail/A 42773-2025 FSC-klagomål mail.docx", "A 42773-2025")</f>
        <v/>
      </c>
      <c r="AB198">
        <f>HYPERLINK("https://klasma.github.io/Logging_2361/tillsyn/A 42773-2025 tillsynsbegäran.docx", "A 42773-2025")</f>
        <v/>
      </c>
      <c r="AC198">
        <f>HYPERLINK("https://klasma.github.io/Logging_2361/tillsynsmail/A 42773-2025 tillsynsbegäran mail.docx", "A 42773-2025")</f>
        <v/>
      </c>
    </row>
    <row r="199" ht="15" customHeight="1">
      <c r="A199" t="inlineStr">
        <is>
          <t>A 43322-2025</t>
        </is>
      </c>
      <c r="B199" t="inlineStr">
        <is>
          <t>avverkningsanmälan</t>
        </is>
      </c>
      <c r="C199" t="inlineStr">
        <is>
          <t>Föryngringsavverkning</t>
        </is>
      </c>
      <c r="D199" s="1" t="n">
        <v>45910</v>
      </c>
      <c r="E199" s="1" t="n">
        <v>46223</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s="2" t="inlineStr">
        <is>
          <t>Dvärgbägarlav</t>
        </is>
      </c>
      <c r="V199">
        <f>HYPERLINK("https://klasma.github.io/Logging_2361/artfynd/A 43322-2025 artfynd.xlsx", "A 43322-2025")</f>
        <v/>
      </c>
      <c r="W199">
        <f>HYPERLINK("https://klasma.github.io/Logging_2361/kartor/A 43322-2025 karta.png", "A 43322-2025")</f>
        <v/>
      </c>
      <c r="X199">
        <f>HYPERLINK("https://klasma.github.io/Logging_2361/kartor_geotiff/A 43322-2025 georefererad karta.tif", "A 43322-2025")</f>
        <v/>
      </c>
      <c r="Z199">
        <f>HYPERLINK("https://klasma.github.io/Logging_2361/klagomål/A 43322-2025 FSC-klagomål.docx", "A 43322-2025")</f>
        <v/>
      </c>
      <c r="AA199">
        <f>HYPERLINK("https://klasma.github.io/Logging_2361/klagomålsmail/A 43322-2025 FSC-klagomål mail.docx", "A 43322-2025")</f>
        <v/>
      </c>
      <c r="AB199">
        <f>HYPERLINK("https://klasma.github.io/Logging_2361/tillsyn/A 43322-2025 tillsynsbegäran.docx", "A 43322-2025")</f>
        <v/>
      </c>
      <c r="AC199">
        <f>HYPERLINK("https://klasma.github.io/Logging_2361/tillsynsmail/A 43322-2025 tillsynsbegäran mail.docx", "A 43322-2025")</f>
        <v/>
      </c>
    </row>
    <row r="200" ht="15" customHeight="1">
      <c r="A200" t="inlineStr">
        <is>
          <t>A 6313-2026</t>
        </is>
      </c>
      <c r="B200" t="inlineStr">
        <is>
          <t>avverkningsanmälan</t>
        </is>
      </c>
      <c r="C200" t="inlineStr">
        <is>
          <t>Föryngringsavverkning</t>
        </is>
      </c>
      <c r="D200" s="1" t="n">
        <v>46055</v>
      </c>
      <c r="E200" s="1" t="n">
        <v>46223</v>
      </c>
      <c r="F200" t="inlineStr">
        <is>
          <t>JÄMTLANDS LÄN</t>
        </is>
      </c>
      <c r="G200" t="inlineStr">
        <is>
          <t>HÄRJEDALEN</t>
        </is>
      </c>
      <c r="I200" t="n">
        <v>3.5</v>
      </c>
      <c r="J200" t="n">
        <v>1</v>
      </c>
      <c r="K200" t="n">
        <v>0</v>
      </c>
      <c r="L200" t="n">
        <v>0</v>
      </c>
      <c r="M200" t="n">
        <v>1</v>
      </c>
      <c r="N200" t="n">
        <v>0</v>
      </c>
      <c r="O200" t="n">
        <v>0</v>
      </c>
      <c r="P200" t="n">
        <v>0</v>
      </c>
      <c r="Q200" t="n">
        <v>1</v>
      </c>
      <c r="R200" t="n">
        <v>1</v>
      </c>
      <c r="S200" t="n">
        <v>1</v>
      </c>
      <c r="T200" t="n">
        <v>1</v>
      </c>
      <c r="U200" s="2" t="inlineStr">
        <is>
          <t>Knärot</t>
        </is>
      </c>
      <c r="V200">
        <f>HYPERLINK("https://klasma.github.io/Logging_2361/artfynd/A 6313-2026 artfynd.xlsx", "A 6313-2026")</f>
        <v/>
      </c>
      <c r="W200">
        <f>HYPERLINK("https://klasma.github.io/Logging_2361/kartor/A 6313-2026 karta.png", "A 6313-2026")</f>
        <v/>
      </c>
      <c r="X200">
        <f>HYPERLINK("https://klasma.github.io/Logging_2361/kartor_geotiff/A 6313-2026 georefererad karta.tif", "A 6313-2026")</f>
        <v/>
      </c>
      <c r="Y200">
        <f>HYPERLINK("https://klasma.github.io/Logging_2361/knärot/A 6313-2026 karta knärot.png", "A 6313-2026")</f>
        <v/>
      </c>
      <c r="Z200">
        <f>HYPERLINK("https://klasma.github.io/Logging_2361/klagomål/A 6313-2026 FSC-klagomål.docx", "A 6313-2026")</f>
        <v/>
      </c>
      <c r="AA200">
        <f>HYPERLINK("https://klasma.github.io/Logging_2361/klagomålsmail/A 6313-2026 FSC-klagomål mail.docx", "A 6313-2026")</f>
        <v/>
      </c>
      <c r="AB200">
        <f>HYPERLINK("https://klasma.github.io/Logging_2361/tillsyn/A 6313-2026 tillsynsbegäran.docx", "A 6313-2026")</f>
        <v/>
      </c>
      <c r="AC200">
        <f>HYPERLINK("https://klasma.github.io/Logging_2361/tillsynsmail/A 6313-2026 tillsynsbegäran mail.docx", "A 6313-2026")</f>
        <v/>
      </c>
    </row>
    <row r="201" ht="15" customHeight="1">
      <c r="A201" t="inlineStr">
        <is>
          <t>A 7328-2024</t>
        </is>
      </c>
      <c r="B201" t="inlineStr">
        <is>
          <t>avverkningsanmälan</t>
        </is>
      </c>
      <c r="C201" t="inlineStr">
        <is>
          <t>Avverkning för annat ändamål</t>
        </is>
      </c>
      <c r="D201" s="1" t="n">
        <v>45345</v>
      </c>
      <c r="E201" s="1" t="n">
        <v>46223</v>
      </c>
      <c r="F201" t="inlineStr">
        <is>
          <t>JÄMTLANDS LÄN</t>
        </is>
      </c>
      <c r="G201" t="inlineStr">
        <is>
          <t>HÄRJEDALEN</t>
        </is>
      </c>
      <c r="H201" t="inlineStr">
        <is>
          <t>Sveaskog</t>
        </is>
      </c>
      <c r="I201" t="n">
        <v>0.1</v>
      </c>
      <c r="J201" t="n">
        <v>0</v>
      </c>
      <c r="K201" t="n">
        <v>0</v>
      </c>
      <c r="L201" t="n">
        <v>1</v>
      </c>
      <c r="M201" t="n">
        <v>0</v>
      </c>
      <c r="N201" t="n">
        <v>0</v>
      </c>
      <c r="O201" t="n">
        <v>0</v>
      </c>
      <c r="P201" t="n">
        <v>0</v>
      </c>
      <c r="Q201" t="n">
        <v>1</v>
      </c>
      <c r="R201" t="n">
        <v>0</v>
      </c>
      <c r="S201" t="n">
        <v>1</v>
      </c>
      <c r="T201" t="n">
        <v>1</v>
      </c>
      <c r="U201" s="2" t="inlineStr">
        <is>
          <t>Kolflarnlav</t>
        </is>
      </c>
      <c r="V201">
        <f>HYPERLINK("https://klasma.github.io/Logging_2361/artfynd/A 7328-2024 artfynd.xlsx", "A 7328-2024")</f>
        <v/>
      </c>
      <c r="W201">
        <f>HYPERLINK("https://klasma.github.io/Logging_2361/kartor/A 7328-2024 karta.png", "A 7328-2024")</f>
        <v/>
      </c>
      <c r="X201">
        <f>HYPERLINK("https://klasma.github.io/Logging_2361/kartor_geotiff/A 7328-2024 georefererad karta.tif", "A 7328-2024")</f>
        <v/>
      </c>
      <c r="Z201">
        <f>HYPERLINK("https://klasma.github.io/Logging_2361/klagomål/A 7328-2024 FSC-klagomål.docx", "A 7328-2024")</f>
        <v/>
      </c>
      <c r="AA201">
        <f>HYPERLINK("https://klasma.github.io/Logging_2361/klagomålsmail/A 7328-2024 FSC-klagomål mail.docx", "A 7328-2024")</f>
        <v/>
      </c>
      <c r="AB201">
        <f>HYPERLINK("https://klasma.github.io/Logging_2361/tillsyn/A 7328-2024 tillsynsbegäran.docx", "A 7328-2024")</f>
        <v/>
      </c>
      <c r="AC201">
        <f>HYPERLINK("https://klasma.github.io/Logging_2361/tillsynsmail/A 7328-2024 tillsynsbegäran mail.docx", "A 7328-2024")</f>
        <v/>
      </c>
    </row>
    <row r="202" ht="15" customHeight="1">
      <c r="A202" t="inlineStr">
        <is>
          <t>A 55582-2024</t>
        </is>
      </c>
      <c r="B202" t="inlineStr">
        <is>
          <t>avverkningsanmälan</t>
        </is>
      </c>
      <c r="C202" t="inlineStr">
        <is>
          <t>Föryngringsavverkning</t>
        </is>
      </c>
      <c r="D202" s="1" t="n">
        <v>45622</v>
      </c>
      <c r="E202" s="1" t="n">
        <v>46223</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HYPERLINK("https://klasma.github.io/Logging_2361/artfynd/A 55582-2024 artfynd.xlsx", "A 55582-2024")</f>
        <v/>
      </c>
      <c r="W202">
        <f>HYPERLINK("https://klasma.github.io/Logging_2361/kartor/A 55582-2024 karta.png", "A 55582-2024")</f>
        <v/>
      </c>
      <c r="X202">
        <f>HYPERLINK("https://klasma.github.io/Logging_2361/kartor_geotiff/A 55582-2024 georefererad karta.tif", "A 55582-2024")</f>
        <v/>
      </c>
      <c r="Z202">
        <f>HYPERLINK("https://klasma.github.io/Logging_2361/klagomål/A 55582-2024 FSC-klagomål.docx", "A 55582-2024")</f>
        <v/>
      </c>
      <c r="AA202">
        <f>HYPERLINK("https://klasma.github.io/Logging_2361/klagomålsmail/A 55582-2024 FSC-klagomål mail.docx", "A 55582-2024")</f>
        <v/>
      </c>
      <c r="AB202">
        <f>HYPERLINK("https://klasma.github.io/Logging_2361/tillsyn/A 55582-2024 tillsynsbegäran.docx", "A 55582-2024")</f>
        <v/>
      </c>
      <c r="AC202">
        <f>HYPERLINK("https://klasma.github.io/Logging_2361/tillsynsmail/A 55582-2024 tillsynsbegäran mail.docx", "A 55582-2024")</f>
        <v/>
      </c>
    </row>
    <row r="203" ht="15" customHeight="1">
      <c r="A203" t="inlineStr">
        <is>
          <t>A 52015-2025</t>
        </is>
      </c>
      <c r="B203" t="inlineStr">
        <is>
          <t>avverkningsanmälan</t>
        </is>
      </c>
      <c r="C203" t="inlineStr">
        <is>
          <t>Föryngringsavverkning</t>
        </is>
      </c>
      <c r="D203" s="1" t="n">
        <v>45952</v>
      </c>
      <c r="E203" s="1" t="n">
        <v>46223</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s="2" t="inlineStr">
        <is>
          <t>Rödvingetrast</t>
        </is>
      </c>
      <c r="V203">
        <f>HYPERLINK("https://klasma.github.io/Logging_2361/artfynd/A 52015-2025 artfynd.xlsx", "A 52015-2025")</f>
        <v/>
      </c>
      <c r="W203">
        <f>HYPERLINK("https://klasma.github.io/Logging_2361/kartor/A 52015-2025 karta.png", "A 52015-2025")</f>
        <v/>
      </c>
      <c r="X203">
        <f>HYPERLINK("https://klasma.github.io/Logging_2361/kartor_geotiff/A 52015-2025 georefererad karta.tif", "A 52015-2025")</f>
        <v/>
      </c>
      <c r="Z203">
        <f>HYPERLINK("https://klasma.github.io/Logging_2361/klagomål/A 52015-2025 FSC-klagomål.docx", "A 52015-2025")</f>
        <v/>
      </c>
      <c r="AA203">
        <f>HYPERLINK("https://klasma.github.io/Logging_2361/klagomålsmail/A 52015-2025 FSC-klagomål mail.docx", "A 52015-2025")</f>
        <v/>
      </c>
      <c r="AB203">
        <f>HYPERLINK("https://klasma.github.io/Logging_2361/tillsyn/A 52015-2025 tillsynsbegäran.docx", "A 52015-2025")</f>
        <v/>
      </c>
      <c r="AC203">
        <f>HYPERLINK("https://klasma.github.io/Logging_2361/tillsynsmail/A 52015-2025 tillsynsbegäran mail.docx", "A 52015-2025")</f>
        <v/>
      </c>
      <c r="AD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46223</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s="2" t="inlineStr">
        <is>
          <t>Tretåig hackspett</t>
        </is>
      </c>
      <c r="V204">
        <f>HYPERLINK("https://klasma.github.io/Logging_2361/artfynd/A 52307-2025 artfynd.xlsx", "A 52307-2025")</f>
        <v/>
      </c>
      <c r="W204">
        <f>HYPERLINK("https://klasma.github.io/Logging_2361/kartor/A 52307-2025 karta.png", "A 52307-2025")</f>
        <v/>
      </c>
      <c r="X204">
        <f>HYPERLINK("https://klasma.github.io/Logging_2361/kartor_geotiff/A 52307-2025 georefererad karta.tif", "A 52307-2025")</f>
        <v/>
      </c>
      <c r="Z204">
        <f>HYPERLINK("https://klasma.github.io/Logging_2361/klagomål/A 52307-2025 FSC-klagomål.docx", "A 52307-2025")</f>
        <v/>
      </c>
      <c r="AA204">
        <f>HYPERLINK("https://klasma.github.io/Logging_2361/klagomålsmail/A 52307-2025 FSC-klagomål mail.docx", "A 52307-2025")</f>
        <v/>
      </c>
      <c r="AB204">
        <f>HYPERLINK("https://klasma.github.io/Logging_2361/tillsyn/A 52307-2025 tillsynsbegäran.docx", "A 52307-2025")</f>
        <v/>
      </c>
      <c r="AC204">
        <f>HYPERLINK("https://klasma.github.io/Logging_2361/tillsynsmail/A 52307-2025 tillsynsbegäran mail.docx", "A 52307-2025")</f>
        <v/>
      </c>
      <c r="AD204">
        <f>HYPERLINK("https://klasma.github.io/Logging_2361/fåglar/A 52307-2025 prioriterade fågelarter.docx", "A 52307-2025")</f>
        <v/>
      </c>
    </row>
    <row r="205" ht="15" customHeight="1">
      <c r="A205" t="inlineStr">
        <is>
          <t>A 18896-2025</t>
        </is>
      </c>
      <c r="B205" t="inlineStr">
        <is>
          <t>avverkningsanmälan</t>
        </is>
      </c>
      <c r="C205" t="inlineStr">
        <is>
          <t>Föryngringsavverkning</t>
        </is>
      </c>
      <c r="D205" s="1" t="n">
        <v>45764</v>
      </c>
      <c r="E205" s="1" t="n">
        <v>46223</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s="2" t="inlineStr">
        <is>
          <t>Garnlav</t>
        </is>
      </c>
      <c r="V205">
        <f>HYPERLINK("https://klasma.github.io/Logging_2361/artfynd/A 18896-2025 artfynd.xlsx", "A 18896-2025")</f>
        <v/>
      </c>
      <c r="W205">
        <f>HYPERLINK("https://klasma.github.io/Logging_2361/kartor/A 18896-2025 karta.png", "A 18896-2025")</f>
        <v/>
      </c>
      <c r="X205">
        <f>HYPERLINK("https://klasma.github.io/Logging_2361/kartor_geotiff/A 18896-2025 georefererad karta.tif", "A 18896-2025")</f>
        <v/>
      </c>
      <c r="Z205">
        <f>HYPERLINK("https://klasma.github.io/Logging_2361/klagomål/A 18896-2025 FSC-klagomål.docx", "A 18896-2025")</f>
        <v/>
      </c>
      <c r="AA205">
        <f>HYPERLINK("https://klasma.github.io/Logging_2361/klagomålsmail/A 18896-2025 FSC-klagomål mail.docx", "A 18896-2025")</f>
        <v/>
      </c>
      <c r="AB205">
        <f>HYPERLINK("https://klasma.github.io/Logging_2361/tillsyn/A 18896-2025 tillsynsbegäran.docx", "A 18896-2025")</f>
        <v/>
      </c>
      <c r="AC205">
        <f>HYPERLINK("https://klasma.github.io/Logging_2361/tillsynsmail/A 18896-2025 tillsynsbegäran mail.docx", "A 18896-2025")</f>
        <v/>
      </c>
    </row>
    <row r="206" ht="15" customHeight="1">
      <c r="A206" t="inlineStr">
        <is>
          <t>A 55758-2025</t>
        </is>
      </c>
      <c r="B206" t="inlineStr">
        <is>
          <t>avverkningsanmälan</t>
        </is>
      </c>
      <c r="C206" t="inlineStr">
        <is>
          <t>Föryngringsavverkning</t>
        </is>
      </c>
      <c r="D206" s="1" t="n">
        <v>45972</v>
      </c>
      <c r="E206" s="1" t="n">
        <v>46223</v>
      </c>
      <c r="F206" t="inlineStr">
        <is>
          <t>JÄMTLANDS LÄN</t>
        </is>
      </c>
      <c r="G206" t="inlineStr">
        <is>
          <t>HÄRJEDALEN</t>
        </is>
      </c>
      <c r="H206" t="inlineStr">
        <is>
          <t>Bergvik skog väst AB</t>
        </is>
      </c>
      <c r="I206" t="n">
        <v>6.4</v>
      </c>
      <c r="J206" t="n">
        <v>0</v>
      </c>
      <c r="K206" t="n">
        <v>0</v>
      </c>
      <c r="L206" t="n">
        <v>0</v>
      </c>
      <c r="M206" t="n">
        <v>1</v>
      </c>
      <c r="N206" t="n">
        <v>0</v>
      </c>
      <c r="O206" t="n">
        <v>0</v>
      </c>
      <c r="P206" t="n">
        <v>0</v>
      </c>
      <c r="Q206" t="n">
        <v>1</v>
      </c>
      <c r="R206" t="n">
        <v>1</v>
      </c>
      <c r="S206" t="n">
        <v>1</v>
      </c>
      <c r="T206" t="n">
        <v>1</v>
      </c>
      <c r="U206" s="2" t="inlineStr">
        <is>
          <t>Garnlav</t>
        </is>
      </c>
      <c r="V206">
        <f>HYPERLINK("https://klasma.github.io/Logging_2361/artfynd/A 55758-2025 artfynd.xlsx", "A 55758-2025")</f>
        <v/>
      </c>
      <c r="W206">
        <f>HYPERLINK("https://klasma.github.io/Logging_2361/kartor/A 55758-2025 karta.png", "A 55758-2025")</f>
        <v/>
      </c>
      <c r="X206">
        <f>HYPERLINK("https://klasma.github.io/Logging_2361/kartor_geotiff/A 55758-2025 georefererad karta.tif", "A 55758-2025")</f>
        <v/>
      </c>
      <c r="Z206">
        <f>HYPERLINK("https://klasma.github.io/Logging_2361/klagomål/A 55758-2025 FSC-klagomål.docx", "A 55758-2025")</f>
        <v/>
      </c>
      <c r="AA206">
        <f>HYPERLINK("https://klasma.github.io/Logging_2361/klagomålsmail/A 55758-2025 FSC-klagomål mail.docx", "A 55758-2025")</f>
        <v/>
      </c>
      <c r="AB206">
        <f>HYPERLINK("https://klasma.github.io/Logging_2361/tillsyn/A 55758-2025 tillsynsbegäran.docx", "A 55758-2025")</f>
        <v/>
      </c>
      <c r="AC206">
        <f>HYPERLINK("https://klasma.github.io/Logging_2361/tillsynsmail/A 55758-2025 tillsynsbegäran mail.docx", "A 55758-2025")</f>
        <v/>
      </c>
    </row>
    <row r="207" ht="15" customHeight="1">
      <c r="A207" t="inlineStr">
        <is>
          <t>A 23331-2025</t>
        </is>
      </c>
      <c r="B207" t="inlineStr">
        <is>
          <t>avverkningsanmälan</t>
        </is>
      </c>
      <c r="C207" t="inlineStr">
        <is>
          <t>Avverkning för annat ändamål</t>
        </is>
      </c>
      <c r="D207" s="1" t="n">
        <v>45791</v>
      </c>
      <c r="E207" s="1" t="n">
        <v>46223</v>
      </c>
      <c r="F207" t="inlineStr">
        <is>
          <t>JÄMTLANDS LÄN</t>
        </is>
      </c>
      <c r="G207" t="inlineStr">
        <is>
          <t>HÄRJEDALEN</t>
        </is>
      </c>
      <c r="I207" t="n">
        <v>1.6</v>
      </c>
      <c r="J207" t="n">
        <v>0</v>
      </c>
      <c r="K207" t="n">
        <v>0</v>
      </c>
      <c r="L207" t="n">
        <v>1</v>
      </c>
      <c r="M207" t="n">
        <v>0</v>
      </c>
      <c r="N207" t="n">
        <v>0</v>
      </c>
      <c r="O207" t="n">
        <v>0</v>
      </c>
      <c r="P207" t="n">
        <v>0</v>
      </c>
      <c r="Q207" t="n">
        <v>1</v>
      </c>
      <c r="R207" t="n">
        <v>0</v>
      </c>
      <c r="S207" t="n">
        <v>1</v>
      </c>
      <c r="T207" t="n">
        <v>2</v>
      </c>
      <c r="U207" s="2" t="inlineStr">
        <is>
          <t>Lunglav</t>
        </is>
      </c>
      <c r="V207">
        <f>HYPERLINK("https://klasma.github.io/Logging_2361/artfynd/A 23331-2025 artfynd.xlsx", "A 23331-2025")</f>
        <v/>
      </c>
      <c r="W207">
        <f>HYPERLINK("https://klasma.github.io/Logging_2361/kartor/A 23331-2025 karta.png", "A 23331-2025")</f>
        <v/>
      </c>
      <c r="X207">
        <f>HYPERLINK("https://klasma.github.io/Logging_2361/kartor_geotiff/A 23331-2025 georefererad karta.tif", "A 23331-2025")</f>
        <v/>
      </c>
      <c r="Z207">
        <f>HYPERLINK("https://klasma.github.io/Logging_2361/klagomål/A 23331-2025 FSC-klagomål.docx", "A 23331-2025")</f>
        <v/>
      </c>
      <c r="AA207">
        <f>HYPERLINK("https://klasma.github.io/Logging_2361/klagomålsmail/A 23331-2025 FSC-klagomål mail.docx", "A 23331-2025")</f>
        <v/>
      </c>
      <c r="AB207">
        <f>HYPERLINK("https://klasma.github.io/Logging_2361/tillsyn/A 23331-2025 tillsynsbegäran.docx", "A 23331-2025")</f>
        <v/>
      </c>
      <c r="AC207">
        <f>HYPERLINK("https://klasma.github.io/Logging_2361/tillsynsmail/A 23331-2025 tillsynsbegäran mail.docx", "A 23331-2025")</f>
        <v/>
      </c>
    </row>
    <row r="208" ht="15" customHeight="1">
      <c r="A208" t="inlineStr">
        <is>
          <t>A 11723-2026</t>
        </is>
      </c>
      <c r="B208" t="inlineStr">
        <is>
          <t>avverkningsanmälan</t>
        </is>
      </c>
      <c r="C208" t="inlineStr">
        <is>
          <t>Föryngringsavverkning</t>
        </is>
      </c>
      <c r="D208" s="1" t="n">
        <v>46084</v>
      </c>
      <c r="E208" s="1" t="n">
        <v>46223</v>
      </c>
      <c r="F208" t="inlineStr">
        <is>
          <t>JÄMTLANDS LÄN</t>
        </is>
      </c>
      <c r="G208" t="inlineStr">
        <is>
          <t>HÄRJEDALEN</t>
        </is>
      </c>
      <c r="H208" t="inlineStr">
        <is>
          <t>Sveaskog</t>
        </is>
      </c>
      <c r="I208" t="n">
        <v>8.699999999999999</v>
      </c>
      <c r="J208" t="n">
        <v>0</v>
      </c>
      <c r="K208" t="n">
        <v>0</v>
      </c>
      <c r="L208" t="n">
        <v>1</v>
      </c>
      <c r="M208" t="n">
        <v>0</v>
      </c>
      <c r="N208" t="n">
        <v>0</v>
      </c>
      <c r="O208" t="n">
        <v>0</v>
      </c>
      <c r="P208" t="n">
        <v>0</v>
      </c>
      <c r="Q208" t="n">
        <v>1</v>
      </c>
      <c r="R208" t="n">
        <v>0</v>
      </c>
      <c r="S208" t="n">
        <v>1</v>
      </c>
      <c r="T208" t="n">
        <v>1</v>
      </c>
      <c r="U208" s="2" t="inlineStr">
        <is>
          <t>Lunglav</t>
        </is>
      </c>
      <c r="V208">
        <f>HYPERLINK("https://klasma.github.io/Logging_2361/artfynd/A 11723-2026 artfynd.xlsx", "A 11723-2026")</f>
        <v/>
      </c>
      <c r="W208">
        <f>HYPERLINK("https://klasma.github.io/Logging_2361/kartor/A 11723-2026 karta.png", "A 11723-2026")</f>
        <v/>
      </c>
      <c r="X208">
        <f>HYPERLINK("https://klasma.github.io/Logging_2361/kartor_geotiff/A 11723-2026 georefererad karta.tif", "A 11723-2026")</f>
        <v/>
      </c>
      <c r="Z208">
        <f>HYPERLINK("https://klasma.github.io/Logging_2361/klagomål/A 11723-2026 FSC-klagomål.docx", "A 11723-2026")</f>
        <v/>
      </c>
      <c r="AA208">
        <f>HYPERLINK("https://klasma.github.io/Logging_2361/klagomålsmail/A 11723-2026 FSC-klagomål mail.docx", "A 11723-2026")</f>
        <v/>
      </c>
      <c r="AB208">
        <f>HYPERLINK("https://klasma.github.io/Logging_2361/tillsyn/A 11723-2026 tillsynsbegäran.docx", "A 11723-2026")</f>
        <v/>
      </c>
      <c r="AC208">
        <f>HYPERLINK("https://klasma.github.io/Logging_2361/tillsynsmail/A 11723-2026 tillsynsbegäran mail.docx", "A 11723-2026")</f>
        <v/>
      </c>
    </row>
    <row r="209" ht="15" customHeight="1">
      <c r="A209" t="inlineStr">
        <is>
          <t>A 11721-2026</t>
        </is>
      </c>
      <c r="B209" t="inlineStr">
        <is>
          <t>avverkningsanmälan</t>
        </is>
      </c>
      <c r="C209" t="inlineStr">
        <is>
          <t>Föryngringsavverkning</t>
        </is>
      </c>
      <c r="D209" s="1" t="n">
        <v>46084</v>
      </c>
      <c r="E209" s="1" t="n">
        <v>46223</v>
      </c>
      <c r="F209" t="inlineStr">
        <is>
          <t>JÄMTLANDS LÄN</t>
        </is>
      </c>
      <c r="G209" t="inlineStr">
        <is>
          <t>HÄRJEDALEN</t>
        </is>
      </c>
      <c r="H209" t="inlineStr">
        <is>
          <t>Sveaskog</t>
        </is>
      </c>
      <c r="I209" t="n">
        <v>11.9</v>
      </c>
      <c r="J209" t="n">
        <v>0</v>
      </c>
      <c r="K209" t="n">
        <v>0</v>
      </c>
      <c r="L209" t="n">
        <v>1</v>
      </c>
      <c r="M209" t="n">
        <v>0</v>
      </c>
      <c r="N209" t="n">
        <v>0</v>
      </c>
      <c r="O209" t="n">
        <v>0</v>
      </c>
      <c r="P209" t="n">
        <v>0</v>
      </c>
      <c r="Q209" t="n">
        <v>1</v>
      </c>
      <c r="R209" t="n">
        <v>0</v>
      </c>
      <c r="S209" t="n">
        <v>1</v>
      </c>
      <c r="T209" t="n">
        <v>1</v>
      </c>
      <c r="U209" s="2" t="inlineStr">
        <is>
          <t>Lunglav</t>
        </is>
      </c>
      <c r="V209">
        <f>HYPERLINK("https://klasma.github.io/Logging_2361/artfynd/A 11721-2026 artfynd.xlsx", "A 11721-2026")</f>
        <v/>
      </c>
      <c r="W209">
        <f>HYPERLINK("https://klasma.github.io/Logging_2361/kartor/A 11721-2026 karta.png", "A 11721-2026")</f>
        <v/>
      </c>
      <c r="X209">
        <f>HYPERLINK("https://klasma.github.io/Logging_2361/kartor_geotiff/A 11721-2026 georefererad karta.tif", "A 11721-2026")</f>
        <v/>
      </c>
      <c r="Z209">
        <f>HYPERLINK("https://klasma.github.io/Logging_2361/klagomål/A 11721-2026 FSC-klagomål.docx", "A 11721-2026")</f>
        <v/>
      </c>
      <c r="AA209">
        <f>HYPERLINK("https://klasma.github.io/Logging_2361/klagomålsmail/A 11721-2026 FSC-klagomål mail.docx", "A 11721-2026")</f>
        <v/>
      </c>
      <c r="AB209">
        <f>HYPERLINK("https://klasma.github.io/Logging_2361/tillsyn/A 11721-2026 tillsynsbegäran.docx", "A 11721-2026")</f>
        <v/>
      </c>
      <c r="AC209">
        <f>HYPERLINK("https://klasma.github.io/Logging_2361/tillsynsmail/A 11721-2026 tillsynsbegäran mail.docx", "A 11721-2026")</f>
        <v/>
      </c>
    </row>
    <row r="210" ht="15" customHeight="1">
      <c r="A210" t="inlineStr">
        <is>
          <t>A 11730-2026</t>
        </is>
      </c>
      <c r="B210" t="inlineStr">
        <is>
          <t>avverkningsanmälan</t>
        </is>
      </c>
      <c r="C210" t="inlineStr">
        <is>
          <t>Föryngringsavverkning</t>
        </is>
      </c>
      <c r="D210" s="1" t="n">
        <v>46084</v>
      </c>
      <c r="E210" s="1" t="n">
        <v>46223</v>
      </c>
      <c r="F210" t="inlineStr">
        <is>
          <t>JÄMTLANDS LÄN</t>
        </is>
      </c>
      <c r="G210" t="inlineStr">
        <is>
          <t>HÄRJEDALEN</t>
        </is>
      </c>
      <c r="H210" t="inlineStr">
        <is>
          <t>Sveaskog</t>
        </is>
      </c>
      <c r="I210" t="n">
        <v>28</v>
      </c>
      <c r="J210" t="n">
        <v>0</v>
      </c>
      <c r="K210" t="n">
        <v>0</v>
      </c>
      <c r="L210" t="n">
        <v>1</v>
      </c>
      <c r="M210" t="n">
        <v>0</v>
      </c>
      <c r="N210" t="n">
        <v>0</v>
      </c>
      <c r="O210" t="n">
        <v>0</v>
      </c>
      <c r="P210" t="n">
        <v>0</v>
      </c>
      <c r="Q210" t="n">
        <v>1</v>
      </c>
      <c r="R210" t="n">
        <v>0</v>
      </c>
      <c r="S210" t="n">
        <v>1</v>
      </c>
      <c r="T210" t="n">
        <v>1</v>
      </c>
      <c r="U210" s="2" t="inlineStr">
        <is>
          <t>Lunglav</t>
        </is>
      </c>
      <c r="V210">
        <f>HYPERLINK("https://klasma.github.io/Logging_2361/artfynd/A 11730-2026 artfynd.xlsx", "A 11730-2026")</f>
        <v/>
      </c>
      <c r="W210">
        <f>HYPERLINK("https://klasma.github.io/Logging_2361/kartor/A 11730-2026 karta.png", "A 11730-2026")</f>
        <v/>
      </c>
      <c r="X210">
        <f>HYPERLINK("https://klasma.github.io/Logging_2361/kartor_geotiff/A 11730-2026 georefererad karta.tif", "A 11730-2026")</f>
        <v/>
      </c>
      <c r="Z210">
        <f>HYPERLINK("https://klasma.github.io/Logging_2361/klagomål/A 11730-2026 FSC-klagomål.docx", "A 11730-2026")</f>
        <v/>
      </c>
      <c r="AA210">
        <f>HYPERLINK("https://klasma.github.io/Logging_2361/klagomålsmail/A 11730-2026 FSC-klagomål mail.docx", "A 11730-2026")</f>
        <v/>
      </c>
      <c r="AB210">
        <f>HYPERLINK("https://klasma.github.io/Logging_2361/tillsyn/A 11730-2026 tillsynsbegäran.docx", "A 11730-2026")</f>
        <v/>
      </c>
      <c r="AC210">
        <f>HYPERLINK("https://klasma.github.io/Logging_2361/tillsynsmail/A 11730-2026 tillsynsbegäran mail.docx", "A 11730-2026")</f>
        <v/>
      </c>
    </row>
    <row r="211" ht="15" customHeight="1">
      <c r="A211" t="inlineStr">
        <is>
          <t>A 54520-2024</t>
        </is>
      </c>
      <c r="B211" t="inlineStr">
        <is>
          <t>avverkningsanmälan</t>
        </is>
      </c>
      <c r="C211" t="inlineStr">
        <is>
          <t>Föryngringsavverkning</t>
        </is>
      </c>
      <c r="D211" s="1" t="n">
        <v>45617</v>
      </c>
      <c r="E211" s="1" t="n">
        <v>46223</v>
      </c>
      <c r="F211" t="inlineStr">
        <is>
          <t>JÄMTLANDS LÄN</t>
        </is>
      </c>
      <c r="G211" t="inlineStr">
        <is>
          <t>HÄRJEDALEN</t>
        </is>
      </c>
      <c r="H211" t="inlineStr">
        <is>
          <t>Holmen skog AB</t>
        </is>
      </c>
      <c r="I211" t="n">
        <v>4.6</v>
      </c>
      <c r="J211" t="n">
        <v>1</v>
      </c>
      <c r="K211" t="n">
        <v>0</v>
      </c>
      <c r="L211" t="n">
        <v>1</v>
      </c>
      <c r="M211" t="n">
        <v>0</v>
      </c>
      <c r="N211" t="n">
        <v>0</v>
      </c>
      <c r="O211" t="n">
        <v>0</v>
      </c>
      <c r="P211" t="n">
        <v>0</v>
      </c>
      <c r="Q211" t="n">
        <v>1</v>
      </c>
      <c r="R211" t="n">
        <v>0</v>
      </c>
      <c r="S211" t="n">
        <v>1</v>
      </c>
      <c r="T211" t="n">
        <v>1</v>
      </c>
      <c r="U211" s="2" t="inlineStr">
        <is>
          <t>Talltita</t>
        </is>
      </c>
      <c r="V211">
        <f>HYPERLINK("https://klasma.github.io/Logging_2361/artfynd/A 54520-2024 artfynd.xlsx", "A 54520-2024")</f>
        <v/>
      </c>
      <c r="W211">
        <f>HYPERLINK("https://klasma.github.io/Logging_2361/kartor/A 54520-2024 karta.png", "A 54520-2024")</f>
        <v/>
      </c>
      <c r="X211">
        <f>HYPERLINK("https://klasma.github.io/Logging_2361/kartor_geotiff/A 54520-2024 georefererad karta.tif", "A 54520-2024")</f>
        <v/>
      </c>
      <c r="Z211">
        <f>HYPERLINK("https://klasma.github.io/Logging_2361/klagomål/A 54520-2024 FSC-klagomål.docx", "A 54520-2024")</f>
        <v/>
      </c>
      <c r="AA211">
        <f>HYPERLINK("https://klasma.github.io/Logging_2361/klagomålsmail/A 54520-2024 FSC-klagomål mail.docx", "A 54520-2024")</f>
        <v/>
      </c>
      <c r="AB211">
        <f>HYPERLINK("https://klasma.github.io/Logging_2361/tillsyn/A 54520-2024 tillsynsbegäran.docx", "A 54520-2024")</f>
        <v/>
      </c>
      <c r="AC211">
        <f>HYPERLINK("https://klasma.github.io/Logging_2361/tillsynsmail/A 54520-2024 tillsynsbegäran mail.docx", "A 54520-2024")</f>
        <v/>
      </c>
      <c r="AD211">
        <f>HYPERLINK("https://klasma.github.io/Logging_2361/fåglar/A 54520-2024 prioriterade fågelarter.docx", "A 54520-2024")</f>
        <v/>
      </c>
    </row>
    <row r="212" ht="15" customHeight="1">
      <c r="A212" t="inlineStr">
        <is>
          <t>A 2066-2024</t>
        </is>
      </c>
      <c r="B212" t="inlineStr">
        <is>
          <t>avverkningsanmälan</t>
        </is>
      </c>
      <c r="C212" t="inlineStr">
        <is>
          <t>Föryngringsavverkning</t>
        </is>
      </c>
      <c r="D212" s="1" t="n">
        <v>45308</v>
      </c>
      <c r="E212" s="1" t="n">
        <v>46223</v>
      </c>
      <c r="F212" t="inlineStr">
        <is>
          <t>JÄMTLANDS LÄN</t>
        </is>
      </c>
      <c r="G212" t="inlineStr">
        <is>
          <t>HÄRJEDALEN</t>
        </is>
      </c>
      <c r="I212" t="n">
        <v>23.2</v>
      </c>
      <c r="J212" t="n">
        <v>1</v>
      </c>
      <c r="K212" t="n">
        <v>0</v>
      </c>
      <c r="L212" t="n">
        <v>0</v>
      </c>
      <c r="M212" t="n">
        <v>0</v>
      </c>
      <c r="N212" t="n">
        <v>0</v>
      </c>
      <c r="O212" t="n">
        <v>0</v>
      </c>
      <c r="P212" t="n">
        <v>0</v>
      </c>
      <c r="Q212" t="n">
        <v>0</v>
      </c>
      <c r="R212" t="n">
        <v>0</v>
      </c>
      <c r="S212" t="n">
        <v>1</v>
      </c>
      <c r="T212" t="n">
        <v>1</v>
      </c>
      <c r="U212" s="2" t="inlineStr">
        <is>
          <t>Spillkråka</t>
        </is>
      </c>
      <c r="V212">
        <f>HYPERLINK("https://klasma.github.io/Logging_2361/artfynd/A 2066-2024 artfynd.xlsx", "A 2066-2024")</f>
        <v/>
      </c>
      <c r="W212">
        <f>HYPERLINK("https://klasma.github.io/Logging_2361/kartor/A 2066-2024 karta.png", "A 2066-2024")</f>
        <v/>
      </c>
      <c r="X212">
        <f>HYPERLINK("https://klasma.github.io/Logging_2361/kartor_geotiff/A 2066-2024 georefererad karta.tif", "A 2066-2024")</f>
        <v/>
      </c>
      <c r="Z212">
        <f>HYPERLINK("https://klasma.github.io/Logging_2361/klagomål/A 2066-2024 FSC-klagomål.docx", "A 2066-2024")</f>
        <v/>
      </c>
      <c r="AA212">
        <f>HYPERLINK("https://klasma.github.io/Logging_2361/klagomålsmail/A 2066-2024 FSC-klagomål mail.docx", "A 2066-2024")</f>
        <v/>
      </c>
      <c r="AB212">
        <f>HYPERLINK("https://klasma.github.io/Logging_2361/tillsyn/A 2066-2024 tillsynsbegäran.docx", "A 2066-2024")</f>
        <v/>
      </c>
      <c r="AC212">
        <f>HYPERLINK("https://klasma.github.io/Logging_2361/tillsynsmail/A 2066-2024 tillsynsbegäran mail.docx", "A 2066-2024")</f>
        <v/>
      </c>
      <c r="AD212">
        <f>HYPERLINK("https://klasma.github.io/Logging_2361/fåglar/A 2066-2024 prioriterade fågelarter.docx", "A 2066-2024")</f>
        <v/>
      </c>
    </row>
    <row r="213" ht="15" customHeight="1">
      <c r="A213" t="inlineStr">
        <is>
          <t>A 31414-2025</t>
        </is>
      </c>
      <c r="B213" t="inlineStr">
        <is>
          <t>avverkningsanmälan</t>
        </is>
      </c>
      <c r="C213" t="inlineStr">
        <is>
          <t>Föryngringsavverkning</t>
        </is>
      </c>
      <c r="D213" s="1" t="n">
        <v>45833</v>
      </c>
      <c r="E213" s="1" t="n">
        <v>46223</v>
      </c>
      <c r="F213" t="inlineStr">
        <is>
          <t>JÄMTLANDS LÄN</t>
        </is>
      </c>
      <c r="G213" t="inlineStr">
        <is>
          <t>HÄRJEDALEN</t>
        </is>
      </c>
      <c r="I213" t="n">
        <v>40.4</v>
      </c>
      <c r="J213" t="n">
        <v>0</v>
      </c>
      <c r="K213" t="n">
        <v>0</v>
      </c>
      <c r="L213" t="n">
        <v>1</v>
      </c>
      <c r="M213" t="n">
        <v>0</v>
      </c>
      <c r="N213" t="n">
        <v>0</v>
      </c>
      <c r="O213" t="n">
        <v>0</v>
      </c>
      <c r="P213" t="n">
        <v>0</v>
      </c>
      <c r="Q213" t="n">
        <v>1</v>
      </c>
      <c r="R213" t="n">
        <v>0</v>
      </c>
      <c r="S213" t="n">
        <v>1</v>
      </c>
      <c r="T213" t="n">
        <v>1</v>
      </c>
      <c r="U213" s="2" t="inlineStr">
        <is>
          <t>Blanksvart spiklav</t>
        </is>
      </c>
      <c r="V213">
        <f>HYPERLINK("https://klasma.github.io/Logging_2361/artfynd/A 31414-2025 artfynd.xlsx", "A 31414-2025")</f>
        <v/>
      </c>
      <c r="W213">
        <f>HYPERLINK("https://klasma.github.io/Logging_2361/kartor/A 31414-2025 karta.png", "A 31414-2025")</f>
        <v/>
      </c>
      <c r="X213">
        <f>HYPERLINK("https://klasma.github.io/Logging_2361/kartor_geotiff/A 31414-2025 georefererad karta.tif", "A 31414-2025")</f>
        <v/>
      </c>
      <c r="Z213">
        <f>HYPERLINK("https://klasma.github.io/Logging_2361/klagomål/A 31414-2025 FSC-klagomål.docx", "A 31414-2025")</f>
        <v/>
      </c>
      <c r="AA213">
        <f>HYPERLINK("https://klasma.github.io/Logging_2361/klagomålsmail/A 31414-2025 FSC-klagomål mail.docx", "A 31414-2025")</f>
        <v/>
      </c>
      <c r="AB213">
        <f>HYPERLINK("https://klasma.github.io/Logging_2361/tillsyn/A 31414-2025 tillsynsbegäran.docx", "A 31414-2025")</f>
        <v/>
      </c>
      <c r="AC213">
        <f>HYPERLINK("https://klasma.github.io/Logging_2361/tillsynsmail/A 31414-2025 tillsynsbegäran mail.docx", "A 31414-2025")</f>
        <v/>
      </c>
    </row>
    <row r="214" ht="15" customHeight="1">
      <c r="A214" t="inlineStr">
        <is>
          <t>A 63648-2025</t>
        </is>
      </c>
      <c r="B214" t="inlineStr">
        <is>
          <t>avverkningsanmälan</t>
        </is>
      </c>
      <c r="C214" t="inlineStr">
        <is>
          <t>Föryngringsavverkning</t>
        </is>
      </c>
      <c r="D214" s="1" t="n">
        <v>46014</v>
      </c>
      <c r="E214" s="1" t="n">
        <v>46223</v>
      </c>
      <c r="F214" t="inlineStr">
        <is>
          <t>JÄMTLANDS LÄN</t>
        </is>
      </c>
      <c r="G214" t="inlineStr">
        <is>
          <t>HÄRJEDALEN</t>
        </is>
      </c>
      <c r="I214" t="n">
        <v>3.9</v>
      </c>
      <c r="J214" t="n">
        <v>0</v>
      </c>
      <c r="K214" t="n">
        <v>0</v>
      </c>
      <c r="L214" t="n">
        <v>1</v>
      </c>
      <c r="M214" t="n">
        <v>0</v>
      </c>
      <c r="N214" t="n">
        <v>0</v>
      </c>
      <c r="O214" t="n">
        <v>0</v>
      </c>
      <c r="P214" t="n">
        <v>0</v>
      </c>
      <c r="Q214" t="n">
        <v>1</v>
      </c>
      <c r="R214" t="n">
        <v>0</v>
      </c>
      <c r="S214" t="n">
        <v>1</v>
      </c>
      <c r="T214" t="n">
        <v>1</v>
      </c>
      <c r="U214" s="2" t="inlineStr">
        <is>
          <t>Blå taggsvamp</t>
        </is>
      </c>
      <c r="V214">
        <f>HYPERLINK("https://klasma.github.io/Logging_2361/artfynd/A 63648-2025 artfynd.xlsx", "A 63648-2025")</f>
        <v/>
      </c>
      <c r="W214">
        <f>HYPERLINK("https://klasma.github.io/Logging_2361/kartor/A 63648-2025 karta.png", "A 63648-2025")</f>
        <v/>
      </c>
      <c r="X214">
        <f>HYPERLINK("https://klasma.github.io/Logging_2361/kartor_geotiff/A 63648-2025 georefererad karta.tif", "A 63648-2025")</f>
        <v/>
      </c>
      <c r="Z214">
        <f>HYPERLINK("https://klasma.github.io/Logging_2361/klagomål/A 63648-2025 FSC-klagomål.docx", "A 63648-2025")</f>
        <v/>
      </c>
      <c r="AA214">
        <f>HYPERLINK("https://klasma.github.io/Logging_2361/klagomålsmail/A 63648-2025 FSC-klagomål mail.docx", "A 63648-2025")</f>
        <v/>
      </c>
      <c r="AB214">
        <f>HYPERLINK("https://klasma.github.io/Logging_2361/tillsyn/A 63648-2025 tillsynsbegäran.docx", "A 63648-2025")</f>
        <v/>
      </c>
      <c r="AC214">
        <f>HYPERLINK("https://klasma.github.io/Logging_2361/tillsynsmail/A 63648-2025 tillsynsbegäran mail.docx", "A 63648-2025")</f>
        <v/>
      </c>
    </row>
    <row r="215" ht="15" customHeight="1">
      <c r="A215" t="inlineStr">
        <is>
          <t>A 7327-2024</t>
        </is>
      </c>
      <c r="B215" t="inlineStr">
        <is>
          <t>avverkningsanmälan</t>
        </is>
      </c>
      <c r="C215" t="inlineStr">
        <is>
          <t>Avverkning för annat ändamål</t>
        </is>
      </c>
      <c r="D215" s="1" t="n">
        <v>45345</v>
      </c>
      <c r="E215" s="1" t="n">
        <v>46223</v>
      </c>
      <c r="F215" t="inlineStr">
        <is>
          <t>JÄMTLANDS LÄN</t>
        </is>
      </c>
      <c r="G215" t="inlineStr">
        <is>
          <t>HÄRJEDALEN</t>
        </is>
      </c>
      <c r="H215" t="inlineStr">
        <is>
          <t>Sveaskog</t>
        </is>
      </c>
      <c r="I215" t="n">
        <v>0.3</v>
      </c>
      <c r="J215" t="n">
        <v>0</v>
      </c>
      <c r="K215" t="n">
        <v>0</v>
      </c>
      <c r="L215" t="n">
        <v>1</v>
      </c>
      <c r="M215" t="n">
        <v>0</v>
      </c>
      <c r="N215" t="n">
        <v>0</v>
      </c>
      <c r="O215" t="n">
        <v>0</v>
      </c>
      <c r="P215" t="n">
        <v>0</v>
      </c>
      <c r="Q215" t="n">
        <v>1</v>
      </c>
      <c r="R215" t="n">
        <v>0</v>
      </c>
      <c r="S215" t="n">
        <v>1</v>
      </c>
      <c r="T215" t="n">
        <v>1</v>
      </c>
      <c r="U215" s="2" t="inlineStr">
        <is>
          <t>Kolflarnlav</t>
        </is>
      </c>
      <c r="V215">
        <f>HYPERLINK("https://klasma.github.io/Logging_2361/artfynd/A 7327-2024 artfynd.xlsx", "A 7327-2024")</f>
        <v/>
      </c>
      <c r="W215">
        <f>HYPERLINK("https://klasma.github.io/Logging_2361/kartor/A 7327-2024 karta.png", "A 7327-2024")</f>
        <v/>
      </c>
      <c r="X215">
        <f>HYPERLINK("https://klasma.github.io/Logging_2361/kartor_geotiff/A 7327-2024 georefererad karta.tif", "A 7327-2024")</f>
        <v/>
      </c>
      <c r="Z215">
        <f>HYPERLINK("https://klasma.github.io/Logging_2361/klagomål/A 7327-2024 FSC-klagomål.docx", "A 7327-2024")</f>
        <v/>
      </c>
      <c r="AA215">
        <f>HYPERLINK("https://klasma.github.io/Logging_2361/klagomålsmail/A 7327-2024 FSC-klagomål mail.docx", "A 7327-2024")</f>
        <v/>
      </c>
      <c r="AB215">
        <f>HYPERLINK("https://klasma.github.io/Logging_2361/tillsyn/A 7327-2024 tillsynsbegäran.docx", "A 7327-2024")</f>
        <v/>
      </c>
      <c r="AC215">
        <f>HYPERLINK("https://klasma.github.io/Logging_2361/tillsynsmail/A 7327-2024 tillsynsbegäran mail.docx", "A 7327-2024")</f>
        <v/>
      </c>
    </row>
    <row r="216" ht="15" customHeight="1">
      <c r="A216" t="inlineStr">
        <is>
          <t>A 18616-2026</t>
        </is>
      </c>
      <c r="B216" t="inlineStr">
        <is>
          <t>avverkningsanmälan</t>
        </is>
      </c>
      <c r="C216" t="inlineStr">
        <is>
          <t>Föryngringsavverkning</t>
        </is>
      </c>
      <c r="D216" s="1" t="n">
        <v>46127</v>
      </c>
      <c r="E216" s="1" t="n">
        <v>46223</v>
      </c>
      <c r="F216" t="inlineStr">
        <is>
          <t>JÄMTLANDS LÄN</t>
        </is>
      </c>
      <c r="G216" t="inlineStr">
        <is>
          <t>HÄRJEDALEN</t>
        </is>
      </c>
      <c r="H216" t="inlineStr">
        <is>
          <t>Sveaskog</t>
        </is>
      </c>
      <c r="I216" t="n">
        <v>12.5</v>
      </c>
      <c r="J216" t="n">
        <v>0</v>
      </c>
      <c r="K216" t="n">
        <v>0</v>
      </c>
      <c r="L216" t="n">
        <v>1</v>
      </c>
      <c r="M216" t="n">
        <v>0</v>
      </c>
      <c r="N216" t="n">
        <v>0</v>
      </c>
      <c r="O216" t="n">
        <v>0</v>
      </c>
      <c r="P216" t="n">
        <v>0</v>
      </c>
      <c r="Q216" t="n">
        <v>1</v>
      </c>
      <c r="R216" t="n">
        <v>0</v>
      </c>
      <c r="S216" t="n">
        <v>1</v>
      </c>
      <c r="T216" t="n">
        <v>1</v>
      </c>
      <c r="U216" s="2" t="inlineStr">
        <is>
          <t>Lunglav</t>
        </is>
      </c>
      <c r="V216">
        <f>HYPERLINK("https://klasma.github.io/Logging_2361/artfynd/A 18616-2026 artfynd.xlsx", "A 18616-2026")</f>
        <v/>
      </c>
      <c r="W216">
        <f>HYPERLINK("https://klasma.github.io/Logging_2361/kartor/A 18616-2026 karta.png", "A 18616-2026")</f>
        <v/>
      </c>
      <c r="X216">
        <f>HYPERLINK("https://klasma.github.io/Logging_2361/kartor_geotiff/A 18616-2026 georefererad karta.tif", "A 18616-2026")</f>
        <v/>
      </c>
      <c r="Z216">
        <f>HYPERLINK("https://klasma.github.io/Logging_2361/klagomål/A 18616-2026 FSC-klagomål.docx", "A 18616-2026")</f>
        <v/>
      </c>
      <c r="AA216">
        <f>HYPERLINK("https://klasma.github.io/Logging_2361/klagomålsmail/A 18616-2026 FSC-klagomål mail.docx", "A 18616-2026")</f>
        <v/>
      </c>
      <c r="AB216">
        <f>HYPERLINK("https://klasma.github.io/Logging_2361/tillsyn/A 18616-2026 tillsynsbegäran.docx", "A 18616-2026")</f>
        <v/>
      </c>
      <c r="AC216">
        <f>HYPERLINK("https://klasma.github.io/Logging_2361/tillsynsmail/A 18616-2026 tillsynsbegäran mail.docx", "A 18616-2026")</f>
        <v/>
      </c>
    </row>
    <row r="217" ht="15" customHeight="1">
      <c r="A217" t="inlineStr">
        <is>
          <t>A 8215-2024</t>
        </is>
      </c>
      <c r="B217" t="inlineStr">
        <is>
          <t>avverkningsanmälan</t>
        </is>
      </c>
      <c r="C217" t="inlineStr">
        <is>
          <t>Föryngringsavverkning</t>
        </is>
      </c>
      <c r="D217" s="1" t="n">
        <v>45351</v>
      </c>
      <c r="E217" s="1" t="n">
        <v>46223</v>
      </c>
      <c r="F217" t="inlineStr">
        <is>
          <t>JÄMTLANDS LÄN</t>
        </is>
      </c>
      <c r="G217" t="inlineStr">
        <is>
          <t>HÄRJEDALEN</t>
        </is>
      </c>
      <c r="I217" t="n">
        <v>49.2</v>
      </c>
      <c r="J217" t="n">
        <v>0</v>
      </c>
      <c r="K217" t="n">
        <v>0</v>
      </c>
      <c r="L217" t="n">
        <v>0</v>
      </c>
      <c r="M217" t="n">
        <v>1</v>
      </c>
      <c r="N217" t="n">
        <v>0</v>
      </c>
      <c r="O217" t="n">
        <v>0</v>
      </c>
      <c r="P217" t="n">
        <v>0</v>
      </c>
      <c r="Q217" t="n">
        <v>1</v>
      </c>
      <c r="R217" t="n">
        <v>1</v>
      </c>
      <c r="S217" t="n">
        <v>1</v>
      </c>
      <c r="T217" t="n">
        <v>1</v>
      </c>
      <c r="U217" s="2" t="inlineStr">
        <is>
          <t>Skrovlig taggsvamp</t>
        </is>
      </c>
      <c r="V217">
        <f>HYPERLINK("https://klasma.github.io/Logging_2361/artfynd/A 8215-2024 artfynd.xlsx", "A 8215-2024")</f>
        <v/>
      </c>
      <c r="W217">
        <f>HYPERLINK("https://klasma.github.io/Logging_2361/kartor/A 8215-2024 karta.png", "A 8215-2024")</f>
        <v/>
      </c>
      <c r="X217">
        <f>HYPERLINK("https://klasma.github.io/Logging_2361/kartor_geotiff/A 8215-2024 georefererad karta.tif", "A 8215-2024")</f>
        <v/>
      </c>
      <c r="Z217">
        <f>HYPERLINK("https://klasma.github.io/Logging_2361/klagomål/A 8215-2024 FSC-klagomål.docx", "A 8215-2024")</f>
        <v/>
      </c>
      <c r="AA217">
        <f>HYPERLINK("https://klasma.github.io/Logging_2361/klagomålsmail/A 8215-2024 FSC-klagomål mail.docx", "A 8215-2024")</f>
        <v/>
      </c>
      <c r="AB217">
        <f>HYPERLINK("https://klasma.github.io/Logging_2361/tillsyn/A 8215-2024 tillsynsbegäran.docx", "A 8215-2024")</f>
        <v/>
      </c>
      <c r="AC217">
        <f>HYPERLINK("https://klasma.github.io/Logging_2361/tillsynsmail/A 8215-2024 tillsynsbegäran mail.docx", "A 8215-2024")</f>
        <v/>
      </c>
    </row>
    <row r="218" ht="15" customHeight="1">
      <c r="A218" t="inlineStr">
        <is>
          <t>A 30330-2023</t>
        </is>
      </c>
      <c r="B218" t="inlineStr">
        <is>
          <t>avverkningsanmälan</t>
        </is>
      </c>
      <c r="C218" t="inlineStr">
        <is>
          <t>Föryngringsavverkning</t>
        </is>
      </c>
      <c r="D218" s="1" t="n">
        <v>45111</v>
      </c>
      <c r="E218" s="1" t="n">
        <v>46223</v>
      </c>
      <c r="F218" t="inlineStr">
        <is>
          <t>JÄMTLANDS LÄN</t>
        </is>
      </c>
      <c r="G218" t="inlineStr">
        <is>
          <t>HÄRJEDALEN</t>
        </is>
      </c>
      <c r="H218" t="inlineStr">
        <is>
          <t>Bergvik skog väst AB</t>
        </is>
      </c>
      <c r="I218" t="n">
        <v>7.7</v>
      </c>
      <c r="J218" t="n">
        <v>1</v>
      </c>
      <c r="K218" t="n">
        <v>0</v>
      </c>
      <c r="L218" t="n">
        <v>0</v>
      </c>
      <c r="M218" t="n">
        <v>0</v>
      </c>
      <c r="N218" t="n">
        <v>1</v>
      </c>
      <c r="O218" t="n">
        <v>0</v>
      </c>
      <c r="P218" t="n">
        <v>0</v>
      </c>
      <c r="Q218" t="n">
        <v>1</v>
      </c>
      <c r="R218" t="n">
        <v>1</v>
      </c>
      <c r="S218" t="n">
        <v>1</v>
      </c>
      <c r="T218" t="n">
        <v>1</v>
      </c>
      <c r="U218" s="2" t="inlineStr">
        <is>
          <t>Mosippa</t>
        </is>
      </c>
      <c r="V218">
        <f>HYPERLINK("https://klasma.github.io/Logging_2361/artfynd/A 30330-2023 artfynd.xlsx", "A 30330-2023")</f>
        <v/>
      </c>
      <c r="W218">
        <f>HYPERLINK("https://klasma.github.io/Logging_2361/kartor/A 30330-2023 karta.png", "A 30330-2023")</f>
        <v/>
      </c>
      <c r="X218">
        <f>HYPERLINK("https://klasma.github.io/Logging_2361/kartor_geotiff/A 30330-2023 georefererad karta.tif", "A 30330-2023")</f>
        <v/>
      </c>
      <c r="Z218">
        <f>HYPERLINK("https://klasma.github.io/Logging_2361/klagomål/A 30330-2023 FSC-klagomål.docx", "A 30330-2023")</f>
        <v/>
      </c>
      <c r="AA218">
        <f>HYPERLINK("https://klasma.github.io/Logging_2361/klagomålsmail/A 30330-2023 FSC-klagomål mail.docx", "A 30330-2023")</f>
        <v/>
      </c>
      <c r="AB218">
        <f>HYPERLINK("https://klasma.github.io/Logging_2361/tillsyn/A 30330-2023 tillsynsbegäran.docx", "A 30330-2023")</f>
        <v/>
      </c>
      <c r="AC218">
        <f>HYPERLINK("https://klasma.github.io/Logging_2361/tillsynsmail/A 30330-2023 tillsynsbegäran mail.docx", "A 30330-2023")</f>
        <v/>
      </c>
    </row>
    <row r="219" ht="15" customHeight="1">
      <c r="A219" t="inlineStr">
        <is>
          <t>A 59367-2024</t>
        </is>
      </c>
      <c r="B219" t="inlineStr">
        <is>
          <t>avverkningsanmälan</t>
        </is>
      </c>
      <c r="C219" t="inlineStr">
        <is>
          <t>Föryngringsavverkning</t>
        </is>
      </c>
      <c r="D219" s="1" t="n">
        <v>45638</v>
      </c>
      <c r="E219" s="1" t="n">
        <v>46223</v>
      </c>
      <c r="F219" t="inlineStr">
        <is>
          <t>JÄMTLANDS LÄN</t>
        </is>
      </c>
      <c r="G219" t="inlineStr">
        <is>
          <t>HÄRJEDALEN</t>
        </is>
      </c>
      <c r="H219" t="inlineStr">
        <is>
          <t>Holmen skog AB</t>
        </is>
      </c>
      <c r="I219" t="n">
        <v>5.9</v>
      </c>
      <c r="J219" t="n">
        <v>0</v>
      </c>
      <c r="K219" t="n">
        <v>0</v>
      </c>
      <c r="L219" t="n">
        <v>1</v>
      </c>
      <c r="M219" t="n">
        <v>0</v>
      </c>
      <c r="N219" t="n">
        <v>0</v>
      </c>
      <c r="O219" t="n">
        <v>0</v>
      </c>
      <c r="P219" t="n">
        <v>0</v>
      </c>
      <c r="Q219" t="n">
        <v>1</v>
      </c>
      <c r="R219" t="n">
        <v>0</v>
      </c>
      <c r="S219" t="n">
        <v>1</v>
      </c>
      <c r="T219" t="n">
        <v>1</v>
      </c>
      <c r="U219" s="2" t="inlineStr">
        <is>
          <t>Vedflamlav</t>
        </is>
      </c>
      <c r="V219">
        <f>HYPERLINK("https://klasma.github.io/Logging_2361/artfynd/A 59367-2024 artfynd.xlsx", "A 59367-2024")</f>
        <v/>
      </c>
      <c r="W219">
        <f>HYPERLINK("https://klasma.github.io/Logging_2361/kartor/A 59367-2024 karta.png", "A 59367-2024")</f>
        <v/>
      </c>
      <c r="X219">
        <f>HYPERLINK("https://klasma.github.io/Logging_2361/kartor_geotiff/A 59367-2024 georefererad karta.tif", "A 59367-2024")</f>
        <v/>
      </c>
      <c r="Z219">
        <f>HYPERLINK("https://klasma.github.io/Logging_2361/klagomål/A 59367-2024 FSC-klagomål.docx", "A 59367-2024")</f>
        <v/>
      </c>
      <c r="AA219">
        <f>HYPERLINK("https://klasma.github.io/Logging_2361/klagomålsmail/A 59367-2024 FSC-klagomål mail.docx", "A 59367-2024")</f>
        <v/>
      </c>
      <c r="AB219">
        <f>HYPERLINK("https://klasma.github.io/Logging_2361/tillsyn/A 59367-2024 tillsynsbegäran.docx", "A 59367-2024")</f>
        <v/>
      </c>
      <c r="AC219">
        <f>HYPERLINK("https://klasma.github.io/Logging_2361/tillsynsmail/A 59367-2024 tillsynsbegäran mail.docx", "A 59367-2024")</f>
        <v/>
      </c>
    </row>
    <row r="220" ht="15" customHeight="1">
      <c r="A220" t="inlineStr">
        <is>
          <t>A 51964-2024</t>
        </is>
      </c>
      <c r="B220" t="inlineStr">
        <is>
          <t>avverkningsanmälan</t>
        </is>
      </c>
      <c r="C220" t="inlineStr">
        <is>
          <t>Föryngringsavverkning</t>
        </is>
      </c>
      <c r="D220" s="1" t="n">
        <v>45607</v>
      </c>
      <c r="E220" s="1" t="n">
        <v>46223</v>
      </c>
      <c r="F220" t="inlineStr">
        <is>
          <t>JÄMTLANDS LÄN</t>
        </is>
      </c>
      <c r="G220" t="inlineStr">
        <is>
          <t>HÄRJEDALEN</t>
        </is>
      </c>
      <c r="H220" t="inlineStr">
        <is>
          <t>Holmen skog AB</t>
        </is>
      </c>
      <c r="I220" t="n">
        <v>5</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HYPERLINK("https://klasma.github.io/Logging_2361/artfynd/A 51964-2024 artfynd.xlsx", "A 51964-2024")</f>
        <v/>
      </c>
      <c r="W220">
        <f>HYPERLINK("https://klasma.github.io/Logging_2361/kartor/A 51964-2024 karta.png", "A 51964-2024")</f>
        <v/>
      </c>
      <c r="X220">
        <f>HYPERLINK("https://klasma.github.io/Logging_2361/kartor_geotiff/A 51964-2024 georefererad karta.tif", "A 51964-2024")</f>
        <v/>
      </c>
      <c r="Z220">
        <f>HYPERLINK("https://klasma.github.io/Logging_2361/klagomål/A 51964-2024 FSC-klagomål.docx", "A 51964-2024")</f>
        <v/>
      </c>
      <c r="AA220">
        <f>HYPERLINK("https://klasma.github.io/Logging_2361/klagomålsmail/A 51964-2024 FSC-klagomål mail.docx", "A 51964-2024")</f>
        <v/>
      </c>
      <c r="AB220">
        <f>HYPERLINK("https://klasma.github.io/Logging_2361/tillsyn/A 51964-2024 tillsynsbegäran.docx", "A 51964-2024")</f>
        <v/>
      </c>
      <c r="AC220">
        <f>HYPERLINK("https://klasma.github.io/Logging_2361/tillsynsmail/A 51964-2024 tillsynsbegäran mail.docx", "A 51964-2024")</f>
        <v/>
      </c>
      <c r="AD220">
        <f>HYPERLINK("https://klasma.github.io/Logging_2361/fåglar/A 51964-2024 prioriterade fågelarter.docx", "A 51964-2024")</f>
        <v/>
      </c>
    </row>
    <row r="221" ht="15" customHeight="1">
      <c r="A221" t="inlineStr">
        <is>
          <t>A 20967-2026</t>
        </is>
      </c>
      <c r="B221" t="inlineStr">
        <is>
          <t>avverkningsanmälan</t>
        </is>
      </c>
      <c r="C221" t="inlineStr">
        <is>
          <t>Föryngringsavverkning</t>
        </is>
      </c>
      <c r="D221" s="1" t="n">
        <v>46142</v>
      </c>
      <c r="E221" s="1" t="n">
        <v>46223</v>
      </c>
      <c r="F221" t="inlineStr">
        <is>
          <t>JÄMTLANDS LÄN</t>
        </is>
      </c>
      <c r="G221" t="inlineStr">
        <is>
          <t>HÄRJEDALEN</t>
        </is>
      </c>
      <c r="H221" t="inlineStr">
        <is>
          <t>Sveaskog</t>
        </is>
      </c>
      <c r="I221" t="n">
        <v>17.2</v>
      </c>
      <c r="J221" t="n">
        <v>0</v>
      </c>
      <c r="K221" t="n">
        <v>0</v>
      </c>
      <c r="L221" t="n">
        <v>0</v>
      </c>
      <c r="M221" t="n">
        <v>1</v>
      </c>
      <c r="N221" t="n">
        <v>0</v>
      </c>
      <c r="O221" t="n">
        <v>0</v>
      </c>
      <c r="P221" t="n">
        <v>0</v>
      </c>
      <c r="Q221" t="n">
        <v>1</v>
      </c>
      <c r="R221" t="n">
        <v>1</v>
      </c>
      <c r="S221" t="n">
        <v>1</v>
      </c>
      <c r="T221" t="n">
        <v>1</v>
      </c>
      <c r="U221" s="2" t="inlineStr">
        <is>
          <t>Garnlav</t>
        </is>
      </c>
      <c r="V221">
        <f>HYPERLINK("https://klasma.github.io/Logging_2361/artfynd/A 20967-2026 artfynd.xlsx", "A 20967-2026")</f>
        <v/>
      </c>
      <c r="W221">
        <f>HYPERLINK("https://klasma.github.io/Logging_2361/kartor/A 20967-2026 karta.png", "A 20967-2026")</f>
        <v/>
      </c>
      <c r="X221">
        <f>HYPERLINK("https://klasma.github.io/Logging_2361/kartor_geotiff/A 20967-2026 georefererad karta.tif", "A 20967-2026")</f>
        <v/>
      </c>
      <c r="Z221">
        <f>HYPERLINK("https://klasma.github.io/Logging_2361/klagomål/A 20967-2026 FSC-klagomål.docx", "A 20967-2026")</f>
        <v/>
      </c>
      <c r="AA221">
        <f>HYPERLINK("https://klasma.github.io/Logging_2361/klagomålsmail/A 20967-2026 FSC-klagomål mail.docx", "A 20967-2026")</f>
        <v/>
      </c>
      <c r="AB221">
        <f>HYPERLINK("https://klasma.github.io/Logging_2361/tillsyn/A 20967-2026 tillsynsbegäran.docx", "A 20967-2026")</f>
        <v/>
      </c>
      <c r="AC221">
        <f>HYPERLINK("https://klasma.github.io/Logging_2361/tillsynsmail/A 20967-2026 tillsynsbegäran mail.docx", "A 20967-2026")</f>
        <v/>
      </c>
    </row>
    <row r="222" ht="15" customHeight="1">
      <c r="A222" t="inlineStr">
        <is>
          <t>A 26869-2026</t>
        </is>
      </c>
      <c r="B222" t="inlineStr">
        <is>
          <t>avverkningsanmälan</t>
        </is>
      </c>
      <c r="C222" t="inlineStr">
        <is>
          <t>Avverkning för att bevara och utveckla /försöksver</t>
        </is>
      </c>
      <c r="D222" s="1" t="n">
        <v>46185</v>
      </c>
      <c r="E222" s="1" t="n">
        <v>46223</v>
      </c>
      <c r="F222" t="inlineStr">
        <is>
          <t>JÄMTLANDS LÄN</t>
        </is>
      </c>
      <c r="G222" t="inlineStr">
        <is>
          <t>HÄRJEDALEN</t>
        </is>
      </c>
      <c r="H222" t="inlineStr">
        <is>
          <t>Sveaskog</t>
        </is>
      </c>
      <c r="I222" t="n">
        <v>1.6</v>
      </c>
      <c r="J222" t="n">
        <v>0</v>
      </c>
      <c r="K222" t="n">
        <v>0</v>
      </c>
      <c r="L222" t="n">
        <v>1</v>
      </c>
      <c r="M222" t="n">
        <v>0</v>
      </c>
      <c r="N222" t="n">
        <v>0</v>
      </c>
      <c r="O222" t="n">
        <v>0</v>
      </c>
      <c r="P222" t="n">
        <v>0</v>
      </c>
      <c r="Q222" t="n">
        <v>1</v>
      </c>
      <c r="R222" t="n">
        <v>0</v>
      </c>
      <c r="S222" t="n">
        <v>1</v>
      </c>
      <c r="T222" t="n">
        <v>1</v>
      </c>
      <c r="U222" s="2" t="inlineStr">
        <is>
          <t>Lunglav</t>
        </is>
      </c>
      <c r="V222">
        <f>HYPERLINK("https://klasma.github.io/Logging_2361/artfynd/A 26869-2026 artfynd.xlsx", "A 26869-2026")</f>
        <v/>
      </c>
      <c r="W222">
        <f>HYPERLINK("https://klasma.github.io/Logging_2361/kartor/A 26869-2026 karta.png", "A 26869-2026")</f>
        <v/>
      </c>
      <c r="X222">
        <f>HYPERLINK("https://klasma.github.io/Logging_2361/kartor_geotiff/A 26869-2026 georefererad karta.tif", "A 26869-2026")</f>
        <v/>
      </c>
      <c r="Z222">
        <f>HYPERLINK("https://klasma.github.io/Logging_2361/klagomål/A 26869-2026 FSC-klagomål.docx", "A 26869-2026")</f>
        <v/>
      </c>
      <c r="AA222">
        <f>HYPERLINK("https://klasma.github.io/Logging_2361/klagomålsmail/A 26869-2026 FSC-klagomål mail.docx", "A 26869-2026")</f>
        <v/>
      </c>
      <c r="AB222">
        <f>HYPERLINK("https://klasma.github.io/Logging_2361/tillsyn/A 26869-2026 tillsynsbegäran.docx", "A 26869-2026")</f>
        <v/>
      </c>
      <c r="AC222">
        <f>HYPERLINK("https://klasma.github.io/Logging_2361/tillsynsmail/A 26869-2026 tillsynsbegäran mail.docx", "A 26869-2026")</f>
        <v/>
      </c>
    </row>
    <row r="223" ht="15" customHeight="1">
      <c r="A223" t="inlineStr">
        <is>
          <t>A 36533-2025</t>
        </is>
      </c>
      <c r="B223" t="inlineStr">
        <is>
          <t>avverkningsanmälan</t>
        </is>
      </c>
      <c r="C223" t="inlineStr">
        <is>
          <t>Föryngringsavverkning</t>
        </is>
      </c>
      <c r="D223" s="1" t="n">
        <v>45869</v>
      </c>
      <c r="E223" s="1" t="n">
        <v>46223</v>
      </c>
      <c r="F223" t="inlineStr">
        <is>
          <t>JÄMTLANDS LÄN</t>
        </is>
      </c>
      <c r="G223" t="inlineStr">
        <is>
          <t>HÄRJEDALEN</t>
        </is>
      </c>
      <c r="I223" t="n">
        <v>3.7</v>
      </c>
      <c r="J223" t="n">
        <v>0</v>
      </c>
      <c r="K223" t="n">
        <v>0</v>
      </c>
      <c r="L223" t="n">
        <v>1</v>
      </c>
      <c r="M223" t="n">
        <v>0</v>
      </c>
      <c r="N223" t="n">
        <v>0</v>
      </c>
      <c r="O223" t="n">
        <v>0</v>
      </c>
      <c r="P223" t="n">
        <v>0</v>
      </c>
      <c r="Q223" t="n">
        <v>1</v>
      </c>
      <c r="R223" t="n">
        <v>0</v>
      </c>
      <c r="S223" t="n">
        <v>1</v>
      </c>
      <c r="T223" t="n">
        <v>1</v>
      </c>
      <c r="U223" s="2" t="inlineStr">
        <is>
          <t>Lunglav</t>
        </is>
      </c>
      <c r="V223">
        <f>HYPERLINK("https://klasma.github.io/Logging_2361/artfynd/A 36533-2025 artfynd.xlsx", "A 36533-2025")</f>
        <v/>
      </c>
      <c r="W223">
        <f>HYPERLINK("https://klasma.github.io/Logging_2361/kartor/A 36533-2025 karta.png", "A 36533-2025")</f>
        <v/>
      </c>
      <c r="X223">
        <f>HYPERLINK("https://klasma.github.io/Logging_2361/kartor_geotiff/A 36533-2025 georefererad karta.tif", "A 36533-2025")</f>
        <v/>
      </c>
      <c r="Z223">
        <f>HYPERLINK("https://klasma.github.io/Logging_2361/klagomål/A 36533-2025 FSC-klagomål.docx", "A 36533-2025")</f>
        <v/>
      </c>
      <c r="AA223">
        <f>HYPERLINK("https://klasma.github.io/Logging_2361/klagomålsmail/A 36533-2025 FSC-klagomål mail.docx", "A 36533-2025")</f>
        <v/>
      </c>
      <c r="AB223">
        <f>HYPERLINK("https://klasma.github.io/Logging_2361/tillsyn/A 36533-2025 tillsynsbegäran.docx", "A 36533-2025")</f>
        <v/>
      </c>
      <c r="AC223">
        <f>HYPERLINK("https://klasma.github.io/Logging_2361/tillsynsmail/A 36533-2025 tillsynsbegäran mail.docx", "A 36533-2025")</f>
        <v/>
      </c>
    </row>
    <row r="224" ht="15" customHeight="1">
      <c r="A224" t="inlineStr">
        <is>
          <t>A 8864-2026</t>
        </is>
      </c>
      <c r="B224" t="inlineStr">
        <is>
          <t>avverkningsanmälan</t>
        </is>
      </c>
      <c r="C224" t="inlineStr">
        <is>
          <t>Föryngringsavverkning</t>
        </is>
      </c>
      <c r="D224" s="1" t="n">
        <v>46066</v>
      </c>
      <c r="E224" s="1" t="n">
        <v>46223</v>
      </c>
      <c r="F224" t="inlineStr">
        <is>
          <t>JÄMTLANDS LÄN</t>
        </is>
      </c>
      <c r="G224" t="inlineStr">
        <is>
          <t>HÄRJEDALEN</t>
        </is>
      </c>
      <c r="I224" t="n">
        <v>27.8</v>
      </c>
      <c r="J224" t="n">
        <v>0</v>
      </c>
      <c r="K224" t="n">
        <v>0</v>
      </c>
      <c r="L224" t="n">
        <v>1</v>
      </c>
      <c r="M224" t="n">
        <v>0</v>
      </c>
      <c r="N224" t="n">
        <v>0</v>
      </c>
      <c r="O224" t="n">
        <v>0</v>
      </c>
      <c r="P224" t="n">
        <v>0</v>
      </c>
      <c r="Q224" t="n">
        <v>1</v>
      </c>
      <c r="R224" t="n">
        <v>0</v>
      </c>
      <c r="S224" t="n">
        <v>1</v>
      </c>
      <c r="T224" t="n">
        <v>1</v>
      </c>
      <c r="U224" s="2" t="inlineStr">
        <is>
          <t>Rynkskinn</t>
        </is>
      </c>
      <c r="V224">
        <f>HYPERLINK("https://klasma.github.io/Logging_2361/artfynd/A 8864-2026 artfynd.xlsx", "A 8864-2026")</f>
        <v/>
      </c>
      <c r="W224">
        <f>HYPERLINK("https://klasma.github.io/Logging_2361/kartor/A 8864-2026 karta.png", "A 8864-2026")</f>
        <v/>
      </c>
      <c r="X224">
        <f>HYPERLINK("https://klasma.github.io/Logging_2361/kartor_geotiff/A 8864-2026 georefererad karta.tif", "A 8864-2026")</f>
        <v/>
      </c>
      <c r="Z224">
        <f>HYPERLINK("https://klasma.github.io/Logging_2361/klagomål/A 8864-2026 FSC-klagomål.docx", "A 8864-2026")</f>
        <v/>
      </c>
      <c r="AA224">
        <f>HYPERLINK("https://klasma.github.io/Logging_2361/klagomålsmail/A 8864-2026 FSC-klagomål mail.docx", "A 8864-2026")</f>
        <v/>
      </c>
      <c r="AB224">
        <f>HYPERLINK("https://klasma.github.io/Logging_2361/tillsyn/A 8864-2026 tillsynsbegäran.docx", "A 8864-2026")</f>
        <v/>
      </c>
      <c r="AC224">
        <f>HYPERLINK("https://klasma.github.io/Logging_2361/tillsynsmail/A 8864-2026 tillsynsbegäran mail.docx", "A 8864-2026")</f>
        <v/>
      </c>
    </row>
    <row r="225" ht="15" customHeight="1">
      <c r="A225" t="inlineStr">
        <is>
          <t>A 21223-2026</t>
        </is>
      </c>
      <c r="B225" t="inlineStr">
        <is>
          <t>avverkningsanmälan</t>
        </is>
      </c>
      <c r="C225" t="inlineStr">
        <is>
          <t>Föryngringsavverkning</t>
        </is>
      </c>
      <c r="D225" s="1" t="n">
        <v>46146</v>
      </c>
      <c r="E225" s="1" t="n">
        <v>46223</v>
      </c>
      <c r="F225" t="inlineStr">
        <is>
          <t>JÄMTLANDS LÄN</t>
        </is>
      </c>
      <c r="G225" t="inlineStr">
        <is>
          <t>HÄRJEDALEN</t>
        </is>
      </c>
      <c r="H225" t="inlineStr">
        <is>
          <t>Sveaskog</t>
        </is>
      </c>
      <c r="I225" t="n">
        <v>3.6</v>
      </c>
      <c r="J225" t="n">
        <v>0</v>
      </c>
      <c r="K225" t="n">
        <v>0</v>
      </c>
      <c r="L225" t="n">
        <v>1</v>
      </c>
      <c r="M225" t="n">
        <v>0</v>
      </c>
      <c r="N225" t="n">
        <v>0</v>
      </c>
      <c r="O225" t="n">
        <v>0</v>
      </c>
      <c r="P225" t="n">
        <v>0</v>
      </c>
      <c r="Q225" t="n">
        <v>1</v>
      </c>
      <c r="R225" t="n">
        <v>0</v>
      </c>
      <c r="S225" t="n">
        <v>1</v>
      </c>
      <c r="T225" t="n">
        <v>1</v>
      </c>
      <c r="U225" s="2" t="inlineStr">
        <is>
          <t>Kolflarnlav</t>
        </is>
      </c>
      <c r="V225">
        <f>HYPERLINK("https://klasma.github.io/Logging_2361/artfynd/A 21223-2026 artfynd.xlsx", "A 21223-2026")</f>
        <v/>
      </c>
      <c r="W225">
        <f>HYPERLINK("https://klasma.github.io/Logging_2361/kartor/A 21223-2026 karta.png", "A 21223-2026")</f>
        <v/>
      </c>
      <c r="X225">
        <f>HYPERLINK("https://klasma.github.io/Logging_2361/kartor_geotiff/A 21223-2026 georefererad karta.tif", "A 21223-2026")</f>
        <v/>
      </c>
      <c r="Z225">
        <f>HYPERLINK("https://klasma.github.io/Logging_2361/klagomål/A 21223-2026 FSC-klagomål.docx", "A 21223-2026")</f>
        <v/>
      </c>
      <c r="AA225">
        <f>HYPERLINK("https://klasma.github.io/Logging_2361/klagomålsmail/A 21223-2026 FSC-klagomål mail.docx", "A 21223-2026")</f>
        <v/>
      </c>
      <c r="AB225">
        <f>HYPERLINK("https://klasma.github.io/Logging_2361/tillsyn/A 21223-2026 tillsynsbegäran.docx", "A 21223-2026")</f>
        <v/>
      </c>
      <c r="AC225">
        <f>HYPERLINK("https://klasma.github.io/Logging_2361/tillsynsmail/A 21223-2026 tillsynsbegäran mail.docx", "A 21223-2026")</f>
        <v/>
      </c>
    </row>
    <row r="226" ht="15" customHeight="1">
      <c r="A226" t="inlineStr">
        <is>
          <t>A 22389-2026</t>
        </is>
      </c>
      <c r="B226" t="inlineStr">
        <is>
          <t>avverkningsanmälan</t>
        </is>
      </c>
      <c r="C226" t="inlineStr">
        <is>
          <t>Föryngringsavverkning</t>
        </is>
      </c>
      <c r="D226" s="1" t="n">
        <v>46154</v>
      </c>
      <c r="E226" s="1" t="n">
        <v>46223</v>
      </c>
      <c r="F226" t="inlineStr">
        <is>
          <t>JÄMTLANDS LÄN</t>
        </is>
      </c>
      <c r="G226" t="inlineStr">
        <is>
          <t>HÄRJEDALEN</t>
        </is>
      </c>
      <c r="H226" t="inlineStr">
        <is>
          <t>Holmen skog AB</t>
        </is>
      </c>
      <c r="I226" t="n">
        <v>3.5</v>
      </c>
      <c r="J226" t="n">
        <v>1</v>
      </c>
      <c r="K226" t="n">
        <v>1</v>
      </c>
      <c r="L226" t="n">
        <v>0</v>
      </c>
      <c r="M226" t="n">
        <v>0</v>
      </c>
      <c r="N226" t="n">
        <v>0</v>
      </c>
      <c r="O226" t="n">
        <v>0</v>
      </c>
      <c r="P226" t="n">
        <v>0</v>
      </c>
      <c r="Q226" t="n">
        <v>0</v>
      </c>
      <c r="R226" t="n">
        <v>0</v>
      </c>
      <c r="S226" t="n">
        <v>1</v>
      </c>
      <c r="T226" t="n">
        <v>1</v>
      </c>
      <c r="U226" s="2" t="inlineStr">
        <is>
          <t>Spindelblomster</t>
        </is>
      </c>
      <c r="V226">
        <f>HYPERLINK("https://klasma.github.io/Logging_2361/artfynd/A 22389-2026 artfynd.xlsx", "A 22389-2026")</f>
        <v/>
      </c>
      <c r="W226">
        <f>HYPERLINK("https://klasma.github.io/Logging_2361/kartor/A 22389-2026 karta.png", "A 22389-2026")</f>
        <v/>
      </c>
      <c r="X226">
        <f>HYPERLINK("https://klasma.github.io/Logging_2361/kartor_geotiff/A 22389-2026 georefererad karta.tif", "A 22389-2026")</f>
        <v/>
      </c>
      <c r="Y226">
        <f>HYPERLINK("https://klasma.github.io/Logging_2361/knärot/A 22389-2026 karta knärot.png", "A 22389-2026")</f>
        <v/>
      </c>
      <c r="Z226">
        <f>HYPERLINK("https://klasma.github.io/Logging_2361/klagomål/A 22389-2026 FSC-klagomål.docx", "A 22389-2026")</f>
        <v/>
      </c>
      <c r="AA226">
        <f>HYPERLINK("https://klasma.github.io/Logging_2361/klagomålsmail/A 22389-2026 FSC-klagomål mail.docx", "A 22389-2026")</f>
        <v/>
      </c>
      <c r="AB226">
        <f>HYPERLINK("https://klasma.github.io/Logging_2361/tillsyn/A 22389-2026 tillsynsbegäran.docx", "A 22389-2026")</f>
        <v/>
      </c>
      <c r="AC226">
        <f>HYPERLINK("https://klasma.github.io/Logging_2361/tillsynsmail/A 22389-2026 tillsynsbegäran mail.docx", "A 22389-2026")</f>
        <v/>
      </c>
    </row>
    <row r="227" ht="15" customHeight="1">
      <c r="A227" t="inlineStr">
        <is>
          <t>A 7318-2024</t>
        </is>
      </c>
      <c r="B227" t="inlineStr">
        <is>
          <t>avverkningsanmälan</t>
        </is>
      </c>
      <c r="C227" t="inlineStr">
        <is>
          <t>Föryngringsavverkning</t>
        </is>
      </c>
      <c r="D227" s="1" t="n">
        <v>45345</v>
      </c>
      <c r="E227" s="1" t="n">
        <v>46223</v>
      </c>
      <c r="F227" t="inlineStr">
        <is>
          <t>JÄMTLANDS LÄN</t>
        </is>
      </c>
      <c r="G227" t="inlineStr">
        <is>
          <t>HÄRJEDALEN</t>
        </is>
      </c>
      <c r="H227" t="inlineStr">
        <is>
          <t>Holmen skog AB</t>
        </is>
      </c>
      <c r="I227" t="n">
        <v>3.6</v>
      </c>
      <c r="J227" t="n">
        <v>0</v>
      </c>
      <c r="K227" t="n">
        <v>0</v>
      </c>
      <c r="L227" t="n">
        <v>1</v>
      </c>
      <c r="M227" t="n">
        <v>0</v>
      </c>
      <c r="N227" t="n">
        <v>0</v>
      </c>
      <c r="O227" t="n">
        <v>0</v>
      </c>
      <c r="P227" t="n">
        <v>0</v>
      </c>
      <c r="Q227" t="n">
        <v>1</v>
      </c>
      <c r="R227" t="n">
        <v>0</v>
      </c>
      <c r="S227" t="n">
        <v>1</v>
      </c>
      <c r="T227" t="n">
        <v>2</v>
      </c>
      <c r="U227" s="2" t="inlineStr">
        <is>
          <t>Lunglav</t>
        </is>
      </c>
      <c r="V227">
        <f>HYPERLINK("https://klasma.github.io/Logging_2361/artfynd/A 7318-2024 artfynd.xlsx", "A 7318-2024")</f>
        <v/>
      </c>
      <c r="W227">
        <f>HYPERLINK("https://klasma.github.io/Logging_2361/kartor/A 7318-2024 karta.png", "A 7318-2024")</f>
        <v/>
      </c>
      <c r="X227">
        <f>HYPERLINK("https://klasma.github.io/Logging_2361/kartor_geotiff/A 7318-2024 georefererad karta.tif", "A 7318-2024")</f>
        <v/>
      </c>
      <c r="Z227">
        <f>HYPERLINK("https://klasma.github.io/Logging_2361/klagomål/A 7318-2024 FSC-klagomål.docx", "A 7318-2024")</f>
        <v/>
      </c>
      <c r="AA227">
        <f>HYPERLINK("https://klasma.github.io/Logging_2361/klagomålsmail/A 7318-2024 FSC-klagomål mail.docx", "A 7318-2024")</f>
        <v/>
      </c>
      <c r="AB227">
        <f>HYPERLINK("https://klasma.github.io/Logging_2361/tillsyn/A 7318-2024 tillsynsbegäran.docx", "A 7318-2024")</f>
        <v/>
      </c>
      <c r="AC227">
        <f>HYPERLINK("https://klasma.github.io/Logging_2361/tillsynsmail/A 7318-2024 tillsynsbegäran mail.docx", "A 7318-2024")</f>
        <v/>
      </c>
    </row>
    <row r="228" ht="15" customHeight="1">
      <c r="A228" t="inlineStr">
        <is>
          <t>A 51234-2024</t>
        </is>
      </c>
      <c r="B228" t="inlineStr">
        <is>
          <t>avverkningsanmälan</t>
        </is>
      </c>
      <c r="C228" t="inlineStr">
        <is>
          <t>Föryngringsavverkning</t>
        </is>
      </c>
      <c r="D228" s="1" t="n">
        <v>45603</v>
      </c>
      <c r="E228" s="1" t="n">
        <v>46223</v>
      </c>
      <c r="F228" t="inlineStr">
        <is>
          <t>JÄMTLANDS LÄN</t>
        </is>
      </c>
      <c r="G228" t="inlineStr">
        <is>
          <t>HÄRJEDALEN</t>
        </is>
      </c>
      <c r="H228" t="inlineStr">
        <is>
          <t>Holmen skog AB</t>
        </is>
      </c>
      <c r="I228" t="n">
        <v>2.6</v>
      </c>
      <c r="J228" t="n">
        <v>0</v>
      </c>
      <c r="K228" t="n">
        <v>0</v>
      </c>
      <c r="L228" t="n">
        <v>1</v>
      </c>
      <c r="M228" t="n">
        <v>0</v>
      </c>
      <c r="N228" t="n">
        <v>0</v>
      </c>
      <c r="O228" t="n">
        <v>0</v>
      </c>
      <c r="P228" t="n">
        <v>0</v>
      </c>
      <c r="Q228" t="n">
        <v>1</v>
      </c>
      <c r="R228" t="n">
        <v>0</v>
      </c>
      <c r="S228" t="n">
        <v>1</v>
      </c>
      <c r="T228" t="n">
        <v>1</v>
      </c>
      <c r="U228" s="2" t="inlineStr">
        <is>
          <t>Blågrå svartspik</t>
        </is>
      </c>
      <c r="V228">
        <f>HYPERLINK("https://klasma.github.io/Logging_2361/artfynd/A 51234-2024 artfynd.xlsx", "A 51234-2024")</f>
        <v/>
      </c>
      <c r="W228">
        <f>HYPERLINK("https://klasma.github.io/Logging_2361/kartor/A 51234-2024 karta.png", "A 51234-2024")</f>
        <v/>
      </c>
      <c r="X228">
        <f>HYPERLINK("https://klasma.github.io/Logging_2361/kartor_geotiff/A 51234-2024 georefererad karta.tif", "A 51234-2024")</f>
        <v/>
      </c>
      <c r="Z228">
        <f>HYPERLINK("https://klasma.github.io/Logging_2361/klagomål/A 51234-2024 FSC-klagomål.docx", "A 51234-2024")</f>
        <v/>
      </c>
      <c r="AA228">
        <f>HYPERLINK("https://klasma.github.io/Logging_2361/klagomålsmail/A 51234-2024 FSC-klagomål mail.docx", "A 51234-2024")</f>
        <v/>
      </c>
      <c r="AB228">
        <f>HYPERLINK("https://klasma.github.io/Logging_2361/tillsyn/A 51234-2024 tillsynsbegäran.docx", "A 51234-2024")</f>
        <v/>
      </c>
      <c r="AC228">
        <f>HYPERLINK("https://klasma.github.io/Logging_2361/tillsynsmail/A 51234-2024 tillsynsbegäran mail.docx", "A 51234-2024")</f>
        <v/>
      </c>
    </row>
    <row r="229" ht="15" customHeight="1">
      <c r="A229" t="inlineStr">
        <is>
          <t>A 13723-2024</t>
        </is>
      </c>
      <c r="B229" t="inlineStr">
        <is>
          <t>avverkningsanmälan</t>
        </is>
      </c>
      <c r="C229" t="inlineStr">
        <is>
          <t>Föryngringsavverkning</t>
        </is>
      </c>
      <c r="D229" s="1" t="n">
        <v>45390</v>
      </c>
      <c r="E229" s="1" t="n">
        <v>46223</v>
      </c>
      <c r="F229" t="inlineStr">
        <is>
          <t>JÄMTLANDS LÄN</t>
        </is>
      </c>
      <c r="G229" t="inlineStr">
        <is>
          <t>HÄRJEDALEN</t>
        </is>
      </c>
      <c r="I229" t="n">
        <v>2.5</v>
      </c>
      <c r="J229" t="n">
        <v>1</v>
      </c>
      <c r="K229" t="n">
        <v>0</v>
      </c>
      <c r="L229" t="n">
        <v>0</v>
      </c>
      <c r="M229" t="n">
        <v>0</v>
      </c>
      <c r="N229" t="n">
        <v>1</v>
      </c>
      <c r="O229" t="n">
        <v>0</v>
      </c>
      <c r="P229" t="n">
        <v>0</v>
      </c>
      <c r="Q229" t="n">
        <v>1</v>
      </c>
      <c r="R229" t="n">
        <v>1</v>
      </c>
      <c r="S229" t="n">
        <v>1</v>
      </c>
      <c r="T229" t="n">
        <v>1</v>
      </c>
      <c r="U229" s="2" t="inlineStr">
        <is>
          <t>Backsvala</t>
        </is>
      </c>
      <c r="V229">
        <f>HYPERLINK("https://klasma.github.io/Logging_2361/artfynd/A 13723-2024 artfynd.xlsx", "A 13723-2024")</f>
        <v/>
      </c>
      <c r="W229">
        <f>HYPERLINK("https://klasma.github.io/Logging_2361/kartor/A 13723-2024 karta.png", "A 13723-2024")</f>
        <v/>
      </c>
      <c r="X229">
        <f>HYPERLINK("https://klasma.github.io/Logging_2361/kartor_geotiff/A 13723-2024 georefererad karta.tif", "A 13723-2024")</f>
        <v/>
      </c>
      <c r="Z229">
        <f>HYPERLINK("https://klasma.github.io/Logging_2361/klagomål/A 13723-2024 FSC-klagomål.docx", "A 13723-2024")</f>
        <v/>
      </c>
      <c r="AA229">
        <f>HYPERLINK("https://klasma.github.io/Logging_2361/klagomålsmail/A 13723-2024 FSC-klagomål mail.docx", "A 13723-2024")</f>
        <v/>
      </c>
      <c r="AB229">
        <f>HYPERLINK("https://klasma.github.io/Logging_2361/tillsyn/A 13723-2024 tillsynsbegäran.docx", "A 13723-2024")</f>
        <v/>
      </c>
      <c r="AC229">
        <f>HYPERLINK("https://klasma.github.io/Logging_2361/tillsynsmail/A 13723-2024 tillsynsbegäran mail.docx", "A 13723-2024")</f>
        <v/>
      </c>
    </row>
    <row r="230" ht="15" customHeight="1">
      <c r="A230" t="inlineStr">
        <is>
          <t>A 24115-2026</t>
        </is>
      </c>
      <c r="B230" t="inlineStr">
        <is>
          <t>avverkningsanmälan</t>
        </is>
      </c>
      <c r="C230" t="inlineStr">
        <is>
          <t>Föryngringsavverkning</t>
        </is>
      </c>
      <c r="D230" s="1" t="n">
        <v>46168</v>
      </c>
      <c r="E230" s="1" t="n">
        <v>46223</v>
      </c>
      <c r="F230" t="inlineStr">
        <is>
          <t>JÄMTLANDS LÄN</t>
        </is>
      </c>
      <c r="G230" t="inlineStr">
        <is>
          <t>HÄRJEDALEN</t>
        </is>
      </c>
      <c r="H230" t="inlineStr">
        <is>
          <t>Holmen skog AB</t>
        </is>
      </c>
      <c r="I230" t="n">
        <v>4.3</v>
      </c>
      <c r="J230" t="n">
        <v>0</v>
      </c>
      <c r="K230" t="n">
        <v>0</v>
      </c>
      <c r="L230" t="n">
        <v>0</v>
      </c>
      <c r="M230" t="n">
        <v>1</v>
      </c>
      <c r="N230" t="n">
        <v>0</v>
      </c>
      <c r="O230" t="n">
        <v>0</v>
      </c>
      <c r="P230" t="n">
        <v>0</v>
      </c>
      <c r="Q230" t="n">
        <v>1</v>
      </c>
      <c r="R230" t="n">
        <v>1</v>
      </c>
      <c r="S230" t="n">
        <v>1</v>
      </c>
      <c r="T230" t="n">
        <v>1</v>
      </c>
      <c r="U230" s="2" t="inlineStr">
        <is>
          <t>Garnlav</t>
        </is>
      </c>
      <c r="V230">
        <f>HYPERLINK("https://klasma.github.io/Logging_2361/artfynd/A 24115-2026 artfynd.xlsx", "A 24115-2026")</f>
        <v/>
      </c>
      <c r="W230">
        <f>HYPERLINK("https://klasma.github.io/Logging_2361/kartor/A 24115-2026 karta.png", "A 24115-2026")</f>
        <v/>
      </c>
      <c r="X230">
        <f>HYPERLINK("https://klasma.github.io/Logging_2361/kartor_geotiff/A 24115-2026 georefererad karta.tif", "A 24115-2026")</f>
        <v/>
      </c>
      <c r="Z230">
        <f>HYPERLINK("https://klasma.github.io/Logging_2361/klagomål/A 24115-2026 FSC-klagomål.docx", "A 24115-2026")</f>
        <v/>
      </c>
      <c r="AA230">
        <f>HYPERLINK("https://klasma.github.io/Logging_2361/klagomålsmail/A 24115-2026 FSC-klagomål mail.docx", "A 24115-2026")</f>
        <v/>
      </c>
      <c r="AB230">
        <f>HYPERLINK("https://klasma.github.io/Logging_2361/tillsyn/A 24115-2026 tillsynsbegäran.docx", "A 24115-2026")</f>
        <v/>
      </c>
      <c r="AC230">
        <f>HYPERLINK("https://klasma.github.io/Logging_2361/tillsynsmail/A 24115-2026 tillsynsbegäran mail.docx", "A 24115-2026")</f>
        <v/>
      </c>
    </row>
    <row r="231" ht="15" customHeight="1">
      <c r="A231" t="inlineStr">
        <is>
          <t>A 12274-2025</t>
        </is>
      </c>
      <c r="B231" t="inlineStr">
        <is>
          <t>avverkningsanmälan</t>
        </is>
      </c>
      <c r="C231" t="inlineStr">
        <is>
          <t>Föryngringsavverkning</t>
        </is>
      </c>
      <c r="D231" s="1" t="n">
        <v>45729</v>
      </c>
      <c r="E231" s="1" t="n">
        <v>46223</v>
      </c>
      <c r="F231" t="inlineStr">
        <is>
          <t>JÄMTLANDS LÄN</t>
        </is>
      </c>
      <c r="G231" t="inlineStr">
        <is>
          <t>HÄRJEDALEN</t>
        </is>
      </c>
      <c r="H231" t="inlineStr">
        <is>
          <t>Holmen skog AB</t>
        </is>
      </c>
      <c r="I231" t="n">
        <v>1</v>
      </c>
      <c r="J231" t="n">
        <v>0</v>
      </c>
      <c r="K231" t="n">
        <v>0</v>
      </c>
      <c r="L231" t="n">
        <v>0</v>
      </c>
      <c r="M231" t="n">
        <v>1</v>
      </c>
      <c r="N231" t="n">
        <v>0</v>
      </c>
      <c r="O231" t="n">
        <v>0</v>
      </c>
      <c r="P231" t="n">
        <v>0</v>
      </c>
      <c r="Q231" t="n">
        <v>1</v>
      </c>
      <c r="R231" t="n">
        <v>1</v>
      </c>
      <c r="S231" t="n">
        <v>1</v>
      </c>
      <c r="T231" t="n">
        <v>1</v>
      </c>
      <c r="U231" s="2" t="inlineStr">
        <is>
          <t>Garnlav</t>
        </is>
      </c>
      <c r="V231">
        <f>HYPERLINK("https://klasma.github.io/Logging_2361/artfynd/A 12274-2025 artfynd.xlsx", "A 12274-2025")</f>
        <v/>
      </c>
      <c r="W231">
        <f>HYPERLINK("https://klasma.github.io/Logging_2361/kartor/A 12274-2025 karta.png", "A 12274-2025")</f>
        <v/>
      </c>
      <c r="X231">
        <f>HYPERLINK("https://klasma.github.io/Logging_2361/kartor_geotiff/A 12274-2025 georefererad karta.tif", "A 12274-2025")</f>
        <v/>
      </c>
      <c r="Z231">
        <f>HYPERLINK("https://klasma.github.io/Logging_2361/klagomål/A 12274-2025 FSC-klagomål.docx", "A 12274-2025")</f>
        <v/>
      </c>
      <c r="AA231">
        <f>HYPERLINK("https://klasma.github.io/Logging_2361/klagomålsmail/A 12274-2025 FSC-klagomål mail.docx", "A 12274-2025")</f>
        <v/>
      </c>
      <c r="AB231">
        <f>HYPERLINK("https://klasma.github.io/Logging_2361/tillsyn/A 12274-2025 tillsynsbegäran.docx", "A 12274-2025")</f>
        <v/>
      </c>
      <c r="AC231">
        <f>HYPERLINK("https://klasma.github.io/Logging_2361/tillsynsmail/A 12274-2025 tillsynsbegäran mail.docx", "A 12274-2025")</f>
        <v/>
      </c>
    </row>
    <row r="232" ht="15" customHeight="1">
      <c r="A232" t="inlineStr">
        <is>
          <t>A 4642-2025</t>
        </is>
      </c>
      <c r="B232" t="inlineStr">
        <is>
          <t>avverkningsanmälan</t>
        </is>
      </c>
      <c r="C232" t="inlineStr">
        <is>
          <t>Avverkning för annat ändamål</t>
        </is>
      </c>
      <c r="D232" s="1" t="n">
        <v>45687</v>
      </c>
      <c r="E232" s="1" t="n">
        <v>46223</v>
      </c>
      <c r="F232" t="inlineStr">
        <is>
          <t>JÄMTLANDS LÄN</t>
        </is>
      </c>
      <c r="G232" t="inlineStr">
        <is>
          <t>HÄRJEDALEN</t>
        </is>
      </c>
      <c r="H232" t="inlineStr">
        <is>
          <t>Bergvik skog väst AB</t>
        </is>
      </c>
      <c r="I232" t="n">
        <v>2.2</v>
      </c>
      <c r="J232" t="n">
        <v>1</v>
      </c>
      <c r="K232" t="n">
        <v>0</v>
      </c>
      <c r="L232" t="n">
        <v>0</v>
      </c>
      <c r="M232" t="n">
        <v>0</v>
      </c>
      <c r="N232" t="n">
        <v>0</v>
      </c>
      <c r="O232" t="n">
        <v>0</v>
      </c>
      <c r="P232" t="n">
        <v>0</v>
      </c>
      <c r="Q232" t="n">
        <v>0</v>
      </c>
      <c r="R232" t="n">
        <v>0</v>
      </c>
      <c r="S232" t="n">
        <v>1</v>
      </c>
      <c r="T232" t="n">
        <v>1</v>
      </c>
      <c r="U232" s="2" t="inlineStr">
        <is>
          <t>Buskskvätta</t>
        </is>
      </c>
      <c r="V232">
        <f>HYPERLINK("https://klasma.github.io/Logging_2361/artfynd/A 4642-2025 artfynd.xlsx", "A 4642-2025")</f>
        <v/>
      </c>
      <c r="W232">
        <f>HYPERLINK("https://klasma.github.io/Logging_2361/kartor/A 4642-2025 karta.png", "A 4642-2025")</f>
        <v/>
      </c>
      <c r="X232">
        <f>HYPERLINK("https://klasma.github.io/Logging_2361/kartor_geotiff/A 4642-2025 georefererad karta.tif", "A 4642-2025")</f>
        <v/>
      </c>
      <c r="Z232">
        <f>HYPERLINK("https://klasma.github.io/Logging_2361/klagomål/A 4642-2025 FSC-klagomål.docx", "A 4642-2025")</f>
        <v/>
      </c>
      <c r="AA232">
        <f>HYPERLINK("https://klasma.github.io/Logging_2361/klagomålsmail/A 4642-2025 FSC-klagomål mail.docx", "A 4642-2025")</f>
        <v/>
      </c>
      <c r="AB232">
        <f>HYPERLINK("https://klasma.github.io/Logging_2361/tillsyn/A 4642-2025 tillsynsbegäran.docx", "A 4642-2025")</f>
        <v/>
      </c>
      <c r="AC232">
        <f>HYPERLINK("https://klasma.github.io/Logging_2361/tillsynsmail/A 4642-2025 tillsynsbegäran mail.docx", "A 4642-2025")</f>
        <v/>
      </c>
    </row>
    <row r="233" ht="15" customHeight="1">
      <c r="A233" t="inlineStr">
        <is>
          <t>A 25399-2025</t>
        </is>
      </c>
      <c r="B233" t="inlineStr">
        <is>
          <t>avverkningsanmälan</t>
        </is>
      </c>
      <c r="C233" t="inlineStr">
        <is>
          <t>Föryngringsavverkning</t>
        </is>
      </c>
      <c r="D233" s="1" t="n">
        <v>45800</v>
      </c>
      <c r="E233" s="1" t="n">
        <v>46223</v>
      </c>
      <c r="F233" t="inlineStr">
        <is>
          <t>JÄMTLANDS LÄN</t>
        </is>
      </c>
      <c r="G233" t="inlineStr">
        <is>
          <t>HÄRJEDALEN</t>
        </is>
      </c>
      <c r="H233" t="inlineStr">
        <is>
          <t>Holmen skog AB</t>
        </is>
      </c>
      <c r="I233" t="n">
        <v>8.699999999999999</v>
      </c>
      <c r="J233" t="n">
        <v>1</v>
      </c>
      <c r="K233" t="n">
        <v>0</v>
      </c>
      <c r="L233" t="n">
        <v>0</v>
      </c>
      <c r="M233" t="n">
        <v>0</v>
      </c>
      <c r="N233" t="n">
        <v>0</v>
      </c>
      <c r="O233" t="n">
        <v>0</v>
      </c>
      <c r="P233" t="n">
        <v>0</v>
      </c>
      <c r="Q233" t="n">
        <v>0</v>
      </c>
      <c r="R233" t="n">
        <v>0</v>
      </c>
      <c r="S233" t="n">
        <v>1</v>
      </c>
      <c r="T233" t="n">
        <v>1</v>
      </c>
      <c r="U233" s="2" t="inlineStr">
        <is>
          <t>Skogsödla</t>
        </is>
      </c>
      <c r="V233">
        <f>HYPERLINK("https://klasma.github.io/Logging_2361/artfynd/A 25399-2025 artfynd.xlsx", "A 25399-2025")</f>
        <v/>
      </c>
      <c r="W233">
        <f>HYPERLINK("https://klasma.github.io/Logging_2361/kartor/A 25399-2025 karta.png", "A 25399-2025")</f>
        <v/>
      </c>
      <c r="X233">
        <f>HYPERLINK("https://klasma.github.io/Logging_2361/kartor_geotiff/A 25399-2025 georefererad karta.tif", "A 25399-2025")</f>
        <v/>
      </c>
      <c r="Z233">
        <f>HYPERLINK("https://klasma.github.io/Logging_2361/klagomål/A 25399-2025 FSC-klagomål.docx", "A 25399-2025")</f>
        <v/>
      </c>
      <c r="AA233">
        <f>HYPERLINK("https://klasma.github.io/Logging_2361/klagomålsmail/A 25399-2025 FSC-klagomål mail.docx", "A 25399-2025")</f>
        <v/>
      </c>
      <c r="AB233">
        <f>HYPERLINK("https://klasma.github.io/Logging_2361/tillsyn/A 25399-2025 tillsynsbegäran.docx", "A 25399-2025")</f>
        <v/>
      </c>
      <c r="AC233">
        <f>HYPERLINK("https://klasma.github.io/Logging_2361/tillsynsmail/A 25399-2025 tillsynsbegäran mail.docx", "A 25399-2025")</f>
        <v/>
      </c>
    </row>
    <row r="234" ht="15" customHeight="1">
      <c r="A234" t="inlineStr">
        <is>
          <t>A 25368-2025</t>
        </is>
      </c>
      <c r="B234" t="inlineStr">
        <is>
          <t>avverkningsanmälan</t>
        </is>
      </c>
      <c r="C234" t="inlineStr">
        <is>
          <t>Föryngringsavverkning</t>
        </is>
      </c>
      <c r="D234" s="1" t="n">
        <v>45800</v>
      </c>
      <c r="E234" s="1" t="n">
        <v>46223</v>
      </c>
      <c r="F234" t="inlineStr">
        <is>
          <t>JÄMTLANDS LÄN</t>
        </is>
      </c>
      <c r="G234" t="inlineStr">
        <is>
          <t>HÄRJEDALEN</t>
        </is>
      </c>
      <c r="H234" t="inlineStr">
        <is>
          <t>Sveaskog</t>
        </is>
      </c>
      <c r="I234" t="n">
        <v>5.8</v>
      </c>
      <c r="J234" t="n">
        <v>1</v>
      </c>
      <c r="K234" t="n">
        <v>0</v>
      </c>
      <c r="L234" t="n">
        <v>0</v>
      </c>
      <c r="M234" t="n">
        <v>1</v>
      </c>
      <c r="N234" t="n">
        <v>0</v>
      </c>
      <c r="O234" t="n">
        <v>0</v>
      </c>
      <c r="P234" t="n">
        <v>0</v>
      </c>
      <c r="Q234" t="n">
        <v>1</v>
      </c>
      <c r="R234" t="n">
        <v>1</v>
      </c>
      <c r="S234" t="n">
        <v>1</v>
      </c>
      <c r="T234" t="n">
        <v>2</v>
      </c>
      <c r="U234" s="2" t="inlineStr">
        <is>
          <t>Knärot</t>
        </is>
      </c>
      <c r="V234">
        <f>HYPERLINK("https://klasma.github.io/Logging_2361/artfynd/A 25368-2025 artfynd.xlsx", "A 25368-2025")</f>
        <v/>
      </c>
      <c r="W234">
        <f>HYPERLINK("https://klasma.github.io/Logging_2361/kartor/A 25368-2025 karta.png", "A 25368-2025")</f>
        <v/>
      </c>
      <c r="X234">
        <f>HYPERLINK("https://klasma.github.io/Logging_2361/kartor_geotiff/A 25368-2025 georefererad karta.tif", "A 25368-2025")</f>
        <v/>
      </c>
      <c r="Y234">
        <f>HYPERLINK("https://klasma.github.io/Logging_2361/knärot/A 25368-2025 karta knärot.png", "A 25368-2025")</f>
        <v/>
      </c>
      <c r="Z234">
        <f>HYPERLINK("https://klasma.github.io/Logging_2361/klagomål/A 25368-2025 FSC-klagomål.docx", "A 25368-2025")</f>
        <v/>
      </c>
      <c r="AA234">
        <f>HYPERLINK("https://klasma.github.io/Logging_2361/klagomålsmail/A 25368-2025 FSC-klagomål mail.docx", "A 25368-2025")</f>
        <v/>
      </c>
      <c r="AB234">
        <f>HYPERLINK("https://klasma.github.io/Logging_2361/tillsyn/A 25368-2025 tillsynsbegäran.docx", "A 25368-2025")</f>
        <v/>
      </c>
      <c r="AC234">
        <f>HYPERLINK("https://klasma.github.io/Logging_2361/tillsynsmail/A 25368-2025 tillsynsbegäran mail.docx", "A 25368-2025")</f>
        <v/>
      </c>
    </row>
    <row r="235" ht="15" customHeight="1">
      <c r="A235" t="inlineStr">
        <is>
          <t>S 2363-2025</t>
        </is>
      </c>
      <c r="B235" t="inlineStr">
        <is>
          <t>samrådsanmälan</t>
        </is>
      </c>
      <c r="C235" t="inlineStr">
        <is>
          <t>Annan skogsbruksåtgärd</t>
        </is>
      </c>
      <c r="D235" s="1" t="n">
        <v>45889</v>
      </c>
      <c r="E235" s="1" t="n">
        <v>46223</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s="2" t="inlineStr">
        <is>
          <t>Dropptaggsvamp</t>
        </is>
      </c>
      <c r="V235">
        <f>HYPERLINK("https://klasma.github.io/Logging_2361/artfynd/S 2363-2025 artfynd.xlsx", "S 2363-2025")</f>
        <v/>
      </c>
      <c r="W235">
        <f>HYPERLINK("https://klasma.github.io/Logging_2361/kartor/S 2363-2025 karta.png", "S 2363-2025")</f>
        <v/>
      </c>
      <c r="X235">
        <f>HYPERLINK("https://klasma.github.io/Logging_2361/kartor_geotiff/S 2363-2025 georefererad karta.tif", "S 2363-2025")</f>
        <v/>
      </c>
      <c r="Z235">
        <f>HYPERLINK("https://klasma.github.io/Logging_2361/klagomål/S 2363-2025 FSC-klagomål.docx", "S 2363-2025")</f>
        <v/>
      </c>
      <c r="AA235">
        <f>HYPERLINK("https://klasma.github.io/Logging_2361/klagomålsmail/S 2363-2025 FSC-klagomål mail.docx", "S 2363-2025")</f>
        <v/>
      </c>
      <c r="AB235">
        <f>HYPERLINK("https://klasma.github.io/Logging_2361/tillsyn/S 2363-2025 tillsynsbegäran.docx", "S 2363-2025")</f>
        <v/>
      </c>
      <c r="AC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46223</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s="2" t="inlineStr">
        <is>
          <t>Bredgentiana</t>
        </is>
      </c>
      <c r="V236">
        <f>HYPERLINK("https://klasma.github.io/Logging_2361/artfynd/S 2745-2025 artfynd.xlsx", "S 2745-2025")</f>
        <v/>
      </c>
      <c r="W236">
        <f>HYPERLINK("https://klasma.github.io/Logging_2361/kartor/S 2745-2025 karta.png", "S 2745-2025")</f>
        <v/>
      </c>
      <c r="X236">
        <f>HYPERLINK("https://klasma.github.io/Logging_2361/kartor_geotiff/S 2745-2025 georefererad karta.tif", "S 2745-2025")</f>
        <v/>
      </c>
      <c r="Z236">
        <f>HYPERLINK("https://klasma.github.io/Logging_2361/klagomål/S 2745-2025 FSC-klagomål.docx", "S 2745-2025")</f>
        <v/>
      </c>
      <c r="AA236">
        <f>HYPERLINK("https://klasma.github.io/Logging_2361/klagomålsmail/S 2745-2025 FSC-klagomål mail.docx", "S 2745-2025")</f>
        <v/>
      </c>
      <c r="AB236">
        <f>HYPERLINK("https://klasma.github.io/Logging_2361/tillsyn/S 2745-2025 tillsynsbegäran.docx", "S 2745-2025")</f>
        <v/>
      </c>
      <c r="AC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46223</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s="2" t="inlineStr">
        <is>
          <t>Lunglav</t>
        </is>
      </c>
      <c r="V237">
        <f>HYPERLINK("https://klasma.github.io/Logging_2361/artfynd/S 1709-2026 artfynd.xlsx", "S 1709-2026")</f>
        <v/>
      </c>
      <c r="W237">
        <f>HYPERLINK("https://klasma.github.io/Logging_2361/kartor/S 1709-2026 karta.png", "S 1709-2026")</f>
        <v/>
      </c>
      <c r="X237">
        <f>HYPERLINK("https://klasma.github.io/Logging_2361/kartor_geotiff/S 1709-2026 georefererad karta.tif", "S 1709-2026")</f>
        <v/>
      </c>
      <c r="Z237">
        <f>HYPERLINK("https://klasma.github.io/Logging_2361/klagomål/S 1709-2026 FSC-klagomål.docx", "S 1709-2026")</f>
        <v/>
      </c>
      <c r="AA237">
        <f>HYPERLINK("https://klasma.github.io/Logging_2361/klagomålsmail/S 1709-2026 FSC-klagomål mail.docx", "S 1709-2026")</f>
        <v/>
      </c>
      <c r="AB237">
        <f>HYPERLINK("https://klasma.github.io/Logging_2361/tillsyn/S 1709-2026 tillsynsbegäran.docx", "S 1709-2026")</f>
        <v/>
      </c>
      <c r="AC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46223</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42827-2021</t>
        </is>
      </c>
      <c r="B239" t="inlineStr">
        <is>
          <t>avverkningsanmälan</t>
        </is>
      </c>
      <c r="C239" t="inlineStr">
        <is>
          <t>Föryngringsavverkning</t>
        </is>
      </c>
      <c r="D239" s="1" t="n">
        <v>44430</v>
      </c>
      <c r="E239" s="1" t="n">
        <v>46223</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38001-2021</t>
        </is>
      </c>
      <c r="B240" t="inlineStr">
        <is>
          <t>avverkningsanmälan</t>
        </is>
      </c>
      <c r="C240" t="inlineStr">
        <is>
          <t>Avverkning för annat ändamål</t>
        </is>
      </c>
      <c r="D240" s="1" t="n">
        <v>44404</v>
      </c>
      <c r="E240" s="1" t="n">
        <v>46223</v>
      </c>
      <c r="F240" t="inlineStr">
        <is>
          <t>JÄMTLANDS LÄN</t>
        </is>
      </c>
      <c r="G240" t="inlineStr">
        <is>
          <t>HÄRJEDALEN</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71756-2021</t>
        </is>
      </c>
      <c r="B241" t="inlineStr">
        <is>
          <t>avverkningsanmälan</t>
        </is>
      </c>
      <c r="C241" t="inlineStr">
        <is>
          <t>Föryngringsavverkning</t>
        </is>
      </c>
      <c r="D241" s="1" t="n">
        <v>44543</v>
      </c>
      <c r="E241" s="1" t="n">
        <v>46223</v>
      </c>
      <c r="F241" t="inlineStr">
        <is>
          <t>JÄMTLANDS LÄN</t>
        </is>
      </c>
      <c r="G241" t="inlineStr">
        <is>
          <t>HÄRJEDALEN</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39631-2021</t>
        </is>
      </c>
      <c r="B242" t="inlineStr">
        <is>
          <t>avverkningsanmälan</t>
        </is>
      </c>
      <c r="C242" t="inlineStr">
        <is>
          <t>Föryngringsavverkning</t>
        </is>
      </c>
      <c r="D242" s="1" t="n">
        <v>44417</v>
      </c>
      <c r="E242" s="1" t="n">
        <v>46223</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8823-2022</t>
        </is>
      </c>
      <c r="B243" t="inlineStr">
        <is>
          <t>avverkningsanmälan</t>
        </is>
      </c>
      <c r="C243" t="inlineStr">
        <is>
          <t>Föryngringsavverkning</t>
        </is>
      </c>
      <c r="D243" s="1" t="n">
        <v>44614</v>
      </c>
      <c r="E243" s="1" t="n">
        <v>46223</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s="2" t="inlineStr"/>
    </row>
    <row r="244" ht="15" customHeight="1">
      <c r="A244" t="inlineStr">
        <is>
          <t>A 39636-2021</t>
        </is>
      </c>
      <c r="B244" t="inlineStr">
        <is>
          <t>avverkningsanmälan</t>
        </is>
      </c>
      <c r="C244" t="inlineStr">
        <is>
          <t>Föryngringsavverkning</t>
        </is>
      </c>
      <c r="D244" s="1" t="n">
        <v>44417</v>
      </c>
      <c r="E244" s="1" t="n">
        <v>46223</v>
      </c>
      <c r="F244" t="inlineStr">
        <is>
          <t>JÄMTLANDS LÄN</t>
        </is>
      </c>
      <c r="G244" t="inlineStr">
        <is>
          <t>HÄRJEDALEN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60841-2021</t>
        </is>
      </c>
      <c r="B245" t="inlineStr">
        <is>
          <t>avverkningsanmälan</t>
        </is>
      </c>
      <c r="C245" t="inlineStr">
        <is>
          <t>Föryngringsavverkning</t>
        </is>
      </c>
      <c r="D245" s="1" t="n">
        <v>44497</v>
      </c>
      <c r="E245" s="1" t="n">
        <v>46223</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55215-2021</t>
        </is>
      </c>
      <c r="B246" t="inlineStr">
        <is>
          <t>avverkningsanmälan</t>
        </is>
      </c>
      <c r="C246" t="inlineStr">
        <is>
          <t>Föryngringsavverkning</t>
        </is>
      </c>
      <c r="D246" s="1" t="n">
        <v>44475</v>
      </c>
      <c r="E246" s="1" t="n">
        <v>46223</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69499-2021</t>
        </is>
      </c>
      <c r="B247" t="inlineStr">
        <is>
          <t>avverkningsanmälan</t>
        </is>
      </c>
      <c r="C247" t="inlineStr">
        <is>
          <t>Föryngringsavverkning</t>
        </is>
      </c>
      <c r="D247" s="1" t="n">
        <v>44531</v>
      </c>
      <c r="E247" s="1" t="n">
        <v>46223</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s="2" t="inlineStr"/>
    </row>
    <row r="248" ht="15" customHeight="1">
      <c r="A248" t="inlineStr">
        <is>
          <t>A 71467-2021</t>
        </is>
      </c>
      <c r="B248" t="inlineStr">
        <is>
          <t>avverkningsanmälan</t>
        </is>
      </c>
      <c r="C248" t="inlineStr">
        <is>
          <t>Avverkning för annat ändamål</t>
        </is>
      </c>
      <c r="D248" s="1" t="n">
        <v>44540</v>
      </c>
      <c r="E248" s="1" t="n">
        <v>46223</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6309-2022</t>
        </is>
      </c>
      <c r="B249" t="inlineStr">
        <is>
          <t>avverkningsanmälan</t>
        </is>
      </c>
      <c r="C249" t="inlineStr">
        <is>
          <t>Föryngringsavverkning</t>
        </is>
      </c>
      <c r="D249" s="1" t="n">
        <v>44600</v>
      </c>
      <c r="E249" s="1" t="n">
        <v>46223</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s="2" t="inlineStr"/>
    </row>
    <row r="250" ht="15" customHeight="1">
      <c r="A250" t="inlineStr">
        <is>
          <t>A 71668-2021</t>
        </is>
      </c>
      <c r="B250" t="inlineStr">
        <is>
          <t>avverkningsanmälan</t>
        </is>
      </c>
      <c r="C250" t="inlineStr">
        <is>
          <t>Avverkning för att bevara och utveckla /försöksver</t>
        </is>
      </c>
      <c r="D250" s="1" t="n">
        <v>44538</v>
      </c>
      <c r="E250" s="1" t="n">
        <v>46223</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s="2" t="inlineStr"/>
    </row>
    <row r="251" ht="15" customHeight="1">
      <c r="A251" t="inlineStr">
        <is>
          <t>A 55393-2021</t>
        </is>
      </c>
      <c r="B251" t="inlineStr">
        <is>
          <t>avverkningsanmälan</t>
        </is>
      </c>
      <c r="C251" t="inlineStr">
        <is>
          <t>Föryngringsavverkning</t>
        </is>
      </c>
      <c r="D251" s="1" t="n">
        <v>44475</v>
      </c>
      <c r="E251" s="1" t="n">
        <v>46223</v>
      </c>
      <c r="F251" t="inlineStr">
        <is>
          <t>JÄMTLANDS LÄN</t>
        </is>
      </c>
      <c r="G251" t="inlineStr">
        <is>
          <t>HÄRJEDALEN</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47635-2022</t>
        </is>
      </c>
      <c r="B252" t="inlineStr">
        <is>
          <t>avverkningsanmälan</t>
        </is>
      </c>
      <c r="C252" t="inlineStr">
        <is>
          <t>Föryngringsavverkning</t>
        </is>
      </c>
      <c r="D252" s="1" t="n">
        <v>44854</v>
      </c>
      <c r="E252" s="1" t="n">
        <v>46223</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40578-2022</t>
        </is>
      </c>
      <c r="B253" t="inlineStr">
        <is>
          <t>avverkningsanmälan</t>
        </is>
      </c>
      <c r="C253" t="inlineStr">
        <is>
          <t>Föryngringsavverkning</t>
        </is>
      </c>
      <c r="D253" s="1" t="n">
        <v>44823</v>
      </c>
      <c r="E253" s="1" t="n">
        <v>46223</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41395-2021</t>
        </is>
      </c>
      <c r="B254" t="inlineStr">
        <is>
          <t>avverkningsanmälan</t>
        </is>
      </c>
      <c r="C254" t="inlineStr">
        <is>
          <t>Föryngringsavverkning</t>
        </is>
      </c>
      <c r="D254" s="1" t="n">
        <v>44424</v>
      </c>
      <c r="E254" s="1" t="n">
        <v>46223</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40808-2021</t>
        </is>
      </c>
      <c r="B255" t="inlineStr">
        <is>
          <t>avverkningsanmälan</t>
        </is>
      </c>
      <c r="C255" t="inlineStr">
        <is>
          <t>Föryngringsavverkning</t>
        </is>
      </c>
      <c r="D255" s="1" t="n">
        <v>44421</v>
      </c>
      <c r="E255" s="1" t="n">
        <v>46223</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57381-2021</t>
        </is>
      </c>
      <c r="B256" t="inlineStr">
        <is>
          <t>avverkningsanmälan</t>
        </is>
      </c>
      <c r="C256" t="inlineStr">
        <is>
          <t>Föryngringsavverkning</t>
        </is>
      </c>
      <c r="D256" s="1" t="n">
        <v>44483</v>
      </c>
      <c r="E256" s="1" t="n">
        <v>46223</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s="2" t="inlineStr"/>
    </row>
    <row r="257" ht="15" customHeight="1">
      <c r="A257" t="inlineStr">
        <is>
          <t>A 39950-2021</t>
        </is>
      </c>
      <c r="B257" t="inlineStr">
        <is>
          <t>avverkningsanmälan</t>
        </is>
      </c>
      <c r="C257" t="inlineStr">
        <is>
          <t>Föryngringsavverkning</t>
        </is>
      </c>
      <c r="D257" s="1" t="n">
        <v>44418</v>
      </c>
      <c r="E257" s="1" t="n">
        <v>46223</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s="2" t="inlineStr"/>
    </row>
    <row r="258" ht="15" customHeight="1">
      <c r="A258" t="inlineStr">
        <is>
          <t>A 58451-2021</t>
        </is>
      </c>
      <c r="B258" t="inlineStr">
        <is>
          <t>avverkningsanmälan</t>
        </is>
      </c>
      <c r="C258" t="inlineStr">
        <is>
          <t>Föryngringsavverkning</t>
        </is>
      </c>
      <c r="D258" s="1" t="n">
        <v>44488</v>
      </c>
      <c r="E258" s="1" t="n">
        <v>46223</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39951-2021</t>
        </is>
      </c>
      <c r="B259" t="inlineStr">
        <is>
          <t>avverkningsanmälan</t>
        </is>
      </c>
      <c r="C259" t="inlineStr">
        <is>
          <t>Föryngringsavverkning</t>
        </is>
      </c>
      <c r="D259" s="1" t="n">
        <v>44418</v>
      </c>
      <c r="E259" s="1" t="n">
        <v>46223</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52685-2021</t>
        </is>
      </c>
      <c r="B260" t="inlineStr">
        <is>
          <t>avverkningsanmälan</t>
        </is>
      </c>
      <c r="C260" t="inlineStr">
        <is>
          <t>Föryngringsavverkning</t>
        </is>
      </c>
      <c r="D260" s="1" t="n">
        <v>44466</v>
      </c>
      <c r="E260" s="1" t="n">
        <v>46223</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9095-2022</t>
        </is>
      </c>
      <c r="B261" t="inlineStr">
        <is>
          <t>avverkningsanmälan</t>
        </is>
      </c>
      <c r="C261" t="inlineStr">
        <is>
          <t>Föryngringsavverkning</t>
        </is>
      </c>
      <c r="D261" s="1" t="n">
        <v>44615</v>
      </c>
      <c r="E261" s="1" t="n">
        <v>46223</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s="2" t="inlineStr"/>
    </row>
    <row r="262" ht="15" customHeight="1">
      <c r="A262" t="inlineStr">
        <is>
          <t>A 55226-2021</t>
        </is>
      </c>
      <c r="B262" t="inlineStr">
        <is>
          <t>avverkningsanmälan</t>
        </is>
      </c>
      <c r="C262" t="inlineStr">
        <is>
          <t>Föryngringsavverkning</t>
        </is>
      </c>
      <c r="D262" s="1" t="n">
        <v>44475</v>
      </c>
      <c r="E262" s="1" t="n">
        <v>46223</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38794-2021</t>
        </is>
      </c>
      <c r="B263" t="inlineStr">
        <is>
          <t>avverkningsanmälan</t>
        </is>
      </c>
      <c r="C263" t="inlineStr">
        <is>
          <t>Föryngringsavverkning</t>
        </is>
      </c>
      <c r="D263" s="1" t="n">
        <v>44410</v>
      </c>
      <c r="E263" s="1" t="n">
        <v>46223</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197-2022</t>
        </is>
      </c>
      <c r="B264" t="inlineStr">
        <is>
          <t>avverkningsanmälan</t>
        </is>
      </c>
      <c r="C264" t="inlineStr">
        <is>
          <t>Föryngringsavverkning</t>
        </is>
      </c>
      <c r="D264" s="1" t="n">
        <v>44564</v>
      </c>
      <c r="E264" s="1" t="n">
        <v>46223</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24792-2022</t>
        </is>
      </c>
      <c r="B265" t="inlineStr">
        <is>
          <t>avverkningsanmälan</t>
        </is>
      </c>
      <c r="C265" t="inlineStr">
        <is>
          <t>Avverkning för annat ändamål</t>
        </is>
      </c>
      <c r="D265" s="1" t="n">
        <v>44728</v>
      </c>
      <c r="E265" s="1" t="n">
        <v>46223</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39618-2021</t>
        </is>
      </c>
      <c r="B266" t="inlineStr">
        <is>
          <t>avverkningsanmälan</t>
        </is>
      </c>
      <c r="C266" t="inlineStr">
        <is>
          <t>Föryngringsavverkning</t>
        </is>
      </c>
      <c r="D266" s="1" t="n">
        <v>44417</v>
      </c>
      <c r="E266" s="1" t="n">
        <v>46223</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55232-2021</t>
        </is>
      </c>
      <c r="B267" t="inlineStr">
        <is>
          <t>avverkningsanmälan</t>
        </is>
      </c>
      <c r="C267" t="inlineStr">
        <is>
          <t>Föryngringsavverkning</t>
        </is>
      </c>
      <c r="D267" s="1" t="n">
        <v>44475</v>
      </c>
      <c r="E267" s="1" t="n">
        <v>46223</v>
      </c>
      <c r="F267" t="inlineStr">
        <is>
          <t>JÄMTLANDS LÄN</t>
        </is>
      </c>
      <c r="G267" t="inlineStr">
        <is>
          <t>HÄRJEDALEN</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41391-2021</t>
        </is>
      </c>
      <c r="B268" t="inlineStr">
        <is>
          <t>avverkningsanmälan</t>
        </is>
      </c>
      <c r="C268" t="inlineStr">
        <is>
          <t>Föryngringsavverkning</t>
        </is>
      </c>
      <c r="D268" s="1" t="n">
        <v>44424</v>
      </c>
      <c r="E268" s="1" t="n">
        <v>46223</v>
      </c>
      <c r="F268" t="inlineStr">
        <is>
          <t>JÄMTLANDS LÄN</t>
        </is>
      </c>
      <c r="G268" t="inlineStr">
        <is>
          <t>HÄRJEDALEN</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41400-2021</t>
        </is>
      </c>
      <c r="B269" t="inlineStr">
        <is>
          <t>avverkningsanmälan</t>
        </is>
      </c>
      <c r="C269" t="inlineStr">
        <is>
          <t>Föryngringsavverkning</t>
        </is>
      </c>
      <c r="D269" s="1" t="n">
        <v>44424</v>
      </c>
      <c r="E269" s="1" t="n">
        <v>46223</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39618-2022</t>
        </is>
      </c>
      <c r="B270" t="inlineStr">
        <is>
          <t>avverkningsanmälan</t>
        </is>
      </c>
      <c r="C270" t="inlineStr">
        <is>
          <t>Avverkning för annat ändamål</t>
        </is>
      </c>
      <c r="D270" s="1" t="n">
        <v>44818</v>
      </c>
      <c r="E270" s="1" t="n">
        <v>46223</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31167-2022</t>
        </is>
      </c>
      <c r="B271" t="inlineStr">
        <is>
          <t>avverkningsanmälan</t>
        </is>
      </c>
      <c r="C271" t="inlineStr">
        <is>
          <t>Föryngringsavverkning</t>
        </is>
      </c>
      <c r="D271" s="1" t="n">
        <v>44770</v>
      </c>
      <c r="E271" s="1" t="n">
        <v>46223</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18808-2022</t>
        </is>
      </c>
      <c r="B272" t="inlineStr">
        <is>
          <t>avverkningsanmälan</t>
        </is>
      </c>
      <c r="C272" t="inlineStr">
        <is>
          <t>Avverkning för annat ändamål</t>
        </is>
      </c>
      <c r="D272" s="1" t="n">
        <v>44690</v>
      </c>
      <c r="E272" s="1" t="n">
        <v>46223</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34492-2022</t>
        </is>
      </c>
      <c r="B273" t="inlineStr">
        <is>
          <t>avverkningsanmälan</t>
        </is>
      </c>
      <c r="C273" t="inlineStr">
        <is>
          <t>Föryngringsavverkning</t>
        </is>
      </c>
      <c r="D273" s="1" t="n">
        <v>44792</v>
      </c>
      <c r="E273" s="1" t="n">
        <v>46223</v>
      </c>
      <c r="F273" t="inlineStr">
        <is>
          <t>JÄMTLANDS LÄN</t>
        </is>
      </c>
      <c r="G273" t="inlineStr">
        <is>
          <t>HÄRJEDALEN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37155-2021</t>
        </is>
      </c>
      <c r="B274" t="inlineStr">
        <is>
          <t>avverkningsanmälan</t>
        </is>
      </c>
      <c r="C274" t="inlineStr">
        <is>
          <t>Föryngringsavverkning</t>
        </is>
      </c>
      <c r="D274" s="1" t="n">
        <v>44396</v>
      </c>
      <c r="E274" s="1" t="n">
        <v>46223</v>
      </c>
      <c r="F274" t="inlineStr">
        <is>
          <t>JÄMTLANDS LÄN</t>
        </is>
      </c>
      <c r="G274" t="inlineStr">
        <is>
          <t>HÄRJEDALEN</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55517-2021</t>
        </is>
      </c>
      <c r="B275" t="inlineStr">
        <is>
          <t>avverkningsanmälan</t>
        </is>
      </c>
      <c r="C275" t="inlineStr">
        <is>
          <t>Föryngringsavverkning</t>
        </is>
      </c>
      <c r="D275" s="1" t="n">
        <v>44475</v>
      </c>
      <c r="E275" s="1" t="n">
        <v>46223</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55399-2021</t>
        </is>
      </c>
      <c r="B276" t="inlineStr">
        <is>
          <t>avverkningsanmälan</t>
        </is>
      </c>
      <c r="C276" t="inlineStr">
        <is>
          <t>Föryngringsavverkning</t>
        </is>
      </c>
      <c r="D276" s="1" t="n">
        <v>44475</v>
      </c>
      <c r="E276" s="1" t="n">
        <v>46223</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55379-2021</t>
        </is>
      </c>
      <c r="B277" t="inlineStr">
        <is>
          <t>avverkningsanmälan</t>
        </is>
      </c>
      <c r="C277" t="inlineStr">
        <is>
          <t>Föryngringsavverkning</t>
        </is>
      </c>
      <c r="D277" s="1" t="n">
        <v>44475</v>
      </c>
      <c r="E277" s="1" t="n">
        <v>46223</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55384-2021</t>
        </is>
      </c>
      <c r="B278" t="inlineStr">
        <is>
          <t>avverkningsanmälan</t>
        </is>
      </c>
      <c r="C278" t="inlineStr">
        <is>
          <t>Föryngringsavverkning</t>
        </is>
      </c>
      <c r="D278" s="1" t="n">
        <v>44475</v>
      </c>
      <c r="E278" s="1" t="n">
        <v>46223</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55385-2021</t>
        </is>
      </c>
      <c r="B279" t="inlineStr">
        <is>
          <t>avverkningsanmälan</t>
        </is>
      </c>
      <c r="C279" t="inlineStr">
        <is>
          <t>Föryngringsavverkning</t>
        </is>
      </c>
      <c r="D279" s="1" t="n">
        <v>44475</v>
      </c>
      <c r="E279" s="1" t="n">
        <v>46223</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40497-2021</t>
        </is>
      </c>
      <c r="B280" t="inlineStr">
        <is>
          <t>avverkningsanmälan</t>
        </is>
      </c>
      <c r="C280" t="inlineStr">
        <is>
          <t>Föryngringsavverkning</t>
        </is>
      </c>
      <c r="D280" s="1" t="n">
        <v>44420</v>
      </c>
      <c r="E280" s="1" t="n">
        <v>46223</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57256-2021</t>
        </is>
      </c>
      <c r="B281" t="inlineStr">
        <is>
          <t>avverkningsanmälan</t>
        </is>
      </c>
      <c r="C281" t="inlineStr">
        <is>
          <t>Föryngringsavverkning</t>
        </is>
      </c>
      <c r="D281" s="1" t="n">
        <v>44483</v>
      </c>
      <c r="E281" s="1" t="n">
        <v>46223</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39611-2021</t>
        </is>
      </c>
      <c r="B282" t="inlineStr">
        <is>
          <t>avverkningsanmälan</t>
        </is>
      </c>
      <c r="C282" t="inlineStr">
        <is>
          <t>Föryngringsavverkning</t>
        </is>
      </c>
      <c r="D282" s="1" t="n">
        <v>44417</v>
      </c>
      <c r="E282" s="1" t="n">
        <v>46223</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71989-2021</t>
        </is>
      </c>
      <c r="B283" t="inlineStr">
        <is>
          <t>avverkningsanmälan</t>
        </is>
      </c>
      <c r="C283" t="inlineStr">
        <is>
          <t>Avverkning för annat ändamål</t>
        </is>
      </c>
      <c r="D283" s="1" t="n">
        <v>44544</v>
      </c>
      <c r="E283" s="1" t="n">
        <v>46223</v>
      </c>
      <c r="F283" t="inlineStr">
        <is>
          <t>JÄMTLANDS LÄN</t>
        </is>
      </c>
      <c r="G283" t="inlineStr">
        <is>
          <t>HÄRJEDALEN</t>
        </is>
      </c>
      <c r="H283" t="inlineStr">
        <is>
          <t>Holmen skog AB</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41978-2021</t>
        </is>
      </c>
      <c r="B284" t="inlineStr">
        <is>
          <t>avverkningsanmälan</t>
        </is>
      </c>
      <c r="C284" t="inlineStr">
        <is>
          <t>Föryngringsavverkning</t>
        </is>
      </c>
      <c r="D284" s="1" t="n">
        <v>44426</v>
      </c>
      <c r="E284" s="1" t="n">
        <v>46223</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48583-2022</t>
        </is>
      </c>
      <c r="B285" t="inlineStr">
        <is>
          <t>avverkningsanmälan</t>
        </is>
      </c>
      <c r="C285" t="inlineStr">
        <is>
          <t>Föryngringsavverkning</t>
        </is>
      </c>
      <c r="D285" s="1" t="n">
        <v>44859</v>
      </c>
      <c r="E285" s="1" t="n">
        <v>46223</v>
      </c>
      <c r="F285" t="inlineStr">
        <is>
          <t>JÄMTLANDS LÄN</t>
        </is>
      </c>
      <c r="G285" t="inlineStr">
        <is>
          <t>HÄRJEDALEN</t>
        </is>
      </c>
      <c r="H285" t="inlineStr">
        <is>
          <t>Bergvik skog väst AB</t>
        </is>
      </c>
      <c r="I285" t="n">
        <v>8.6</v>
      </c>
      <c r="J285" t="n">
        <v>0</v>
      </c>
      <c r="K285" t="n">
        <v>0</v>
      </c>
      <c r="L285" t="n">
        <v>0</v>
      </c>
      <c r="M285" t="n">
        <v>0</v>
      </c>
      <c r="N285" t="n">
        <v>0</v>
      </c>
      <c r="O285" t="n">
        <v>0</v>
      </c>
      <c r="P285" t="n">
        <v>0</v>
      </c>
      <c r="Q285" t="n">
        <v>0</v>
      </c>
      <c r="R285" t="n">
        <v>0</v>
      </c>
      <c r="S285" t="n">
        <v>0</v>
      </c>
      <c r="T285" t="n">
        <v>0</v>
      </c>
      <c r="U285" s="2" t="inlineStr"/>
    </row>
    <row r="286" ht="15" customHeight="1">
      <c r="A286" t="inlineStr">
        <is>
          <t>A 54842-2021</t>
        </is>
      </c>
      <c r="B286" t="inlineStr">
        <is>
          <t>avverkningsanmälan</t>
        </is>
      </c>
      <c r="C286" t="inlineStr">
        <is>
          <t>Avverkning för att bevara och utveckla /försöksver</t>
        </is>
      </c>
      <c r="D286" s="1" t="n">
        <v>44473</v>
      </c>
      <c r="E286" s="1" t="n">
        <v>46223</v>
      </c>
      <c r="F286" t="inlineStr">
        <is>
          <t>JÄMTLANDS LÄN</t>
        </is>
      </c>
      <c r="G286" t="inlineStr">
        <is>
          <t>HÄRJEDALEN</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71864-2021</t>
        </is>
      </c>
      <c r="B287" t="inlineStr">
        <is>
          <t>avverkningsanmälan</t>
        </is>
      </c>
      <c r="C287" t="inlineStr">
        <is>
          <t>Avverkning för annat ändamål</t>
        </is>
      </c>
      <c r="D287" s="1" t="n">
        <v>44543</v>
      </c>
      <c r="E287" s="1" t="n">
        <v>46223</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s="2" t="inlineStr"/>
    </row>
    <row r="288" ht="15" customHeight="1">
      <c r="A288" t="inlineStr">
        <is>
          <t>A 24214-2022</t>
        </is>
      </c>
      <c r="B288" t="inlineStr">
        <is>
          <t>avverkningsanmälan</t>
        </is>
      </c>
      <c r="C288" t="inlineStr">
        <is>
          <t>Föryngringsavverkning</t>
        </is>
      </c>
      <c r="D288" s="1" t="n">
        <v>44725</v>
      </c>
      <c r="E288" s="1" t="n">
        <v>46223</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39616-2021</t>
        </is>
      </c>
      <c r="B289" t="inlineStr">
        <is>
          <t>avverkningsanmälan</t>
        </is>
      </c>
      <c r="C289" t="inlineStr">
        <is>
          <t>Föryngringsavverkning</t>
        </is>
      </c>
      <c r="D289" s="1" t="n">
        <v>44417</v>
      </c>
      <c r="E289" s="1" t="n">
        <v>46223</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71493-2021</t>
        </is>
      </c>
      <c r="B290" t="inlineStr">
        <is>
          <t>avverkningsanmälan</t>
        </is>
      </c>
      <c r="C290" t="inlineStr">
        <is>
          <t>Föryngringsavverkning</t>
        </is>
      </c>
      <c r="D290" s="1" t="n">
        <v>44540</v>
      </c>
      <c r="E290" s="1" t="n">
        <v>46223</v>
      </c>
      <c r="F290" t="inlineStr">
        <is>
          <t>JÄMTLANDS LÄN</t>
        </is>
      </c>
      <c r="G290" t="inlineStr">
        <is>
          <t>HÄRJEDALEN</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52852-2022</t>
        </is>
      </c>
      <c r="B291" t="inlineStr">
        <is>
          <t>avverkningsanmälan</t>
        </is>
      </c>
      <c r="C291" t="inlineStr">
        <is>
          <t>Föryngringsavverkning</t>
        </is>
      </c>
      <c r="D291" s="1" t="n">
        <v>44872</v>
      </c>
      <c r="E291" s="1" t="n">
        <v>46223</v>
      </c>
      <c r="F291" t="inlineStr">
        <is>
          <t>JÄMTLANDS LÄN</t>
        </is>
      </c>
      <c r="G291" t="inlineStr">
        <is>
          <t>HÄRJEDALEN</t>
        </is>
      </c>
      <c r="H291" t="inlineStr">
        <is>
          <t>Holmen skog AB</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27483-2022</t>
        </is>
      </c>
      <c r="B292" t="inlineStr">
        <is>
          <t>avverkningsanmälan</t>
        </is>
      </c>
      <c r="C292" t="inlineStr">
        <is>
          <t>Avverkning för annat ändamål</t>
        </is>
      </c>
      <c r="D292" s="1" t="n">
        <v>44742</v>
      </c>
      <c r="E292" s="1" t="n">
        <v>46223</v>
      </c>
      <c r="F292" t="inlineStr">
        <is>
          <t>JÄMTLANDS LÄN</t>
        </is>
      </c>
      <c r="G292" t="inlineStr">
        <is>
          <t>HÄRJEDALEN</t>
        </is>
      </c>
      <c r="H292" t="inlineStr">
        <is>
          <t>Holmen skog AB</t>
        </is>
      </c>
      <c r="I292" t="n">
        <v>0</v>
      </c>
      <c r="J292" t="n">
        <v>0</v>
      </c>
      <c r="K292" t="n">
        <v>0</v>
      </c>
      <c r="L292" t="n">
        <v>0</v>
      </c>
      <c r="M292" t="n">
        <v>0</v>
      </c>
      <c r="N292" t="n">
        <v>0</v>
      </c>
      <c r="O292" t="n">
        <v>0</v>
      </c>
      <c r="P292" t="n">
        <v>0</v>
      </c>
      <c r="Q292" t="n">
        <v>0</v>
      </c>
      <c r="R292" t="n">
        <v>0</v>
      </c>
      <c r="S292" t="n">
        <v>0</v>
      </c>
      <c r="T292" t="n">
        <v>0</v>
      </c>
      <c r="U292" s="2" t="inlineStr"/>
    </row>
    <row r="293" ht="15" customHeight="1">
      <c r="A293" t="inlineStr">
        <is>
          <t>A 68858-2021</t>
        </is>
      </c>
      <c r="B293" t="inlineStr">
        <is>
          <t>avverkningsanmälan</t>
        </is>
      </c>
      <c r="C293" t="inlineStr">
        <is>
          <t>Föryngringsavverkning</t>
        </is>
      </c>
      <c r="D293" s="1" t="n">
        <v>44530</v>
      </c>
      <c r="E293" s="1" t="n">
        <v>46223</v>
      </c>
      <c r="F293" t="inlineStr">
        <is>
          <t>JÄMTLANDS LÄN</t>
        </is>
      </c>
      <c r="G293" t="inlineStr">
        <is>
          <t>HÄRJEDALEN</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55250-2021</t>
        </is>
      </c>
      <c r="B294" t="inlineStr">
        <is>
          <t>avverkningsanmälan</t>
        </is>
      </c>
      <c r="C294" t="inlineStr">
        <is>
          <t>Föryngringsavverkning</t>
        </is>
      </c>
      <c r="D294" s="1" t="n">
        <v>44475</v>
      </c>
      <c r="E294" s="1" t="n">
        <v>46223</v>
      </c>
      <c r="F294" t="inlineStr">
        <is>
          <t>JÄMTLANDS LÄN</t>
        </is>
      </c>
      <c r="G294" t="inlineStr">
        <is>
          <t>HÄRJEDALEN</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47975-2022</t>
        </is>
      </c>
      <c r="B295" t="inlineStr">
        <is>
          <t>avverkningsanmälan</t>
        </is>
      </c>
      <c r="C295" t="inlineStr">
        <is>
          <t>Föryngringsavverkning</t>
        </is>
      </c>
      <c r="D295" s="1" t="n">
        <v>44855</v>
      </c>
      <c r="E295" s="1" t="n">
        <v>46223</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30962-2022</t>
        </is>
      </c>
      <c r="B296" t="inlineStr">
        <is>
          <t>avverkningsanmälan</t>
        </is>
      </c>
      <c r="C296" t="inlineStr">
        <is>
          <t>Föryngringsavverkning</t>
        </is>
      </c>
      <c r="D296" s="1" t="n">
        <v>44768</v>
      </c>
      <c r="E296" s="1" t="n">
        <v>46223</v>
      </c>
      <c r="F296" t="inlineStr">
        <is>
          <t>JÄMTLANDS LÄN</t>
        </is>
      </c>
      <c r="G296" t="inlineStr">
        <is>
          <t>HÄRJEDALEN</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37832-2021</t>
        </is>
      </c>
      <c r="B297" t="inlineStr">
        <is>
          <t>avverkningsanmälan</t>
        </is>
      </c>
      <c r="C297" t="inlineStr">
        <is>
          <t>Avverkning för annat ändamål</t>
        </is>
      </c>
      <c r="D297" s="1" t="n">
        <v>44403</v>
      </c>
      <c r="E297" s="1" t="n">
        <v>46223</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55100-2022</t>
        </is>
      </c>
      <c r="B298" t="inlineStr">
        <is>
          <t>avverkningsanmälan</t>
        </is>
      </c>
      <c r="C298" t="inlineStr">
        <is>
          <t>Föryngringsavverkning</t>
        </is>
      </c>
      <c r="D298" s="1" t="n">
        <v>44886</v>
      </c>
      <c r="E298" s="1" t="n">
        <v>46223</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55103-2022</t>
        </is>
      </c>
      <c r="B299" t="inlineStr">
        <is>
          <t>avverkningsanmälan</t>
        </is>
      </c>
      <c r="C299" t="inlineStr">
        <is>
          <t>Föryngringsavverkning</t>
        </is>
      </c>
      <c r="D299" s="1" t="n">
        <v>44886</v>
      </c>
      <c r="E299" s="1" t="n">
        <v>46223</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43825-2022</t>
        </is>
      </c>
      <c r="B300" t="inlineStr">
        <is>
          <t>avverkningsanmälan</t>
        </is>
      </c>
      <c r="C300" t="inlineStr">
        <is>
          <t>Föryngringsavverkning</t>
        </is>
      </c>
      <c r="D300" s="1" t="n">
        <v>44838</v>
      </c>
      <c r="E300" s="1" t="n">
        <v>46223</v>
      </c>
      <c r="F300" t="inlineStr">
        <is>
          <t>JÄMTLANDS LÄN</t>
        </is>
      </c>
      <c r="G300" t="inlineStr">
        <is>
          <t>HÄRJEDALEN</t>
        </is>
      </c>
      <c r="H300" t="inlineStr">
        <is>
          <t>Bergvik skog väst AB</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33465-2022</t>
        </is>
      </c>
      <c r="B301" t="inlineStr">
        <is>
          <t>avverkningsanmälan</t>
        </is>
      </c>
      <c r="C301" t="inlineStr">
        <is>
          <t>Föryngringsavverkning</t>
        </is>
      </c>
      <c r="D301" s="1" t="n">
        <v>44788</v>
      </c>
      <c r="E301" s="1" t="n">
        <v>46223</v>
      </c>
      <c r="F301" t="inlineStr">
        <is>
          <t>JÄMTLANDS LÄN</t>
        </is>
      </c>
      <c r="G301" t="inlineStr">
        <is>
          <t>HÄRJEDALEN</t>
        </is>
      </c>
      <c r="H301" t="inlineStr">
        <is>
          <t>Sveaskog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69504-2021</t>
        </is>
      </c>
      <c r="B302" t="inlineStr">
        <is>
          <t>avverkningsanmälan</t>
        </is>
      </c>
      <c r="C302" t="inlineStr">
        <is>
          <t>Föryngringsavverkning</t>
        </is>
      </c>
      <c r="D302" s="1" t="n">
        <v>44531</v>
      </c>
      <c r="E302" s="1" t="n">
        <v>46223</v>
      </c>
      <c r="F302" t="inlineStr">
        <is>
          <t>JÄMTLANDS LÄN</t>
        </is>
      </c>
      <c r="G302" t="inlineStr">
        <is>
          <t>HÄRJEDALEN</t>
        </is>
      </c>
      <c r="I302" t="n">
        <v>11.5</v>
      </c>
      <c r="J302" t="n">
        <v>0</v>
      </c>
      <c r="K302" t="n">
        <v>0</v>
      </c>
      <c r="L302" t="n">
        <v>0</v>
      </c>
      <c r="M302" t="n">
        <v>0</v>
      </c>
      <c r="N302" t="n">
        <v>0</v>
      </c>
      <c r="O302" t="n">
        <v>0</v>
      </c>
      <c r="P302" t="n">
        <v>0</v>
      </c>
      <c r="Q302" t="n">
        <v>0</v>
      </c>
      <c r="R302" t="n">
        <v>0</v>
      </c>
      <c r="S302" t="n">
        <v>0</v>
      </c>
      <c r="T302" t="n">
        <v>0</v>
      </c>
      <c r="U302" s="2" t="inlineStr"/>
    </row>
    <row r="303" ht="15" customHeight="1">
      <c r="A303" t="inlineStr">
        <is>
          <t>A 69490-2021</t>
        </is>
      </c>
      <c r="B303" t="inlineStr">
        <is>
          <t>avverkningsanmälan</t>
        </is>
      </c>
      <c r="C303" t="inlineStr">
        <is>
          <t>Avverkning för annat ändamål</t>
        </is>
      </c>
      <c r="D303" s="1" t="n">
        <v>44531</v>
      </c>
      <c r="E303" s="1" t="n">
        <v>46223</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69501-2021</t>
        </is>
      </c>
      <c r="B304" t="inlineStr">
        <is>
          <t>avverkningsanmälan</t>
        </is>
      </c>
      <c r="C304" t="inlineStr">
        <is>
          <t>Föryngringsavverkning</t>
        </is>
      </c>
      <c r="D304" s="1" t="n">
        <v>44531</v>
      </c>
      <c r="E304" s="1" t="n">
        <v>46223</v>
      </c>
      <c r="F304" t="inlineStr">
        <is>
          <t>JÄMTLANDS LÄN</t>
        </is>
      </c>
      <c r="G304" t="inlineStr">
        <is>
          <t>HÄRJEDALEN</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24693-2022</t>
        </is>
      </c>
      <c r="B305" t="inlineStr">
        <is>
          <t>avverkningsanmälan</t>
        </is>
      </c>
      <c r="C305" t="inlineStr">
        <is>
          <t>Föryngringsavverkning</t>
        </is>
      </c>
      <c r="D305" s="1" t="n">
        <v>44727</v>
      </c>
      <c r="E305" s="1" t="n">
        <v>46223</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55381-2021</t>
        </is>
      </c>
      <c r="B306" t="inlineStr">
        <is>
          <t>avverkningsanmälan</t>
        </is>
      </c>
      <c r="C306" t="inlineStr">
        <is>
          <t>Föryngringsavverkning</t>
        </is>
      </c>
      <c r="D306" s="1" t="n">
        <v>44475</v>
      </c>
      <c r="E306" s="1" t="n">
        <v>46223</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55396-2021</t>
        </is>
      </c>
      <c r="B307" t="inlineStr">
        <is>
          <t>avverkningsanmälan</t>
        </is>
      </c>
      <c r="C307" t="inlineStr">
        <is>
          <t>Föryngringsavverkning</t>
        </is>
      </c>
      <c r="D307" s="1" t="n">
        <v>44475</v>
      </c>
      <c r="E307" s="1" t="n">
        <v>46223</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56852-2021</t>
        </is>
      </c>
      <c r="B308" t="inlineStr">
        <is>
          <t>avverkningsanmälan</t>
        </is>
      </c>
      <c r="C308" t="inlineStr">
        <is>
          <t>Föryngringsavverkning</t>
        </is>
      </c>
      <c r="D308" s="1" t="n">
        <v>44481</v>
      </c>
      <c r="E308" s="1" t="n">
        <v>46223</v>
      </c>
      <c r="F308" t="inlineStr">
        <is>
          <t>JÄMTLANDS LÄN</t>
        </is>
      </c>
      <c r="G308" t="inlineStr">
        <is>
          <t>HÄRJEDALEN</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11527-2022</t>
        </is>
      </c>
      <c r="B309" t="inlineStr">
        <is>
          <t>avverkningsanmälan</t>
        </is>
      </c>
      <c r="C309" t="inlineStr">
        <is>
          <t>Föryngringsavverkning</t>
        </is>
      </c>
      <c r="D309" s="1" t="n">
        <v>44631</v>
      </c>
      <c r="E309" s="1" t="n">
        <v>46223</v>
      </c>
      <c r="F309" t="inlineStr">
        <is>
          <t>JÄMTLANDS LÄN</t>
        </is>
      </c>
      <c r="G309" t="inlineStr">
        <is>
          <t>HÄRJEDALEN</t>
        </is>
      </c>
      <c r="H309" t="inlineStr">
        <is>
          <t>Holmen skog AB</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71649-2021</t>
        </is>
      </c>
      <c r="B310" t="inlineStr">
        <is>
          <t>avverkningsanmälan</t>
        </is>
      </c>
      <c r="C310" t="inlineStr">
        <is>
          <t>Avverkning för att bevara och utveckla /försöksver</t>
        </is>
      </c>
      <c r="D310" s="1" t="n">
        <v>44538</v>
      </c>
      <c r="E310" s="1" t="n">
        <v>46223</v>
      </c>
      <c r="F310" t="inlineStr">
        <is>
          <t>JÄMTLANDS LÄN</t>
        </is>
      </c>
      <c r="G310" t="inlineStr">
        <is>
          <t>HÄRJEDALEN</t>
        </is>
      </c>
      <c r="H310" t="inlineStr">
        <is>
          <t>Övriga statliga verk och myndigheter</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55246-2021</t>
        </is>
      </c>
      <c r="B311" t="inlineStr">
        <is>
          <t>avverkningsanmälan</t>
        </is>
      </c>
      <c r="C311" t="inlineStr">
        <is>
          <t>Föryngringsavverkning</t>
        </is>
      </c>
      <c r="D311" s="1" t="n">
        <v>44475</v>
      </c>
      <c r="E311" s="1" t="n">
        <v>46223</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55252-2021</t>
        </is>
      </c>
      <c r="B312" t="inlineStr">
        <is>
          <t>avverkningsanmälan</t>
        </is>
      </c>
      <c r="C312" t="inlineStr">
        <is>
          <t>Föryngringsavverkning</t>
        </is>
      </c>
      <c r="D312" s="1" t="n">
        <v>44475</v>
      </c>
      <c r="E312" s="1" t="n">
        <v>46223</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s="2" t="inlineStr"/>
    </row>
    <row r="313" ht="15" customHeight="1">
      <c r="A313" t="inlineStr">
        <is>
          <t>A 55257-2021</t>
        </is>
      </c>
      <c r="B313" t="inlineStr">
        <is>
          <t>avverkningsanmälan</t>
        </is>
      </c>
      <c r="C313" t="inlineStr">
        <is>
          <t>Föryngringsavverkning</t>
        </is>
      </c>
      <c r="D313" s="1" t="n">
        <v>44475</v>
      </c>
      <c r="E313" s="1" t="n">
        <v>46223</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s="2" t="inlineStr"/>
    </row>
    <row r="314" ht="15" customHeight="1">
      <c r="A314" t="inlineStr">
        <is>
          <t>A 21770-2022</t>
        </is>
      </c>
      <c r="B314" t="inlineStr">
        <is>
          <t>avverkningsanmälan</t>
        </is>
      </c>
      <c r="C314" t="inlineStr">
        <is>
          <t>Föryngringsavverkning</t>
        </is>
      </c>
      <c r="D314" s="1" t="n">
        <v>44708</v>
      </c>
      <c r="E314" s="1" t="n">
        <v>46223</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18169-2022</t>
        </is>
      </c>
      <c r="B315" t="inlineStr">
        <is>
          <t>avverkningsanmälan</t>
        </is>
      </c>
      <c r="C315" t="inlineStr">
        <is>
          <t>Föryngringsavverkning</t>
        </is>
      </c>
      <c r="D315" s="1" t="n">
        <v>44684</v>
      </c>
      <c r="E315" s="1" t="n">
        <v>46223</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41209-2022</t>
        </is>
      </c>
      <c r="B316" t="inlineStr">
        <is>
          <t>avverkningsanmälan</t>
        </is>
      </c>
      <c r="C316" t="inlineStr">
        <is>
          <t>Avverkning för annat ändamål</t>
        </is>
      </c>
      <c r="D316" s="1" t="n">
        <v>44825</v>
      </c>
      <c r="E316" s="1" t="n">
        <v>46223</v>
      </c>
      <c r="F316" t="inlineStr">
        <is>
          <t>JÄMTLANDS LÄN</t>
        </is>
      </c>
      <c r="G316" t="inlineStr">
        <is>
          <t>HÄRJEDALEN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64484-2023</t>
        </is>
      </c>
      <c r="B317" t="inlineStr">
        <is>
          <t>avverkningsanmälan</t>
        </is>
      </c>
      <c r="C317" t="inlineStr">
        <is>
          <t>Föryngringsavverkning</t>
        </is>
      </c>
      <c r="D317" s="1" t="n">
        <v>45280</v>
      </c>
      <c r="E317" s="1" t="n">
        <v>46223</v>
      </c>
      <c r="F317" t="inlineStr">
        <is>
          <t>JÄMTLANDS LÄN</t>
        </is>
      </c>
      <c r="G317" t="inlineStr">
        <is>
          <t>HÄRJEDALEN</t>
        </is>
      </c>
      <c r="I317" t="n">
        <v>7.1</v>
      </c>
      <c r="J317" t="n">
        <v>0</v>
      </c>
      <c r="K317" t="n">
        <v>0</v>
      </c>
      <c r="L317" t="n">
        <v>0</v>
      </c>
      <c r="M317" t="n">
        <v>0</v>
      </c>
      <c r="N317" t="n">
        <v>0</v>
      </c>
      <c r="O317" t="n">
        <v>0</v>
      </c>
      <c r="P317" t="n">
        <v>0</v>
      </c>
      <c r="Q317" t="n">
        <v>0</v>
      </c>
      <c r="R317" t="n">
        <v>0</v>
      </c>
      <c r="S317" t="n">
        <v>0</v>
      </c>
      <c r="T317" t="n">
        <v>0</v>
      </c>
      <c r="U317" s="2" t="inlineStr"/>
    </row>
    <row r="318" ht="15" customHeight="1">
      <c r="A318" t="inlineStr">
        <is>
          <t>A 9775-2024</t>
        </is>
      </c>
      <c r="B318" t="inlineStr">
        <is>
          <t>avverkningsanmälan</t>
        </is>
      </c>
      <c r="C318" t="inlineStr">
        <is>
          <t>Avverkning för annat ändamål</t>
        </is>
      </c>
      <c r="D318" s="1" t="n">
        <v>45362</v>
      </c>
      <c r="E318" s="1" t="n">
        <v>46223</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9778-2024</t>
        </is>
      </c>
      <c r="B319" t="inlineStr">
        <is>
          <t>avverkningsanmälan</t>
        </is>
      </c>
      <c r="C319" t="inlineStr">
        <is>
          <t>Avverkning för annat ändamål</t>
        </is>
      </c>
      <c r="D319" s="1" t="n">
        <v>45362</v>
      </c>
      <c r="E319" s="1" t="n">
        <v>46223</v>
      </c>
      <c r="F319" t="inlineStr">
        <is>
          <t>JÄMTLANDS LÄN</t>
        </is>
      </c>
      <c r="G319" t="inlineStr">
        <is>
          <t>HÄRJEDALEN</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9788-2024</t>
        </is>
      </c>
      <c r="B320" t="inlineStr">
        <is>
          <t>avverkningsanmälan</t>
        </is>
      </c>
      <c r="C320" t="inlineStr">
        <is>
          <t>Avverkning för annat ändamål</t>
        </is>
      </c>
      <c r="D320" s="1" t="n">
        <v>45362</v>
      </c>
      <c r="E320" s="1" t="n">
        <v>46223</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s="2" t="inlineStr"/>
    </row>
    <row r="321" ht="15" customHeight="1">
      <c r="A321" t="inlineStr">
        <is>
          <t>A 40596-2022</t>
        </is>
      </c>
      <c r="B321" t="inlineStr">
        <is>
          <t>avverkningsanmälan</t>
        </is>
      </c>
      <c r="C321" t="inlineStr">
        <is>
          <t>Föryngringsavverkning</t>
        </is>
      </c>
      <c r="D321" s="1" t="n">
        <v>44823</v>
      </c>
      <c r="E321" s="1" t="n">
        <v>46223</v>
      </c>
      <c r="F321" t="inlineStr">
        <is>
          <t>JÄMTLANDS LÄN</t>
        </is>
      </c>
      <c r="G321" t="inlineStr">
        <is>
          <t>HÄRJEDALEN</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6756-2024</t>
        </is>
      </c>
      <c r="B322" t="inlineStr">
        <is>
          <t>avverkningsanmälan</t>
        </is>
      </c>
      <c r="C322" t="inlineStr">
        <is>
          <t>Föryngringsavverkning</t>
        </is>
      </c>
      <c r="D322" s="1" t="n">
        <v>45342</v>
      </c>
      <c r="E322" s="1" t="n">
        <v>46223</v>
      </c>
      <c r="F322" t="inlineStr">
        <is>
          <t>JÄMTLANDS LÄN</t>
        </is>
      </c>
      <c r="G322" t="inlineStr">
        <is>
          <t>HÄRJEDALEN</t>
        </is>
      </c>
      <c r="I322" t="n">
        <v>5.7</v>
      </c>
      <c r="J322" t="n">
        <v>0</v>
      </c>
      <c r="K322" t="n">
        <v>0</v>
      </c>
      <c r="L322" t="n">
        <v>0</v>
      </c>
      <c r="M322" t="n">
        <v>0</v>
      </c>
      <c r="N322" t="n">
        <v>0</v>
      </c>
      <c r="O322" t="n">
        <v>0</v>
      </c>
      <c r="P322" t="n">
        <v>0</v>
      </c>
      <c r="Q322" t="n">
        <v>0</v>
      </c>
      <c r="R322" t="n">
        <v>0</v>
      </c>
      <c r="S322" t="n">
        <v>0</v>
      </c>
      <c r="T322" t="n">
        <v>0</v>
      </c>
      <c r="U322" s="2" t="inlineStr"/>
    </row>
    <row r="323" ht="15" customHeight="1">
      <c r="A323" t="inlineStr">
        <is>
          <t>A 24964-2023</t>
        </is>
      </c>
      <c r="B323" t="inlineStr">
        <is>
          <t>avverkningsanmälan</t>
        </is>
      </c>
      <c r="C323" t="inlineStr">
        <is>
          <t>Föryngringsavverkning</t>
        </is>
      </c>
      <c r="D323" s="1" t="n">
        <v>45085</v>
      </c>
      <c r="E323" s="1" t="n">
        <v>46223</v>
      </c>
      <c r="F323" t="inlineStr">
        <is>
          <t>JÄMTLANDS LÄN</t>
        </is>
      </c>
      <c r="G323" t="inlineStr">
        <is>
          <t>HÄRJEDALEN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31960-2023</t>
        </is>
      </c>
      <c r="B324" t="inlineStr">
        <is>
          <t>avverkningsanmälan</t>
        </is>
      </c>
      <c r="C324" t="inlineStr">
        <is>
          <t>Föryngringsavverkning</t>
        </is>
      </c>
      <c r="D324" s="1" t="n">
        <v>45119</v>
      </c>
      <c r="E324" s="1" t="n">
        <v>46223</v>
      </c>
      <c r="F324" t="inlineStr">
        <is>
          <t>JÄMTLANDS LÄN</t>
        </is>
      </c>
      <c r="G324" t="inlineStr">
        <is>
          <t>HÄRJEDALEN</t>
        </is>
      </c>
      <c r="H324" t="inlineStr">
        <is>
          <t>Bergvik skog väst AB</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24608-2024</t>
        </is>
      </c>
      <c r="B325" t="inlineStr">
        <is>
          <t>avverkningsanmälan</t>
        </is>
      </c>
      <c r="C325" t="inlineStr">
        <is>
          <t>Föryngringsavverkning</t>
        </is>
      </c>
      <c r="D325" s="1" t="n">
        <v>45460</v>
      </c>
      <c r="E325" s="1" t="n">
        <v>46223</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s="2" t="inlineStr"/>
    </row>
    <row r="326" ht="15" customHeight="1">
      <c r="A326" t="inlineStr">
        <is>
          <t>A 16283-2024</t>
        </is>
      </c>
      <c r="B326" t="inlineStr">
        <is>
          <t>avverkningsanmälan</t>
        </is>
      </c>
      <c r="C326" t="inlineStr">
        <is>
          <t>Föryngringsavverkning</t>
        </is>
      </c>
      <c r="D326" s="1" t="n">
        <v>45407</v>
      </c>
      <c r="E326" s="1" t="n">
        <v>46223</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49689-2022</t>
        </is>
      </c>
      <c r="B327" t="inlineStr">
        <is>
          <t>avverkningsanmälan</t>
        </is>
      </c>
      <c r="C327" t="inlineStr">
        <is>
          <t>Avverkning för annat ändamål</t>
        </is>
      </c>
      <c r="D327" s="1" t="n">
        <v>44862</v>
      </c>
      <c r="E327" s="1" t="n">
        <v>46223</v>
      </c>
      <c r="F327" t="inlineStr">
        <is>
          <t>JÄMTLANDS LÄN</t>
        </is>
      </c>
      <c r="G327" t="inlineStr">
        <is>
          <t>HÄRJEDALEN</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56587-2023</t>
        </is>
      </c>
      <c r="B328" t="inlineStr">
        <is>
          <t>avverkningsanmälan</t>
        </is>
      </c>
      <c r="C328" t="inlineStr">
        <is>
          <t>Föryngringsavverkning</t>
        </is>
      </c>
      <c r="D328" s="1" t="n">
        <v>45243</v>
      </c>
      <c r="E328" s="1" t="n">
        <v>46223</v>
      </c>
      <c r="F328" t="inlineStr">
        <is>
          <t>JÄMTLANDS LÄN</t>
        </is>
      </c>
      <c r="G328" t="inlineStr">
        <is>
          <t>HÄRJEDALEN</t>
        </is>
      </c>
      <c r="I328" t="n">
        <v>13.4</v>
      </c>
      <c r="J328" t="n">
        <v>0</v>
      </c>
      <c r="K328" t="n">
        <v>0</v>
      </c>
      <c r="L328" t="n">
        <v>0</v>
      </c>
      <c r="M328" t="n">
        <v>0</v>
      </c>
      <c r="N328" t="n">
        <v>0</v>
      </c>
      <c r="O328" t="n">
        <v>0</v>
      </c>
      <c r="P328" t="n">
        <v>0</v>
      </c>
      <c r="Q328" t="n">
        <v>0</v>
      </c>
      <c r="R328" t="n">
        <v>0</v>
      </c>
      <c r="S328" t="n">
        <v>0</v>
      </c>
      <c r="T328" t="n">
        <v>0</v>
      </c>
      <c r="U328" s="2" t="inlineStr"/>
    </row>
    <row r="329" ht="15" customHeight="1">
      <c r="A329" t="inlineStr">
        <is>
          <t>A 39453-2021</t>
        </is>
      </c>
      <c r="B329" t="inlineStr">
        <is>
          <t>avverkningsanmälan</t>
        </is>
      </c>
      <c r="C329" t="inlineStr">
        <is>
          <t>Föryngringsavverkning</t>
        </is>
      </c>
      <c r="D329" s="1" t="n">
        <v>44414</v>
      </c>
      <c r="E329" s="1" t="n">
        <v>46223</v>
      </c>
      <c r="F329" t="inlineStr">
        <is>
          <t>JÄMTLANDS LÄN</t>
        </is>
      </c>
      <c r="G329" t="inlineStr">
        <is>
          <t>HÄRJEDALEN</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18541-2025</t>
        </is>
      </c>
      <c r="B330" t="inlineStr">
        <is>
          <t>avverkningsanmälan</t>
        </is>
      </c>
      <c r="C330" t="inlineStr">
        <is>
          <t>Föryngringsavverkning</t>
        </is>
      </c>
      <c r="D330" s="1" t="n">
        <v>45763</v>
      </c>
      <c r="E330" s="1" t="n">
        <v>46223</v>
      </c>
      <c r="F330" t="inlineStr">
        <is>
          <t>JÄMTLANDS LÄN</t>
        </is>
      </c>
      <c r="G330" t="inlineStr">
        <is>
          <t>HÄRJEDALEN</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19488-2024</t>
        </is>
      </c>
      <c r="B331" t="inlineStr">
        <is>
          <t>avverkningsanmälan</t>
        </is>
      </c>
      <c r="C331" t="inlineStr">
        <is>
          <t>Avverkning för annat ändamål</t>
        </is>
      </c>
      <c r="D331" s="1" t="n">
        <v>45429</v>
      </c>
      <c r="E331" s="1" t="n">
        <v>46223</v>
      </c>
      <c r="F331" t="inlineStr">
        <is>
          <t>JÄMTLANDS LÄN</t>
        </is>
      </c>
      <c r="G331" t="inlineStr">
        <is>
          <t>HÄRJEDALEN</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60611-2023</t>
        </is>
      </c>
      <c r="B332" t="inlineStr">
        <is>
          <t>avverkningsanmälan</t>
        </is>
      </c>
      <c r="C332" t="inlineStr">
        <is>
          <t>Föryngringsavverkning</t>
        </is>
      </c>
      <c r="D332" s="1" t="n">
        <v>45260</v>
      </c>
      <c r="E332" s="1" t="n">
        <v>46223</v>
      </c>
      <c r="F332" t="inlineStr">
        <is>
          <t>JÄMTLANDS LÄN</t>
        </is>
      </c>
      <c r="G332" t="inlineStr">
        <is>
          <t>HÄRJEDALEN</t>
        </is>
      </c>
      <c r="I332" t="n">
        <v>7.2</v>
      </c>
      <c r="J332" t="n">
        <v>0</v>
      </c>
      <c r="K332" t="n">
        <v>0</v>
      </c>
      <c r="L332" t="n">
        <v>0</v>
      </c>
      <c r="M332" t="n">
        <v>0</v>
      </c>
      <c r="N332" t="n">
        <v>0</v>
      </c>
      <c r="O332" t="n">
        <v>0</v>
      </c>
      <c r="P332" t="n">
        <v>0</v>
      </c>
      <c r="Q332" t="n">
        <v>0</v>
      </c>
      <c r="R332" t="n">
        <v>0</v>
      </c>
      <c r="S332" t="n">
        <v>0</v>
      </c>
      <c r="T332" t="n">
        <v>0</v>
      </c>
      <c r="U332" s="2" t="inlineStr"/>
    </row>
    <row r="333" ht="15" customHeight="1">
      <c r="A333" t="inlineStr">
        <is>
          <t>A 62721-2022</t>
        </is>
      </c>
      <c r="B333" t="inlineStr">
        <is>
          <t>avverkningsanmälan</t>
        </is>
      </c>
      <c r="C333" t="inlineStr">
        <is>
          <t>Föryngringsavverkning</t>
        </is>
      </c>
      <c r="D333" s="1" t="n">
        <v>44925</v>
      </c>
      <c r="E333" s="1" t="n">
        <v>46223</v>
      </c>
      <c r="F333" t="inlineStr">
        <is>
          <t>JÄMTLANDS LÄN</t>
        </is>
      </c>
      <c r="G333" t="inlineStr">
        <is>
          <t>HÄRJEDALEN</t>
        </is>
      </c>
      <c r="H333" t="inlineStr">
        <is>
          <t>Holmen skog AB</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59738-2023</t>
        </is>
      </c>
      <c r="B334" t="inlineStr">
        <is>
          <t>avverkningsanmälan</t>
        </is>
      </c>
      <c r="C334" t="inlineStr">
        <is>
          <t>Föryngringsavverkning</t>
        </is>
      </c>
      <c r="D334" s="1" t="n">
        <v>45257</v>
      </c>
      <c r="E334" s="1" t="n">
        <v>46223</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s="2" t="inlineStr"/>
    </row>
    <row r="335" ht="15" customHeight="1">
      <c r="A335" t="inlineStr">
        <is>
          <t>A 47351-2022</t>
        </is>
      </c>
      <c r="B335" t="inlineStr">
        <is>
          <t>avverkningsanmälan</t>
        </is>
      </c>
      <c r="C335" t="inlineStr">
        <is>
          <t>Föryngringsavverkning</t>
        </is>
      </c>
      <c r="D335" s="1" t="n">
        <v>44853</v>
      </c>
      <c r="E335" s="1" t="n">
        <v>46223</v>
      </c>
      <c r="F335" t="inlineStr">
        <is>
          <t>JÄMTLANDS LÄN</t>
        </is>
      </c>
      <c r="G335" t="inlineStr">
        <is>
          <t>HÄRJEDALEN</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55388-2021</t>
        </is>
      </c>
      <c r="B336" t="inlineStr">
        <is>
          <t>avverkningsanmälan</t>
        </is>
      </c>
      <c r="C336" t="inlineStr">
        <is>
          <t>Föryngringsavverkning</t>
        </is>
      </c>
      <c r="D336" s="1" t="n">
        <v>44475</v>
      </c>
      <c r="E336" s="1" t="n">
        <v>46223</v>
      </c>
      <c r="F336" t="inlineStr">
        <is>
          <t>JÄMTLANDS LÄN</t>
        </is>
      </c>
      <c r="G336" t="inlineStr">
        <is>
          <t>HÄRJEDALEN</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4711-2023</t>
        </is>
      </c>
      <c r="B337" t="inlineStr">
        <is>
          <t>avverkningsanmälan</t>
        </is>
      </c>
      <c r="C337" t="inlineStr">
        <is>
          <t>Föryngringsavverkning</t>
        </is>
      </c>
      <c r="D337" s="1" t="n">
        <v>44957</v>
      </c>
      <c r="E337" s="1" t="n">
        <v>46223</v>
      </c>
      <c r="F337" t="inlineStr">
        <is>
          <t>JÄMTLANDS LÄN</t>
        </is>
      </c>
      <c r="G337" t="inlineStr">
        <is>
          <t>HÄRJEDALEN</t>
        </is>
      </c>
      <c r="H337" t="inlineStr">
        <is>
          <t>Holmen skog AB</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29602-2024</t>
        </is>
      </c>
      <c r="B338" t="inlineStr">
        <is>
          <t>avverkningsanmälan</t>
        </is>
      </c>
      <c r="C338" t="inlineStr">
        <is>
          <t>Föryngringsavverkning</t>
        </is>
      </c>
      <c r="D338" s="1" t="n">
        <v>45484</v>
      </c>
      <c r="E338" s="1" t="n">
        <v>46223</v>
      </c>
      <c r="F338" t="inlineStr">
        <is>
          <t>JÄMTLANDS LÄN</t>
        </is>
      </c>
      <c r="G338" t="inlineStr">
        <is>
          <t>HÄRJEDALEN</t>
        </is>
      </c>
      <c r="H338" t="inlineStr">
        <is>
          <t>Holmen skog AB</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31587-2024</t>
        </is>
      </c>
      <c r="B339" t="inlineStr">
        <is>
          <t>avverkningsanmälan</t>
        </is>
      </c>
      <c r="C339" t="inlineStr">
        <is>
          <t>Föryngringsavverkning</t>
        </is>
      </c>
      <c r="D339" s="1" t="n">
        <v>45506</v>
      </c>
      <c r="E339" s="1" t="n">
        <v>46223</v>
      </c>
      <c r="F339" t="inlineStr">
        <is>
          <t>JÄMTLANDS LÄN</t>
        </is>
      </c>
      <c r="G339" t="inlineStr">
        <is>
          <t>HÄRJEDALEN</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58446-2024</t>
        </is>
      </c>
      <c r="B340" t="inlineStr">
        <is>
          <t>avverkningsanmälan</t>
        </is>
      </c>
      <c r="C340" t="inlineStr">
        <is>
          <t>Föryngringsavverkning</t>
        </is>
      </c>
      <c r="D340" s="1" t="n">
        <v>45635</v>
      </c>
      <c r="E340" s="1" t="n">
        <v>46223</v>
      </c>
      <c r="F340" t="inlineStr">
        <is>
          <t>JÄMTLANDS LÄN</t>
        </is>
      </c>
      <c r="G340" t="inlineStr">
        <is>
          <t>HÄRJEDALEN</t>
        </is>
      </c>
      <c r="H340" t="inlineStr">
        <is>
          <t>Bergvik skog väst AB</t>
        </is>
      </c>
      <c r="I340" t="n">
        <v>7.8</v>
      </c>
      <c r="J340" t="n">
        <v>0</v>
      </c>
      <c r="K340" t="n">
        <v>0</v>
      </c>
      <c r="L340" t="n">
        <v>0</v>
      </c>
      <c r="M340" t="n">
        <v>0</v>
      </c>
      <c r="N340" t="n">
        <v>0</v>
      </c>
      <c r="O340" t="n">
        <v>0</v>
      </c>
      <c r="P340" t="n">
        <v>0</v>
      </c>
      <c r="Q340" t="n">
        <v>0</v>
      </c>
      <c r="R340" t="n">
        <v>0</v>
      </c>
      <c r="S340" t="n">
        <v>0</v>
      </c>
      <c r="T340" t="n">
        <v>0</v>
      </c>
      <c r="U340" s="2" t="inlineStr"/>
    </row>
    <row r="341" ht="15" customHeight="1">
      <c r="A341" t="inlineStr">
        <is>
          <t>A 51322-2024</t>
        </is>
      </c>
      <c r="B341" t="inlineStr">
        <is>
          <t>avverkningsanmälan</t>
        </is>
      </c>
      <c r="C341" t="inlineStr">
        <is>
          <t>Föryngringsavverkning</t>
        </is>
      </c>
      <c r="D341" s="1" t="n">
        <v>45604</v>
      </c>
      <c r="E341" s="1" t="n">
        <v>46223</v>
      </c>
      <c r="F341" t="inlineStr">
        <is>
          <t>JÄMTLANDS LÄN</t>
        </is>
      </c>
      <c r="G341" t="inlineStr">
        <is>
          <t>HÄRJEDALEN</t>
        </is>
      </c>
      <c r="H341" t="inlineStr">
        <is>
          <t>Holmen skog AB</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59279-2023</t>
        </is>
      </c>
      <c r="B342" t="inlineStr">
        <is>
          <t>avverkningsanmälan</t>
        </is>
      </c>
      <c r="C342" t="inlineStr">
        <is>
          <t>Föryngringsavverkning</t>
        </is>
      </c>
      <c r="D342" s="1" t="n">
        <v>45253</v>
      </c>
      <c r="E342" s="1" t="n">
        <v>46223</v>
      </c>
      <c r="F342" t="inlineStr">
        <is>
          <t>JÄMTLANDS LÄN</t>
        </is>
      </c>
      <c r="G342" t="inlineStr">
        <is>
          <t>HÄRJEDALEN</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64144-2023</t>
        </is>
      </c>
      <c r="B343" t="inlineStr">
        <is>
          <t>avverkningsanmälan</t>
        </is>
      </c>
      <c r="C343" t="inlineStr">
        <is>
          <t>Föryngringsavverkning</t>
        </is>
      </c>
      <c r="D343" s="1" t="n">
        <v>45279</v>
      </c>
      <c r="E343" s="1" t="n">
        <v>46223</v>
      </c>
      <c r="F343" t="inlineStr">
        <is>
          <t>JÄMTLANDS LÄN</t>
        </is>
      </c>
      <c r="G343" t="inlineStr">
        <is>
          <t>HÄRJEDALEN</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239-2022</t>
        </is>
      </c>
      <c r="B344" t="inlineStr">
        <is>
          <t>avverkningsanmälan</t>
        </is>
      </c>
      <c r="C344" t="inlineStr">
        <is>
          <t>Föryngringsavverkning</t>
        </is>
      </c>
      <c r="D344" s="1" t="n">
        <v>44565</v>
      </c>
      <c r="E344" s="1" t="n">
        <v>46223</v>
      </c>
      <c r="F344" t="inlineStr">
        <is>
          <t>JÄMTLANDS LÄN</t>
        </is>
      </c>
      <c r="G344" t="inlineStr">
        <is>
          <t>HÄRJEDALEN</t>
        </is>
      </c>
      <c r="H344" t="inlineStr">
        <is>
          <t>Övriga Aktiebolag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241-2022</t>
        </is>
      </c>
      <c r="B345" t="inlineStr">
        <is>
          <t>avverkningsanmälan</t>
        </is>
      </c>
      <c r="C345" t="inlineStr">
        <is>
          <t>Föryngringsavverkning</t>
        </is>
      </c>
      <c r="D345" s="1" t="n">
        <v>44565</v>
      </c>
      <c r="E345" s="1" t="n">
        <v>46223</v>
      </c>
      <c r="F345" t="inlineStr">
        <is>
          <t>JÄMTLANDS LÄN</t>
        </is>
      </c>
      <c r="G345" t="inlineStr">
        <is>
          <t>HÄRJEDALEN</t>
        </is>
      </c>
      <c r="H345" t="inlineStr">
        <is>
          <t>Övriga Aktiebolag</t>
        </is>
      </c>
      <c r="I345" t="n">
        <v>16.5</v>
      </c>
      <c r="J345" t="n">
        <v>0</v>
      </c>
      <c r="K345" t="n">
        <v>0</v>
      </c>
      <c r="L345" t="n">
        <v>0</v>
      </c>
      <c r="M345" t="n">
        <v>0</v>
      </c>
      <c r="N345" t="n">
        <v>0</v>
      </c>
      <c r="O345" t="n">
        <v>0</v>
      </c>
      <c r="P345" t="n">
        <v>0</v>
      </c>
      <c r="Q345" t="n">
        <v>0</v>
      </c>
      <c r="R345" t="n">
        <v>0</v>
      </c>
      <c r="S345" t="n">
        <v>0</v>
      </c>
      <c r="T345" t="n">
        <v>0</v>
      </c>
      <c r="U345" s="2" t="inlineStr"/>
    </row>
    <row r="346" ht="15" customHeight="1">
      <c r="A346" t="inlineStr">
        <is>
          <t>A 59962-2024</t>
        </is>
      </c>
      <c r="B346" t="inlineStr">
        <is>
          <t>avverkningsanmälan</t>
        </is>
      </c>
      <c r="C346" t="inlineStr">
        <is>
          <t>Föryngringsavverkning</t>
        </is>
      </c>
      <c r="D346" s="1" t="n">
        <v>45642</v>
      </c>
      <c r="E346" s="1" t="n">
        <v>46223</v>
      </c>
      <c r="F346" t="inlineStr">
        <is>
          <t>JÄMTLANDS LÄN</t>
        </is>
      </c>
      <c r="G346" t="inlineStr">
        <is>
          <t>HÄRJEDALEN</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54762-2022</t>
        </is>
      </c>
      <c r="B347" t="inlineStr">
        <is>
          <t>avverkningsanmälan</t>
        </is>
      </c>
      <c r="C347" t="inlineStr">
        <is>
          <t>Föryngringsavverkning</t>
        </is>
      </c>
      <c r="D347" s="1" t="n">
        <v>44883</v>
      </c>
      <c r="E347" s="1" t="n">
        <v>46223</v>
      </c>
      <c r="F347" t="inlineStr">
        <is>
          <t>JÄMTLANDS LÄN</t>
        </is>
      </c>
      <c r="G347" t="inlineStr">
        <is>
          <t>HÄRJEDALEN</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31759-2024</t>
        </is>
      </c>
      <c r="B348" t="inlineStr">
        <is>
          <t>avverkningsanmälan</t>
        </is>
      </c>
      <c r="C348" t="inlineStr">
        <is>
          <t>Avverkning för annat ändamål</t>
        </is>
      </c>
      <c r="D348" s="1" t="n">
        <v>45509</v>
      </c>
      <c r="E348" s="1" t="n">
        <v>46223</v>
      </c>
      <c r="F348" t="inlineStr">
        <is>
          <t>JÄMTLANDS LÄN</t>
        </is>
      </c>
      <c r="G348" t="inlineStr">
        <is>
          <t>HÄRJEDALEN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25933-2025</t>
        </is>
      </c>
      <c r="B349" t="inlineStr">
        <is>
          <t>avverkningsanmälan</t>
        </is>
      </c>
      <c r="C349" t="inlineStr">
        <is>
          <t>Föryngringsavverkning</t>
        </is>
      </c>
      <c r="D349" s="1" t="n">
        <v>45804</v>
      </c>
      <c r="E349" s="1" t="n">
        <v>46223</v>
      </c>
      <c r="F349" t="inlineStr">
        <is>
          <t>JÄMTLANDS LÄN</t>
        </is>
      </c>
      <c r="G349" t="inlineStr">
        <is>
          <t>HÄRJEDALEN</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25516-2025</t>
        </is>
      </c>
      <c r="B350" t="inlineStr">
        <is>
          <t>avverkningsanmälan</t>
        </is>
      </c>
      <c r="C350" t="inlineStr">
        <is>
          <t>Föryngringsavverkning</t>
        </is>
      </c>
      <c r="D350" s="1" t="n">
        <v>45803</v>
      </c>
      <c r="E350" s="1" t="n">
        <v>46223</v>
      </c>
      <c r="F350" t="inlineStr">
        <is>
          <t>JÄMTLANDS LÄN</t>
        </is>
      </c>
      <c r="G350" t="inlineStr">
        <is>
          <t>HÄRJEDALEN</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1172-2025</t>
        </is>
      </c>
      <c r="B351" t="inlineStr">
        <is>
          <t>avverkningsanmälan</t>
        </is>
      </c>
      <c r="C351" t="inlineStr">
        <is>
          <t>Föryngringsavverkning</t>
        </is>
      </c>
      <c r="D351" s="1" t="n">
        <v>45667</v>
      </c>
      <c r="E351" s="1" t="n">
        <v>46223</v>
      </c>
      <c r="F351" t="inlineStr">
        <is>
          <t>JÄMTLANDS LÄN</t>
        </is>
      </c>
      <c r="G351" t="inlineStr">
        <is>
          <t>HÄRJEDALEN</t>
        </is>
      </c>
      <c r="H351" t="inlineStr">
        <is>
          <t>Bergvik skog väst AB</t>
        </is>
      </c>
      <c r="I351" t="n">
        <v>8.699999999999999</v>
      </c>
      <c r="J351" t="n">
        <v>0</v>
      </c>
      <c r="K351" t="n">
        <v>0</v>
      </c>
      <c r="L351" t="n">
        <v>0</v>
      </c>
      <c r="M351" t="n">
        <v>0</v>
      </c>
      <c r="N351" t="n">
        <v>0</v>
      </c>
      <c r="O351" t="n">
        <v>0</v>
      </c>
      <c r="P351" t="n">
        <v>0</v>
      </c>
      <c r="Q351" t="n">
        <v>0</v>
      </c>
      <c r="R351" t="n">
        <v>0</v>
      </c>
      <c r="S351" t="n">
        <v>0</v>
      </c>
      <c r="T351" t="n">
        <v>0</v>
      </c>
      <c r="U351" s="2" t="inlineStr"/>
    </row>
    <row r="352" ht="15" customHeight="1">
      <c r="A352" t="inlineStr">
        <is>
          <t>A 35635-2024</t>
        </is>
      </c>
      <c r="B352" t="inlineStr">
        <is>
          <t>avverkningsanmälan</t>
        </is>
      </c>
      <c r="C352" t="inlineStr">
        <is>
          <t>Föryngringsavverkning</t>
        </is>
      </c>
      <c r="D352" s="1" t="n">
        <v>45531</v>
      </c>
      <c r="E352" s="1" t="n">
        <v>46223</v>
      </c>
      <c r="F352" t="inlineStr">
        <is>
          <t>JÄMTLANDS LÄN</t>
        </is>
      </c>
      <c r="G352" t="inlineStr">
        <is>
          <t>HÄRJEDALEN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47244-2023</t>
        </is>
      </c>
      <c r="B353" t="inlineStr">
        <is>
          <t>avverkningsanmälan</t>
        </is>
      </c>
      <c r="C353" t="inlineStr">
        <is>
          <t>Avverkning för annat ändamål</t>
        </is>
      </c>
      <c r="D353" s="1" t="n">
        <v>45202</v>
      </c>
      <c r="E353" s="1" t="n">
        <v>46223</v>
      </c>
      <c r="F353" t="inlineStr">
        <is>
          <t>JÄMTLANDS LÄN</t>
        </is>
      </c>
      <c r="G353" t="inlineStr">
        <is>
          <t>HÄRJEDALEN</t>
        </is>
      </c>
      <c r="H353" t="inlineStr">
        <is>
          <t>Holmen skog AB</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9780-2024</t>
        </is>
      </c>
      <c r="B354" t="inlineStr">
        <is>
          <t>avverkningsanmälan</t>
        </is>
      </c>
      <c r="C354" t="inlineStr">
        <is>
          <t>Avverkning för annat ändamål</t>
        </is>
      </c>
      <c r="D354" s="1" t="n">
        <v>45362</v>
      </c>
      <c r="E354" s="1" t="n">
        <v>46223</v>
      </c>
      <c r="F354" t="inlineStr">
        <is>
          <t>JÄMTLANDS LÄN</t>
        </is>
      </c>
      <c r="G354" t="inlineStr">
        <is>
          <t>HÄRJEDALEN</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38402-2025</t>
        </is>
      </c>
      <c r="B355" t="inlineStr">
        <is>
          <t>avverkningsanmälan</t>
        </is>
      </c>
      <c r="C355" t="inlineStr">
        <is>
          <t>Avverkning för att bevara och utveckla /försöksver</t>
        </is>
      </c>
      <c r="D355" s="1" t="n">
        <v>45883</v>
      </c>
      <c r="E355" s="1" t="n">
        <v>46223</v>
      </c>
      <c r="F355" t="inlineStr">
        <is>
          <t>JÄMTLANDS LÄN</t>
        </is>
      </c>
      <c r="G355" t="inlineStr">
        <is>
          <t>HÄRJEDALEN</t>
        </is>
      </c>
      <c r="H355" t="inlineStr">
        <is>
          <t>Sveaskog</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26443-2025</t>
        </is>
      </c>
      <c r="B356" t="inlineStr">
        <is>
          <t>avverkningsanmälan</t>
        </is>
      </c>
      <c r="C356" t="inlineStr">
        <is>
          <t>Föryngringsavverkning</t>
        </is>
      </c>
      <c r="D356" s="1" t="n">
        <v>45807</v>
      </c>
      <c r="E356" s="1" t="n">
        <v>46223</v>
      </c>
      <c r="F356" t="inlineStr">
        <is>
          <t>JÄMTLANDS LÄN</t>
        </is>
      </c>
      <c r="G356" t="inlineStr">
        <is>
          <t>HÄRJEDALEN</t>
        </is>
      </c>
      <c r="H356" t="inlineStr">
        <is>
          <t>Holmen skog AB</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26468-2025</t>
        </is>
      </c>
      <c r="B357" t="inlineStr">
        <is>
          <t>avverkningsanmälan</t>
        </is>
      </c>
      <c r="C357" t="inlineStr">
        <is>
          <t>Föryngringsavverkning</t>
        </is>
      </c>
      <c r="D357" s="1" t="n">
        <v>45807</v>
      </c>
      <c r="E357" s="1" t="n">
        <v>46223</v>
      </c>
      <c r="F357" t="inlineStr">
        <is>
          <t>JÄMTLANDS LÄN</t>
        </is>
      </c>
      <c r="G357" t="inlineStr">
        <is>
          <t>HÄRJEDALEN</t>
        </is>
      </c>
      <c r="H357" t="inlineStr">
        <is>
          <t>Holmen skog AB</t>
        </is>
      </c>
      <c r="I357" t="n">
        <v>11.7</v>
      </c>
      <c r="J357" t="n">
        <v>0</v>
      </c>
      <c r="K357" t="n">
        <v>0</v>
      </c>
      <c r="L357" t="n">
        <v>0</v>
      </c>
      <c r="M357" t="n">
        <v>0</v>
      </c>
      <c r="N357" t="n">
        <v>0</v>
      </c>
      <c r="O357" t="n">
        <v>0</v>
      </c>
      <c r="P357" t="n">
        <v>0</v>
      </c>
      <c r="Q357" t="n">
        <v>0</v>
      </c>
      <c r="R357" t="n">
        <v>0</v>
      </c>
      <c r="S357" t="n">
        <v>0</v>
      </c>
      <c r="T357" t="n">
        <v>0</v>
      </c>
      <c r="U357" s="2" t="inlineStr"/>
    </row>
    <row r="358" ht="15" customHeight="1">
      <c r="A358" t="inlineStr">
        <is>
          <t>A 26495-2025</t>
        </is>
      </c>
      <c r="B358" t="inlineStr">
        <is>
          <t>avverkningsanmälan</t>
        </is>
      </c>
      <c r="C358" t="inlineStr">
        <is>
          <t>Föryngringsavverkning</t>
        </is>
      </c>
      <c r="D358" s="1" t="n">
        <v>45807</v>
      </c>
      <c r="E358" s="1" t="n">
        <v>46223</v>
      </c>
      <c r="F358" t="inlineStr">
        <is>
          <t>JÄMTLANDS LÄN</t>
        </is>
      </c>
      <c r="G358" t="inlineStr">
        <is>
          <t>HÄRJEDALEN</t>
        </is>
      </c>
      <c r="H358" t="inlineStr">
        <is>
          <t>Holmen skog AB</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26496-2025</t>
        </is>
      </c>
      <c r="B359" t="inlineStr">
        <is>
          <t>avverkningsanmälan</t>
        </is>
      </c>
      <c r="C359" t="inlineStr">
        <is>
          <t>Föryngringsavverkning</t>
        </is>
      </c>
      <c r="D359" s="1" t="n">
        <v>45807</v>
      </c>
      <c r="E359" s="1" t="n">
        <v>46223</v>
      </c>
      <c r="F359" t="inlineStr">
        <is>
          <t>JÄMTLANDS LÄN</t>
        </is>
      </c>
      <c r="G359" t="inlineStr">
        <is>
          <t>HÄRJEDALEN</t>
        </is>
      </c>
      <c r="H359" t="inlineStr">
        <is>
          <t>Holmen skog AB</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26540-2025</t>
        </is>
      </c>
      <c r="B360" t="inlineStr">
        <is>
          <t>avverkningsanmälan</t>
        </is>
      </c>
      <c r="C360" t="inlineStr">
        <is>
          <t>Föryngringsavverkning</t>
        </is>
      </c>
      <c r="D360" s="1" t="n">
        <v>45807</v>
      </c>
      <c r="E360" s="1" t="n">
        <v>46223</v>
      </c>
      <c r="F360" t="inlineStr">
        <is>
          <t>JÄMTLANDS LÄN</t>
        </is>
      </c>
      <c r="G360" t="inlineStr">
        <is>
          <t>HÄRJEDALEN</t>
        </is>
      </c>
      <c r="H360" t="inlineStr">
        <is>
          <t>Holmen skog AB</t>
        </is>
      </c>
      <c r="I360" t="n">
        <v>6</v>
      </c>
      <c r="J360" t="n">
        <v>0</v>
      </c>
      <c r="K360" t="n">
        <v>0</v>
      </c>
      <c r="L360" t="n">
        <v>0</v>
      </c>
      <c r="M360" t="n">
        <v>0</v>
      </c>
      <c r="N360" t="n">
        <v>0</v>
      </c>
      <c r="O360" t="n">
        <v>0</v>
      </c>
      <c r="P360" t="n">
        <v>0</v>
      </c>
      <c r="Q360" t="n">
        <v>0</v>
      </c>
      <c r="R360" t="n">
        <v>0</v>
      </c>
      <c r="S360" t="n">
        <v>0</v>
      </c>
      <c r="T360" t="n">
        <v>0</v>
      </c>
      <c r="U360" s="2" t="inlineStr"/>
    </row>
    <row r="361" ht="15" customHeight="1">
      <c r="A361" t="inlineStr">
        <is>
          <t>A 26417-2025</t>
        </is>
      </c>
      <c r="B361" t="inlineStr">
        <is>
          <t>avverkningsanmälan</t>
        </is>
      </c>
      <c r="C361" t="inlineStr">
        <is>
          <t>Föryngringsavverkning</t>
        </is>
      </c>
      <c r="D361" s="1" t="n">
        <v>45807</v>
      </c>
      <c r="E361" s="1" t="n">
        <v>46223</v>
      </c>
      <c r="F361" t="inlineStr">
        <is>
          <t>JÄMTLANDS LÄN</t>
        </is>
      </c>
      <c r="G361" t="inlineStr">
        <is>
          <t>HÄRJEDALEN</t>
        </is>
      </c>
      <c r="H361" t="inlineStr">
        <is>
          <t>Holmen skog AB</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26448-2025</t>
        </is>
      </c>
      <c r="B362" t="inlineStr">
        <is>
          <t>avverkningsanmälan</t>
        </is>
      </c>
      <c r="C362" t="inlineStr">
        <is>
          <t>Föryngringsavverkning</t>
        </is>
      </c>
      <c r="D362" s="1" t="n">
        <v>45807</v>
      </c>
      <c r="E362" s="1" t="n">
        <v>46223</v>
      </c>
      <c r="F362" t="inlineStr">
        <is>
          <t>JÄMTLANDS LÄN</t>
        </is>
      </c>
      <c r="G362" t="inlineStr">
        <is>
          <t>HÄRJEDALEN</t>
        </is>
      </c>
      <c r="H362" t="inlineStr">
        <is>
          <t>Holmen skog AB</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62500-2022</t>
        </is>
      </c>
      <c r="B363" t="inlineStr">
        <is>
          <t>avverkningsanmälan</t>
        </is>
      </c>
      <c r="C363" t="inlineStr">
        <is>
          <t>Föryngringsavverkning</t>
        </is>
      </c>
      <c r="D363" s="1" t="n">
        <v>44924</v>
      </c>
      <c r="E363" s="1" t="n">
        <v>46223</v>
      </c>
      <c r="F363" t="inlineStr">
        <is>
          <t>JÄMTLANDS LÄN</t>
        </is>
      </c>
      <c r="G363" t="inlineStr">
        <is>
          <t>HÄRJEDALEN</t>
        </is>
      </c>
      <c r="H363" t="inlineStr">
        <is>
          <t>Holmen skog AB</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26486-2025</t>
        </is>
      </c>
      <c r="B364" t="inlineStr">
        <is>
          <t>avverkningsanmälan</t>
        </is>
      </c>
      <c r="C364" t="inlineStr">
        <is>
          <t>Föryngringsavverkning</t>
        </is>
      </c>
      <c r="D364" s="1" t="n">
        <v>45807</v>
      </c>
      <c r="E364" s="1" t="n">
        <v>46223</v>
      </c>
      <c r="F364" t="inlineStr">
        <is>
          <t>JÄMTLANDS LÄN</t>
        </is>
      </c>
      <c r="G364" t="inlineStr">
        <is>
          <t>HÄRJEDALEN</t>
        </is>
      </c>
      <c r="H364" t="inlineStr">
        <is>
          <t>Holmen skog AB</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26493-2025</t>
        </is>
      </c>
      <c r="B365" t="inlineStr">
        <is>
          <t>avverkningsanmälan</t>
        </is>
      </c>
      <c r="C365" t="inlineStr">
        <is>
          <t>Föryngringsavverkning</t>
        </is>
      </c>
      <c r="D365" s="1" t="n">
        <v>45807</v>
      </c>
      <c r="E365" s="1" t="n">
        <v>46223</v>
      </c>
      <c r="F365" t="inlineStr">
        <is>
          <t>JÄMTLANDS LÄN</t>
        </is>
      </c>
      <c r="G365" t="inlineStr">
        <is>
          <t>HÄRJEDALEN</t>
        </is>
      </c>
      <c r="H365" t="inlineStr">
        <is>
          <t>Holmen skog AB</t>
        </is>
      </c>
      <c r="I365" t="n">
        <v>4.8</v>
      </c>
      <c r="J365" t="n">
        <v>0</v>
      </c>
      <c r="K365" t="n">
        <v>0</v>
      </c>
      <c r="L365" t="n">
        <v>0</v>
      </c>
      <c r="M365" t="n">
        <v>0</v>
      </c>
      <c r="N365" t="n">
        <v>0</v>
      </c>
      <c r="O365" t="n">
        <v>0</v>
      </c>
      <c r="P365" t="n">
        <v>0</v>
      </c>
      <c r="Q365" t="n">
        <v>0</v>
      </c>
      <c r="R365" t="n">
        <v>0</v>
      </c>
      <c r="S365" t="n">
        <v>0</v>
      </c>
      <c r="T365" t="n">
        <v>0</v>
      </c>
      <c r="U365" s="2" t="inlineStr"/>
    </row>
    <row r="366" ht="15" customHeight="1">
      <c r="A366" t="inlineStr">
        <is>
          <t>A 3246-2026</t>
        </is>
      </c>
      <c r="B366" t="inlineStr">
        <is>
          <t>avverkningsanmälan</t>
        </is>
      </c>
      <c r="C366" t="inlineStr">
        <is>
          <t>Föryngringsavverkning</t>
        </is>
      </c>
      <c r="D366" s="1" t="n">
        <v>46041</v>
      </c>
      <c r="E366" s="1" t="n">
        <v>46223</v>
      </c>
      <c r="F366" t="inlineStr">
        <is>
          <t>JÄMTLANDS LÄN</t>
        </is>
      </c>
      <c r="G366" t="inlineStr">
        <is>
          <t>HÄRJEDALEN</t>
        </is>
      </c>
      <c r="H366" t="inlineStr">
        <is>
          <t>SCA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26561-2025</t>
        </is>
      </c>
      <c r="B367" t="inlineStr">
        <is>
          <t>avverkningsanmälan</t>
        </is>
      </c>
      <c r="C367" t="inlineStr">
        <is>
          <t>Föryngringsavverkning</t>
        </is>
      </c>
      <c r="D367" s="1" t="n">
        <v>45807</v>
      </c>
      <c r="E367" s="1" t="n">
        <v>46223</v>
      </c>
      <c r="F367" t="inlineStr">
        <is>
          <t>JÄMTLANDS LÄN</t>
        </is>
      </c>
      <c r="G367" t="inlineStr">
        <is>
          <t>HÄRJEDALEN</t>
        </is>
      </c>
      <c r="H367" t="inlineStr">
        <is>
          <t>Holmen skog AB</t>
        </is>
      </c>
      <c r="I367" t="n">
        <v>7.9</v>
      </c>
      <c r="J367" t="n">
        <v>0</v>
      </c>
      <c r="K367" t="n">
        <v>0</v>
      </c>
      <c r="L367" t="n">
        <v>0</v>
      </c>
      <c r="M367" t="n">
        <v>0</v>
      </c>
      <c r="N367" t="n">
        <v>0</v>
      </c>
      <c r="O367" t="n">
        <v>0</v>
      </c>
      <c r="P367" t="n">
        <v>0</v>
      </c>
      <c r="Q367" t="n">
        <v>0</v>
      </c>
      <c r="R367" t="n">
        <v>0</v>
      </c>
      <c r="S367" t="n">
        <v>0</v>
      </c>
      <c r="T367" t="n">
        <v>0</v>
      </c>
      <c r="U367" s="2" t="inlineStr"/>
    </row>
    <row r="368" ht="15" customHeight="1">
      <c r="A368" t="inlineStr">
        <is>
          <t>A 26404-2025</t>
        </is>
      </c>
      <c r="B368" t="inlineStr">
        <is>
          <t>avverkningsanmälan</t>
        </is>
      </c>
      <c r="C368" t="inlineStr">
        <is>
          <t>Föryngringsavverkning</t>
        </is>
      </c>
      <c r="D368" s="1" t="n">
        <v>45807</v>
      </c>
      <c r="E368" s="1" t="n">
        <v>46223</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26411-2025</t>
        </is>
      </c>
      <c r="B369" t="inlineStr">
        <is>
          <t>avverkningsanmälan</t>
        </is>
      </c>
      <c r="C369" t="inlineStr">
        <is>
          <t>Föryngringsavverkning</t>
        </is>
      </c>
      <c r="D369" s="1" t="n">
        <v>45807</v>
      </c>
      <c r="E369" s="1" t="n">
        <v>46223</v>
      </c>
      <c r="F369" t="inlineStr">
        <is>
          <t>JÄMTLANDS LÄN</t>
        </is>
      </c>
      <c r="G369" t="inlineStr">
        <is>
          <t>HÄRJEDALEN</t>
        </is>
      </c>
      <c r="H369" t="inlineStr">
        <is>
          <t>Holmen skog AB</t>
        </is>
      </c>
      <c r="I369" t="n">
        <v>12.4</v>
      </c>
      <c r="J369" t="n">
        <v>0</v>
      </c>
      <c r="K369" t="n">
        <v>0</v>
      </c>
      <c r="L369" t="n">
        <v>0</v>
      </c>
      <c r="M369" t="n">
        <v>0</v>
      </c>
      <c r="N369" t="n">
        <v>0</v>
      </c>
      <c r="O369" t="n">
        <v>0</v>
      </c>
      <c r="P369" t="n">
        <v>0</v>
      </c>
      <c r="Q369" t="n">
        <v>0</v>
      </c>
      <c r="R369" t="n">
        <v>0</v>
      </c>
      <c r="S369" t="n">
        <v>0</v>
      </c>
      <c r="T369" t="n">
        <v>0</v>
      </c>
      <c r="U369" s="2" t="inlineStr"/>
    </row>
    <row r="370" ht="15" customHeight="1">
      <c r="A370" t="inlineStr">
        <is>
          <t>A 3245-2026</t>
        </is>
      </c>
      <c r="B370" t="inlineStr">
        <is>
          <t>avverkningsanmälan</t>
        </is>
      </c>
      <c r="C370" t="inlineStr">
        <is>
          <t>Föryngringsavverkning</t>
        </is>
      </c>
      <c r="D370" s="1" t="n">
        <v>46041</v>
      </c>
      <c r="E370" s="1" t="n">
        <v>46223</v>
      </c>
      <c r="F370" t="inlineStr">
        <is>
          <t>JÄMTLANDS LÄN</t>
        </is>
      </c>
      <c r="G370" t="inlineStr">
        <is>
          <t>HÄRJEDALEN</t>
        </is>
      </c>
      <c r="H370" t="inlineStr">
        <is>
          <t>SCA</t>
        </is>
      </c>
      <c r="I370" t="n">
        <v>34.8</v>
      </c>
      <c r="J370" t="n">
        <v>0</v>
      </c>
      <c r="K370" t="n">
        <v>0</v>
      </c>
      <c r="L370" t="n">
        <v>0</v>
      </c>
      <c r="M370" t="n">
        <v>0</v>
      </c>
      <c r="N370" t="n">
        <v>0</v>
      </c>
      <c r="O370" t="n">
        <v>0</v>
      </c>
      <c r="P370" t="n">
        <v>0</v>
      </c>
      <c r="Q370" t="n">
        <v>0</v>
      </c>
      <c r="R370" t="n">
        <v>0</v>
      </c>
      <c r="S370" t="n">
        <v>0</v>
      </c>
      <c r="T370" t="n">
        <v>0</v>
      </c>
      <c r="U370" s="2" t="inlineStr"/>
    </row>
    <row r="371" ht="15" customHeight="1">
      <c r="A371" t="inlineStr">
        <is>
          <t>A 26518-2025</t>
        </is>
      </c>
      <c r="B371" t="inlineStr">
        <is>
          <t>avverkningsanmälan</t>
        </is>
      </c>
      <c r="C371" t="inlineStr">
        <is>
          <t>Föryngringsavverkning</t>
        </is>
      </c>
      <c r="D371" s="1" t="n">
        <v>45807</v>
      </c>
      <c r="E371" s="1" t="n">
        <v>46223</v>
      </c>
      <c r="F371" t="inlineStr">
        <is>
          <t>JÄMTLANDS LÄN</t>
        </is>
      </c>
      <c r="G371" t="inlineStr">
        <is>
          <t>HÄRJEDALEN</t>
        </is>
      </c>
      <c r="H371" t="inlineStr">
        <is>
          <t>Holmen skog AB</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38618-2025</t>
        </is>
      </c>
      <c r="B372" t="inlineStr">
        <is>
          <t>avverkningsanmälan</t>
        </is>
      </c>
      <c r="C372" t="inlineStr">
        <is>
          <t>Föryngringsavverkning</t>
        </is>
      </c>
      <c r="D372" s="1" t="n">
        <v>45884</v>
      </c>
      <c r="E372" s="1" t="n">
        <v>46223</v>
      </c>
      <c r="F372" t="inlineStr">
        <is>
          <t>JÄMTLANDS LÄN</t>
        </is>
      </c>
      <c r="G372" t="inlineStr">
        <is>
          <t>HÄRJEDALEN</t>
        </is>
      </c>
      <c r="H372" t="inlineStr">
        <is>
          <t>SCA</t>
        </is>
      </c>
      <c r="I372" t="n">
        <v>6.1</v>
      </c>
      <c r="J372" t="n">
        <v>0</v>
      </c>
      <c r="K372" t="n">
        <v>0</v>
      </c>
      <c r="L372" t="n">
        <v>0</v>
      </c>
      <c r="M372" t="n">
        <v>0</v>
      </c>
      <c r="N372" t="n">
        <v>0</v>
      </c>
      <c r="O372" t="n">
        <v>0</v>
      </c>
      <c r="P372" t="n">
        <v>0</v>
      </c>
      <c r="Q372" t="n">
        <v>0</v>
      </c>
      <c r="R372" t="n">
        <v>0</v>
      </c>
      <c r="S372" t="n">
        <v>0</v>
      </c>
      <c r="T372" t="n">
        <v>0</v>
      </c>
      <c r="U372" s="2" t="inlineStr"/>
    </row>
    <row r="373" ht="15" customHeight="1">
      <c r="A373" t="inlineStr">
        <is>
          <t>A 26528-2025</t>
        </is>
      </c>
      <c r="B373" t="inlineStr">
        <is>
          <t>avverkningsanmälan</t>
        </is>
      </c>
      <c r="C373" t="inlineStr">
        <is>
          <t>Föryngringsavverkning</t>
        </is>
      </c>
      <c r="D373" s="1" t="n">
        <v>45807</v>
      </c>
      <c r="E373" s="1" t="n">
        <v>46223</v>
      </c>
      <c r="F373" t="inlineStr">
        <is>
          <t>JÄMTLANDS LÄN</t>
        </is>
      </c>
      <c r="G373" t="inlineStr">
        <is>
          <t>HÄRJEDALEN</t>
        </is>
      </c>
      <c r="H373" t="inlineStr">
        <is>
          <t>Holmen skog AB</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11528-2022</t>
        </is>
      </c>
      <c r="B374" t="inlineStr">
        <is>
          <t>avverkningsanmälan</t>
        </is>
      </c>
      <c r="C374" t="inlineStr">
        <is>
          <t>Föryngringsavverkning</t>
        </is>
      </c>
      <c r="D374" s="1" t="n">
        <v>44631</v>
      </c>
      <c r="E374" s="1" t="n">
        <v>46223</v>
      </c>
      <c r="F374" t="inlineStr">
        <is>
          <t>JÄMTLANDS LÄN</t>
        </is>
      </c>
      <c r="G374" t="inlineStr">
        <is>
          <t>HÄRJEDALEN</t>
        </is>
      </c>
      <c r="H374" t="inlineStr">
        <is>
          <t>Holmen skog AB</t>
        </is>
      </c>
      <c r="I374" t="n">
        <v>6.1</v>
      </c>
      <c r="J374" t="n">
        <v>0</v>
      </c>
      <c r="K374" t="n">
        <v>0</v>
      </c>
      <c r="L374" t="n">
        <v>0</v>
      </c>
      <c r="M374" t="n">
        <v>0</v>
      </c>
      <c r="N374" t="n">
        <v>0</v>
      </c>
      <c r="O374" t="n">
        <v>0</v>
      </c>
      <c r="P374" t="n">
        <v>0</v>
      </c>
      <c r="Q374" t="n">
        <v>0</v>
      </c>
      <c r="R374" t="n">
        <v>0</v>
      </c>
      <c r="S374" t="n">
        <v>0</v>
      </c>
      <c r="T374" t="n">
        <v>0</v>
      </c>
      <c r="U374" s="2" t="inlineStr"/>
    </row>
    <row r="375" ht="15" customHeight="1">
      <c r="A375" t="inlineStr">
        <is>
          <t>A 26523-2025</t>
        </is>
      </c>
      <c r="B375" t="inlineStr">
        <is>
          <t>avverkningsanmälan</t>
        </is>
      </c>
      <c r="C375" t="inlineStr">
        <is>
          <t>Föryngringsavverkning</t>
        </is>
      </c>
      <c r="D375" s="1" t="n">
        <v>45807</v>
      </c>
      <c r="E375" s="1" t="n">
        <v>46223</v>
      </c>
      <c r="F375" t="inlineStr">
        <is>
          <t>JÄMTLANDS LÄN</t>
        </is>
      </c>
      <c r="G375" t="inlineStr">
        <is>
          <t>HÄRJEDALEN</t>
        </is>
      </c>
      <c r="H375" t="inlineStr">
        <is>
          <t>Holmen skog AB</t>
        </is>
      </c>
      <c r="I375" t="n">
        <v>7.4</v>
      </c>
      <c r="J375" t="n">
        <v>0</v>
      </c>
      <c r="K375" t="n">
        <v>0</v>
      </c>
      <c r="L375" t="n">
        <v>0</v>
      </c>
      <c r="M375" t="n">
        <v>0</v>
      </c>
      <c r="N375" t="n">
        <v>0</v>
      </c>
      <c r="O375" t="n">
        <v>0</v>
      </c>
      <c r="P375" t="n">
        <v>0</v>
      </c>
      <c r="Q375" t="n">
        <v>0</v>
      </c>
      <c r="R375" t="n">
        <v>0</v>
      </c>
      <c r="S375" t="n">
        <v>0</v>
      </c>
      <c r="T375" t="n">
        <v>0</v>
      </c>
      <c r="U375" s="2" t="inlineStr"/>
    </row>
    <row r="376" ht="15" customHeight="1">
      <c r="A376" t="inlineStr">
        <is>
          <t>A 51769-2024</t>
        </is>
      </c>
      <c r="B376" t="inlineStr">
        <is>
          <t>avverkningsanmälan</t>
        </is>
      </c>
      <c r="C376" t="inlineStr">
        <is>
          <t>Föryngringsavverkning</t>
        </is>
      </c>
      <c r="D376" s="1" t="n">
        <v>45607</v>
      </c>
      <c r="E376" s="1" t="n">
        <v>46223</v>
      </c>
      <c r="F376" t="inlineStr">
        <is>
          <t>JÄMTLANDS LÄN</t>
        </is>
      </c>
      <c r="G376" t="inlineStr">
        <is>
          <t>HÄRJEDALEN</t>
        </is>
      </c>
      <c r="H376" t="inlineStr">
        <is>
          <t>SCA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5630-2024</t>
        </is>
      </c>
      <c r="B377" t="inlineStr">
        <is>
          <t>avverkningsanmälan</t>
        </is>
      </c>
      <c r="C377" t="inlineStr">
        <is>
          <t>Föryngringsavverkning</t>
        </is>
      </c>
      <c r="D377" s="1" t="n">
        <v>45334</v>
      </c>
      <c r="E377" s="1" t="n">
        <v>46223</v>
      </c>
      <c r="F377" t="inlineStr">
        <is>
          <t>JÄMTLANDS LÄN</t>
        </is>
      </c>
      <c r="G377" t="inlineStr">
        <is>
          <t>HÄRJEDALEN</t>
        </is>
      </c>
      <c r="H377" t="inlineStr">
        <is>
          <t>Övriga statliga verk och myndigheter</t>
        </is>
      </c>
      <c r="I377" t="n">
        <v>5.4</v>
      </c>
      <c r="J377" t="n">
        <v>0</v>
      </c>
      <c r="K377" t="n">
        <v>0</v>
      </c>
      <c r="L377" t="n">
        <v>0</v>
      </c>
      <c r="M377" t="n">
        <v>0</v>
      </c>
      <c r="N377" t="n">
        <v>0</v>
      </c>
      <c r="O377" t="n">
        <v>0</v>
      </c>
      <c r="P377" t="n">
        <v>0</v>
      </c>
      <c r="Q377" t="n">
        <v>0</v>
      </c>
      <c r="R377" t="n">
        <v>0</v>
      </c>
      <c r="S377" t="n">
        <v>0</v>
      </c>
      <c r="T377" t="n">
        <v>0</v>
      </c>
      <c r="U377" s="2" t="inlineStr"/>
    </row>
    <row r="378" ht="15" customHeight="1">
      <c r="A378" t="inlineStr">
        <is>
          <t>A 4128-2025</t>
        </is>
      </c>
      <c r="B378" t="inlineStr">
        <is>
          <t>avverkningsanmälan</t>
        </is>
      </c>
      <c r="C378" t="inlineStr">
        <is>
          <t>Föryngringsavverkning</t>
        </is>
      </c>
      <c r="D378" s="1" t="n">
        <v>45685</v>
      </c>
      <c r="E378" s="1" t="n">
        <v>46223</v>
      </c>
      <c r="F378" t="inlineStr">
        <is>
          <t>JÄMTLANDS LÄN</t>
        </is>
      </c>
      <c r="G378" t="inlineStr">
        <is>
          <t>HÄRJEDALEN</t>
        </is>
      </c>
      <c r="I378" t="n">
        <v>8.699999999999999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49792-2023</t>
        </is>
      </c>
      <c r="B379" t="inlineStr">
        <is>
          <t>avverkningsanmälan</t>
        </is>
      </c>
      <c r="C379" t="inlineStr">
        <is>
          <t>Föryngringsavverkning</t>
        </is>
      </c>
      <c r="D379" s="1" t="n">
        <v>45212</v>
      </c>
      <c r="E379" s="1" t="n">
        <v>46223</v>
      </c>
      <c r="F379" t="inlineStr">
        <is>
          <t>JÄMTLANDS LÄN</t>
        </is>
      </c>
      <c r="G379" t="inlineStr">
        <is>
          <t>HÄRJEDALEN</t>
        </is>
      </c>
      <c r="I379" t="n">
        <v>5.6</v>
      </c>
      <c r="J379" t="n">
        <v>0</v>
      </c>
      <c r="K379" t="n">
        <v>0</v>
      </c>
      <c r="L379" t="n">
        <v>0</v>
      </c>
      <c r="M379" t="n">
        <v>0</v>
      </c>
      <c r="N379" t="n">
        <v>0</v>
      </c>
      <c r="O379" t="n">
        <v>0</v>
      </c>
      <c r="P379" t="n">
        <v>0</v>
      </c>
      <c r="Q379" t="n">
        <v>0</v>
      </c>
      <c r="R379" t="n">
        <v>0</v>
      </c>
      <c r="S379" t="n">
        <v>0</v>
      </c>
      <c r="T379" t="n">
        <v>0</v>
      </c>
      <c r="U379" s="2" t="inlineStr"/>
    </row>
    <row r="380" ht="15" customHeight="1">
      <c r="A380" t="inlineStr">
        <is>
          <t>A 64485-2023</t>
        </is>
      </c>
      <c r="B380" t="inlineStr">
        <is>
          <t>avverkningsanmälan</t>
        </is>
      </c>
      <c r="C380" t="inlineStr">
        <is>
          <t>Föryngringsavverkning</t>
        </is>
      </c>
      <c r="D380" s="1" t="n">
        <v>45280</v>
      </c>
      <c r="E380" s="1" t="n">
        <v>46223</v>
      </c>
      <c r="F380" t="inlineStr">
        <is>
          <t>JÄMTLANDS LÄN</t>
        </is>
      </c>
      <c r="G380" t="inlineStr">
        <is>
          <t>HÄRJEDALEN</t>
        </is>
      </c>
      <c r="I380" t="n">
        <v>21.3</v>
      </c>
      <c r="J380" t="n">
        <v>0</v>
      </c>
      <c r="K380" t="n">
        <v>0</v>
      </c>
      <c r="L380" t="n">
        <v>0</v>
      </c>
      <c r="M380" t="n">
        <v>0</v>
      </c>
      <c r="N380" t="n">
        <v>0</v>
      </c>
      <c r="O380" t="n">
        <v>0</v>
      </c>
      <c r="P380" t="n">
        <v>0</v>
      </c>
      <c r="Q380" t="n">
        <v>0</v>
      </c>
      <c r="R380" t="n">
        <v>0</v>
      </c>
      <c r="S380" t="n">
        <v>0</v>
      </c>
      <c r="T380" t="n">
        <v>0</v>
      </c>
      <c r="U380" s="2" t="inlineStr"/>
    </row>
    <row r="381" ht="15" customHeight="1">
      <c r="A381" t="inlineStr">
        <is>
          <t>A 26905-2025</t>
        </is>
      </c>
      <c r="B381" t="inlineStr">
        <is>
          <t>avverkningsanmälan</t>
        </is>
      </c>
      <c r="C381" t="inlineStr">
        <is>
          <t>Föryngringsavverkning</t>
        </is>
      </c>
      <c r="D381" s="1" t="n">
        <v>45811</v>
      </c>
      <c r="E381" s="1" t="n">
        <v>46223</v>
      </c>
      <c r="F381" t="inlineStr">
        <is>
          <t>JÄMTLANDS LÄN</t>
        </is>
      </c>
      <c r="G381" t="inlineStr">
        <is>
          <t>HÄRJEDALEN</t>
        </is>
      </c>
      <c r="H381" t="inlineStr">
        <is>
          <t>SCA</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3696-2026</t>
        </is>
      </c>
      <c r="B382" t="inlineStr">
        <is>
          <t>avverkningsanmälan</t>
        </is>
      </c>
      <c r="C382" t="inlineStr">
        <is>
          <t>Föryngringsavverkning</t>
        </is>
      </c>
      <c r="D382" s="1" t="n">
        <v>46043</v>
      </c>
      <c r="E382" s="1" t="n">
        <v>46223</v>
      </c>
      <c r="F382" t="inlineStr">
        <is>
          <t>JÄMTLANDS LÄN</t>
        </is>
      </c>
      <c r="G382" t="inlineStr">
        <is>
          <t>HÄRJEDALEN</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5098-2025</t>
        </is>
      </c>
      <c r="B383" t="inlineStr">
        <is>
          <t>avverkningsanmälan</t>
        </is>
      </c>
      <c r="C383" t="inlineStr">
        <is>
          <t>Föryngringsavverkning</t>
        </is>
      </c>
      <c r="D383" s="1" t="n">
        <v>45691</v>
      </c>
      <c r="E383" s="1" t="n">
        <v>46223</v>
      </c>
      <c r="F383" t="inlineStr">
        <is>
          <t>JÄMTLANDS LÄN</t>
        </is>
      </c>
      <c r="G383" t="inlineStr">
        <is>
          <t>HÄRJEDALEN</t>
        </is>
      </c>
      <c r="H383" t="inlineStr">
        <is>
          <t>Holmen skog AB</t>
        </is>
      </c>
      <c r="I383" t="n">
        <v>15.2</v>
      </c>
      <c r="J383" t="n">
        <v>0</v>
      </c>
      <c r="K383" t="n">
        <v>0</v>
      </c>
      <c r="L383" t="n">
        <v>0</v>
      </c>
      <c r="M383" t="n">
        <v>0</v>
      </c>
      <c r="N383" t="n">
        <v>0</v>
      </c>
      <c r="O383" t="n">
        <v>0</v>
      </c>
      <c r="P383" t="n">
        <v>0</v>
      </c>
      <c r="Q383" t="n">
        <v>0</v>
      </c>
      <c r="R383" t="n">
        <v>0</v>
      </c>
      <c r="S383" t="n">
        <v>0</v>
      </c>
      <c r="T383" t="n">
        <v>0</v>
      </c>
      <c r="U383" s="2" t="inlineStr"/>
    </row>
    <row r="384" ht="15" customHeight="1">
      <c r="A384" t="inlineStr">
        <is>
          <t>A 5102-2025</t>
        </is>
      </c>
      <c r="B384" t="inlineStr">
        <is>
          <t>avverkningsanmälan</t>
        </is>
      </c>
      <c r="C384" t="inlineStr">
        <is>
          <t>Föryngringsavverkning</t>
        </is>
      </c>
      <c r="D384" s="1" t="n">
        <v>45691</v>
      </c>
      <c r="E384" s="1" t="n">
        <v>46223</v>
      </c>
      <c r="F384" t="inlineStr">
        <is>
          <t>JÄMTLANDS LÄN</t>
        </is>
      </c>
      <c r="G384" t="inlineStr">
        <is>
          <t>HÄRJEDALEN</t>
        </is>
      </c>
      <c r="H384" t="inlineStr">
        <is>
          <t>Holmen skog AB</t>
        </is>
      </c>
      <c r="I384" t="n">
        <v>19.3</v>
      </c>
      <c r="J384" t="n">
        <v>0</v>
      </c>
      <c r="K384" t="n">
        <v>0</v>
      </c>
      <c r="L384" t="n">
        <v>0</v>
      </c>
      <c r="M384" t="n">
        <v>0</v>
      </c>
      <c r="N384" t="n">
        <v>0</v>
      </c>
      <c r="O384" t="n">
        <v>0</v>
      </c>
      <c r="P384" t="n">
        <v>0</v>
      </c>
      <c r="Q384" t="n">
        <v>0</v>
      </c>
      <c r="R384" t="n">
        <v>0</v>
      </c>
      <c r="S384" t="n">
        <v>0</v>
      </c>
      <c r="T384" t="n">
        <v>0</v>
      </c>
      <c r="U384" s="2" t="inlineStr"/>
    </row>
    <row r="385" ht="15" customHeight="1">
      <c r="A385" t="inlineStr">
        <is>
          <t>A 27679-2025</t>
        </is>
      </c>
      <c r="B385" t="inlineStr">
        <is>
          <t>avverkningsanmälan</t>
        </is>
      </c>
      <c r="C385" t="inlineStr">
        <is>
          <t>Föryngringsavverkning</t>
        </is>
      </c>
      <c r="D385" s="1" t="n">
        <v>45813</v>
      </c>
      <c r="E385" s="1" t="n">
        <v>46223</v>
      </c>
      <c r="F385" t="inlineStr">
        <is>
          <t>JÄMTLANDS LÄN</t>
        </is>
      </c>
      <c r="G385" t="inlineStr">
        <is>
          <t>HÄRJEDALEN</t>
        </is>
      </c>
      <c r="I385" t="n">
        <v>13.9</v>
      </c>
      <c r="J385" t="n">
        <v>0</v>
      </c>
      <c r="K385" t="n">
        <v>0</v>
      </c>
      <c r="L385" t="n">
        <v>0</v>
      </c>
      <c r="M385" t="n">
        <v>0</v>
      </c>
      <c r="N385" t="n">
        <v>0</v>
      </c>
      <c r="O385" t="n">
        <v>0</v>
      </c>
      <c r="P385" t="n">
        <v>0</v>
      </c>
      <c r="Q385" t="n">
        <v>0</v>
      </c>
      <c r="R385" t="n">
        <v>0</v>
      </c>
      <c r="S385" t="n">
        <v>0</v>
      </c>
      <c r="T385" t="n">
        <v>0</v>
      </c>
      <c r="U385" s="2" t="inlineStr"/>
    </row>
    <row r="386" ht="15" customHeight="1">
      <c r="A386" t="inlineStr">
        <is>
          <t>A 27553-2025</t>
        </is>
      </c>
      <c r="B386" t="inlineStr">
        <is>
          <t>avverkningsanmälan</t>
        </is>
      </c>
      <c r="C386" t="inlineStr">
        <is>
          <t>Föryngringsavverkning</t>
        </is>
      </c>
      <c r="D386" s="1" t="n">
        <v>45813</v>
      </c>
      <c r="E386" s="1" t="n">
        <v>46223</v>
      </c>
      <c r="F386" t="inlineStr">
        <is>
          <t>JÄMTLANDS LÄN</t>
        </is>
      </c>
      <c r="G386" t="inlineStr">
        <is>
          <t>HÄRJEDALEN</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27565-2025</t>
        </is>
      </c>
      <c r="B387" t="inlineStr">
        <is>
          <t>avverkningsanmälan</t>
        </is>
      </c>
      <c r="C387" t="inlineStr">
        <is>
          <t>Föryngringsavverkning</t>
        </is>
      </c>
      <c r="D387" s="1" t="n">
        <v>45813</v>
      </c>
      <c r="E387" s="1" t="n">
        <v>46223</v>
      </c>
      <c r="F387" t="inlineStr">
        <is>
          <t>JÄMTLANDS LÄN</t>
        </is>
      </c>
      <c r="G387" t="inlineStr">
        <is>
          <t>HÄRJEDALEN</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16176-2024</t>
        </is>
      </c>
      <c r="B388" t="inlineStr">
        <is>
          <t>avverkningsanmälan</t>
        </is>
      </c>
      <c r="C388" t="inlineStr">
        <is>
          <t>Föryngringsavverkning</t>
        </is>
      </c>
      <c r="D388" s="1" t="n">
        <v>45406</v>
      </c>
      <c r="E388" s="1" t="n">
        <v>46223</v>
      </c>
      <c r="F388" t="inlineStr">
        <is>
          <t>JÄMTLANDS LÄN</t>
        </is>
      </c>
      <c r="G388" t="inlineStr">
        <is>
          <t>HÄRJEDALEN</t>
        </is>
      </c>
      <c r="H388" t="inlineStr">
        <is>
          <t>Holmen skog AB</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38507-2024</t>
        </is>
      </c>
      <c r="B389" t="inlineStr">
        <is>
          <t>avverkningsanmälan</t>
        </is>
      </c>
      <c r="C389" t="inlineStr">
        <is>
          <t>Föryngringsavverkning</t>
        </is>
      </c>
      <c r="D389" s="1" t="n">
        <v>45546</v>
      </c>
      <c r="E389" s="1" t="n">
        <v>46223</v>
      </c>
      <c r="F389" t="inlineStr">
        <is>
          <t>JÄMTLANDS LÄN</t>
        </is>
      </c>
      <c r="G389" t="inlineStr">
        <is>
          <t>HÄRJEDALEN</t>
        </is>
      </c>
      <c r="I389" t="n">
        <v>6.4</v>
      </c>
      <c r="J389" t="n">
        <v>0</v>
      </c>
      <c r="K389" t="n">
        <v>0</v>
      </c>
      <c r="L389" t="n">
        <v>0</v>
      </c>
      <c r="M389" t="n">
        <v>0</v>
      </c>
      <c r="N389" t="n">
        <v>0</v>
      </c>
      <c r="O389" t="n">
        <v>0</v>
      </c>
      <c r="P389" t="n">
        <v>0</v>
      </c>
      <c r="Q389" t="n">
        <v>0</v>
      </c>
      <c r="R389" t="n">
        <v>0</v>
      </c>
      <c r="S389" t="n">
        <v>0</v>
      </c>
      <c r="T389" t="n">
        <v>0</v>
      </c>
      <c r="U389" s="2" t="inlineStr"/>
    </row>
    <row r="390" ht="15" customHeight="1">
      <c r="A390" t="inlineStr">
        <is>
          <t>A 1398-2024</t>
        </is>
      </c>
      <c r="B390" t="inlineStr">
        <is>
          <t>avverkningsanmälan</t>
        </is>
      </c>
      <c r="C390" t="inlineStr">
        <is>
          <t>Föryngringsavverkning</t>
        </is>
      </c>
      <c r="D390" s="1" t="n">
        <v>45303</v>
      </c>
      <c r="E390" s="1" t="n">
        <v>46223</v>
      </c>
      <c r="F390" t="inlineStr">
        <is>
          <t>JÄMTLANDS LÄN</t>
        </is>
      </c>
      <c r="G390" t="inlineStr">
        <is>
          <t>HÄRJEDALEN</t>
        </is>
      </c>
      <c r="I390" t="n">
        <v>6</v>
      </c>
      <c r="J390" t="n">
        <v>0</v>
      </c>
      <c r="K390" t="n">
        <v>0</v>
      </c>
      <c r="L390" t="n">
        <v>0</v>
      </c>
      <c r="M390" t="n">
        <v>0</v>
      </c>
      <c r="N390" t="n">
        <v>0</v>
      </c>
      <c r="O390" t="n">
        <v>0</v>
      </c>
      <c r="P390" t="n">
        <v>0</v>
      </c>
      <c r="Q390" t="n">
        <v>0</v>
      </c>
      <c r="R390" t="n">
        <v>0</v>
      </c>
      <c r="S390" t="n">
        <v>0</v>
      </c>
      <c r="T390" t="n">
        <v>0</v>
      </c>
      <c r="U390" s="2" t="inlineStr"/>
    </row>
    <row r="391" ht="15" customHeight="1">
      <c r="A391" t="inlineStr">
        <is>
          <t>A 3795-2026</t>
        </is>
      </c>
      <c r="B391" t="inlineStr">
        <is>
          <t>avverkningsanmälan</t>
        </is>
      </c>
      <c r="C391" t="inlineStr">
        <is>
          <t>Föryngringsavverkning</t>
        </is>
      </c>
      <c r="D391" s="1" t="n">
        <v>46043</v>
      </c>
      <c r="E391" s="1" t="n">
        <v>46223</v>
      </c>
      <c r="F391" t="inlineStr">
        <is>
          <t>JÄMTLANDS LÄN</t>
        </is>
      </c>
      <c r="G391" t="inlineStr">
        <is>
          <t>HÄRJEDALEN</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31920-2024</t>
        </is>
      </c>
      <c r="B392" t="inlineStr">
        <is>
          <t>avverkningsanmälan</t>
        </is>
      </c>
      <c r="C392" t="inlineStr">
        <is>
          <t>Avverkning för att bevara och utveckla /försöksver</t>
        </is>
      </c>
      <c r="D392" s="1" t="n">
        <v>45510</v>
      </c>
      <c r="E392" s="1" t="n">
        <v>46223</v>
      </c>
      <c r="F392" t="inlineStr">
        <is>
          <t>JÄMTLANDS LÄN</t>
        </is>
      </c>
      <c r="G392" t="inlineStr">
        <is>
          <t>HÄRJEDALEN</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43287-2024</t>
        </is>
      </c>
      <c r="B393" t="inlineStr">
        <is>
          <t>avverkningsanmälan</t>
        </is>
      </c>
      <c r="C393" t="inlineStr">
        <is>
          <t>Föryngringsavverkning</t>
        </is>
      </c>
      <c r="D393" s="1" t="n">
        <v>45568</v>
      </c>
      <c r="E393" s="1" t="n">
        <v>46223</v>
      </c>
      <c r="F393" t="inlineStr">
        <is>
          <t>JÄMTLANDS LÄN</t>
        </is>
      </c>
      <c r="G393" t="inlineStr">
        <is>
          <t>HÄRJEDALEN</t>
        </is>
      </c>
      <c r="H393" t="inlineStr">
        <is>
          <t>SCA</t>
        </is>
      </c>
      <c r="I393" t="n">
        <v>19.7</v>
      </c>
      <c r="J393" t="n">
        <v>0</v>
      </c>
      <c r="K393" t="n">
        <v>0</v>
      </c>
      <c r="L393" t="n">
        <v>0</v>
      </c>
      <c r="M393" t="n">
        <v>0</v>
      </c>
      <c r="N393" t="n">
        <v>0</v>
      </c>
      <c r="O393" t="n">
        <v>0</v>
      </c>
      <c r="P393" t="n">
        <v>0</v>
      </c>
      <c r="Q393" t="n">
        <v>0</v>
      </c>
      <c r="R393" t="n">
        <v>0</v>
      </c>
      <c r="S393" t="n">
        <v>0</v>
      </c>
      <c r="T393" t="n">
        <v>0</v>
      </c>
      <c r="U393" s="2" t="inlineStr"/>
    </row>
    <row r="394" ht="15" customHeight="1">
      <c r="A394" t="inlineStr">
        <is>
          <t>A 31586-2024</t>
        </is>
      </c>
      <c r="B394" t="inlineStr">
        <is>
          <t>avverkningsanmälan</t>
        </is>
      </c>
      <c r="C394" t="inlineStr">
        <is>
          <t>Föryngringsavverkning</t>
        </is>
      </c>
      <c r="D394" s="1" t="n">
        <v>45506</v>
      </c>
      <c r="E394" s="1" t="n">
        <v>46223</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s="2" t="inlineStr"/>
    </row>
    <row r="395" ht="15" customHeight="1">
      <c r="A395" t="inlineStr">
        <is>
          <t>A 55669-2024</t>
        </is>
      </c>
      <c r="B395" t="inlineStr">
        <is>
          <t>avverkningsanmälan</t>
        </is>
      </c>
      <c r="C395" t="inlineStr">
        <is>
          <t>Föryngringsavverkning</t>
        </is>
      </c>
      <c r="D395" s="1" t="n">
        <v>45622</v>
      </c>
      <c r="E395" s="1" t="n">
        <v>46223</v>
      </c>
      <c r="F395" t="inlineStr">
        <is>
          <t>JÄMTLANDS LÄN</t>
        </is>
      </c>
      <c r="G395" t="inlineStr">
        <is>
          <t>HÄRJEDALEN</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27820-2025</t>
        </is>
      </c>
      <c r="B396" t="inlineStr">
        <is>
          <t>avverkningsanmälan</t>
        </is>
      </c>
      <c r="C396" t="inlineStr">
        <is>
          <t>Föryngringsavverkning</t>
        </is>
      </c>
      <c r="D396" s="1" t="n">
        <v>45817</v>
      </c>
      <c r="E396" s="1" t="n">
        <v>46223</v>
      </c>
      <c r="F396" t="inlineStr">
        <is>
          <t>JÄMTLANDS LÄN</t>
        </is>
      </c>
      <c r="G396" t="inlineStr">
        <is>
          <t>HÄRJEDALEN</t>
        </is>
      </c>
      <c r="H396" t="inlineStr">
        <is>
          <t>Övriga statliga verk och myndigheter</t>
        </is>
      </c>
      <c r="I396" t="n">
        <v>42.8</v>
      </c>
      <c r="J396" t="n">
        <v>0</v>
      </c>
      <c r="K396" t="n">
        <v>0</v>
      </c>
      <c r="L396" t="n">
        <v>0</v>
      </c>
      <c r="M396" t="n">
        <v>0</v>
      </c>
      <c r="N396" t="n">
        <v>0</v>
      </c>
      <c r="O396" t="n">
        <v>0</v>
      </c>
      <c r="P396" t="n">
        <v>0</v>
      </c>
      <c r="Q396" t="n">
        <v>0</v>
      </c>
      <c r="R396" t="n">
        <v>0</v>
      </c>
      <c r="S396" t="n">
        <v>0</v>
      </c>
      <c r="T396" t="n">
        <v>0</v>
      </c>
      <c r="U396" s="2" t="inlineStr"/>
    </row>
    <row r="397" ht="15" customHeight="1">
      <c r="A397" t="inlineStr">
        <is>
          <t>A 4569-2026</t>
        </is>
      </c>
      <c r="B397" t="inlineStr">
        <is>
          <t>avverkningsanmälan</t>
        </is>
      </c>
      <c r="C397" t="inlineStr">
        <is>
          <t>Föryngringsavverkning</t>
        </is>
      </c>
      <c r="D397" s="1" t="n">
        <v>46047</v>
      </c>
      <c r="E397" s="1" t="n">
        <v>46223</v>
      </c>
      <c r="F397" t="inlineStr">
        <is>
          <t>JÄMTLANDS LÄN</t>
        </is>
      </c>
      <c r="G397" t="inlineStr">
        <is>
          <t>HÄRJEDALEN</t>
        </is>
      </c>
      <c r="H397" t="inlineStr">
        <is>
          <t>Bergvik skog väst AB</t>
        </is>
      </c>
      <c r="I397" t="n">
        <v>22.8</v>
      </c>
      <c r="J397" t="n">
        <v>0</v>
      </c>
      <c r="K397" t="n">
        <v>0</v>
      </c>
      <c r="L397" t="n">
        <v>0</v>
      </c>
      <c r="M397" t="n">
        <v>0</v>
      </c>
      <c r="N397" t="n">
        <v>0</v>
      </c>
      <c r="O397" t="n">
        <v>0</v>
      </c>
      <c r="P397" t="n">
        <v>0</v>
      </c>
      <c r="Q397" t="n">
        <v>0</v>
      </c>
      <c r="R397" t="n">
        <v>0</v>
      </c>
      <c r="S397" t="n">
        <v>0</v>
      </c>
      <c r="T397" t="n">
        <v>0</v>
      </c>
      <c r="U397" s="2" t="inlineStr"/>
    </row>
    <row r="398" ht="15" customHeight="1">
      <c r="A398" t="inlineStr">
        <is>
          <t>A 2935-2025</t>
        </is>
      </c>
      <c r="B398" t="inlineStr">
        <is>
          <t>avverkningsanmälan</t>
        </is>
      </c>
      <c r="C398" t="inlineStr">
        <is>
          <t>Föryngringsavverkning</t>
        </is>
      </c>
      <c r="D398" s="1" t="n">
        <v>45678</v>
      </c>
      <c r="E398" s="1" t="n">
        <v>46223</v>
      </c>
      <c r="F398" t="inlineStr">
        <is>
          <t>JÄMTLANDS LÄN</t>
        </is>
      </c>
      <c r="G398" t="inlineStr">
        <is>
          <t>HÄRJEDALEN</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19677-2024</t>
        </is>
      </c>
      <c r="B399" t="inlineStr">
        <is>
          <t>avverkningsanmälan</t>
        </is>
      </c>
      <c r="C399" t="inlineStr">
        <is>
          <t>Avverkning för annat ändamål</t>
        </is>
      </c>
      <c r="D399" s="1" t="n">
        <v>45432</v>
      </c>
      <c r="E399" s="1" t="n">
        <v>46223</v>
      </c>
      <c r="F399" t="inlineStr">
        <is>
          <t>JÄMTLANDS LÄN</t>
        </is>
      </c>
      <c r="G399" t="inlineStr">
        <is>
          <t>HÄRJEDALEN</t>
        </is>
      </c>
      <c r="H399" t="inlineStr">
        <is>
          <t>Bergvik skog väst AB</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1954-2023</t>
        </is>
      </c>
      <c r="B400" t="inlineStr">
        <is>
          <t>avverkningsanmälan</t>
        </is>
      </c>
      <c r="C400" t="inlineStr">
        <is>
          <t>Föryngringsavverkning</t>
        </is>
      </c>
      <c r="D400" s="1" t="n">
        <v>44939</v>
      </c>
      <c r="E400" s="1" t="n">
        <v>46223</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56182-2024</t>
        </is>
      </c>
      <c r="B401" t="inlineStr">
        <is>
          <t>avverkningsanmälan</t>
        </is>
      </c>
      <c r="C401" t="inlineStr">
        <is>
          <t>Föryngringsavverkning</t>
        </is>
      </c>
      <c r="D401" s="1" t="n">
        <v>45624</v>
      </c>
      <c r="E401" s="1" t="n">
        <v>46223</v>
      </c>
      <c r="F401" t="inlineStr">
        <is>
          <t>JÄMTLANDS LÄN</t>
        </is>
      </c>
      <c r="G401" t="inlineStr">
        <is>
          <t>HÄRJEDALEN</t>
        </is>
      </c>
      <c r="I401" t="n">
        <v>9</v>
      </c>
      <c r="J401" t="n">
        <v>0</v>
      </c>
      <c r="K401" t="n">
        <v>0</v>
      </c>
      <c r="L401" t="n">
        <v>0</v>
      </c>
      <c r="M401" t="n">
        <v>0</v>
      </c>
      <c r="N401" t="n">
        <v>0</v>
      </c>
      <c r="O401" t="n">
        <v>0</v>
      </c>
      <c r="P401" t="n">
        <v>0</v>
      </c>
      <c r="Q401" t="n">
        <v>0</v>
      </c>
      <c r="R401" t="n">
        <v>0</v>
      </c>
      <c r="S401" t="n">
        <v>0</v>
      </c>
      <c r="T401" t="n">
        <v>0</v>
      </c>
      <c r="U401" s="2" t="inlineStr"/>
    </row>
    <row r="402" ht="15" customHeight="1">
      <c r="A402" t="inlineStr">
        <is>
          <t>A 39211-2025</t>
        </is>
      </c>
      <c r="B402" t="inlineStr">
        <is>
          <t>avverkningsanmälan</t>
        </is>
      </c>
      <c r="C402" t="inlineStr">
        <is>
          <t>Föryngringsavverkning</t>
        </is>
      </c>
      <c r="D402" s="1" t="n">
        <v>45888</v>
      </c>
      <c r="E402" s="1" t="n">
        <v>46223</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39290-2025</t>
        </is>
      </c>
      <c r="B403" t="inlineStr">
        <is>
          <t>avverkningsanmälan</t>
        </is>
      </c>
      <c r="C403" t="inlineStr">
        <is>
          <t>Föryngringsavverkning</t>
        </is>
      </c>
      <c r="D403" s="1" t="n">
        <v>45889</v>
      </c>
      <c r="E403" s="1" t="n">
        <v>46223</v>
      </c>
      <c r="F403" t="inlineStr">
        <is>
          <t>JÄMTLANDS LÄN</t>
        </is>
      </c>
      <c r="G403" t="inlineStr">
        <is>
          <t>HÄRJEDALEN</t>
        </is>
      </c>
      <c r="I403" t="n">
        <v>10.9</v>
      </c>
      <c r="J403" t="n">
        <v>0</v>
      </c>
      <c r="K403" t="n">
        <v>0</v>
      </c>
      <c r="L403" t="n">
        <v>0</v>
      </c>
      <c r="M403" t="n">
        <v>0</v>
      </c>
      <c r="N403" t="n">
        <v>0</v>
      </c>
      <c r="O403" t="n">
        <v>0</v>
      </c>
      <c r="P403" t="n">
        <v>0</v>
      </c>
      <c r="Q403" t="n">
        <v>0</v>
      </c>
      <c r="R403" t="n">
        <v>0</v>
      </c>
      <c r="S403" t="n">
        <v>0</v>
      </c>
      <c r="T403" t="n">
        <v>0</v>
      </c>
      <c r="U403" s="2" t="inlineStr"/>
    </row>
    <row r="404" ht="15" customHeight="1">
      <c r="A404" t="inlineStr">
        <is>
          <t>A 39291-2025</t>
        </is>
      </c>
      <c r="B404" t="inlineStr">
        <is>
          <t>avverkningsanmälan</t>
        </is>
      </c>
      <c r="C404" t="inlineStr">
        <is>
          <t>Föryngringsavverkning</t>
        </is>
      </c>
      <c r="D404" s="1" t="n">
        <v>45889</v>
      </c>
      <c r="E404" s="1" t="n">
        <v>46223</v>
      </c>
      <c r="F404" t="inlineStr">
        <is>
          <t>JÄMTLANDS LÄN</t>
        </is>
      </c>
      <c r="G404" t="inlineStr">
        <is>
          <t>HÄRJEDALEN</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41604-2024</t>
        </is>
      </c>
      <c r="B405" t="inlineStr">
        <is>
          <t>avverkningsanmälan</t>
        </is>
      </c>
      <c r="C405" t="inlineStr">
        <is>
          <t>Föryngringsavverkning</t>
        </is>
      </c>
      <c r="D405" s="1" t="n">
        <v>45560</v>
      </c>
      <c r="E405" s="1" t="n">
        <v>46223</v>
      </c>
      <c r="F405" t="inlineStr">
        <is>
          <t>JÄMTLANDS LÄN</t>
        </is>
      </c>
      <c r="G405" t="inlineStr">
        <is>
          <t>HÄRJEDALEN</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61571-2022</t>
        </is>
      </c>
      <c r="B406" t="inlineStr">
        <is>
          <t>avverkningsanmälan</t>
        </is>
      </c>
      <c r="C406" t="inlineStr">
        <is>
          <t>Föryngringsavverkning</t>
        </is>
      </c>
      <c r="D406" s="1" t="n">
        <v>44916</v>
      </c>
      <c r="E406" s="1" t="n">
        <v>46223</v>
      </c>
      <c r="F406" t="inlineStr">
        <is>
          <t>JÄMTLANDS LÄN</t>
        </is>
      </c>
      <c r="G406" t="inlineStr">
        <is>
          <t>HÄRJEDALEN</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45409-2021</t>
        </is>
      </c>
      <c r="B407" t="inlineStr">
        <is>
          <t>avverkningsanmälan</t>
        </is>
      </c>
      <c r="C407" t="inlineStr">
        <is>
          <t>Föryngringsavverkning</t>
        </is>
      </c>
      <c r="D407" s="1" t="n">
        <v>44440</v>
      </c>
      <c r="E407" s="1" t="n">
        <v>46223</v>
      </c>
      <c r="F407" t="inlineStr">
        <is>
          <t>JÄMTLANDS LÄN</t>
        </is>
      </c>
      <c r="G407" t="inlineStr">
        <is>
          <t>HÄRJEDALEN</t>
        </is>
      </c>
      <c r="I407" t="n">
        <v>18.9</v>
      </c>
      <c r="J407" t="n">
        <v>0</v>
      </c>
      <c r="K407" t="n">
        <v>0</v>
      </c>
      <c r="L407" t="n">
        <v>0</v>
      </c>
      <c r="M407" t="n">
        <v>0</v>
      </c>
      <c r="N407" t="n">
        <v>0</v>
      </c>
      <c r="O407" t="n">
        <v>0</v>
      </c>
      <c r="P407" t="n">
        <v>0</v>
      </c>
      <c r="Q407" t="n">
        <v>0</v>
      </c>
      <c r="R407" t="n">
        <v>0</v>
      </c>
      <c r="S407" t="n">
        <v>0</v>
      </c>
      <c r="T407" t="n">
        <v>0</v>
      </c>
      <c r="U407" s="2" t="inlineStr"/>
    </row>
    <row r="408" ht="15" customHeight="1">
      <c r="A408" t="inlineStr">
        <is>
          <t>A 39213-2025</t>
        </is>
      </c>
      <c r="B408" t="inlineStr">
        <is>
          <t>avverkningsanmälan</t>
        </is>
      </c>
      <c r="C408" t="inlineStr">
        <is>
          <t>Föryngringsavverkning</t>
        </is>
      </c>
      <c r="D408" s="1" t="n">
        <v>45888</v>
      </c>
      <c r="E408" s="1" t="n">
        <v>46223</v>
      </c>
      <c r="F408" t="inlineStr">
        <is>
          <t>JÄMTLANDS LÄN</t>
        </is>
      </c>
      <c r="G408" t="inlineStr">
        <is>
          <t>HÄRJEDALEN</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8420-2023</t>
        </is>
      </c>
      <c r="B409" t="inlineStr">
        <is>
          <t>avverkningsanmälan</t>
        </is>
      </c>
      <c r="C409" t="inlineStr">
        <is>
          <t>Föryngringsavverkning</t>
        </is>
      </c>
      <c r="D409" s="1" t="n">
        <v>44977</v>
      </c>
      <c r="E409" s="1" t="n">
        <v>46223</v>
      </c>
      <c r="F409" t="inlineStr">
        <is>
          <t>JÄMTLANDS LÄN</t>
        </is>
      </c>
      <c r="G409" t="inlineStr">
        <is>
          <t>HÄRJEDALEN</t>
        </is>
      </c>
      <c r="H409" t="inlineStr">
        <is>
          <t>Holmen skog AB</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29187-2025</t>
        </is>
      </c>
      <c r="B410" t="inlineStr">
        <is>
          <t>avverkningsanmälan</t>
        </is>
      </c>
      <c r="C410" t="inlineStr">
        <is>
          <t>Föryngringsavverkning</t>
        </is>
      </c>
      <c r="D410" s="1" t="n">
        <v>45821</v>
      </c>
      <c r="E410" s="1" t="n">
        <v>46223</v>
      </c>
      <c r="F410" t="inlineStr">
        <is>
          <t>JÄMTLANDS LÄN</t>
        </is>
      </c>
      <c r="G410" t="inlineStr">
        <is>
          <t>HÄRJEDALEN</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29102-2025</t>
        </is>
      </c>
      <c r="B411" t="inlineStr">
        <is>
          <t>avverkningsanmälan</t>
        </is>
      </c>
      <c r="C411" t="inlineStr">
        <is>
          <t>Föryngringsavverkning</t>
        </is>
      </c>
      <c r="D411" s="1" t="n">
        <v>45821</v>
      </c>
      <c r="E411" s="1" t="n">
        <v>46223</v>
      </c>
      <c r="F411" t="inlineStr">
        <is>
          <t>JÄMTLANDS LÄN</t>
        </is>
      </c>
      <c r="G411" t="inlineStr">
        <is>
          <t>HÄRJEDALEN</t>
        </is>
      </c>
      <c r="H411" t="inlineStr">
        <is>
          <t>Sveaskog</t>
        </is>
      </c>
      <c r="I411" t="n">
        <v>5.5</v>
      </c>
      <c r="J411" t="n">
        <v>0</v>
      </c>
      <c r="K411" t="n">
        <v>0</v>
      </c>
      <c r="L411" t="n">
        <v>0</v>
      </c>
      <c r="M411" t="n">
        <v>0</v>
      </c>
      <c r="N411" t="n">
        <v>0</v>
      </c>
      <c r="O411" t="n">
        <v>0</v>
      </c>
      <c r="P411" t="n">
        <v>0</v>
      </c>
      <c r="Q411" t="n">
        <v>0</v>
      </c>
      <c r="R411" t="n">
        <v>0</v>
      </c>
      <c r="S411" t="n">
        <v>0</v>
      </c>
      <c r="T411" t="n">
        <v>0</v>
      </c>
      <c r="U411" s="2" t="inlineStr"/>
    </row>
    <row r="412" ht="15" customHeight="1">
      <c r="A412" t="inlineStr">
        <is>
          <t>A 4694-2023</t>
        </is>
      </c>
      <c r="B412" t="inlineStr">
        <is>
          <t>avverkningsanmälan</t>
        </is>
      </c>
      <c r="C412" t="inlineStr">
        <is>
          <t>Föryngringsavverkning</t>
        </is>
      </c>
      <c r="D412" s="1" t="n">
        <v>44957</v>
      </c>
      <c r="E412" s="1" t="n">
        <v>46223</v>
      </c>
      <c r="F412" t="inlineStr">
        <is>
          <t>JÄMTLANDS LÄN</t>
        </is>
      </c>
      <c r="G412" t="inlineStr">
        <is>
          <t>HÄRJEDALEN</t>
        </is>
      </c>
      <c r="H412" t="inlineStr">
        <is>
          <t>Holmen skog AB</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30742-2024</t>
        </is>
      </c>
      <c r="B413" t="inlineStr">
        <is>
          <t>avverkningsanmälan</t>
        </is>
      </c>
      <c r="C413" t="inlineStr">
        <is>
          <t>Föryngringsavverkning</t>
        </is>
      </c>
      <c r="D413" s="1" t="n">
        <v>45496</v>
      </c>
      <c r="E413" s="1" t="n">
        <v>46223</v>
      </c>
      <c r="F413" t="inlineStr">
        <is>
          <t>JÄMTLANDS LÄN</t>
        </is>
      </c>
      <c r="G413" t="inlineStr">
        <is>
          <t>HÄRJEDALEN</t>
        </is>
      </c>
      <c r="H413" t="inlineStr">
        <is>
          <t>Bergvik skog väst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40194-2025</t>
        </is>
      </c>
      <c r="B414" t="inlineStr">
        <is>
          <t>avverkningsanmälan</t>
        </is>
      </c>
      <c r="C414" t="inlineStr">
        <is>
          <t>Föryngringsavverkning</t>
        </is>
      </c>
      <c r="D414" s="1" t="n">
        <v>45894</v>
      </c>
      <c r="E414" s="1" t="n">
        <v>46223</v>
      </c>
      <c r="F414" t="inlineStr">
        <is>
          <t>JÄMTLANDS LÄN</t>
        </is>
      </c>
      <c r="G414" t="inlineStr">
        <is>
          <t>HÄRJEDALEN</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42333-2024</t>
        </is>
      </c>
      <c r="B415" t="inlineStr">
        <is>
          <t>avverkningsanmälan</t>
        </is>
      </c>
      <c r="C415" t="inlineStr">
        <is>
          <t>Föryngringsavverkning</t>
        </is>
      </c>
      <c r="D415" s="1" t="n">
        <v>45562</v>
      </c>
      <c r="E415" s="1" t="n">
        <v>46223</v>
      </c>
      <c r="F415" t="inlineStr">
        <is>
          <t>JÄMTLANDS LÄN</t>
        </is>
      </c>
      <c r="G415" t="inlineStr">
        <is>
          <t>HÄRJEDALEN</t>
        </is>
      </c>
      <c r="H415" t="inlineStr">
        <is>
          <t>Sveaskog</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29927-2025</t>
        </is>
      </c>
      <c r="B416" t="inlineStr">
        <is>
          <t>avverkningsanmälan</t>
        </is>
      </c>
      <c r="C416" t="inlineStr">
        <is>
          <t>Föryngringsavverkning</t>
        </is>
      </c>
      <c r="D416" s="1" t="n">
        <v>45826</v>
      </c>
      <c r="E416" s="1" t="n">
        <v>46223</v>
      </c>
      <c r="F416" t="inlineStr">
        <is>
          <t>JÄMTLANDS LÄN</t>
        </is>
      </c>
      <c r="G416" t="inlineStr">
        <is>
          <t>HÄRJEDALEN</t>
        </is>
      </c>
      <c r="H416" t="inlineStr">
        <is>
          <t>Bergvik skog väst AB</t>
        </is>
      </c>
      <c r="I416" t="n">
        <v>12.8</v>
      </c>
      <c r="J416" t="n">
        <v>0</v>
      </c>
      <c r="K416" t="n">
        <v>0</v>
      </c>
      <c r="L416" t="n">
        <v>0</v>
      </c>
      <c r="M416" t="n">
        <v>0</v>
      </c>
      <c r="N416" t="n">
        <v>0</v>
      </c>
      <c r="O416" t="n">
        <v>0</v>
      </c>
      <c r="P416" t="n">
        <v>0</v>
      </c>
      <c r="Q416" t="n">
        <v>0</v>
      </c>
      <c r="R416" t="n">
        <v>0</v>
      </c>
      <c r="S416" t="n">
        <v>0</v>
      </c>
      <c r="T416" t="n">
        <v>0</v>
      </c>
      <c r="U416" s="2" t="inlineStr"/>
    </row>
    <row r="417" ht="15" customHeight="1">
      <c r="A417" t="inlineStr">
        <is>
          <t>A 40572-2025</t>
        </is>
      </c>
      <c r="B417" t="inlineStr">
        <is>
          <t>avverkningsanmälan</t>
        </is>
      </c>
      <c r="C417" t="inlineStr">
        <is>
          <t>Avverkning för annat ändamål</t>
        </is>
      </c>
      <c r="D417" s="1" t="n">
        <v>45896</v>
      </c>
      <c r="E417" s="1" t="n">
        <v>46223</v>
      </c>
      <c r="F417" t="inlineStr">
        <is>
          <t>JÄMTLANDS LÄN</t>
        </is>
      </c>
      <c r="G417" t="inlineStr">
        <is>
          <t>HÄRJEDALEN</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40573-2025</t>
        </is>
      </c>
      <c r="B418" t="inlineStr">
        <is>
          <t>avverkningsanmälan</t>
        </is>
      </c>
      <c r="C418" t="inlineStr">
        <is>
          <t>Avverkning för annat ändamål</t>
        </is>
      </c>
      <c r="D418" s="1" t="n">
        <v>45896</v>
      </c>
      <c r="E418" s="1" t="n">
        <v>46223</v>
      </c>
      <c r="F418" t="inlineStr">
        <is>
          <t>JÄMTLANDS LÄN</t>
        </is>
      </c>
      <c r="G418" t="inlineStr">
        <is>
          <t>HÄRJEDALEN</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40249-2025</t>
        </is>
      </c>
      <c r="B419" t="inlineStr">
        <is>
          <t>avverkningsanmälan</t>
        </is>
      </c>
      <c r="C419" t="inlineStr">
        <is>
          <t>Föryngringsavverkning</t>
        </is>
      </c>
      <c r="D419" s="1" t="n">
        <v>45895</v>
      </c>
      <c r="E419" s="1" t="n">
        <v>46223</v>
      </c>
      <c r="F419" t="inlineStr">
        <is>
          <t>JÄMTLANDS LÄN</t>
        </is>
      </c>
      <c r="G419" t="inlineStr">
        <is>
          <t>HÄRJEDALEN</t>
        </is>
      </c>
      <c r="H419" t="inlineStr">
        <is>
          <t>Bergvik skog väst AB</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10015-2023</t>
        </is>
      </c>
      <c r="B420" t="inlineStr">
        <is>
          <t>avverkningsanmälan</t>
        </is>
      </c>
      <c r="C420" t="inlineStr">
        <is>
          <t>Föryngringsavverkning</t>
        </is>
      </c>
      <c r="D420" s="1" t="n">
        <v>44985</v>
      </c>
      <c r="E420" s="1" t="n">
        <v>46223</v>
      </c>
      <c r="F420" t="inlineStr">
        <is>
          <t>JÄMTLANDS LÄN</t>
        </is>
      </c>
      <c r="G420" t="inlineStr">
        <is>
          <t>HÄRJEDALEN</t>
        </is>
      </c>
      <c r="H420" t="inlineStr">
        <is>
          <t>Holmen skog AB</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55219-2021</t>
        </is>
      </c>
      <c r="B421" t="inlineStr">
        <is>
          <t>avverkningsanmälan</t>
        </is>
      </c>
      <c r="C421" t="inlineStr">
        <is>
          <t>Föryngringsavverkning</t>
        </is>
      </c>
      <c r="D421" s="1" t="n">
        <v>44475</v>
      </c>
      <c r="E421" s="1" t="n">
        <v>46223</v>
      </c>
      <c r="F421" t="inlineStr">
        <is>
          <t>JÄMTLANDS LÄN</t>
        </is>
      </c>
      <c r="G421" t="inlineStr">
        <is>
          <t>HÄRJEDALEN</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41054-2025</t>
        </is>
      </c>
      <c r="B422" t="inlineStr">
        <is>
          <t>avverkningsanmälan</t>
        </is>
      </c>
      <c r="C422" t="inlineStr">
        <is>
          <t>Föryngringsavverkning</t>
        </is>
      </c>
      <c r="D422" s="1" t="n">
        <v>45898</v>
      </c>
      <c r="E422" s="1" t="n">
        <v>46223</v>
      </c>
      <c r="F422" t="inlineStr">
        <is>
          <t>JÄMTLANDS LÄN</t>
        </is>
      </c>
      <c r="G422" t="inlineStr">
        <is>
          <t>HÄRJEDALEN</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41180-2025</t>
        </is>
      </c>
      <c r="B423" t="inlineStr">
        <is>
          <t>avverkningsanmälan</t>
        </is>
      </c>
      <c r="C423" t="inlineStr">
        <is>
          <t>Föryngringsavverkning</t>
        </is>
      </c>
      <c r="D423" s="1" t="n">
        <v>45898</v>
      </c>
      <c r="E423" s="1" t="n">
        <v>46223</v>
      </c>
      <c r="F423" t="inlineStr">
        <is>
          <t>JÄMTLANDS LÄN</t>
        </is>
      </c>
      <c r="G423" t="inlineStr">
        <is>
          <t>HÄRJEDALEN</t>
        </is>
      </c>
      <c r="H423" t="inlineStr">
        <is>
          <t>SCA</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30255-2025</t>
        </is>
      </c>
      <c r="B424" t="inlineStr">
        <is>
          <t>avverkningsanmälan</t>
        </is>
      </c>
      <c r="C424" t="inlineStr">
        <is>
          <t>Föryngringsavverkning</t>
        </is>
      </c>
      <c r="D424" s="1" t="n">
        <v>45827</v>
      </c>
      <c r="E424" s="1" t="n">
        <v>46223</v>
      </c>
      <c r="F424" t="inlineStr">
        <is>
          <t>JÄMTLANDS LÄN</t>
        </is>
      </c>
      <c r="G424" t="inlineStr">
        <is>
          <t>HÄRJEDALEN</t>
        </is>
      </c>
      <c r="H424" t="inlineStr">
        <is>
          <t>Holmen skog AB</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30363-2025</t>
        </is>
      </c>
      <c r="B425" t="inlineStr">
        <is>
          <t>avverkningsanmälan</t>
        </is>
      </c>
      <c r="C425" t="inlineStr">
        <is>
          <t>Föryngringsavverkning</t>
        </is>
      </c>
      <c r="D425" s="1" t="n">
        <v>45827</v>
      </c>
      <c r="E425" s="1" t="n">
        <v>46223</v>
      </c>
      <c r="F425" t="inlineStr">
        <is>
          <t>JÄMTLANDS LÄN</t>
        </is>
      </c>
      <c r="G425" t="inlineStr">
        <is>
          <t>HÄRJEDALEN</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30251-2025</t>
        </is>
      </c>
      <c r="B426" t="inlineStr">
        <is>
          <t>avverkningsanmälan</t>
        </is>
      </c>
      <c r="C426" t="inlineStr">
        <is>
          <t>Föryngringsavverkning</t>
        </is>
      </c>
      <c r="D426" s="1" t="n">
        <v>45827</v>
      </c>
      <c r="E426" s="1" t="n">
        <v>46223</v>
      </c>
      <c r="F426" t="inlineStr">
        <is>
          <t>JÄMTLANDS LÄN</t>
        </is>
      </c>
      <c r="G426" t="inlineStr">
        <is>
          <t>HÄRJEDALEN</t>
        </is>
      </c>
      <c r="H426" t="inlineStr">
        <is>
          <t>Bergvik skog väst AB</t>
        </is>
      </c>
      <c r="I426" t="n">
        <v>32.1</v>
      </c>
      <c r="J426" t="n">
        <v>0</v>
      </c>
      <c r="K426" t="n">
        <v>0</v>
      </c>
      <c r="L426" t="n">
        <v>0</v>
      </c>
      <c r="M426" t="n">
        <v>0</v>
      </c>
      <c r="N426" t="n">
        <v>0</v>
      </c>
      <c r="O426" t="n">
        <v>0</v>
      </c>
      <c r="P426" t="n">
        <v>0</v>
      </c>
      <c r="Q426" t="n">
        <v>0</v>
      </c>
      <c r="R426" t="n">
        <v>0</v>
      </c>
      <c r="S426" t="n">
        <v>0</v>
      </c>
      <c r="T426" t="n">
        <v>0</v>
      </c>
      <c r="U426" s="2" t="inlineStr"/>
    </row>
    <row r="427" ht="15" customHeight="1">
      <c r="A427" t="inlineStr">
        <is>
          <t>A 45123-2024</t>
        </is>
      </c>
      <c r="B427" t="inlineStr">
        <is>
          <t>avverkningsanmälan</t>
        </is>
      </c>
      <c r="C427" t="inlineStr">
        <is>
          <t>Föryngringsavverkning</t>
        </is>
      </c>
      <c r="D427" s="1" t="n">
        <v>45575</v>
      </c>
      <c r="E427" s="1" t="n">
        <v>46223</v>
      </c>
      <c r="F427" t="inlineStr">
        <is>
          <t>JÄMTLANDS LÄN</t>
        </is>
      </c>
      <c r="G427" t="inlineStr">
        <is>
          <t>HÄRJEDALEN</t>
        </is>
      </c>
      <c r="H427" t="inlineStr">
        <is>
          <t>Holmen skog AB</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41070-2025</t>
        </is>
      </c>
      <c r="B428" t="inlineStr">
        <is>
          <t>avverkningsanmälan</t>
        </is>
      </c>
      <c r="C428" t="inlineStr">
        <is>
          <t>Föryngringsavverkning</t>
        </is>
      </c>
      <c r="D428" s="1" t="n">
        <v>45898</v>
      </c>
      <c r="E428" s="1" t="n">
        <v>46223</v>
      </c>
      <c r="F428" t="inlineStr">
        <is>
          <t>JÄMTLANDS LÄN</t>
        </is>
      </c>
      <c r="G428" t="inlineStr">
        <is>
          <t>HÄRJEDALEN</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49319-2024</t>
        </is>
      </c>
      <c r="B429" t="inlineStr">
        <is>
          <t>avverkningsanmälan</t>
        </is>
      </c>
      <c r="C429" t="inlineStr">
        <is>
          <t>Föryngringsavverkning</t>
        </is>
      </c>
      <c r="D429" s="1" t="n">
        <v>45595</v>
      </c>
      <c r="E429" s="1" t="n">
        <v>46223</v>
      </c>
      <c r="F429" t="inlineStr">
        <is>
          <t>JÄMTLANDS LÄN</t>
        </is>
      </c>
      <c r="G429" t="inlineStr">
        <is>
          <t>HÄRJEDALEN</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4196-2023</t>
        </is>
      </c>
      <c r="B430" t="inlineStr">
        <is>
          <t>avverkningsanmälan</t>
        </is>
      </c>
      <c r="C430" t="inlineStr">
        <is>
          <t>Föryngringsavverkning</t>
        </is>
      </c>
      <c r="D430" s="1" t="n">
        <v>44953</v>
      </c>
      <c r="E430" s="1" t="n">
        <v>46223</v>
      </c>
      <c r="F430" t="inlineStr">
        <is>
          <t>JÄMTLANDS LÄN</t>
        </is>
      </c>
      <c r="G430" t="inlineStr">
        <is>
          <t>HÄRJEDALEN</t>
        </is>
      </c>
      <c r="I430" t="n">
        <v>9.800000000000001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31096-2025</t>
        </is>
      </c>
      <c r="B431" t="inlineStr">
        <is>
          <t>avverkningsanmälan</t>
        </is>
      </c>
      <c r="C431" t="inlineStr">
        <is>
          <t>Föryngringsavverkning</t>
        </is>
      </c>
      <c r="D431" s="1" t="n">
        <v>45831</v>
      </c>
      <c r="E431" s="1" t="n">
        <v>46223</v>
      </c>
      <c r="F431" t="inlineStr">
        <is>
          <t>JÄMTLANDS LÄN</t>
        </is>
      </c>
      <c r="G431" t="inlineStr">
        <is>
          <t>HÄRJEDALEN</t>
        </is>
      </c>
      <c r="H431" t="inlineStr">
        <is>
          <t>Bergvik skog väst AB</t>
        </is>
      </c>
      <c r="I431" t="n">
        <v>11.4</v>
      </c>
      <c r="J431" t="n">
        <v>0</v>
      </c>
      <c r="K431" t="n">
        <v>0</v>
      </c>
      <c r="L431" t="n">
        <v>0</v>
      </c>
      <c r="M431" t="n">
        <v>0</v>
      </c>
      <c r="N431" t="n">
        <v>0</v>
      </c>
      <c r="O431" t="n">
        <v>0</v>
      </c>
      <c r="P431" t="n">
        <v>0</v>
      </c>
      <c r="Q431" t="n">
        <v>0</v>
      </c>
      <c r="R431" t="n">
        <v>0</v>
      </c>
      <c r="S431" t="n">
        <v>0</v>
      </c>
      <c r="T431" t="n">
        <v>0</v>
      </c>
      <c r="U431" s="2" t="inlineStr"/>
    </row>
    <row r="432" ht="15" customHeight="1">
      <c r="A432" t="inlineStr">
        <is>
          <t>A 41664-2025</t>
        </is>
      </c>
      <c r="B432" t="inlineStr">
        <is>
          <t>avverkningsanmälan</t>
        </is>
      </c>
      <c r="C432" t="inlineStr">
        <is>
          <t>Föryngringsavverkning</t>
        </is>
      </c>
      <c r="D432" s="1" t="n">
        <v>45902</v>
      </c>
      <c r="E432" s="1" t="n">
        <v>46223</v>
      </c>
      <c r="F432" t="inlineStr">
        <is>
          <t>JÄMTLANDS LÄN</t>
        </is>
      </c>
      <c r="G432" t="inlineStr">
        <is>
          <t>HÄRJEDALEN</t>
        </is>
      </c>
      <c r="H432" t="inlineStr">
        <is>
          <t>Holmen skog AB</t>
        </is>
      </c>
      <c r="I432" t="n">
        <v>18.7</v>
      </c>
      <c r="J432" t="n">
        <v>0</v>
      </c>
      <c r="K432" t="n">
        <v>0</v>
      </c>
      <c r="L432" t="n">
        <v>0</v>
      </c>
      <c r="M432" t="n">
        <v>0</v>
      </c>
      <c r="N432" t="n">
        <v>0</v>
      </c>
      <c r="O432" t="n">
        <v>0</v>
      </c>
      <c r="P432" t="n">
        <v>0</v>
      </c>
      <c r="Q432" t="n">
        <v>0</v>
      </c>
      <c r="R432" t="n">
        <v>0</v>
      </c>
      <c r="S432" t="n">
        <v>0</v>
      </c>
      <c r="T432" t="n">
        <v>0</v>
      </c>
      <c r="U432" s="2" t="inlineStr"/>
    </row>
    <row r="433" ht="15" customHeight="1">
      <c r="A433" t="inlineStr">
        <is>
          <t>A 4946-2026</t>
        </is>
      </c>
      <c r="B433" t="inlineStr">
        <is>
          <t>avverkningsanmälan</t>
        </is>
      </c>
      <c r="C433" t="inlineStr">
        <is>
          <t>Föryngringsavverkning</t>
        </is>
      </c>
      <c r="D433" s="1" t="n">
        <v>46049</v>
      </c>
      <c r="E433" s="1" t="n">
        <v>46223</v>
      </c>
      <c r="F433" t="inlineStr">
        <is>
          <t>JÄMTLANDS LÄN</t>
        </is>
      </c>
      <c r="G433" t="inlineStr">
        <is>
          <t>HÄRJEDALEN</t>
        </is>
      </c>
      <c r="I433" t="n">
        <v>14.8</v>
      </c>
      <c r="J433" t="n">
        <v>0</v>
      </c>
      <c r="K433" t="n">
        <v>0</v>
      </c>
      <c r="L433" t="n">
        <v>0</v>
      </c>
      <c r="M433" t="n">
        <v>0</v>
      </c>
      <c r="N433" t="n">
        <v>0</v>
      </c>
      <c r="O433" t="n">
        <v>0</v>
      </c>
      <c r="P433" t="n">
        <v>0</v>
      </c>
      <c r="Q433" t="n">
        <v>0</v>
      </c>
      <c r="R433" t="n">
        <v>0</v>
      </c>
      <c r="S433" t="n">
        <v>0</v>
      </c>
      <c r="T433" t="n">
        <v>0</v>
      </c>
      <c r="U433" s="2" t="inlineStr"/>
    </row>
    <row r="434" ht="15" customHeight="1">
      <c r="A434" t="inlineStr">
        <is>
          <t>A 5058-2026</t>
        </is>
      </c>
      <c r="B434" t="inlineStr">
        <is>
          <t>avverkningsanmälan</t>
        </is>
      </c>
      <c r="C434" t="inlineStr">
        <is>
          <t>Föryngringsavverkning</t>
        </is>
      </c>
      <c r="D434" s="1" t="n">
        <v>46049</v>
      </c>
      <c r="E434" s="1" t="n">
        <v>46223</v>
      </c>
      <c r="F434" t="inlineStr">
        <is>
          <t>JÄMTLANDS LÄN</t>
        </is>
      </c>
      <c r="G434" t="inlineStr">
        <is>
          <t>HÄRJEDALEN</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41821-2025</t>
        </is>
      </c>
      <c r="B435" t="inlineStr">
        <is>
          <t>avverkningsanmälan</t>
        </is>
      </c>
      <c r="C435" t="inlineStr">
        <is>
          <t>Föryngringsavverkning</t>
        </is>
      </c>
      <c r="D435" s="1" t="n">
        <v>45902</v>
      </c>
      <c r="E435" s="1" t="n">
        <v>46223</v>
      </c>
      <c r="F435" t="inlineStr">
        <is>
          <t>JÄMTLANDS LÄN</t>
        </is>
      </c>
      <c r="G435" t="inlineStr">
        <is>
          <t>HÄRJEDALEN</t>
        </is>
      </c>
      <c r="H435" t="inlineStr">
        <is>
          <t>Holmen skog AB</t>
        </is>
      </c>
      <c r="I435" t="n">
        <v>30</v>
      </c>
      <c r="J435" t="n">
        <v>0</v>
      </c>
      <c r="K435" t="n">
        <v>0</v>
      </c>
      <c r="L435" t="n">
        <v>0</v>
      </c>
      <c r="M435" t="n">
        <v>0</v>
      </c>
      <c r="N435" t="n">
        <v>0</v>
      </c>
      <c r="O435" t="n">
        <v>0</v>
      </c>
      <c r="P435" t="n">
        <v>0</v>
      </c>
      <c r="Q435" t="n">
        <v>0</v>
      </c>
      <c r="R435" t="n">
        <v>0</v>
      </c>
      <c r="S435" t="n">
        <v>0</v>
      </c>
      <c r="T435" t="n">
        <v>0</v>
      </c>
      <c r="U435" s="2" t="inlineStr"/>
    </row>
    <row r="436" ht="15" customHeight="1">
      <c r="A436" t="inlineStr">
        <is>
          <t>A 31255-2025</t>
        </is>
      </c>
      <c r="B436" t="inlineStr">
        <is>
          <t>avverkningsanmälan</t>
        </is>
      </c>
      <c r="C436" t="inlineStr">
        <is>
          <t>Föryngringsavverkning</t>
        </is>
      </c>
      <c r="D436" s="1" t="n">
        <v>45832</v>
      </c>
      <c r="E436" s="1" t="n">
        <v>46223</v>
      </c>
      <c r="F436" t="inlineStr">
        <is>
          <t>JÄMTLANDS LÄN</t>
        </is>
      </c>
      <c r="G436" t="inlineStr">
        <is>
          <t>HÄRJEDALEN</t>
        </is>
      </c>
      <c r="H436" t="inlineStr">
        <is>
          <t>Bergvik skog väst AB</t>
        </is>
      </c>
      <c r="I436" t="n">
        <v>12.9</v>
      </c>
      <c r="J436" t="n">
        <v>0</v>
      </c>
      <c r="K436" t="n">
        <v>0</v>
      </c>
      <c r="L436" t="n">
        <v>0</v>
      </c>
      <c r="M436" t="n">
        <v>0</v>
      </c>
      <c r="N436" t="n">
        <v>0</v>
      </c>
      <c r="O436" t="n">
        <v>0</v>
      </c>
      <c r="P436" t="n">
        <v>0</v>
      </c>
      <c r="Q436" t="n">
        <v>0</v>
      </c>
      <c r="R436" t="n">
        <v>0</v>
      </c>
      <c r="S436" t="n">
        <v>0</v>
      </c>
      <c r="T436" t="n">
        <v>0</v>
      </c>
      <c r="U436" s="2" t="inlineStr"/>
    </row>
    <row r="437" ht="15" customHeight="1">
      <c r="A437" t="inlineStr">
        <is>
          <t>A 31252-2025</t>
        </is>
      </c>
      <c r="B437" t="inlineStr">
        <is>
          <t>avverkningsanmälan</t>
        </is>
      </c>
      <c r="C437" t="inlineStr">
        <is>
          <t>Föryngringsavverkning</t>
        </is>
      </c>
      <c r="D437" s="1" t="n">
        <v>45832</v>
      </c>
      <c r="E437" s="1" t="n">
        <v>46223</v>
      </c>
      <c r="F437" t="inlineStr">
        <is>
          <t>JÄMTLANDS LÄN</t>
        </is>
      </c>
      <c r="G437" t="inlineStr">
        <is>
          <t>HÄRJEDALEN</t>
        </is>
      </c>
      <c r="H437" t="inlineStr">
        <is>
          <t>Bergvik skog väst AB</t>
        </is>
      </c>
      <c r="I437" t="n">
        <v>8</v>
      </c>
      <c r="J437" t="n">
        <v>0</v>
      </c>
      <c r="K437" t="n">
        <v>0</v>
      </c>
      <c r="L437" t="n">
        <v>0</v>
      </c>
      <c r="M437" t="n">
        <v>0</v>
      </c>
      <c r="N437" t="n">
        <v>0</v>
      </c>
      <c r="O437" t="n">
        <v>0</v>
      </c>
      <c r="P437" t="n">
        <v>0</v>
      </c>
      <c r="Q437" t="n">
        <v>0</v>
      </c>
      <c r="R437" t="n">
        <v>0</v>
      </c>
      <c r="S437" t="n">
        <v>0</v>
      </c>
      <c r="T437" t="n">
        <v>0</v>
      </c>
      <c r="U437" s="2" t="inlineStr"/>
    </row>
    <row r="438" ht="15" customHeight="1">
      <c r="A438" t="inlineStr">
        <is>
          <t>A 48708-2023</t>
        </is>
      </c>
      <c r="B438" t="inlineStr">
        <is>
          <t>avverkningsanmälan</t>
        </is>
      </c>
      <c r="C438" t="inlineStr">
        <is>
          <t>Avverkning för annat ändamål</t>
        </is>
      </c>
      <c r="D438" s="1" t="n">
        <v>45208</v>
      </c>
      <c r="E438" s="1" t="n">
        <v>46223</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20103-2025</t>
        </is>
      </c>
      <c r="B439" t="inlineStr">
        <is>
          <t>avverkningsanmälan</t>
        </is>
      </c>
      <c r="C439" t="inlineStr">
        <is>
          <t>Föryngringsavverkning</t>
        </is>
      </c>
      <c r="D439" s="1" t="n">
        <v>45772</v>
      </c>
      <c r="E439" s="1" t="n">
        <v>46223</v>
      </c>
      <c r="F439" t="inlineStr">
        <is>
          <t>JÄMTLANDS LÄN</t>
        </is>
      </c>
      <c r="G439" t="inlineStr">
        <is>
          <t>HÄRJEDALEN</t>
        </is>
      </c>
      <c r="H439" t="inlineStr">
        <is>
          <t>SCA</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31772-2025</t>
        </is>
      </c>
      <c r="B440" t="inlineStr">
        <is>
          <t>avverkningsanmälan</t>
        </is>
      </c>
      <c r="C440" t="inlineStr">
        <is>
          <t>Föryngringsavverkning</t>
        </is>
      </c>
      <c r="D440" s="1" t="n">
        <v>45834</v>
      </c>
      <c r="E440" s="1" t="n">
        <v>46223</v>
      </c>
      <c r="F440" t="inlineStr">
        <is>
          <t>JÄMTLANDS LÄN</t>
        </is>
      </c>
      <c r="G440" t="inlineStr">
        <is>
          <t>HÄRJEDALEN</t>
        </is>
      </c>
      <c r="H440" t="inlineStr">
        <is>
          <t>SCA</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42504-2025</t>
        </is>
      </c>
      <c r="B441" t="inlineStr">
        <is>
          <t>avverkningsanmälan</t>
        </is>
      </c>
      <c r="C441" t="inlineStr">
        <is>
          <t>Föryngringsavverkning</t>
        </is>
      </c>
      <c r="D441" s="1" t="n">
        <v>45904</v>
      </c>
      <c r="E441" s="1" t="n">
        <v>46223</v>
      </c>
      <c r="F441" t="inlineStr">
        <is>
          <t>JÄMTLANDS LÄN</t>
        </is>
      </c>
      <c r="G441" t="inlineStr">
        <is>
          <t>HÄRJEDALEN</t>
        </is>
      </c>
      <c r="H441" t="inlineStr">
        <is>
          <t>Bergvik skog väst AB</t>
        </is>
      </c>
      <c r="I441" t="n">
        <v>6.4</v>
      </c>
      <c r="J441" t="n">
        <v>0</v>
      </c>
      <c r="K441" t="n">
        <v>0</v>
      </c>
      <c r="L441" t="n">
        <v>0</v>
      </c>
      <c r="M441" t="n">
        <v>0</v>
      </c>
      <c r="N441" t="n">
        <v>0</v>
      </c>
      <c r="O441" t="n">
        <v>0</v>
      </c>
      <c r="P441" t="n">
        <v>0</v>
      </c>
      <c r="Q441" t="n">
        <v>0</v>
      </c>
      <c r="R441" t="n">
        <v>0</v>
      </c>
      <c r="S441" t="n">
        <v>0</v>
      </c>
      <c r="T441" t="n">
        <v>0</v>
      </c>
      <c r="U441" s="2" t="inlineStr"/>
    </row>
    <row r="442" ht="15" customHeight="1">
      <c r="A442" t="inlineStr">
        <is>
          <t>A 31910-2025</t>
        </is>
      </c>
      <c r="B442" t="inlineStr">
        <is>
          <t>avverkningsanmälan</t>
        </is>
      </c>
      <c r="C442" t="inlineStr">
        <is>
          <t>Föryngringsavverkning</t>
        </is>
      </c>
      <c r="D442" s="1" t="n">
        <v>45834</v>
      </c>
      <c r="E442" s="1" t="n">
        <v>46223</v>
      </c>
      <c r="F442" t="inlineStr">
        <is>
          <t>JÄMTLANDS LÄN</t>
        </is>
      </c>
      <c r="G442" t="inlineStr">
        <is>
          <t>HÄRJEDALEN</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42163-2025</t>
        </is>
      </c>
      <c r="B443" t="inlineStr">
        <is>
          <t>avverkningsanmälan</t>
        </is>
      </c>
      <c r="C443" t="inlineStr">
        <is>
          <t>Föryngringsavverkning</t>
        </is>
      </c>
      <c r="D443" s="1" t="n">
        <v>45904</v>
      </c>
      <c r="E443" s="1" t="n">
        <v>46223</v>
      </c>
      <c r="F443" t="inlineStr">
        <is>
          <t>JÄMTLANDS LÄN</t>
        </is>
      </c>
      <c r="G443" t="inlineStr">
        <is>
          <t>HÄRJEDALEN</t>
        </is>
      </c>
      <c r="H443" t="inlineStr">
        <is>
          <t>Holmen skog AB</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42032-2025</t>
        </is>
      </c>
      <c r="B444" t="inlineStr">
        <is>
          <t>avverkningsanmälan</t>
        </is>
      </c>
      <c r="C444" t="inlineStr">
        <is>
          <t>Föryngringsavverkning</t>
        </is>
      </c>
      <c r="D444" s="1" t="n">
        <v>45903</v>
      </c>
      <c r="E444" s="1" t="n">
        <v>46223</v>
      </c>
      <c r="F444" t="inlineStr">
        <is>
          <t>JÄMTLANDS LÄN</t>
        </is>
      </c>
      <c r="G444" t="inlineStr">
        <is>
          <t>HÄRJEDALEN</t>
        </is>
      </c>
      <c r="H444" t="inlineStr">
        <is>
          <t>Holmen skog AB</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42031-2025</t>
        </is>
      </c>
      <c r="B445" t="inlineStr">
        <is>
          <t>avverkningsanmälan</t>
        </is>
      </c>
      <c r="C445" t="inlineStr">
        <is>
          <t>Föryngringsavverkning</t>
        </is>
      </c>
      <c r="D445" s="1" t="n">
        <v>45903</v>
      </c>
      <c r="E445" s="1" t="n">
        <v>46223</v>
      </c>
      <c r="F445" t="inlineStr">
        <is>
          <t>JÄMTLANDS LÄN</t>
        </is>
      </c>
      <c r="G445" t="inlineStr">
        <is>
          <t>HÄRJEDALEN</t>
        </is>
      </c>
      <c r="H445" t="inlineStr">
        <is>
          <t>Holmen skog AB</t>
        </is>
      </c>
      <c r="I445" t="n">
        <v>8.6</v>
      </c>
      <c r="J445" t="n">
        <v>0</v>
      </c>
      <c r="K445" t="n">
        <v>0</v>
      </c>
      <c r="L445" t="n">
        <v>0</v>
      </c>
      <c r="M445" t="n">
        <v>0</v>
      </c>
      <c r="N445" t="n">
        <v>0</v>
      </c>
      <c r="O445" t="n">
        <v>0</v>
      </c>
      <c r="P445" t="n">
        <v>0</v>
      </c>
      <c r="Q445" t="n">
        <v>0</v>
      </c>
      <c r="R445" t="n">
        <v>0</v>
      </c>
      <c r="S445" t="n">
        <v>0</v>
      </c>
      <c r="T445" t="n">
        <v>0</v>
      </c>
      <c r="U445" s="2" t="inlineStr"/>
    </row>
    <row r="446" ht="15" customHeight="1">
      <c r="A446" t="inlineStr">
        <is>
          <t>A 31498-2025</t>
        </is>
      </c>
      <c r="B446" t="inlineStr">
        <is>
          <t>avverkningsanmälan</t>
        </is>
      </c>
      <c r="C446" t="inlineStr">
        <is>
          <t>Föryngringsavverkning</t>
        </is>
      </c>
      <c r="D446" s="1" t="n">
        <v>45833</v>
      </c>
      <c r="E446" s="1" t="n">
        <v>46223</v>
      </c>
      <c r="F446" t="inlineStr">
        <is>
          <t>JÄMTLANDS LÄN</t>
        </is>
      </c>
      <c r="G446" t="inlineStr">
        <is>
          <t>HÄRJEDALEN</t>
        </is>
      </c>
      <c r="H446" t="inlineStr">
        <is>
          <t>Bergvik skog väst AB</t>
        </is>
      </c>
      <c r="I446" t="n">
        <v>9.6</v>
      </c>
      <c r="J446" t="n">
        <v>0</v>
      </c>
      <c r="K446" t="n">
        <v>0</v>
      </c>
      <c r="L446" t="n">
        <v>0</v>
      </c>
      <c r="M446" t="n">
        <v>0</v>
      </c>
      <c r="N446" t="n">
        <v>0</v>
      </c>
      <c r="O446" t="n">
        <v>0</v>
      </c>
      <c r="P446" t="n">
        <v>0</v>
      </c>
      <c r="Q446" t="n">
        <v>0</v>
      </c>
      <c r="R446" t="n">
        <v>0</v>
      </c>
      <c r="S446" t="n">
        <v>0</v>
      </c>
      <c r="T446" t="n">
        <v>0</v>
      </c>
      <c r="U446" s="2" t="inlineStr"/>
    </row>
    <row r="447" ht="15" customHeight="1">
      <c r="A447" t="inlineStr">
        <is>
          <t>A 31522-2025</t>
        </is>
      </c>
      <c r="B447" t="inlineStr">
        <is>
          <t>avverkningsanmälan</t>
        </is>
      </c>
      <c r="C447" t="inlineStr">
        <is>
          <t>Föryngringsavverkning</t>
        </is>
      </c>
      <c r="D447" s="1" t="n">
        <v>45833</v>
      </c>
      <c r="E447" s="1" t="n">
        <v>46223</v>
      </c>
      <c r="F447" t="inlineStr">
        <is>
          <t>JÄMTLANDS LÄN</t>
        </is>
      </c>
      <c r="G447" t="inlineStr">
        <is>
          <t>HÄRJEDALEN</t>
        </is>
      </c>
      <c r="H447" t="inlineStr">
        <is>
          <t>Bergvik skog väst AB</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31526-2025</t>
        </is>
      </c>
      <c r="B448" t="inlineStr">
        <is>
          <t>avverkningsanmälan</t>
        </is>
      </c>
      <c r="C448" t="inlineStr">
        <is>
          <t>Föryngringsavverkning</t>
        </is>
      </c>
      <c r="D448" s="1" t="n">
        <v>45833</v>
      </c>
      <c r="E448" s="1" t="n">
        <v>46223</v>
      </c>
      <c r="F448" t="inlineStr">
        <is>
          <t>JÄMTLANDS LÄN</t>
        </is>
      </c>
      <c r="G448" t="inlineStr">
        <is>
          <t>HÄRJEDALEN</t>
        </is>
      </c>
      <c r="H448" t="inlineStr">
        <is>
          <t>Bergvik skog väst AB</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31570-2025</t>
        </is>
      </c>
      <c r="B449" t="inlineStr">
        <is>
          <t>avverkningsanmälan</t>
        </is>
      </c>
      <c r="C449" t="inlineStr">
        <is>
          <t>Föryngringsavverkning</t>
        </is>
      </c>
      <c r="D449" s="1" t="n">
        <v>45833</v>
      </c>
      <c r="E449" s="1" t="n">
        <v>46223</v>
      </c>
      <c r="F449" t="inlineStr">
        <is>
          <t>JÄMTLANDS LÄN</t>
        </is>
      </c>
      <c r="G449" t="inlineStr">
        <is>
          <t>HÄRJEDALEN</t>
        </is>
      </c>
      <c r="H449" t="inlineStr">
        <is>
          <t>Bergvik skog väst AB</t>
        </is>
      </c>
      <c r="I449" t="n">
        <v>5.4</v>
      </c>
      <c r="J449" t="n">
        <v>0</v>
      </c>
      <c r="K449" t="n">
        <v>0</v>
      </c>
      <c r="L449" t="n">
        <v>0</v>
      </c>
      <c r="M449" t="n">
        <v>0</v>
      </c>
      <c r="N449" t="n">
        <v>0</v>
      </c>
      <c r="O449" t="n">
        <v>0</v>
      </c>
      <c r="P449" t="n">
        <v>0</v>
      </c>
      <c r="Q449" t="n">
        <v>0</v>
      </c>
      <c r="R449" t="n">
        <v>0</v>
      </c>
      <c r="S449" t="n">
        <v>0</v>
      </c>
      <c r="T449" t="n">
        <v>0</v>
      </c>
      <c r="U449" s="2" t="inlineStr"/>
    </row>
    <row r="450" ht="15" customHeight="1">
      <c r="A450" t="inlineStr">
        <is>
          <t>A 31913-2025</t>
        </is>
      </c>
      <c r="B450" t="inlineStr">
        <is>
          <t>avverkningsanmälan</t>
        </is>
      </c>
      <c r="C450" t="inlineStr">
        <is>
          <t>Föryngringsavverkning</t>
        </is>
      </c>
      <c r="D450" s="1" t="n">
        <v>45834</v>
      </c>
      <c r="E450" s="1" t="n">
        <v>46223</v>
      </c>
      <c r="F450" t="inlineStr">
        <is>
          <t>JÄMTLANDS LÄN</t>
        </is>
      </c>
      <c r="G450" t="inlineStr">
        <is>
          <t>HÄRJEDALEN</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42816-2025</t>
        </is>
      </c>
      <c r="B451" t="inlineStr">
        <is>
          <t>avverkningsanmälan</t>
        </is>
      </c>
      <c r="C451" t="inlineStr">
        <is>
          <t>Föryngringsavverkning</t>
        </is>
      </c>
      <c r="D451" s="1" t="n">
        <v>45908</v>
      </c>
      <c r="E451" s="1" t="n">
        <v>46223</v>
      </c>
      <c r="F451" t="inlineStr">
        <is>
          <t>JÄMTLANDS LÄN</t>
        </is>
      </c>
      <c r="G451" t="inlineStr">
        <is>
          <t>HÄRJEDALEN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5052-2026</t>
        </is>
      </c>
      <c r="B452" t="inlineStr">
        <is>
          <t>avverkningsanmälan</t>
        </is>
      </c>
      <c r="C452" t="inlineStr">
        <is>
          <t>Föryngringsavverkning</t>
        </is>
      </c>
      <c r="D452" s="1" t="n">
        <v>46049</v>
      </c>
      <c r="E452" s="1" t="n">
        <v>46223</v>
      </c>
      <c r="F452" t="inlineStr">
        <is>
          <t>JÄMTLANDS LÄN</t>
        </is>
      </c>
      <c r="G452" t="inlineStr">
        <is>
          <t>HÄRJEDALEN</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42815-2025</t>
        </is>
      </c>
      <c r="B453" t="inlineStr">
        <is>
          <t>avverkningsanmälan</t>
        </is>
      </c>
      <c r="C453" t="inlineStr">
        <is>
          <t>Föryngringsavverkning</t>
        </is>
      </c>
      <c r="D453" s="1" t="n">
        <v>45908</v>
      </c>
      <c r="E453" s="1" t="n">
        <v>46223</v>
      </c>
      <c r="F453" t="inlineStr">
        <is>
          <t>JÄMTLANDS LÄN</t>
        </is>
      </c>
      <c r="G453" t="inlineStr">
        <is>
          <t>HÄRJEDALEN</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42805-2025</t>
        </is>
      </c>
      <c r="B454" t="inlineStr">
        <is>
          <t>avverkningsanmälan</t>
        </is>
      </c>
      <c r="C454" t="inlineStr">
        <is>
          <t>Föryngringsavverkning</t>
        </is>
      </c>
      <c r="D454" s="1" t="n">
        <v>45908</v>
      </c>
      <c r="E454" s="1" t="n">
        <v>46223</v>
      </c>
      <c r="F454" t="inlineStr">
        <is>
          <t>JÄMTLANDS LÄN</t>
        </is>
      </c>
      <c r="G454" t="inlineStr">
        <is>
          <t>HÄRJEDALEN</t>
        </is>
      </c>
      <c r="I454" t="n">
        <v>9.9</v>
      </c>
      <c r="J454" t="n">
        <v>0</v>
      </c>
      <c r="K454" t="n">
        <v>0</v>
      </c>
      <c r="L454" t="n">
        <v>0</v>
      </c>
      <c r="M454" t="n">
        <v>0</v>
      </c>
      <c r="N454" t="n">
        <v>0</v>
      </c>
      <c r="O454" t="n">
        <v>0</v>
      </c>
      <c r="P454" t="n">
        <v>0</v>
      </c>
      <c r="Q454" t="n">
        <v>0</v>
      </c>
      <c r="R454" t="n">
        <v>0</v>
      </c>
      <c r="S454" t="n">
        <v>0</v>
      </c>
      <c r="T454" t="n">
        <v>0</v>
      </c>
      <c r="U454" s="2" t="inlineStr"/>
    </row>
    <row r="455" ht="15" customHeight="1">
      <c r="A455" t="inlineStr">
        <is>
          <t>A 42963-2025</t>
        </is>
      </c>
      <c r="B455" t="inlineStr">
        <is>
          <t>avverkningsanmälan</t>
        </is>
      </c>
      <c r="C455" t="inlineStr">
        <is>
          <t>Föryngringsavverkning</t>
        </is>
      </c>
      <c r="D455" s="1" t="n">
        <v>45909</v>
      </c>
      <c r="E455" s="1" t="n">
        <v>46223</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43323-2025</t>
        </is>
      </c>
      <c r="B456" t="inlineStr">
        <is>
          <t>avverkningsanmälan</t>
        </is>
      </c>
      <c r="C456" t="inlineStr">
        <is>
          <t>Föryngringsavverkning</t>
        </is>
      </c>
      <c r="D456" s="1" t="n">
        <v>45910</v>
      </c>
      <c r="E456" s="1" t="n">
        <v>46223</v>
      </c>
      <c r="F456" t="inlineStr">
        <is>
          <t>JÄMTLANDS LÄN</t>
        </is>
      </c>
      <c r="G456" t="inlineStr">
        <is>
          <t>HÄRJEDALEN</t>
        </is>
      </c>
      <c r="H456" t="inlineStr">
        <is>
          <t>Sveaskog</t>
        </is>
      </c>
      <c r="I456" t="n">
        <v>9.300000000000001</v>
      </c>
      <c r="J456" t="n">
        <v>0</v>
      </c>
      <c r="K456" t="n">
        <v>0</v>
      </c>
      <c r="L456" t="n">
        <v>0</v>
      </c>
      <c r="M456" t="n">
        <v>0</v>
      </c>
      <c r="N456" t="n">
        <v>0</v>
      </c>
      <c r="O456" t="n">
        <v>0</v>
      </c>
      <c r="P456" t="n">
        <v>0</v>
      </c>
      <c r="Q456" t="n">
        <v>0</v>
      </c>
      <c r="R456" t="n">
        <v>0</v>
      </c>
      <c r="S456" t="n">
        <v>0</v>
      </c>
      <c r="T456" t="n">
        <v>0</v>
      </c>
      <c r="U456" s="2" t="inlineStr"/>
    </row>
    <row r="457" ht="15" customHeight="1">
      <c r="A457" t="inlineStr">
        <is>
          <t>A 32180-2025</t>
        </is>
      </c>
      <c r="B457" t="inlineStr">
        <is>
          <t>avverkningsanmälan</t>
        </is>
      </c>
      <c r="C457" t="inlineStr">
        <is>
          <t>Avverkning för annat ändamål</t>
        </is>
      </c>
      <c r="D457" s="1" t="n">
        <v>45835</v>
      </c>
      <c r="E457" s="1" t="n">
        <v>46223</v>
      </c>
      <c r="F457" t="inlineStr">
        <is>
          <t>JÄMTLANDS LÄN</t>
        </is>
      </c>
      <c r="G457" t="inlineStr">
        <is>
          <t>HÄRJEDALEN</t>
        </is>
      </c>
      <c r="H457" t="inlineStr">
        <is>
          <t>Sveaskog</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42943-2025</t>
        </is>
      </c>
      <c r="B458" t="inlineStr">
        <is>
          <t>avverkningsanmälan</t>
        </is>
      </c>
      <c r="C458" t="inlineStr">
        <is>
          <t>Föryngringsavverkning</t>
        </is>
      </c>
      <c r="D458" s="1" t="n">
        <v>45909</v>
      </c>
      <c r="E458" s="1" t="n">
        <v>46223</v>
      </c>
      <c r="F458" t="inlineStr">
        <is>
          <t>JÄMTLANDS LÄN</t>
        </is>
      </c>
      <c r="G458" t="inlineStr">
        <is>
          <t>HÄRJEDALEN</t>
        </is>
      </c>
      <c r="H458" t="inlineStr">
        <is>
          <t>Bergvik skog väst AB</t>
        </is>
      </c>
      <c r="I458" t="n">
        <v>10.4</v>
      </c>
      <c r="J458" t="n">
        <v>0</v>
      </c>
      <c r="K458" t="n">
        <v>0</v>
      </c>
      <c r="L458" t="n">
        <v>0</v>
      </c>
      <c r="M458" t="n">
        <v>0</v>
      </c>
      <c r="N458" t="n">
        <v>0</v>
      </c>
      <c r="O458" t="n">
        <v>0</v>
      </c>
      <c r="P458" t="n">
        <v>0</v>
      </c>
      <c r="Q458" t="n">
        <v>0</v>
      </c>
      <c r="R458" t="n">
        <v>0</v>
      </c>
      <c r="S458" t="n">
        <v>0</v>
      </c>
      <c r="T458" t="n">
        <v>0</v>
      </c>
      <c r="U458" s="2" t="inlineStr"/>
    </row>
    <row r="459" ht="15" customHeight="1">
      <c r="A459" t="inlineStr">
        <is>
          <t>A 32178-2025</t>
        </is>
      </c>
      <c r="B459" t="inlineStr">
        <is>
          <t>avverkningsanmälan</t>
        </is>
      </c>
      <c r="C459" t="inlineStr">
        <is>
          <t>Avverkning för annat ändamål</t>
        </is>
      </c>
      <c r="D459" s="1" t="n">
        <v>45835</v>
      </c>
      <c r="E459" s="1" t="n">
        <v>46223</v>
      </c>
      <c r="F459" t="inlineStr">
        <is>
          <t>JÄMTLANDS LÄN</t>
        </is>
      </c>
      <c r="G459" t="inlineStr">
        <is>
          <t>HÄRJEDALEN</t>
        </is>
      </c>
      <c r="H459" t="inlineStr">
        <is>
          <t>Sveaskog</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32190-2025</t>
        </is>
      </c>
      <c r="B460" t="inlineStr">
        <is>
          <t>avverkningsanmälan</t>
        </is>
      </c>
      <c r="C460" t="inlineStr">
        <is>
          <t>Avverkning för att bevara och utveckla /försöksver</t>
        </is>
      </c>
      <c r="D460" s="1" t="n">
        <v>45835</v>
      </c>
      <c r="E460" s="1" t="n">
        <v>46223</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s="2" t="inlineStr"/>
    </row>
    <row r="461" ht="15" customHeight="1">
      <c r="A461" t="inlineStr">
        <is>
          <t>A 43136-2025</t>
        </is>
      </c>
      <c r="B461" t="inlineStr">
        <is>
          <t>avverkningsanmälan</t>
        </is>
      </c>
      <c r="C461" t="inlineStr">
        <is>
          <t>Föryngringsavverkning</t>
        </is>
      </c>
      <c r="D461" s="1" t="n">
        <v>45909</v>
      </c>
      <c r="E461" s="1" t="n">
        <v>46223</v>
      </c>
      <c r="F461" t="inlineStr">
        <is>
          <t>JÄMTLANDS LÄN</t>
        </is>
      </c>
      <c r="G461" t="inlineStr">
        <is>
          <t>HÄRJEDALEN</t>
        </is>
      </c>
      <c r="H461" t="inlineStr">
        <is>
          <t>Övriga statliga verk och myndigheter</t>
        </is>
      </c>
      <c r="I461" t="n">
        <v>34.2</v>
      </c>
      <c r="J461" t="n">
        <v>0</v>
      </c>
      <c r="K461" t="n">
        <v>0</v>
      </c>
      <c r="L461" t="n">
        <v>0</v>
      </c>
      <c r="M461" t="n">
        <v>0</v>
      </c>
      <c r="N461" t="n">
        <v>0</v>
      </c>
      <c r="O461" t="n">
        <v>0</v>
      </c>
      <c r="P461" t="n">
        <v>0</v>
      </c>
      <c r="Q461" t="n">
        <v>0</v>
      </c>
      <c r="R461" t="n">
        <v>0</v>
      </c>
      <c r="S461" t="n">
        <v>0</v>
      </c>
      <c r="T461" t="n">
        <v>0</v>
      </c>
      <c r="U461" s="2" t="inlineStr"/>
    </row>
    <row r="462" ht="15" customHeight="1">
      <c r="A462" t="inlineStr">
        <is>
          <t>A 43517-2025</t>
        </is>
      </c>
      <c r="B462" t="inlineStr">
        <is>
          <t>avverkningsanmälan</t>
        </is>
      </c>
      <c r="C462" t="inlineStr">
        <is>
          <t>Föryngringsavverkning</t>
        </is>
      </c>
      <c r="D462" s="1" t="n">
        <v>45911</v>
      </c>
      <c r="E462" s="1" t="n">
        <v>46223</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43740-2025</t>
        </is>
      </c>
      <c r="B463" t="inlineStr">
        <is>
          <t>avverkningsanmälan</t>
        </is>
      </c>
      <c r="C463" t="inlineStr">
        <is>
          <t>Föryngringsavverkning</t>
        </is>
      </c>
      <c r="D463" s="1" t="n">
        <v>45912</v>
      </c>
      <c r="E463" s="1" t="n">
        <v>46223</v>
      </c>
      <c r="F463" t="inlineStr">
        <is>
          <t>JÄMTLANDS LÄN</t>
        </is>
      </c>
      <c r="G463" t="inlineStr">
        <is>
          <t>HÄRJEDALEN</t>
        </is>
      </c>
      <c r="H463" t="inlineStr">
        <is>
          <t>Bergvik skog väst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32841-2025</t>
        </is>
      </c>
      <c r="B464" t="inlineStr">
        <is>
          <t>avverkningsanmälan</t>
        </is>
      </c>
      <c r="C464" t="inlineStr">
        <is>
          <t>Föryngringsavverkning</t>
        </is>
      </c>
      <c r="D464" s="1" t="n">
        <v>45839</v>
      </c>
      <c r="E464" s="1" t="n">
        <v>46223</v>
      </c>
      <c r="F464" t="inlineStr">
        <is>
          <t>JÄMTLANDS LÄN</t>
        </is>
      </c>
      <c r="G464" t="inlineStr">
        <is>
          <t>HÄRJEDALEN</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33235-2025</t>
        </is>
      </c>
      <c r="B465" t="inlineStr">
        <is>
          <t>avverkningsanmälan</t>
        </is>
      </c>
      <c r="C465" t="inlineStr">
        <is>
          <t>Föryngringsavverkning</t>
        </is>
      </c>
      <c r="D465" s="1" t="n">
        <v>45840</v>
      </c>
      <c r="E465" s="1" t="n">
        <v>46223</v>
      </c>
      <c r="F465" t="inlineStr">
        <is>
          <t>JÄMTLANDS LÄN</t>
        </is>
      </c>
      <c r="G465" t="inlineStr">
        <is>
          <t>HÄRJEDALEN</t>
        </is>
      </c>
      <c r="H465" t="inlineStr">
        <is>
          <t>Bergvik skog väst AB</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33690-2025</t>
        </is>
      </c>
      <c r="B466" t="inlineStr">
        <is>
          <t>avverkningsanmälan</t>
        </is>
      </c>
      <c r="C466" t="inlineStr">
        <is>
          <t>Föryngringsavverkning</t>
        </is>
      </c>
      <c r="D466" s="1" t="n">
        <v>45841</v>
      </c>
      <c r="E466" s="1" t="n">
        <v>46223</v>
      </c>
      <c r="F466" t="inlineStr">
        <is>
          <t>JÄMTLANDS LÄN</t>
        </is>
      </c>
      <c r="G466" t="inlineStr">
        <is>
          <t>HÄRJEDALEN</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33438-2025</t>
        </is>
      </c>
      <c r="B467" t="inlineStr">
        <is>
          <t>avverkningsanmälan</t>
        </is>
      </c>
      <c r="C467" t="inlineStr">
        <is>
          <t>Föryngringsavverkning</t>
        </is>
      </c>
      <c r="D467" s="1" t="n">
        <v>45841</v>
      </c>
      <c r="E467" s="1" t="n">
        <v>46223</v>
      </c>
      <c r="F467" t="inlineStr">
        <is>
          <t>JÄMTLANDS LÄN</t>
        </is>
      </c>
      <c r="G467" t="inlineStr">
        <is>
          <t>HÄRJEDALEN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33406-2025</t>
        </is>
      </c>
      <c r="B468" t="inlineStr">
        <is>
          <t>avverkningsanmälan</t>
        </is>
      </c>
      <c r="C468" t="inlineStr">
        <is>
          <t>Föryngringsavverkning</t>
        </is>
      </c>
      <c r="D468" s="1" t="n">
        <v>45841</v>
      </c>
      <c r="E468" s="1" t="n">
        <v>46223</v>
      </c>
      <c r="F468" t="inlineStr">
        <is>
          <t>JÄMTLANDS LÄN</t>
        </is>
      </c>
      <c r="G468" t="inlineStr">
        <is>
          <t>HÄRJEDALEN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33845-2025</t>
        </is>
      </c>
      <c r="B469" t="inlineStr">
        <is>
          <t>avverkningsanmälan</t>
        </is>
      </c>
      <c r="C469" t="inlineStr">
        <is>
          <t>Föryngringsavverkning</t>
        </is>
      </c>
      <c r="D469" s="1" t="n">
        <v>45842</v>
      </c>
      <c r="E469" s="1" t="n">
        <v>46223</v>
      </c>
      <c r="F469" t="inlineStr">
        <is>
          <t>JÄMTLANDS LÄN</t>
        </is>
      </c>
      <c r="G469" t="inlineStr">
        <is>
          <t>HÄRJEDALEN</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51311-2024</t>
        </is>
      </c>
      <c r="B470" t="inlineStr">
        <is>
          <t>avverkningsanmälan</t>
        </is>
      </c>
      <c r="C470" t="inlineStr">
        <is>
          <t>Föryngringsavverkning</t>
        </is>
      </c>
      <c r="D470" s="1" t="n">
        <v>45604</v>
      </c>
      <c r="E470" s="1" t="n">
        <v>46223</v>
      </c>
      <c r="F470" t="inlineStr">
        <is>
          <t>JÄMTLANDS LÄN</t>
        </is>
      </c>
      <c r="G470" t="inlineStr">
        <is>
          <t>HÄRJEDALEN</t>
        </is>
      </c>
      <c r="H470" t="inlineStr">
        <is>
          <t>Holmen skog AB</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5984-2026</t>
        </is>
      </c>
      <c r="B471" t="inlineStr">
        <is>
          <t>avverkningsanmälan</t>
        </is>
      </c>
      <c r="C471" t="inlineStr">
        <is>
          <t>Avverkning för annat ändamål</t>
        </is>
      </c>
      <c r="D471" s="1" t="n">
        <v>46052</v>
      </c>
      <c r="E471" s="1" t="n">
        <v>46223</v>
      </c>
      <c r="F471" t="inlineStr">
        <is>
          <t>JÄMTLANDS LÄN</t>
        </is>
      </c>
      <c r="G471" t="inlineStr">
        <is>
          <t>HÄRJEDALEN</t>
        </is>
      </c>
      <c r="H471" t="inlineStr">
        <is>
          <t>Bergvik skog väst AB</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6307-2026</t>
        </is>
      </c>
      <c r="B472" t="inlineStr">
        <is>
          <t>avverkningsanmälan</t>
        </is>
      </c>
      <c r="C472" t="inlineStr">
        <is>
          <t>Föryngringsavverkning</t>
        </is>
      </c>
      <c r="D472" s="1" t="n">
        <v>46055</v>
      </c>
      <c r="E472" s="1" t="n">
        <v>46223</v>
      </c>
      <c r="F472" t="inlineStr">
        <is>
          <t>JÄMTLANDS LÄN</t>
        </is>
      </c>
      <c r="G472" t="inlineStr">
        <is>
          <t>HÄRJEDALEN</t>
        </is>
      </c>
      <c r="I472" t="n">
        <v>17.3</v>
      </c>
      <c r="J472" t="n">
        <v>0</v>
      </c>
      <c r="K472" t="n">
        <v>0</v>
      </c>
      <c r="L472" t="n">
        <v>0</v>
      </c>
      <c r="M472" t="n">
        <v>0</v>
      </c>
      <c r="N472" t="n">
        <v>0</v>
      </c>
      <c r="O472" t="n">
        <v>0</v>
      </c>
      <c r="P472" t="n">
        <v>0</v>
      </c>
      <c r="Q472" t="n">
        <v>0</v>
      </c>
      <c r="R472" t="n">
        <v>0</v>
      </c>
      <c r="S472" t="n">
        <v>0</v>
      </c>
      <c r="T472" t="n">
        <v>0</v>
      </c>
      <c r="U472" s="2" t="inlineStr"/>
    </row>
    <row r="473" ht="15" customHeight="1">
      <c r="A473" t="inlineStr">
        <is>
          <t>A 34757-2025</t>
        </is>
      </c>
      <c r="B473" t="inlineStr">
        <is>
          <t>avverkningsanmälan</t>
        </is>
      </c>
      <c r="C473" t="inlineStr">
        <is>
          <t>Föryngringsavverkning</t>
        </is>
      </c>
      <c r="D473" s="1" t="n">
        <v>45848</v>
      </c>
      <c r="E473" s="1" t="n">
        <v>46223</v>
      </c>
      <c r="F473" t="inlineStr">
        <is>
          <t>JÄMTLANDS LÄN</t>
        </is>
      </c>
      <c r="G473" t="inlineStr">
        <is>
          <t>HÄRJEDALEN</t>
        </is>
      </c>
      <c r="I473" t="n">
        <v>19.6</v>
      </c>
      <c r="J473" t="n">
        <v>0</v>
      </c>
      <c r="K473" t="n">
        <v>0</v>
      </c>
      <c r="L473" t="n">
        <v>0</v>
      </c>
      <c r="M473" t="n">
        <v>0</v>
      </c>
      <c r="N473" t="n">
        <v>0</v>
      </c>
      <c r="O473" t="n">
        <v>0</v>
      </c>
      <c r="P473" t="n">
        <v>0</v>
      </c>
      <c r="Q473" t="n">
        <v>0</v>
      </c>
      <c r="R473" t="n">
        <v>0</v>
      </c>
      <c r="S473" t="n">
        <v>0</v>
      </c>
      <c r="T473" t="n">
        <v>0</v>
      </c>
      <c r="U473" s="2" t="inlineStr"/>
    </row>
    <row r="474" ht="15" customHeight="1">
      <c r="A474" t="inlineStr">
        <is>
          <t>A 34761-2025</t>
        </is>
      </c>
      <c r="B474" t="inlineStr">
        <is>
          <t>avverkningsanmälan</t>
        </is>
      </c>
      <c r="C474" t="inlineStr">
        <is>
          <t>Föryngringsavverkning</t>
        </is>
      </c>
      <c r="D474" s="1" t="n">
        <v>45848</v>
      </c>
      <c r="E474" s="1" t="n">
        <v>46223</v>
      </c>
      <c r="F474" t="inlineStr">
        <is>
          <t>JÄMTLANDS LÄN</t>
        </is>
      </c>
      <c r="G474" t="inlineStr">
        <is>
          <t>HÄRJEDALEN</t>
        </is>
      </c>
      <c r="I474" t="n">
        <v>5.6</v>
      </c>
      <c r="J474" t="n">
        <v>0</v>
      </c>
      <c r="K474" t="n">
        <v>0</v>
      </c>
      <c r="L474" t="n">
        <v>0</v>
      </c>
      <c r="M474" t="n">
        <v>0</v>
      </c>
      <c r="N474" t="n">
        <v>0</v>
      </c>
      <c r="O474" t="n">
        <v>0</v>
      </c>
      <c r="P474" t="n">
        <v>0</v>
      </c>
      <c r="Q474" t="n">
        <v>0</v>
      </c>
      <c r="R474" t="n">
        <v>0</v>
      </c>
      <c r="S474" t="n">
        <v>0</v>
      </c>
      <c r="T474" t="n">
        <v>0</v>
      </c>
      <c r="U474" s="2" t="inlineStr"/>
    </row>
    <row r="475" ht="15" customHeight="1">
      <c r="A475" t="inlineStr">
        <is>
          <t>A 34775-2025</t>
        </is>
      </c>
      <c r="B475" t="inlineStr">
        <is>
          <t>avverkningsanmälan</t>
        </is>
      </c>
      <c r="C475" t="inlineStr">
        <is>
          <t>Föryngringsavverkning</t>
        </is>
      </c>
      <c r="D475" s="1" t="n">
        <v>45848</v>
      </c>
      <c r="E475" s="1" t="n">
        <v>46223</v>
      </c>
      <c r="F475" t="inlineStr">
        <is>
          <t>JÄMTLANDS LÄN</t>
        </is>
      </c>
      <c r="G475" t="inlineStr">
        <is>
          <t>HÄRJEDALEN</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32910-2022</t>
        </is>
      </c>
      <c r="B476" t="inlineStr">
        <is>
          <t>avverkningsanmälan</t>
        </is>
      </c>
      <c r="C476" t="inlineStr">
        <is>
          <t>Föryngringsavverkning</t>
        </is>
      </c>
      <c r="D476" s="1" t="n">
        <v>44784</v>
      </c>
      <c r="E476" s="1" t="n">
        <v>46223</v>
      </c>
      <c r="F476" t="inlineStr">
        <is>
          <t>JÄMTLANDS LÄN</t>
        </is>
      </c>
      <c r="G476" t="inlineStr">
        <is>
          <t>HÄRJEDALEN</t>
        </is>
      </c>
      <c r="H476" t="inlineStr">
        <is>
          <t>Bergvik skog väst AB</t>
        </is>
      </c>
      <c r="I476" t="n">
        <v>14.4</v>
      </c>
      <c r="J476" t="n">
        <v>0</v>
      </c>
      <c r="K476" t="n">
        <v>0</v>
      </c>
      <c r="L476" t="n">
        <v>0</v>
      </c>
      <c r="M476" t="n">
        <v>0</v>
      </c>
      <c r="N476" t="n">
        <v>0</v>
      </c>
      <c r="O476" t="n">
        <v>0</v>
      </c>
      <c r="P476" t="n">
        <v>0</v>
      </c>
      <c r="Q476" t="n">
        <v>0</v>
      </c>
      <c r="R476" t="n">
        <v>0</v>
      </c>
      <c r="S476" t="n">
        <v>0</v>
      </c>
      <c r="T476" t="n">
        <v>0</v>
      </c>
      <c r="U476" s="2" t="inlineStr"/>
    </row>
    <row r="477" ht="15" customHeight="1">
      <c r="A477" t="inlineStr">
        <is>
          <t>A 34767-2025</t>
        </is>
      </c>
      <c r="B477" t="inlineStr">
        <is>
          <t>avverkningsanmälan</t>
        </is>
      </c>
      <c r="C477" t="inlineStr">
        <is>
          <t>Föryngringsavverkning</t>
        </is>
      </c>
      <c r="D477" s="1" t="n">
        <v>45848</v>
      </c>
      <c r="E477" s="1" t="n">
        <v>46223</v>
      </c>
      <c r="F477" t="inlineStr">
        <is>
          <t>JÄMTLANDS LÄN</t>
        </is>
      </c>
      <c r="G477" t="inlineStr">
        <is>
          <t>HÄRJEDALEN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46681-2025</t>
        </is>
      </c>
      <c r="B478" t="inlineStr">
        <is>
          <t>avverkningsanmälan</t>
        </is>
      </c>
      <c r="C478" t="inlineStr">
        <is>
          <t>Föryngringsavverkning</t>
        </is>
      </c>
      <c r="D478" s="1" t="n">
        <v>45926</v>
      </c>
      <c r="E478" s="1" t="n">
        <v>46223</v>
      </c>
      <c r="F478" t="inlineStr">
        <is>
          <t>JÄMTLANDS LÄN</t>
        </is>
      </c>
      <c r="G478" t="inlineStr">
        <is>
          <t>HÄRJEDALEN</t>
        </is>
      </c>
      <c r="I478" t="n">
        <v>6.4</v>
      </c>
      <c r="J478" t="n">
        <v>0</v>
      </c>
      <c r="K478" t="n">
        <v>0</v>
      </c>
      <c r="L478" t="n">
        <v>0</v>
      </c>
      <c r="M478" t="n">
        <v>0</v>
      </c>
      <c r="N478" t="n">
        <v>0</v>
      </c>
      <c r="O478" t="n">
        <v>0</v>
      </c>
      <c r="P478" t="n">
        <v>0</v>
      </c>
      <c r="Q478" t="n">
        <v>0</v>
      </c>
      <c r="R478" t="n">
        <v>0</v>
      </c>
      <c r="S478" t="n">
        <v>0</v>
      </c>
      <c r="T478" t="n">
        <v>0</v>
      </c>
      <c r="U478" s="2" t="inlineStr"/>
    </row>
    <row r="479" ht="15" customHeight="1">
      <c r="A479" t="inlineStr">
        <is>
          <t>A 35154-2025</t>
        </is>
      </c>
      <c r="B479" t="inlineStr">
        <is>
          <t>avverkningsanmälan</t>
        </is>
      </c>
      <c r="C479" t="inlineStr">
        <is>
          <t>Föryngringsavverkning</t>
        </is>
      </c>
      <c r="D479" s="1" t="n">
        <v>45852</v>
      </c>
      <c r="E479" s="1" t="n">
        <v>46223</v>
      </c>
      <c r="F479" t="inlineStr">
        <is>
          <t>JÄMTLANDS LÄN</t>
        </is>
      </c>
      <c r="G479" t="inlineStr">
        <is>
          <t>HÄRJEDALEN</t>
        </is>
      </c>
      <c r="I479" t="n">
        <v>14.1</v>
      </c>
      <c r="J479" t="n">
        <v>0</v>
      </c>
      <c r="K479" t="n">
        <v>0</v>
      </c>
      <c r="L479" t="n">
        <v>0</v>
      </c>
      <c r="M479" t="n">
        <v>0</v>
      </c>
      <c r="N479" t="n">
        <v>0</v>
      </c>
      <c r="O479" t="n">
        <v>0</v>
      </c>
      <c r="P479" t="n">
        <v>0</v>
      </c>
      <c r="Q479" t="n">
        <v>0</v>
      </c>
      <c r="R479" t="n">
        <v>0</v>
      </c>
      <c r="S479" t="n">
        <v>0</v>
      </c>
      <c r="T479" t="n">
        <v>0</v>
      </c>
      <c r="U479" s="2" t="inlineStr"/>
    </row>
    <row r="480" ht="15" customHeight="1">
      <c r="A480" t="inlineStr">
        <is>
          <t>A 46058-2024</t>
        </is>
      </c>
      <c r="B480" t="inlineStr">
        <is>
          <t>avverkningsanmälan</t>
        </is>
      </c>
      <c r="C480" t="inlineStr">
        <is>
          <t>Föryngringsavverkning</t>
        </is>
      </c>
      <c r="D480" s="1" t="n">
        <v>45580</v>
      </c>
      <c r="E480" s="1" t="n">
        <v>46223</v>
      </c>
      <c r="F480" t="inlineStr">
        <is>
          <t>JÄMTLANDS LÄN</t>
        </is>
      </c>
      <c r="G480" t="inlineStr">
        <is>
          <t>HÄRJEDALEN</t>
        </is>
      </c>
      <c r="I480" t="n">
        <v>7.5</v>
      </c>
      <c r="J480" t="n">
        <v>0</v>
      </c>
      <c r="K480" t="n">
        <v>0</v>
      </c>
      <c r="L480" t="n">
        <v>0</v>
      </c>
      <c r="M480" t="n">
        <v>0</v>
      </c>
      <c r="N480" t="n">
        <v>0</v>
      </c>
      <c r="O480" t="n">
        <v>0</v>
      </c>
      <c r="P480" t="n">
        <v>0</v>
      </c>
      <c r="Q480" t="n">
        <v>0</v>
      </c>
      <c r="R480" t="n">
        <v>0</v>
      </c>
      <c r="S480" t="n">
        <v>0</v>
      </c>
      <c r="T480" t="n">
        <v>0</v>
      </c>
      <c r="U480" s="2" t="inlineStr"/>
    </row>
    <row r="481" ht="15" customHeight="1">
      <c r="A481" t="inlineStr">
        <is>
          <t>A 46429-2025</t>
        </is>
      </c>
      <c r="B481" t="inlineStr">
        <is>
          <t>avverkningsanmälan</t>
        </is>
      </c>
      <c r="C481" t="inlineStr">
        <is>
          <t>Föryngringsavverkning</t>
        </is>
      </c>
      <c r="D481" s="1" t="n">
        <v>45925</v>
      </c>
      <c r="E481" s="1" t="n">
        <v>46223</v>
      </c>
      <c r="F481" t="inlineStr">
        <is>
          <t>JÄMTLANDS LÄN</t>
        </is>
      </c>
      <c r="G481" t="inlineStr">
        <is>
          <t>HÄRJEDALEN</t>
        </is>
      </c>
      <c r="H481" t="inlineStr">
        <is>
          <t>Bergvik skog öst AB</t>
        </is>
      </c>
      <c r="I481" t="n">
        <v>9.300000000000001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35241-2025</t>
        </is>
      </c>
      <c r="B482" t="inlineStr">
        <is>
          <t>avverkningsanmälan</t>
        </is>
      </c>
      <c r="C482" t="inlineStr">
        <is>
          <t>Föryngringsavverkning</t>
        </is>
      </c>
      <c r="D482" s="1" t="n">
        <v>45853</v>
      </c>
      <c r="E482" s="1" t="n">
        <v>46223</v>
      </c>
      <c r="F482" t="inlineStr">
        <is>
          <t>JÄMTLANDS LÄN</t>
        </is>
      </c>
      <c r="G482" t="inlineStr">
        <is>
          <t>HÄRJEDALEN</t>
        </is>
      </c>
      <c r="I482" t="n">
        <v>8.6</v>
      </c>
      <c r="J482" t="n">
        <v>0</v>
      </c>
      <c r="K482" t="n">
        <v>0</v>
      </c>
      <c r="L482" t="n">
        <v>0</v>
      </c>
      <c r="M482" t="n">
        <v>0</v>
      </c>
      <c r="N482" t="n">
        <v>0</v>
      </c>
      <c r="O482" t="n">
        <v>0</v>
      </c>
      <c r="P482" t="n">
        <v>0</v>
      </c>
      <c r="Q482" t="n">
        <v>0</v>
      </c>
      <c r="R482" t="n">
        <v>0</v>
      </c>
      <c r="S482" t="n">
        <v>0</v>
      </c>
      <c r="T482" t="n">
        <v>0</v>
      </c>
      <c r="U482" s="2" t="inlineStr"/>
    </row>
    <row r="483" ht="15" customHeight="1">
      <c r="A483" t="inlineStr">
        <is>
          <t>A 35243-2025</t>
        </is>
      </c>
      <c r="B483" t="inlineStr">
        <is>
          <t>avverkningsanmälan</t>
        </is>
      </c>
      <c r="C483" t="inlineStr">
        <is>
          <t>Föryngringsavverkning</t>
        </is>
      </c>
      <c r="D483" s="1" t="n">
        <v>45853</v>
      </c>
      <c r="E483" s="1" t="n">
        <v>46223</v>
      </c>
      <c r="F483" t="inlineStr">
        <is>
          <t>JÄMTLANDS LÄN</t>
        </is>
      </c>
      <c r="G483" t="inlineStr">
        <is>
          <t>HÄRJEDALEN</t>
        </is>
      </c>
      <c r="H483" t="inlineStr">
        <is>
          <t>Bergvik skog väst AB</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46716-2025</t>
        </is>
      </c>
      <c r="B484" t="inlineStr">
        <is>
          <t>avverkningsanmälan</t>
        </is>
      </c>
      <c r="C484" t="inlineStr">
        <is>
          <t>Föryngringsavverkning</t>
        </is>
      </c>
      <c r="D484" s="1" t="n">
        <v>45926</v>
      </c>
      <c r="E484" s="1" t="n">
        <v>46223</v>
      </c>
      <c r="F484" t="inlineStr">
        <is>
          <t>JÄMTLANDS LÄN</t>
        </is>
      </c>
      <c r="G484" t="inlineStr">
        <is>
          <t>HÄRJEDALEN</t>
        </is>
      </c>
      <c r="I484" t="n">
        <v>4.2</v>
      </c>
      <c r="J484" t="n">
        <v>0</v>
      </c>
      <c r="K484" t="n">
        <v>0</v>
      </c>
      <c r="L484" t="n">
        <v>0</v>
      </c>
      <c r="M484" t="n">
        <v>0</v>
      </c>
      <c r="N484" t="n">
        <v>0</v>
      </c>
      <c r="O484" t="n">
        <v>0</v>
      </c>
      <c r="P484" t="n">
        <v>0</v>
      </c>
      <c r="Q484" t="n">
        <v>0</v>
      </c>
      <c r="R484" t="n">
        <v>0</v>
      </c>
      <c r="S484" t="n">
        <v>0</v>
      </c>
      <c r="T484" t="n">
        <v>0</v>
      </c>
      <c r="U484" s="2" t="inlineStr"/>
    </row>
    <row r="485" ht="15" customHeight="1">
      <c r="A485" t="inlineStr">
        <is>
          <t>A 47314-2025</t>
        </is>
      </c>
      <c r="B485" t="inlineStr">
        <is>
          <t>avverkningsanmälan</t>
        </is>
      </c>
      <c r="C485" t="inlineStr">
        <is>
          <t>Föryngringsavverkning</t>
        </is>
      </c>
      <c r="D485" s="1" t="n">
        <v>45930</v>
      </c>
      <c r="E485" s="1" t="n">
        <v>46223</v>
      </c>
      <c r="F485" t="inlineStr">
        <is>
          <t>JÄMTLANDS LÄN</t>
        </is>
      </c>
      <c r="G485" t="inlineStr">
        <is>
          <t>HÄRJEDALEN</t>
        </is>
      </c>
      <c r="I485" t="n">
        <v>4.7</v>
      </c>
      <c r="J485" t="n">
        <v>0</v>
      </c>
      <c r="K485" t="n">
        <v>0</v>
      </c>
      <c r="L485" t="n">
        <v>0</v>
      </c>
      <c r="M485" t="n">
        <v>0</v>
      </c>
      <c r="N485" t="n">
        <v>0</v>
      </c>
      <c r="O485" t="n">
        <v>0</v>
      </c>
      <c r="P485" t="n">
        <v>0</v>
      </c>
      <c r="Q485" t="n">
        <v>0</v>
      </c>
      <c r="R485" t="n">
        <v>0</v>
      </c>
      <c r="S485" t="n">
        <v>0</v>
      </c>
      <c r="T485" t="n">
        <v>0</v>
      </c>
      <c r="U485" s="2" t="inlineStr"/>
    </row>
    <row r="486" ht="15" customHeight="1">
      <c r="A486" t="inlineStr">
        <is>
          <t>A 47021-2025</t>
        </is>
      </c>
      <c r="B486" t="inlineStr">
        <is>
          <t>avverkningsanmälan</t>
        </is>
      </c>
      <c r="C486" t="inlineStr">
        <is>
          <t>Föryngringsavverkning</t>
        </is>
      </c>
      <c r="D486" s="1" t="n">
        <v>45929</v>
      </c>
      <c r="E486" s="1" t="n">
        <v>46223</v>
      </c>
      <c r="F486" t="inlineStr">
        <is>
          <t>JÄMTLANDS LÄN</t>
        </is>
      </c>
      <c r="G486" t="inlineStr">
        <is>
          <t>HÄRJEDALEN</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55661-2024</t>
        </is>
      </c>
      <c r="B487" t="inlineStr">
        <is>
          <t>avverkningsanmälan</t>
        </is>
      </c>
      <c r="C487" t="inlineStr">
        <is>
          <t>Föryngringsavverkning</t>
        </is>
      </c>
      <c r="D487" s="1" t="n">
        <v>45622</v>
      </c>
      <c r="E487" s="1" t="n">
        <v>46223</v>
      </c>
      <c r="F487" t="inlineStr">
        <is>
          <t>JÄMTLANDS LÄN</t>
        </is>
      </c>
      <c r="G487" t="inlineStr">
        <is>
          <t>HÄRJEDALEN</t>
        </is>
      </c>
      <c r="H487" t="inlineStr">
        <is>
          <t>Bergvik skog väst AB</t>
        </is>
      </c>
      <c r="I487" t="n">
        <v>8.699999999999999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28627-2024</t>
        </is>
      </c>
      <c r="B488" t="inlineStr">
        <is>
          <t>avverkningsanmälan</t>
        </is>
      </c>
      <c r="C488" t="inlineStr">
        <is>
          <t>Avverkning för annat ändamål</t>
        </is>
      </c>
      <c r="D488" s="1" t="n">
        <v>45478</v>
      </c>
      <c r="E488" s="1" t="n">
        <v>46223</v>
      </c>
      <c r="F488" t="inlineStr">
        <is>
          <t>JÄMTLANDS LÄN</t>
        </is>
      </c>
      <c r="G488" t="inlineStr">
        <is>
          <t>HÄRJEDALEN</t>
        </is>
      </c>
      <c r="H488" t="inlineStr">
        <is>
          <t>Bergvik skog väst AB</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46946-2025</t>
        </is>
      </c>
      <c r="B489" t="inlineStr">
        <is>
          <t>avverkningsanmälan</t>
        </is>
      </c>
      <c r="C489" t="inlineStr">
        <is>
          <t>Föryngringsavverkning</t>
        </is>
      </c>
      <c r="D489" s="1" t="n">
        <v>45929</v>
      </c>
      <c r="E489" s="1" t="n">
        <v>46223</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s="2" t="inlineStr"/>
    </row>
    <row r="490" ht="15" customHeight="1">
      <c r="A490" t="inlineStr">
        <is>
          <t>A 29772-2023</t>
        </is>
      </c>
      <c r="B490" t="inlineStr">
        <is>
          <t>avverkningsanmälan</t>
        </is>
      </c>
      <c r="C490" t="inlineStr">
        <is>
          <t>Föryngringsavverkning</t>
        </is>
      </c>
      <c r="D490" s="1" t="n">
        <v>45107</v>
      </c>
      <c r="E490" s="1" t="n">
        <v>46223</v>
      </c>
      <c r="F490" t="inlineStr">
        <is>
          <t>JÄMTLANDS LÄN</t>
        </is>
      </c>
      <c r="G490" t="inlineStr">
        <is>
          <t>HÄRJEDALEN</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47701-2025</t>
        </is>
      </c>
      <c r="B491" t="inlineStr">
        <is>
          <t>avverkningsanmälan</t>
        </is>
      </c>
      <c r="C491" t="inlineStr">
        <is>
          <t>Föryngringsavverkning</t>
        </is>
      </c>
      <c r="D491" s="1" t="n">
        <v>45931</v>
      </c>
      <c r="E491" s="1" t="n">
        <v>46223</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s="2" t="inlineStr"/>
    </row>
    <row r="492" ht="15" customHeight="1">
      <c r="A492" t="inlineStr">
        <is>
          <t>A 6310-2026</t>
        </is>
      </c>
      <c r="B492" t="inlineStr">
        <is>
          <t>avverkningsanmälan</t>
        </is>
      </c>
      <c r="C492" t="inlineStr">
        <is>
          <t>Föryngringsavverkning</t>
        </is>
      </c>
      <c r="D492" s="1" t="n">
        <v>46055</v>
      </c>
      <c r="E492" s="1" t="n">
        <v>46223</v>
      </c>
      <c r="F492" t="inlineStr">
        <is>
          <t>JÄMTLANDS LÄN</t>
        </is>
      </c>
      <c r="G492" t="inlineStr">
        <is>
          <t>HÄRJEDALEN</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35634-2025</t>
        </is>
      </c>
      <c r="B493" t="inlineStr">
        <is>
          <t>avverkningsanmälan</t>
        </is>
      </c>
      <c r="C493" t="inlineStr">
        <is>
          <t>Föryngringsavverkning</t>
        </is>
      </c>
      <c r="D493" s="1" t="n">
        <v>45859</v>
      </c>
      <c r="E493" s="1" t="n">
        <v>46223</v>
      </c>
      <c r="F493" t="inlineStr">
        <is>
          <t>JÄMTLANDS LÄN</t>
        </is>
      </c>
      <c r="G493" t="inlineStr">
        <is>
          <t>HÄRJEDALEN</t>
        </is>
      </c>
      <c r="I493" t="n">
        <v>9.1</v>
      </c>
      <c r="J493" t="n">
        <v>0</v>
      </c>
      <c r="K493" t="n">
        <v>0</v>
      </c>
      <c r="L493" t="n">
        <v>0</v>
      </c>
      <c r="M493" t="n">
        <v>0</v>
      </c>
      <c r="N493" t="n">
        <v>0</v>
      </c>
      <c r="O493" t="n">
        <v>0</v>
      </c>
      <c r="P493" t="n">
        <v>0</v>
      </c>
      <c r="Q493" t="n">
        <v>0</v>
      </c>
      <c r="R493" t="n">
        <v>0</v>
      </c>
      <c r="S493" t="n">
        <v>0</v>
      </c>
      <c r="T493" t="n">
        <v>0</v>
      </c>
      <c r="U493" s="2" t="inlineStr"/>
    </row>
    <row r="494" ht="15" customHeight="1">
      <c r="A494" t="inlineStr">
        <is>
          <t>A 44632-2025</t>
        </is>
      </c>
      <c r="B494" t="inlineStr">
        <is>
          <t>avverkningsanmälan</t>
        </is>
      </c>
      <c r="C494" t="inlineStr">
        <is>
          <t>Avverkning för annat ändamål</t>
        </is>
      </c>
      <c r="D494" s="1" t="n">
        <v>45917</v>
      </c>
      <c r="E494" s="1" t="n">
        <v>46223</v>
      </c>
      <c r="F494" t="inlineStr">
        <is>
          <t>JÄMTLANDS LÄN</t>
        </is>
      </c>
      <c r="G494" t="inlineStr">
        <is>
          <t>HÄRJEDALEN</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47727-2025</t>
        </is>
      </c>
      <c r="B495" t="inlineStr">
        <is>
          <t>avverkningsanmälan</t>
        </is>
      </c>
      <c r="C495" t="inlineStr">
        <is>
          <t>Föryngringsavverkning</t>
        </is>
      </c>
      <c r="D495" s="1" t="n">
        <v>45931</v>
      </c>
      <c r="E495" s="1" t="n">
        <v>46223</v>
      </c>
      <c r="F495" t="inlineStr">
        <is>
          <t>JÄMTLANDS LÄN</t>
        </is>
      </c>
      <c r="G495" t="inlineStr">
        <is>
          <t>HÄRJEDALEN</t>
        </is>
      </c>
      <c r="H495" t="inlineStr">
        <is>
          <t>Bergvik skog väst AB</t>
        </is>
      </c>
      <c r="I495" t="n">
        <v>34</v>
      </c>
      <c r="J495" t="n">
        <v>0</v>
      </c>
      <c r="K495" t="n">
        <v>0</v>
      </c>
      <c r="L495" t="n">
        <v>0</v>
      </c>
      <c r="M495" t="n">
        <v>0</v>
      </c>
      <c r="N495" t="n">
        <v>0</v>
      </c>
      <c r="O495" t="n">
        <v>0</v>
      </c>
      <c r="P495" t="n">
        <v>0</v>
      </c>
      <c r="Q495" t="n">
        <v>0</v>
      </c>
      <c r="R495" t="n">
        <v>0</v>
      </c>
      <c r="S495" t="n">
        <v>0</v>
      </c>
      <c r="T495" t="n">
        <v>0</v>
      </c>
      <c r="U495" s="2" t="inlineStr"/>
    </row>
    <row r="496" ht="15" customHeight="1">
      <c r="A496" t="inlineStr">
        <is>
          <t>A 46693-2025</t>
        </is>
      </c>
      <c r="B496" t="inlineStr">
        <is>
          <t>avverkningsanmälan</t>
        </is>
      </c>
      <c r="C496" t="inlineStr">
        <is>
          <t>Föryngringsavverkning</t>
        </is>
      </c>
      <c r="D496" s="1" t="n">
        <v>45926</v>
      </c>
      <c r="E496" s="1" t="n">
        <v>46223</v>
      </c>
      <c r="F496" t="inlineStr">
        <is>
          <t>JÄMTLANDS LÄN</t>
        </is>
      </c>
      <c r="G496" t="inlineStr">
        <is>
          <t>HÄRJEDALEN</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47699-2025</t>
        </is>
      </c>
      <c r="B497" t="inlineStr">
        <is>
          <t>avverkningsanmälan</t>
        </is>
      </c>
      <c r="C497" t="inlineStr">
        <is>
          <t>Föryngringsavverkning</t>
        </is>
      </c>
      <c r="D497" s="1" t="n">
        <v>45931</v>
      </c>
      <c r="E497" s="1" t="n">
        <v>46223</v>
      </c>
      <c r="F497" t="inlineStr">
        <is>
          <t>JÄMTLANDS LÄN</t>
        </is>
      </c>
      <c r="G497" t="inlineStr">
        <is>
          <t>HÄRJEDALEN</t>
        </is>
      </c>
      <c r="I497" t="n">
        <v>11.5</v>
      </c>
      <c r="J497" t="n">
        <v>0</v>
      </c>
      <c r="K497" t="n">
        <v>0</v>
      </c>
      <c r="L497" t="n">
        <v>0</v>
      </c>
      <c r="M497" t="n">
        <v>0</v>
      </c>
      <c r="N497" t="n">
        <v>0</v>
      </c>
      <c r="O497" t="n">
        <v>0</v>
      </c>
      <c r="P497" t="n">
        <v>0</v>
      </c>
      <c r="Q497" t="n">
        <v>0</v>
      </c>
      <c r="R497" t="n">
        <v>0</v>
      </c>
      <c r="S497" t="n">
        <v>0</v>
      </c>
      <c r="T497" t="n">
        <v>0</v>
      </c>
      <c r="U497" s="2" t="inlineStr"/>
    </row>
    <row r="498" ht="15" customHeight="1">
      <c r="A498" t="inlineStr">
        <is>
          <t>A 54682-2024</t>
        </is>
      </c>
      <c r="B498" t="inlineStr">
        <is>
          <t>avverkningsanmälan</t>
        </is>
      </c>
      <c r="C498" t="inlineStr">
        <is>
          <t>Föryngringsavverkning</t>
        </is>
      </c>
      <c r="D498" s="1" t="n">
        <v>45618</v>
      </c>
      <c r="E498" s="1" t="n">
        <v>46223</v>
      </c>
      <c r="F498" t="inlineStr">
        <is>
          <t>JÄMTLANDS LÄN</t>
        </is>
      </c>
      <c r="G498" t="inlineStr">
        <is>
          <t>HÄRJEDALEN</t>
        </is>
      </c>
      <c r="I498" t="n">
        <v>14.2</v>
      </c>
      <c r="J498" t="n">
        <v>0</v>
      </c>
      <c r="K498" t="n">
        <v>0</v>
      </c>
      <c r="L498" t="n">
        <v>0</v>
      </c>
      <c r="M498" t="n">
        <v>0</v>
      </c>
      <c r="N498" t="n">
        <v>0</v>
      </c>
      <c r="O498" t="n">
        <v>0</v>
      </c>
      <c r="P498" t="n">
        <v>0</v>
      </c>
      <c r="Q498" t="n">
        <v>0</v>
      </c>
      <c r="R498" t="n">
        <v>0</v>
      </c>
      <c r="S498" t="n">
        <v>0</v>
      </c>
      <c r="T498" t="n">
        <v>0</v>
      </c>
      <c r="U498" s="2" t="inlineStr"/>
    </row>
    <row r="499" ht="15" customHeight="1">
      <c r="A499" t="inlineStr">
        <is>
          <t>A 43623-2024</t>
        </is>
      </c>
      <c r="B499" t="inlineStr">
        <is>
          <t>avverkningsanmälan</t>
        </is>
      </c>
      <c r="C499" t="inlineStr">
        <is>
          <t>Föryngringsavverkning</t>
        </is>
      </c>
      <c r="D499" s="1" t="n">
        <v>45569</v>
      </c>
      <c r="E499" s="1" t="n">
        <v>46223</v>
      </c>
      <c r="F499" t="inlineStr">
        <is>
          <t>JÄMTLANDS LÄN</t>
        </is>
      </c>
      <c r="G499" t="inlineStr">
        <is>
          <t>HÄRJEDALEN</t>
        </is>
      </c>
      <c r="I499" t="n">
        <v>3.4</v>
      </c>
      <c r="J499" t="n">
        <v>0</v>
      </c>
      <c r="K499" t="n">
        <v>0</v>
      </c>
      <c r="L499" t="n">
        <v>0</v>
      </c>
      <c r="M499" t="n">
        <v>0</v>
      </c>
      <c r="N499" t="n">
        <v>0</v>
      </c>
      <c r="O499" t="n">
        <v>0</v>
      </c>
      <c r="P499" t="n">
        <v>0</v>
      </c>
      <c r="Q499" t="n">
        <v>0</v>
      </c>
      <c r="R499" t="n">
        <v>0</v>
      </c>
      <c r="S499" t="n">
        <v>0</v>
      </c>
      <c r="T499" t="n">
        <v>0</v>
      </c>
      <c r="U499" s="2" t="inlineStr"/>
    </row>
    <row r="500" ht="15" customHeight="1">
      <c r="A500" t="inlineStr">
        <is>
          <t>A 36133-2025</t>
        </is>
      </c>
      <c r="B500" t="inlineStr">
        <is>
          <t>avverkningsanmälan</t>
        </is>
      </c>
      <c r="C500" t="inlineStr">
        <is>
          <t>Avverkning för annat ändamål</t>
        </is>
      </c>
      <c r="D500" s="1" t="n">
        <v>45866</v>
      </c>
      <c r="E500" s="1" t="n">
        <v>46223</v>
      </c>
      <c r="F500" t="inlineStr">
        <is>
          <t>JÄMTLANDS LÄN</t>
        </is>
      </c>
      <c r="G500" t="inlineStr">
        <is>
          <t>HÄRJEDALEN</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36399-2025</t>
        </is>
      </c>
      <c r="B501" t="inlineStr">
        <is>
          <t>avverkningsanmälan</t>
        </is>
      </c>
      <c r="C501" t="inlineStr">
        <is>
          <t>Föryngringsavverkning</t>
        </is>
      </c>
      <c r="D501" s="1" t="n">
        <v>45868</v>
      </c>
      <c r="E501" s="1" t="n">
        <v>46223</v>
      </c>
      <c r="F501" t="inlineStr">
        <is>
          <t>JÄMTLANDS LÄN</t>
        </is>
      </c>
      <c r="G501" t="inlineStr">
        <is>
          <t>HÄRJEDALEN</t>
        </is>
      </c>
      <c r="I501" t="n">
        <v>4.8</v>
      </c>
      <c r="J501" t="n">
        <v>0</v>
      </c>
      <c r="K501" t="n">
        <v>0</v>
      </c>
      <c r="L501" t="n">
        <v>0</v>
      </c>
      <c r="M501" t="n">
        <v>0</v>
      </c>
      <c r="N501" t="n">
        <v>0</v>
      </c>
      <c r="O501" t="n">
        <v>0</v>
      </c>
      <c r="P501" t="n">
        <v>0</v>
      </c>
      <c r="Q501" t="n">
        <v>0</v>
      </c>
      <c r="R501" t="n">
        <v>0</v>
      </c>
      <c r="S501" t="n">
        <v>0</v>
      </c>
      <c r="T501" t="n">
        <v>0</v>
      </c>
      <c r="U501" s="2" t="inlineStr"/>
    </row>
    <row r="502" ht="15" customHeight="1">
      <c r="A502" t="inlineStr">
        <is>
          <t>A 36241-2025</t>
        </is>
      </c>
      <c r="B502" t="inlineStr">
        <is>
          <t>avverkningsanmälan</t>
        </is>
      </c>
      <c r="C502" t="inlineStr">
        <is>
          <t>Avverkning för annat ändamål</t>
        </is>
      </c>
      <c r="D502" s="1" t="n">
        <v>45867</v>
      </c>
      <c r="E502" s="1" t="n">
        <v>46223</v>
      </c>
      <c r="F502" t="inlineStr">
        <is>
          <t>JÄMTLANDS LÄN</t>
        </is>
      </c>
      <c r="G502" t="inlineStr">
        <is>
          <t>HÄRJEDALEN</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48243-2025</t>
        </is>
      </c>
      <c r="B503" t="inlineStr">
        <is>
          <t>avverkningsanmälan</t>
        </is>
      </c>
      <c r="C503" t="inlineStr">
        <is>
          <t>Föryngringsavverkning</t>
        </is>
      </c>
      <c r="D503" s="1" t="n">
        <v>45933</v>
      </c>
      <c r="E503" s="1" t="n">
        <v>46223</v>
      </c>
      <c r="F503" t="inlineStr">
        <is>
          <t>JÄMTLANDS LÄN</t>
        </is>
      </c>
      <c r="G503" t="inlineStr">
        <is>
          <t>HÄRJEDALEN</t>
        </is>
      </c>
      <c r="I503" t="n">
        <v>10.6</v>
      </c>
      <c r="J503" t="n">
        <v>0</v>
      </c>
      <c r="K503" t="n">
        <v>0</v>
      </c>
      <c r="L503" t="n">
        <v>0</v>
      </c>
      <c r="M503" t="n">
        <v>0</v>
      </c>
      <c r="N503" t="n">
        <v>0</v>
      </c>
      <c r="O503" t="n">
        <v>0</v>
      </c>
      <c r="P503" t="n">
        <v>0</v>
      </c>
      <c r="Q503" t="n">
        <v>0</v>
      </c>
      <c r="R503" t="n">
        <v>0</v>
      </c>
      <c r="S503" t="n">
        <v>0</v>
      </c>
      <c r="T503" t="n">
        <v>0</v>
      </c>
      <c r="U503" s="2" t="inlineStr"/>
    </row>
    <row r="504" ht="15" customHeight="1">
      <c r="A504" t="inlineStr">
        <is>
          <t>A 7302-2026</t>
        </is>
      </c>
      <c r="B504" t="inlineStr">
        <is>
          <t>avverkningsanmälan</t>
        </is>
      </c>
      <c r="C504" t="inlineStr">
        <is>
          <t>Föryngringsavverkning</t>
        </is>
      </c>
      <c r="D504" s="1" t="n">
        <v>46058</v>
      </c>
      <c r="E504" s="1" t="n">
        <v>46223</v>
      </c>
      <c r="F504" t="inlineStr">
        <is>
          <t>JÄMTLANDS LÄN</t>
        </is>
      </c>
      <c r="G504" t="inlineStr">
        <is>
          <t>HÄRJEDALEN</t>
        </is>
      </c>
      <c r="H504" t="inlineStr">
        <is>
          <t>Bergvik skog väst AB</t>
        </is>
      </c>
      <c r="I504" t="n">
        <v>34.3</v>
      </c>
      <c r="J504" t="n">
        <v>0</v>
      </c>
      <c r="K504" t="n">
        <v>0</v>
      </c>
      <c r="L504" t="n">
        <v>0</v>
      </c>
      <c r="M504" t="n">
        <v>0</v>
      </c>
      <c r="N504" t="n">
        <v>0</v>
      </c>
      <c r="O504" t="n">
        <v>0</v>
      </c>
      <c r="P504" t="n">
        <v>0</v>
      </c>
      <c r="Q504" t="n">
        <v>0</v>
      </c>
      <c r="R504" t="n">
        <v>0</v>
      </c>
      <c r="S504" t="n">
        <v>0</v>
      </c>
      <c r="T504" t="n">
        <v>0</v>
      </c>
      <c r="U504" s="2" t="inlineStr"/>
    </row>
    <row r="505" ht="15" customHeight="1">
      <c r="A505" t="inlineStr">
        <is>
          <t>A 58106-2024</t>
        </is>
      </c>
      <c r="B505" t="inlineStr">
        <is>
          <t>avverkningsanmälan</t>
        </is>
      </c>
      <c r="C505" t="inlineStr">
        <is>
          <t>Föryngringsavverkning</t>
        </is>
      </c>
      <c r="D505" s="1" t="n">
        <v>45632</v>
      </c>
      <c r="E505" s="1" t="n">
        <v>46223</v>
      </c>
      <c r="F505" t="inlineStr">
        <is>
          <t>JÄMTLANDS LÄN</t>
        </is>
      </c>
      <c r="G505" t="inlineStr">
        <is>
          <t>HÄRJEDALEN</t>
        </is>
      </c>
      <c r="I505" t="n">
        <v>0.2</v>
      </c>
      <c r="J505" t="n">
        <v>0</v>
      </c>
      <c r="K505" t="n">
        <v>0</v>
      </c>
      <c r="L505" t="n">
        <v>0</v>
      </c>
      <c r="M505" t="n">
        <v>0</v>
      </c>
      <c r="N505" t="n">
        <v>0</v>
      </c>
      <c r="O505" t="n">
        <v>0</v>
      </c>
      <c r="P505" t="n">
        <v>0</v>
      </c>
      <c r="Q505" t="n">
        <v>0</v>
      </c>
      <c r="R505" t="n">
        <v>0</v>
      </c>
      <c r="S505" t="n">
        <v>0</v>
      </c>
      <c r="T505" t="n">
        <v>0</v>
      </c>
      <c r="U505" s="2" t="inlineStr"/>
    </row>
    <row r="506" ht="15" customHeight="1">
      <c r="A506" t="inlineStr">
        <is>
          <t>A 49163-2025</t>
        </is>
      </c>
      <c r="B506" t="inlineStr">
        <is>
          <t>avverkningsanmälan</t>
        </is>
      </c>
      <c r="C506" t="inlineStr">
        <is>
          <t>Föryngringsavverkning</t>
        </is>
      </c>
      <c r="D506" s="1" t="n">
        <v>45938</v>
      </c>
      <c r="E506" s="1" t="n">
        <v>46223</v>
      </c>
      <c r="F506" t="inlineStr">
        <is>
          <t>JÄMTLANDS LÄN</t>
        </is>
      </c>
      <c r="G506" t="inlineStr">
        <is>
          <t>HÄRJEDALEN</t>
        </is>
      </c>
      <c r="I506" t="n">
        <v>5.2</v>
      </c>
      <c r="J506" t="n">
        <v>0</v>
      </c>
      <c r="K506" t="n">
        <v>0</v>
      </c>
      <c r="L506" t="n">
        <v>0</v>
      </c>
      <c r="M506" t="n">
        <v>0</v>
      </c>
      <c r="N506" t="n">
        <v>0</v>
      </c>
      <c r="O506" t="n">
        <v>0</v>
      </c>
      <c r="P506" t="n">
        <v>0</v>
      </c>
      <c r="Q506" t="n">
        <v>0</v>
      </c>
      <c r="R506" t="n">
        <v>0</v>
      </c>
      <c r="S506" t="n">
        <v>0</v>
      </c>
      <c r="T506" t="n">
        <v>0</v>
      </c>
      <c r="U506" s="2" t="inlineStr"/>
    </row>
    <row r="507" ht="15" customHeight="1">
      <c r="A507" t="inlineStr">
        <is>
          <t>A 48771-2025</t>
        </is>
      </c>
      <c r="B507" t="inlineStr">
        <is>
          <t>avverkningsanmälan</t>
        </is>
      </c>
      <c r="C507" t="inlineStr">
        <is>
          <t>Föryngringsavverkning</t>
        </is>
      </c>
      <c r="D507" s="1" t="n">
        <v>45936</v>
      </c>
      <c r="E507" s="1" t="n">
        <v>46223</v>
      </c>
      <c r="F507" t="inlineStr">
        <is>
          <t>JÄMTLANDS LÄN</t>
        </is>
      </c>
      <c r="G507" t="inlineStr">
        <is>
          <t>HÄRJEDALEN</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43309-2024</t>
        </is>
      </c>
      <c r="B508" t="inlineStr">
        <is>
          <t>avverkningsanmälan</t>
        </is>
      </c>
      <c r="C508" t="inlineStr">
        <is>
          <t>Föryngringsavverkning</t>
        </is>
      </c>
      <c r="D508" s="1" t="n">
        <v>45568</v>
      </c>
      <c r="E508" s="1" t="n">
        <v>46223</v>
      </c>
      <c r="F508" t="inlineStr">
        <is>
          <t>JÄMTLANDS LÄN</t>
        </is>
      </c>
      <c r="G508" t="inlineStr">
        <is>
          <t>HÄRJEDALEN</t>
        </is>
      </c>
      <c r="H508" t="inlineStr">
        <is>
          <t>Bergvik skog väst AB</t>
        </is>
      </c>
      <c r="I508" t="n">
        <v>79.8</v>
      </c>
      <c r="J508" t="n">
        <v>0</v>
      </c>
      <c r="K508" t="n">
        <v>0</v>
      </c>
      <c r="L508" t="n">
        <v>0</v>
      </c>
      <c r="M508" t="n">
        <v>0</v>
      </c>
      <c r="N508" t="n">
        <v>0</v>
      </c>
      <c r="O508" t="n">
        <v>0</v>
      </c>
      <c r="P508" t="n">
        <v>0</v>
      </c>
      <c r="Q508" t="n">
        <v>0</v>
      </c>
      <c r="R508" t="n">
        <v>0</v>
      </c>
      <c r="S508" t="n">
        <v>0</v>
      </c>
      <c r="T508" t="n">
        <v>0</v>
      </c>
      <c r="U508" s="2" t="inlineStr"/>
    </row>
    <row r="509" ht="15" customHeight="1">
      <c r="A509" t="inlineStr">
        <is>
          <t>A 36976-2025</t>
        </is>
      </c>
      <c r="B509" t="inlineStr">
        <is>
          <t>avverkningsanmälan</t>
        </is>
      </c>
      <c r="C509" t="inlineStr">
        <is>
          <t>Föryngringsavverkning</t>
        </is>
      </c>
      <c r="D509" s="1" t="n">
        <v>45874</v>
      </c>
      <c r="E509" s="1" t="n">
        <v>46223</v>
      </c>
      <c r="F509" t="inlineStr">
        <is>
          <t>JÄMTLANDS LÄN</t>
        </is>
      </c>
      <c r="G509" t="inlineStr">
        <is>
          <t>HÄRJEDALEN</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49168-2025</t>
        </is>
      </c>
      <c r="B510" t="inlineStr">
        <is>
          <t>avverkningsanmälan</t>
        </is>
      </c>
      <c r="C510" t="inlineStr">
        <is>
          <t>Föryngringsavverkning</t>
        </is>
      </c>
      <c r="D510" s="1" t="n">
        <v>45938</v>
      </c>
      <c r="E510" s="1" t="n">
        <v>46223</v>
      </c>
      <c r="F510" t="inlineStr">
        <is>
          <t>JÄMTLANDS LÄN</t>
        </is>
      </c>
      <c r="G510" t="inlineStr">
        <is>
          <t>HÄRJEDALEN</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43316-2024</t>
        </is>
      </c>
      <c r="B511" t="inlineStr">
        <is>
          <t>avverkningsanmälan</t>
        </is>
      </c>
      <c r="C511" t="inlineStr">
        <is>
          <t>Föryngringsavverkning</t>
        </is>
      </c>
      <c r="D511" s="1" t="n">
        <v>45568</v>
      </c>
      <c r="E511" s="1" t="n">
        <v>46223</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s="2" t="inlineStr"/>
    </row>
    <row r="512" ht="15" customHeight="1">
      <c r="A512" t="inlineStr">
        <is>
          <t>A 49325-2025</t>
        </is>
      </c>
      <c r="B512" t="inlineStr">
        <is>
          <t>avverkningsanmälan</t>
        </is>
      </c>
      <c r="C512" t="inlineStr">
        <is>
          <t>Föryngringsavverkning</t>
        </is>
      </c>
      <c r="D512" s="1" t="n">
        <v>45938</v>
      </c>
      <c r="E512" s="1" t="n">
        <v>46223</v>
      </c>
      <c r="F512" t="inlineStr">
        <is>
          <t>JÄMTLANDS LÄN</t>
        </is>
      </c>
      <c r="G512" t="inlineStr">
        <is>
          <t>HÄRJEDALEN</t>
        </is>
      </c>
      <c r="H512" t="inlineStr">
        <is>
          <t>Bergvik skog väst AB</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49389-2025</t>
        </is>
      </c>
      <c r="B513" t="inlineStr">
        <is>
          <t>avverkningsanmälan</t>
        </is>
      </c>
      <c r="C513" t="inlineStr">
        <is>
          <t>Föryngringsavverkning</t>
        </is>
      </c>
      <c r="D513" s="1" t="n">
        <v>45938</v>
      </c>
      <c r="E513" s="1" t="n">
        <v>46223</v>
      </c>
      <c r="F513" t="inlineStr">
        <is>
          <t>JÄMTLANDS LÄN</t>
        </is>
      </c>
      <c r="G513" t="inlineStr">
        <is>
          <t>HÄRJEDALEN</t>
        </is>
      </c>
      <c r="I513" t="n">
        <v>14.9</v>
      </c>
      <c r="J513" t="n">
        <v>0</v>
      </c>
      <c r="K513" t="n">
        <v>0</v>
      </c>
      <c r="L513" t="n">
        <v>0</v>
      </c>
      <c r="M513" t="n">
        <v>0</v>
      </c>
      <c r="N513" t="n">
        <v>0</v>
      </c>
      <c r="O513" t="n">
        <v>0</v>
      </c>
      <c r="P513" t="n">
        <v>0</v>
      </c>
      <c r="Q513" t="n">
        <v>0</v>
      </c>
      <c r="R513" t="n">
        <v>0</v>
      </c>
      <c r="S513" t="n">
        <v>0</v>
      </c>
      <c r="T513" t="n">
        <v>0</v>
      </c>
      <c r="U513" s="2" t="inlineStr"/>
    </row>
    <row r="514" ht="15" customHeight="1">
      <c r="A514" t="inlineStr">
        <is>
          <t>A 49426-2025</t>
        </is>
      </c>
      <c r="B514" t="inlineStr">
        <is>
          <t>avverkningsanmälan</t>
        </is>
      </c>
      <c r="C514" t="inlineStr">
        <is>
          <t>Föryngringsavverkning</t>
        </is>
      </c>
      <c r="D514" s="1" t="n">
        <v>45938</v>
      </c>
      <c r="E514" s="1" t="n">
        <v>46223</v>
      </c>
      <c r="F514" t="inlineStr">
        <is>
          <t>JÄMTLANDS LÄN</t>
        </is>
      </c>
      <c r="G514" t="inlineStr">
        <is>
          <t>HÄRJEDALEN</t>
        </is>
      </c>
      <c r="I514" t="n">
        <v>8.4</v>
      </c>
      <c r="J514" t="n">
        <v>0</v>
      </c>
      <c r="K514" t="n">
        <v>0</v>
      </c>
      <c r="L514" t="n">
        <v>0</v>
      </c>
      <c r="M514" t="n">
        <v>0</v>
      </c>
      <c r="N514" t="n">
        <v>0</v>
      </c>
      <c r="O514" t="n">
        <v>0</v>
      </c>
      <c r="P514" t="n">
        <v>0</v>
      </c>
      <c r="Q514" t="n">
        <v>0</v>
      </c>
      <c r="R514" t="n">
        <v>0</v>
      </c>
      <c r="S514" t="n">
        <v>0</v>
      </c>
      <c r="T514" t="n">
        <v>0</v>
      </c>
      <c r="U514" s="2" t="inlineStr"/>
    </row>
    <row r="515" ht="15" customHeight="1">
      <c r="A515" t="inlineStr">
        <is>
          <t>A 52794-2024</t>
        </is>
      </c>
      <c r="B515" t="inlineStr">
        <is>
          <t>avverkningsanmälan</t>
        </is>
      </c>
      <c r="C515" t="inlineStr">
        <is>
          <t>Föryngringsavverkning</t>
        </is>
      </c>
      <c r="D515" s="1" t="n">
        <v>45610</v>
      </c>
      <c r="E515" s="1" t="n">
        <v>46223</v>
      </c>
      <c r="F515" t="inlineStr">
        <is>
          <t>JÄMTLANDS LÄN</t>
        </is>
      </c>
      <c r="G515" t="inlineStr">
        <is>
          <t>HÄRJEDALEN</t>
        </is>
      </c>
      <c r="H515" t="inlineStr">
        <is>
          <t>Holmen skog AB</t>
        </is>
      </c>
      <c r="I515" t="n">
        <v>5.9</v>
      </c>
      <c r="J515" t="n">
        <v>0</v>
      </c>
      <c r="K515" t="n">
        <v>0</v>
      </c>
      <c r="L515" t="n">
        <v>0</v>
      </c>
      <c r="M515" t="n">
        <v>0</v>
      </c>
      <c r="N515" t="n">
        <v>0</v>
      </c>
      <c r="O515" t="n">
        <v>0</v>
      </c>
      <c r="P515" t="n">
        <v>0</v>
      </c>
      <c r="Q515" t="n">
        <v>0</v>
      </c>
      <c r="R515" t="n">
        <v>0</v>
      </c>
      <c r="S515" t="n">
        <v>0</v>
      </c>
      <c r="T515" t="n">
        <v>0</v>
      </c>
      <c r="U515" s="2" t="inlineStr"/>
    </row>
    <row r="516" ht="15" customHeight="1">
      <c r="A516" t="inlineStr">
        <is>
          <t>A 49427-2025</t>
        </is>
      </c>
      <c r="B516" t="inlineStr">
        <is>
          <t>avverkningsanmälan</t>
        </is>
      </c>
      <c r="C516" t="inlineStr">
        <is>
          <t>Föryngringsavverkning</t>
        </is>
      </c>
      <c r="D516" s="1" t="n">
        <v>45938</v>
      </c>
      <c r="E516" s="1" t="n">
        <v>46223</v>
      </c>
      <c r="F516" t="inlineStr">
        <is>
          <t>JÄMTLANDS LÄN</t>
        </is>
      </c>
      <c r="G516" t="inlineStr">
        <is>
          <t>HÄRJEDALEN</t>
        </is>
      </c>
      <c r="I516" t="n">
        <v>4.5</v>
      </c>
      <c r="J516" t="n">
        <v>0</v>
      </c>
      <c r="K516" t="n">
        <v>0</v>
      </c>
      <c r="L516" t="n">
        <v>0</v>
      </c>
      <c r="M516" t="n">
        <v>0</v>
      </c>
      <c r="N516" t="n">
        <v>0</v>
      </c>
      <c r="O516" t="n">
        <v>0</v>
      </c>
      <c r="P516" t="n">
        <v>0</v>
      </c>
      <c r="Q516" t="n">
        <v>0</v>
      </c>
      <c r="R516" t="n">
        <v>0</v>
      </c>
      <c r="S516" t="n">
        <v>0</v>
      </c>
      <c r="T516" t="n">
        <v>0</v>
      </c>
      <c r="U516" s="2" t="inlineStr"/>
    </row>
    <row r="517" ht="15" customHeight="1">
      <c r="A517" t="inlineStr">
        <is>
          <t>A 49717-2025</t>
        </is>
      </c>
      <c r="B517" t="inlineStr">
        <is>
          <t>avverkningsanmälan</t>
        </is>
      </c>
      <c r="C517" t="inlineStr">
        <is>
          <t>Föryngringsavverkning</t>
        </is>
      </c>
      <c r="D517" s="1" t="n">
        <v>45939</v>
      </c>
      <c r="E517" s="1" t="n">
        <v>46223</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49537-2025</t>
        </is>
      </c>
      <c r="B518" t="inlineStr">
        <is>
          <t>avverkningsanmälan</t>
        </is>
      </c>
      <c r="C518" t="inlineStr">
        <is>
          <t>Föryngringsavverkning</t>
        </is>
      </c>
      <c r="D518" s="1" t="n">
        <v>45939</v>
      </c>
      <c r="E518" s="1" t="n">
        <v>46223</v>
      </c>
      <c r="F518" t="inlineStr">
        <is>
          <t>JÄMTLANDS LÄN</t>
        </is>
      </c>
      <c r="G518" t="inlineStr">
        <is>
          <t>HÄRJEDALEN</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62708-2022</t>
        </is>
      </c>
      <c r="B519" t="inlineStr">
        <is>
          <t>avverkningsanmälan</t>
        </is>
      </c>
      <c r="C519" t="inlineStr">
        <is>
          <t>Föryngringsavverkning</t>
        </is>
      </c>
      <c r="D519" s="1" t="n">
        <v>44925</v>
      </c>
      <c r="E519" s="1" t="n">
        <v>46223</v>
      </c>
      <c r="F519" t="inlineStr">
        <is>
          <t>JÄMTLANDS LÄN</t>
        </is>
      </c>
      <c r="G519" t="inlineStr">
        <is>
          <t>HÄRJEDALEN</t>
        </is>
      </c>
      <c r="H519" t="inlineStr">
        <is>
          <t>Holmen skog AB</t>
        </is>
      </c>
      <c r="I519" t="n">
        <v>8.800000000000001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49716-2025</t>
        </is>
      </c>
      <c r="B520" t="inlineStr">
        <is>
          <t>avverkningsanmälan</t>
        </is>
      </c>
      <c r="C520" t="inlineStr">
        <is>
          <t>Föryngringsavverkning</t>
        </is>
      </c>
      <c r="D520" s="1" t="n">
        <v>45939</v>
      </c>
      <c r="E520" s="1" t="n">
        <v>46223</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49715-2025</t>
        </is>
      </c>
      <c r="B521" t="inlineStr">
        <is>
          <t>avverkningsanmälan</t>
        </is>
      </c>
      <c r="C521" t="inlineStr">
        <is>
          <t>Föryngringsavverkning</t>
        </is>
      </c>
      <c r="D521" s="1" t="n">
        <v>45939</v>
      </c>
      <c r="E521" s="1" t="n">
        <v>46223</v>
      </c>
      <c r="F521" t="inlineStr">
        <is>
          <t>JÄMTLANDS LÄN</t>
        </is>
      </c>
      <c r="G521" t="inlineStr">
        <is>
          <t>HÄRJEDALEN</t>
        </is>
      </c>
      <c r="I521" t="n">
        <v>3.9</v>
      </c>
      <c r="J521" t="n">
        <v>0</v>
      </c>
      <c r="K521" t="n">
        <v>0</v>
      </c>
      <c r="L521" t="n">
        <v>0</v>
      </c>
      <c r="M521" t="n">
        <v>0</v>
      </c>
      <c r="N521" t="n">
        <v>0</v>
      </c>
      <c r="O521" t="n">
        <v>0</v>
      </c>
      <c r="P521" t="n">
        <v>0</v>
      </c>
      <c r="Q521" t="n">
        <v>0</v>
      </c>
      <c r="R521" t="n">
        <v>0</v>
      </c>
      <c r="S521" t="n">
        <v>0</v>
      </c>
      <c r="T521" t="n">
        <v>0</v>
      </c>
      <c r="U521" s="2" t="inlineStr"/>
    </row>
    <row r="522" ht="15" customHeight="1">
      <c r="A522" t="inlineStr">
        <is>
          <t>A 37106-2025</t>
        </is>
      </c>
      <c r="B522" t="inlineStr">
        <is>
          <t>avverkningsanmälan</t>
        </is>
      </c>
      <c r="C522" t="inlineStr">
        <is>
          <t>Föryngringsavverkning</t>
        </is>
      </c>
      <c r="D522" s="1" t="n">
        <v>45875</v>
      </c>
      <c r="E522" s="1" t="n">
        <v>46223</v>
      </c>
      <c r="F522" t="inlineStr">
        <is>
          <t>JÄMTLANDS LÄN</t>
        </is>
      </c>
      <c r="G522" t="inlineStr">
        <is>
          <t>HÄRJEDALEN</t>
        </is>
      </c>
      <c r="H522" t="inlineStr">
        <is>
          <t>Holmen skog AB</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37122-2025</t>
        </is>
      </c>
      <c r="B523" t="inlineStr">
        <is>
          <t>avverkningsanmälan</t>
        </is>
      </c>
      <c r="C523" t="inlineStr">
        <is>
          <t>Föryngringsavverkning</t>
        </is>
      </c>
      <c r="D523" s="1" t="n">
        <v>45875</v>
      </c>
      <c r="E523" s="1" t="n">
        <v>46223</v>
      </c>
      <c r="F523" t="inlineStr">
        <is>
          <t>JÄMTLANDS LÄN</t>
        </is>
      </c>
      <c r="G523" t="inlineStr">
        <is>
          <t>HÄRJEDALEN</t>
        </is>
      </c>
      <c r="I523" t="n">
        <v>6.9</v>
      </c>
      <c r="J523" t="n">
        <v>0</v>
      </c>
      <c r="K523" t="n">
        <v>0</v>
      </c>
      <c r="L523" t="n">
        <v>0</v>
      </c>
      <c r="M523" t="n">
        <v>0</v>
      </c>
      <c r="N523" t="n">
        <v>0</v>
      </c>
      <c r="O523" t="n">
        <v>0</v>
      </c>
      <c r="P523" t="n">
        <v>0</v>
      </c>
      <c r="Q523" t="n">
        <v>0</v>
      </c>
      <c r="R523" t="n">
        <v>0</v>
      </c>
      <c r="S523" t="n">
        <v>0</v>
      </c>
      <c r="T523" t="n">
        <v>0</v>
      </c>
      <c r="U523" s="2" t="inlineStr"/>
    </row>
    <row r="524" ht="15" customHeight="1">
      <c r="A524" t="inlineStr">
        <is>
          <t>A 50764-2025</t>
        </is>
      </c>
      <c r="B524" t="inlineStr">
        <is>
          <t>avverkningsanmälan</t>
        </is>
      </c>
      <c r="C524" t="inlineStr">
        <is>
          <t>Föryngringsavverkning</t>
        </is>
      </c>
      <c r="D524" s="1" t="n">
        <v>45946</v>
      </c>
      <c r="E524" s="1" t="n">
        <v>46223</v>
      </c>
      <c r="F524" t="inlineStr">
        <is>
          <t>JÄMTLANDS LÄN</t>
        </is>
      </c>
      <c r="G524" t="inlineStr">
        <is>
          <t>HÄRJEDALEN</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36083-2024</t>
        </is>
      </c>
      <c r="B525" t="inlineStr">
        <is>
          <t>avverkningsanmälan</t>
        </is>
      </c>
      <c r="C525" t="inlineStr">
        <is>
          <t>Avverkning för annat ändamål</t>
        </is>
      </c>
      <c r="D525" s="1" t="n">
        <v>45533</v>
      </c>
      <c r="E525" s="1" t="n">
        <v>46223</v>
      </c>
      <c r="F525" t="inlineStr">
        <is>
          <t>JÄMTLANDS LÄN</t>
        </is>
      </c>
      <c r="G525" t="inlineStr">
        <is>
          <t>HÄRJEDALEN</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38169-2025</t>
        </is>
      </c>
      <c r="B526" t="inlineStr">
        <is>
          <t>avverkningsanmälan</t>
        </is>
      </c>
      <c r="C526" t="inlineStr">
        <is>
          <t>Föryngringsavverkning</t>
        </is>
      </c>
      <c r="D526" s="1" t="n">
        <v>45882</v>
      </c>
      <c r="E526" s="1" t="n">
        <v>46223</v>
      </c>
      <c r="F526" t="inlineStr">
        <is>
          <t>JÄMTLANDS LÄN</t>
        </is>
      </c>
      <c r="G526" t="inlineStr">
        <is>
          <t>HÄRJEDALEN</t>
        </is>
      </c>
      <c r="H526" t="inlineStr">
        <is>
          <t>Bergvik skog väst AB</t>
        </is>
      </c>
      <c r="I526" t="n">
        <v>18.4</v>
      </c>
      <c r="J526" t="n">
        <v>0</v>
      </c>
      <c r="K526" t="n">
        <v>0</v>
      </c>
      <c r="L526" t="n">
        <v>0</v>
      </c>
      <c r="M526" t="n">
        <v>0</v>
      </c>
      <c r="N526" t="n">
        <v>0</v>
      </c>
      <c r="O526" t="n">
        <v>0</v>
      </c>
      <c r="P526" t="n">
        <v>0</v>
      </c>
      <c r="Q526" t="n">
        <v>0</v>
      </c>
      <c r="R526" t="n">
        <v>0</v>
      </c>
      <c r="S526" t="n">
        <v>0</v>
      </c>
      <c r="T526" t="n">
        <v>0</v>
      </c>
      <c r="U526" s="2" t="inlineStr"/>
    </row>
    <row r="527" ht="15" customHeight="1">
      <c r="A527" t="inlineStr">
        <is>
          <t>A 37747-2023</t>
        </is>
      </c>
      <c r="B527" t="inlineStr">
        <is>
          <t>avverkningsanmälan</t>
        </is>
      </c>
      <c r="C527" t="inlineStr">
        <is>
          <t>Föryngringsavverkning</t>
        </is>
      </c>
      <c r="D527" s="1" t="n">
        <v>45159</v>
      </c>
      <c r="E527" s="1" t="n">
        <v>46223</v>
      </c>
      <c r="F527" t="inlineStr">
        <is>
          <t>JÄMTLANDS LÄN</t>
        </is>
      </c>
      <c r="G527" t="inlineStr">
        <is>
          <t>HÄRJEDALEN</t>
        </is>
      </c>
      <c r="H527" t="inlineStr">
        <is>
          <t>Bergvik skog väst AB</t>
        </is>
      </c>
      <c r="I527" t="n">
        <v>5.1</v>
      </c>
      <c r="J527" t="n">
        <v>0</v>
      </c>
      <c r="K527" t="n">
        <v>0</v>
      </c>
      <c r="L527" t="n">
        <v>0</v>
      </c>
      <c r="M527" t="n">
        <v>0</v>
      </c>
      <c r="N527" t="n">
        <v>0</v>
      </c>
      <c r="O527" t="n">
        <v>0</v>
      </c>
      <c r="P527" t="n">
        <v>0</v>
      </c>
      <c r="Q527" t="n">
        <v>0</v>
      </c>
      <c r="R527" t="n">
        <v>0</v>
      </c>
      <c r="S527" t="n">
        <v>0</v>
      </c>
      <c r="T527" t="n">
        <v>0</v>
      </c>
      <c r="U527" s="2" t="inlineStr"/>
    </row>
    <row r="528" ht="15" customHeight="1">
      <c r="A528" t="inlineStr">
        <is>
          <t>A 37762-2023</t>
        </is>
      </c>
      <c r="B528" t="inlineStr">
        <is>
          <t>avverkningsanmälan</t>
        </is>
      </c>
      <c r="C528" t="inlineStr">
        <is>
          <t>Föryngringsavverkning</t>
        </is>
      </c>
      <c r="D528" s="1" t="n">
        <v>45159</v>
      </c>
      <c r="E528" s="1" t="n">
        <v>46223</v>
      </c>
      <c r="F528" t="inlineStr">
        <is>
          <t>JÄMTLANDS LÄN</t>
        </is>
      </c>
      <c r="G528" t="inlineStr">
        <is>
          <t>HÄRJEDALEN</t>
        </is>
      </c>
      <c r="H528" t="inlineStr">
        <is>
          <t>Bergvik skog väst AB</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37808-2025</t>
        </is>
      </c>
      <c r="B529" t="inlineStr">
        <is>
          <t>avverkningsanmälan</t>
        </is>
      </c>
      <c r="C529" t="inlineStr">
        <is>
          <t>Föryngringsavverkning</t>
        </is>
      </c>
      <c r="D529" s="1" t="n">
        <v>45881</v>
      </c>
      <c r="E529" s="1" t="n">
        <v>46223</v>
      </c>
      <c r="F529" t="inlineStr">
        <is>
          <t>JÄMTLANDS LÄN</t>
        </is>
      </c>
      <c r="G529" t="inlineStr">
        <is>
          <t>HÄRJEDALEN</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50639-2025</t>
        </is>
      </c>
      <c r="B530" t="inlineStr">
        <is>
          <t>avverkningsanmälan</t>
        </is>
      </c>
      <c r="C530" t="inlineStr">
        <is>
          <t>Föryngringsavverkning</t>
        </is>
      </c>
      <c r="D530" s="1" t="n">
        <v>45945</v>
      </c>
      <c r="E530" s="1" t="n">
        <v>46223</v>
      </c>
      <c r="F530" t="inlineStr">
        <is>
          <t>JÄMTLANDS LÄN</t>
        </is>
      </c>
      <c r="G530" t="inlineStr">
        <is>
          <t>HÄRJEDALEN</t>
        </is>
      </c>
      <c r="I530" t="n">
        <v>5.3</v>
      </c>
      <c r="J530" t="n">
        <v>0</v>
      </c>
      <c r="K530" t="n">
        <v>0</v>
      </c>
      <c r="L530" t="n">
        <v>0</v>
      </c>
      <c r="M530" t="n">
        <v>0</v>
      </c>
      <c r="N530" t="n">
        <v>0</v>
      </c>
      <c r="O530" t="n">
        <v>0</v>
      </c>
      <c r="P530" t="n">
        <v>0</v>
      </c>
      <c r="Q530" t="n">
        <v>0</v>
      </c>
      <c r="R530" t="n">
        <v>0</v>
      </c>
      <c r="S530" t="n">
        <v>0</v>
      </c>
      <c r="T530" t="n">
        <v>0</v>
      </c>
      <c r="U530" s="2" t="inlineStr"/>
    </row>
    <row r="531" ht="15" customHeight="1">
      <c r="A531" t="inlineStr">
        <is>
          <t>A 37839-2025</t>
        </is>
      </c>
      <c r="B531" t="inlineStr">
        <is>
          <t>avverkningsanmälan</t>
        </is>
      </c>
      <c r="C531" t="inlineStr">
        <is>
          <t>Föryngringsavverkning</t>
        </is>
      </c>
      <c r="D531" s="1" t="n">
        <v>45881</v>
      </c>
      <c r="E531" s="1" t="n">
        <v>46223</v>
      </c>
      <c r="F531" t="inlineStr">
        <is>
          <t>JÄMTLANDS LÄN</t>
        </is>
      </c>
      <c r="G531" t="inlineStr">
        <is>
          <t>HÄRJEDALEN</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37865-2025</t>
        </is>
      </c>
      <c r="B532" t="inlineStr">
        <is>
          <t>avverkningsanmälan</t>
        </is>
      </c>
      <c r="C532" t="inlineStr">
        <is>
          <t>Föryngringsavverkning</t>
        </is>
      </c>
      <c r="D532" s="1" t="n">
        <v>45881</v>
      </c>
      <c r="E532" s="1" t="n">
        <v>46223</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12484-2023</t>
        </is>
      </c>
      <c r="B533" t="inlineStr">
        <is>
          <t>avverkningsanmälan</t>
        </is>
      </c>
      <c r="C533" t="inlineStr">
        <is>
          <t>Föryngringsavverkning</t>
        </is>
      </c>
      <c r="D533" s="1" t="n">
        <v>44998</v>
      </c>
      <c r="E533" s="1" t="n">
        <v>46223</v>
      </c>
      <c r="F533" t="inlineStr">
        <is>
          <t>JÄMTLANDS LÄN</t>
        </is>
      </c>
      <c r="G533" t="inlineStr">
        <is>
          <t>HÄRJEDALEN</t>
        </is>
      </c>
      <c r="I533" t="n">
        <v>43.1</v>
      </c>
      <c r="J533" t="n">
        <v>0</v>
      </c>
      <c r="K533" t="n">
        <v>0</v>
      </c>
      <c r="L533" t="n">
        <v>0</v>
      </c>
      <c r="M533" t="n">
        <v>0</v>
      </c>
      <c r="N533" t="n">
        <v>0</v>
      </c>
      <c r="O533" t="n">
        <v>0</v>
      </c>
      <c r="P533" t="n">
        <v>0</v>
      </c>
      <c r="Q533" t="n">
        <v>0</v>
      </c>
      <c r="R533" t="n">
        <v>0</v>
      </c>
      <c r="S533" t="n">
        <v>0</v>
      </c>
      <c r="T533" t="n">
        <v>0</v>
      </c>
      <c r="U533" s="2" t="inlineStr"/>
    </row>
    <row r="534" ht="15" customHeight="1">
      <c r="A534" t="inlineStr">
        <is>
          <t>A 50588-2025</t>
        </is>
      </c>
      <c r="B534" t="inlineStr">
        <is>
          <t>avverkningsanmälan</t>
        </is>
      </c>
      <c r="C534" t="inlineStr">
        <is>
          <t>Avverkning för att bevara och utveckla /försöksver</t>
        </is>
      </c>
      <c r="D534" s="1" t="n">
        <v>45945</v>
      </c>
      <c r="E534" s="1" t="n">
        <v>46223</v>
      </c>
      <c r="F534" t="inlineStr">
        <is>
          <t>JÄMTLANDS LÄN</t>
        </is>
      </c>
      <c r="G534" t="inlineStr">
        <is>
          <t>HÄRJEDALEN</t>
        </is>
      </c>
      <c r="H534" t="inlineStr">
        <is>
          <t>Bergvik skog väst AB</t>
        </is>
      </c>
      <c r="I534" t="n">
        <v>17.9</v>
      </c>
      <c r="J534" t="n">
        <v>0</v>
      </c>
      <c r="K534" t="n">
        <v>0</v>
      </c>
      <c r="L534" t="n">
        <v>0</v>
      </c>
      <c r="M534" t="n">
        <v>0</v>
      </c>
      <c r="N534" t="n">
        <v>0</v>
      </c>
      <c r="O534" t="n">
        <v>0</v>
      </c>
      <c r="P534" t="n">
        <v>0</v>
      </c>
      <c r="Q534" t="n">
        <v>0</v>
      </c>
      <c r="R534" t="n">
        <v>0</v>
      </c>
      <c r="S534" t="n">
        <v>0</v>
      </c>
      <c r="T534" t="n">
        <v>0</v>
      </c>
      <c r="U534" s="2" t="inlineStr"/>
    </row>
    <row r="535" ht="15" customHeight="1">
      <c r="A535" t="inlineStr">
        <is>
          <t>A 51016-2025</t>
        </is>
      </c>
      <c r="B535" t="inlineStr">
        <is>
          <t>avverkningsanmälan</t>
        </is>
      </c>
      <c r="C535" t="inlineStr">
        <is>
          <t>Avverkning för att bevara och utveckla /försöksver</t>
        </is>
      </c>
      <c r="D535" s="1" t="n">
        <v>45947</v>
      </c>
      <c r="E535" s="1" t="n">
        <v>46223</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s="2" t="inlineStr"/>
    </row>
    <row r="536" ht="15" customHeight="1">
      <c r="A536" t="inlineStr">
        <is>
          <t>A 51270-2025</t>
        </is>
      </c>
      <c r="B536" t="inlineStr">
        <is>
          <t>avverkningsanmälan</t>
        </is>
      </c>
      <c r="C536" t="inlineStr">
        <is>
          <t>Föryngringsavverkning</t>
        </is>
      </c>
      <c r="D536" s="1" t="n">
        <v>45949</v>
      </c>
      <c r="E536" s="1" t="n">
        <v>46223</v>
      </c>
      <c r="F536" t="inlineStr">
        <is>
          <t>JÄMTLANDS LÄN</t>
        </is>
      </c>
      <c r="G536" t="inlineStr">
        <is>
          <t>HÄRJEDALEN</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45195-2025</t>
        </is>
      </c>
      <c r="B537" t="inlineStr">
        <is>
          <t>avverkningsanmälan</t>
        </is>
      </c>
      <c r="C537" t="inlineStr">
        <is>
          <t>Avverkning för annat ändamål</t>
        </is>
      </c>
      <c r="D537" s="1" t="n">
        <v>45919</v>
      </c>
      <c r="E537" s="1" t="n">
        <v>46223</v>
      </c>
      <c r="F537" t="inlineStr">
        <is>
          <t>JÄMTLANDS LÄN</t>
        </is>
      </c>
      <c r="G537" t="inlineStr">
        <is>
          <t>HÄRJEDALEN</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41955-2023</t>
        </is>
      </c>
      <c r="B538" t="inlineStr">
        <is>
          <t>avverkningsanmälan</t>
        </is>
      </c>
      <c r="C538" t="inlineStr">
        <is>
          <t>Föryngringsavverkning</t>
        </is>
      </c>
      <c r="D538" s="1" t="n">
        <v>45174</v>
      </c>
      <c r="E538" s="1" t="n">
        <v>46223</v>
      </c>
      <c r="F538" t="inlineStr">
        <is>
          <t>JÄMTLANDS LÄN</t>
        </is>
      </c>
      <c r="G538" t="inlineStr">
        <is>
          <t>HÄRJEDALEN</t>
        </is>
      </c>
      <c r="I538" t="n">
        <v>60.5</v>
      </c>
      <c r="J538" t="n">
        <v>0</v>
      </c>
      <c r="K538" t="n">
        <v>0</v>
      </c>
      <c r="L538" t="n">
        <v>0</v>
      </c>
      <c r="M538" t="n">
        <v>0</v>
      </c>
      <c r="N538" t="n">
        <v>0</v>
      </c>
      <c r="O538" t="n">
        <v>0</v>
      </c>
      <c r="P538" t="n">
        <v>0</v>
      </c>
      <c r="Q538" t="n">
        <v>0</v>
      </c>
      <c r="R538" t="n">
        <v>0</v>
      </c>
      <c r="S538" t="n">
        <v>0</v>
      </c>
      <c r="T538" t="n">
        <v>0</v>
      </c>
      <c r="U538" s="2" t="inlineStr"/>
    </row>
    <row r="539" ht="15" customHeight="1">
      <c r="A539" t="inlineStr">
        <is>
          <t>A 43591-2024</t>
        </is>
      </c>
      <c r="B539" t="inlineStr">
        <is>
          <t>avverkningsanmälan</t>
        </is>
      </c>
      <c r="C539" t="inlineStr">
        <is>
          <t>Föryngringsavverkning</t>
        </is>
      </c>
      <c r="D539" s="1" t="n">
        <v>45569</v>
      </c>
      <c r="E539" s="1" t="n">
        <v>46223</v>
      </c>
      <c r="F539" t="inlineStr">
        <is>
          <t>JÄMTLANDS LÄN</t>
        </is>
      </c>
      <c r="G539" t="inlineStr">
        <is>
          <t>HÄRJEDALEN</t>
        </is>
      </c>
      <c r="H539" t="inlineStr">
        <is>
          <t>Bergvik skog väst AB</t>
        </is>
      </c>
      <c r="I539" t="n">
        <v>50.5</v>
      </c>
      <c r="J539" t="n">
        <v>0</v>
      </c>
      <c r="K539" t="n">
        <v>0</v>
      </c>
      <c r="L539" t="n">
        <v>0</v>
      </c>
      <c r="M539" t="n">
        <v>0</v>
      </c>
      <c r="N539" t="n">
        <v>0</v>
      </c>
      <c r="O539" t="n">
        <v>0</v>
      </c>
      <c r="P539" t="n">
        <v>0</v>
      </c>
      <c r="Q539" t="n">
        <v>0</v>
      </c>
      <c r="R539" t="n">
        <v>0</v>
      </c>
      <c r="S539" t="n">
        <v>0</v>
      </c>
      <c r="T539" t="n">
        <v>0</v>
      </c>
      <c r="U539" s="2" t="inlineStr"/>
    </row>
    <row r="540" ht="15" customHeight="1">
      <c r="A540" t="inlineStr">
        <is>
          <t>A 40578-2023</t>
        </is>
      </c>
      <c r="B540" t="inlineStr">
        <is>
          <t>avverkningsanmälan</t>
        </is>
      </c>
      <c r="C540" t="inlineStr">
        <is>
          <t>Föryngringsavverkning</t>
        </is>
      </c>
      <c r="D540" s="1" t="n">
        <v>45170</v>
      </c>
      <c r="E540" s="1" t="n">
        <v>46223</v>
      </c>
      <c r="F540" t="inlineStr">
        <is>
          <t>JÄMTLANDS LÄN</t>
        </is>
      </c>
      <c r="G540" t="inlineStr">
        <is>
          <t>HÄRJEDALEN</t>
        </is>
      </c>
      <c r="H540" t="inlineStr">
        <is>
          <t>Holmen skog AB</t>
        </is>
      </c>
      <c r="I540" t="n">
        <v>5.3</v>
      </c>
      <c r="J540" t="n">
        <v>0</v>
      </c>
      <c r="K540" t="n">
        <v>0</v>
      </c>
      <c r="L540" t="n">
        <v>0</v>
      </c>
      <c r="M540" t="n">
        <v>0</v>
      </c>
      <c r="N540" t="n">
        <v>0</v>
      </c>
      <c r="O540" t="n">
        <v>0</v>
      </c>
      <c r="P540" t="n">
        <v>0</v>
      </c>
      <c r="Q540" t="n">
        <v>0</v>
      </c>
      <c r="R540" t="n">
        <v>0</v>
      </c>
      <c r="S540" t="n">
        <v>0</v>
      </c>
      <c r="T540" t="n">
        <v>0</v>
      </c>
      <c r="U540" s="2" t="inlineStr"/>
    </row>
    <row r="541" ht="15" customHeight="1">
      <c r="A541" t="inlineStr">
        <is>
          <t>A 51082-2025</t>
        </is>
      </c>
      <c r="B541" t="inlineStr">
        <is>
          <t>avverkningsanmälan</t>
        </is>
      </c>
      <c r="C541" t="inlineStr">
        <is>
          <t>Föryngringsavverkning</t>
        </is>
      </c>
      <c r="D541" s="1" t="n">
        <v>45947</v>
      </c>
      <c r="E541" s="1" t="n">
        <v>46223</v>
      </c>
      <c r="F541" t="inlineStr">
        <is>
          <t>JÄMTLANDS LÄN</t>
        </is>
      </c>
      <c r="G541" t="inlineStr">
        <is>
          <t>HÄRJEDALEN</t>
        </is>
      </c>
      <c r="H541" t="inlineStr">
        <is>
          <t>Bergvik skog väst AB</t>
        </is>
      </c>
      <c r="I541" t="n">
        <v>26.4</v>
      </c>
      <c r="J541" t="n">
        <v>0</v>
      </c>
      <c r="K541" t="n">
        <v>0</v>
      </c>
      <c r="L541" t="n">
        <v>0</v>
      </c>
      <c r="M541" t="n">
        <v>0</v>
      </c>
      <c r="N541" t="n">
        <v>0</v>
      </c>
      <c r="O541" t="n">
        <v>0</v>
      </c>
      <c r="P541" t="n">
        <v>0</v>
      </c>
      <c r="Q541" t="n">
        <v>0</v>
      </c>
      <c r="R541" t="n">
        <v>0</v>
      </c>
      <c r="S541" t="n">
        <v>0</v>
      </c>
      <c r="T541" t="n">
        <v>0</v>
      </c>
      <c r="U541" s="2" t="inlineStr"/>
    </row>
    <row r="542" ht="15" customHeight="1">
      <c r="A542" t="inlineStr">
        <is>
          <t>A 9980-2025</t>
        </is>
      </c>
      <c r="B542" t="inlineStr">
        <is>
          <t>avverkningsanmälan</t>
        </is>
      </c>
      <c r="C542" t="inlineStr">
        <is>
          <t>Föryngringsavverkning</t>
        </is>
      </c>
      <c r="D542" s="1" t="n">
        <v>45719</v>
      </c>
      <c r="E542" s="1" t="n">
        <v>46223</v>
      </c>
      <c r="F542" t="inlineStr">
        <is>
          <t>JÄMTLANDS LÄN</t>
        </is>
      </c>
      <c r="G542" t="inlineStr">
        <is>
          <t>HÄRJEDALEN</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51653-2025</t>
        </is>
      </c>
      <c r="B543" t="inlineStr">
        <is>
          <t>avverkningsanmälan</t>
        </is>
      </c>
      <c r="C543" t="inlineStr">
        <is>
          <t>Föryngringsavverkning</t>
        </is>
      </c>
      <c r="D543" s="1" t="n">
        <v>45951</v>
      </c>
      <c r="E543" s="1" t="n">
        <v>46223</v>
      </c>
      <c r="F543" t="inlineStr">
        <is>
          <t>JÄMTLANDS LÄN</t>
        </is>
      </c>
      <c r="G543" t="inlineStr">
        <is>
          <t>HÄRJEDALEN</t>
        </is>
      </c>
      <c r="H543" t="inlineStr">
        <is>
          <t>Holmen skog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54640-2024</t>
        </is>
      </c>
      <c r="B544" t="inlineStr">
        <is>
          <t>avverkningsanmälan</t>
        </is>
      </c>
      <c r="C544" t="inlineStr">
        <is>
          <t>Föryngringsavverkning</t>
        </is>
      </c>
      <c r="D544" s="1" t="n">
        <v>45617</v>
      </c>
      <c r="E544" s="1" t="n">
        <v>46223</v>
      </c>
      <c r="F544" t="inlineStr">
        <is>
          <t>JÄMTLANDS LÄN</t>
        </is>
      </c>
      <c r="G544" t="inlineStr">
        <is>
          <t>HÄRJEDALEN</t>
        </is>
      </c>
      <c r="I544" t="n">
        <v>3.9</v>
      </c>
      <c r="J544" t="n">
        <v>0</v>
      </c>
      <c r="K544" t="n">
        <v>0</v>
      </c>
      <c r="L544" t="n">
        <v>0</v>
      </c>
      <c r="M544" t="n">
        <v>0</v>
      </c>
      <c r="N544" t="n">
        <v>0</v>
      </c>
      <c r="O544" t="n">
        <v>0</v>
      </c>
      <c r="P544" t="n">
        <v>0</v>
      </c>
      <c r="Q544" t="n">
        <v>0</v>
      </c>
      <c r="R544" t="n">
        <v>0</v>
      </c>
      <c r="S544" t="n">
        <v>0</v>
      </c>
      <c r="T544" t="n">
        <v>0</v>
      </c>
      <c r="U544" s="2" t="inlineStr"/>
    </row>
    <row r="545" ht="15" customHeight="1">
      <c r="A545" t="inlineStr">
        <is>
          <t>A 55115-2024</t>
        </is>
      </c>
      <c r="B545" t="inlineStr">
        <is>
          <t>avverkningsanmälan</t>
        </is>
      </c>
      <c r="C545" t="inlineStr">
        <is>
          <t>Avverkning för annat ändamål</t>
        </is>
      </c>
      <c r="D545" s="1" t="n">
        <v>45621</v>
      </c>
      <c r="E545" s="1" t="n">
        <v>46223</v>
      </c>
      <c r="F545" t="inlineStr">
        <is>
          <t>JÄMTLANDS LÄN</t>
        </is>
      </c>
      <c r="G545" t="inlineStr">
        <is>
          <t>HÄRJEDALEN</t>
        </is>
      </c>
      <c r="H545" t="inlineStr">
        <is>
          <t>Sveaskog</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36921-2023</t>
        </is>
      </c>
      <c r="B546" t="inlineStr">
        <is>
          <t>avverkningsanmälan</t>
        </is>
      </c>
      <c r="C546" t="inlineStr">
        <is>
          <t>Föryngringsavverkning</t>
        </is>
      </c>
      <c r="D546" s="1" t="n">
        <v>45154</v>
      </c>
      <c r="E546" s="1" t="n">
        <v>46223</v>
      </c>
      <c r="F546" t="inlineStr">
        <is>
          <t>JÄMTLANDS LÄN</t>
        </is>
      </c>
      <c r="G546" t="inlineStr">
        <is>
          <t>HÄRJEDALEN</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51601-2024</t>
        </is>
      </c>
      <c r="B547" t="inlineStr">
        <is>
          <t>avverkningsanmälan</t>
        </is>
      </c>
      <c r="C547" t="inlineStr">
        <is>
          <t>Föryngringsavverkning</t>
        </is>
      </c>
      <c r="D547" s="1" t="n">
        <v>45604</v>
      </c>
      <c r="E547" s="1" t="n">
        <v>46223</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52520-2025</t>
        </is>
      </c>
      <c r="B548" t="inlineStr">
        <is>
          <t>avverkningsanmälan</t>
        </is>
      </c>
      <c r="C548" t="inlineStr">
        <is>
          <t>Föryngringsavverkning</t>
        </is>
      </c>
      <c r="D548" s="1" t="n">
        <v>45954</v>
      </c>
      <c r="E548" s="1" t="n">
        <v>46223</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31910-2023</t>
        </is>
      </c>
      <c r="B549" t="inlineStr">
        <is>
          <t>avverkningsanmälan</t>
        </is>
      </c>
      <c r="C549" t="inlineStr">
        <is>
          <t>Föryngringsavverkning</t>
        </is>
      </c>
      <c r="D549" s="1" t="n">
        <v>45118</v>
      </c>
      <c r="E549" s="1" t="n">
        <v>46223</v>
      </c>
      <c r="F549" t="inlineStr">
        <is>
          <t>JÄMTLANDS LÄN</t>
        </is>
      </c>
      <c r="G549" t="inlineStr">
        <is>
          <t>HÄRJEDALEN</t>
        </is>
      </c>
      <c r="I549" t="n">
        <v>5</v>
      </c>
      <c r="J549" t="n">
        <v>0</v>
      </c>
      <c r="K549" t="n">
        <v>0</v>
      </c>
      <c r="L549" t="n">
        <v>0</v>
      </c>
      <c r="M549" t="n">
        <v>0</v>
      </c>
      <c r="N549" t="n">
        <v>0</v>
      </c>
      <c r="O549" t="n">
        <v>0</v>
      </c>
      <c r="P549" t="n">
        <v>0</v>
      </c>
      <c r="Q549" t="n">
        <v>0</v>
      </c>
      <c r="R549" t="n">
        <v>0</v>
      </c>
      <c r="S549" t="n">
        <v>0</v>
      </c>
      <c r="T549" t="n">
        <v>0</v>
      </c>
      <c r="U549" s="2" t="inlineStr"/>
    </row>
    <row r="550" ht="15" customHeight="1">
      <c r="A550" t="inlineStr">
        <is>
          <t>A 31961-2023</t>
        </is>
      </c>
      <c r="B550" t="inlineStr">
        <is>
          <t>avverkningsanmälan</t>
        </is>
      </c>
      <c r="C550" t="inlineStr">
        <is>
          <t>Föryngringsavverkning</t>
        </is>
      </c>
      <c r="D550" s="1" t="n">
        <v>45119</v>
      </c>
      <c r="E550" s="1" t="n">
        <v>46223</v>
      </c>
      <c r="F550" t="inlineStr">
        <is>
          <t>JÄMTLANDS LÄN</t>
        </is>
      </c>
      <c r="G550" t="inlineStr">
        <is>
          <t>HÄRJEDALEN</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21778-2022</t>
        </is>
      </c>
      <c r="B551" t="inlineStr">
        <is>
          <t>avverkningsanmälan</t>
        </is>
      </c>
      <c r="C551" t="inlineStr">
        <is>
          <t>Föryngringsavverkning</t>
        </is>
      </c>
      <c r="D551" s="1" t="n">
        <v>44708</v>
      </c>
      <c r="E551" s="1" t="n">
        <v>46223</v>
      </c>
      <c r="F551" t="inlineStr">
        <is>
          <t>JÄMTLANDS LÄN</t>
        </is>
      </c>
      <c r="G551" t="inlineStr">
        <is>
          <t>HÄRJEDALEN</t>
        </is>
      </c>
      <c r="H551" t="inlineStr">
        <is>
          <t>Holmen skog AB</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58352-2024</t>
        </is>
      </c>
      <c r="B552" t="inlineStr">
        <is>
          <t>avverkningsanmälan</t>
        </is>
      </c>
      <c r="C552" t="inlineStr">
        <is>
          <t>Föryngringsavverkning</t>
        </is>
      </c>
      <c r="D552" s="1" t="n">
        <v>45632</v>
      </c>
      <c r="E552" s="1" t="n">
        <v>46223</v>
      </c>
      <c r="F552" t="inlineStr">
        <is>
          <t>JÄMTLANDS LÄN</t>
        </is>
      </c>
      <c r="G552" t="inlineStr">
        <is>
          <t>HÄRJEDALEN</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38276-2025</t>
        </is>
      </c>
      <c r="B553" t="inlineStr">
        <is>
          <t>avverkningsanmälan</t>
        </is>
      </c>
      <c r="C553" t="inlineStr">
        <is>
          <t>Föryngringsavverkning</t>
        </is>
      </c>
      <c r="D553" s="1" t="n">
        <v>45883</v>
      </c>
      <c r="E553" s="1" t="n">
        <v>46223</v>
      </c>
      <c r="F553" t="inlineStr">
        <is>
          <t>JÄMTLANDS LÄN</t>
        </is>
      </c>
      <c r="G553" t="inlineStr">
        <is>
          <t>HÄRJEDALEN</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52230-2025</t>
        </is>
      </c>
      <c r="B554" t="inlineStr">
        <is>
          <t>avverkningsanmälan</t>
        </is>
      </c>
      <c r="C554" t="inlineStr">
        <is>
          <t>Föryngringsavverkning</t>
        </is>
      </c>
      <c r="D554" s="1" t="n">
        <v>45953</v>
      </c>
      <c r="E554" s="1" t="n">
        <v>46223</v>
      </c>
      <c r="F554" t="inlineStr">
        <is>
          <t>JÄMTLANDS LÄN</t>
        </is>
      </c>
      <c r="G554" t="inlineStr">
        <is>
          <t>HÄRJEDALEN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35813-2023</t>
        </is>
      </c>
      <c r="B555" t="inlineStr">
        <is>
          <t>avverkningsanmälan</t>
        </is>
      </c>
      <c r="C555" t="inlineStr">
        <is>
          <t>Föryngringsavverkning</t>
        </is>
      </c>
      <c r="D555" s="1" t="n">
        <v>45147</v>
      </c>
      <c r="E555" s="1" t="n">
        <v>46223</v>
      </c>
      <c r="F555" t="inlineStr">
        <is>
          <t>JÄMTLANDS LÄN</t>
        </is>
      </c>
      <c r="G555" t="inlineStr">
        <is>
          <t>HÄRJEDALEN</t>
        </is>
      </c>
      <c r="I555" t="n">
        <v>15.1</v>
      </c>
      <c r="J555" t="n">
        <v>0</v>
      </c>
      <c r="K555" t="n">
        <v>0</v>
      </c>
      <c r="L555" t="n">
        <v>0</v>
      </c>
      <c r="M555" t="n">
        <v>0</v>
      </c>
      <c r="N555" t="n">
        <v>0</v>
      </c>
      <c r="O555" t="n">
        <v>0</v>
      </c>
      <c r="P555" t="n">
        <v>0</v>
      </c>
      <c r="Q555" t="n">
        <v>0</v>
      </c>
      <c r="R555" t="n">
        <v>0</v>
      </c>
      <c r="S555" t="n">
        <v>0</v>
      </c>
      <c r="T555" t="n">
        <v>0</v>
      </c>
      <c r="U555" s="2" t="inlineStr"/>
    </row>
    <row r="556" ht="15" customHeight="1">
      <c r="A556" t="inlineStr">
        <is>
          <t>A 53256-2025</t>
        </is>
      </c>
      <c r="B556" t="inlineStr">
        <is>
          <t>avverkningsanmälan</t>
        </is>
      </c>
      <c r="C556" t="inlineStr">
        <is>
          <t>Föryngringsavverkning</t>
        </is>
      </c>
      <c r="D556" s="1" t="n">
        <v>45958</v>
      </c>
      <c r="E556" s="1" t="n">
        <v>46223</v>
      </c>
      <c r="F556" t="inlineStr">
        <is>
          <t>JÄMTLANDS LÄN</t>
        </is>
      </c>
      <c r="G556" t="inlineStr">
        <is>
          <t>HÄRJEDALEN</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53260-2025</t>
        </is>
      </c>
      <c r="B557" t="inlineStr">
        <is>
          <t>avverkningsanmälan</t>
        </is>
      </c>
      <c r="C557" t="inlineStr">
        <is>
          <t>Föryngringsavverkning</t>
        </is>
      </c>
      <c r="D557" s="1" t="n">
        <v>45958</v>
      </c>
      <c r="E557" s="1" t="n">
        <v>46223</v>
      </c>
      <c r="F557" t="inlineStr">
        <is>
          <t>JÄMTLANDS LÄN</t>
        </is>
      </c>
      <c r="G557" t="inlineStr">
        <is>
          <t>HÄRJEDALEN</t>
        </is>
      </c>
      <c r="I557" t="n">
        <v>3.3</v>
      </c>
      <c r="J557" t="n">
        <v>0</v>
      </c>
      <c r="K557" t="n">
        <v>0</v>
      </c>
      <c r="L557" t="n">
        <v>0</v>
      </c>
      <c r="M557" t="n">
        <v>0</v>
      </c>
      <c r="N557" t="n">
        <v>0</v>
      </c>
      <c r="O557" t="n">
        <v>0</v>
      </c>
      <c r="P557" t="n">
        <v>0</v>
      </c>
      <c r="Q557" t="n">
        <v>0</v>
      </c>
      <c r="R557" t="n">
        <v>0</v>
      </c>
      <c r="S557" t="n">
        <v>0</v>
      </c>
      <c r="T557" t="n">
        <v>0</v>
      </c>
      <c r="U557" s="2" t="inlineStr"/>
    </row>
    <row r="558" ht="15" customHeight="1">
      <c r="A558" t="inlineStr">
        <is>
          <t>A 21530-2023</t>
        </is>
      </c>
      <c r="B558" t="inlineStr">
        <is>
          <t>avverkningsanmälan</t>
        </is>
      </c>
      <c r="C558" t="inlineStr">
        <is>
          <t>Föryngringsavverkning</t>
        </is>
      </c>
      <c r="D558" s="1" t="n">
        <v>45063</v>
      </c>
      <c r="E558" s="1" t="n">
        <v>46223</v>
      </c>
      <c r="F558" t="inlineStr">
        <is>
          <t>JÄMTLANDS LÄN</t>
        </is>
      </c>
      <c r="G558" t="inlineStr">
        <is>
          <t>HÄRJEDALEN</t>
        </is>
      </c>
      <c r="I558" t="n">
        <v>15.3</v>
      </c>
      <c r="J558" t="n">
        <v>0</v>
      </c>
      <c r="K558" t="n">
        <v>0</v>
      </c>
      <c r="L558" t="n">
        <v>0</v>
      </c>
      <c r="M558" t="n">
        <v>0</v>
      </c>
      <c r="N558" t="n">
        <v>0</v>
      </c>
      <c r="O558" t="n">
        <v>0</v>
      </c>
      <c r="P558" t="n">
        <v>0</v>
      </c>
      <c r="Q558" t="n">
        <v>0</v>
      </c>
      <c r="R558" t="n">
        <v>0</v>
      </c>
      <c r="S558" t="n">
        <v>0</v>
      </c>
      <c r="T558" t="n">
        <v>0</v>
      </c>
      <c r="U558" s="2" t="inlineStr"/>
    </row>
    <row r="559" ht="15" customHeight="1">
      <c r="A559" t="inlineStr">
        <is>
          <t>A 53253-2025</t>
        </is>
      </c>
      <c r="B559" t="inlineStr">
        <is>
          <t>avverkningsanmälan</t>
        </is>
      </c>
      <c r="C559" t="inlineStr">
        <is>
          <t>Föryngringsavverkning</t>
        </is>
      </c>
      <c r="D559" s="1" t="n">
        <v>45958</v>
      </c>
      <c r="E559" s="1" t="n">
        <v>46223</v>
      </c>
      <c r="F559" t="inlineStr">
        <is>
          <t>JÄMTLANDS LÄN</t>
        </is>
      </c>
      <c r="G559" t="inlineStr">
        <is>
          <t>HÄRJEDALEN</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53267-2025</t>
        </is>
      </c>
      <c r="B560" t="inlineStr">
        <is>
          <t>avverkningsanmälan</t>
        </is>
      </c>
      <c r="C560" t="inlineStr">
        <is>
          <t>Föryngringsavverkning</t>
        </is>
      </c>
      <c r="D560" s="1" t="n">
        <v>45958</v>
      </c>
      <c r="E560" s="1" t="n">
        <v>46223</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53268-2025</t>
        </is>
      </c>
      <c r="B561" t="inlineStr">
        <is>
          <t>avverkningsanmälan</t>
        </is>
      </c>
      <c r="C561" t="inlineStr">
        <is>
          <t>Föryngringsavverkning</t>
        </is>
      </c>
      <c r="D561" s="1" t="n">
        <v>45958</v>
      </c>
      <c r="E561" s="1" t="n">
        <v>46223</v>
      </c>
      <c r="F561" t="inlineStr">
        <is>
          <t>JÄMTLANDS LÄN</t>
        </is>
      </c>
      <c r="G561" t="inlineStr">
        <is>
          <t>HÄRJEDALEN</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57668-2024</t>
        </is>
      </c>
      <c r="B562" t="inlineStr">
        <is>
          <t>avverkningsanmälan</t>
        </is>
      </c>
      <c r="C562" t="inlineStr">
        <is>
          <t>Föryngringsavverkning</t>
        </is>
      </c>
      <c r="D562" s="1" t="n">
        <v>45630</v>
      </c>
      <c r="E562" s="1" t="n">
        <v>46223</v>
      </c>
      <c r="F562" t="inlineStr">
        <is>
          <t>JÄMTLANDS LÄN</t>
        </is>
      </c>
      <c r="G562" t="inlineStr">
        <is>
          <t>HÄRJEDALEN</t>
        </is>
      </c>
      <c r="I562" t="n">
        <v>15.7</v>
      </c>
      <c r="J562" t="n">
        <v>0</v>
      </c>
      <c r="K562" t="n">
        <v>0</v>
      </c>
      <c r="L562" t="n">
        <v>0</v>
      </c>
      <c r="M562" t="n">
        <v>0</v>
      </c>
      <c r="N562" t="n">
        <v>0</v>
      </c>
      <c r="O562" t="n">
        <v>0</v>
      </c>
      <c r="P562" t="n">
        <v>0</v>
      </c>
      <c r="Q562" t="n">
        <v>0</v>
      </c>
      <c r="R562" t="n">
        <v>0</v>
      </c>
      <c r="S562" t="n">
        <v>0</v>
      </c>
      <c r="T562" t="n">
        <v>0</v>
      </c>
      <c r="U562" s="2" t="inlineStr"/>
    </row>
    <row r="563" ht="15" customHeight="1">
      <c r="A563" t="inlineStr">
        <is>
          <t>A 53265-2025</t>
        </is>
      </c>
      <c r="B563" t="inlineStr">
        <is>
          <t>avverkningsanmälan</t>
        </is>
      </c>
      <c r="C563" t="inlineStr">
        <is>
          <t>Föryngringsavverkning</t>
        </is>
      </c>
      <c r="D563" s="1" t="n">
        <v>45958</v>
      </c>
      <c r="E563" s="1" t="n">
        <v>46223</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9094-2026</t>
        </is>
      </c>
      <c r="B564" t="inlineStr">
        <is>
          <t>avverkningsanmälan</t>
        </is>
      </c>
      <c r="C564" t="inlineStr">
        <is>
          <t>Föryngringsavverkning</t>
        </is>
      </c>
      <c r="D564" s="1" t="n">
        <v>46069</v>
      </c>
      <c r="E564" s="1" t="n">
        <v>46223</v>
      </c>
      <c r="F564" t="inlineStr">
        <is>
          <t>JÄMTLANDS LÄN</t>
        </is>
      </c>
      <c r="G564" t="inlineStr">
        <is>
          <t>HÄRJEDALEN</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48669-2023</t>
        </is>
      </c>
      <c r="B565" t="inlineStr">
        <is>
          <t>avverkningsanmälan</t>
        </is>
      </c>
      <c r="C565" t="inlineStr">
        <is>
          <t>Avverkning för annat ändamål</t>
        </is>
      </c>
      <c r="D565" s="1" t="n">
        <v>45203</v>
      </c>
      <c r="E565" s="1" t="n">
        <v>46223</v>
      </c>
      <c r="F565" t="inlineStr">
        <is>
          <t>JÄMTLANDS LÄN</t>
        </is>
      </c>
      <c r="G565" t="inlineStr">
        <is>
          <t>HÄRJEDALEN</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8095-2025</t>
        </is>
      </c>
      <c r="B566" t="inlineStr">
        <is>
          <t>avverkningsanmälan</t>
        </is>
      </c>
      <c r="C566" t="inlineStr">
        <is>
          <t>Föryngringsavverkning</t>
        </is>
      </c>
      <c r="D566" s="1" t="n">
        <v>45707</v>
      </c>
      <c r="E566" s="1" t="n">
        <v>46223</v>
      </c>
      <c r="F566" t="inlineStr">
        <is>
          <t>JÄMTLANDS LÄN</t>
        </is>
      </c>
      <c r="G566" t="inlineStr">
        <is>
          <t>HÄRJEDALEN</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9092-2026</t>
        </is>
      </c>
      <c r="B567" t="inlineStr">
        <is>
          <t>avverkningsanmälan</t>
        </is>
      </c>
      <c r="C567" t="inlineStr">
        <is>
          <t>Föryngringsavverkning</t>
        </is>
      </c>
      <c r="D567" s="1" t="n">
        <v>46069</v>
      </c>
      <c r="E567" s="1" t="n">
        <v>46223</v>
      </c>
      <c r="F567" t="inlineStr">
        <is>
          <t>JÄMTLANDS LÄN</t>
        </is>
      </c>
      <c r="G567" t="inlineStr">
        <is>
          <t>HÄRJEDALEN</t>
        </is>
      </c>
      <c r="I567" t="n">
        <v>4.8</v>
      </c>
      <c r="J567" t="n">
        <v>0</v>
      </c>
      <c r="K567" t="n">
        <v>0</v>
      </c>
      <c r="L567" t="n">
        <v>0</v>
      </c>
      <c r="M567" t="n">
        <v>0</v>
      </c>
      <c r="N567" t="n">
        <v>0</v>
      </c>
      <c r="O567" t="n">
        <v>0</v>
      </c>
      <c r="P567" t="n">
        <v>0</v>
      </c>
      <c r="Q567" t="n">
        <v>0</v>
      </c>
      <c r="R567" t="n">
        <v>0</v>
      </c>
      <c r="S567" t="n">
        <v>0</v>
      </c>
      <c r="T567" t="n">
        <v>0</v>
      </c>
      <c r="U567" s="2" t="inlineStr"/>
    </row>
    <row r="568" ht="15" customHeight="1">
      <c r="A568" t="inlineStr">
        <is>
          <t>A 9089-2026</t>
        </is>
      </c>
      <c r="B568" t="inlineStr">
        <is>
          <t>avverkningsanmälan</t>
        </is>
      </c>
      <c r="C568" t="inlineStr">
        <is>
          <t>Föryngringsavverkning</t>
        </is>
      </c>
      <c r="D568" s="1" t="n">
        <v>46069</v>
      </c>
      <c r="E568" s="1" t="n">
        <v>46223</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s="2" t="inlineStr"/>
    </row>
    <row r="569" ht="15" customHeight="1">
      <c r="A569" t="inlineStr">
        <is>
          <t>A 53631-2025</t>
        </is>
      </c>
      <c r="B569" t="inlineStr">
        <is>
          <t>avverkningsanmälan</t>
        </is>
      </c>
      <c r="C569" t="inlineStr">
        <is>
          <t>Föryngringsavverkning</t>
        </is>
      </c>
      <c r="D569" s="1" t="n">
        <v>45960</v>
      </c>
      <c r="E569" s="1" t="n">
        <v>46223</v>
      </c>
      <c r="F569" t="inlineStr">
        <is>
          <t>JÄMTLANDS LÄN</t>
        </is>
      </c>
      <c r="G569" t="inlineStr">
        <is>
          <t>HÄRJEDALEN</t>
        </is>
      </c>
      <c r="H569" t="inlineStr">
        <is>
          <t>Bergvik skog väst AB</t>
        </is>
      </c>
      <c r="I569" t="n">
        <v>10</v>
      </c>
      <c r="J569" t="n">
        <v>0</v>
      </c>
      <c r="K569" t="n">
        <v>0</v>
      </c>
      <c r="L569" t="n">
        <v>0</v>
      </c>
      <c r="M569" t="n">
        <v>0</v>
      </c>
      <c r="N569" t="n">
        <v>0</v>
      </c>
      <c r="O569" t="n">
        <v>0</v>
      </c>
      <c r="P569" t="n">
        <v>0</v>
      </c>
      <c r="Q569" t="n">
        <v>0</v>
      </c>
      <c r="R569" t="n">
        <v>0</v>
      </c>
      <c r="S569" t="n">
        <v>0</v>
      </c>
      <c r="T569" t="n">
        <v>0</v>
      </c>
      <c r="U569" s="2" t="inlineStr"/>
    </row>
    <row r="570" ht="15" customHeight="1">
      <c r="A570" t="inlineStr">
        <is>
          <t>A 32064-2024</t>
        </is>
      </c>
      <c r="B570" t="inlineStr">
        <is>
          <t>avverkningsanmälan</t>
        </is>
      </c>
      <c r="C570" t="inlineStr">
        <is>
          <t>Avverkning för annat ändamål</t>
        </is>
      </c>
      <c r="D570" s="1" t="n">
        <v>45510</v>
      </c>
      <c r="E570" s="1" t="n">
        <v>46223</v>
      </c>
      <c r="F570" t="inlineStr">
        <is>
          <t>JÄMTLANDS LÄN</t>
        </is>
      </c>
      <c r="G570" t="inlineStr">
        <is>
          <t>HÄRJEDALEN</t>
        </is>
      </c>
      <c r="H570" t="inlineStr">
        <is>
          <t>SCA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41146-2021</t>
        </is>
      </c>
      <c r="B571" t="inlineStr">
        <is>
          <t>avverkningsanmälan</t>
        </is>
      </c>
      <c r="C571" t="inlineStr">
        <is>
          <t>Föryngringsavverkning</t>
        </is>
      </c>
      <c r="D571" s="1" t="n">
        <v>44423</v>
      </c>
      <c r="E571" s="1" t="n">
        <v>46223</v>
      </c>
      <c r="F571" t="inlineStr">
        <is>
          <t>JÄMTLANDS LÄN</t>
        </is>
      </c>
      <c r="G571" t="inlineStr">
        <is>
          <t>HÄRJEDALEN</t>
        </is>
      </c>
      <c r="I571" t="n">
        <v>14.9</v>
      </c>
      <c r="J571" t="n">
        <v>0</v>
      </c>
      <c r="K571" t="n">
        <v>0</v>
      </c>
      <c r="L571" t="n">
        <v>0</v>
      </c>
      <c r="M571" t="n">
        <v>0</v>
      </c>
      <c r="N571" t="n">
        <v>0</v>
      </c>
      <c r="O571" t="n">
        <v>0</v>
      </c>
      <c r="P571" t="n">
        <v>0</v>
      </c>
      <c r="Q571" t="n">
        <v>0</v>
      </c>
      <c r="R571" t="n">
        <v>0</v>
      </c>
      <c r="S571" t="n">
        <v>0</v>
      </c>
      <c r="T571" t="n">
        <v>0</v>
      </c>
      <c r="U571" s="2" t="inlineStr"/>
    </row>
    <row r="572" ht="15" customHeight="1">
      <c r="A572" t="inlineStr">
        <is>
          <t>A 41146-2021</t>
        </is>
      </c>
      <c r="B572" t="inlineStr">
        <is>
          <t>avverkningsanmälan</t>
        </is>
      </c>
      <c r="C572" t="inlineStr">
        <is>
          <t>Föryngringsavverkning</t>
        </is>
      </c>
      <c r="D572" s="1" t="n">
        <v>44423</v>
      </c>
      <c r="E572" s="1" t="n">
        <v>46223</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s="2" t="inlineStr"/>
    </row>
    <row r="573" ht="15" customHeight="1">
      <c r="A573" t="inlineStr">
        <is>
          <t>A 54661-2022</t>
        </is>
      </c>
      <c r="B573" t="inlineStr">
        <is>
          <t>avverkningsanmälan</t>
        </is>
      </c>
      <c r="C573" t="inlineStr">
        <is>
          <t>Föryngringsavverkning</t>
        </is>
      </c>
      <c r="D573" s="1" t="n">
        <v>44883</v>
      </c>
      <c r="E573" s="1" t="n">
        <v>46223</v>
      </c>
      <c r="F573" t="inlineStr">
        <is>
          <t>JÄMTLANDS LÄN</t>
        </is>
      </c>
      <c r="G573" t="inlineStr">
        <is>
          <t>HÄRJEDALEN</t>
        </is>
      </c>
      <c r="I573" t="n">
        <v>5.9</v>
      </c>
      <c r="J573" t="n">
        <v>0</v>
      </c>
      <c r="K573" t="n">
        <v>0</v>
      </c>
      <c r="L573" t="n">
        <v>0</v>
      </c>
      <c r="M573" t="n">
        <v>0</v>
      </c>
      <c r="N573" t="n">
        <v>0</v>
      </c>
      <c r="O573" t="n">
        <v>0</v>
      </c>
      <c r="P573" t="n">
        <v>0</v>
      </c>
      <c r="Q573" t="n">
        <v>0</v>
      </c>
      <c r="R573" t="n">
        <v>0</v>
      </c>
      <c r="S573" t="n">
        <v>0</v>
      </c>
      <c r="T573" t="n">
        <v>0</v>
      </c>
      <c r="U573" s="2" t="inlineStr"/>
    </row>
    <row r="574" ht="15" customHeight="1">
      <c r="A574" t="inlineStr">
        <is>
          <t>A 51931-2025</t>
        </is>
      </c>
      <c r="B574" t="inlineStr">
        <is>
          <t>avverkningsanmälan</t>
        </is>
      </c>
      <c r="C574" t="inlineStr">
        <is>
          <t>Föryngringsavverkning</t>
        </is>
      </c>
      <c r="D574" s="1" t="n">
        <v>45952</v>
      </c>
      <c r="E574" s="1" t="n">
        <v>46223</v>
      </c>
      <c r="F574" t="inlineStr">
        <is>
          <t>JÄMTLANDS LÄN</t>
        </is>
      </c>
      <c r="G574" t="inlineStr">
        <is>
          <t>HÄRJEDALEN</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9485-2026</t>
        </is>
      </c>
      <c r="B575" t="inlineStr">
        <is>
          <t>avverkningsanmälan</t>
        </is>
      </c>
      <c r="C575" t="inlineStr">
        <is>
          <t>Föryngringsavverkning</t>
        </is>
      </c>
      <c r="D575" s="1" t="n">
        <v>46071</v>
      </c>
      <c r="E575" s="1" t="n">
        <v>46223</v>
      </c>
      <c r="F575" t="inlineStr">
        <is>
          <t>JÄMTLANDS LÄN</t>
        </is>
      </c>
      <c r="G575" t="inlineStr">
        <is>
          <t>HÄRJEDALEN</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5101-2025</t>
        </is>
      </c>
      <c r="B576" t="inlineStr">
        <is>
          <t>avverkningsanmälan</t>
        </is>
      </c>
      <c r="C576" t="inlineStr">
        <is>
          <t>Föryngringsavverkning</t>
        </is>
      </c>
      <c r="D576" s="1" t="n">
        <v>45691</v>
      </c>
      <c r="E576" s="1" t="n">
        <v>46223</v>
      </c>
      <c r="F576" t="inlineStr">
        <is>
          <t>JÄMTLANDS LÄN</t>
        </is>
      </c>
      <c r="G576" t="inlineStr">
        <is>
          <t>HÄRJEDALEN</t>
        </is>
      </c>
      <c r="H576" t="inlineStr">
        <is>
          <t>Holmen skog AB</t>
        </is>
      </c>
      <c r="I576" t="n">
        <v>33.5</v>
      </c>
      <c r="J576" t="n">
        <v>0</v>
      </c>
      <c r="K576" t="n">
        <v>0</v>
      </c>
      <c r="L576" t="n">
        <v>0</v>
      </c>
      <c r="M576" t="n">
        <v>0</v>
      </c>
      <c r="N576" t="n">
        <v>0</v>
      </c>
      <c r="O576" t="n">
        <v>0</v>
      </c>
      <c r="P576" t="n">
        <v>0</v>
      </c>
      <c r="Q576" t="n">
        <v>0</v>
      </c>
      <c r="R576" t="n">
        <v>0</v>
      </c>
      <c r="S576" t="n">
        <v>0</v>
      </c>
      <c r="T576" t="n">
        <v>0</v>
      </c>
      <c r="U576" s="2" t="inlineStr"/>
    </row>
    <row r="577" ht="15" customHeight="1">
      <c r="A577" t="inlineStr">
        <is>
          <t>A 55228-2024</t>
        </is>
      </c>
      <c r="B577" t="inlineStr">
        <is>
          <t>avverkningsanmälan</t>
        </is>
      </c>
      <c r="C577" t="inlineStr">
        <is>
          <t>Föryngringsavverkning</t>
        </is>
      </c>
      <c r="D577" s="1" t="n">
        <v>45621</v>
      </c>
      <c r="E577" s="1" t="n">
        <v>46223</v>
      </c>
      <c r="F577" t="inlineStr">
        <is>
          <t>JÄMTLANDS LÄN</t>
        </is>
      </c>
      <c r="G577" t="inlineStr">
        <is>
          <t>HÄRJEDALEN</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55246-2024</t>
        </is>
      </c>
      <c r="B578" t="inlineStr">
        <is>
          <t>avverkningsanmälan</t>
        </is>
      </c>
      <c r="C578" t="inlineStr">
        <is>
          <t>Föryngringsavverkning</t>
        </is>
      </c>
      <c r="D578" s="1" t="n">
        <v>45621</v>
      </c>
      <c r="E578" s="1" t="n">
        <v>46223</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29791-2024</t>
        </is>
      </c>
      <c r="B579" t="inlineStr">
        <is>
          <t>avverkningsanmälan</t>
        </is>
      </c>
      <c r="C579" t="inlineStr">
        <is>
          <t>Föryngringsavverkning</t>
        </is>
      </c>
      <c r="D579" s="1" t="n">
        <v>45485</v>
      </c>
      <c r="E579" s="1" t="n">
        <v>46223</v>
      </c>
      <c r="F579" t="inlineStr">
        <is>
          <t>JÄMTLANDS LÄN</t>
        </is>
      </c>
      <c r="G579" t="inlineStr">
        <is>
          <t>HÄRJEDALEN</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53992-2025</t>
        </is>
      </c>
      <c r="B580" t="inlineStr">
        <is>
          <t>avverkningsanmälan</t>
        </is>
      </c>
      <c r="C580" t="inlineStr">
        <is>
          <t>Föryngringsavverkning</t>
        </is>
      </c>
      <c r="D580" s="1" t="n">
        <v>45961</v>
      </c>
      <c r="E580" s="1" t="n">
        <v>46223</v>
      </c>
      <c r="F580" t="inlineStr">
        <is>
          <t>JÄMTLANDS LÄN</t>
        </is>
      </c>
      <c r="G580" t="inlineStr">
        <is>
          <t>HÄRJEDALEN</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35-2023</t>
        </is>
      </c>
      <c r="B581" t="inlineStr">
        <is>
          <t>avverkningsanmälan</t>
        </is>
      </c>
      <c r="C581" t="inlineStr">
        <is>
          <t>Föryngringsavverkning</t>
        </is>
      </c>
      <c r="D581" s="1" t="n">
        <v>44928</v>
      </c>
      <c r="E581" s="1" t="n">
        <v>46223</v>
      </c>
      <c r="F581" t="inlineStr">
        <is>
          <t>JÄMTLANDS LÄN</t>
        </is>
      </c>
      <c r="G581" t="inlineStr">
        <is>
          <t>HÄRJEDALEN</t>
        </is>
      </c>
      <c r="H581" t="inlineStr">
        <is>
          <t>Holmen skog AB</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53980-2025</t>
        </is>
      </c>
      <c r="B582" t="inlineStr">
        <is>
          <t>avverkningsanmälan</t>
        </is>
      </c>
      <c r="C582" t="inlineStr">
        <is>
          <t>Föryngringsavverkning</t>
        </is>
      </c>
      <c r="D582" s="1" t="n">
        <v>45961</v>
      </c>
      <c r="E582" s="1" t="n">
        <v>46223</v>
      </c>
      <c r="F582" t="inlineStr">
        <is>
          <t>JÄMTLANDS LÄN</t>
        </is>
      </c>
      <c r="G582" t="inlineStr">
        <is>
          <t>HÄRJEDALEN</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54476-2025</t>
        </is>
      </c>
      <c r="B583" t="inlineStr">
        <is>
          <t>avverkningsanmälan</t>
        </is>
      </c>
      <c r="C583" t="inlineStr">
        <is>
          <t>Föryngringsavverkning</t>
        </is>
      </c>
      <c r="D583" s="1" t="n">
        <v>45965</v>
      </c>
      <c r="E583" s="1" t="n">
        <v>46223</v>
      </c>
      <c r="F583" t="inlineStr">
        <is>
          <t>JÄMTLANDS LÄN</t>
        </is>
      </c>
      <c r="G583" t="inlineStr">
        <is>
          <t>HÄRJEDALEN</t>
        </is>
      </c>
      <c r="H583" t="inlineStr">
        <is>
          <t>Bergvik skog väst AB</t>
        </is>
      </c>
      <c r="I583" t="n">
        <v>9.699999999999999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8091-2025</t>
        </is>
      </c>
      <c r="B584" t="inlineStr">
        <is>
          <t>avverkningsanmälan</t>
        </is>
      </c>
      <c r="C584" t="inlineStr">
        <is>
          <t>Föryngringsavverkning</t>
        </is>
      </c>
      <c r="D584" s="1" t="n">
        <v>45707</v>
      </c>
      <c r="E584" s="1" t="n">
        <v>46223</v>
      </c>
      <c r="F584" t="inlineStr">
        <is>
          <t>JÄMTLANDS LÄN</t>
        </is>
      </c>
      <c r="G584" t="inlineStr">
        <is>
          <t>HÄRJEDALEN</t>
        </is>
      </c>
      <c r="I584" t="n">
        <v>3.3</v>
      </c>
      <c r="J584" t="n">
        <v>0</v>
      </c>
      <c r="K584" t="n">
        <v>0</v>
      </c>
      <c r="L584" t="n">
        <v>0</v>
      </c>
      <c r="M584" t="n">
        <v>0</v>
      </c>
      <c r="N584" t="n">
        <v>0</v>
      </c>
      <c r="O584" t="n">
        <v>0</v>
      </c>
      <c r="P584" t="n">
        <v>0</v>
      </c>
      <c r="Q584" t="n">
        <v>0</v>
      </c>
      <c r="R584" t="n">
        <v>0</v>
      </c>
      <c r="S584" t="n">
        <v>0</v>
      </c>
      <c r="T584" t="n">
        <v>0</v>
      </c>
      <c r="U584" s="2" t="inlineStr"/>
    </row>
    <row r="585" ht="15" customHeight="1">
      <c r="A585" t="inlineStr">
        <is>
          <t>A 34627-2022</t>
        </is>
      </c>
      <c r="B585" t="inlineStr">
        <is>
          <t>avverkningsanmälan</t>
        </is>
      </c>
      <c r="C585" t="inlineStr">
        <is>
          <t>Föryngringsavverkning</t>
        </is>
      </c>
      <c r="D585" s="1" t="n">
        <v>44795</v>
      </c>
      <c r="E585" s="1" t="n">
        <v>46223</v>
      </c>
      <c r="F585" t="inlineStr">
        <is>
          <t>JÄMTLANDS LÄN</t>
        </is>
      </c>
      <c r="G585" t="inlineStr">
        <is>
          <t>HÄRJEDALEN</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54336-2025</t>
        </is>
      </c>
      <c r="B586" t="inlineStr">
        <is>
          <t>avverkningsanmälan</t>
        </is>
      </c>
      <c r="C586" t="inlineStr">
        <is>
          <t>Föryngringsavverkning</t>
        </is>
      </c>
      <c r="D586" s="1" t="n">
        <v>45965</v>
      </c>
      <c r="E586" s="1" t="n">
        <v>46223</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54358-2025</t>
        </is>
      </c>
      <c r="B587" t="inlineStr">
        <is>
          <t>avverkningsanmälan</t>
        </is>
      </c>
      <c r="C587" t="inlineStr">
        <is>
          <t>Föryngringsavverkning</t>
        </is>
      </c>
      <c r="D587" s="1" t="n">
        <v>45965</v>
      </c>
      <c r="E587" s="1" t="n">
        <v>46223</v>
      </c>
      <c r="F587" t="inlineStr">
        <is>
          <t>JÄMTLANDS LÄN</t>
        </is>
      </c>
      <c r="G587" t="inlineStr">
        <is>
          <t>HÄRJEDALEN</t>
        </is>
      </c>
      <c r="H587" t="inlineStr">
        <is>
          <t>Bergvik skog väst AB</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54354-2025</t>
        </is>
      </c>
      <c r="B588" t="inlineStr">
        <is>
          <t>avverkningsanmälan</t>
        </is>
      </c>
      <c r="C588" t="inlineStr">
        <is>
          <t>Föryngringsavverkning</t>
        </is>
      </c>
      <c r="D588" s="1" t="n">
        <v>45965</v>
      </c>
      <c r="E588" s="1" t="n">
        <v>46223</v>
      </c>
      <c r="F588" t="inlineStr">
        <is>
          <t>JÄMTLANDS LÄN</t>
        </is>
      </c>
      <c r="G588" t="inlineStr">
        <is>
          <t>HÄRJEDALEN</t>
        </is>
      </c>
      <c r="H588" t="inlineStr">
        <is>
          <t>Bergvik skog väst AB</t>
        </is>
      </c>
      <c r="I588" t="n">
        <v>10.9</v>
      </c>
      <c r="J588" t="n">
        <v>0</v>
      </c>
      <c r="K588" t="n">
        <v>0</v>
      </c>
      <c r="L588" t="n">
        <v>0</v>
      </c>
      <c r="M588" t="n">
        <v>0</v>
      </c>
      <c r="N588" t="n">
        <v>0</v>
      </c>
      <c r="O588" t="n">
        <v>0</v>
      </c>
      <c r="P588" t="n">
        <v>0</v>
      </c>
      <c r="Q588" t="n">
        <v>0</v>
      </c>
      <c r="R588" t="n">
        <v>0</v>
      </c>
      <c r="S588" t="n">
        <v>0</v>
      </c>
      <c r="T588" t="n">
        <v>0</v>
      </c>
      <c r="U588" s="2" t="inlineStr"/>
    </row>
    <row r="589" ht="15" customHeight="1">
      <c r="A589" t="inlineStr">
        <is>
          <t>A 7622-2025</t>
        </is>
      </c>
      <c r="B589" t="inlineStr">
        <is>
          <t>avverkningsanmälan</t>
        </is>
      </c>
      <c r="C589" t="inlineStr">
        <is>
          <t>Föryngringsavverkning</t>
        </is>
      </c>
      <c r="D589" s="1" t="n">
        <v>45705</v>
      </c>
      <c r="E589" s="1" t="n">
        <v>46223</v>
      </c>
      <c r="F589" t="inlineStr">
        <is>
          <t>JÄMTLANDS LÄN</t>
        </is>
      </c>
      <c r="G589" t="inlineStr">
        <is>
          <t>HÄRJEDALEN</t>
        </is>
      </c>
      <c r="I589" t="n">
        <v>2.7</v>
      </c>
      <c r="J589" t="n">
        <v>0</v>
      </c>
      <c r="K589" t="n">
        <v>0</v>
      </c>
      <c r="L589" t="n">
        <v>0</v>
      </c>
      <c r="M589" t="n">
        <v>0</v>
      </c>
      <c r="N589" t="n">
        <v>0</v>
      </c>
      <c r="O589" t="n">
        <v>0</v>
      </c>
      <c r="P589" t="n">
        <v>0</v>
      </c>
      <c r="Q589" t="n">
        <v>0</v>
      </c>
      <c r="R589" t="n">
        <v>0</v>
      </c>
      <c r="S589" t="n">
        <v>0</v>
      </c>
      <c r="T589" t="n">
        <v>0</v>
      </c>
      <c r="U589" s="2" t="inlineStr"/>
    </row>
    <row r="590" ht="15" customHeight="1">
      <c r="A590" t="inlineStr">
        <is>
          <t>A 35076-2025</t>
        </is>
      </c>
      <c r="B590" t="inlineStr">
        <is>
          <t>avverkningsanmälan</t>
        </is>
      </c>
      <c r="C590" t="inlineStr">
        <is>
          <t>Föryngringsavverkning</t>
        </is>
      </c>
      <c r="D590" s="1" t="n">
        <v>45852</v>
      </c>
      <c r="E590" s="1" t="n">
        <v>46223</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54764-2025</t>
        </is>
      </c>
      <c r="B591" t="inlineStr">
        <is>
          <t>avverkningsanmälan</t>
        </is>
      </c>
      <c r="C591" t="inlineStr">
        <is>
          <t>Föryngringsavverkning</t>
        </is>
      </c>
      <c r="D591" s="1" t="n">
        <v>45966</v>
      </c>
      <c r="E591" s="1" t="n">
        <v>46223</v>
      </c>
      <c r="F591" t="inlineStr">
        <is>
          <t>JÄMTLANDS LÄN</t>
        </is>
      </c>
      <c r="G591" t="inlineStr">
        <is>
          <t>HÄRJEDALEN</t>
        </is>
      </c>
      <c r="H591" t="inlineStr">
        <is>
          <t>Bergvik skog väst AB</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30082-2022</t>
        </is>
      </c>
      <c r="B592" t="inlineStr">
        <is>
          <t>avverkningsanmälan</t>
        </is>
      </c>
      <c r="C592" t="inlineStr">
        <is>
          <t>Föryngringsavverkning</t>
        </is>
      </c>
      <c r="D592" s="1" t="n">
        <v>44757</v>
      </c>
      <c r="E592" s="1" t="n">
        <v>46223</v>
      </c>
      <c r="F592" t="inlineStr">
        <is>
          <t>JÄMTLANDS LÄN</t>
        </is>
      </c>
      <c r="G592" t="inlineStr">
        <is>
          <t>HÄRJEDALEN</t>
        </is>
      </c>
      <c r="I592" t="n">
        <v>3</v>
      </c>
      <c r="J592" t="n">
        <v>0</v>
      </c>
      <c r="K592" t="n">
        <v>0</v>
      </c>
      <c r="L592" t="n">
        <v>0</v>
      </c>
      <c r="M592" t="n">
        <v>0</v>
      </c>
      <c r="N592" t="n">
        <v>0</v>
      </c>
      <c r="O592" t="n">
        <v>0</v>
      </c>
      <c r="P592" t="n">
        <v>0</v>
      </c>
      <c r="Q592" t="n">
        <v>0</v>
      </c>
      <c r="R592" t="n">
        <v>0</v>
      </c>
      <c r="S592" t="n">
        <v>0</v>
      </c>
      <c r="T592" t="n">
        <v>0</v>
      </c>
      <c r="U592" s="2" t="inlineStr"/>
    </row>
    <row r="593" ht="15" customHeight="1">
      <c r="A593" t="inlineStr">
        <is>
          <t>A 18893-2025</t>
        </is>
      </c>
      <c r="B593" t="inlineStr">
        <is>
          <t>avverkningsanmälan</t>
        </is>
      </c>
      <c r="C593" t="inlineStr">
        <is>
          <t>Föryngringsavverkning</t>
        </is>
      </c>
      <c r="D593" s="1" t="n">
        <v>45764</v>
      </c>
      <c r="E593" s="1" t="n">
        <v>46223</v>
      </c>
      <c r="F593" t="inlineStr">
        <is>
          <t>JÄMTLANDS LÄN</t>
        </is>
      </c>
      <c r="G593" t="inlineStr">
        <is>
          <t>HÄRJEDALEN</t>
        </is>
      </c>
      <c r="H593" t="inlineStr">
        <is>
          <t>SCA</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55680-2025</t>
        </is>
      </c>
      <c r="B594" t="inlineStr">
        <is>
          <t>avverkningsanmälan</t>
        </is>
      </c>
      <c r="C594" t="inlineStr">
        <is>
          <t>Föryngringsavverkning</t>
        </is>
      </c>
      <c r="D594" s="1" t="n">
        <v>45972</v>
      </c>
      <c r="E594" s="1" t="n">
        <v>46223</v>
      </c>
      <c r="F594" t="inlineStr">
        <is>
          <t>JÄMTLANDS LÄN</t>
        </is>
      </c>
      <c r="G594" t="inlineStr">
        <is>
          <t>HÄRJEDALEN</t>
        </is>
      </c>
      <c r="H594" t="inlineStr">
        <is>
          <t>Bergvik skog väst AB</t>
        </is>
      </c>
      <c r="I594" t="n">
        <v>15.1</v>
      </c>
      <c r="J594" t="n">
        <v>0</v>
      </c>
      <c r="K594" t="n">
        <v>0</v>
      </c>
      <c r="L594" t="n">
        <v>0</v>
      </c>
      <c r="M594" t="n">
        <v>0</v>
      </c>
      <c r="N594" t="n">
        <v>0</v>
      </c>
      <c r="O594" t="n">
        <v>0</v>
      </c>
      <c r="P594" t="n">
        <v>0</v>
      </c>
      <c r="Q594" t="n">
        <v>0</v>
      </c>
      <c r="R594" t="n">
        <v>0</v>
      </c>
      <c r="S594" t="n">
        <v>0</v>
      </c>
      <c r="T594" t="n">
        <v>0</v>
      </c>
      <c r="U594" s="2" t="inlineStr"/>
    </row>
    <row r="595" ht="15" customHeight="1">
      <c r="A595" t="inlineStr">
        <is>
          <t>A 55465-2025</t>
        </is>
      </c>
      <c r="B595" t="inlineStr">
        <is>
          <t>avverkningsanmälan</t>
        </is>
      </c>
      <c r="C595" t="inlineStr">
        <is>
          <t>Föryngringsavverkning</t>
        </is>
      </c>
      <c r="D595" s="1" t="n">
        <v>45971</v>
      </c>
      <c r="E595" s="1" t="n">
        <v>46223</v>
      </c>
      <c r="F595" t="inlineStr">
        <is>
          <t>JÄMTLANDS LÄN</t>
        </is>
      </c>
      <c r="G595" t="inlineStr">
        <is>
          <t>HÄRJEDALEN</t>
        </is>
      </c>
      <c r="I595" t="n">
        <v>6.1</v>
      </c>
      <c r="J595" t="n">
        <v>0</v>
      </c>
      <c r="K595" t="n">
        <v>0</v>
      </c>
      <c r="L595" t="n">
        <v>0</v>
      </c>
      <c r="M595" t="n">
        <v>0</v>
      </c>
      <c r="N595" t="n">
        <v>0</v>
      </c>
      <c r="O595" t="n">
        <v>0</v>
      </c>
      <c r="P595" t="n">
        <v>0</v>
      </c>
      <c r="Q595" t="n">
        <v>0</v>
      </c>
      <c r="R595" t="n">
        <v>0</v>
      </c>
      <c r="S595" t="n">
        <v>0</v>
      </c>
      <c r="T595" t="n">
        <v>0</v>
      </c>
      <c r="U595" s="2" t="inlineStr"/>
    </row>
    <row r="596" ht="15" customHeight="1">
      <c r="A596" t="inlineStr">
        <is>
          <t>A 44519-2021</t>
        </is>
      </c>
      <c r="B596" t="inlineStr">
        <is>
          <t>avverkningsanmälan</t>
        </is>
      </c>
      <c r="C596" t="inlineStr">
        <is>
          <t>Föryngringsavverkning</t>
        </is>
      </c>
      <c r="D596" s="1" t="n">
        <v>44435</v>
      </c>
      <c r="E596" s="1" t="n">
        <v>46223</v>
      </c>
      <c r="F596" t="inlineStr">
        <is>
          <t>JÄMTLANDS LÄN</t>
        </is>
      </c>
      <c r="G596" t="inlineStr">
        <is>
          <t>HÄRJEDALEN</t>
        </is>
      </c>
      <c r="H596" t="inlineStr">
        <is>
          <t>Kyrkan</t>
        </is>
      </c>
      <c r="I596" t="n">
        <v>6.7</v>
      </c>
      <c r="J596" t="n">
        <v>0</v>
      </c>
      <c r="K596" t="n">
        <v>0</v>
      </c>
      <c r="L596" t="n">
        <v>0</v>
      </c>
      <c r="M596" t="n">
        <v>0</v>
      </c>
      <c r="N596" t="n">
        <v>0</v>
      </c>
      <c r="O596" t="n">
        <v>0</v>
      </c>
      <c r="P596" t="n">
        <v>0</v>
      </c>
      <c r="Q596" t="n">
        <v>0</v>
      </c>
      <c r="R596" t="n">
        <v>0</v>
      </c>
      <c r="S596" t="n">
        <v>0</v>
      </c>
      <c r="T596" t="n">
        <v>0</v>
      </c>
      <c r="U596" s="2" t="inlineStr"/>
    </row>
    <row r="597" ht="15" customHeight="1">
      <c r="A597" t="inlineStr">
        <is>
          <t>A 44060-2024</t>
        </is>
      </c>
      <c r="B597" t="inlineStr">
        <is>
          <t>avverkningsanmälan</t>
        </is>
      </c>
      <c r="C597" t="inlineStr">
        <is>
          <t>Föryngringsavverkning</t>
        </is>
      </c>
      <c r="D597" s="1" t="n">
        <v>45572</v>
      </c>
      <c r="E597" s="1" t="n">
        <v>46223</v>
      </c>
      <c r="F597" t="inlineStr">
        <is>
          <t>JÄMTLANDS LÄN</t>
        </is>
      </c>
      <c r="G597" t="inlineStr">
        <is>
          <t>HÄRJEDALEN</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55761-2025</t>
        </is>
      </c>
      <c r="B598" t="inlineStr">
        <is>
          <t>avverkningsanmälan</t>
        </is>
      </c>
      <c r="C598" t="inlineStr">
        <is>
          <t>Föryngringsavverkning</t>
        </is>
      </c>
      <c r="D598" s="1" t="n">
        <v>45972</v>
      </c>
      <c r="E598" s="1" t="n">
        <v>46223</v>
      </c>
      <c r="F598" t="inlineStr">
        <is>
          <t>JÄMTLANDS LÄN</t>
        </is>
      </c>
      <c r="G598" t="inlineStr">
        <is>
          <t>HÄRJEDALEN</t>
        </is>
      </c>
      <c r="H598" t="inlineStr">
        <is>
          <t>Bergvik skog väst AB</t>
        </is>
      </c>
      <c r="I598" t="n">
        <v>20.8</v>
      </c>
      <c r="J598" t="n">
        <v>0</v>
      </c>
      <c r="K598" t="n">
        <v>0</v>
      </c>
      <c r="L598" t="n">
        <v>0</v>
      </c>
      <c r="M598" t="n">
        <v>0</v>
      </c>
      <c r="N598" t="n">
        <v>0</v>
      </c>
      <c r="O598" t="n">
        <v>0</v>
      </c>
      <c r="P598" t="n">
        <v>0</v>
      </c>
      <c r="Q598" t="n">
        <v>0</v>
      </c>
      <c r="R598" t="n">
        <v>0</v>
      </c>
      <c r="S598" t="n">
        <v>0</v>
      </c>
      <c r="T598" t="n">
        <v>0</v>
      </c>
      <c r="U598" s="2" t="inlineStr"/>
    </row>
    <row r="599" ht="15" customHeight="1">
      <c r="A599" t="inlineStr">
        <is>
          <t>A 56176-2025</t>
        </is>
      </c>
      <c r="B599" t="inlineStr">
        <is>
          <t>avverkningsanmälan</t>
        </is>
      </c>
      <c r="C599" t="inlineStr">
        <is>
          <t>Föryngringsavverkning</t>
        </is>
      </c>
      <c r="D599" s="1" t="n">
        <v>45974</v>
      </c>
      <c r="E599" s="1" t="n">
        <v>46223</v>
      </c>
      <c r="F599" t="inlineStr">
        <is>
          <t>JÄMTLANDS LÄN</t>
        </is>
      </c>
      <c r="G599" t="inlineStr">
        <is>
          <t>HÄRJEDALEN</t>
        </is>
      </c>
      <c r="H599" t="inlineStr">
        <is>
          <t>Bergvik skog väst AB</t>
        </is>
      </c>
      <c r="I599" t="n">
        <v>15.7</v>
      </c>
      <c r="J599" t="n">
        <v>0</v>
      </c>
      <c r="K599" t="n">
        <v>0</v>
      </c>
      <c r="L599" t="n">
        <v>0</v>
      </c>
      <c r="M599" t="n">
        <v>0</v>
      </c>
      <c r="N599" t="n">
        <v>0</v>
      </c>
      <c r="O599" t="n">
        <v>0</v>
      </c>
      <c r="P599" t="n">
        <v>0</v>
      </c>
      <c r="Q599" t="n">
        <v>0</v>
      </c>
      <c r="R599" t="n">
        <v>0</v>
      </c>
      <c r="S599" t="n">
        <v>0</v>
      </c>
      <c r="T599" t="n">
        <v>0</v>
      </c>
      <c r="U599" s="2" t="inlineStr"/>
    </row>
    <row r="600" ht="15" customHeight="1">
      <c r="A600" t="inlineStr">
        <is>
          <t>A 56197-2025</t>
        </is>
      </c>
      <c r="B600" t="inlineStr">
        <is>
          <t>avverkningsanmälan</t>
        </is>
      </c>
      <c r="C600" t="inlineStr">
        <is>
          <t>Föryngringsavverkning</t>
        </is>
      </c>
      <c r="D600" s="1" t="n">
        <v>45974</v>
      </c>
      <c r="E600" s="1" t="n">
        <v>46223</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s="2" t="inlineStr"/>
    </row>
    <row r="601" ht="15" customHeight="1">
      <c r="A601" t="inlineStr">
        <is>
          <t>A 55940-2025</t>
        </is>
      </c>
      <c r="B601" t="inlineStr">
        <is>
          <t>avverkningsanmälan</t>
        </is>
      </c>
      <c r="C601" t="inlineStr">
        <is>
          <t>Föryngringsavverkning</t>
        </is>
      </c>
      <c r="D601" s="1" t="n">
        <v>45973</v>
      </c>
      <c r="E601" s="1" t="n">
        <v>46223</v>
      </c>
      <c r="F601" t="inlineStr">
        <is>
          <t>JÄMTLANDS LÄN</t>
        </is>
      </c>
      <c r="G601" t="inlineStr">
        <is>
          <t>HÄRJEDALEN</t>
        </is>
      </c>
      <c r="H601" t="inlineStr">
        <is>
          <t>Holmen skog AB</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19099-2025</t>
        </is>
      </c>
      <c r="B602" t="inlineStr">
        <is>
          <t>avverkningsanmälan</t>
        </is>
      </c>
      <c r="C602" t="inlineStr">
        <is>
          <t>Föryngringsavverkning</t>
        </is>
      </c>
      <c r="D602" s="1" t="n">
        <v>45768</v>
      </c>
      <c r="E602" s="1" t="n">
        <v>46223</v>
      </c>
      <c r="F602" t="inlineStr">
        <is>
          <t>JÄMTLANDS LÄN</t>
        </is>
      </c>
      <c r="G602" t="inlineStr">
        <is>
          <t>HÄRJEDALEN</t>
        </is>
      </c>
      <c r="H602" t="inlineStr">
        <is>
          <t>Sveaskog</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19102-2025</t>
        </is>
      </c>
      <c r="B603" t="inlineStr">
        <is>
          <t>avverkningsanmälan</t>
        </is>
      </c>
      <c r="C603" t="inlineStr">
        <is>
          <t>Föryngringsavverkning</t>
        </is>
      </c>
      <c r="D603" s="1" t="n">
        <v>45768</v>
      </c>
      <c r="E603" s="1" t="n">
        <v>46223</v>
      </c>
      <c r="F603" t="inlineStr">
        <is>
          <t>JÄMTLANDS LÄN</t>
        </is>
      </c>
      <c r="G603" t="inlineStr">
        <is>
          <t>HÄRJEDALEN</t>
        </is>
      </c>
      <c r="H603" t="inlineStr">
        <is>
          <t>Sveaskog</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19103-2025</t>
        </is>
      </c>
      <c r="B604" t="inlineStr">
        <is>
          <t>avverkningsanmälan</t>
        </is>
      </c>
      <c r="C604" t="inlineStr">
        <is>
          <t>Föryngringsavverkning</t>
        </is>
      </c>
      <c r="D604" s="1" t="n">
        <v>45768</v>
      </c>
      <c r="E604" s="1" t="n">
        <v>46223</v>
      </c>
      <c r="F604" t="inlineStr">
        <is>
          <t>JÄMTLANDS LÄN</t>
        </is>
      </c>
      <c r="G604" t="inlineStr">
        <is>
          <t>HÄRJEDALEN</t>
        </is>
      </c>
      <c r="H604" t="inlineStr">
        <is>
          <t>Sveaskog</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56213-2025</t>
        </is>
      </c>
      <c r="B605" t="inlineStr">
        <is>
          <t>avverkningsanmälan</t>
        </is>
      </c>
      <c r="C605" t="inlineStr">
        <is>
          <t>Föryngringsavverkning</t>
        </is>
      </c>
      <c r="D605" s="1" t="n">
        <v>45974</v>
      </c>
      <c r="E605" s="1" t="n">
        <v>46223</v>
      </c>
      <c r="F605" t="inlineStr">
        <is>
          <t>JÄMTLANDS LÄN</t>
        </is>
      </c>
      <c r="G605" t="inlineStr">
        <is>
          <t>HÄRJEDALEN</t>
        </is>
      </c>
      <c r="H605" t="inlineStr">
        <is>
          <t>Bergvik skog väst AB</t>
        </is>
      </c>
      <c r="I605" t="n">
        <v>3.4</v>
      </c>
      <c r="J605" t="n">
        <v>0</v>
      </c>
      <c r="K605" t="n">
        <v>0</v>
      </c>
      <c r="L605" t="n">
        <v>0</v>
      </c>
      <c r="M605" t="n">
        <v>0</v>
      </c>
      <c r="N605" t="n">
        <v>0</v>
      </c>
      <c r="O605" t="n">
        <v>0</v>
      </c>
      <c r="P605" t="n">
        <v>0</v>
      </c>
      <c r="Q605" t="n">
        <v>0</v>
      </c>
      <c r="R605" t="n">
        <v>0</v>
      </c>
      <c r="S605" t="n">
        <v>0</v>
      </c>
      <c r="T605" t="n">
        <v>0</v>
      </c>
      <c r="U605" s="2" t="inlineStr"/>
    </row>
    <row r="606" ht="15" customHeight="1">
      <c r="A606" t="inlineStr">
        <is>
          <t>A 55877-2025</t>
        </is>
      </c>
      <c r="B606" t="inlineStr">
        <is>
          <t>avverkningsanmälan</t>
        </is>
      </c>
      <c r="C606" t="inlineStr">
        <is>
          <t>Föryngringsavverkning</t>
        </is>
      </c>
      <c r="D606" s="1" t="n">
        <v>45973</v>
      </c>
      <c r="E606" s="1" t="n">
        <v>46223</v>
      </c>
      <c r="F606" t="inlineStr">
        <is>
          <t>JÄMTLANDS LÄN</t>
        </is>
      </c>
      <c r="G606" t="inlineStr">
        <is>
          <t>HÄRJEDALEN</t>
        </is>
      </c>
      <c r="H606" t="inlineStr">
        <is>
          <t>Holmen skog AB</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55640-2025</t>
        </is>
      </c>
      <c r="B607" t="inlineStr">
        <is>
          <t>avverkningsanmälan</t>
        </is>
      </c>
      <c r="C607" t="inlineStr">
        <is>
          <t>Föryngringsavverkning</t>
        </is>
      </c>
      <c r="D607" s="1" t="n">
        <v>45972</v>
      </c>
      <c r="E607" s="1" t="n">
        <v>46223</v>
      </c>
      <c r="F607" t="inlineStr">
        <is>
          <t>JÄMTLANDS LÄN</t>
        </is>
      </c>
      <c r="G607" t="inlineStr">
        <is>
          <t>HÄRJEDALEN</t>
        </is>
      </c>
      <c r="I607" t="n">
        <v>12.9</v>
      </c>
      <c r="J607" t="n">
        <v>0</v>
      </c>
      <c r="K607" t="n">
        <v>0</v>
      </c>
      <c r="L607" t="n">
        <v>0</v>
      </c>
      <c r="M607" t="n">
        <v>0</v>
      </c>
      <c r="N607" t="n">
        <v>0</v>
      </c>
      <c r="O607" t="n">
        <v>0</v>
      </c>
      <c r="P607" t="n">
        <v>0</v>
      </c>
      <c r="Q607" t="n">
        <v>0</v>
      </c>
      <c r="R607" t="n">
        <v>0</v>
      </c>
      <c r="S607" t="n">
        <v>0</v>
      </c>
      <c r="T607" t="n">
        <v>0</v>
      </c>
      <c r="U607" s="2" t="inlineStr"/>
    </row>
    <row r="608" ht="15" customHeight="1">
      <c r="A608" t="inlineStr">
        <is>
          <t>A 55965-2025</t>
        </is>
      </c>
      <c r="B608" t="inlineStr">
        <is>
          <t>avverkningsanmälan</t>
        </is>
      </c>
      <c r="C608" t="inlineStr">
        <is>
          <t>Föryngringsavverkning</t>
        </is>
      </c>
      <c r="D608" s="1" t="n">
        <v>45973</v>
      </c>
      <c r="E608" s="1" t="n">
        <v>46223</v>
      </c>
      <c r="F608" t="inlineStr">
        <is>
          <t>JÄMTLANDS LÄN</t>
        </is>
      </c>
      <c r="G608" t="inlineStr">
        <is>
          <t>HÄRJEDALEN</t>
        </is>
      </c>
      <c r="H608" t="inlineStr">
        <is>
          <t>Holmen skog AB</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21531-2023</t>
        </is>
      </c>
      <c r="B609" t="inlineStr">
        <is>
          <t>avverkningsanmälan</t>
        </is>
      </c>
      <c r="C609" t="inlineStr">
        <is>
          <t>Föryngringsavverkning</t>
        </is>
      </c>
      <c r="D609" s="1" t="n">
        <v>45063</v>
      </c>
      <c r="E609" s="1" t="n">
        <v>46223</v>
      </c>
      <c r="F609" t="inlineStr">
        <is>
          <t>JÄMTLANDS LÄN</t>
        </is>
      </c>
      <c r="G609" t="inlineStr">
        <is>
          <t>HÄRJEDALEN</t>
        </is>
      </c>
      <c r="I609" t="n">
        <v>14.6</v>
      </c>
      <c r="J609" t="n">
        <v>0</v>
      </c>
      <c r="K609" t="n">
        <v>0</v>
      </c>
      <c r="L609" t="n">
        <v>0</v>
      </c>
      <c r="M609" t="n">
        <v>0</v>
      </c>
      <c r="N609" t="n">
        <v>0</v>
      </c>
      <c r="O609" t="n">
        <v>0</v>
      </c>
      <c r="P609" t="n">
        <v>0</v>
      </c>
      <c r="Q609" t="n">
        <v>0</v>
      </c>
      <c r="R609" t="n">
        <v>0</v>
      </c>
      <c r="S609" t="n">
        <v>0</v>
      </c>
      <c r="T609" t="n">
        <v>0</v>
      </c>
      <c r="U609" s="2" t="inlineStr"/>
    </row>
    <row r="610" ht="15" customHeight="1">
      <c r="A610" t="inlineStr">
        <is>
          <t>A 55890-2025</t>
        </is>
      </c>
      <c r="B610" t="inlineStr">
        <is>
          <t>avverkningsanmälan</t>
        </is>
      </c>
      <c r="C610" t="inlineStr">
        <is>
          <t>Föryngringsavverkning</t>
        </is>
      </c>
      <c r="D610" s="1" t="n">
        <v>45973</v>
      </c>
      <c r="E610" s="1" t="n">
        <v>46223</v>
      </c>
      <c r="F610" t="inlineStr">
        <is>
          <t>JÄMTLANDS LÄN</t>
        </is>
      </c>
      <c r="G610" t="inlineStr">
        <is>
          <t>HÄRJEDALEN</t>
        </is>
      </c>
      <c r="H610" t="inlineStr">
        <is>
          <t>Holmen skog AB</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11877-2025</t>
        </is>
      </c>
      <c r="B611" t="inlineStr">
        <is>
          <t>avverkningsanmälan</t>
        </is>
      </c>
      <c r="C611" t="inlineStr">
        <is>
          <t>Avverkning för att bevara och utveckla /försöksver</t>
        </is>
      </c>
      <c r="D611" s="1" t="n">
        <v>45728</v>
      </c>
      <c r="E611" s="1" t="n">
        <v>46223</v>
      </c>
      <c r="F611" t="inlineStr">
        <is>
          <t>JÄMTLANDS LÄN</t>
        </is>
      </c>
      <c r="G611" t="inlineStr">
        <is>
          <t>HÄRJEDALEN</t>
        </is>
      </c>
      <c r="H611" t="inlineStr">
        <is>
          <t>Bergvik skog väst AB</t>
        </is>
      </c>
      <c r="I611" t="n">
        <v>11.2</v>
      </c>
      <c r="J611" t="n">
        <v>0</v>
      </c>
      <c r="K611" t="n">
        <v>0</v>
      </c>
      <c r="L611" t="n">
        <v>0</v>
      </c>
      <c r="M611" t="n">
        <v>0</v>
      </c>
      <c r="N611" t="n">
        <v>0</v>
      </c>
      <c r="O611" t="n">
        <v>0</v>
      </c>
      <c r="P611" t="n">
        <v>0</v>
      </c>
      <c r="Q611" t="n">
        <v>0</v>
      </c>
      <c r="R611" t="n">
        <v>0</v>
      </c>
      <c r="S611" t="n">
        <v>0</v>
      </c>
      <c r="T611" t="n">
        <v>0</v>
      </c>
      <c r="U611" s="2" t="inlineStr"/>
    </row>
    <row r="612" ht="15" customHeight="1">
      <c r="A612" t="inlineStr">
        <is>
          <t>A 55029-2021</t>
        </is>
      </c>
      <c r="B612" t="inlineStr">
        <is>
          <t>avverkningsanmälan</t>
        </is>
      </c>
      <c r="C612" t="inlineStr">
        <is>
          <t>Föryngringsavverkning</t>
        </is>
      </c>
      <c r="D612" s="1" t="n">
        <v>44474</v>
      </c>
      <c r="E612" s="1" t="n">
        <v>46223</v>
      </c>
      <c r="F612" t="inlineStr">
        <is>
          <t>JÄMTLANDS LÄN</t>
        </is>
      </c>
      <c r="G612" t="inlineStr">
        <is>
          <t>HÄRJEDALEN</t>
        </is>
      </c>
      <c r="I612" t="n">
        <v>6.2</v>
      </c>
      <c r="J612" t="n">
        <v>0</v>
      </c>
      <c r="K612" t="n">
        <v>0</v>
      </c>
      <c r="L612" t="n">
        <v>0</v>
      </c>
      <c r="M612" t="n">
        <v>0</v>
      </c>
      <c r="N612" t="n">
        <v>0</v>
      </c>
      <c r="O612" t="n">
        <v>0</v>
      </c>
      <c r="P612" t="n">
        <v>0</v>
      </c>
      <c r="Q612" t="n">
        <v>0</v>
      </c>
      <c r="R612" t="n">
        <v>0</v>
      </c>
      <c r="S612" t="n">
        <v>0</v>
      </c>
      <c r="T612" t="n">
        <v>0</v>
      </c>
      <c r="U612" s="2" t="inlineStr"/>
    </row>
    <row r="613" ht="15" customHeight="1">
      <c r="A613" t="inlineStr">
        <is>
          <t>A 23358-2025</t>
        </is>
      </c>
      <c r="B613" t="inlineStr">
        <is>
          <t>avverkningsanmälan</t>
        </is>
      </c>
      <c r="C613" t="inlineStr">
        <is>
          <t>Avverkning för annat ändamål</t>
        </is>
      </c>
      <c r="D613" s="1" t="n">
        <v>45791</v>
      </c>
      <c r="E613" s="1" t="n">
        <v>46223</v>
      </c>
      <c r="F613" t="inlineStr">
        <is>
          <t>JÄMTLANDS LÄN</t>
        </is>
      </c>
      <c r="G613" t="inlineStr">
        <is>
          <t>HÄRJEDALEN</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11555-2025</t>
        </is>
      </c>
      <c r="B614" t="inlineStr">
        <is>
          <t>avverkningsanmälan</t>
        </is>
      </c>
      <c r="C614" t="inlineStr">
        <is>
          <t>Avverkning för att bevara och utveckla /försöksver</t>
        </is>
      </c>
      <c r="D614" s="1" t="n">
        <v>45727</v>
      </c>
      <c r="E614" s="1" t="n">
        <v>46223</v>
      </c>
      <c r="F614" t="inlineStr">
        <is>
          <t>JÄMTLANDS LÄN</t>
        </is>
      </c>
      <c r="G614" t="inlineStr">
        <is>
          <t>HÄRJEDALEN</t>
        </is>
      </c>
      <c r="H614" t="inlineStr">
        <is>
          <t>Bergvik skog väst AB</t>
        </is>
      </c>
      <c r="I614" t="n">
        <v>14.2</v>
      </c>
      <c r="J614" t="n">
        <v>0</v>
      </c>
      <c r="K614" t="n">
        <v>0</v>
      </c>
      <c r="L614" t="n">
        <v>0</v>
      </c>
      <c r="M614" t="n">
        <v>0</v>
      </c>
      <c r="N614" t="n">
        <v>0</v>
      </c>
      <c r="O614" t="n">
        <v>0</v>
      </c>
      <c r="P614" t="n">
        <v>0</v>
      </c>
      <c r="Q614" t="n">
        <v>0</v>
      </c>
      <c r="R614" t="n">
        <v>0</v>
      </c>
      <c r="S614" t="n">
        <v>0</v>
      </c>
      <c r="T614" t="n">
        <v>0</v>
      </c>
      <c r="U614" s="2" t="inlineStr"/>
    </row>
    <row r="615" ht="15" customHeight="1">
      <c r="A615" t="inlineStr">
        <is>
          <t>A 56595-2025</t>
        </is>
      </c>
      <c r="B615" t="inlineStr">
        <is>
          <t>avverkningsanmälan</t>
        </is>
      </c>
      <c r="C615" t="inlineStr">
        <is>
          <t>Föryngringsavverkning</t>
        </is>
      </c>
      <c r="D615" s="1" t="n">
        <v>45975</v>
      </c>
      <c r="E615" s="1" t="n">
        <v>46223</v>
      </c>
      <c r="F615" t="inlineStr">
        <is>
          <t>JÄMTLANDS LÄN</t>
        </is>
      </c>
      <c r="G615" t="inlineStr">
        <is>
          <t>HÄRJEDALEN</t>
        </is>
      </c>
      <c r="H615" t="inlineStr">
        <is>
          <t>Bergvik skog väst AB</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15003-2025</t>
        </is>
      </c>
      <c r="B616" t="inlineStr">
        <is>
          <t>avverkningsanmälan</t>
        </is>
      </c>
      <c r="C616" t="inlineStr">
        <is>
          <t>Föryngringsavverkning</t>
        </is>
      </c>
      <c r="D616" s="1" t="n">
        <v>45743</v>
      </c>
      <c r="E616" s="1" t="n">
        <v>46223</v>
      </c>
      <c r="F616" t="inlineStr">
        <is>
          <t>JÄMTLANDS LÄN</t>
        </is>
      </c>
      <c r="G616" t="inlineStr">
        <is>
          <t>HÄRJEDALEN</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56868-2025</t>
        </is>
      </c>
      <c r="B617" t="inlineStr">
        <is>
          <t>avverkningsanmälan</t>
        </is>
      </c>
      <c r="C617" t="inlineStr">
        <is>
          <t>Föryngringsavverkning</t>
        </is>
      </c>
      <c r="D617" s="1" t="n">
        <v>45978</v>
      </c>
      <c r="E617" s="1" t="n">
        <v>46223</v>
      </c>
      <c r="F617" t="inlineStr">
        <is>
          <t>JÄMTLANDS LÄN</t>
        </is>
      </c>
      <c r="G617" t="inlineStr">
        <is>
          <t>HÄRJEDALEN</t>
        </is>
      </c>
      <c r="I617" t="n">
        <v>4.7</v>
      </c>
      <c r="J617" t="n">
        <v>0</v>
      </c>
      <c r="K617" t="n">
        <v>0</v>
      </c>
      <c r="L617" t="n">
        <v>0</v>
      </c>
      <c r="M617" t="n">
        <v>0</v>
      </c>
      <c r="N617" t="n">
        <v>0</v>
      </c>
      <c r="O617" t="n">
        <v>0</v>
      </c>
      <c r="P617" t="n">
        <v>0</v>
      </c>
      <c r="Q617" t="n">
        <v>0</v>
      </c>
      <c r="R617" t="n">
        <v>0</v>
      </c>
      <c r="S617" t="n">
        <v>0</v>
      </c>
      <c r="T617" t="n">
        <v>0</v>
      </c>
      <c r="U617" s="2" t="inlineStr"/>
    </row>
    <row r="618" ht="15" customHeight="1">
      <c r="A618" t="inlineStr">
        <is>
          <t>A 11917-2025</t>
        </is>
      </c>
      <c r="B618" t="inlineStr">
        <is>
          <t>avverkningsanmälan</t>
        </is>
      </c>
      <c r="C618" t="inlineStr">
        <is>
          <t>Avverkning för annat ändamål</t>
        </is>
      </c>
      <c r="D618" s="1" t="n">
        <v>45728</v>
      </c>
      <c r="E618" s="1" t="n">
        <v>46223</v>
      </c>
      <c r="F618" t="inlineStr">
        <is>
          <t>JÄMTLANDS LÄN</t>
        </is>
      </c>
      <c r="G618" t="inlineStr">
        <is>
          <t>HÄRJEDALEN</t>
        </is>
      </c>
      <c r="H618" t="inlineStr">
        <is>
          <t>Kommuner</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56451-2025</t>
        </is>
      </c>
      <c r="B619" t="inlineStr">
        <is>
          <t>avverkningsanmälan</t>
        </is>
      </c>
      <c r="C619" t="inlineStr">
        <is>
          <t>Föryngringsavverkning</t>
        </is>
      </c>
      <c r="D619" s="1" t="n">
        <v>45975</v>
      </c>
      <c r="E619" s="1" t="n">
        <v>46223</v>
      </c>
      <c r="F619" t="inlineStr">
        <is>
          <t>JÄMTLANDS LÄN</t>
        </is>
      </c>
      <c r="G619" t="inlineStr">
        <is>
          <t>HÄRJEDALEN</t>
        </is>
      </c>
      <c r="H619" t="inlineStr">
        <is>
          <t>Bergvik skog väst AB</t>
        </is>
      </c>
      <c r="I619" t="n">
        <v>10.5</v>
      </c>
      <c r="J619" t="n">
        <v>0</v>
      </c>
      <c r="K619" t="n">
        <v>0</v>
      </c>
      <c r="L619" t="n">
        <v>0</v>
      </c>
      <c r="M619" t="n">
        <v>0</v>
      </c>
      <c r="N619" t="n">
        <v>0</v>
      </c>
      <c r="O619" t="n">
        <v>0</v>
      </c>
      <c r="P619" t="n">
        <v>0</v>
      </c>
      <c r="Q619" t="n">
        <v>0</v>
      </c>
      <c r="R619" t="n">
        <v>0</v>
      </c>
      <c r="S619" t="n">
        <v>0</v>
      </c>
      <c r="T619" t="n">
        <v>0</v>
      </c>
      <c r="U619" s="2" t="inlineStr"/>
    </row>
    <row r="620" ht="15" customHeight="1">
      <c r="A620" t="inlineStr">
        <is>
          <t>A 56646-2025</t>
        </is>
      </c>
      <c r="B620" t="inlineStr">
        <is>
          <t>avverkningsanmälan</t>
        </is>
      </c>
      <c r="C620" t="inlineStr">
        <is>
          <t>Föryngringsavverkning</t>
        </is>
      </c>
      <c r="D620" s="1" t="n">
        <v>45975</v>
      </c>
      <c r="E620" s="1" t="n">
        <v>46223</v>
      </c>
      <c r="F620" t="inlineStr">
        <is>
          <t>JÄMTLANDS LÄN</t>
        </is>
      </c>
      <c r="G620" t="inlineStr">
        <is>
          <t>HÄRJEDALEN</t>
        </is>
      </c>
      <c r="H620" t="inlineStr">
        <is>
          <t>Bergvik skog väst AB</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57068-2025</t>
        </is>
      </c>
      <c r="B621" t="inlineStr">
        <is>
          <t>avverkningsanmälan</t>
        </is>
      </c>
      <c r="C621" t="inlineStr">
        <is>
          <t>Föryngringsavverkning</t>
        </is>
      </c>
      <c r="D621" s="1" t="n">
        <v>45979</v>
      </c>
      <c r="E621" s="1" t="n">
        <v>46223</v>
      </c>
      <c r="F621" t="inlineStr">
        <is>
          <t>JÄMTLANDS LÄN</t>
        </is>
      </c>
      <c r="G621" t="inlineStr">
        <is>
          <t>HÄRJEDALEN</t>
        </is>
      </c>
      <c r="I621" t="n">
        <v>9.699999999999999</v>
      </c>
      <c r="J621" t="n">
        <v>0</v>
      </c>
      <c r="K621" t="n">
        <v>0</v>
      </c>
      <c r="L621" t="n">
        <v>0</v>
      </c>
      <c r="M621" t="n">
        <v>0</v>
      </c>
      <c r="N621" t="n">
        <v>0</v>
      </c>
      <c r="O621" t="n">
        <v>0</v>
      </c>
      <c r="P621" t="n">
        <v>0</v>
      </c>
      <c r="Q621" t="n">
        <v>0</v>
      </c>
      <c r="R621" t="n">
        <v>0</v>
      </c>
      <c r="S621" t="n">
        <v>0</v>
      </c>
      <c r="T621" t="n">
        <v>0</v>
      </c>
      <c r="U621" s="2" t="inlineStr"/>
    </row>
    <row r="622" ht="15" customHeight="1">
      <c r="A622" t="inlineStr">
        <is>
          <t>A 57015-2025</t>
        </is>
      </c>
      <c r="B622" t="inlineStr">
        <is>
          <t>avverkningsanmälan</t>
        </is>
      </c>
      <c r="C622" t="inlineStr">
        <is>
          <t>Föryngringsavverkning</t>
        </is>
      </c>
      <c r="D622" s="1" t="n">
        <v>45978</v>
      </c>
      <c r="E622" s="1" t="n">
        <v>46223</v>
      </c>
      <c r="F622" t="inlineStr">
        <is>
          <t>JÄMTLANDS LÄN</t>
        </is>
      </c>
      <c r="G622" t="inlineStr">
        <is>
          <t>HÄRJEDALEN</t>
        </is>
      </c>
      <c r="H622" t="inlineStr">
        <is>
          <t>Bergvik skog väst AB</t>
        </is>
      </c>
      <c r="I622" t="n">
        <v>5.6</v>
      </c>
      <c r="J622" t="n">
        <v>0</v>
      </c>
      <c r="K622" t="n">
        <v>0</v>
      </c>
      <c r="L622" t="n">
        <v>0</v>
      </c>
      <c r="M622" t="n">
        <v>0</v>
      </c>
      <c r="N622" t="n">
        <v>0</v>
      </c>
      <c r="O622" t="n">
        <v>0</v>
      </c>
      <c r="P622" t="n">
        <v>0</v>
      </c>
      <c r="Q622" t="n">
        <v>0</v>
      </c>
      <c r="R622" t="n">
        <v>0</v>
      </c>
      <c r="S622" t="n">
        <v>0</v>
      </c>
      <c r="T622" t="n">
        <v>0</v>
      </c>
      <c r="U622" s="2" t="inlineStr"/>
    </row>
    <row r="623" ht="15" customHeight="1">
      <c r="A623" t="inlineStr">
        <is>
          <t>A 57070-2025</t>
        </is>
      </c>
      <c r="B623" t="inlineStr">
        <is>
          <t>avverkningsanmälan</t>
        </is>
      </c>
      <c r="C623" t="inlineStr">
        <is>
          <t>Föryngringsavverkning</t>
        </is>
      </c>
      <c r="D623" s="1" t="n">
        <v>45979</v>
      </c>
      <c r="E623" s="1" t="n">
        <v>46223</v>
      </c>
      <c r="F623" t="inlineStr">
        <is>
          <t>JÄMTLANDS LÄN</t>
        </is>
      </c>
      <c r="G623" t="inlineStr">
        <is>
          <t>HÄRJEDALEN</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37054-2024</t>
        </is>
      </c>
      <c r="B624" t="inlineStr">
        <is>
          <t>avverkningsanmälan</t>
        </is>
      </c>
      <c r="C624" t="inlineStr">
        <is>
          <t>Föryngringsavverkning</t>
        </is>
      </c>
      <c r="D624" s="1" t="n">
        <v>45539</v>
      </c>
      <c r="E624" s="1" t="n">
        <v>46223</v>
      </c>
      <c r="F624" t="inlineStr">
        <is>
          <t>JÄMTLANDS LÄN</t>
        </is>
      </c>
      <c r="G624" t="inlineStr">
        <is>
          <t>HÄRJEDALEN</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57109-2025</t>
        </is>
      </c>
      <c r="B625" t="inlineStr">
        <is>
          <t>avverkningsanmälan</t>
        </is>
      </c>
      <c r="C625" t="inlineStr">
        <is>
          <t>Föryngringsavverkning</t>
        </is>
      </c>
      <c r="D625" s="1" t="n">
        <v>45979</v>
      </c>
      <c r="E625" s="1" t="n">
        <v>46223</v>
      </c>
      <c r="F625" t="inlineStr">
        <is>
          <t>JÄMTLANDS LÄN</t>
        </is>
      </c>
      <c r="G625" t="inlineStr">
        <is>
          <t>HÄRJEDALEN</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57013-2025</t>
        </is>
      </c>
      <c r="B626" t="inlineStr">
        <is>
          <t>avverkningsanmälan</t>
        </is>
      </c>
      <c r="C626" t="inlineStr">
        <is>
          <t>Föryngringsavverkning</t>
        </is>
      </c>
      <c r="D626" s="1" t="n">
        <v>45978</v>
      </c>
      <c r="E626" s="1" t="n">
        <v>46223</v>
      </c>
      <c r="F626" t="inlineStr">
        <is>
          <t>JÄMTLANDS LÄN</t>
        </is>
      </c>
      <c r="G626" t="inlineStr">
        <is>
          <t>HÄRJEDALEN</t>
        </is>
      </c>
      <c r="H626" t="inlineStr">
        <is>
          <t>Bergvik skog väst AB</t>
        </is>
      </c>
      <c r="I626" t="n">
        <v>36.5</v>
      </c>
      <c r="J626" t="n">
        <v>0</v>
      </c>
      <c r="K626" t="n">
        <v>0</v>
      </c>
      <c r="L626" t="n">
        <v>0</v>
      </c>
      <c r="M626" t="n">
        <v>0</v>
      </c>
      <c r="N626" t="n">
        <v>0</v>
      </c>
      <c r="O626" t="n">
        <v>0</v>
      </c>
      <c r="P626" t="n">
        <v>0</v>
      </c>
      <c r="Q626" t="n">
        <v>0</v>
      </c>
      <c r="R626" t="n">
        <v>0</v>
      </c>
      <c r="S626" t="n">
        <v>0</v>
      </c>
      <c r="T626" t="n">
        <v>0</v>
      </c>
      <c r="U626" s="2" t="inlineStr"/>
    </row>
    <row r="627" ht="15" customHeight="1">
      <c r="A627" t="inlineStr">
        <is>
          <t>A 57518-2025</t>
        </is>
      </c>
      <c r="B627" t="inlineStr">
        <is>
          <t>avverkningsanmälan</t>
        </is>
      </c>
      <c r="C627" t="inlineStr">
        <is>
          <t>Föryngringsavverkning</t>
        </is>
      </c>
      <c r="D627" s="1" t="n">
        <v>45979</v>
      </c>
      <c r="E627" s="1" t="n">
        <v>46223</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48051-2023</t>
        </is>
      </c>
      <c r="B628" t="inlineStr">
        <is>
          <t>avverkningsanmälan</t>
        </is>
      </c>
      <c r="C628" t="inlineStr">
        <is>
          <t>Föryngringsavverkning</t>
        </is>
      </c>
      <c r="D628" s="1" t="n">
        <v>45204</v>
      </c>
      <c r="E628" s="1" t="n">
        <v>46223</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s="2" t="inlineStr"/>
    </row>
    <row r="629" ht="15" customHeight="1">
      <c r="A629" t="inlineStr">
        <is>
          <t>A 41766-2022</t>
        </is>
      </c>
      <c r="B629" t="inlineStr">
        <is>
          <t>avverkningsanmälan</t>
        </is>
      </c>
      <c r="C629" t="inlineStr">
        <is>
          <t>Föryngringsavverkning</t>
        </is>
      </c>
      <c r="D629" s="1" t="n">
        <v>44827</v>
      </c>
      <c r="E629" s="1" t="n">
        <v>46223</v>
      </c>
      <c r="F629" t="inlineStr">
        <is>
          <t>JÄMTLANDS LÄN</t>
        </is>
      </c>
      <c r="G629" t="inlineStr">
        <is>
          <t>HÄRJEDALEN</t>
        </is>
      </c>
      <c r="I629" t="n">
        <v>12.5</v>
      </c>
      <c r="J629" t="n">
        <v>0</v>
      </c>
      <c r="K629" t="n">
        <v>0</v>
      </c>
      <c r="L629" t="n">
        <v>0</v>
      </c>
      <c r="M629" t="n">
        <v>0</v>
      </c>
      <c r="N629" t="n">
        <v>0</v>
      </c>
      <c r="O629" t="n">
        <v>0</v>
      </c>
      <c r="P629" t="n">
        <v>0</v>
      </c>
      <c r="Q629" t="n">
        <v>0</v>
      </c>
      <c r="R629" t="n">
        <v>0</v>
      </c>
      <c r="S629" t="n">
        <v>0</v>
      </c>
      <c r="T629" t="n">
        <v>0</v>
      </c>
      <c r="U629" s="2" t="inlineStr"/>
    </row>
    <row r="630" ht="15" customHeight="1">
      <c r="A630" t="inlineStr">
        <is>
          <t>A 41771-2022</t>
        </is>
      </c>
      <c r="B630" t="inlineStr">
        <is>
          <t>avverkningsanmälan</t>
        </is>
      </c>
      <c r="C630" t="inlineStr">
        <is>
          <t>Avverkning för annat ändamål</t>
        </is>
      </c>
      <c r="D630" s="1" t="n">
        <v>44827</v>
      </c>
      <c r="E630" s="1" t="n">
        <v>46223</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57839-2025</t>
        </is>
      </c>
      <c r="B631" t="inlineStr">
        <is>
          <t>avverkningsanmälan</t>
        </is>
      </c>
      <c r="C631" t="inlineStr">
        <is>
          <t>Föryngringsavverkning</t>
        </is>
      </c>
      <c r="D631" s="1" t="n">
        <v>45981</v>
      </c>
      <c r="E631" s="1" t="n">
        <v>46223</v>
      </c>
      <c r="F631" t="inlineStr">
        <is>
          <t>JÄMTLANDS LÄN</t>
        </is>
      </c>
      <c r="G631" t="inlineStr">
        <is>
          <t>HÄRJEDALEN</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55463-2023</t>
        </is>
      </c>
      <c r="B632" t="inlineStr">
        <is>
          <t>avverkningsanmälan</t>
        </is>
      </c>
      <c r="C632" t="inlineStr">
        <is>
          <t>Föryngringsavverkning</t>
        </is>
      </c>
      <c r="D632" s="1" t="n">
        <v>45238</v>
      </c>
      <c r="E632" s="1" t="n">
        <v>46223</v>
      </c>
      <c r="F632" t="inlineStr">
        <is>
          <t>JÄMTLANDS LÄN</t>
        </is>
      </c>
      <c r="G632" t="inlineStr">
        <is>
          <t>HÄRJEDALEN</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58081-2025</t>
        </is>
      </c>
      <c r="B633" t="inlineStr">
        <is>
          <t>avverkningsanmälan</t>
        </is>
      </c>
      <c r="C633" t="inlineStr">
        <is>
          <t>Föryngringsavverkning</t>
        </is>
      </c>
      <c r="D633" s="1" t="n">
        <v>45982</v>
      </c>
      <c r="E633" s="1" t="n">
        <v>46223</v>
      </c>
      <c r="F633" t="inlineStr">
        <is>
          <t>JÄMTLANDS LÄN</t>
        </is>
      </c>
      <c r="G633" t="inlineStr">
        <is>
          <t>HÄRJEDALEN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58024-2025</t>
        </is>
      </c>
      <c r="B634" t="inlineStr">
        <is>
          <t>avverkningsanmälan</t>
        </is>
      </c>
      <c r="C634" t="inlineStr">
        <is>
          <t>Föryngringsavverkning</t>
        </is>
      </c>
      <c r="D634" s="1" t="n">
        <v>45982</v>
      </c>
      <c r="E634" s="1" t="n">
        <v>46223</v>
      </c>
      <c r="F634" t="inlineStr">
        <is>
          <t>JÄMTLANDS LÄN</t>
        </is>
      </c>
      <c r="G634" t="inlineStr">
        <is>
          <t>HÄRJEDALEN</t>
        </is>
      </c>
      <c r="H634" t="inlineStr">
        <is>
          <t>Bergvik skog väst AB</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58539-2025</t>
        </is>
      </c>
      <c r="B635" t="inlineStr">
        <is>
          <t>avverkningsanmälan</t>
        </is>
      </c>
      <c r="C635" t="inlineStr">
        <is>
          <t>Föryngringsavverkning</t>
        </is>
      </c>
      <c r="D635" s="1" t="n">
        <v>45985</v>
      </c>
      <c r="E635" s="1" t="n">
        <v>46223</v>
      </c>
      <c r="F635" t="inlineStr">
        <is>
          <t>JÄMTLANDS LÄN</t>
        </is>
      </c>
      <c r="G635" t="inlineStr">
        <is>
          <t>HÄRJEDALEN</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12226-2026</t>
        </is>
      </c>
      <c r="B636" t="inlineStr">
        <is>
          <t>avverkningsanmälan</t>
        </is>
      </c>
      <c r="C636" t="inlineStr">
        <is>
          <t>Föryngringsavverkning</t>
        </is>
      </c>
      <c r="D636" s="1" t="n">
        <v>46087</v>
      </c>
      <c r="E636" s="1" t="n">
        <v>46223</v>
      </c>
      <c r="F636" t="inlineStr">
        <is>
          <t>JÄMTLANDS LÄN</t>
        </is>
      </c>
      <c r="G636" t="inlineStr">
        <is>
          <t>HÄRJEDALEN</t>
        </is>
      </c>
      <c r="I636" t="n">
        <v>7.4</v>
      </c>
      <c r="J636" t="n">
        <v>0</v>
      </c>
      <c r="K636" t="n">
        <v>0</v>
      </c>
      <c r="L636" t="n">
        <v>0</v>
      </c>
      <c r="M636" t="n">
        <v>0</v>
      </c>
      <c r="N636" t="n">
        <v>0</v>
      </c>
      <c r="O636" t="n">
        <v>0</v>
      </c>
      <c r="P636" t="n">
        <v>0</v>
      </c>
      <c r="Q636" t="n">
        <v>0</v>
      </c>
      <c r="R636" t="n">
        <v>0</v>
      </c>
      <c r="S636" t="n">
        <v>0</v>
      </c>
      <c r="T636" t="n">
        <v>0</v>
      </c>
      <c r="U636" s="2" t="inlineStr"/>
    </row>
    <row r="637" ht="15" customHeight="1">
      <c r="A637" t="inlineStr">
        <is>
          <t>A 58694-2025</t>
        </is>
      </c>
      <c r="B637" t="inlineStr">
        <is>
          <t>avverkningsanmälan</t>
        </is>
      </c>
      <c r="C637" t="inlineStr">
        <is>
          <t>Föryngringsavverkning</t>
        </is>
      </c>
      <c r="D637" s="1" t="n">
        <v>45986</v>
      </c>
      <c r="E637" s="1" t="n">
        <v>46223</v>
      </c>
      <c r="F637" t="inlineStr">
        <is>
          <t>JÄMTLANDS LÄN</t>
        </is>
      </c>
      <c r="G637" t="inlineStr">
        <is>
          <t>HÄRJEDALEN</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58723-2025</t>
        </is>
      </c>
      <c r="B638" t="inlineStr">
        <is>
          <t>avverkningsanmälan</t>
        </is>
      </c>
      <c r="C638" t="inlineStr">
        <is>
          <t>Föryngringsavverkning</t>
        </is>
      </c>
      <c r="D638" s="1" t="n">
        <v>45986</v>
      </c>
      <c r="E638" s="1" t="n">
        <v>46223</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58296-2025</t>
        </is>
      </c>
      <c r="B639" t="inlineStr">
        <is>
          <t>avverkningsanmälan</t>
        </is>
      </c>
      <c r="C639" t="inlineStr">
        <is>
          <t>Föryngringsavverkning</t>
        </is>
      </c>
      <c r="D639" s="1" t="n">
        <v>45985</v>
      </c>
      <c r="E639" s="1" t="n">
        <v>46223</v>
      </c>
      <c r="F639" t="inlineStr">
        <is>
          <t>JÄMTLANDS LÄN</t>
        </is>
      </c>
      <c r="G639" t="inlineStr">
        <is>
          <t>HÄRJEDALEN</t>
        </is>
      </c>
      <c r="H639" t="inlineStr">
        <is>
          <t>Bergvik skog väst AB</t>
        </is>
      </c>
      <c r="I639" t="n">
        <v>4.6</v>
      </c>
      <c r="J639" t="n">
        <v>0</v>
      </c>
      <c r="K639" t="n">
        <v>0</v>
      </c>
      <c r="L639" t="n">
        <v>0</v>
      </c>
      <c r="M639" t="n">
        <v>0</v>
      </c>
      <c r="N639" t="n">
        <v>0</v>
      </c>
      <c r="O639" t="n">
        <v>0</v>
      </c>
      <c r="P639" t="n">
        <v>0</v>
      </c>
      <c r="Q639" t="n">
        <v>0</v>
      </c>
      <c r="R639" t="n">
        <v>0</v>
      </c>
      <c r="S639" t="n">
        <v>0</v>
      </c>
      <c r="T639" t="n">
        <v>0</v>
      </c>
      <c r="U639" s="2" t="inlineStr"/>
    </row>
    <row r="640" ht="15" customHeight="1">
      <c r="A640" t="inlineStr">
        <is>
          <t>A 59321-2025</t>
        </is>
      </c>
      <c r="B640" t="inlineStr">
        <is>
          <t>avverkningsanmälan</t>
        </is>
      </c>
      <c r="C640" t="inlineStr">
        <is>
          <t>Avverkning för annat ändamål</t>
        </is>
      </c>
      <c r="D640" s="1" t="n">
        <v>45988</v>
      </c>
      <c r="E640" s="1" t="n">
        <v>46223</v>
      </c>
      <c r="F640" t="inlineStr">
        <is>
          <t>JÄMTLANDS LÄN</t>
        </is>
      </c>
      <c r="G640" t="inlineStr">
        <is>
          <t>HÄRJEDALEN</t>
        </is>
      </c>
      <c r="I640" t="n">
        <v>3</v>
      </c>
      <c r="J640" t="n">
        <v>0</v>
      </c>
      <c r="K640" t="n">
        <v>0</v>
      </c>
      <c r="L640" t="n">
        <v>0</v>
      </c>
      <c r="M640" t="n">
        <v>0</v>
      </c>
      <c r="N640" t="n">
        <v>0</v>
      </c>
      <c r="O640" t="n">
        <v>0</v>
      </c>
      <c r="P640" t="n">
        <v>0</v>
      </c>
      <c r="Q640" t="n">
        <v>0</v>
      </c>
      <c r="R640" t="n">
        <v>0</v>
      </c>
      <c r="S640" t="n">
        <v>0</v>
      </c>
      <c r="T640" t="n">
        <v>0</v>
      </c>
      <c r="U640" s="2" t="inlineStr"/>
    </row>
    <row r="641" ht="15" customHeight="1">
      <c r="A641" t="inlineStr">
        <is>
          <t>A 54527-2024</t>
        </is>
      </c>
      <c r="B641" t="inlineStr">
        <is>
          <t>avverkningsanmälan</t>
        </is>
      </c>
      <c r="C641" t="inlineStr">
        <is>
          <t>Föryngringsavverkning</t>
        </is>
      </c>
      <c r="D641" s="1" t="n">
        <v>45617</v>
      </c>
      <c r="E641" s="1" t="n">
        <v>46223</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s="2" t="inlineStr"/>
    </row>
    <row r="642" ht="15" customHeight="1">
      <c r="A642" t="inlineStr">
        <is>
          <t>A 58865-2025</t>
        </is>
      </c>
      <c r="B642" t="inlineStr">
        <is>
          <t>avverkningsanmälan</t>
        </is>
      </c>
      <c r="C642" t="inlineStr">
        <is>
          <t>Föryngringsavverkning</t>
        </is>
      </c>
      <c r="D642" s="1" t="n">
        <v>45987</v>
      </c>
      <c r="E642" s="1" t="n">
        <v>46223</v>
      </c>
      <c r="F642" t="inlineStr">
        <is>
          <t>JÄMTLANDS LÄN</t>
        </is>
      </c>
      <c r="G642" t="inlineStr">
        <is>
          <t>HÄRJEDALEN</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55969-2022</t>
        </is>
      </c>
      <c r="B643" t="inlineStr">
        <is>
          <t>avverkningsanmälan</t>
        </is>
      </c>
      <c r="C643" t="inlineStr">
        <is>
          <t>Föryngringsavverkning</t>
        </is>
      </c>
      <c r="D643" s="1" t="n">
        <v>44886</v>
      </c>
      <c r="E643" s="1" t="n">
        <v>46223</v>
      </c>
      <c r="F643" t="inlineStr">
        <is>
          <t>JÄMTLANDS LÄN</t>
        </is>
      </c>
      <c r="G643" t="inlineStr">
        <is>
          <t>HÄRJEDALEN</t>
        </is>
      </c>
      <c r="H643" t="inlineStr">
        <is>
          <t>Övriga statliga verk och myndigheter</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55318-2024</t>
        </is>
      </c>
      <c r="B644" t="inlineStr">
        <is>
          <t>avverkningsanmälan</t>
        </is>
      </c>
      <c r="C644" t="inlineStr">
        <is>
          <t>Föryngringsavverkning</t>
        </is>
      </c>
      <c r="D644" s="1" t="n">
        <v>45621</v>
      </c>
      <c r="E644" s="1" t="n">
        <v>46223</v>
      </c>
      <c r="F644" t="inlineStr">
        <is>
          <t>JÄMTLANDS LÄN</t>
        </is>
      </c>
      <c r="G644" t="inlineStr">
        <is>
          <t>HÄRJEDALEN</t>
        </is>
      </c>
      <c r="H644" t="inlineStr">
        <is>
          <t>Bergvik skog väst AB</t>
        </is>
      </c>
      <c r="I644" t="n">
        <v>136.1</v>
      </c>
      <c r="J644" t="n">
        <v>0</v>
      </c>
      <c r="K644" t="n">
        <v>0</v>
      </c>
      <c r="L644" t="n">
        <v>0</v>
      </c>
      <c r="M644" t="n">
        <v>0</v>
      </c>
      <c r="N644" t="n">
        <v>0</v>
      </c>
      <c r="O644" t="n">
        <v>0</v>
      </c>
      <c r="P644" t="n">
        <v>0</v>
      </c>
      <c r="Q644" t="n">
        <v>0</v>
      </c>
      <c r="R644" t="n">
        <v>0</v>
      </c>
      <c r="S644" t="n">
        <v>0</v>
      </c>
      <c r="T644" t="n">
        <v>0</v>
      </c>
      <c r="U644" s="2" t="inlineStr"/>
    </row>
    <row r="645" ht="15" customHeight="1">
      <c r="A645" t="inlineStr">
        <is>
          <t>A 17885-2025</t>
        </is>
      </c>
      <c r="B645" t="inlineStr">
        <is>
          <t>avverkningsanmälan</t>
        </is>
      </c>
      <c r="C645" t="inlineStr">
        <is>
          <t>Föryngringsavverkning</t>
        </is>
      </c>
      <c r="D645" s="1" t="n">
        <v>45758</v>
      </c>
      <c r="E645" s="1" t="n">
        <v>46223</v>
      </c>
      <c r="F645" t="inlineStr">
        <is>
          <t>JÄMTLANDS LÄN</t>
        </is>
      </c>
      <c r="G645" t="inlineStr">
        <is>
          <t>HÄRJEDALEN</t>
        </is>
      </c>
      <c r="I645" t="n">
        <v>5</v>
      </c>
      <c r="J645" t="n">
        <v>0</v>
      </c>
      <c r="K645" t="n">
        <v>0</v>
      </c>
      <c r="L645" t="n">
        <v>0</v>
      </c>
      <c r="M645" t="n">
        <v>0</v>
      </c>
      <c r="N645" t="n">
        <v>0</v>
      </c>
      <c r="O645" t="n">
        <v>0</v>
      </c>
      <c r="P645" t="n">
        <v>0</v>
      </c>
      <c r="Q645" t="n">
        <v>0</v>
      </c>
      <c r="R645" t="n">
        <v>0</v>
      </c>
      <c r="S645" t="n">
        <v>0</v>
      </c>
      <c r="T645" t="n">
        <v>0</v>
      </c>
      <c r="U645" s="2" t="inlineStr"/>
    </row>
    <row r="646" ht="15" customHeight="1">
      <c r="A646" t="inlineStr">
        <is>
          <t>A 47450-2022</t>
        </is>
      </c>
      <c r="B646" t="inlineStr">
        <is>
          <t>avverkningsanmälan</t>
        </is>
      </c>
      <c r="C646" t="inlineStr">
        <is>
          <t>Avverkning för annat ändamål</t>
        </is>
      </c>
      <c r="D646" s="1" t="n">
        <v>44853</v>
      </c>
      <c r="E646" s="1" t="n">
        <v>46223</v>
      </c>
      <c r="F646" t="inlineStr">
        <is>
          <t>JÄMTLANDS LÄN</t>
        </is>
      </c>
      <c r="G646" t="inlineStr">
        <is>
          <t>HÄRJEDALEN</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54502-2024</t>
        </is>
      </c>
      <c r="B647" t="inlineStr">
        <is>
          <t>avverkningsanmälan</t>
        </is>
      </c>
      <c r="C647" t="inlineStr">
        <is>
          <t>Föryngringsavverkning</t>
        </is>
      </c>
      <c r="D647" s="1" t="n">
        <v>45617</v>
      </c>
      <c r="E647" s="1" t="n">
        <v>46223</v>
      </c>
      <c r="F647" t="inlineStr">
        <is>
          <t>JÄMTLANDS LÄN</t>
        </is>
      </c>
      <c r="G647" t="inlineStr">
        <is>
          <t>HÄRJEDALEN</t>
        </is>
      </c>
      <c r="H647" t="inlineStr">
        <is>
          <t>Holmen skog AB</t>
        </is>
      </c>
      <c r="I647" t="n">
        <v>8.4</v>
      </c>
      <c r="J647" t="n">
        <v>0</v>
      </c>
      <c r="K647" t="n">
        <v>0</v>
      </c>
      <c r="L647" t="n">
        <v>0</v>
      </c>
      <c r="M647" t="n">
        <v>0</v>
      </c>
      <c r="N647" t="n">
        <v>0</v>
      </c>
      <c r="O647" t="n">
        <v>0</v>
      </c>
      <c r="P647" t="n">
        <v>0</v>
      </c>
      <c r="Q647" t="n">
        <v>0</v>
      </c>
      <c r="R647" t="n">
        <v>0</v>
      </c>
      <c r="S647" t="n">
        <v>0</v>
      </c>
      <c r="T647" t="n">
        <v>0</v>
      </c>
      <c r="U647" s="2" t="inlineStr"/>
    </row>
    <row r="648" ht="15" customHeight="1">
      <c r="A648" t="inlineStr">
        <is>
          <t>A 59509-2025</t>
        </is>
      </c>
      <c r="B648" t="inlineStr">
        <is>
          <t>avverkningsanmälan</t>
        </is>
      </c>
      <c r="C648" t="inlineStr">
        <is>
          <t>Föryngringsavverkning</t>
        </is>
      </c>
      <c r="D648" s="1" t="n">
        <v>45989</v>
      </c>
      <c r="E648" s="1" t="n">
        <v>46223</v>
      </c>
      <c r="F648" t="inlineStr">
        <is>
          <t>JÄMTLANDS LÄN</t>
        </is>
      </c>
      <c r="G648" t="inlineStr">
        <is>
          <t>HÄRJEDALEN</t>
        </is>
      </c>
      <c r="I648" t="n">
        <v>0.2</v>
      </c>
      <c r="J648" t="n">
        <v>0</v>
      </c>
      <c r="K648" t="n">
        <v>0</v>
      </c>
      <c r="L648" t="n">
        <v>0</v>
      </c>
      <c r="M648" t="n">
        <v>0</v>
      </c>
      <c r="N648" t="n">
        <v>0</v>
      </c>
      <c r="O648" t="n">
        <v>0</v>
      </c>
      <c r="P648" t="n">
        <v>0</v>
      </c>
      <c r="Q648" t="n">
        <v>0</v>
      </c>
      <c r="R648" t="n">
        <v>0</v>
      </c>
      <c r="S648" t="n">
        <v>0</v>
      </c>
      <c r="T648" t="n">
        <v>0</v>
      </c>
      <c r="U648" s="2" t="inlineStr"/>
    </row>
    <row r="649" ht="15" customHeight="1">
      <c r="A649" t="inlineStr">
        <is>
          <t>A 62590-2022</t>
        </is>
      </c>
      <c r="B649" t="inlineStr">
        <is>
          <t>avverkningsanmälan</t>
        </is>
      </c>
      <c r="C649" t="inlineStr">
        <is>
          <t>Föryngringsavverkning</t>
        </is>
      </c>
      <c r="D649" s="1" t="n">
        <v>44925</v>
      </c>
      <c r="E649" s="1" t="n">
        <v>46223</v>
      </c>
      <c r="F649" t="inlineStr">
        <is>
          <t>JÄMTLANDS LÄN</t>
        </is>
      </c>
      <c r="G649" t="inlineStr">
        <is>
          <t>HÄRJEDALEN</t>
        </is>
      </c>
      <c r="H649" t="inlineStr">
        <is>
          <t>Holmen skog AB</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29766-2024</t>
        </is>
      </c>
      <c r="B650" t="inlineStr">
        <is>
          <t>avverkningsanmälan</t>
        </is>
      </c>
      <c r="C650" t="inlineStr">
        <is>
          <t>Föryngringsavverkning</t>
        </is>
      </c>
      <c r="D650" s="1" t="n">
        <v>45485</v>
      </c>
      <c r="E650" s="1" t="n">
        <v>46223</v>
      </c>
      <c r="F650" t="inlineStr">
        <is>
          <t>JÄMTLANDS LÄN</t>
        </is>
      </c>
      <c r="G650" t="inlineStr">
        <is>
          <t>HÄRJEDALEN</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59496-2025</t>
        </is>
      </c>
      <c r="B651" t="inlineStr">
        <is>
          <t>avverkningsanmälan</t>
        </is>
      </c>
      <c r="C651" t="inlineStr">
        <is>
          <t>Avverkning för att bevara och utveckla /försöksver</t>
        </is>
      </c>
      <c r="D651" s="1" t="n">
        <v>45989</v>
      </c>
      <c r="E651" s="1" t="n">
        <v>46223</v>
      </c>
      <c r="F651" t="inlineStr">
        <is>
          <t>JÄMTLANDS LÄN</t>
        </is>
      </c>
      <c r="G651" t="inlineStr">
        <is>
          <t>HÄRJEDALEN</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59507-2025</t>
        </is>
      </c>
      <c r="B652" t="inlineStr">
        <is>
          <t>avverkningsanmälan</t>
        </is>
      </c>
      <c r="C652" t="inlineStr">
        <is>
          <t>Föryngringsavverkning</t>
        </is>
      </c>
      <c r="D652" s="1" t="n">
        <v>45989</v>
      </c>
      <c r="E652" s="1" t="n">
        <v>46223</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7744-2025</t>
        </is>
      </c>
      <c r="B653" t="inlineStr">
        <is>
          <t>avverkningsanmälan</t>
        </is>
      </c>
      <c r="C653" t="inlineStr">
        <is>
          <t>Föryngringsavverkning</t>
        </is>
      </c>
      <c r="D653" s="1" t="n">
        <v>45706</v>
      </c>
      <c r="E653" s="1" t="n">
        <v>46223</v>
      </c>
      <c r="F653" t="inlineStr">
        <is>
          <t>JÄMTLANDS LÄN</t>
        </is>
      </c>
      <c r="G653" t="inlineStr">
        <is>
          <t>HÄRJEDALEN</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59360-2025</t>
        </is>
      </c>
      <c r="B654" t="inlineStr">
        <is>
          <t>avverkningsanmälan</t>
        </is>
      </c>
      <c r="C654" t="inlineStr">
        <is>
          <t>Föryngringsavverkning</t>
        </is>
      </c>
      <c r="D654" s="1" t="n">
        <v>45989</v>
      </c>
      <c r="E654" s="1" t="n">
        <v>46223</v>
      </c>
      <c r="F654" t="inlineStr">
        <is>
          <t>JÄMTLANDS LÄN</t>
        </is>
      </c>
      <c r="G654" t="inlineStr">
        <is>
          <t>HÄRJEDALEN</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59364-2025</t>
        </is>
      </c>
      <c r="B655" t="inlineStr">
        <is>
          <t>avverkningsanmälan</t>
        </is>
      </c>
      <c r="C655" t="inlineStr">
        <is>
          <t>Föryngringsavverkning</t>
        </is>
      </c>
      <c r="D655" s="1" t="n">
        <v>45989</v>
      </c>
      <c r="E655" s="1" t="n">
        <v>46223</v>
      </c>
      <c r="F655" t="inlineStr">
        <is>
          <t>JÄMTLANDS LÄN</t>
        </is>
      </c>
      <c r="G655" t="inlineStr">
        <is>
          <t>HÄRJEDALEN</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59430-2025</t>
        </is>
      </c>
      <c r="B656" t="inlineStr">
        <is>
          <t>avverkningsanmälan</t>
        </is>
      </c>
      <c r="C656" t="inlineStr">
        <is>
          <t>Föryngringsavverkning</t>
        </is>
      </c>
      <c r="D656" s="1" t="n">
        <v>45989</v>
      </c>
      <c r="E656" s="1" t="n">
        <v>46223</v>
      </c>
      <c r="F656" t="inlineStr">
        <is>
          <t>JÄMTLANDS LÄN</t>
        </is>
      </c>
      <c r="G656" t="inlineStr">
        <is>
          <t>HÄRJEDALEN</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59470-2025</t>
        </is>
      </c>
      <c r="B657" t="inlineStr">
        <is>
          <t>avverkningsanmälan</t>
        </is>
      </c>
      <c r="C657" t="inlineStr">
        <is>
          <t>Föryngringsavverkning</t>
        </is>
      </c>
      <c r="D657" s="1" t="n">
        <v>45989</v>
      </c>
      <c r="E657" s="1" t="n">
        <v>46223</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59480-2025</t>
        </is>
      </c>
      <c r="B658" t="inlineStr">
        <is>
          <t>avverkningsanmälan</t>
        </is>
      </c>
      <c r="C658" t="inlineStr">
        <is>
          <t>Föryngringsavverkning</t>
        </is>
      </c>
      <c r="D658" s="1" t="n">
        <v>45989</v>
      </c>
      <c r="E658" s="1" t="n">
        <v>46223</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13215-2026</t>
        </is>
      </c>
      <c r="B659" t="inlineStr">
        <is>
          <t>avverkningsanmälan</t>
        </is>
      </c>
      <c r="C659" t="inlineStr">
        <is>
          <t>Föryngringsavverkning</t>
        </is>
      </c>
      <c r="D659" s="1" t="n">
        <v>46093</v>
      </c>
      <c r="E659" s="1" t="n">
        <v>46223</v>
      </c>
      <c r="F659" t="inlineStr">
        <is>
          <t>JÄMTLANDS LÄN</t>
        </is>
      </c>
      <c r="G659" t="inlineStr">
        <is>
          <t>HÄRJEDALEN</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12844-2026</t>
        </is>
      </c>
      <c r="B660" t="inlineStr">
        <is>
          <t>avverkningsanmälan</t>
        </is>
      </c>
      <c r="C660" t="inlineStr">
        <is>
          <t>Föryngringsavverkning</t>
        </is>
      </c>
      <c r="D660" s="1" t="n">
        <v>46092</v>
      </c>
      <c r="E660" s="1" t="n">
        <v>46223</v>
      </c>
      <c r="F660" t="inlineStr">
        <is>
          <t>JÄMTLANDS LÄN</t>
        </is>
      </c>
      <c r="G660" t="inlineStr">
        <is>
          <t>HÄRJEDALEN</t>
        </is>
      </c>
      <c r="H660" t="inlineStr">
        <is>
          <t>SCA</t>
        </is>
      </c>
      <c r="I660" t="n">
        <v>9.800000000000001</v>
      </c>
      <c r="J660" t="n">
        <v>0</v>
      </c>
      <c r="K660" t="n">
        <v>0</v>
      </c>
      <c r="L660" t="n">
        <v>0</v>
      </c>
      <c r="M660" t="n">
        <v>0</v>
      </c>
      <c r="N660" t="n">
        <v>0</v>
      </c>
      <c r="O660" t="n">
        <v>0</v>
      </c>
      <c r="P660" t="n">
        <v>0</v>
      </c>
      <c r="Q660" t="n">
        <v>0</v>
      </c>
      <c r="R660" t="n">
        <v>0</v>
      </c>
      <c r="S660" t="n">
        <v>0</v>
      </c>
      <c r="T660" t="n">
        <v>0</v>
      </c>
      <c r="U660" s="2" t="inlineStr"/>
    </row>
    <row r="661" ht="15" customHeight="1">
      <c r="A661" t="inlineStr">
        <is>
          <t>A 10012-2023</t>
        </is>
      </c>
      <c r="B661" t="inlineStr">
        <is>
          <t>avverkningsanmälan</t>
        </is>
      </c>
      <c r="C661" t="inlineStr">
        <is>
          <t>Föryngringsavverkning</t>
        </is>
      </c>
      <c r="D661" s="1" t="n">
        <v>44985</v>
      </c>
      <c r="E661" s="1" t="n">
        <v>46223</v>
      </c>
      <c r="F661" t="inlineStr">
        <is>
          <t>JÄMTLANDS LÄN</t>
        </is>
      </c>
      <c r="G661" t="inlineStr">
        <is>
          <t>HÄRJEDALEN</t>
        </is>
      </c>
      <c r="H661" t="inlineStr">
        <is>
          <t>Holmen skog AB</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30404-2024</t>
        </is>
      </c>
      <c r="B662" t="inlineStr">
        <is>
          <t>avverkningsanmälan</t>
        </is>
      </c>
      <c r="C662" t="inlineStr">
        <is>
          <t>Avverkning för annat ändamål</t>
        </is>
      </c>
      <c r="D662" s="1" t="n">
        <v>45491</v>
      </c>
      <c r="E662" s="1" t="n">
        <v>46223</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18546-2025</t>
        </is>
      </c>
      <c r="B663" t="inlineStr">
        <is>
          <t>avverkningsanmälan</t>
        </is>
      </c>
      <c r="C663" t="inlineStr">
        <is>
          <t>Föryngringsavverkning</t>
        </is>
      </c>
      <c r="D663" s="1" t="n">
        <v>45763</v>
      </c>
      <c r="E663" s="1" t="n">
        <v>46223</v>
      </c>
      <c r="F663" t="inlineStr">
        <is>
          <t>JÄMTLANDS LÄN</t>
        </is>
      </c>
      <c r="G663" t="inlineStr">
        <is>
          <t>HÄRJEDALEN</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7430-2024</t>
        </is>
      </c>
      <c r="B664" t="inlineStr">
        <is>
          <t>avverkningsanmälan</t>
        </is>
      </c>
      <c r="C664" t="inlineStr">
        <is>
          <t>Föryngringsavverkning</t>
        </is>
      </c>
      <c r="D664" s="1" t="n">
        <v>45345</v>
      </c>
      <c r="E664" s="1" t="n">
        <v>46223</v>
      </c>
      <c r="F664" t="inlineStr">
        <is>
          <t>JÄMTLANDS LÄN</t>
        </is>
      </c>
      <c r="G664" t="inlineStr">
        <is>
          <t>HÄRJEDALEN</t>
        </is>
      </c>
      <c r="H664" t="inlineStr">
        <is>
          <t>Holmen skog AB</t>
        </is>
      </c>
      <c r="I664" t="n">
        <v>12.1</v>
      </c>
      <c r="J664" t="n">
        <v>0</v>
      </c>
      <c r="K664" t="n">
        <v>0</v>
      </c>
      <c r="L664" t="n">
        <v>0</v>
      </c>
      <c r="M664" t="n">
        <v>0</v>
      </c>
      <c r="N664" t="n">
        <v>0</v>
      </c>
      <c r="O664" t="n">
        <v>0</v>
      </c>
      <c r="P664" t="n">
        <v>0</v>
      </c>
      <c r="Q664" t="n">
        <v>0</v>
      </c>
      <c r="R664" t="n">
        <v>0</v>
      </c>
      <c r="S664" t="n">
        <v>0</v>
      </c>
      <c r="T664" t="n">
        <v>0</v>
      </c>
      <c r="U664" s="2" t="inlineStr"/>
    </row>
    <row r="665" ht="15" customHeight="1">
      <c r="A665" t="inlineStr">
        <is>
          <t>A 13213-2026</t>
        </is>
      </c>
      <c r="B665" t="inlineStr">
        <is>
          <t>avverkningsanmälan</t>
        </is>
      </c>
      <c r="C665" t="inlineStr">
        <is>
          <t>Föryngringsavverkning</t>
        </is>
      </c>
      <c r="D665" s="1" t="n">
        <v>46093</v>
      </c>
      <c r="E665" s="1" t="n">
        <v>46223</v>
      </c>
      <c r="F665" t="inlineStr">
        <is>
          <t>JÄMTLANDS LÄN</t>
        </is>
      </c>
      <c r="G665" t="inlineStr">
        <is>
          <t>HÄRJEDALEN</t>
        </is>
      </c>
      <c r="H665" t="inlineStr">
        <is>
          <t>SCA</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59981-2025</t>
        </is>
      </c>
      <c r="B666" t="inlineStr">
        <is>
          <t>avverkningsanmälan</t>
        </is>
      </c>
      <c r="C666" t="inlineStr">
        <is>
          <t>Föryngringsavverkning</t>
        </is>
      </c>
      <c r="D666" s="1" t="n">
        <v>45993</v>
      </c>
      <c r="E666" s="1" t="n">
        <v>46223</v>
      </c>
      <c r="F666" t="inlineStr">
        <is>
          <t>JÄMTLANDS LÄN</t>
        </is>
      </c>
      <c r="G666" t="inlineStr">
        <is>
          <t>HÄRJEDALEN</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60674-2025</t>
        </is>
      </c>
      <c r="B667" t="inlineStr">
        <is>
          <t>avverkningsanmälan</t>
        </is>
      </c>
      <c r="C667" t="inlineStr">
        <is>
          <t>Föryngringsavverkning</t>
        </is>
      </c>
      <c r="D667" s="1" t="n">
        <v>45996</v>
      </c>
      <c r="E667" s="1" t="n">
        <v>46223</v>
      </c>
      <c r="F667" t="inlineStr">
        <is>
          <t>JÄMTLANDS LÄN</t>
        </is>
      </c>
      <c r="G667" t="inlineStr">
        <is>
          <t>HÄRJEDALEN</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20865-2024</t>
        </is>
      </c>
      <c r="B668" t="inlineStr">
        <is>
          <t>avverkningsanmälan</t>
        </is>
      </c>
      <c r="C668" t="inlineStr">
        <is>
          <t>Föryngringsavverkning</t>
        </is>
      </c>
      <c r="D668" s="1" t="n">
        <v>45439</v>
      </c>
      <c r="E668" s="1" t="n">
        <v>46223</v>
      </c>
      <c r="F668" t="inlineStr">
        <is>
          <t>JÄMTLANDS LÄN</t>
        </is>
      </c>
      <c r="G668" t="inlineStr">
        <is>
          <t>HÄRJEDALEN</t>
        </is>
      </c>
      <c r="H668" t="inlineStr">
        <is>
          <t>Holmen skog AB</t>
        </is>
      </c>
      <c r="I668" t="n">
        <v>7.2</v>
      </c>
      <c r="J668" t="n">
        <v>0</v>
      </c>
      <c r="K668" t="n">
        <v>0</v>
      </c>
      <c r="L668" t="n">
        <v>0</v>
      </c>
      <c r="M668" t="n">
        <v>0</v>
      </c>
      <c r="N668" t="n">
        <v>0</v>
      </c>
      <c r="O668" t="n">
        <v>0</v>
      </c>
      <c r="P668" t="n">
        <v>0</v>
      </c>
      <c r="Q668" t="n">
        <v>0</v>
      </c>
      <c r="R668" t="n">
        <v>0</v>
      </c>
      <c r="S668" t="n">
        <v>0</v>
      </c>
      <c r="T668" t="n">
        <v>0</v>
      </c>
      <c r="U668" s="2" t="inlineStr"/>
    </row>
    <row r="669" ht="15" customHeight="1">
      <c r="A669" t="inlineStr">
        <is>
          <t>A 60602-2025</t>
        </is>
      </c>
      <c r="B669" t="inlineStr">
        <is>
          <t>avverkningsanmälan</t>
        </is>
      </c>
      <c r="C669" t="inlineStr">
        <is>
          <t>Föryngringsavverkning</t>
        </is>
      </c>
      <c r="D669" s="1" t="n">
        <v>45996</v>
      </c>
      <c r="E669" s="1" t="n">
        <v>46223</v>
      </c>
      <c r="F669" t="inlineStr">
        <is>
          <t>JÄMTLANDS LÄN</t>
        </is>
      </c>
      <c r="G669" t="inlineStr">
        <is>
          <t>HÄRJEDALEN</t>
        </is>
      </c>
      <c r="I669" t="n">
        <v>3.7</v>
      </c>
      <c r="J669" t="n">
        <v>0</v>
      </c>
      <c r="K669" t="n">
        <v>0</v>
      </c>
      <c r="L669" t="n">
        <v>0</v>
      </c>
      <c r="M669" t="n">
        <v>0</v>
      </c>
      <c r="N669" t="n">
        <v>0</v>
      </c>
      <c r="O669" t="n">
        <v>0</v>
      </c>
      <c r="P669" t="n">
        <v>0</v>
      </c>
      <c r="Q669" t="n">
        <v>0</v>
      </c>
      <c r="R669" t="n">
        <v>0</v>
      </c>
      <c r="S669" t="n">
        <v>0</v>
      </c>
      <c r="T669" t="n">
        <v>0</v>
      </c>
      <c r="U669" s="2" t="inlineStr"/>
    </row>
    <row r="670" ht="15" customHeight="1">
      <c r="A670" t="inlineStr">
        <is>
          <t>A 7636-2023</t>
        </is>
      </c>
      <c r="B670" t="inlineStr">
        <is>
          <t>avverkningsanmälan</t>
        </is>
      </c>
      <c r="C670" t="inlineStr">
        <is>
          <t>Föryngringsavverkning</t>
        </is>
      </c>
      <c r="D670" s="1" t="n">
        <v>44972</v>
      </c>
      <c r="E670" s="1" t="n">
        <v>46223</v>
      </c>
      <c r="F670" t="inlineStr">
        <is>
          <t>JÄMTLANDS LÄN</t>
        </is>
      </c>
      <c r="G670" t="inlineStr">
        <is>
          <t>HÄRJEDALEN</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60547-2025</t>
        </is>
      </c>
      <c r="B671" t="inlineStr">
        <is>
          <t>avverkningsanmälan</t>
        </is>
      </c>
      <c r="C671" t="inlineStr">
        <is>
          <t>Föryngringsavverkning</t>
        </is>
      </c>
      <c r="D671" s="1" t="n">
        <v>45995</v>
      </c>
      <c r="E671" s="1" t="n">
        <v>46223</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s="2" t="inlineStr"/>
    </row>
    <row r="672" ht="15" customHeight="1">
      <c r="A672" t="inlineStr">
        <is>
          <t>A 60568-2025</t>
        </is>
      </c>
      <c r="B672" t="inlineStr">
        <is>
          <t>avverkningsanmälan</t>
        </is>
      </c>
      <c r="C672" t="inlineStr">
        <is>
          <t>Föryngringsavverkning</t>
        </is>
      </c>
      <c r="D672" s="1" t="n">
        <v>45995</v>
      </c>
      <c r="E672" s="1" t="n">
        <v>46223</v>
      </c>
      <c r="F672" t="inlineStr">
        <is>
          <t>JÄMTLANDS LÄN</t>
        </is>
      </c>
      <c r="G672" t="inlineStr">
        <is>
          <t>HÄRJEDALEN</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60605-2025</t>
        </is>
      </c>
      <c r="B673" t="inlineStr">
        <is>
          <t>avverkningsanmälan</t>
        </is>
      </c>
      <c r="C673" t="inlineStr">
        <is>
          <t>Föryngringsavverkning</t>
        </is>
      </c>
      <c r="D673" s="1" t="n">
        <v>45996</v>
      </c>
      <c r="E673" s="1" t="n">
        <v>46223</v>
      </c>
      <c r="F673" t="inlineStr">
        <is>
          <t>JÄMTLANDS LÄN</t>
        </is>
      </c>
      <c r="G673" t="inlineStr">
        <is>
          <t>HÄRJEDALEN</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60581-2025</t>
        </is>
      </c>
      <c r="B674" t="inlineStr">
        <is>
          <t>avverkningsanmälan</t>
        </is>
      </c>
      <c r="C674" t="inlineStr">
        <is>
          <t>Föryngringsavverkning</t>
        </is>
      </c>
      <c r="D674" s="1" t="n">
        <v>45996</v>
      </c>
      <c r="E674" s="1" t="n">
        <v>46223</v>
      </c>
      <c r="F674" t="inlineStr">
        <is>
          <t>JÄMTLANDS LÄN</t>
        </is>
      </c>
      <c r="G674" t="inlineStr">
        <is>
          <t>HÄRJEDALEN</t>
        </is>
      </c>
      <c r="I674" t="n">
        <v>6.1</v>
      </c>
      <c r="J674" t="n">
        <v>0</v>
      </c>
      <c r="K674" t="n">
        <v>0</v>
      </c>
      <c r="L674" t="n">
        <v>0</v>
      </c>
      <c r="M674" t="n">
        <v>0</v>
      </c>
      <c r="N674" t="n">
        <v>0</v>
      </c>
      <c r="O674" t="n">
        <v>0</v>
      </c>
      <c r="P674" t="n">
        <v>0</v>
      </c>
      <c r="Q674" t="n">
        <v>0</v>
      </c>
      <c r="R674" t="n">
        <v>0</v>
      </c>
      <c r="S674" t="n">
        <v>0</v>
      </c>
      <c r="T674" t="n">
        <v>0</v>
      </c>
      <c r="U674" s="2" t="inlineStr"/>
    </row>
    <row r="675" ht="15" customHeight="1">
      <c r="A675" t="inlineStr">
        <is>
          <t>A 60615-2025</t>
        </is>
      </c>
      <c r="B675" t="inlineStr">
        <is>
          <t>avverkningsanmälan</t>
        </is>
      </c>
      <c r="C675" t="inlineStr">
        <is>
          <t>Föryngringsavverkning</t>
        </is>
      </c>
      <c r="D675" s="1" t="n">
        <v>45996</v>
      </c>
      <c r="E675" s="1" t="n">
        <v>46223</v>
      </c>
      <c r="F675" t="inlineStr">
        <is>
          <t>JÄMTLANDS LÄN</t>
        </is>
      </c>
      <c r="G675" t="inlineStr">
        <is>
          <t>HÄRJEDALEN</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57755-2021</t>
        </is>
      </c>
      <c r="B676" t="inlineStr">
        <is>
          <t>avverkningsanmälan</t>
        </is>
      </c>
      <c r="C676" t="inlineStr">
        <is>
          <t>Föryngringsavverkning</t>
        </is>
      </c>
      <c r="D676" s="1" t="n">
        <v>44484</v>
      </c>
      <c r="E676" s="1" t="n">
        <v>46223</v>
      </c>
      <c r="F676" t="inlineStr">
        <is>
          <t>JÄMTLANDS LÄN</t>
        </is>
      </c>
      <c r="G676" t="inlineStr">
        <is>
          <t>HÄRJEDALEN</t>
        </is>
      </c>
      <c r="I676" t="n">
        <v>3.9</v>
      </c>
      <c r="J676" t="n">
        <v>0</v>
      </c>
      <c r="K676" t="n">
        <v>0</v>
      </c>
      <c r="L676" t="n">
        <v>0</v>
      </c>
      <c r="M676" t="n">
        <v>0</v>
      </c>
      <c r="N676" t="n">
        <v>0</v>
      </c>
      <c r="O676" t="n">
        <v>0</v>
      </c>
      <c r="P676" t="n">
        <v>0</v>
      </c>
      <c r="Q676" t="n">
        <v>0</v>
      </c>
      <c r="R676" t="n">
        <v>0</v>
      </c>
      <c r="S676" t="n">
        <v>0</v>
      </c>
      <c r="T676" t="n">
        <v>0</v>
      </c>
      <c r="U676" s="2" t="inlineStr"/>
    </row>
    <row r="677" ht="15" customHeight="1">
      <c r="A677" t="inlineStr">
        <is>
          <t>A 41037-2025</t>
        </is>
      </c>
      <c r="B677" t="inlineStr">
        <is>
          <t>avverkningsanmälan</t>
        </is>
      </c>
      <c r="C677" t="inlineStr">
        <is>
          <t>Avverkning för att bevara och utveckla /försöksver</t>
        </is>
      </c>
      <c r="D677" s="1" t="n">
        <v>45898</v>
      </c>
      <c r="E677" s="1" t="n">
        <v>46223</v>
      </c>
      <c r="F677" t="inlineStr">
        <is>
          <t>JÄMTLANDS LÄN</t>
        </is>
      </c>
      <c r="G677" t="inlineStr">
        <is>
          <t>HÄRJEDALEN</t>
        </is>
      </c>
      <c r="I677" t="n">
        <v>8.199999999999999</v>
      </c>
      <c r="J677" t="n">
        <v>0</v>
      </c>
      <c r="K677" t="n">
        <v>0</v>
      </c>
      <c r="L677" t="n">
        <v>0</v>
      </c>
      <c r="M677" t="n">
        <v>0</v>
      </c>
      <c r="N677" t="n">
        <v>0</v>
      </c>
      <c r="O677" t="n">
        <v>0</v>
      </c>
      <c r="P677" t="n">
        <v>0</v>
      </c>
      <c r="Q677" t="n">
        <v>0</v>
      </c>
      <c r="R677" t="n">
        <v>0</v>
      </c>
      <c r="S677" t="n">
        <v>0</v>
      </c>
      <c r="T677" t="n">
        <v>0</v>
      </c>
      <c r="U677" s="2" t="inlineStr"/>
    </row>
    <row r="678" ht="15" customHeight="1">
      <c r="A678" t="inlineStr">
        <is>
          <t>A 53958-2025</t>
        </is>
      </c>
      <c r="B678" t="inlineStr">
        <is>
          <t>avverkningsanmälan</t>
        </is>
      </c>
      <c r="C678" t="inlineStr">
        <is>
          <t>Föryngringsavverkning</t>
        </is>
      </c>
      <c r="D678" s="1" t="n">
        <v>45961</v>
      </c>
      <c r="E678" s="1" t="n">
        <v>46223</v>
      </c>
      <c r="F678" t="inlineStr">
        <is>
          <t>JÄMTLANDS LÄN</t>
        </is>
      </c>
      <c r="G678" t="inlineStr">
        <is>
          <t>HÄRJEDALEN</t>
        </is>
      </c>
      <c r="I678" t="n">
        <v>6.6</v>
      </c>
      <c r="J678" t="n">
        <v>0</v>
      </c>
      <c r="K678" t="n">
        <v>0</v>
      </c>
      <c r="L678" t="n">
        <v>0</v>
      </c>
      <c r="M678" t="n">
        <v>0</v>
      </c>
      <c r="N678" t="n">
        <v>0</v>
      </c>
      <c r="O678" t="n">
        <v>0</v>
      </c>
      <c r="P678" t="n">
        <v>0</v>
      </c>
      <c r="Q678" t="n">
        <v>0</v>
      </c>
      <c r="R678" t="n">
        <v>0</v>
      </c>
      <c r="S678" t="n">
        <v>0</v>
      </c>
      <c r="T678" t="n">
        <v>0</v>
      </c>
      <c r="U678" s="2" t="inlineStr"/>
    </row>
    <row r="679" ht="15" customHeight="1">
      <c r="A679" t="inlineStr">
        <is>
          <t>A 61240-2025</t>
        </is>
      </c>
      <c r="B679" t="inlineStr">
        <is>
          <t>avverkningsanmälan</t>
        </is>
      </c>
      <c r="C679" t="inlineStr">
        <is>
          <t>Föryngringsavverkning</t>
        </is>
      </c>
      <c r="D679" s="1" t="n">
        <v>46000</v>
      </c>
      <c r="E679" s="1" t="n">
        <v>46223</v>
      </c>
      <c r="F679" t="inlineStr">
        <is>
          <t>JÄMTLANDS LÄN</t>
        </is>
      </c>
      <c r="G679" t="inlineStr">
        <is>
          <t>HÄRJEDALEN</t>
        </is>
      </c>
      <c r="H679" t="inlineStr">
        <is>
          <t>Holmen skog AB</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60777-2025</t>
        </is>
      </c>
      <c r="B680" t="inlineStr">
        <is>
          <t>avverkningsanmälan</t>
        </is>
      </c>
      <c r="C680" t="inlineStr">
        <is>
          <t>Avverkning för att bevara och utveckla /försöksver</t>
        </is>
      </c>
      <c r="D680" s="1" t="n">
        <v>45999</v>
      </c>
      <c r="E680" s="1" t="n">
        <v>46223</v>
      </c>
      <c r="F680" t="inlineStr">
        <is>
          <t>JÄMTLANDS LÄN</t>
        </is>
      </c>
      <c r="G680" t="inlineStr">
        <is>
          <t>HÄRJEDALEN</t>
        </is>
      </c>
      <c r="H680" t="inlineStr">
        <is>
          <t>Bergvik skog väst AB</t>
        </is>
      </c>
      <c r="I680" t="n">
        <v>3.5</v>
      </c>
      <c r="J680" t="n">
        <v>0</v>
      </c>
      <c r="K680" t="n">
        <v>0</v>
      </c>
      <c r="L680" t="n">
        <v>0</v>
      </c>
      <c r="M680" t="n">
        <v>0</v>
      </c>
      <c r="N680" t="n">
        <v>0</v>
      </c>
      <c r="O680" t="n">
        <v>0</v>
      </c>
      <c r="P680" t="n">
        <v>0</v>
      </c>
      <c r="Q680" t="n">
        <v>0</v>
      </c>
      <c r="R680" t="n">
        <v>0</v>
      </c>
      <c r="S680" t="n">
        <v>0</v>
      </c>
      <c r="T680" t="n">
        <v>0</v>
      </c>
      <c r="U680" s="2" t="inlineStr"/>
    </row>
    <row r="681" ht="15" customHeight="1">
      <c r="A681" t="inlineStr">
        <is>
          <t>A 60980-2025</t>
        </is>
      </c>
      <c r="B681" t="inlineStr">
        <is>
          <t>avverkningsanmälan</t>
        </is>
      </c>
      <c r="C681" t="inlineStr">
        <is>
          <t>Föryngringsavverkning</t>
        </is>
      </c>
      <c r="D681" s="1" t="n">
        <v>45999</v>
      </c>
      <c r="E681" s="1" t="n">
        <v>46223</v>
      </c>
      <c r="F681" t="inlineStr">
        <is>
          <t>JÄMTLANDS LÄN</t>
        </is>
      </c>
      <c r="G681" t="inlineStr">
        <is>
          <t>HÄRJEDALEN</t>
        </is>
      </c>
      <c r="I681" t="n">
        <v>10.3</v>
      </c>
      <c r="J681" t="n">
        <v>0</v>
      </c>
      <c r="K681" t="n">
        <v>0</v>
      </c>
      <c r="L681" t="n">
        <v>0</v>
      </c>
      <c r="M681" t="n">
        <v>0</v>
      </c>
      <c r="N681" t="n">
        <v>0</v>
      </c>
      <c r="O681" t="n">
        <v>0</v>
      </c>
      <c r="P681" t="n">
        <v>0</v>
      </c>
      <c r="Q681" t="n">
        <v>0</v>
      </c>
      <c r="R681" t="n">
        <v>0</v>
      </c>
      <c r="S681" t="n">
        <v>0</v>
      </c>
      <c r="T681" t="n">
        <v>0</v>
      </c>
      <c r="U681" s="2" t="inlineStr"/>
    </row>
    <row r="682" ht="15" customHeight="1">
      <c r="A682" t="inlineStr">
        <is>
          <t>A 13997-2026</t>
        </is>
      </c>
      <c r="B682" t="inlineStr">
        <is>
          <t>avverkningsanmälan</t>
        </is>
      </c>
      <c r="C682" t="inlineStr">
        <is>
          <t>Föryngringsavverkning</t>
        </is>
      </c>
      <c r="D682" s="1" t="n">
        <v>46098</v>
      </c>
      <c r="E682" s="1" t="n">
        <v>46223</v>
      </c>
      <c r="F682" t="inlineStr">
        <is>
          <t>JÄMTLANDS LÄN</t>
        </is>
      </c>
      <c r="G682" t="inlineStr">
        <is>
          <t>HÄRJEDALEN</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56043-2022</t>
        </is>
      </c>
      <c r="B683" t="inlineStr">
        <is>
          <t>avverkningsanmälan</t>
        </is>
      </c>
      <c r="C683" t="inlineStr">
        <is>
          <t>Föryngringsavverkning</t>
        </is>
      </c>
      <c r="D683" s="1" t="n">
        <v>44889</v>
      </c>
      <c r="E683" s="1" t="n">
        <v>46223</v>
      </c>
      <c r="F683" t="inlineStr">
        <is>
          <t>JÄMTLANDS LÄN</t>
        </is>
      </c>
      <c r="G683" t="inlineStr">
        <is>
          <t>HÄRJEDALEN</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4728-2026</t>
        </is>
      </c>
      <c r="B684" t="inlineStr">
        <is>
          <t>avverkningsanmälan</t>
        </is>
      </c>
      <c r="C684" t="inlineStr">
        <is>
          <t>Föryngringsavverkning</t>
        </is>
      </c>
      <c r="D684" s="1" t="n">
        <v>46048</v>
      </c>
      <c r="E684" s="1" t="n">
        <v>46223</v>
      </c>
      <c r="F684" t="inlineStr">
        <is>
          <t>JÄMTLANDS LÄN</t>
        </is>
      </c>
      <c r="G684" t="inlineStr">
        <is>
          <t>HÄRJEDALEN</t>
        </is>
      </c>
      <c r="I684" t="n">
        <v>9.4</v>
      </c>
      <c r="J684" t="n">
        <v>0</v>
      </c>
      <c r="K684" t="n">
        <v>0</v>
      </c>
      <c r="L684" t="n">
        <v>0</v>
      </c>
      <c r="M684" t="n">
        <v>0</v>
      </c>
      <c r="N684" t="n">
        <v>0</v>
      </c>
      <c r="O684" t="n">
        <v>0</v>
      </c>
      <c r="P684" t="n">
        <v>0</v>
      </c>
      <c r="Q684" t="n">
        <v>0</v>
      </c>
      <c r="R684" t="n">
        <v>0</v>
      </c>
      <c r="S684" t="n">
        <v>0</v>
      </c>
      <c r="T684" t="n">
        <v>0</v>
      </c>
      <c r="U684" s="2" t="inlineStr"/>
    </row>
    <row r="685" ht="15" customHeight="1">
      <c r="A685" t="inlineStr">
        <is>
          <t>A 60856-2025</t>
        </is>
      </c>
      <c r="B685" t="inlineStr">
        <is>
          <t>avverkningsanmälan</t>
        </is>
      </c>
      <c r="C685" t="inlineStr">
        <is>
          <t>Föryngringsavverkning</t>
        </is>
      </c>
      <c r="D685" s="1" t="n">
        <v>45999</v>
      </c>
      <c r="E685" s="1" t="n">
        <v>46223</v>
      </c>
      <c r="F685" t="inlineStr">
        <is>
          <t>JÄMTLANDS LÄN</t>
        </is>
      </c>
      <c r="G685" t="inlineStr">
        <is>
          <t>HÄRJEDALEN</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4730-2026</t>
        </is>
      </c>
      <c r="B686" t="inlineStr">
        <is>
          <t>avverkningsanmälan</t>
        </is>
      </c>
      <c r="C686" t="inlineStr">
        <is>
          <t>Föryngringsavverkning</t>
        </is>
      </c>
      <c r="D686" s="1" t="n">
        <v>46048</v>
      </c>
      <c r="E686" s="1" t="n">
        <v>46223</v>
      </c>
      <c r="F686" t="inlineStr">
        <is>
          <t>JÄMTLANDS LÄN</t>
        </is>
      </c>
      <c r="G686" t="inlineStr">
        <is>
          <t>HÄRJEDALEN</t>
        </is>
      </c>
      <c r="I686" t="n">
        <v>10.4</v>
      </c>
      <c r="J686" t="n">
        <v>0</v>
      </c>
      <c r="K686" t="n">
        <v>0</v>
      </c>
      <c r="L686" t="n">
        <v>0</v>
      </c>
      <c r="M686" t="n">
        <v>0</v>
      </c>
      <c r="N686" t="n">
        <v>0</v>
      </c>
      <c r="O686" t="n">
        <v>0</v>
      </c>
      <c r="P686" t="n">
        <v>0</v>
      </c>
      <c r="Q686" t="n">
        <v>0</v>
      </c>
      <c r="R686" t="n">
        <v>0</v>
      </c>
      <c r="S686" t="n">
        <v>0</v>
      </c>
      <c r="T686" t="n">
        <v>0</v>
      </c>
      <c r="U686" s="2" t="inlineStr"/>
    </row>
    <row r="687" ht="15" customHeight="1">
      <c r="A687" t="inlineStr">
        <is>
          <t>A 64014-2025</t>
        </is>
      </c>
      <c r="B687" t="inlineStr">
        <is>
          <t>avverkningsanmälan</t>
        </is>
      </c>
      <c r="C687" t="inlineStr">
        <is>
          <t>Föryngringsavverkning</t>
        </is>
      </c>
      <c r="D687" s="1" t="n">
        <v>46021</v>
      </c>
      <c r="E687" s="1" t="n">
        <v>46223</v>
      </c>
      <c r="F687" t="inlineStr">
        <is>
          <t>JÄMTLANDS LÄN</t>
        </is>
      </c>
      <c r="G687" t="inlineStr">
        <is>
          <t>HÄRJEDALEN</t>
        </is>
      </c>
      <c r="I687" t="n">
        <v>20</v>
      </c>
      <c r="J687" t="n">
        <v>0</v>
      </c>
      <c r="K687" t="n">
        <v>0</v>
      </c>
      <c r="L687" t="n">
        <v>0</v>
      </c>
      <c r="M687" t="n">
        <v>0</v>
      </c>
      <c r="N687" t="n">
        <v>0</v>
      </c>
      <c r="O687" t="n">
        <v>0</v>
      </c>
      <c r="P687" t="n">
        <v>0</v>
      </c>
      <c r="Q687" t="n">
        <v>0</v>
      </c>
      <c r="R687" t="n">
        <v>0</v>
      </c>
      <c r="S687" t="n">
        <v>0</v>
      </c>
      <c r="T687" t="n">
        <v>0</v>
      </c>
      <c r="U687" s="2" t="inlineStr"/>
    </row>
    <row r="688" ht="15" customHeight="1">
      <c r="A688" t="inlineStr">
        <is>
          <t>A 29-2023</t>
        </is>
      </c>
      <c r="B688" t="inlineStr">
        <is>
          <t>avverkningsanmälan</t>
        </is>
      </c>
      <c r="C688" t="inlineStr">
        <is>
          <t>Föryngringsavverkning</t>
        </is>
      </c>
      <c r="D688" s="1" t="n">
        <v>44928</v>
      </c>
      <c r="E688" s="1" t="n">
        <v>46223</v>
      </c>
      <c r="F688" t="inlineStr">
        <is>
          <t>JÄMTLANDS LÄN</t>
        </is>
      </c>
      <c r="G688" t="inlineStr">
        <is>
          <t>HÄRJEDALEN</t>
        </is>
      </c>
      <c r="H688" t="inlineStr">
        <is>
          <t>Holmen skog AB</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12569-2025</t>
        </is>
      </c>
      <c r="B689" t="inlineStr">
        <is>
          <t>avverkningsanmälan</t>
        </is>
      </c>
      <c r="C689" t="inlineStr">
        <is>
          <t>Avverkning för annat ändamål</t>
        </is>
      </c>
      <c r="D689" s="1" t="n">
        <v>45731</v>
      </c>
      <c r="E689" s="1" t="n">
        <v>46223</v>
      </c>
      <c r="F689" t="inlineStr">
        <is>
          <t>JÄMTLANDS LÄN</t>
        </is>
      </c>
      <c r="G689" t="inlineStr">
        <is>
          <t>HÄRJEDALEN</t>
        </is>
      </c>
      <c r="I689" t="n">
        <v>0.2</v>
      </c>
      <c r="J689" t="n">
        <v>0</v>
      </c>
      <c r="K689" t="n">
        <v>0</v>
      </c>
      <c r="L689" t="n">
        <v>0</v>
      </c>
      <c r="M689" t="n">
        <v>0</v>
      </c>
      <c r="N689" t="n">
        <v>0</v>
      </c>
      <c r="O689" t="n">
        <v>0</v>
      </c>
      <c r="P689" t="n">
        <v>0</v>
      </c>
      <c r="Q689" t="n">
        <v>0</v>
      </c>
      <c r="R689" t="n">
        <v>0</v>
      </c>
      <c r="S689" t="n">
        <v>0</v>
      </c>
      <c r="T689" t="n">
        <v>0</v>
      </c>
      <c r="U689" s="2" t="inlineStr"/>
    </row>
    <row r="690" ht="15" customHeight="1">
      <c r="A690" t="inlineStr">
        <is>
          <t>A 61765-2025</t>
        </is>
      </c>
      <c r="B690" t="inlineStr">
        <is>
          <t>avverkningsanmälan</t>
        </is>
      </c>
      <c r="C690" t="inlineStr">
        <is>
          <t>Föryngringsavverkning</t>
        </is>
      </c>
      <c r="D690" s="1" t="n">
        <v>46002</v>
      </c>
      <c r="E690" s="1" t="n">
        <v>46223</v>
      </c>
      <c r="F690" t="inlineStr">
        <is>
          <t>JÄMTLANDS LÄN</t>
        </is>
      </c>
      <c r="G690" t="inlineStr">
        <is>
          <t>HÄRJEDALEN</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39820-2022</t>
        </is>
      </c>
      <c r="B691" t="inlineStr">
        <is>
          <t>avverkningsanmälan</t>
        </is>
      </c>
      <c r="C691" t="inlineStr">
        <is>
          <t>Föryngringsavverkning</t>
        </is>
      </c>
      <c r="D691" s="1" t="n">
        <v>44819</v>
      </c>
      <c r="E691" s="1" t="n">
        <v>46223</v>
      </c>
      <c r="F691" t="inlineStr">
        <is>
          <t>JÄMTLANDS LÄN</t>
        </is>
      </c>
      <c r="G691" t="inlineStr">
        <is>
          <t>HÄRJEDALEN</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62388-2025</t>
        </is>
      </c>
      <c r="B692" t="inlineStr">
        <is>
          <t>avverkningsanmälan</t>
        </is>
      </c>
      <c r="C692" t="inlineStr">
        <is>
          <t>Avverkning för annat ändamål</t>
        </is>
      </c>
      <c r="D692" s="1" t="n">
        <v>46006</v>
      </c>
      <c r="E692" s="1" t="n">
        <v>46223</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36539-2025</t>
        </is>
      </c>
      <c r="B693" t="inlineStr">
        <is>
          <t>avverkningsanmälan</t>
        </is>
      </c>
      <c r="C693" t="inlineStr">
        <is>
          <t>Föryngringsavverkning</t>
        </is>
      </c>
      <c r="D693" s="1" t="n">
        <v>45869</v>
      </c>
      <c r="E693" s="1" t="n">
        <v>46223</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62075-2025</t>
        </is>
      </c>
      <c r="B694" t="inlineStr">
        <is>
          <t>avverkningsanmälan</t>
        </is>
      </c>
      <c r="C694" t="inlineStr">
        <is>
          <t>Föryngringsavverkning</t>
        </is>
      </c>
      <c r="D694" s="1" t="n">
        <v>46006</v>
      </c>
      <c r="E694" s="1" t="n">
        <v>46223</v>
      </c>
      <c r="F694" t="inlineStr">
        <is>
          <t>JÄMTLANDS LÄN</t>
        </is>
      </c>
      <c r="G694" t="inlineStr">
        <is>
          <t>HÄRJEDALEN</t>
        </is>
      </c>
      <c r="I694" t="n">
        <v>4.8</v>
      </c>
      <c r="J694" t="n">
        <v>0</v>
      </c>
      <c r="K694" t="n">
        <v>0</v>
      </c>
      <c r="L694" t="n">
        <v>0</v>
      </c>
      <c r="M694" t="n">
        <v>0</v>
      </c>
      <c r="N694" t="n">
        <v>0</v>
      </c>
      <c r="O694" t="n">
        <v>0</v>
      </c>
      <c r="P694" t="n">
        <v>0</v>
      </c>
      <c r="Q694" t="n">
        <v>0</v>
      </c>
      <c r="R694" t="n">
        <v>0</v>
      </c>
      <c r="S694" t="n">
        <v>0</v>
      </c>
      <c r="T694" t="n">
        <v>0</v>
      </c>
      <c r="U694" s="2" t="inlineStr"/>
    </row>
    <row r="695" ht="15" customHeight="1">
      <c r="A695" t="inlineStr">
        <is>
          <t>A 47738-2022</t>
        </is>
      </c>
      <c r="B695" t="inlineStr">
        <is>
          <t>avverkningsanmälan</t>
        </is>
      </c>
      <c r="C695" t="inlineStr">
        <is>
          <t>Avverkning för annat ändamål</t>
        </is>
      </c>
      <c r="D695" s="1" t="n">
        <v>44854</v>
      </c>
      <c r="E695" s="1" t="n">
        <v>46223</v>
      </c>
      <c r="F695" t="inlineStr">
        <is>
          <t>JÄMTLANDS LÄN</t>
        </is>
      </c>
      <c r="G695" t="inlineStr">
        <is>
          <t>HÄRJEDALEN</t>
        </is>
      </c>
      <c r="H695" t="inlineStr">
        <is>
          <t>Sveaskog</t>
        </is>
      </c>
      <c r="I695" t="n">
        <v>0.4</v>
      </c>
      <c r="J695" t="n">
        <v>0</v>
      </c>
      <c r="K695" t="n">
        <v>0</v>
      </c>
      <c r="L695" t="n">
        <v>0</v>
      </c>
      <c r="M695" t="n">
        <v>0</v>
      </c>
      <c r="N695" t="n">
        <v>0</v>
      </c>
      <c r="O695" t="n">
        <v>0</v>
      </c>
      <c r="P695" t="n">
        <v>0</v>
      </c>
      <c r="Q695" t="n">
        <v>0</v>
      </c>
      <c r="R695" t="n">
        <v>0</v>
      </c>
      <c r="S695" t="n">
        <v>0</v>
      </c>
      <c r="T695" t="n">
        <v>0</v>
      </c>
      <c r="U695" s="2" t="inlineStr"/>
    </row>
    <row r="696" ht="15" customHeight="1">
      <c r="A696" t="inlineStr">
        <is>
          <t>A 62171-2025</t>
        </is>
      </c>
      <c r="B696" t="inlineStr">
        <is>
          <t>avverkningsanmälan</t>
        </is>
      </c>
      <c r="C696" t="inlineStr">
        <is>
          <t>Föryngringsavverkning</t>
        </is>
      </c>
      <c r="D696" s="1" t="n">
        <v>46006</v>
      </c>
      <c r="E696" s="1" t="n">
        <v>46223</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62234-2025</t>
        </is>
      </c>
      <c r="B697" t="inlineStr">
        <is>
          <t>avverkningsanmälan</t>
        </is>
      </c>
      <c r="C697" t="inlineStr">
        <is>
          <t>Föryngringsavverkning</t>
        </is>
      </c>
      <c r="D697" s="1" t="n">
        <v>46006</v>
      </c>
      <c r="E697" s="1" t="n">
        <v>46223</v>
      </c>
      <c r="F697" t="inlineStr">
        <is>
          <t>JÄMTLANDS LÄN</t>
        </is>
      </c>
      <c r="G697" t="inlineStr">
        <is>
          <t>HÄRJEDALEN</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62170-2025</t>
        </is>
      </c>
      <c r="B698" t="inlineStr">
        <is>
          <t>avverkningsanmälan</t>
        </is>
      </c>
      <c r="C698" t="inlineStr">
        <is>
          <t>Föryngringsavverkning</t>
        </is>
      </c>
      <c r="D698" s="1" t="n">
        <v>46006</v>
      </c>
      <c r="E698" s="1" t="n">
        <v>46223</v>
      </c>
      <c r="F698" t="inlineStr">
        <is>
          <t>JÄMTLANDS LÄN</t>
        </is>
      </c>
      <c r="G698" t="inlineStr">
        <is>
          <t>HÄRJEDALEN</t>
        </is>
      </c>
      <c r="I698" t="n">
        <v>0.3</v>
      </c>
      <c r="J698" t="n">
        <v>0</v>
      </c>
      <c r="K698" t="n">
        <v>0</v>
      </c>
      <c r="L698" t="n">
        <v>0</v>
      </c>
      <c r="M698" t="n">
        <v>0</v>
      </c>
      <c r="N698" t="n">
        <v>0</v>
      </c>
      <c r="O698" t="n">
        <v>0</v>
      </c>
      <c r="P698" t="n">
        <v>0</v>
      </c>
      <c r="Q698" t="n">
        <v>0</v>
      </c>
      <c r="R698" t="n">
        <v>0</v>
      </c>
      <c r="S698" t="n">
        <v>0</v>
      </c>
      <c r="T698" t="n">
        <v>0</v>
      </c>
      <c r="U698" s="2" t="inlineStr"/>
    </row>
    <row r="699" ht="15" customHeight="1">
      <c r="A699" t="inlineStr">
        <is>
          <t>A 62531-2025</t>
        </is>
      </c>
      <c r="B699" t="inlineStr">
        <is>
          <t>avverkningsanmälan</t>
        </is>
      </c>
      <c r="C699" t="inlineStr">
        <is>
          <t>Föryngringsavverkning</t>
        </is>
      </c>
      <c r="D699" s="1" t="n">
        <v>46007</v>
      </c>
      <c r="E699" s="1" t="n">
        <v>46223</v>
      </c>
      <c r="F699" t="inlineStr">
        <is>
          <t>JÄMTLANDS LÄN</t>
        </is>
      </c>
      <c r="G699" t="inlineStr">
        <is>
          <t>HÄRJEDALEN</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62528-2025</t>
        </is>
      </c>
      <c r="B700" t="inlineStr">
        <is>
          <t>avverkningsanmälan</t>
        </is>
      </c>
      <c r="C700" t="inlineStr">
        <is>
          <t>Föryngringsavverkning</t>
        </is>
      </c>
      <c r="D700" s="1" t="n">
        <v>46007</v>
      </c>
      <c r="E700" s="1" t="n">
        <v>46223</v>
      </c>
      <c r="F700" t="inlineStr">
        <is>
          <t>JÄMTLANDS LÄN</t>
        </is>
      </c>
      <c r="G700" t="inlineStr">
        <is>
          <t>HÄRJEDALEN</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30729-2024</t>
        </is>
      </c>
      <c r="B701" t="inlineStr">
        <is>
          <t>avverkningsanmälan</t>
        </is>
      </c>
      <c r="C701" t="inlineStr">
        <is>
          <t>Föryngringsavverkning</t>
        </is>
      </c>
      <c r="D701" s="1" t="n">
        <v>45496</v>
      </c>
      <c r="E701" s="1" t="n">
        <v>46223</v>
      </c>
      <c r="F701" t="inlineStr">
        <is>
          <t>JÄMTLANDS LÄN</t>
        </is>
      </c>
      <c r="G701" t="inlineStr">
        <is>
          <t>HÄRJEDALEN</t>
        </is>
      </c>
      <c r="H701" t="inlineStr">
        <is>
          <t>Bergvik skog väst AB</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22499-2024</t>
        </is>
      </c>
      <c r="B702" t="inlineStr">
        <is>
          <t>avverkningsanmälan</t>
        </is>
      </c>
      <c r="C702" t="inlineStr">
        <is>
          <t>Föryngringsavverkning</t>
        </is>
      </c>
      <c r="D702" s="1" t="n">
        <v>45447</v>
      </c>
      <c r="E702" s="1" t="n">
        <v>46223</v>
      </c>
      <c r="F702" t="inlineStr">
        <is>
          <t>JÄMTLANDS LÄN</t>
        </is>
      </c>
      <c r="G702" t="inlineStr">
        <is>
          <t>HÄRJEDALEN</t>
        </is>
      </c>
      <c r="I702" t="n">
        <v>14.1</v>
      </c>
      <c r="J702" t="n">
        <v>0</v>
      </c>
      <c r="K702" t="n">
        <v>0</v>
      </c>
      <c r="L702" t="n">
        <v>0</v>
      </c>
      <c r="M702" t="n">
        <v>0</v>
      </c>
      <c r="N702" t="n">
        <v>0</v>
      </c>
      <c r="O702" t="n">
        <v>0</v>
      </c>
      <c r="P702" t="n">
        <v>0</v>
      </c>
      <c r="Q702" t="n">
        <v>0</v>
      </c>
      <c r="R702" t="n">
        <v>0</v>
      </c>
      <c r="S702" t="n">
        <v>0</v>
      </c>
      <c r="T702" t="n">
        <v>0</v>
      </c>
      <c r="U702" s="2" t="inlineStr"/>
    </row>
    <row r="703" ht="15" customHeight="1">
      <c r="A703" t="inlineStr">
        <is>
          <t>A 19915-2023</t>
        </is>
      </c>
      <c r="B703" t="inlineStr">
        <is>
          <t>avverkningsanmälan</t>
        </is>
      </c>
      <c r="C703" t="inlineStr">
        <is>
          <t>Avverkning för annat ändamål</t>
        </is>
      </c>
      <c r="D703" s="1" t="n">
        <v>45054</v>
      </c>
      <c r="E703" s="1" t="n">
        <v>46223</v>
      </c>
      <c r="F703" t="inlineStr">
        <is>
          <t>JÄMTLANDS LÄN</t>
        </is>
      </c>
      <c r="G703" t="inlineStr">
        <is>
          <t>HÄRJEDALEN</t>
        </is>
      </c>
      <c r="H703" t="inlineStr">
        <is>
          <t>Sveaskog</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59125-2024</t>
        </is>
      </c>
      <c r="B704" t="inlineStr">
        <is>
          <t>avverkningsanmälan</t>
        </is>
      </c>
      <c r="C704" t="inlineStr">
        <is>
          <t>Föryngringsavverkning</t>
        </is>
      </c>
      <c r="D704" s="1" t="n">
        <v>45637</v>
      </c>
      <c r="E704" s="1" t="n">
        <v>46223</v>
      </c>
      <c r="F704" t="inlineStr">
        <is>
          <t>JÄMTLANDS LÄN</t>
        </is>
      </c>
      <c r="G704" t="inlineStr">
        <is>
          <t>HÄRJEDALEN</t>
        </is>
      </c>
      <c r="H704" t="inlineStr">
        <is>
          <t>Bergvik skog väst AB</t>
        </is>
      </c>
      <c r="I704" t="n">
        <v>7.3</v>
      </c>
      <c r="J704" t="n">
        <v>0</v>
      </c>
      <c r="K704" t="n">
        <v>0</v>
      </c>
      <c r="L704" t="n">
        <v>0</v>
      </c>
      <c r="M704" t="n">
        <v>0</v>
      </c>
      <c r="N704" t="n">
        <v>0</v>
      </c>
      <c r="O704" t="n">
        <v>0</v>
      </c>
      <c r="P704" t="n">
        <v>0</v>
      </c>
      <c r="Q704" t="n">
        <v>0</v>
      </c>
      <c r="R704" t="n">
        <v>0</v>
      </c>
      <c r="S704" t="n">
        <v>0</v>
      </c>
      <c r="T704" t="n">
        <v>0</v>
      </c>
      <c r="U704" s="2" t="inlineStr"/>
    </row>
    <row r="705" ht="15" customHeight="1">
      <c r="A705" t="inlineStr">
        <is>
          <t>A 62932-2025</t>
        </is>
      </c>
      <c r="B705" t="inlineStr">
        <is>
          <t>avverkningsanmälan</t>
        </is>
      </c>
      <c r="C705" t="inlineStr">
        <is>
          <t>Föryngringsavverkning</t>
        </is>
      </c>
      <c r="D705" s="1" t="n">
        <v>46009</v>
      </c>
      <c r="E705" s="1" t="n">
        <v>46223</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41101-2024</t>
        </is>
      </c>
      <c r="B706" t="inlineStr">
        <is>
          <t>avverkningsanmälan</t>
        </is>
      </c>
      <c r="C706" t="inlineStr">
        <is>
          <t>Föryngringsavverkning</t>
        </is>
      </c>
      <c r="D706" s="1" t="n">
        <v>45559</v>
      </c>
      <c r="E706" s="1" t="n">
        <v>46223</v>
      </c>
      <c r="F706" t="inlineStr">
        <is>
          <t>JÄMTLANDS LÄN</t>
        </is>
      </c>
      <c r="G706" t="inlineStr">
        <is>
          <t>HÄRJEDALEN</t>
        </is>
      </c>
      <c r="H706" t="inlineStr">
        <is>
          <t>Holmen skog AB</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33096-2024</t>
        </is>
      </c>
      <c r="B707" t="inlineStr">
        <is>
          <t>avverkningsanmälan</t>
        </is>
      </c>
      <c r="C707" t="inlineStr">
        <is>
          <t>Avverkning för att bevara och utveckla /försöksver</t>
        </is>
      </c>
      <c r="D707" s="1" t="n">
        <v>45517</v>
      </c>
      <c r="E707" s="1" t="n">
        <v>46223</v>
      </c>
      <c r="F707" t="inlineStr">
        <is>
          <t>JÄMTLANDS LÄN</t>
        </is>
      </c>
      <c r="G707" t="inlineStr">
        <is>
          <t>HÄRJEDALEN</t>
        </is>
      </c>
      <c r="H707" t="inlineStr">
        <is>
          <t>Övriga Aktiebolag</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48198-2024</t>
        </is>
      </c>
      <c r="B708" t="inlineStr">
        <is>
          <t>avverkningsanmälan</t>
        </is>
      </c>
      <c r="C708" t="inlineStr">
        <is>
          <t>Föryngringsavverkning</t>
        </is>
      </c>
      <c r="D708" s="1" t="n">
        <v>45590</v>
      </c>
      <c r="E708" s="1" t="n">
        <v>46223</v>
      </c>
      <c r="F708" t="inlineStr">
        <is>
          <t>JÄMTLANDS LÄN</t>
        </is>
      </c>
      <c r="G708" t="inlineStr">
        <is>
          <t>HÄRJEDALEN</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60006-2024</t>
        </is>
      </c>
      <c r="B709" t="inlineStr">
        <is>
          <t>avverkningsanmälan</t>
        </is>
      </c>
      <c r="C709" t="inlineStr">
        <is>
          <t>Föryngringsavverkning</t>
        </is>
      </c>
      <c r="D709" s="1" t="n">
        <v>45642</v>
      </c>
      <c r="E709" s="1" t="n">
        <v>46223</v>
      </c>
      <c r="F709" t="inlineStr">
        <is>
          <t>JÄMTLANDS LÄN</t>
        </is>
      </c>
      <c r="G709" t="inlineStr">
        <is>
          <t>HÄRJEDALEN</t>
        </is>
      </c>
      <c r="I709" t="n">
        <v>7.3</v>
      </c>
      <c r="J709" t="n">
        <v>0</v>
      </c>
      <c r="K709" t="n">
        <v>0</v>
      </c>
      <c r="L709" t="n">
        <v>0</v>
      </c>
      <c r="M709" t="n">
        <v>0</v>
      </c>
      <c r="N709" t="n">
        <v>0</v>
      </c>
      <c r="O709" t="n">
        <v>0</v>
      </c>
      <c r="P709" t="n">
        <v>0</v>
      </c>
      <c r="Q709" t="n">
        <v>0</v>
      </c>
      <c r="R709" t="n">
        <v>0</v>
      </c>
      <c r="S709" t="n">
        <v>0</v>
      </c>
      <c r="T709" t="n">
        <v>0</v>
      </c>
      <c r="U709" s="2" t="inlineStr"/>
    </row>
    <row r="710" ht="15" customHeight="1">
      <c r="A710" t="inlineStr">
        <is>
          <t>A 63695-2025</t>
        </is>
      </c>
      <c r="B710" t="inlineStr">
        <is>
          <t>avverkningsanmälan</t>
        </is>
      </c>
      <c r="C710" t="inlineStr">
        <is>
          <t>Föryngringsavverkning</t>
        </is>
      </c>
      <c r="D710" s="1" t="n">
        <v>46014</v>
      </c>
      <c r="E710" s="1" t="n">
        <v>46223</v>
      </c>
      <c r="F710" t="inlineStr">
        <is>
          <t>JÄMTLANDS LÄN</t>
        </is>
      </c>
      <c r="G710" t="inlineStr">
        <is>
          <t>HÄRJEDALEN</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19353-2023</t>
        </is>
      </c>
      <c r="B711" t="inlineStr">
        <is>
          <t>avverkningsanmälan</t>
        </is>
      </c>
      <c r="C711" t="inlineStr">
        <is>
          <t>Föryngringsavverkning</t>
        </is>
      </c>
      <c r="D711" s="1" t="n">
        <v>45049</v>
      </c>
      <c r="E711" s="1" t="n">
        <v>46223</v>
      </c>
      <c r="F711" t="inlineStr">
        <is>
          <t>JÄMTLANDS LÄN</t>
        </is>
      </c>
      <c r="G711" t="inlineStr">
        <is>
          <t>HÄRJEDALEN</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3965-2025</t>
        </is>
      </c>
      <c r="B712" t="inlineStr">
        <is>
          <t>avverkningsanmälan</t>
        </is>
      </c>
      <c r="C712" t="inlineStr">
        <is>
          <t>Föryngringsavverkning</t>
        </is>
      </c>
      <c r="D712" s="1" t="n">
        <v>45684</v>
      </c>
      <c r="E712" s="1" t="n">
        <v>46223</v>
      </c>
      <c r="F712" t="inlineStr">
        <is>
          <t>JÄMTLANDS LÄN</t>
        </is>
      </c>
      <c r="G712" t="inlineStr">
        <is>
          <t>HÄRJEDALEN</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15223-2026</t>
        </is>
      </c>
      <c r="B713" t="inlineStr">
        <is>
          <t>avverkningsanmälan</t>
        </is>
      </c>
      <c r="C713" t="inlineStr">
        <is>
          <t>Föryngringsavverkning</t>
        </is>
      </c>
      <c r="D713" s="1" t="n">
        <v>46105</v>
      </c>
      <c r="E713" s="1" t="n">
        <v>46223</v>
      </c>
      <c r="F713" t="inlineStr">
        <is>
          <t>JÄMTLANDS LÄN</t>
        </is>
      </c>
      <c r="G713" t="inlineStr">
        <is>
          <t>HÄRJEDALEN</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57840-2024</t>
        </is>
      </c>
      <c r="B714" t="inlineStr">
        <is>
          <t>avverkningsanmälan</t>
        </is>
      </c>
      <c r="C714" t="inlineStr">
        <is>
          <t>Föryngringsavverkning</t>
        </is>
      </c>
      <c r="D714" s="1" t="n">
        <v>45631</v>
      </c>
      <c r="E714" s="1" t="n">
        <v>46223</v>
      </c>
      <c r="F714" t="inlineStr">
        <is>
          <t>JÄMTLANDS LÄN</t>
        </is>
      </c>
      <c r="G714" t="inlineStr">
        <is>
          <t>HÄRJEDALEN</t>
        </is>
      </c>
      <c r="H714" t="inlineStr">
        <is>
          <t>Bergvik skog väst AB</t>
        </is>
      </c>
      <c r="I714" t="n">
        <v>98.8</v>
      </c>
      <c r="J714" t="n">
        <v>0</v>
      </c>
      <c r="K714" t="n">
        <v>0</v>
      </c>
      <c r="L714" t="n">
        <v>0</v>
      </c>
      <c r="M714" t="n">
        <v>0</v>
      </c>
      <c r="N714" t="n">
        <v>0</v>
      </c>
      <c r="O714" t="n">
        <v>0</v>
      </c>
      <c r="P714" t="n">
        <v>0</v>
      </c>
      <c r="Q714" t="n">
        <v>0</v>
      </c>
      <c r="R714" t="n">
        <v>0</v>
      </c>
      <c r="S714" t="n">
        <v>0</v>
      </c>
      <c r="T714" t="n">
        <v>0</v>
      </c>
      <c r="U714" s="2" t="inlineStr"/>
    </row>
    <row r="715" ht="15" customHeight="1">
      <c r="A715" t="inlineStr">
        <is>
          <t>A 50570-2025</t>
        </is>
      </c>
      <c r="B715" t="inlineStr">
        <is>
          <t>avverkningsanmälan</t>
        </is>
      </c>
      <c r="C715" t="inlineStr">
        <is>
          <t>Föryngringsavverkning</t>
        </is>
      </c>
      <c r="D715" s="1" t="n">
        <v>45945</v>
      </c>
      <c r="E715" s="1" t="n">
        <v>46223</v>
      </c>
      <c r="F715" t="inlineStr">
        <is>
          <t>JÄMTLANDS LÄN</t>
        </is>
      </c>
      <c r="G715" t="inlineStr">
        <is>
          <t>HÄRJEDALEN</t>
        </is>
      </c>
      <c r="H715" t="inlineStr">
        <is>
          <t>SCA</t>
        </is>
      </c>
      <c r="I715" t="n">
        <v>8.300000000000001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14959-2026</t>
        </is>
      </c>
      <c r="B716" t="inlineStr">
        <is>
          <t>avverkningsanmälan</t>
        </is>
      </c>
      <c r="C716" t="inlineStr">
        <is>
          <t>Föryngringsavverkning</t>
        </is>
      </c>
      <c r="D716" s="1" t="n">
        <v>46104</v>
      </c>
      <c r="E716" s="1" t="n">
        <v>46223</v>
      </c>
      <c r="F716" t="inlineStr">
        <is>
          <t>JÄMTLANDS LÄN</t>
        </is>
      </c>
      <c r="G716" t="inlineStr">
        <is>
          <t>HÄRJEDALEN</t>
        </is>
      </c>
      <c r="H716" t="inlineStr">
        <is>
          <t>Bergvik skog väst AB</t>
        </is>
      </c>
      <c r="I716" t="n">
        <v>13.4</v>
      </c>
      <c r="J716" t="n">
        <v>0</v>
      </c>
      <c r="K716" t="n">
        <v>0</v>
      </c>
      <c r="L716" t="n">
        <v>0</v>
      </c>
      <c r="M716" t="n">
        <v>0</v>
      </c>
      <c r="N716" t="n">
        <v>0</v>
      </c>
      <c r="O716" t="n">
        <v>0</v>
      </c>
      <c r="P716" t="n">
        <v>0</v>
      </c>
      <c r="Q716" t="n">
        <v>0</v>
      </c>
      <c r="R716" t="n">
        <v>0</v>
      </c>
      <c r="S716" t="n">
        <v>0</v>
      </c>
      <c r="T716" t="n">
        <v>0</v>
      </c>
      <c r="U716" s="2" t="inlineStr"/>
    </row>
    <row r="717" ht="15" customHeight="1">
      <c r="A717" t="inlineStr">
        <is>
          <t>A 63708-2025</t>
        </is>
      </c>
      <c r="B717" t="inlineStr">
        <is>
          <t>avverkningsanmälan</t>
        </is>
      </c>
      <c r="C717" t="inlineStr">
        <is>
          <t>Föryngringsavverkning</t>
        </is>
      </c>
      <c r="D717" s="1" t="n">
        <v>46014</v>
      </c>
      <c r="E717" s="1" t="n">
        <v>46223</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45705-2024</t>
        </is>
      </c>
      <c r="B718" t="inlineStr">
        <is>
          <t>avverkningsanmälan</t>
        </is>
      </c>
      <c r="C718" t="inlineStr">
        <is>
          <t>Föryngringsavverkning</t>
        </is>
      </c>
      <c r="D718" s="1" t="n">
        <v>45579</v>
      </c>
      <c r="E718" s="1" t="n">
        <v>46223</v>
      </c>
      <c r="F718" t="inlineStr">
        <is>
          <t>JÄMTLANDS LÄN</t>
        </is>
      </c>
      <c r="G718" t="inlineStr">
        <is>
          <t>HÄRJEDALEN</t>
        </is>
      </c>
      <c r="H718" t="inlineStr">
        <is>
          <t>Bergvik skog väst AB</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13081-2022</t>
        </is>
      </c>
      <c r="B719" t="inlineStr">
        <is>
          <t>avverkningsanmälan</t>
        </is>
      </c>
      <c r="C719" t="inlineStr">
        <is>
          <t>Föryngringsavverkning</t>
        </is>
      </c>
      <c r="D719" s="1" t="n">
        <v>44643</v>
      </c>
      <c r="E719" s="1" t="n">
        <v>46223</v>
      </c>
      <c r="F719" t="inlineStr">
        <is>
          <t>JÄMTLANDS LÄN</t>
        </is>
      </c>
      <c r="G719" t="inlineStr">
        <is>
          <t>HÄRJEDALEN</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14956-2026</t>
        </is>
      </c>
      <c r="B720" t="inlineStr">
        <is>
          <t>avverkningsanmälan</t>
        </is>
      </c>
      <c r="C720" t="inlineStr">
        <is>
          <t>Föryngringsavverkning</t>
        </is>
      </c>
      <c r="D720" s="1" t="n">
        <v>46104</v>
      </c>
      <c r="E720" s="1" t="n">
        <v>46223</v>
      </c>
      <c r="F720" t="inlineStr">
        <is>
          <t>JÄMTLANDS LÄN</t>
        </is>
      </c>
      <c r="G720" t="inlineStr">
        <is>
          <t>HÄRJEDALEN</t>
        </is>
      </c>
      <c r="I720" t="n">
        <v>3.8</v>
      </c>
      <c r="J720" t="n">
        <v>0</v>
      </c>
      <c r="K720" t="n">
        <v>0</v>
      </c>
      <c r="L720" t="n">
        <v>0</v>
      </c>
      <c r="M720" t="n">
        <v>0</v>
      </c>
      <c r="N720" t="n">
        <v>0</v>
      </c>
      <c r="O720" t="n">
        <v>0</v>
      </c>
      <c r="P720" t="n">
        <v>0</v>
      </c>
      <c r="Q720" t="n">
        <v>0</v>
      </c>
      <c r="R720" t="n">
        <v>0</v>
      </c>
      <c r="S720" t="n">
        <v>0</v>
      </c>
      <c r="T720" t="n">
        <v>0</v>
      </c>
      <c r="U720" s="2" t="inlineStr"/>
    </row>
    <row r="721" ht="15" customHeight="1">
      <c r="A721" t="inlineStr">
        <is>
          <t>A 14983-2026</t>
        </is>
      </c>
      <c r="B721" t="inlineStr">
        <is>
          <t>avverkningsanmälan</t>
        </is>
      </c>
      <c r="C721" t="inlineStr">
        <is>
          <t>Föryngringsavverkning</t>
        </is>
      </c>
      <c r="D721" s="1" t="n">
        <v>46104</v>
      </c>
      <c r="E721" s="1" t="n">
        <v>46223</v>
      </c>
      <c r="F721" t="inlineStr">
        <is>
          <t>JÄMTLANDS LÄN</t>
        </is>
      </c>
      <c r="G721" t="inlineStr">
        <is>
          <t>HÄRJEDALEN</t>
        </is>
      </c>
      <c r="H721" t="inlineStr">
        <is>
          <t>Bergvik skog väst AB</t>
        </is>
      </c>
      <c r="I721" t="n">
        <v>22.1</v>
      </c>
      <c r="J721" t="n">
        <v>0</v>
      </c>
      <c r="K721" t="n">
        <v>0</v>
      </c>
      <c r="L721" t="n">
        <v>0</v>
      </c>
      <c r="M721" t="n">
        <v>0</v>
      </c>
      <c r="N721" t="n">
        <v>0</v>
      </c>
      <c r="O721" t="n">
        <v>0</v>
      </c>
      <c r="P721" t="n">
        <v>0</v>
      </c>
      <c r="Q721" t="n">
        <v>0</v>
      </c>
      <c r="R721" t="n">
        <v>0</v>
      </c>
      <c r="S721" t="n">
        <v>0</v>
      </c>
      <c r="T721" t="n">
        <v>0</v>
      </c>
      <c r="U721" s="2" t="inlineStr"/>
    </row>
    <row r="722" ht="15" customHeight="1">
      <c r="A722" t="inlineStr">
        <is>
          <t>A 15351-2026</t>
        </is>
      </c>
      <c r="B722" t="inlineStr">
        <is>
          <t>avverkningsanmälan</t>
        </is>
      </c>
      <c r="C722" t="inlineStr">
        <is>
          <t>Föryngringsavverkning</t>
        </is>
      </c>
      <c r="D722" s="1" t="n">
        <v>46105</v>
      </c>
      <c r="E722" s="1" t="n">
        <v>46223</v>
      </c>
      <c r="F722" t="inlineStr">
        <is>
          <t>JÄMTLANDS LÄN</t>
        </is>
      </c>
      <c r="G722" t="inlineStr">
        <is>
          <t>HÄRJEDALEN</t>
        </is>
      </c>
      <c r="H722" t="inlineStr">
        <is>
          <t>SCA</t>
        </is>
      </c>
      <c r="I722" t="n">
        <v>2.6</v>
      </c>
      <c r="J722" t="n">
        <v>0</v>
      </c>
      <c r="K722" t="n">
        <v>0</v>
      </c>
      <c r="L722" t="n">
        <v>0</v>
      </c>
      <c r="M722" t="n">
        <v>0</v>
      </c>
      <c r="N722" t="n">
        <v>0</v>
      </c>
      <c r="O722" t="n">
        <v>0</v>
      </c>
      <c r="P722" t="n">
        <v>0</v>
      </c>
      <c r="Q722" t="n">
        <v>0</v>
      </c>
      <c r="R722" t="n">
        <v>0</v>
      </c>
      <c r="S722" t="n">
        <v>0</v>
      </c>
      <c r="T722" t="n">
        <v>0</v>
      </c>
      <c r="U722" s="2" t="inlineStr"/>
    </row>
    <row r="723" ht="15" customHeight="1">
      <c r="A723" t="inlineStr">
        <is>
          <t>A 12462-2023</t>
        </is>
      </c>
      <c r="B723" t="inlineStr">
        <is>
          <t>avverkningsanmälan</t>
        </is>
      </c>
      <c r="C723" t="inlineStr">
        <is>
          <t>Föryngringsavverkning</t>
        </is>
      </c>
      <c r="D723" s="1" t="n">
        <v>44999</v>
      </c>
      <c r="E723" s="1" t="n">
        <v>46223</v>
      </c>
      <c r="F723" t="inlineStr">
        <is>
          <t>JÄMTLANDS LÄN</t>
        </is>
      </c>
      <c r="G723" t="inlineStr">
        <is>
          <t>HÄRJEDALEN</t>
        </is>
      </c>
      <c r="I723" t="n">
        <v>7.8</v>
      </c>
      <c r="J723" t="n">
        <v>0</v>
      </c>
      <c r="K723" t="n">
        <v>0</v>
      </c>
      <c r="L723" t="n">
        <v>0</v>
      </c>
      <c r="M723" t="n">
        <v>0</v>
      </c>
      <c r="N723" t="n">
        <v>0</v>
      </c>
      <c r="O723" t="n">
        <v>0</v>
      </c>
      <c r="P723" t="n">
        <v>0</v>
      </c>
      <c r="Q723" t="n">
        <v>0</v>
      </c>
      <c r="R723" t="n">
        <v>0</v>
      </c>
      <c r="S723" t="n">
        <v>0</v>
      </c>
      <c r="T723" t="n">
        <v>0</v>
      </c>
      <c r="U723" s="2" t="inlineStr"/>
    </row>
    <row r="724" ht="15" customHeight="1">
      <c r="A724" t="inlineStr">
        <is>
          <t>A 15350-2026</t>
        </is>
      </c>
      <c r="B724" t="inlineStr">
        <is>
          <t>avverkningsanmälan</t>
        </is>
      </c>
      <c r="C724" t="inlineStr">
        <is>
          <t>Föryngringsavverkning</t>
        </is>
      </c>
      <c r="D724" s="1" t="n">
        <v>46105</v>
      </c>
      <c r="E724" s="1" t="n">
        <v>46223</v>
      </c>
      <c r="F724" t="inlineStr">
        <is>
          <t>JÄMTLANDS LÄN</t>
        </is>
      </c>
      <c r="G724" t="inlineStr">
        <is>
          <t>HÄRJEDALEN</t>
        </is>
      </c>
      <c r="H724" t="inlineStr">
        <is>
          <t>SCA</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63-2026</t>
        </is>
      </c>
      <c r="B725" t="inlineStr">
        <is>
          <t>avverkningsanmälan</t>
        </is>
      </c>
      <c r="C725" t="inlineStr">
        <is>
          <t>Föryngringsavverkning</t>
        </is>
      </c>
      <c r="D725" s="1" t="n">
        <v>46024</v>
      </c>
      <c r="E725" s="1" t="n">
        <v>46223</v>
      </c>
      <c r="F725" t="inlineStr">
        <is>
          <t>JÄMTLANDS LÄN</t>
        </is>
      </c>
      <c r="G725" t="inlineStr">
        <is>
          <t>HÄRJEDALEN</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325-2026</t>
        </is>
      </c>
      <c r="B726" t="inlineStr">
        <is>
          <t>avverkningsanmälan</t>
        </is>
      </c>
      <c r="C726" t="inlineStr">
        <is>
          <t>Föryngringsavverkning</t>
        </is>
      </c>
      <c r="D726" s="1" t="n">
        <v>46027</v>
      </c>
      <c r="E726" s="1" t="n">
        <v>46223</v>
      </c>
      <c r="F726" t="inlineStr">
        <is>
          <t>JÄMTLANDS LÄN</t>
        </is>
      </c>
      <c r="G726" t="inlineStr">
        <is>
          <t>HÄRJEDALEN</t>
        </is>
      </c>
      <c r="H726" t="inlineStr">
        <is>
          <t>Holmen skog AB</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238-2026</t>
        </is>
      </c>
      <c r="B727" t="inlineStr">
        <is>
          <t>avverkningsanmälan</t>
        </is>
      </c>
      <c r="C727" t="inlineStr">
        <is>
          <t>Föryngringsavverkning</t>
        </is>
      </c>
      <c r="D727" s="1" t="n">
        <v>46027</v>
      </c>
      <c r="E727" s="1" t="n">
        <v>46223</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322-2026</t>
        </is>
      </c>
      <c r="B728" t="inlineStr">
        <is>
          <t>avverkningsanmälan</t>
        </is>
      </c>
      <c r="C728" t="inlineStr">
        <is>
          <t>Föryngringsavverkning</t>
        </is>
      </c>
      <c r="D728" s="1" t="n">
        <v>46027</v>
      </c>
      <c r="E728" s="1" t="n">
        <v>46223</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s="2" t="inlineStr"/>
    </row>
    <row r="729" ht="15" customHeight="1">
      <c r="A729" t="inlineStr">
        <is>
          <t>A 31723-2025</t>
        </is>
      </c>
      <c r="B729" t="inlineStr">
        <is>
          <t>avverkningsanmälan</t>
        </is>
      </c>
      <c r="C729" t="inlineStr">
        <is>
          <t>Föryngringsavverkning</t>
        </is>
      </c>
      <c r="D729" s="1" t="n">
        <v>45834</v>
      </c>
      <c r="E729" s="1" t="n">
        <v>46223</v>
      </c>
      <c r="F729" t="inlineStr">
        <is>
          <t>JÄMTLANDS LÄN</t>
        </is>
      </c>
      <c r="G729" t="inlineStr">
        <is>
          <t>HÄRJEDALEN</t>
        </is>
      </c>
      <c r="I729" t="n">
        <v>8.9</v>
      </c>
      <c r="J729" t="n">
        <v>0</v>
      </c>
      <c r="K729" t="n">
        <v>0</v>
      </c>
      <c r="L729" t="n">
        <v>0</v>
      </c>
      <c r="M729" t="n">
        <v>0</v>
      </c>
      <c r="N729" t="n">
        <v>0</v>
      </c>
      <c r="O729" t="n">
        <v>0</v>
      </c>
      <c r="P729" t="n">
        <v>0</v>
      </c>
      <c r="Q729" t="n">
        <v>0</v>
      </c>
      <c r="R729" t="n">
        <v>0</v>
      </c>
      <c r="S729" t="n">
        <v>0</v>
      </c>
      <c r="T729" t="n">
        <v>0</v>
      </c>
      <c r="U729" s="2" t="inlineStr"/>
    </row>
    <row r="730" ht="15" customHeight="1">
      <c r="A730" t="inlineStr">
        <is>
          <t>A 282-2026</t>
        </is>
      </c>
      <c r="B730" t="inlineStr">
        <is>
          <t>avverkningsanmälan</t>
        </is>
      </c>
      <c r="C730" t="inlineStr">
        <is>
          <t>Föryngringsavverkning</t>
        </is>
      </c>
      <c r="D730" s="1" t="n">
        <v>46027</v>
      </c>
      <c r="E730" s="1" t="n">
        <v>46223</v>
      </c>
      <c r="F730" t="inlineStr">
        <is>
          <t>JÄMTLANDS LÄN</t>
        </is>
      </c>
      <c r="G730" t="inlineStr">
        <is>
          <t>HÄRJEDALEN</t>
        </is>
      </c>
      <c r="H730" t="inlineStr">
        <is>
          <t>Holmen skog AB</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468-2026</t>
        </is>
      </c>
      <c r="B731" t="inlineStr">
        <is>
          <t>avverkningsanmälan</t>
        </is>
      </c>
      <c r="C731" t="inlineStr">
        <is>
          <t>Föryngringsavverkning</t>
        </is>
      </c>
      <c r="D731" s="1" t="n">
        <v>46029</v>
      </c>
      <c r="E731" s="1" t="n">
        <v>46223</v>
      </c>
      <c r="F731" t="inlineStr">
        <is>
          <t>JÄMTLANDS LÄN</t>
        </is>
      </c>
      <c r="G731" t="inlineStr">
        <is>
          <t>HÄRJEDALEN</t>
        </is>
      </c>
      <c r="I731" t="n">
        <v>8.4</v>
      </c>
      <c r="J731" t="n">
        <v>0</v>
      </c>
      <c r="K731" t="n">
        <v>0</v>
      </c>
      <c r="L731" t="n">
        <v>0</v>
      </c>
      <c r="M731" t="n">
        <v>0</v>
      </c>
      <c r="N731" t="n">
        <v>0</v>
      </c>
      <c r="O731" t="n">
        <v>0</v>
      </c>
      <c r="P731" t="n">
        <v>0</v>
      </c>
      <c r="Q731" t="n">
        <v>0</v>
      </c>
      <c r="R731" t="n">
        <v>0</v>
      </c>
      <c r="S731" t="n">
        <v>0</v>
      </c>
      <c r="T731" t="n">
        <v>0</v>
      </c>
      <c r="U731" s="2" t="inlineStr"/>
    </row>
    <row r="732" ht="15" customHeight="1">
      <c r="A732" t="inlineStr">
        <is>
          <t>A 48048-2023</t>
        </is>
      </c>
      <c r="B732" t="inlineStr">
        <is>
          <t>avverkningsanmälan</t>
        </is>
      </c>
      <c r="C732" t="inlineStr">
        <is>
          <t>Föryngringsavverkning</t>
        </is>
      </c>
      <c r="D732" s="1" t="n">
        <v>45204</v>
      </c>
      <c r="E732" s="1" t="n">
        <v>46223</v>
      </c>
      <c r="F732" t="inlineStr">
        <is>
          <t>JÄMTLANDS LÄN</t>
        </is>
      </c>
      <c r="G732" t="inlineStr">
        <is>
          <t>HÄRJEDALEN</t>
        </is>
      </c>
      <c r="I732" t="n">
        <v>9.5</v>
      </c>
      <c r="J732" t="n">
        <v>0</v>
      </c>
      <c r="K732" t="n">
        <v>0</v>
      </c>
      <c r="L732" t="n">
        <v>0</v>
      </c>
      <c r="M732" t="n">
        <v>0</v>
      </c>
      <c r="N732" t="n">
        <v>0</v>
      </c>
      <c r="O732" t="n">
        <v>0</v>
      </c>
      <c r="P732" t="n">
        <v>0</v>
      </c>
      <c r="Q732" t="n">
        <v>0</v>
      </c>
      <c r="R732" t="n">
        <v>0</v>
      </c>
      <c r="S732" t="n">
        <v>0</v>
      </c>
      <c r="T732" t="n">
        <v>0</v>
      </c>
      <c r="U732" s="2" t="inlineStr"/>
    </row>
    <row r="733" ht="15" customHeight="1">
      <c r="A733" t="inlineStr">
        <is>
          <t>A 58118-2024</t>
        </is>
      </c>
      <c r="B733" t="inlineStr">
        <is>
          <t>avverkningsanmälan</t>
        </is>
      </c>
      <c r="C733" t="inlineStr">
        <is>
          <t>Föryngringsavverkning</t>
        </is>
      </c>
      <c r="D733" s="1" t="n">
        <v>45632</v>
      </c>
      <c r="E733" s="1" t="n">
        <v>46223</v>
      </c>
      <c r="F733" t="inlineStr">
        <is>
          <t>JÄMTLANDS LÄN</t>
        </is>
      </c>
      <c r="G733" t="inlineStr">
        <is>
          <t>HÄRJEDALEN</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44955-2024</t>
        </is>
      </c>
      <c r="B734" t="inlineStr">
        <is>
          <t>avverkningsanmälan</t>
        </is>
      </c>
      <c r="C734" t="inlineStr">
        <is>
          <t>Avverkning för annat ändamål</t>
        </is>
      </c>
      <c r="D734" s="1" t="n">
        <v>45575</v>
      </c>
      <c r="E734" s="1" t="n">
        <v>46223</v>
      </c>
      <c r="F734" t="inlineStr">
        <is>
          <t>JÄMTLANDS LÄN</t>
        </is>
      </c>
      <c r="G734" t="inlineStr">
        <is>
          <t>HÄRJEDALEN</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58111-2024</t>
        </is>
      </c>
      <c r="B735" t="inlineStr">
        <is>
          <t>avverkningsanmälan</t>
        </is>
      </c>
      <c r="C735" t="inlineStr">
        <is>
          <t>Föryngringsavverkning</t>
        </is>
      </c>
      <c r="D735" s="1" t="n">
        <v>45632</v>
      </c>
      <c r="E735" s="1" t="n">
        <v>46223</v>
      </c>
      <c r="F735" t="inlineStr">
        <is>
          <t>JÄMTLANDS LÄN</t>
        </is>
      </c>
      <c r="G735" t="inlineStr">
        <is>
          <t>HÄRJEDALEN</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1403-2026</t>
        </is>
      </c>
      <c r="B736" t="inlineStr">
        <is>
          <t>avverkningsanmälan</t>
        </is>
      </c>
      <c r="C736" t="inlineStr">
        <is>
          <t>Föryngringsavverkning</t>
        </is>
      </c>
      <c r="D736" s="1" t="n">
        <v>46031</v>
      </c>
      <c r="E736" s="1" t="n">
        <v>46223</v>
      </c>
      <c r="F736" t="inlineStr">
        <is>
          <t>JÄMTLANDS LÄN</t>
        </is>
      </c>
      <c r="G736" t="inlineStr">
        <is>
          <t>HÄRJEDALEN</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1196-2026</t>
        </is>
      </c>
      <c r="B737" t="inlineStr">
        <is>
          <t>avverkningsanmälan</t>
        </is>
      </c>
      <c r="C737" t="inlineStr">
        <is>
          <t>Föryngringsavverkning</t>
        </is>
      </c>
      <c r="D737" s="1" t="n">
        <v>46031</v>
      </c>
      <c r="E737" s="1" t="n">
        <v>46223</v>
      </c>
      <c r="F737" t="inlineStr">
        <is>
          <t>JÄMTLANDS LÄN</t>
        </is>
      </c>
      <c r="G737" t="inlineStr">
        <is>
          <t>HÄRJEDALEN</t>
        </is>
      </c>
      <c r="I737" t="n">
        <v>16.1</v>
      </c>
      <c r="J737" t="n">
        <v>0</v>
      </c>
      <c r="K737" t="n">
        <v>0</v>
      </c>
      <c r="L737" t="n">
        <v>0</v>
      </c>
      <c r="M737" t="n">
        <v>0</v>
      </c>
      <c r="N737" t="n">
        <v>0</v>
      </c>
      <c r="O737" t="n">
        <v>0</v>
      </c>
      <c r="P737" t="n">
        <v>0</v>
      </c>
      <c r="Q737" t="n">
        <v>0</v>
      </c>
      <c r="R737" t="n">
        <v>0</v>
      </c>
      <c r="S737" t="n">
        <v>0</v>
      </c>
      <c r="T737" t="n">
        <v>0</v>
      </c>
      <c r="U737" s="2" t="inlineStr"/>
    </row>
    <row r="738" ht="15" customHeight="1">
      <c r="A738" t="inlineStr">
        <is>
          <t>A 53451-2024</t>
        </is>
      </c>
      <c r="B738" t="inlineStr">
        <is>
          <t>avverkningsanmälan</t>
        </is>
      </c>
      <c r="C738" t="inlineStr">
        <is>
          <t>Föryngringsavverkning</t>
        </is>
      </c>
      <c r="D738" s="1" t="n">
        <v>45614</v>
      </c>
      <c r="E738" s="1" t="n">
        <v>46223</v>
      </c>
      <c r="F738" t="inlineStr">
        <is>
          <t>JÄMTLANDS LÄN</t>
        </is>
      </c>
      <c r="G738" t="inlineStr">
        <is>
          <t>HÄRJEDALEN</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54331-2021</t>
        </is>
      </c>
      <c r="B739" t="inlineStr">
        <is>
          <t>avverkningsanmälan</t>
        </is>
      </c>
      <c r="C739" t="inlineStr">
        <is>
          <t>Föryngringsavverkning</t>
        </is>
      </c>
      <c r="D739" s="1" t="n">
        <v>44472</v>
      </c>
      <c r="E739" s="1" t="n">
        <v>46223</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15604-2026</t>
        </is>
      </c>
      <c r="B740" t="inlineStr">
        <is>
          <t>avverkningsanmälan</t>
        </is>
      </c>
      <c r="C740" t="inlineStr">
        <is>
          <t>Föryngringsavverkning</t>
        </is>
      </c>
      <c r="D740" s="1" t="n">
        <v>46106</v>
      </c>
      <c r="E740" s="1" t="n">
        <v>46223</v>
      </c>
      <c r="F740" t="inlineStr">
        <is>
          <t>JÄMTLANDS LÄN</t>
        </is>
      </c>
      <c r="G740" t="inlineStr">
        <is>
          <t>HÄRJEDALEN</t>
        </is>
      </c>
      <c r="H740" t="inlineStr">
        <is>
          <t>SCA</t>
        </is>
      </c>
      <c r="I740" t="n">
        <v>3.7</v>
      </c>
      <c r="J740" t="n">
        <v>0</v>
      </c>
      <c r="K740" t="n">
        <v>0</v>
      </c>
      <c r="L740" t="n">
        <v>0</v>
      </c>
      <c r="M740" t="n">
        <v>0</v>
      </c>
      <c r="N740" t="n">
        <v>0</v>
      </c>
      <c r="O740" t="n">
        <v>0</v>
      </c>
      <c r="P740" t="n">
        <v>0</v>
      </c>
      <c r="Q740" t="n">
        <v>0</v>
      </c>
      <c r="R740" t="n">
        <v>0</v>
      </c>
      <c r="S740" t="n">
        <v>0</v>
      </c>
      <c r="T740" t="n">
        <v>0</v>
      </c>
      <c r="U740" s="2" t="inlineStr"/>
    </row>
    <row r="741" ht="15" customHeight="1">
      <c r="A741" t="inlineStr">
        <is>
          <t>A 59424-2023</t>
        </is>
      </c>
      <c r="B741" t="inlineStr">
        <is>
          <t>avverkningsanmälan</t>
        </is>
      </c>
      <c r="C741" t="inlineStr">
        <is>
          <t>Föryngringsavverkning</t>
        </is>
      </c>
      <c r="D741" s="1" t="n">
        <v>45254</v>
      </c>
      <c r="E741" s="1" t="n">
        <v>46223</v>
      </c>
      <c r="F741" t="inlineStr">
        <is>
          <t>JÄMTLANDS LÄN</t>
        </is>
      </c>
      <c r="G741" t="inlineStr">
        <is>
          <t>HÄRJEDALEN</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7313-2024</t>
        </is>
      </c>
      <c r="B742" t="inlineStr">
        <is>
          <t>avverkningsanmälan</t>
        </is>
      </c>
      <c r="C742" t="inlineStr">
        <is>
          <t>Föryngringsavverkning</t>
        </is>
      </c>
      <c r="D742" s="1" t="n">
        <v>45345</v>
      </c>
      <c r="E742" s="1" t="n">
        <v>46223</v>
      </c>
      <c r="F742" t="inlineStr">
        <is>
          <t>JÄMTLANDS LÄN</t>
        </is>
      </c>
      <c r="G742" t="inlineStr">
        <is>
          <t>HÄRJEDALEN</t>
        </is>
      </c>
      <c r="H742" t="inlineStr">
        <is>
          <t>Holmen skog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48050-2023</t>
        </is>
      </c>
      <c r="B743" t="inlineStr">
        <is>
          <t>avverkningsanmälan</t>
        </is>
      </c>
      <c r="C743" t="inlineStr">
        <is>
          <t>Föryngringsavverkning</t>
        </is>
      </c>
      <c r="D743" s="1" t="n">
        <v>45204</v>
      </c>
      <c r="E743" s="1" t="n">
        <v>46223</v>
      </c>
      <c r="F743" t="inlineStr">
        <is>
          <t>JÄMTLANDS LÄN</t>
        </is>
      </c>
      <c r="G743" t="inlineStr">
        <is>
          <t>HÄRJEDALEN</t>
        </is>
      </c>
      <c r="I743" t="n">
        <v>19.2</v>
      </c>
      <c r="J743" t="n">
        <v>0</v>
      </c>
      <c r="K743" t="n">
        <v>0</v>
      </c>
      <c r="L743" t="n">
        <v>0</v>
      </c>
      <c r="M743" t="n">
        <v>0</v>
      </c>
      <c r="N743" t="n">
        <v>0</v>
      </c>
      <c r="O743" t="n">
        <v>0</v>
      </c>
      <c r="P743" t="n">
        <v>0</v>
      </c>
      <c r="Q743" t="n">
        <v>0</v>
      </c>
      <c r="R743" t="n">
        <v>0</v>
      </c>
      <c r="S743" t="n">
        <v>0</v>
      </c>
      <c r="T743" t="n">
        <v>0</v>
      </c>
      <c r="U743" s="2" t="inlineStr"/>
    </row>
    <row r="744" ht="15" customHeight="1">
      <c r="A744" t="inlineStr">
        <is>
          <t>A 2313-2026</t>
        </is>
      </c>
      <c r="B744" t="inlineStr">
        <is>
          <t>avverkningsanmälan</t>
        </is>
      </c>
      <c r="C744" t="inlineStr">
        <is>
          <t>Föryngringsavverkning</t>
        </is>
      </c>
      <c r="D744" s="1" t="n">
        <v>46036</v>
      </c>
      <c r="E744" s="1" t="n">
        <v>46223</v>
      </c>
      <c r="F744" t="inlineStr">
        <is>
          <t>JÄMTLANDS LÄN</t>
        </is>
      </c>
      <c r="G744" t="inlineStr">
        <is>
          <t>HÄRJEDALEN</t>
        </is>
      </c>
      <c r="I744" t="n">
        <v>23.6</v>
      </c>
      <c r="J744" t="n">
        <v>0</v>
      </c>
      <c r="K744" t="n">
        <v>0</v>
      </c>
      <c r="L744" t="n">
        <v>0</v>
      </c>
      <c r="M744" t="n">
        <v>0</v>
      </c>
      <c r="N744" t="n">
        <v>0</v>
      </c>
      <c r="O744" t="n">
        <v>0</v>
      </c>
      <c r="P744" t="n">
        <v>0</v>
      </c>
      <c r="Q744" t="n">
        <v>0</v>
      </c>
      <c r="R744" t="n">
        <v>0</v>
      </c>
      <c r="S744" t="n">
        <v>0</v>
      </c>
      <c r="T744" t="n">
        <v>0</v>
      </c>
      <c r="U744" s="2" t="inlineStr"/>
    </row>
    <row r="745" ht="15" customHeight="1">
      <c r="A745" t="inlineStr">
        <is>
          <t>A 36645-2024</t>
        </is>
      </c>
      <c r="B745" t="inlineStr">
        <is>
          <t>avverkningsanmälan</t>
        </is>
      </c>
      <c r="C745" t="inlineStr">
        <is>
          <t>Föryngringsavverkning</t>
        </is>
      </c>
      <c r="D745" s="1" t="n">
        <v>45537</v>
      </c>
      <c r="E745" s="1" t="n">
        <v>46223</v>
      </c>
      <c r="F745" t="inlineStr">
        <is>
          <t>JÄMTLANDS LÄN</t>
        </is>
      </c>
      <c r="G745" t="inlineStr">
        <is>
          <t>HÄRJEDALEN</t>
        </is>
      </c>
      <c r="H745" t="inlineStr">
        <is>
          <t>Holmen skog AB</t>
        </is>
      </c>
      <c r="I745" t="n">
        <v>16.8</v>
      </c>
      <c r="J745" t="n">
        <v>0</v>
      </c>
      <c r="K745" t="n">
        <v>0</v>
      </c>
      <c r="L745" t="n">
        <v>0</v>
      </c>
      <c r="M745" t="n">
        <v>0</v>
      </c>
      <c r="N745" t="n">
        <v>0</v>
      </c>
      <c r="O745" t="n">
        <v>0</v>
      </c>
      <c r="P745" t="n">
        <v>0</v>
      </c>
      <c r="Q745" t="n">
        <v>0</v>
      </c>
      <c r="R745" t="n">
        <v>0</v>
      </c>
      <c r="S745" t="n">
        <v>0</v>
      </c>
      <c r="T745" t="n">
        <v>0</v>
      </c>
      <c r="U745" s="2" t="inlineStr"/>
    </row>
    <row r="746" ht="15" customHeight="1">
      <c r="A746" t="inlineStr">
        <is>
          <t>A 2781-2026</t>
        </is>
      </c>
      <c r="B746" t="inlineStr">
        <is>
          <t>avverkningsanmälan</t>
        </is>
      </c>
      <c r="C746" t="inlineStr">
        <is>
          <t>Föryngringsavverkning</t>
        </is>
      </c>
      <c r="D746" s="1" t="n">
        <v>46038</v>
      </c>
      <c r="E746" s="1" t="n">
        <v>46223</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19100-2025</t>
        </is>
      </c>
      <c r="B747" t="inlineStr">
        <is>
          <t>avverkningsanmälan</t>
        </is>
      </c>
      <c r="C747" t="inlineStr">
        <is>
          <t>Föryngringsavverkning</t>
        </is>
      </c>
      <c r="D747" s="1" t="n">
        <v>45768</v>
      </c>
      <c r="E747" s="1" t="n">
        <v>46223</v>
      </c>
      <c r="F747" t="inlineStr">
        <is>
          <t>JÄMTLANDS LÄN</t>
        </is>
      </c>
      <c r="G747" t="inlineStr">
        <is>
          <t>HÄRJEDALEN</t>
        </is>
      </c>
      <c r="H747" t="inlineStr">
        <is>
          <t>Sveaskog</t>
        </is>
      </c>
      <c r="I747" t="n">
        <v>1.4</v>
      </c>
      <c r="J747" t="n">
        <v>0</v>
      </c>
      <c r="K747" t="n">
        <v>0</v>
      </c>
      <c r="L747" t="n">
        <v>0</v>
      </c>
      <c r="M747" t="n">
        <v>0</v>
      </c>
      <c r="N747" t="n">
        <v>0</v>
      </c>
      <c r="O747" t="n">
        <v>0</v>
      </c>
      <c r="P747" t="n">
        <v>0</v>
      </c>
      <c r="Q747" t="n">
        <v>0</v>
      </c>
      <c r="R747" t="n">
        <v>0</v>
      </c>
      <c r="S747" t="n">
        <v>0</v>
      </c>
      <c r="T747" t="n">
        <v>0</v>
      </c>
      <c r="U747" s="2" t="inlineStr"/>
    </row>
    <row r="748" ht="15" customHeight="1">
      <c r="A748" t="inlineStr">
        <is>
          <t>A 19106-2025</t>
        </is>
      </c>
      <c r="B748" t="inlineStr">
        <is>
          <t>avverkningsanmälan</t>
        </is>
      </c>
      <c r="C748" t="inlineStr">
        <is>
          <t>Föryngringsavverkning</t>
        </is>
      </c>
      <c r="D748" s="1" t="n">
        <v>45768</v>
      </c>
      <c r="E748" s="1" t="n">
        <v>46223</v>
      </c>
      <c r="F748" t="inlineStr">
        <is>
          <t>JÄMTLANDS LÄN</t>
        </is>
      </c>
      <c r="G748" t="inlineStr">
        <is>
          <t>HÄRJEDALEN</t>
        </is>
      </c>
      <c r="H748" t="inlineStr">
        <is>
          <t>Sveaskog</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63546-2023</t>
        </is>
      </c>
      <c r="B749" t="inlineStr">
        <is>
          <t>avverkningsanmälan</t>
        </is>
      </c>
      <c r="C749" t="inlineStr">
        <is>
          <t>Föryngringsavverkning</t>
        </is>
      </c>
      <c r="D749" s="1" t="n">
        <v>45275</v>
      </c>
      <c r="E749" s="1" t="n">
        <v>46223</v>
      </c>
      <c r="F749" t="inlineStr">
        <is>
          <t>JÄMTLANDS LÄN</t>
        </is>
      </c>
      <c r="G749" t="inlineStr">
        <is>
          <t>HÄRJEDALEN</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43294-2024</t>
        </is>
      </c>
      <c r="B750" t="inlineStr">
        <is>
          <t>avverkningsanmälan</t>
        </is>
      </c>
      <c r="C750" t="inlineStr">
        <is>
          <t>Föryngringsavverkning</t>
        </is>
      </c>
      <c r="D750" s="1" t="n">
        <v>45568</v>
      </c>
      <c r="E750" s="1" t="n">
        <v>46223</v>
      </c>
      <c r="F750" t="inlineStr">
        <is>
          <t>JÄMTLANDS LÄN</t>
        </is>
      </c>
      <c r="G750" t="inlineStr">
        <is>
          <t>HÄRJEDALEN</t>
        </is>
      </c>
      <c r="H750" t="inlineStr">
        <is>
          <t>SCA</t>
        </is>
      </c>
      <c r="I750" t="n">
        <v>18.5</v>
      </c>
      <c r="J750" t="n">
        <v>0</v>
      </c>
      <c r="K750" t="n">
        <v>0</v>
      </c>
      <c r="L750" t="n">
        <v>0</v>
      </c>
      <c r="M750" t="n">
        <v>0</v>
      </c>
      <c r="N750" t="n">
        <v>0</v>
      </c>
      <c r="O750" t="n">
        <v>0</v>
      </c>
      <c r="P750" t="n">
        <v>0</v>
      </c>
      <c r="Q750" t="n">
        <v>0</v>
      </c>
      <c r="R750" t="n">
        <v>0</v>
      </c>
      <c r="S750" t="n">
        <v>0</v>
      </c>
      <c r="T750" t="n">
        <v>0</v>
      </c>
      <c r="U750" s="2" t="inlineStr"/>
    </row>
    <row r="751" ht="15" customHeight="1">
      <c r="A751" t="inlineStr">
        <is>
          <t>A 62641-2022</t>
        </is>
      </c>
      <c r="B751" t="inlineStr">
        <is>
          <t>avverkningsanmälan</t>
        </is>
      </c>
      <c r="C751" t="inlineStr">
        <is>
          <t>Föryngringsavverkning</t>
        </is>
      </c>
      <c r="D751" s="1" t="n">
        <v>44925</v>
      </c>
      <c r="E751" s="1" t="n">
        <v>46223</v>
      </c>
      <c r="F751" t="inlineStr">
        <is>
          <t>JÄMTLANDS LÄN</t>
        </is>
      </c>
      <c r="G751" t="inlineStr">
        <is>
          <t>HÄRJEDALEN</t>
        </is>
      </c>
      <c r="I751" t="n">
        <v>2.7</v>
      </c>
      <c r="J751" t="n">
        <v>0</v>
      </c>
      <c r="K751" t="n">
        <v>0</v>
      </c>
      <c r="L751" t="n">
        <v>0</v>
      </c>
      <c r="M751" t="n">
        <v>0</v>
      </c>
      <c r="N751" t="n">
        <v>0</v>
      </c>
      <c r="O751" t="n">
        <v>0</v>
      </c>
      <c r="P751" t="n">
        <v>0</v>
      </c>
      <c r="Q751" t="n">
        <v>0</v>
      </c>
      <c r="R751" t="n">
        <v>0</v>
      </c>
      <c r="S751" t="n">
        <v>0</v>
      </c>
      <c r="T751" t="n">
        <v>0</v>
      </c>
      <c r="U751" s="2" t="inlineStr"/>
    </row>
    <row r="752" ht="15" customHeight="1">
      <c r="A752" t="inlineStr">
        <is>
          <t>A 25500-2022</t>
        </is>
      </c>
      <c r="B752" t="inlineStr">
        <is>
          <t>avverkningsanmälan</t>
        </is>
      </c>
      <c r="C752" t="inlineStr">
        <is>
          <t>Föryngringsavverkning</t>
        </is>
      </c>
      <c r="D752" s="1" t="n">
        <v>44732</v>
      </c>
      <c r="E752" s="1" t="n">
        <v>46223</v>
      </c>
      <c r="F752" t="inlineStr">
        <is>
          <t>JÄMTLANDS LÄN</t>
        </is>
      </c>
      <c r="G752" t="inlineStr">
        <is>
          <t>HÄRJEDALEN</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37281-2024</t>
        </is>
      </c>
      <c r="B753" t="inlineStr">
        <is>
          <t>avverkningsanmälan</t>
        </is>
      </c>
      <c r="C753" t="inlineStr">
        <is>
          <t>Föryngringsavverkning</t>
        </is>
      </c>
      <c r="D753" s="1" t="n">
        <v>45540</v>
      </c>
      <c r="E753" s="1" t="n">
        <v>46223</v>
      </c>
      <c r="F753" t="inlineStr">
        <is>
          <t>JÄMTLANDS LÄN</t>
        </is>
      </c>
      <c r="G753" t="inlineStr">
        <is>
          <t>HÄRJEDALEN</t>
        </is>
      </c>
      <c r="H753" t="inlineStr">
        <is>
          <t>Bergvik skog väst AB</t>
        </is>
      </c>
      <c r="I753" t="n">
        <v>2.2</v>
      </c>
      <c r="J753" t="n">
        <v>0</v>
      </c>
      <c r="K753" t="n">
        <v>0</v>
      </c>
      <c r="L753" t="n">
        <v>0</v>
      </c>
      <c r="M753" t="n">
        <v>0</v>
      </c>
      <c r="N753" t="n">
        <v>0</v>
      </c>
      <c r="O753" t="n">
        <v>0</v>
      </c>
      <c r="P753" t="n">
        <v>0</v>
      </c>
      <c r="Q753" t="n">
        <v>0</v>
      </c>
      <c r="R753" t="n">
        <v>0</v>
      </c>
      <c r="S753" t="n">
        <v>0</v>
      </c>
      <c r="T753" t="n">
        <v>0</v>
      </c>
      <c r="U753" s="2" t="inlineStr"/>
    </row>
    <row r="754" ht="15" customHeight="1">
      <c r="A754" t="inlineStr">
        <is>
          <t>A 17259-2026</t>
        </is>
      </c>
      <c r="B754" t="inlineStr">
        <is>
          <t>avverkningsanmälan</t>
        </is>
      </c>
      <c r="C754" t="inlineStr">
        <is>
          <t>Föryngringsavverkning</t>
        </is>
      </c>
      <c r="D754" s="1" t="n">
        <v>46119</v>
      </c>
      <c r="E754" s="1" t="n">
        <v>46223</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52798-2024</t>
        </is>
      </c>
      <c r="B755" t="inlineStr">
        <is>
          <t>avverkningsanmälan</t>
        </is>
      </c>
      <c r="C755" t="inlineStr">
        <is>
          <t>Föryngringsavverkning</t>
        </is>
      </c>
      <c r="D755" s="1" t="n">
        <v>45610</v>
      </c>
      <c r="E755" s="1" t="n">
        <v>46223</v>
      </c>
      <c r="F755" t="inlineStr">
        <is>
          <t>JÄMTLANDS LÄN</t>
        </is>
      </c>
      <c r="G755" t="inlineStr">
        <is>
          <t>HÄRJEDALEN</t>
        </is>
      </c>
      <c r="H755" t="inlineStr">
        <is>
          <t>Holmen skog AB</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17250-2026</t>
        </is>
      </c>
      <c r="B756" t="inlineStr">
        <is>
          <t>avverkningsanmälan</t>
        </is>
      </c>
      <c r="C756" t="inlineStr">
        <is>
          <t>Föryngringsavverkning</t>
        </is>
      </c>
      <c r="D756" s="1" t="n">
        <v>46119</v>
      </c>
      <c r="E756" s="1" t="n">
        <v>46223</v>
      </c>
      <c r="F756" t="inlineStr">
        <is>
          <t>JÄMTLANDS LÄN</t>
        </is>
      </c>
      <c r="G756" t="inlineStr">
        <is>
          <t>HÄRJEDALEN</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17257-2026</t>
        </is>
      </c>
      <c r="B757" t="inlineStr">
        <is>
          <t>avverkningsanmälan</t>
        </is>
      </c>
      <c r="C757" t="inlineStr">
        <is>
          <t>Föryngringsavverkning</t>
        </is>
      </c>
      <c r="D757" s="1" t="n">
        <v>46119</v>
      </c>
      <c r="E757" s="1" t="n">
        <v>46223</v>
      </c>
      <c r="F757" t="inlineStr">
        <is>
          <t>JÄMTLANDS LÄN</t>
        </is>
      </c>
      <c r="G757" t="inlineStr">
        <is>
          <t>HÄRJEDALEN</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17247-2026</t>
        </is>
      </c>
      <c r="B758" t="inlineStr">
        <is>
          <t>avverkningsanmälan</t>
        </is>
      </c>
      <c r="C758" t="inlineStr">
        <is>
          <t>Föryngringsavverkning</t>
        </is>
      </c>
      <c r="D758" s="1" t="n">
        <v>46119</v>
      </c>
      <c r="E758" s="1" t="n">
        <v>46223</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s="2" t="inlineStr"/>
    </row>
    <row r="759" ht="15" customHeight="1">
      <c r="A759" t="inlineStr">
        <is>
          <t>A 17263-2026</t>
        </is>
      </c>
      <c r="B759" t="inlineStr">
        <is>
          <t>avverkningsanmälan</t>
        </is>
      </c>
      <c r="C759" t="inlineStr">
        <is>
          <t>Föryngringsavverkning</t>
        </is>
      </c>
      <c r="D759" s="1" t="n">
        <v>46119</v>
      </c>
      <c r="E759" s="1" t="n">
        <v>46223</v>
      </c>
      <c r="F759" t="inlineStr">
        <is>
          <t>JÄMTLANDS LÄN</t>
        </is>
      </c>
      <c r="G759" t="inlineStr">
        <is>
          <t>HÄRJEDALEN</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17430-2026</t>
        </is>
      </c>
      <c r="B760" t="inlineStr">
        <is>
          <t>avverkningsanmälan</t>
        </is>
      </c>
      <c r="C760" t="inlineStr">
        <is>
          <t>Föryngringsavverkning</t>
        </is>
      </c>
      <c r="D760" s="1" t="n">
        <v>46120</v>
      </c>
      <c r="E760" s="1" t="n">
        <v>46223</v>
      </c>
      <c r="F760" t="inlineStr">
        <is>
          <t>JÄMTLANDS LÄN</t>
        </is>
      </c>
      <c r="G760" t="inlineStr">
        <is>
          <t>HÄRJEDALEN</t>
        </is>
      </c>
      <c r="I760" t="n">
        <v>35.1</v>
      </c>
      <c r="J760" t="n">
        <v>0</v>
      </c>
      <c r="K760" t="n">
        <v>0</v>
      </c>
      <c r="L760" t="n">
        <v>0</v>
      </c>
      <c r="M760" t="n">
        <v>0</v>
      </c>
      <c r="N760" t="n">
        <v>0</v>
      </c>
      <c r="O760" t="n">
        <v>0</v>
      </c>
      <c r="P760" t="n">
        <v>0</v>
      </c>
      <c r="Q760" t="n">
        <v>0</v>
      </c>
      <c r="R760" t="n">
        <v>0</v>
      </c>
      <c r="S760" t="n">
        <v>0</v>
      </c>
      <c r="T760" t="n">
        <v>0</v>
      </c>
      <c r="U760" s="2" t="inlineStr"/>
    </row>
    <row r="761" ht="15" customHeight="1">
      <c r="A761" t="inlineStr">
        <is>
          <t>A 17966-2026</t>
        </is>
      </c>
      <c r="B761" t="inlineStr">
        <is>
          <t>avverkningsanmälan</t>
        </is>
      </c>
      <c r="C761" t="inlineStr">
        <is>
          <t>Föryngringsavverkning</t>
        </is>
      </c>
      <c r="D761" s="1" t="n">
        <v>46123</v>
      </c>
      <c r="E761" s="1" t="n">
        <v>46223</v>
      </c>
      <c r="F761" t="inlineStr">
        <is>
          <t>JÄMTLANDS LÄN</t>
        </is>
      </c>
      <c r="G761" t="inlineStr">
        <is>
          <t>HÄRJEDALEN</t>
        </is>
      </c>
      <c r="H761" t="inlineStr">
        <is>
          <t>SCA</t>
        </is>
      </c>
      <c r="I761" t="n">
        <v>6.1</v>
      </c>
      <c r="J761" t="n">
        <v>0</v>
      </c>
      <c r="K761" t="n">
        <v>0</v>
      </c>
      <c r="L761" t="n">
        <v>0</v>
      </c>
      <c r="M761" t="n">
        <v>0</v>
      </c>
      <c r="N761" t="n">
        <v>0</v>
      </c>
      <c r="O761" t="n">
        <v>0</v>
      </c>
      <c r="P761" t="n">
        <v>0</v>
      </c>
      <c r="Q761" t="n">
        <v>0</v>
      </c>
      <c r="R761" t="n">
        <v>0</v>
      </c>
      <c r="S761" t="n">
        <v>0</v>
      </c>
      <c r="T761" t="n">
        <v>0</v>
      </c>
      <c r="U761" s="2" t="inlineStr"/>
    </row>
    <row r="762" ht="15" customHeight="1">
      <c r="A762" t="inlineStr">
        <is>
          <t>A 18049-2026</t>
        </is>
      </c>
      <c r="B762" t="inlineStr">
        <is>
          <t>avverkningsanmälan</t>
        </is>
      </c>
      <c r="C762" t="inlineStr">
        <is>
          <t>Föryngringsavverkning</t>
        </is>
      </c>
      <c r="D762" s="1" t="n">
        <v>46125</v>
      </c>
      <c r="E762" s="1" t="n">
        <v>46223</v>
      </c>
      <c r="F762" t="inlineStr">
        <is>
          <t>JÄMTLANDS LÄN</t>
        </is>
      </c>
      <c r="G762" t="inlineStr">
        <is>
          <t>HÄRJEDALEN</t>
        </is>
      </c>
      <c r="H762" t="inlineStr">
        <is>
          <t>SCA</t>
        </is>
      </c>
      <c r="I762" t="n">
        <v>7</v>
      </c>
      <c r="J762" t="n">
        <v>0</v>
      </c>
      <c r="K762" t="n">
        <v>0</v>
      </c>
      <c r="L762" t="n">
        <v>0</v>
      </c>
      <c r="M762" t="n">
        <v>0</v>
      </c>
      <c r="N762" t="n">
        <v>0</v>
      </c>
      <c r="O762" t="n">
        <v>0</v>
      </c>
      <c r="P762" t="n">
        <v>0</v>
      </c>
      <c r="Q762" t="n">
        <v>0</v>
      </c>
      <c r="R762" t="n">
        <v>0</v>
      </c>
      <c r="S762" t="n">
        <v>0</v>
      </c>
      <c r="T762" t="n">
        <v>0</v>
      </c>
      <c r="U762" s="2" t="inlineStr"/>
    </row>
    <row r="763" ht="15" customHeight="1">
      <c r="A763" t="inlineStr">
        <is>
          <t>A 58866-2023</t>
        </is>
      </c>
      <c r="B763" t="inlineStr">
        <is>
          <t>avverkningsanmälan</t>
        </is>
      </c>
      <c r="C763" t="inlineStr">
        <is>
          <t>Föryngringsavverkning</t>
        </is>
      </c>
      <c r="D763" s="1" t="n">
        <v>45252</v>
      </c>
      <c r="E763" s="1" t="n">
        <v>46223</v>
      </c>
      <c r="F763" t="inlineStr">
        <is>
          <t>JÄMTLANDS LÄN</t>
        </is>
      </c>
      <c r="G763" t="inlineStr">
        <is>
          <t>HÄRJEDALEN</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13775-2025</t>
        </is>
      </c>
      <c r="B764" t="inlineStr">
        <is>
          <t>avverkningsanmälan</t>
        </is>
      </c>
      <c r="C764" t="inlineStr">
        <is>
          <t>Föryngringsavverkning</t>
        </is>
      </c>
      <c r="D764" s="1" t="n">
        <v>45737</v>
      </c>
      <c r="E764" s="1" t="n">
        <v>46223</v>
      </c>
      <c r="F764" t="inlineStr">
        <is>
          <t>JÄMTLANDS LÄN</t>
        </is>
      </c>
      <c r="G764" t="inlineStr">
        <is>
          <t>HÄRJEDALEN</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12747-2025</t>
        </is>
      </c>
      <c r="B765" t="inlineStr">
        <is>
          <t>avverkningsanmälan</t>
        </is>
      </c>
      <c r="C765" t="inlineStr">
        <is>
          <t>Föryngringsavverkning</t>
        </is>
      </c>
      <c r="D765" s="1" t="n">
        <v>45733</v>
      </c>
      <c r="E765" s="1" t="n">
        <v>46223</v>
      </c>
      <c r="F765" t="inlineStr">
        <is>
          <t>JÄMTLANDS LÄN</t>
        </is>
      </c>
      <c r="G765" t="inlineStr">
        <is>
          <t>HÄRJEDALEN</t>
        </is>
      </c>
      <c r="I765" t="n">
        <v>12.1</v>
      </c>
      <c r="J765" t="n">
        <v>0</v>
      </c>
      <c r="K765" t="n">
        <v>0</v>
      </c>
      <c r="L765" t="n">
        <v>0</v>
      </c>
      <c r="M765" t="n">
        <v>0</v>
      </c>
      <c r="N765" t="n">
        <v>0</v>
      </c>
      <c r="O765" t="n">
        <v>0</v>
      </c>
      <c r="P765" t="n">
        <v>0</v>
      </c>
      <c r="Q765" t="n">
        <v>0</v>
      </c>
      <c r="R765" t="n">
        <v>0</v>
      </c>
      <c r="S765" t="n">
        <v>0</v>
      </c>
      <c r="T765" t="n">
        <v>0</v>
      </c>
      <c r="U765" s="2" t="inlineStr"/>
    </row>
    <row r="766" ht="15" customHeight="1">
      <c r="A766" t="inlineStr">
        <is>
          <t>A 46499-2024</t>
        </is>
      </c>
      <c r="B766" t="inlineStr">
        <is>
          <t>avverkningsanmälan</t>
        </is>
      </c>
      <c r="C766" t="inlineStr">
        <is>
          <t>Föryngringsavverkning</t>
        </is>
      </c>
      <c r="D766" s="1" t="n">
        <v>45582</v>
      </c>
      <c r="E766" s="1" t="n">
        <v>46223</v>
      </c>
      <c r="F766" t="inlineStr">
        <is>
          <t>JÄMTLANDS LÄN</t>
        </is>
      </c>
      <c r="G766" t="inlineStr">
        <is>
          <t>HÄRJEDALEN</t>
        </is>
      </c>
      <c r="H766" t="inlineStr">
        <is>
          <t>Bergvik skog väst AB</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18152-2026</t>
        </is>
      </c>
      <c r="B767" t="inlineStr">
        <is>
          <t>avverkningsanmälan</t>
        </is>
      </c>
      <c r="C767" t="inlineStr">
        <is>
          <t>Föryngringsavverkning</t>
        </is>
      </c>
      <c r="D767" s="1" t="n">
        <v>46125</v>
      </c>
      <c r="E767" s="1" t="n">
        <v>46223</v>
      </c>
      <c r="F767" t="inlineStr">
        <is>
          <t>JÄMTLANDS LÄN</t>
        </is>
      </c>
      <c r="G767" t="inlineStr">
        <is>
          <t>HÄRJEDALEN</t>
        </is>
      </c>
      <c r="I767" t="n">
        <v>7.2</v>
      </c>
      <c r="J767" t="n">
        <v>0</v>
      </c>
      <c r="K767" t="n">
        <v>0</v>
      </c>
      <c r="L767" t="n">
        <v>0</v>
      </c>
      <c r="M767" t="n">
        <v>0</v>
      </c>
      <c r="N767" t="n">
        <v>0</v>
      </c>
      <c r="O767" t="n">
        <v>0</v>
      </c>
      <c r="P767" t="n">
        <v>0</v>
      </c>
      <c r="Q767" t="n">
        <v>0</v>
      </c>
      <c r="R767" t="n">
        <v>0</v>
      </c>
      <c r="S767" t="n">
        <v>0</v>
      </c>
      <c r="T767" t="n">
        <v>0</v>
      </c>
      <c r="U767" s="2" t="inlineStr"/>
    </row>
    <row r="768" ht="15" customHeight="1">
      <c r="A768" t="inlineStr">
        <is>
          <t>A 18554-2026</t>
        </is>
      </c>
      <c r="B768" t="inlineStr">
        <is>
          <t>avverkningsanmälan</t>
        </is>
      </c>
      <c r="C768" t="inlineStr">
        <is>
          <t>Föryngringsavverkning</t>
        </is>
      </c>
      <c r="D768" s="1" t="n">
        <v>46127</v>
      </c>
      <c r="E768" s="1" t="n">
        <v>46223</v>
      </c>
      <c r="F768" t="inlineStr">
        <is>
          <t>JÄMTLANDS LÄN</t>
        </is>
      </c>
      <c r="G768" t="inlineStr">
        <is>
          <t>HÄRJEDALEN</t>
        </is>
      </c>
      <c r="H768" t="inlineStr">
        <is>
          <t>SCA</t>
        </is>
      </c>
      <c r="I768" t="n">
        <v>17.4</v>
      </c>
      <c r="J768" t="n">
        <v>0</v>
      </c>
      <c r="K768" t="n">
        <v>0</v>
      </c>
      <c r="L768" t="n">
        <v>0</v>
      </c>
      <c r="M768" t="n">
        <v>0</v>
      </c>
      <c r="N768" t="n">
        <v>0</v>
      </c>
      <c r="O768" t="n">
        <v>0</v>
      </c>
      <c r="P768" t="n">
        <v>0</v>
      </c>
      <c r="Q768" t="n">
        <v>0</v>
      </c>
      <c r="R768" t="n">
        <v>0</v>
      </c>
      <c r="S768" t="n">
        <v>0</v>
      </c>
      <c r="T768" t="n">
        <v>0</v>
      </c>
      <c r="U768" s="2" t="inlineStr"/>
    </row>
    <row r="769" ht="15" customHeight="1">
      <c r="A769" t="inlineStr">
        <is>
          <t>A 58105-2024</t>
        </is>
      </c>
      <c r="B769" t="inlineStr">
        <is>
          <t>avverkningsanmälan</t>
        </is>
      </c>
      <c r="C769" t="inlineStr">
        <is>
          <t>Föryngringsavverkning</t>
        </is>
      </c>
      <c r="D769" s="1" t="n">
        <v>45632</v>
      </c>
      <c r="E769" s="1" t="n">
        <v>46223</v>
      </c>
      <c r="F769" t="inlineStr">
        <is>
          <t>JÄMTLANDS LÄN</t>
        </is>
      </c>
      <c r="G769" t="inlineStr">
        <is>
          <t>HÄRJEDALEN</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56061-2024</t>
        </is>
      </c>
      <c r="B770" t="inlineStr">
        <is>
          <t>avverkningsanmälan</t>
        </is>
      </c>
      <c r="C770" t="inlineStr">
        <is>
          <t>Föryngringsavverkning</t>
        </is>
      </c>
      <c r="D770" s="1" t="n">
        <v>45624</v>
      </c>
      <c r="E770" s="1" t="n">
        <v>46223</v>
      </c>
      <c r="F770" t="inlineStr">
        <is>
          <t>JÄMTLANDS LÄN</t>
        </is>
      </c>
      <c r="G770" t="inlineStr">
        <is>
          <t>HÄRJEDALEN</t>
        </is>
      </c>
      <c r="I770" t="n">
        <v>7.9</v>
      </c>
      <c r="J770" t="n">
        <v>0</v>
      </c>
      <c r="K770" t="n">
        <v>0</v>
      </c>
      <c r="L770" t="n">
        <v>0</v>
      </c>
      <c r="M770" t="n">
        <v>0</v>
      </c>
      <c r="N770" t="n">
        <v>0</v>
      </c>
      <c r="O770" t="n">
        <v>0</v>
      </c>
      <c r="P770" t="n">
        <v>0</v>
      </c>
      <c r="Q770" t="n">
        <v>0</v>
      </c>
      <c r="R770" t="n">
        <v>0</v>
      </c>
      <c r="S770" t="n">
        <v>0</v>
      </c>
      <c r="T770" t="n">
        <v>0</v>
      </c>
      <c r="U770" s="2" t="inlineStr"/>
    </row>
    <row r="771" ht="15" customHeight="1">
      <c r="A771" t="inlineStr">
        <is>
          <t>A 18572-2026</t>
        </is>
      </c>
      <c r="B771" t="inlineStr">
        <is>
          <t>avverkningsanmälan</t>
        </is>
      </c>
      <c r="C771" t="inlineStr">
        <is>
          <t>Föryngringsavverkning</t>
        </is>
      </c>
      <c r="D771" s="1" t="n">
        <v>46127</v>
      </c>
      <c r="E771" s="1" t="n">
        <v>46223</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59427-2024</t>
        </is>
      </c>
      <c r="B772" t="inlineStr">
        <is>
          <t>avverkningsanmälan</t>
        </is>
      </c>
      <c r="C772" t="inlineStr">
        <is>
          <t>Föryngringsavverkning</t>
        </is>
      </c>
      <c r="D772" s="1" t="n">
        <v>45638</v>
      </c>
      <c r="E772" s="1" t="n">
        <v>46223</v>
      </c>
      <c r="F772" t="inlineStr">
        <is>
          <t>JÄMTLANDS LÄN</t>
        </is>
      </c>
      <c r="G772" t="inlineStr">
        <is>
          <t>HÄRJEDALEN</t>
        </is>
      </c>
      <c r="H772" t="inlineStr">
        <is>
          <t>Holmen skog AB</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10342-2023</t>
        </is>
      </c>
      <c r="B773" t="inlineStr">
        <is>
          <t>avverkningsanmälan</t>
        </is>
      </c>
      <c r="C773" t="inlineStr">
        <is>
          <t>Föryngringsavverkning</t>
        </is>
      </c>
      <c r="D773" s="1" t="n">
        <v>44987</v>
      </c>
      <c r="E773" s="1" t="n">
        <v>46223</v>
      </c>
      <c r="F773" t="inlineStr">
        <is>
          <t>JÄMTLANDS LÄN</t>
        </is>
      </c>
      <c r="G773" t="inlineStr">
        <is>
          <t>HÄRJEDALEN</t>
        </is>
      </c>
      <c r="H773" t="inlineStr">
        <is>
          <t>Holmen skog AB</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A 19064-2026</t>
        </is>
      </c>
      <c r="B774" t="inlineStr">
        <is>
          <t>avverkningsanmälan</t>
        </is>
      </c>
      <c r="C774" t="inlineStr">
        <is>
          <t>Avverkning för annat ändamål</t>
        </is>
      </c>
      <c r="D774" s="1" t="n">
        <v>46132</v>
      </c>
      <c r="E774" s="1" t="n">
        <v>46223</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s="2" t="inlineStr"/>
    </row>
    <row r="775" ht="15" customHeight="1">
      <c r="A775" t="inlineStr">
        <is>
          <t>A 18875-2026</t>
        </is>
      </c>
      <c r="B775" t="inlineStr">
        <is>
          <t>avverkningsanmälan</t>
        </is>
      </c>
      <c r="C775" t="inlineStr">
        <is>
          <t>Föryngringsavverkning</t>
        </is>
      </c>
      <c r="D775" s="1" t="n">
        <v>46129</v>
      </c>
      <c r="E775" s="1" t="n">
        <v>46223</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29774-2024</t>
        </is>
      </c>
      <c r="B776" t="inlineStr">
        <is>
          <t>avverkningsanmälan</t>
        </is>
      </c>
      <c r="C776" t="inlineStr">
        <is>
          <t>Föryngringsavverkning</t>
        </is>
      </c>
      <c r="D776" s="1" t="n">
        <v>45485</v>
      </c>
      <c r="E776" s="1" t="n">
        <v>46223</v>
      </c>
      <c r="F776" t="inlineStr">
        <is>
          <t>JÄMTLANDS LÄN</t>
        </is>
      </c>
      <c r="G776" t="inlineStr">
        <is>
          <t>HÄRJEDALEN</t>
        </is>
      </c>
      <c r="I776" t="n">
        <v>4.5</v>
      </c>
      <c r="J776" t="n">
        <v>0</v>
      </c>
      <c r="K776" t="n">
        <v>0</v>
      </c>
      <c r="L776" t="n">
        <v>0</v>
      </c>
      <c r="M776" t="n">
        <v>0</v>
      </c>
      <c r="N776" t="n">
        <v>0</v>
      </c>
      <c r="O776" t="n">
        <v>0</v>
      </c>
      <c r="P776" t="n">
        <v>0</v>
      </c>
      <c r="Q776" t="n">
        <v>0</v>
      </c>
      <c r="R776" t="n">
        <v>0</v>
      </c>
      <c r="S776" t="n">
        <v>0</v>
      </c>
      <c r="T776" t="n">
        <v>0</v>
      </c>
      <c r="U776" s="2" t="inlineStr"/>
    </row>
    <row r="777" ht="15" customHeight="1">
      <c r="A777" t="inlineStr">
        <is>
          <t>A 18620-2023</t>
        </is>
      </c>
      <c r="B777" t="inlineStr">
        <is>
          <t>avverkningsanmälan</t>
        </is>
      </c>
      <c r="C777" t="inlineStr">
        <is>
          <t>Föryngringsavverkning</t>
        </is>
      </c>
      <c r="D777" s="1" t="n">
        <v>45041</v>
      </c>
      <c r="E777" s="1" t="n">
        <v>46223</v>
      </c>
      <c r="F777" t="inlineStr">
        <is>
          <t>JÄMTLANDS LÄN</t>
        </is>
      </c>
      <c r="G777" t="inlineStr">
        <is>
          <t>HÄRJEDALEN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18932-2026</t>
        </is>
      </c>
      <c r="B778" t="inlineStr">
        <is>
          <t>avverkningsanmälan</t>
        </is>
      </c>
      <c r="C778" t="inlineStr">
        <is>
          <t>Föryngringsavverkning</t>
        </is>
      </c>
      <c r="D778" s="1" t="n">
        <v>46129</v>
      </c>
      <c r="E778" s="1" t="n">
        <v>46223</v>
      </c>
      <c r="F778" t="inlineStr">
        <is>
          <t>JÄMTLANDS LÄN</t>
        </is>
      </c>
      <c r="G778" t="inlineStr">
        <is>
          <t>HÄRJEDALEN</t>
        </is>
      </c>
      <c r="I778" t="n">
        <v>0.8</v>
      </c>
      <c r="J778" t="n">
        <v>0</v>
      </c>
      <c r="K778" t="n">
        <v>0</v>
      </c>
      <c r="L778" t="n">
        <v>0</v>
      </c>
      <c r="M778" t="n">
        <v>0</v>
      </c>
      <c r="N778" t="n">
        <v>0</v>
      </c>
      <c r="O778" t="n">
        <v>0</v>
      </c>
      <c r="P778" t="n">
        <v>0</v>
      </c>
      <c r="Q778" t="n">
        <v>0</v>
      </c>
      <c r="R778" t="n">
        <v>0</v>
      </c>
      <c r="S778" t="n">
        <v>0</v>
      </c>
      <c r="T778" t="n">
        <v>0</v>
      </c>
      <c r="U778" s="2" t="inlineStr"/>
    </row>
    <row r="779" ht="15" customHeight="1">
      <c r="A779" t="inlineStr">
        <is>
          <t>A 18940-2026</t>
        </is>
      </c>
      <c r="B779" t="inlineStr">
        <is>
          <t>avverkningsanmälan</t>
        </is>
      </c>
      <c r="C779" t="inlineStr">
        <is>
          <t>Föryngringsavverkning</t>
        </is>
      </c>
      <c r="D779" s="1" t="n">
        <v>46129</v>
      </c>
      <c r="E779" s="1" t="n">
        <v>46223</v>
      </c>
      <c r="F779" t="inlineStr">
        <is>
          <t>JÄMTLANDS LÄN</t>
        </is>
      </c>
      <c r="G779" t="inlineStr">
        <is>
          <t>HÄRJEDALEN</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18963-2026</t>
        </is>
      </c>
      <c r="B780" t="inlineStr">
        <is>
          <t>avverkningsanmälan</t>
        </is>
      </c>
      <c r="C780" t="inlineStr">
        <is>
          <t>Föryngringsavverkning</t>
        </is>
      </c>
      <c r="D780" s="1" t="n">
        <v>46129</v>
      </c>
      <c r="E780" s="1" t="n">
        <v>46223</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41058-2023</t>
        </is>
      </c>
      <c r="B781" t="inlineStr">
        <is>
          <t>avverkningsanmälan</t>
        </is>
      </c>
      <c r="C781" t="inlineStr">
        <is>
          <t>Föryngringsavverkning</t>
        </is>
      </c>
      <c r="D781" s="1" t="n">
        <v>45173</v>
      </c>
      <c r="E781" s="1" t="n">
        <v>46223</v>
      </c>
      <c r="F781" t="inlineStr">
        <is>
          <t>JÄMTLANDS LÄN</t>
        </is>
      </c>
      <c r="G781" t="inlineStr">
        <is>
          <t>HÄRJEDALEN</t>
        </is>
      </c>
      <c r="I781" t="n">
        <v>6</v>
      </c>
      <c r="J781" t="n">
        <v>0</v>
      </c>
      <c r="K781" t="n">
        <v>0</v>
      </c>
      <c r="L781" t="n">
        <v>0</v>
      </c>
      <c r="M781" t="n">
        <v>0</v>
      </c>
      <c r="N781" t="n">
        <v>0</v>
      </c>
      <c r="O781" t="n">
        <v>0</v>
      </c>
      <c r="P781" t="n">
        <v>0</v>
      </c>
      <c r="Q781" t="n">
        <v>0</v>
      </c>
      <c r="R781" t="n">
        <v>0</v>
      </c>
      <c r="S781" t="n">
        <v>0</v>
      </c>
      <c r="T781" t="n">
        <v>0</v>
      </c>
      <c r="U781" s="2" t="inlineStr"/>
    </row>
    <row r="782" ht="15" customHeight="1">
      <c r="A782" t="inlineStr">
        <is>
          <t>A 18923-2026</t>
        </is>
      </c>
      <c r="B782" t="inlineStr">
        <is>
          <t>avverkningsanmälan</t>
        </is>
      </c>
      <c r="C782" t="inlineStr">
        <is>
          <t>Föryngringsavverkning</t>
        </is>
      </c>
      <c r="D782" s="1" t="n">
        <v>46129</v>
      </c>
      <c r="E782" s="1" t="n">
        <v>46223</v>
      </c>
      <c r="F782" t="inlineStr">
        <is>
          <t>JÄMTLANDS LÄN</t>
        </is>
      </c>
      <c r="G782" t="inlineStr">
        <is>
          <t>HÄRJEDALEN</t>
        </is>
      </c>
      <c r="I782" t="n">
        <v>17.8</v>
      </c>
      <c r="J782" t="n">
        <v>0</v>
      </c>
      <c r="K782" t="n">
        <v>0</v>
      </c>
      <c r="L782" t="n">
        <v>0</v>
      </c>
      <c r="M782" t="n">
        <v>0</v>
      </c>
      <c r="N782" t="n">
        <v>0</v>
      </c>
      <c r="O782" t="n">
        <v>0</v>
      </c>
      <c r="P782" t="n">
        <v>0</v>
      </c>
      <c r="Q782" t="n">
        <v>0</v>
      </c>
      <c r="R782" t="n">
        <v>0</v>
      </c>
      <c r="S782" t="n">
        <v>0</v>
      </c>
      <c r="T782" t="n">
        <v>0</v>
      </c>
      <c r="U782" s="2" t="inlineStr"/>
    </row>
    <row r="783" ht="15" customHeight="1">
      <c r="A783" t="inlineStr">
        <is>
          <t>A 18937-2026</t>
        </is>
      </c>
      <c r="B783" t="inlineStr">
        <is>
          <t>avverkningsanmälan</t>
        </is>
      </c>
      <c r="C783" t="inlineStr">
        <is>
          <t>Föryngringsavverkning</t>
        </is>
      </c>
      <c r="D783" s="1" t="n">
        <v>46129</v>
      </c>
      <c r="E783" s="1" t="n">
        <v>46223</v>
      </c>
      <c r="F783" t="inlineStr">
        <is>
          <t>JÄMTLANDS LÄN</t>
        </is>
      </c>
      <c r="G783" t="inlineStr">
        <is>
          <t>HÄRJEDALEN</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40569-2023</t>
        </is>
      </c>
      <c r="B784" t="inlineStr">
        <is>
          <t>avverkningsanmälan</t>
        </is>
      </c>
      <c r="C784" t="inlineStr">
        <is>
          <t>Föryngringsavverkning</t>
        </is>
      </c>
      <c r="D784" s="1" t="n">
        <v>45170</v>
      </c>
      <c r="E784" s="1" t="n">
        <v>46223</v>
      </c>
      <c r="F784" t="inlineStr">
        <is>
          <t>JÄMTLANDS LÄN</t>
        </is>
      </c>
      <c r="G784" t="inlineStr">
        <is>
          <t>HÄRJEDALEN</t>
        </is>
      </c>
      <c r="H784" t="inlineStr">
        <is>
          <t>Holmen skog AB</t>
        </is>
      </c>
      <c r="I784" t="n">
        <v>9.199999999999999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59293-2024</t>
        </is>
      </c>
      <c r="B785" t="inlineStr">
        <is>
          <t>avverkningsanmälan</t>
        </is>
      </c>
      <c r="C785" t="inlineStr">
        <is>
          <t>Avverkning för annat ändamål</t>
        </is>
      </c>
      <c r="D785" s="1" t="n">
        <v>45637</v>
      </c>
      <c r="E785" s="1" t="n">
        <v>46223</v>
      </c>
      <c r="F785" t="inlineStr">
        <is>
          <t>JÄMTLANDS LÄN</t>
        </is>
      </c>
      <c r="G785" t="inlineStr">
        <is>
          <t>HÄRJEDALEN</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28930-2024</t>
        </is>
      </c>
      <c r="B786" t="inlineStr">
        <is>
          <t>avverkningsanmälan</t>
        </is>
      </c>
      <c r="C786" t="inlineStr">
        <is>
          <t>Avverkning för annat ändamål</t>
        </is>
      </c>
      <c r="D786" s="1" t="n">
        <v>45481</v>
      </c>
      <c r="E786" s="1" t="n">
        <v>46223</v>
      </c>
      <c r="F786" t="inlineStr">
        <is>
          <t>JÄMTLANDS LÄN</t>
        </is>
      </c>
      <c r="G786" t="inlineStr">
        <is>
          <t>HÄRJEDALEN</t>
        </is>
      </c>
      <c r="H786" t="inlineStr">
        <is>
          <t>Holmen skog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22728-2023</t>
        </is>
      </c>
      <c r="B787" t="inlineStr">
        <is>
          <t>avverkningsanmälan</t>
        </is>
      </c>
      <c r="C787" t="inlineStr">
        <is>
          <t>Föryngringsavverkning</t>
        </is>
      </c>
      <c r="D787" s="1" t="n">
        <v>45071</v>
      </c>
      <c r="E787" s="1" t="n">
        <v>46223</v>
      </c>
      <c r="F787" t="inlineStr">
        <is>
          <t>JÄMTLANDS LÄN</t>
        </is>
      </c>
      <c r="G787" t="inlineStr">
        <is>
          <t>HÄRJEDALEN</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19824-2026</t>
        </is>
      </c>
      <c r="B788" t="inlineStr">
        <is>
          <t>avverkningsanmälan</t>
        </is>
      </c>
      <c r="C788" t="inlineStr">
        <is>
          <t>Föryngringsavverkning</t>
        </is>
      </c>
      <c r="D788" s="1" t="n">
        <v>46135</v>
      </c>
      <c r="E788" s="1" t="n">
        <v>46223</v>
      </c>
      <c r="F788" t="inlineStr">
        <is>
          <t>JÄMTLANDS LÄN</t>
        </is>
      </c>
      <c r="G788" t="inlineStr">
        <is>
          <t>HÄRJEDALEN</t>
        </is>
      </c>
      <c r="H788" t="inlineStr">
        <is>
          <t>Holmen skog AB</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31783-2024</t>
        </is>
      </c>
      <c r="B789" t="inlineStr">
        <is>
          <t>avverkningsanmälan</t>
        </is>
      </c>
      <c r="C789" t="inlineStr">
        <is>
          <t>Föryngringsavverkning</t>
        </is>
      </c>
      <c r="D789" s="1" t="n">
        <v>45509</v>
      </c>
      <c r="E789" s="1" t="n">
        <v>46223</v>
      </c>
      <c r="F789" t="inlineStr">
        <is>
          <t>JÄMTLANDS LÄN</t>
        </is>
      </c>
      <c r="G789" t="inlineStr">
        <is>
          <t>HÄRJEDALEN</t>
        </is>
      </c>
      <c r="H789" t="inlineStr">
        <is>
          <t>Övriga statliga verk och myndigheter</t>
        </is>
      </c>
      <c r="I789" t="n">
        <v>8.800000000000001</v>
      </c>
      <c r="J789" t="n">
        <v>0</v>
      </c>
      <c r="K789" t="n">
        <v>0</v>
      </c>
      <c r="L789" t="n">
        <v>0</v>
      </c>
      <c r="M789" t="n">
        <v>0</v>
      </c>
      <c r="N789" t="n">
        <v>0</v>
      </c>
      <c r="O789" t="n">
        <v>0</v>
      </c>
      <c r="P789" t="n">
        <v>0</v>
      </c>
      <c r="Q789" t="n">
        <v>0</v>
      </c>
      <c r="R789" t="n">
        <v>0</v>
      </c>
      <c r="S789" t="n">
        <v>0</v>
      </c>
      <c r="T789" t="n">
        <v>0</v>
      </c>
      <c r="U789" s="2" t="inlineStr"/>
    </row>
    <row r="790" ht="15" customHeight="1">
      <c r="A790" t="inlineStr">
        <is>
          <t>A 19821-2026</t>
        </is>
      </c>
      <c r="B790" t="inlineStr">
        <is>
          <t>avverkningsanmälan</t>
        </is>
      </c>
      <c r="C790" t="inlineStr">
        <is>
          <t>Föryngringsavverkning</t>
        </is>
      </c>
      <c r="D790" s="1" t="n">
        <v>46135</v>
      </c>
      <c r="E790" s="1" t="n">
        <v>46223</v>
      </c>
      <c r="F790" t="inlineStr">
        <is>
          <t>JÄMTLANDS LÄN</t>
        </is>
      </c>
      <c r="G790" t="inlineStr">
        <is>
          <t>HÄRJEDALEN</t>
        </is>
      </c>
      <c r="H790" t="inlineStr">
        <is>
          <t>Holmen skog AB</t>
        </is>
      </c>
      <c r="I790" t="n">
        <v>3.6</v>
      </c>
      <c r="J790" t="n">
        <v>0</v>
      </c>
      <c r="K790" t="n">
        <v>0</v>
      </c>
      <c r="L790" t="n">
        <v>0</v>
      </c>
      <c r="M790" t="n">
        <v>0</v>
      </c>
      <c r="N790" t="n">
        <v>0</v>
      </c>
      <c r="O790" t="n">
        <v>0</v>
      </c>
      <c r="P790" t="n">
        <v>0</v>
      </c>
      <c r="Q790" t="n">
        <v>0</v>
      </c>
      <c r="R790" t="n">
        <v>0</v>
      </c>
      <c r="S790" t="n">
        <v>0</v>
      </c>
      <c r="T790" t="n">
        <v>0</v>
      </c>
      <c r="U790" s="2" t="inlineStr"/>
    </row>
    <row r="791" ht="15" customHeight="1">
      <c r="A791" t="inlineStr">
        <is>
          <t>A 31834-2024</t>
        </is>
      </c>
      <c r="B791" t="inlineStr">
        <is>
          <t>avverkningsanmälan</t>
        </is>
      </c>
      <c r="C791" t="inlineStr">
        <is>
          <t>Föryngringsavverkning</t>
        </is>
      </c>
      <c r="D791" s="1" t="n">
        <v>45509</v>
      </c>
      <c r="E791" s="1" t="n">
        <v>46223</v>
      </c>
      <c r="F791" t="inlineStr">
        <is>
          <t>JÄMTLANDS LÄN</t>
        </is>
      </c>
      <c r="G791" t="inlineStr">
        <is>
          <t>HÄRJEDALEN</t>
        </is>
      </c>
      <c r="H791" t="inlineStr">
        <is>
          <t>Kommuner</t>
        </is>
      </c>
      <c r="I791" t="n">
        <v>5.2</v>
      </c>
      <c r="J791" t="n">
        <v>0</v>
      </c>
      <c r="K791" t="n">
        <v>0</v>
      </c>
      <c r="L791" t="n">
        <v>0</v>
      </c>
      <c r="M791" t="n">
        <v>0</v>
      </c>
      <c r="N791" t="n">
        <v>0</v>
      </c>
      <c r="O791" t="n">
        <v>0</v>
      </c>
      <c r="P791" t="n">
        <v>0</v>
      </c>
      <c r="Q791" t="n">
        <v>0</v>
      </c>
      <c r="R791" t="n">
        <v>0</v>
      </c>
      <c r="S791" t="n">
        <v>0</v>
      </c>
      <c r="T791" t="n">
        <v>0</v>
      </c>
      <c r="U791" s="2" t="inlineStr"/>
    </row>
    <row r="792" ht="15" customHeight="1">
      <c r="A792" t="inlineStr">
        <is>
          <t>A 13543-2024</t>
        </is>
      </c>
      <c r="B792" t="inlineStr">
        <is>
          <t>avverkningsanmälan</t>
        </is>
      </c>
      <c r="C792" t="inlineStr">
        <is>
          <t>Föryngringsavverkning</t>
        </is>
      </c>
      <c r="D792" s="1" t="n">
        <v>45387</v>
      </c>
      <c r="E792" s="1" t="n">
        <v>46223</v>
      </c>
      <c r="F792" t="inlineStr">
        <is>
          <t>JÄMTLANDS LÄN</t>
        </is>
      </c>
      <c r="G792" t="inlineStr">
        <is>
          <t>HÄRJEDALEN</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21666-2023</t>
        </is>
      </c>
      <c r="B793" t="inlineStr">
        <is>
          <t>avverkningsanmälan</t>
        </is>
      </c>
      <c r="C793" t="inlineStr">
        <is>
          <t>Föryngringsavverkning</t>
        </is>
      </c>
      <c r="D793" s="1" t="n">
        <v>45063</v>
      </c>
      <c r="E793" s="1" t="n">
        <v>46223</v>
      </c>
      <c r="F793" t="inlineStr">
        <is>
          <t>JÄMTLANDS LÄN</t>
        </is>
      </c>
      <c r="G793" t="inlineStr">
        <is>
          <t>HÄRJEDALEN</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19810-2026</t>
        </is>
      </c>
      <c r="B794" t="inlineStr">
        <is>
          <t>avverkningsanmälan</t>
        </is>
      </c>
      <c r="C794" t="inlineStr">
        <is>
          <t>Föryngringsavverkning</t>
        </is>
      </c>
      <c r="D794" s="1" t="n">
        <v>46135</v>
      </c>
      <c r="E794" s="1" t="n">
        <v>46223</v>
      </c>
      <c r="F794" t="inlineStr">
        <is>
          <t>JÄMTLANDS LÄN</t>
        </is>
      </c>
      <c r="G794" t="inlineStr">
        <is>
          <t>HÄRJEDALEN</t>
        </is>
      </c>
      <c r="H794" t="inlineStr">
        <is>
          <t>Holmen skog AB</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19879-2026</t>
        </is>
      </c>
      <c r="B795" t="inlineStr">
        <is>
          <t>avverkningsanmälan</t>
        </is>
      </c>
      <c r="C795" t="inlineStr">
        <is>
          <t>Föryngringsavverkning</t>
        </is>
      </c>
      <c r="D795" s="1" t="n">
        <v>46135</v>
      </c>
      <c r="E795" s="1" t="n">
        <v>46223</v>
      </c>
      <c r="F795" t="inlineStr">
        <is>
          <t>JÄMTLANDS LÄN</t>
        </is>
      </c>
      <c r="G795" t="inlineStr">
        <is>
          <t>HÄRJEDALEN</t>
        </is>
      </c>
      <c r="H795" t="inlineStr">
        <is>
          <t>Holmen skog AB</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53432-2023</t>
        </is>
      </c>
      <c r="B796" t="inlineStr">
        <is>
          <t>avverkningsanmälan</t>
        </is>
      </c>
      <c r="C796" t="inlineStr">
        <is>
          <t>Föryngringsavverkning</t>
        </is>
      </c>
      <c r="D796" s="1" t="n">
        <v>45229</v>
      </c>
      <c r="E796" s="1" t="n">
        <v>46223</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29343-2024</t>
        </is>
      </c>
      <c r="B797" t="inlineStr">
        <is>
          <t>avverkningsanmälan</t>
        </is>
      </c>
      <c r="C797" t="inlineStr">
        <is>
          <t>Föryngringsavverkning</t>
        </is>
      </c>
      <c r="D797" s="1" t="n">
        <v>45483</v>
      </c>
      <c r="E797" s="1" t="n">
        <v>46223</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19888-2026</t>
        </is>
      </c>
      <c r="B798" t="inlineStr">
        <is>
          <t>avverkningsanmälan</t>
        </is>
      </c>
      <c r="C798" t="inlineStr">
        <is>
          <t>Föryngringsavverkning</t>
        </is>
      </c>
      <c r="D798" s="1" t="n">
        <v>46135</v>
      </c>
      <c r="E798" s="1" t="n">
        <v>46223</v>
      </c>
      <c r="F798" t="inlineStr">
        <is>
          <t>JÄMTLANDS LÄN</t>
        </is>
      </c>
      <c r="G798" t="inlineStr">
        <is>
          <t>HÄRJEDALEN</t>
        </is>
      </c>
      <c r="H798" t="inlineStr">
        <is>
          <t>Holmen skog AB</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48818-2024</t>
        </is>
      </c>
      <c r="B799" t="inlineStr">
        <is>
          <t>avverkningsanmälan</t>
        </is>
      </c>
      <c r="C799" t="inlineStr">
        <is>
          <t>Föryngringsavverkning</t>
        </is>
      </c>
      <c r="D799" s="1" t="n">
        <v>45593</v>
      </c>
      <c r="E799" s="1" t="n">
        <v>46223</v>
      </c>
      <c r="F799" t="inlineStr">
        <is>
          <t>JÄMTLANDS LÄN</t>
        </is>
      </c>
      <c r="G799" t="inlineStr">
        <is>
          <t>HÄRJEDALEN</t>
        </is>
      </c>
      <c r="I799" t="n">
        <v>0.1</v>
      </c>
      <c r="J799" t="n">
        <v>0</v>
      </c>
      <c r="K799" t="n">
        <v>0</v>
      </c>
      <c r="L799" t="n">
        <v>0</v>
      </c>
      <c r="M799" t="n">
        <v>0</v>
      </c>
      <c r="N799" t="n">
        <v>0</v>
      </c>
      <c r="O799" t="n">
        <v>0</v>
      </c>
      <c r="P799" t="n">
        <v>0</v>
      </c>
      <c r="Q799" t="n">
        <v>0</v>
      </c>
      <c r="R799" t="n">
        <v>0</v>
      </c>
      <c r="S799" t="n">
        <v>0</v>
      </c>
      <c r="T799" t="n">
        <v>0</v>
      </c>
      <c r="U799" s="2" t="inlineStr"/>
    </row>
    <row r="800" ht="15" customHeight="1">
      <c r="A800" t="inlineStr">
        <is>
          <t>A 20033-2026</t>
        </is>
      </c>
      <c r="B800" t="inlineStr">
        <is>
          <t>avverkningsanmälan</t>
        </is>
      </c>
      <c r="C800" t="inlineStr">
        <is>
          <t>Föryngringsavverkning</t>
        </is>
      </c>
      <c r="D800" s="1" t="n">
        <v>46136</v>
      </c>
      <c r="E800" s="1" t="n">
        <v>46223</v>
      </c>
      <c r="F800" t="inlineStr">
        <is>
          <t>JÄMTLANDS LÄN</t>
        </is>
      </c>
      <c r="G800" t="inlineStr">
        <is>
          <t>HÄRJEDALEN</t>
        </is>
      </c>
      <c r="H800" t="inlineStr">
        <is>
          <t>SCA</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10959-2022</t>
        </is>
      </c>
      <c r="B801" t="inlineStr">
        <is>
          <t>avverkningsanmälan</t>
        </is>
      </c>
      <c r="C801" t="inlineStr">
        <is>
          <t>Föryngringsavverkning</t>
        </is>
      </c>
      <c r="D801" s="1" t="n">
        <v>44628</v>
      </c>
      <c r="E801" s="1" t="n">
        <v>46223</v>
      </c>
      <c r="F801" t="inlineStr">
        <is>
          <t>JÄMTLANDS LÄN</t>
        </is>
      </c>
      <c r="G801" t="inlineStr">
        <is>
          <t>HÄRJEDALEN</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20068-2026</t>
        </is>
      </c>
      <c r="B802" t="inlineStr">
        <is>
          <t>avverkningsanmälan</t>
        </is>
      </c>
      <c r="C802" t="inlineStr">
        <is>
          <t>Föryngringsavverkning</t>
        </is>
      </c>
      <c r="D802" s="1" t="n">
        <v>46136</v>
      </c>
      <c r="E802" s="1" t="n">
        <v>46223</v>
      </c>
      <c r="F802" t="inlineStr">
        <is>
          <t>JÄMTLANDS LÄN</t>
        </is>
      </c>
      <c r="G802" t="inlineStr">
        <is>
          <t>HÄRJEDALEN</t>
        </is>
      </c>
      <c r="H802" t="inlineStr">
        <is>
          <t>SCA</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19840-2026</t>
        </is>
      </c>
      <c r="B803" t="inlineStr">
        <is>
          <t>avverkningsanmälan</t>
        </is>
      </c>
      <c r="C803" t="inlineStr">
        <is>
          <t>Föryngringsavverkning</t>
        </is>
      </c>
      <c r="D803" s="1" t="n">
        <v>46135</v>
      </c>
      <c r="E803" s="1" t="n">
        <v>46223</v>
      </c>
      <c r="F803" t="inlineStr">
        <is>
          <t>JÄMTLANDS LÄN</t>
        </is>
      </c>
      <c r="G803" t="inlineStr">
        <is>
          <t>HÄRJEDALEN</t>
        </is>
      </c>
      <c r="H803" t="inlineStr">
        <is>
          <t>Holmen skog AB</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19843-2026</t>
        </is>
      </c>
      <c r="B804" t="inlineStr">
        <is>
          <t>avverkningsanmälan</t>
        </is>
      </c>
      <c r="C804" t="inlineStr">
        <is>
          <t>Föryngringsavverkning</t>
        </is>
      </c>
      <c r="D804" s="1" t="n">
        <v>46135</v>
      </c>
      <c r="E804" s="1" t="n">
        <v>46223</v>
      </c>
      <c r="F804" t="inlineStr">
        <is>
          <t>JÄMTLANDS LÄN</t>
        </is>
      </c>
      <c r="G804" t="inlineStr">
        <is>
          <t>HÄRJEDALEN</t>
        </is>
      </c>
      <c r="H804" t="inlineStr">
        <is>
          <t>Holmen skog AB</t>
        </is>
      </c>
      <c r="I804" t="n">
        <v>4.7</v>
      </c>
      <c r="J804" t="n">
        <v>0</v>
      </c>
      <c r="K804" t="n">
        <v>0</v>
      </c>
      <c r="L804" t="n">
        <v>0</v>
      </c>
      <c r="M804" t="n">
        <v>0</v>
      </c>
      <c r="N804" t="n">
        <v>0</v>
      </c>
      <c r="O804" t="n">
        <v>0</v>
      </c>
      <c r="P804" t="n">
        <v>0</v>
      </c>
      <c r="Q804" t="n">
        <v>0</v>
      </c>
      <c r="R804" t="n">
        <v>0</v>
      </c>
      <c r="S804" t="n">
        <v>0</v>
      </c>
      <c r="T804" t="n">
        <v>0</v>
      </c>
      <c r="U804" s="2" t="inlineStr"/>
    </row>
    <row r="805" ht="15" customHeight="1">
      <c r="A805" t="inlineStr">
        <is>
          <t>A 42143-2023</t>
        </is>
      </c>
      <c r="B805" t="inlineStr">
        <is>
          <t>avverkningsanmälan</t>
        </is>
      </c>
      <c r="C805" t="inlineStr">
        <is>
          <t>Föryngringsavverkning</t>
        </is>
      </c>
      <c r="D805" s="1" t="n">
        <v>45177</v>
      </c>
      <c r="E805" s="1" t="n">
        <v>46223</v>
      </c>
      <c r="F805" t="inlineStr">
        <is>
          <t>JÄMTLANDS LÄN</t>
        </is>
      </c>
      <c r="G805" t="inlineStr">
        <is>
          <t>HÄRJEDALEN</t>
        </is>
      </c>
      <c r="I805" t="n">
        <v>2</v>
      </c>
      <c r="J805" t="n">
        <v>0</v>
      </c>
      <c r="K805" t="n">
        <v>0</v>
      </c>
      <c r="L805" t="n">
        <v>0</v>
      </c>
      <c r="M805" t="n">
        <v>0</v>
      </c>
      <c r="N805" t="n">
        <v>0</v>
      </c>
      <c r="O805" t="n">
        <v>0</v>
      </c>
      <c r="P805" t="n">
        <v>0</v>
      </c>
      <c r="Q805" t="n">
        <v>0</v>
      </c>
      <c r="R805" t="n">
        <v>0</v>
      </c>
      <c r="S805" t="n">
        <v>0</v>
      </c>
      <c r="T805" t="n">
        <v>0</v>
      </c>
      <c r="U805" s="2" t="inlineStr"/>
    </row>
    <row r="806" ht="15" customHeight="1">
      <c r="A806" t="inlineStr">
        <is>
          <t>A 19873-2026</t>
        </is>
      </c>
      <c r="B806" t="inlineStr">
        <is>
          <t>avverkningsanmälan</t>
        </is>
      </c>
      <c r="C806" t="inlineStr">
        <is>
          <t>Föryngringsavverkning</t>
        </is>
      </c>
      <c r="D806" s="1" t="n">
        <v>46135</v>
      </c>
      <c r="E806" s="1" t="n">
        <v>46223</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s="2" t="inlineStr"/>
    </row>
    <row r="807" ht="15" customHeight="1">
      <c r="A807" t="inlineStr">
        <is>
          <t>A 19883-2026</t>
        </is>
      </c>
      <c r="B807" t="inlineStr">
        <is>
          <t>avverkningsanmälan</t>
        </is>
      </c>
      <c r="C807" t="inlineStr">
        <is>
          <t>Föryngringsavverkning</t>
        </is>
      </c>
      <c r="D807" s="1" t="n">
        <v>46135</v>
      </c>
      <c r="E807" s="1" t="n">
        <v>46223</v>
      </c>
      <c r="F807" t="inlineStr">
        <is>
          <t>JÄMTLANDS LÄN</t>
        </is>
      </c>
      <c r="G807" t="inlineStr">
        <is>
          <t>HÄRJEDALEN</t>
        </is>
      </c>
      <c r="H807" t="inlineStr">
        <is>
          <t>Holmen skog AB</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60709-2024</t>
        </is>
      </c>
      <c r="B808" t="inlineStr">
        <is>
          <t>avverkningsanmälan</t>
        </is>
      </c>
      <c r="C808" t="inlineStr">
        <is>
          <t>Föryngringsavverkning</t>
        </is>
      </c>
      <c r="D808" s="1" t="n">
        <v>45644</v>
      </c>
      <c r="E808" s="1" t="n">
        <v>46223</v>
      </c>
      <c r="F808" t="inlineStr">
        <is>
          <t>JÄMTLANDS LÄN</t>
        </is>
      </c>
      <c r="G808" t="inlineStr">
        <is>
          <t>HÄRJEDALEN</t>
        </is>
      </c>
      <c r="H808" t="inlineStr">
        <is>
          <t>Bergvik skog väst AB</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7362-2024</t>
        </is>
      </c>
      <c r="B809" t="inlineStr">
        <is>
          <t>avverkningsanmälan</t>
        </is>
      </c>
      <c r="C809" t="inlineStr">
        <is>
          <t>Föryngringsavverkning</t>
        </is>
      </c>
      <c r="D809" s="1" t="n">
        <v>45345</v>
      </c>
      <c r="E809" s="1" t="n">
        <v>46223</v>
      </c>
      <c r="F809" t="inlineStr">
        <is>
          <t>JÄMTLANDS LÄN</t>
        </is>
      </c>
      <c r="G809" t="inlineStr">
        <is>
          <t>HÄRJEDALEN</t>
        </is>
      </c>
      <c r="H809" t="inlineStr">
        <is>
          <t>Holmen skog AB</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7368-2024</t>
        </is>
      </c>
      <c r="B810" t="inlineStr">
        <is>
          <t>avverkningsanmälan</t>
        </is>
      </c>
      <c r="C810" t="inlineStr">
        <is>
          <t>Föryngringsavverkning</t>
        </is>
      </c>
      <c r="D810" s="1" t="n">
        <v>45345</v>
      </c>
      <c r="E810" s="1" t="n">
        <v>46223</v>
      </c>
      <c r="F810" t="inlineStr">
        <is>
          <t>JÄMTLANDS LÄN</t>
        </is>
      </c>
      <c r="G810" t="inlineStr">
        <is>
          <t>HÄRJEDALEN</t>
        </is>
      </c>
      <c r="H810" t="inlineStr">
        <is>
          <t>Holmen skog AB</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7371-2024</t>
        </is>
      </c>
      <c r="B811" t="inlineStr">
        <is>
          <t>avverkningsanmälan</t>
        </is>
      </c>
      <c r="C811" t="inlineStr">
        <is>
          <t>Föryngringsavverkning</t>
        </is>
      </c>
      <c r="D811" s="1" t="n">
        <v>45345</v>
      </c>
      <c r="E811" s="1" t="n">
        <v>46223</v>
      </c>
      <c r="F811" t="inlineStr">
        <is>
          <t>JÄMTLANDS LÄN</t>
        </is>
      </c>
      <c r="G811" t="inlineStr">
        <is>
          <t>HÄRJEDALEN</t>
        </is>
      </c>
      <c r="H811" t="inlineStr">
        <is>
          <t>Holmen skog AB</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19994-2026</t>
        </is>
      </c>
      <c r="B812" t="inlineStr">
        <is>
          <t>avverkningsanmälan</t>
        </is>
      </c>
      <c r="C812" t="inlineStr">
        <is>
          <t>Föryngringsavverkning</t>
        </is>
      </c>
      <c r="D812" s="1" t="n">
        <v>46136</v>
      </c>
      <c r="E812" s="1" t="n">
        <v>46223</v>
      </c>
      <c r="F812" t="inlineStr">
        <is>
          <t>JÄMTLANDS LÄN</t>
        </is>
      </c>
      <c r="G812" t="inlineStr">
        <is>
          <t>HÄRJEDALEN</t>
        </is>
      </c>
      <c r="H812" t="inlineStr">
        <is>
          <t>Holmen skog AB</t>
        </is>
      </c>
      <c r="I812" t="n">
        <v>2.6</v>
      </c>
      <c r="J812" t="n">
        <v>0</v>
      </c>
      <c r="K812" t="n">
        <v>0</v>
      </c>
      <c r="L812" t="n">
        <v>0</v>
      </c>
      <c r="M812" t="n">
        <v>0</v>
      </c>
      <c r="N812" t="n">
        <v>0</v>
      </c>
      <c r="O812" t="n">
        <v>0</v>
      </c>
      <c r="P812" t="n">
        <v>0</v>
      </c>
      <c r="Q812" t="n">
        <v>0</v>
      </c>
      <c r="R812" t="n">
        <v>0</v>
      </c>
      <c r="S812" t="n">
        <v>0</v>
      </c>
      <c r="T812" t="n">
        <v>0</v>
      </c>
      <c r="U812" s="2" t="inlineStr"/>
    </row>
    <row r="813" ht="15" customHeight="1">
      <c r="A813" t="inlineStr">
        <is>
          <t>A 39321-2021</t>
        </is>
      </c>
      <c r="B813" t="inlineStr">
        <is>
          <t>avverkningsanmälan</t>
        </is>
      </c>
      <c r="C813" t="inlineStr">
        <is>
          <t>Föryngringsavverkning</t>
        </is>
      </c>
      <c r="D813" s="1" t="n">
        <v>44413</v>
      </c>
      <c r="E813" s="1" t="n">
        <v>46223</v>
      </c>
      <c r="F813" t="inlineStr">
        <is>
          <t>JÄMTLANDS LÄN</t>
        </is>
      </c>
      <c r="G813" t="inlineStr">
        <is>
          <t>HÄRJEDALEN</t>
        </is>
      </c>
      <c r="I813" t="n">
        <v>3.6</v>
      </c>
      <c r="J813" t="n">
        <v>0</v>
      </c>
      <c r="K813" t="n">
        <v>0</v>
      </c>
      <c r="L813" t="n">
        <v>0</v>
      </c>
      <c r="M813" t="n">
        <v>0</v>
      </c>
      <c r="N813" t="n">
        <v>0</v>
      </c>
      <c r="O813" t="n">
        <v>0</v>
      </c>
      <c r="P813" t="n">
        <v>0</v>
      </c>
      <c r="Q813" t="n">
        <v>0</v>
      </c>
      <c r="R813" t="n">
        <v>0</v>
      </c>
      <c r="S813" t="n">
        <v>0</v>
      </c>
      <c r="T813" t="n">
        <v>0</v>
      </c>
      <c r="U813" s="2" t="inlineStr"/>
    </row>
    <row r="814" ht="15" customHeight="1">
      <c r="A814" t="inlineStr">
        <is>
          <t>A 19819-2026</t>
        </is>
      </c>
      <c r="B814" t="inlineStr">
        <is>
          <t>avverkningsanmälan</t>
        </is>
      </c>
      <c r="C814" t="inlineStr">
        <is>
          <t>Föryngringsavverkning</t>
        </is>
      </c>
      <c r="D814" s="1" t="n">
        <v>46135</v>
      </c>
      <c r="E814" s="1" t="n">
        <v>46223</v>
      </c>
      <c r="F814" t="inlineStr">
        <is>
          <t>JÄMTLANDS LÄN</t>
        </is>
      </c>
      <c r="G814" t="inlineStr">
        <is>
          <t>HÄRJEDALEN</t>
        </is>
      </c>
      <c r="H814" t="inlineStr">
        <is>
          <t>Holmen skog AB</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19832-2026</t>
        </is>
      </c>
      <c r="B815" t="inlineStr">
        <is>
          <t>avverkningsanmälan</t>
        </is>
      </c>
      <c r="C815" t="inlineStr">
        <is>
          <t>Föryngringsavverkning</t>
        </is>
      </c>
      <c r="D815" s="1" t="n">
        <v>46135</v>
      </c>
      <c r="E815" s="1" t="n">
        <v>46223</v>
      </c>
      <c r="F815" t="inlineStr">
        <is>
          <t>JÄMTLANDS LÄN</t>
        </is>
      </c>
      <c r="G815" t="inlineStr">
        <is>
          <t>HÄRJEDALEN</t>
        </is>
      </c>
      <c r="H815" t="inlineStr">
        <is>
          <t>Holmen skog AB</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24425-2024</t>
        </is>
      </c>
      <c r="B816" t="inlineStr">
        <is>
          <t>avverkningsanmälan</t>
        </is>
      </c>
      <c r="C816" t="inlineStr">
        <is>
          <t>Föryngringsavverkning</t>
        </is>
      </c>
      <c r="D816" s="1" t="n">
        <v>45457</v>
      </c>
      <c r="E816" s="1" t="n">
        <v>46223</v>
      </c>
      <c r="F816" t="inlineStr">
        <is>
          <t>JÄMTLANDS LÄN</t>
        </is>
      </c>
      <c r="G816" t="inlineStr">
        <is>
          <t>HÄRJEDALEN</t>
        </is>
      </c>
      <c r="I816" t="n">
        <v>15.8</v>
      </c>
      <c r="J816" t="n">
        <v>0</v>
      </c>
      <c r="K816" t="n">
        <v>0</v>
      </c>
      <c r="L816" t="n">
        <v>0</v>
      </c>
      <c r="M816" t="n">
        <v>0</v>
      </c>
      <c r="N816" t="n">
        <v>0</v>
      </c>
      <c r="O816" t="n">
        <v>0</v>
      </c>
      <c r="P816" t="n">
        <v>0</v>
      </c>
      <c r="Q816" t="n">
        <v>0</v>
      </c>
      <c r="R816" t="n">
        <v>0</v>
      </c>
      <c r="S816" t="n">
        <v>0</v>
      </c>
      <c r="T816" t="n">
        <v>0</v>
      </c>
      <c r="U816" s="2" t="inlineStr"/>
    </row>
    <row r="817" ht="15" customHeight="1">
      <c r="A817" t="inlineStr">
        <is>
          <t>A 9784-2024</t>
        </is>
      </c>
      <c r="B817" t="inlineStr">
        <is>
          <t>avverkningsanmälan</t>
        </is>
      </c>
      <c r="C817" t="inlineStr">
        <is>
          <t>Avverkning för annat ändamål</t>
        </is>
      </c>
      <c r="D817" s="1" t="n">
        <v>45362</v>
      </c>
      <c r="E817" s="1" t="n">
        <v>46223</v>
      </c>
      <c r="F817" t="inlineStr">
        <is>
          <t>JÄMTLANDS LÄN</t>
        </is>
      </c>
      <c r="G817" t="inlineStr">
        <is>
          <t>HÄRJEDALEN</t>
        </is>
      </c>
      <c r="I817" t="n">
        <v>0.2</v>
      </c>
      <c r="J817" t="n">
        <v>0</v>
      </c>
      <c r="K817" t="n">
        <v>0</v>
      </c>
      <c r="L817" t="n">
        <v>0</v>
      </c>
      <c r="M817" t="n">
        <v>0</v>
      </c>
      <c r="N817" t="n">
        <v>0</v>
      </c>
      <c r="O817" t="n">
        <v>0</v>
      </c>
      <c r="P817" t="n">
        <v>0</v>
      </c>
      <c r="Q817" t="n">
        <v>0</v>
      </c>
      <c r="R817" t="n">
        <v>0</v>
      </c>
      <c r="S817" t="n">
        <v>0</v>
      </c>
      <c r="T817" t="n">
        <v>0</v>
      </c>
      <c r="U817" s="2" t="inlineStr"/>
    </row>
    <row r="818" ht="15" customHeight="1">
      <c r="A818" t="inlineStr">
        <is>
          <t>A 20070-2026</t>
        </is>
      </c>
      <c r="B818" t="inlineStr">
        <is>
          <t>avverkningsanmälan</t>
        </is>
      </c>
      <c r="C818" t="inlineStr">
        <is>
          <t>Föryngringsavverkning</t>
        </is>
      </c>
      <c r="D818" s="1" t="n">
        <v>46136</v>
      </c>
      <c r="E818" s="1" t="n">
        <v>46223</v>
      </c>
      <c r="F818" t="inlineStr">
        <is>
          <t>JÄMTLANDS LÄN</t>
        </is>
      </c>
      <c r="G818" t="inlineStr">
        <is>
          <t>HÄRJEDALEN</t>
        </is>
      </c>
      <c r="H818" t="inlineStr">
        <is>
          <t>SCA</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53386-2024</t>
        </is>
      </c>
      <c r="B819" t="inlineStr">
        <is>
          <t>avverkningsanmälan</t>
        </is>
      </c>
      <c r="C819" t="inlineStr">
        <is>
          <t>Föryngringsavverkning</t>
        </is>
      </c>
      <c r="D819" s="1" t="n">
        <v>45614</v>
      </c>
      <c r="E819" s="1" t="n">
        <v>46223</v>
      </c>
      <c r="F819" t="inlineStr">
        <is>
          <t>JÄMTLANDS LÄN</t>
        </is>
      </c>
      <c r="G819" t="inlineStr">
        <is>
          <t>HÄRJEDALEN</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41164-2022</t>
        </is>
      </c>
      <c r="B820" t="inlineStr">
        <is>
          <t>avverkningsanmälan</t>
        </is>
      </c>
      <c r="C820" t="inlineStr">
        <is>
          <t>Avverkning för annat ändamål</t>
        </is>
      </c>
      <c r="D820" s="1" t="n">
        <v>44825</v>
      </c>
      <c r="E820" s="1" t="n">
        <v>46223</v>
      </c>
      <c r="F820" t="inlineStr">
        <is>
          <t>JÄMTLANDS LÄN</t>
        </is>
      </c>
      <c r="G820" t="inlineStr">
        <is>
          <t>HÄRJEDALEN</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19987-2026</t>
        </is>
      </c>
      <c r="B821" t="inlineStr">
        <is>
          <t>avverkningsanmälan</t>
        </is>
      </c>
      <c r="C821" t="inlineStr">
        <is>
          <t>Föryngringsavverkning</t>
        </is>
      </c>
      <c r="D821" s="1" t="n">
        <v>46136</v>
      </c>
      <c r="E821" s="1" t="n">
        <v>46223</v>
      </c>
      <c r="F821" t="inlineStr">
        <is>
          <t>JÄMTLANDS LÄN</t>
        </is>
      </c>
      <c r="G821" t="inlineStr">
        <is>
          <t>HÄRJEDALEN</t>
        </is>
      </c>
      <c r="H821" t="inlineStr">
        <is>
          <t>Holmen skog AB</t>
        </is>
      </c>
      <c r="I821" t="n">
        <v>11.9</v>
      </c>
      <c r="J821" t="n">
        <v>0</v>
      </c>
      <c r="K821" t="n">
        <v>0</v>
      </c>
      <c r="L821" t="n">
        <v>0</v>
      </c>
      <c r="M821" t="n">
        <v>0</v>
      </c>
      <c r="N821" t="n">
        <v>0</v>
      </c>
      <c r="O821" t="n">
        <v>0</v>
      </c>
      <c r="P821" t="n">
        <v>0</v>
      </c>
      <c r="Q821" t="n">
        <v>0</v>
      </c>
      <c r="R821" t="n">
        <v>0</v>
      </c>
      <c r="S821" t="n">
        <v>0</v>
      </c>
      <c r="T821" t="n">
        <v>0</v>
      </c>
      <c r="U821" s="2" t="inlineStr"/>
    </row>
    <row r="822" ht="15" customHeight="1">
      <c r="A822" t="inlineStr">
        <is>
          <t>A 19999-2026</t>
        </is>
      </c>
      <c r="B822" t="inlineStr">
        <is>
          <t>avverkningsanmälan</t>
        </is>
      </c>
      <c r="C822" t="inlineStr">
        <is>
          <t>Föryngringsavverkning</t>
        </is>
      </c>
      <c r="D822" s="1" t="n">
        <v>46136</v>
      </c>
      <c r="E822" s="1" t="n">
        <v>46223</v>
      </c>
      <c r="F822" t="inlineStr">
        <is>
          <t>JÄMTLANDS LÄN</t>
        </is>
      </c>
      <c r="G822" t="inlineStr">
        <is>
          <t>HÄRJEDALEN</t>
        </is>
      </c>
      <c r="H822" t="inlineStr">
        <is>
          <t>Holmen skog AB</t>
        </is>
      </c>
      <c r="I822" t="n">
        <v>6.6</v>
      </c>
      <c r="J822" t="n">
        <v>0</v>
      </c>
      <c r="K822" t="n">
        <v>0</v>
      </c>
      <c r="L822" t="n">
        <v>0</v>
      </c>
      <c r="M822" t="n">
        <v>0</v>
      </c>
      <c r="N822" t="n">
        <v>0</v>
      </c>
      <c r="O822" t="n">
        <v>0</v>
      </c>
      <c r="P822" t="n">
        <v>0</v>
      </c>
      <c r="Q822" t="n">
        <v>0</v>
      </c>
      <c r="R822" t="n">
        <v>0</v>
      </c>
      <c r="S822" t="n">
        <v>0</v>
      </c>
      <c r="T822" t="n">
        <v>0</v>
      </c>
      <c r="U822" s="2" t="inlineStr"/>
    </row>
    <row r="823" ht="15" customHeight="1">
      <c r="A823" t="inlineStr">
        <is>
          <t>A 32962-2024</t>
        </is>
      </c>
      <c r="B823" t="inlineStr">
        <is>
          <t>avverkningsanmälan</t>
        </is>
      </c>
      <c r="C823" t="inlineStr">
        <is>
          <t>Föryngringsavverkning</t>
        </is>
      </c>
      <c r="D823" s="1" t="n">
        <v>45517</v>
      </c>
      <c r="E823" s="1" t="n">
        <v>46223</v>
      </c>
      <c r="F823" t="inlineStr">
        <is>
          <t>JÄMTLANDS LÄN</t>
        </is>
      </c>
      <c r="G823" t="inlineStr">
        <is>
          <t>HÄRJEDALEN</t>
        </is>
      </c>
      <c r="I823" t="n">
        <v>7</v>
      </c>
      <c r="J823" t="n">
        <v>0</v>
      </c>
      <c r="K823" t="n">
        <v>0</v>
      </c>
      <c r="L823" t="n">
        <v>0</v>
      </c>
      <c r="M823" t="n">
        <v>0</v>
      </c>
      <c r="N823" t="n">
        <v>0</v>
      </c>
      <c r="O823" t="n">
        <v>0</v>
      </c>
      <c r="P823" t="n">
        <v>0</v>
      </c>
      <c r="Q823" t="n">
        <v>0</v>
      </c>
      <c r="R823" t="n">
        <v>0</v>
      </c>
      <c r="S823" t="n">
        <v>0</v>
      </c>
      <c r="T823" t="n">
        <v>0</v>
      </c>
      <c r="U823" s="2" t="inlineStr"/>
    </row>
    <row r="824" ht="15" customHeight="1">
      <c r="A824" t="inlineStr">
        <is>
          <t>A 11818-2023</t>
        </is>
      </c>
      <c r="B824" t="inlineStr">
        <is>
          <t>avverkningsanmälan</t>
        </is>
      </c>
      <c r="C824" t="inlineStr">
        <is>
          <t>Föryngringsavverkning</t>
        </is>
      </c>
      <c r="D824" s="1" t="n">
        <v>44994</v>
      </c>
      <c r="E824" s="1" t="n">
        <v>46223</v>
      </c>
      <c r="F824" t="inlineStr">
        <is>
          <t>JÄMTLANDS LÄN</t>
        </is>
      </c>
      <c r="G824" t="inlineStr">
        <is>
          <t>HÄRJEDALEN</t>
        </is>
      </c>
      <c r="I824" t="n">
        <v>8.9</v>
      </c>
      <c r="J824" t="n">
        <v>0</v>
      </c>
      <c r="K824" t="n">
        <v>0</v>
      </c>
      <c r="L824" t="n">
        <v>0</v>
      </c>
      <c r="M824" t="n">
        <v>0</v>
      </c>
      <c r="N824" t="n">
        <v>0</v>
      </c>
      <c r="O824" t="n">
        <v>0</v>
      </c>
      <c r="P824" t="n">
        <v>0</v>
      </c>
      <c r="Q824" t="n">
        <v>0</v>
      </c>
      <c r="R824" t="n">
        <v>0</v>
      </c>
      <c r="S824" t="n">
        <v>0</v>
      </c>
      <c r="T824" t="n">
        <v>0</v>
      </c>
      <c r="U824" s="2" t="inlineStr"/>
    </row>
    <row r="825" ht="15" customHeight="1">
      <c r="A825" t="inlineStr">
        <is>
          <t>A 42271-2025</t>
        </is>
      </c>
      <c r="B825" t="inlineStr">
        <is>
          <t>avverkningsanmälan</t>
        </is>
      </c>
      <c r="C825" t="inlineStr">
        <is>
          <t>Föryngringsavverkning</t>
        </is>
      </c>
      <c r="D825" s="1" t="n">
        <v>45904</v>
      </c>
      <c r="E825" s="1" t="n">
        <v>46223</v>
      </c>
      <c r="F825" t="inlineStr">
        <is>
          <t>JÄMTLANDS LÄN</t>
        </is>
      </c>
      <c r="G825" t="inlineStr">
        <is>
          <t>HÄRJEDALEN</t>
        </is>
      </c>
      <c r="H825" t="inlineStr">
        <is>
          <t>Holmen skog AB</t>
        </is>
      </c>
      <c r="I825" t="n">
        <v>3.3</v>
      </c>
      <c r="J825" t="n">
        <v>0</v>
      </c>
      <c r="K825" t="n">
        <v>0</v>
      </c>
      <c r="L825" t="n">
        <v>0</v>
      </c>
      <c r="M825" t="n">
        <v>0</v>
      </c>
      <c r="N825" t="n">
        <v>0</v>
      </c>
      <c r="O825" t="n">
        <v>0</v>
      </c>
      <c r="P825" t="n">
        <v>0</v>
      </c>
      <c r="Q825" t="n">
        <v>0</v>
      </c>
      <c r="R825" t="n">
        <v>0</v>
      </c>
      <c r="S825" t="n">
        <v>0</v>
      </c>
      <c r="T825" t="n">
        <v>0</v>
      </c>
      <c r="U825" s="2" t="inlineStr"/>
    </row>
    <row r="826" ht="15" customHeight="1">
      <c r="A826" t="inlineStr">
        <is>
          <t>A 4217-2025</t>
        </is>
      </c>
      <c r="B826" t="inlineStr">
        <is>
          <t>avverkningsanmälan</t>
        </is>
      </c>
      <c r="C826" t="inlineStr">
        <is>
          <t>Föryngringsavverkning</t>
        </is>
      </c>
      <c r="D826" s="1" t="n">
        <v>45685</v>
      </c>
      <c r="E826" s="1" t="n">
        <v>46223</v>
      </c>
      <c r="F826" t="inlineStr">
        <is>
          <t>JÄMTLANDS LÄN</t>
        </is>
      </c>
      <c r="G826" t="inlineStr">
        <is>
          <t>HÄRJEDALEN</t>
        </is>
      </c>
      <c r="H826" t="inlineStr">
        <is>
          <t>Bergvik skog väst AB</t>
        </is>
      </c>
      <c r="I826" t="n">
        <v>24.6</v>
      </c>
      <c r="J826" t="n">
        <v>0</v>
      </c>
      <c r="K826" t="n">
        <v>0</v>
      </c>
      <c r="L826" t="n">
        <v>0</v>
      </c>
      <c r="M826" t="n">
        <v>0</v>
      </c>
      <c r="N826" t="n">
        <v>0</v>
      </c>
      <c r="O826" t="n">
        <v>0</v>
      </c>
      <c r="P826" t="n">
        <v>0</v>
      </c>
      <c r="Q826" t="n">
        <v>0</v>
      </c>
      <c r="R826" t="n">
        <v>0</v>
      </c>
      <c r="S826" t="n">
        <v>0</v>
      </c>
      <c r="T826" t="n">
        <v>0</v>
      </c>
      <c r="U826" s="2" t="inlineStr"/>
    </row>
    <row r="827" ht="15" customHeight="1">
      <c r="A827" t="inlineStr">
        <is>
          <t>A 60752-2024</t>
        </is>
      </c>
      <c r="B827" t="inlineStr">
        <is>
          <t>avverkningsanmälan</t>
        </is>
      </c>
      <c r="C827" t="inlineStr">
        <is>
          <t>Föryngringsavverkning</t>
        </is>
      </c>
      <c r="D827" s="1" t="n">
        <v>45644</v>
      </c>
      <c r="E827" s="1" t="n">
        <v>46223</v>
      </c>
      <c r="F827" t="inlineStr">
        <is>
          <t>JÄMTLANDS LÄN</t>
        </is>
      </c>
      <c r="G827" t="inlineStr">
        <is>
          <t>HÄRJEDALEN</t>
        </is>
      </c>
      <c r="H827" t="inlineStr">
        <is>
          <t>Sveaskog</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29749-2024</t>
        </is>
      </c>
      <c r="B828" t="inlineStr">
        <is>
          <t>avverkningsanmälan</t>
        </is>
      </c>
      <c r="C828" t="inlineStr">
        <is>
          <t>Föryngringsavverkning</t>
        </is>
      </c>
      <c r="D828" s="1" t="n">
        <v>45485</v>
      </c>
      <c r="E828" s="1" t="n">
        <v>46223</v>
      </c>
      <c r="F828" t="inlineStr">
        <is>
          <t>JÄMTLANDS LÄN</t>
        </is>
      </c>
      <c r="G828" t="inlineStr">
        <is>
          <t>HÄRJEDALEN</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29768-2024</t>
        </is>
      </c>
      <c r="B829" t="inlineStr">
        <is>
          <t>avverkningsanmälan</t>
        </is>
      </c>
      <c r="C829" t="inlineStr">
        <is>
          <t>Föryngringsavverkning</t>
        </is>
      </c>
      <c r="D829" s="1" t="n">
        <v>45485</v>
      </c>
      <c r="E829" s="1" t="n">
        <v>46223</v>
      </c>
      <c r="F829" t="inlineStr">
        <is>
          <t>JÄMTLANDS LÄN</t>
        </is>
      </c>
      <c r="G829" t="inlineStr">
        <is>
          <t>HÄRJEDALEN</t>
        </is>
      </c>
      <c r="H829" t="inlineStr">
        <is>
          <t>Holmen skog AB</t>
        </is>
      </c>
      <c r="I829" t="n">
        <v>11.1</v>
      </c>
      <c r="J829" t="n">
        <v>0</v>
      </c>
      <c r="K829" t="n">
        <v>0</v>
      </c>
      <c r="L829" t="n">
        <v>0</v>
      </c>
      <c r="M829" t="n">
        <v>0</v>
      </c>
      <c r="N829" t="n">
        <v>0</v>
      </c>
      <c r="O829" t="n">
        <v>0</v>
      </c>
      <c r="P829" t="n">
        <v>0</v>
      </c>
      <c r="Q829" t="n">
        <v>0</v>
      </c>
      <c r="R829" t="n">
        <v>0</v>
      </c>
      <c r="S829" t="n">
        <v>0</v>
      </c>
      <c r="T829" t="n">
        <v>0</v>
      </c>
      <c r="U829" s="2" t="inlineStr"/>
    </row>
    <row r="830" ht="15" customHeight="1">
      <c r="A830" t="inlineStr">
        <is>
          <t>A 43470-2025</t>
        </is>
      </c>
      <c r="B830" t="inlineStr">
        <is>
          <t>avverkningsanmälan</t>
        </is>
      </c>
      <c r="C830" t="inlineStr">
        <is>
          <t>Föryngringsavverkning</t>
        </is>
      </c>
      <c r="D830" s="1" t="n">
        <v>45911</v>
      </c>
      <c r="E830" s="1" t="n">
        <v>46223</v>
      </c>
      <c r="F830" t="inlineStr">
        <is>
          <t>JÄMTLANDS LÄN</t>
        </is>
      </c>
      <c r="G830" t="inlineStr">
        <is>
          <t>HÄRJEDALEN</t>
        </is>
      </c>
      <c r="I830" t="n">
        <v>10.9</v>
      </c>
      <c r="J830" t="n">
        <v>0</v>
      </c>
      <c r="K830" t="n">
        <v>0</v>
      </c>
      <c r="L830" t="n">
        <v>0</v>
      </c>
      <c r="M830" t="n">
        <v>0</v>
      </c>
      <c r="N830" t="n">
        <v>0</v>
      </c>
      <c r="O830" t="n">
        <v>0</v>
      </c>
      <c r="P830" t="n">
        <v>0</v>
      </c>
      <c r="Q830" t="n">
        <v>0</v>
      </c>
      <c r="R830" t="n">
        <v>0</v>
      </c>
      <c r="S830" t="n">
        <v>0</v>
      </c>
      <c r="T830" t="n">
        <v>0</v>
      </c>
      <c r="U830" s="2" t="inlineStr"/>
    </row>
    <row r="831" ht="15" customHeight="1">
      <c r="A831" t="inlineStr">
        <is>
          <t>A 7385-2025</t>
        </is>
      </c>
      <c r="B831" t="inlineStr">
        <is>
          <t>avverkningsanmälan</t>
        </is>
      </c>
      <c r="C831" t="inlineStr">
        <is>
          <t>Föryngringsavverkning</t>
        </is>
      </c>
      <c r="D831" s="1" t="n">
        <v>45705</v>
      </c>
      <c r="E831" s="1" t="n">
        <v>46223</v>
      </c>
      <c r="F831" t="inlineStr">
        <is>
          <t>JÄMTLANDS LÄN</t>
        </is>
      </c>
      <c r="G831" t="inlineStr">
        <is>
          <t>HÄRJEDALEN</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37719-2023</t>
        </is>
      </c>
      <c r="B832" t="inlineStr">
        <is>
          <t>avverkningsanmälan</t>
        </is>
      </c>
      <c r="C832" t="inlineStr">
        <is>
          <t>Föryngringsavverkning</t>
        </is>
      </c>
      <c r="D832" s="1" t="n">
        <v>45159</v>
      </c>
      <c r="E832" s="1" t="n">
        <v>46223</v>
      </c>
      <c r="F832" t="inlineStr">
        <is>
          <t>JÄMTLANDS LÄN</t>
        </is>
      </c>
      <c r="G832" t="inlineStr">
        <is>
          <t>HÄRJEDALEN</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55859-2024</t>
        </is>
      </c>
      <c r="B833" t="inlineStr">
        <is>
          <t>avverkningsanmälan</t>
        </is>
      </c>
      <c r="C833" t="inlineStr">
        <is>
          <t>Föryngringsavverkning</t>
        </is>
      </c>
      <c r="D833" s="1" t="n">
        <v>45622</v>
      </c>
      <c r="E833" s="1" t="n">
        <v>46223</v>
      </c>
      <c r="F833" t="inlineStr">
        <is>
          <t>JÄMTLANDS LÄN</t>
        </is>
      </c>
      <c r="G833" t="inlineStr">
        <is>
          <t>HÄRJEDALEN</t>
        </is>
      </c>
      <c r="H833" t="inlineStr">
        <is>
          <t>Bergvik skog väst AB</t>
        </is>
      </c>
      <c r="I833" t="n">
        <v>28.1</v>
      </c>
      <c r="J833" t="n">
        <v>0</v>
      </c>
      <c r="K833" t="n">
        <v>0</v>
      </c>
      <c r="L833" t="n">
        <v>0</v>
      </c>
      <c r="M833" t="n">
        <v>0</v>
      </c>
      <c r="N833" t="n">
        <v>0</v>
      </c>
      <c r="O833" t="n">
        <v>0</v>
      </c>
      <c r="P833" t="n">
        <v>0</v>
      </c>
      <c r="Q833" t="n">
        <v>0</v>
      </c>
      <c r="R833" t="n">
        <v>0</v>
      </c>
      <c r="S833" t="n">
        <v>0</v>
      </c>
      <c r="T833" t="n">
        <v>0</v>
      </c>
      <c r="U833" s="2" t="inlineStr"/>
    </row>
    <row r="834" ht="15" customHeight="1">
      <c r="A834" t="inlineStr">
        <is>
          <t>A 16535-2024</t>
        </is>
      </c>
      <c r="B834" t="inlineStr">
        <is>
          <t>avverkningsanmälan</t>
        </is>
      </c>
      <c r="C834" t="inlineStr">
        <is>
          <t>Föryngringsavverkning</t>
        </is>
      </c>
      <c r="D834" s="1" t="n">
        <v>45408</v>
      </c>
      <c r="E834" s="1" t="n">
        <v>46223</v>
      </c>
      <c r="F834" t="inlineStr">
        <is>
          <t>JÄMTLANDS LÄN</t>
        </is>
      </c>
      <c r="G834" t="inlineStr">
        <is>
          <t>HÄRJEDALEN</t>
        </is>
      </c>
      <c r="I834" t="n">
        <v>3.7</v>
      </c>
      <c r="J834" t="n">
        <v>0</v>
      </c>
      <c r="K834" t="n">
        <v>0</v>
      </c>
      <c r="L834" t="n">
        <v>0</v>
      </c>
      <c r="M834" t="n">
        <v>0</v>
      </c>
      <c r="N834" t="n">
        <v>0</v>
      </c>
      <c r="O834" t="n">
        <v>0</v>
      </c>
      <c r="P834" t="n">
        <v>0</v>
      </c>
      <c r="Q834" t="n">
        <v>0</v>
      </c>
      <c r="R834" t="n">
        <v>0</v>
      </c>
      <c r="S834" t="n">
        <v>0</v>
      </c>
      <c r="T834" t="n">
        <v>0</v>
      </c>
      <c r="U834" s="2" t="inlineStr"/>
    </row>
    <row r="835" ht="15" customHeight="1">
      <c r="A835" t="inlineStr">
        <is>
          <t>A 8178-2024</t>
        </is>
      </c>
      <c r="B835" t="inlineStr">
        <is>
          <t>avverkningsanmälan</t>
        </is>
      </c>
      <c r="C835" t="inlineStr">
        <is>
          <t>Föryngringsavverkning</t>
        </is>
      </c>
      <c r="D835" s="1" t="n">
        <v>45350</v>
      </c>
      <c r="E835" s="1" t="n">
        <v>46223</v>
      </c>
      <c r="F835" t="inlineStr">
        <is>
          <t>JÄMTLANDS LÄN</t>
        </is>
      </c>
      <c r="G835" t="inlineStr">
        <is>
          <t>HÄRJEDALEN</t>
        </is>
      </c>
      <c r="I835" t="n">
        <v>8.300000000000001</v>
      </c>
      <c r="J835" t="n">
        <v>0</v>
      </c>
      <c r="K835" t="n">
        <v>0</v>
      </c>
      <c r="L835" t="n">
        <v>0</v>
      </c>
      <c r="M835" t="n">
        <v>0</v>
      </c>
      <c r="N835" t="n">
        <v>0</v>
      </c>
      <c r="O835" t="n">
        <v>0</v>
      </c>
      <c r="P835" t="n">
        <v>0</v>
      </c>
      <c r="Q835" t="n">
        <v>0</v>
      </c>
      <c r="R835" t="n">
        <v>0</v>
      </c>
      <c r="S835" t="n">
        <v>0</v>
      </c>
      <c r="T835" t="n">
        <v>0</v>
      </c>
      <c r="U835" s="2" t="inlineStr"/>
    </row>
    <row r="836" ht="15" customHeight="1">
      <c r="A836" t="inlineStr">
        <is>
          <t>A 52565-2023</t>
        </is>
      </c>
      <c r="B836" t="inlineStr">
        <is>
          <t>avverkningsanmälan</t>
        </is>
      </c>
      <c r="C836" t="inlineStr">
        <is>
          <t>Föryngringsavverkning</t>
        </is>
      </c>
      <c r="D836" s="1" t="n">
        <v>45225</v>
      </c>
      <c r="E836" s="1" t="n">
        <v>46223</v>
      </c>
      <c r="F836" t="inlineStr">
        <is>
          <t>JÄMTLANDS LÄN</t>
        </is>
      </c>
      <c r="G836" t="inlineStr">
        <is>
          <t>HÄRJEDALEN</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7311-2024</t>
        </is>
      </c>
      <c r="B837" t="inlineStr">
        <is>
          <t>avverkningsanmälan</t>
        </is>
      </c>
      <c r="C837" t="inlineStr">
        <is>
          <t>Föryngringsavverkning</t>
        </is>
      </c>
      <c r="D837" s="1" t="n">
        <v>45345</v>
      </c>
      <c r="E837" s="1" t="n">
        <v>46223</v>
      </c>
      <c r="F837" t="inlineStr">
        <is>
          <t>JÄMTLANDS LÄN</t>
        </is>
      </c>
      <c r="G837" t="inlineStr">
        <is>
          <t>HÄRJEDALEN</t>
        </is>
      </c>
      <c r="H837" t="inlineStr">
        <is>
          <t>Holmen skog AB</t>
        </is>
      </c>
      <c r="I837" t="n">
        <v>3.7</v>
      </c>
      <c r="J837" t="n">
        <v>0</v>
      </c>
      <c r="K837" t="n">
        <v>0</v>
      </c>
      <c r="L837" t="n">
        <v>0</v>
      </c>
      <c r="M837" t="n">
        <v>0</v>
      </c>
      <c r="N837" t="n">
        <v>0</v>
      </c>
      <c r="O837" t="n">
        <v>0</v>
      </c>
      <c r="P837" t="n">
        <v>0</v>
      </c>
      <c r="Q837" t="n">
        <v>0</v>
      </c>
      <c r="R837" t="n">
        <v>0</v>
      </c>
      <c r="S837" t="n">
        <v>0</v>
      </c>
      <c r="T837" t="n">
        <v>0</v>
      </c>
      <c r="U837" s="2" t="inlineStr"/>
    </row>
    <row r="838" ht="15" customHeight="1">
      <c r="A838" t="inlineStr">
        <is>
          <t>A 20342-2025</t>
        </is>
      </c>
      <c r="B838" t="inlineStr">
        <is>
          <t>avverkningsanmälan</t>
        </is>
      </c>
      <c r="C838" t="inlineStr">
        <is>
          <t>Föryngringsavverkning</t>
        </is>
      </c>
      <c r="D838" s="1" t="n">
        <v>45775</v>
      </c>
      <c r="E838" s="1" t="n">
        <v>46223</v>
      </c>
      <c r="F838" t="inlineStr">
        <is>
          <t>JÄMTLANDS LÄN</t>
        </is>
      </c>
      <c r="G838" t="inlineStr">
        <is>
          <t>HÄRJEDALEN</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37963-2025</t>
        </is>
      </c>
      <c r="B839" t="inlineStr">
        <is>
          <t>avverkningsanmälan</t>
        </is>
      </c>
      <c r="C839" t="inlineStr">
        <is>
          <t>Föryngringsavverkning</t>
        </is>
      </c>
      <c r="D839" s="1" t="n">
        <v>45881</v>
      </c>
      <c r="E839" s="1" t="n">
        <v>46223</v>
      </c>
      <c r="F839" t="inlineStr">
        <is>
          <t>JÄMTLANDS LÄN</t>
        </is>
      </c>
      <c r="G839" t="inlineStr">
        <is>
          <t>HÄRJEDALEN</t>
        </is>
      </c>
      <c r="I839" t="n">
        <v>15.6</v>
      </c>
      <c r="J839" t="n">
        <v>0</v>
      </c>
      <c r="K839" t="n">
        <v>0</v>
      </c>
      <c r="L839" t="n">
        <v>0</v>
      </c>
      <c r="M839" t="n">
        <v>0</v>
      </c>
      <c r="N839" t="n">
        <v>0</v>
      </c>
      <c r="O839" t="n">
        <v>0</v>
      </c>
      <c r="P839" t="n">
        <v>0</v>
      </c>
      <c r="Q839" t="n">
        <v>0</v>
      </c>
      <c r="R839" t="n">
        <v>0</v>
      </c>
      <c r="S839" t="n">
        <v>0</v>
      </c>
      <c r="T839" t="n">
        <v>0</v>
      </c>
      <c r="U839" s="2" t="inlineStr"/>
    </row>
    <row r="840" ht="15" customHeight="1">
      <c r="A840" t="inlineStr">
        <is>
          <t>A 30435-2023</t>
        </is>
      </c>
      <c r="B840" t="inlineStr">
        <is>
          <t>avverkningsanmälan</t>
        </is>
      </c>
      <c r="C840" t="inlineStr">
        <is>
          <t>Föryngringsavverkning</t>
        </is>
      </c>
      <c r="D840" s="1" t="n">
        <v>45111</v>
      </c>
      <c r="E840" s="1" t="n">
        <v>46223</v>
      </c>
      <c r="F840" t="inlineStr">
        <is>
          <t>JÄMTLANDS LÄN</t>
        </is>
      </c>
      <c r="G840" t="inlineStr">
        <is>
          <t>HÄRJEDALEN</t>
        </is>
      </c>
      <c r="I840" t="n">
        <v>20</v>
      </c>
      <c r="J840" t="n">
        <v>0</v>
      </c>
      <c r="K840" t="n">
        <v>0</v>
      </c>
      <c r="L840" t="n">
        <v>0</v>
      </c>
      <c r="M840" t="n">
        <v>0</v>
      </c>
      <c r="N840" t="n">
        <v>0</v>
      </c>
      <c r="O840" t="n">
        <v>0</v>
      </c>
      <c r="P840" t="n">
        <v>0</v>
      </c>
      <c r="Q840" t="n">
        <v>0</v>
      </c>
      <c r="R840" t="n">
        <v>0</v>
      </c>
      <c r="S840" t="n">
        <v>0</v>
      </c>
      <c r="T840" t="n">
        <v>0</v>
      </c>
      <c r="U840" s="2" t="inlineStr"/>
    </row>
    <row r="841" ht="15" customHeight="1">
      <c r="A841" t="inlineStr">
        <is>
          <t>A 56134-2025</t>
        </is>
      </c>
      <c r="B841" t="inlineStr">
        <is>
          <t>avverkningsanmälan</t>
        </is>
      </c>
      <c r="C841" t="inlineStr">
        <is>
          <t>Föryngringsavverkning</t>
        </is>
      </c>
      <c r="D841" s="1" t="n">
        <v>45974</v>
      </c>
      <c r="E841" s="1" t="n">
        <v>46223</v>
      </c>
      <c r="F841" t="inlineStr">
        <is>
          <t>JÄMTLANDS LÄN</t>
        </is>
      </c>
      <c r="G841" t="inlineStr">
        <is>
          <t>HÄRJEDALEN</t>
        </is>
      </c>
      <c r="I841" t="n">
        <v>4.4</v>
      </c>
      <c r="J841" t="n">
        <v>0</v>
      </c>
      <c r="K841" t="n">
        <v>0</v>
      </c>
      <c r="L841" t="n">
        <v>0</v>
      </c>
      <c r="M841" t="n">
        <v>0</v>
      </c>
      <c r="N841" t="n">
        <v>0</v>
      </c>
      <c r="O841" t="n">
        <v>0</v>
      </c>
      <c r="P841" t="n">
        <v>0</v>
      </c>
      <c r="Q841" t="n">
        <v>0</v>
      </c>
      <c r="R841" t="n">
        <v>0</v>
      </c>
      <c r="S841" t="n">
        <v>0</v>
      </c>
      <c r="T841" t="n">
        <v>0</v>
      </c>
      <c r="U841" s="2" t="inlineStr"/>
    </row>
    <row r="842" ht="15" customHeight="1">
      <c r="A842" t="inlineStr">
        <is>
          <t>A 19098-2025</t>
        </is>
      </c>
      <c r="B842" t="inlineStr">
        <is>
          <t>avverkningsanmälan</t>
        </is>
      </c>
      <c r="C842" t="inlineStr">
        <is>
          <t>Föryngringsavverkning</t>
        </is>
      </c>
      <c r="D842" s="1" t="n">
        <v>45768</v>
      </c>
      <c r="E842" s="1" t="n">
        <v>46223</v>
      </c>
      <c r="F842" t="inlineStr">
        <is>
          <t>JÄMTLANDS LÄN</t>
        </is>
      </c>
      <c r="G842" t="inlineStr">
        <is>
          <t>HÄRJEDALEN</t>
        </is>
      </c>
      <c r="H842" t="inlineStr">
        <is>
          <t>Sveaskog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19101-2025</t>
        </is>
      </c>
      <c r="B843" t="inlineStr">
        <is>
          <t>avverkningsanmälan</t>
        </is>
      </c>
      <c r="C843" t="inlineStr">
        <is>
          <t>Föryngringsavverkning</t>
        </is>
      </c>
      <c r="D843" s="1" t="n">
        <v>45768</v>
      </c>
      <c r="E843" s="1" t="n">
        <v>46223</v>
      </c>
      <c r="F843" t="inlineStr">
        <is>
          <t>JÄMTLANDS LÄN</t>
        </is>
      </c>
      <c r="G843" t="inlineStr">
        <is>
          <t>HÄRJEDALEN</t>
        </is>
      </c>
      <c r="H843" t="inlineStr">
        <is>
          <t>Sveaskog</t>
        </is>
      </c>
      <c r="I843" t="n">
        <v>3.7</v>
      </c>
      <c r="J843" t="n">
        <v>0</v>
      </c>
      <c r="K843" t="n">
        <v>0</v>
      </c>
      <c r="L843" t="n">
        <v>0</v>
      </c>
      <c r="M843" t="n">
        <v>0</v>
      </c>
      <c r="N843" t="n">
        <v>0</v>
      </c>
      <c r="O843" t="n">
        <v>0</v>
      </c>
      <c r="P843" t="n">
        <v>0</v>
      </c>
      <c r="Q843" t="n">
        <v>0</v>
      </c>
      <c r="R843" t="n">
        <v>0</v>
      </c>
      <c r="S843" t="n">
        <v>0</v>
      </c>
      <c r="T843" t="n">
        <v>0</v>
      </c>
      <c r="U843" s="2" t="inlineStr"/>
    </row>
    <row r="844" ht="15" customHeight="1">
      <c r="A844" t="inlineStr">
        <is>
          <t>A 12468-2022</t>
        </is>
      </c>
      <c r="B844" t="inlineStr">
        <is>
          <t>avverkningsanmälan</t>
        </is>
      </c>
      <c r="C844" t="inlineStr">
        <is>
          <t>Föryngringsavverkning</t>
        </is>
      </c>
      <c r="D844" s="1" t="n">
        <v>44638</v>
      </c>
      <c r="E844" s="1" t="n">
        <v>46223</v>
      </c>
      <c r="F844" t="inlineStr">
        <is>
          <t>JÄMTLANDS LÄN</t>
        </is>
      </c>
      <c r="G844" t="inlineStr">
        <is>
          <t>HÄRJEDALEN</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29712-2024</t>
        </is>
      </c>
      <c r="B845" t="inlineStr">
        <is>
          <t>avverkningsanmälan</t>
        </is>
      </c>
      <c r="C845" t="inlineStr">
        <is>
          <t>Föryngringsavverkning</t>
        </is>
      </c>
      <c r="D845" s="1" t="n">
        <v>45485</v>
      </c>
      <c r="E845" s="1" t="n">
        <v>46223</v>
      </c>
      <c r="F845" t="inlineStr">
        <is>
          <t>JÄMTLANDS LÄN</t>
        </is>
      </c>
      <c r="G845" t="inlineStr">
        <is>
          <t>HÄRJEDALEN</t>
        </is>
      </c>
      <c r="H845" t="inlineStr">
        <is>
          <t>Holmen skog AB</t>
        </is>
      </c>
      <c r="I845" t="n">
        <v>9.5</v>
      </c>
      <c r="J845" t="n">
        <v>0</v>
      </c>
      <c r="K845" t="n">
        <v>0</v>
      </c>
      <c r="L845" t="n">
        <v>0</v>
      </c>
      <c r="M845" t="n">
        <v>0</v>
      </c>
      <c r="N845" t="n">
        <v>0</v>
      </c>
      <c r="O845" t="n">
        <v>0</v>
      </c>
      <c r="P845" t="n">
        <v>0</v>
      </c>
      <c r="Q845" t="n">
        <v>0</v>
      </c>
      <c r="R845" t="n">
        <v>0</v>
      </c>
      <c r="S845" t="n">
        <v>0</v>
      </c>
      <c r="T845" t="n">
        <v>0</v>
      </c>
      <c r="U845" s="2" t="inlineStr"/>
    </row>
    <row r="846" ht="15" customHeight="1">
      <c r="A846" t="inlineStr">
        <is>
          <t>A 59946-2024</t>
        </is>
      </c>
      <c r="B846" t="inlineStr">
        <is>
          <t>avverkningsanmälan</t>
        </is>
      </c>
      <c r="C846" t="inlineStr">
        <is>
          <t>Föryngringsavverkning</t>
        </is>
      </c>
      <c r="D846" s="1" t="n">
        <v>45642</v>
      </c>
      <c r="E846" s="1" t="n">
        <v>46223</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21054-2023</t>
        </is>
      </c>
      <c r="B847" t="inlineStr">
        <is>
          <t>avverkningsanmälan</t>
        </is>
      </c>
      <c r="C847" t="inlineStr">
        <is>
          <t>Föryngringsavverkning</t>
        </is>
      </c>
      <c r="D847" s="1" t="n">
        <v>45061</v>
      </c>
      <c r="E847" s="1" t="n">
        <v>46223</v>
      </c>
      <c r="F847" t="inlineStr">
        <is>
          <t>JÄMTLANDS LÄN</t>
        </is>
      </c>
      <c r="G847" t="inlineStr">
        <is>
          <t>HÄRJEDALEN</t>
        </is>
      </c>
      <c r="H847" t="inlineStr">
        <is>
          <t>Sveaskog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53993-2023</t>
        </is>
      </c>
      <c r="B848" t="inlineStr">
        <is>
          <t>avverkningsanmälan</t>
        </is>
      </c>
      <c r="C848" t="inlineStr">
        <is>
          <t>Avverkning för annat ändamål</t>
        </is>
      </c>
      <c r="D848" s="1" t="n">
        <v>45231</v>
      </c>
      <c r="E848" s="1" t="n">
        <v>46223</v>
      </c>
      <c r="F848" t="inlineStr">
        <is>
          <t>JÄMTLANDS LÄN</t>
        </is>
      </c>
      <c r="G848" t="inlineStr">
        <is>
          <t>HÄRJEDALEN</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2728-2025</t>
        </is>
      </c>
      <c r="B849" t="inlineStr">
        <is>
          <t>avverkningsanmälan</t>
        </is>
      </c>
      <c r="C849" t="inlineStr">
        <is>
          <t>Föryngringsavverkning</t>
        </is>
      </c>
      <c r="D849" s="1" t="n">
        <v>45677</v>
      </c>
      <c r="E849" s="1" t="n">
        <v>46223</v>
      </c>
      <c r="F849" t="inlineStr">
        <is>
          <t>JÄMTLANDS LÄN</t>
        </is>
      </c>
      <c r="G849" t="inlineStr">
        <is>
          <t>HÄRJEDALEN</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21011-2024</t>
        </is>
      </c>
      <c r="B850" t="inlineStr">
        <is>
          <t>avverkningsanmälan</t>
        </is>
      </c>
      <c r="C850" t="inlineStr">
        <is>
          <t>Föryngringsavverkning</t>
        </is>
      </c>
      <c r="D850" s="1" t="n">
        <v>45439</v>
      </c>
      <c r="E850" s="1" t="n">
        <v>46223</v>
      </c>
      <c r="F850" t="inlineStr">
        <is>
          <t>JÄMTLANDS LÄN</t>
        </is>
      </c>
      <c r="G850" t="inlineStr">
        <is>
          <t>HÄRJEDALEN</t>
        </is>
      </c>
      <c r="I850" t="n">
        <v>92.40000000000001</v>
      </c>
      <c r="J850" t="n">
        <v>0</v>
      </c>
      <c r="K850" t="n">
        <v>0</v>
      </c>
      <c r="L850" t="n">
        <v>0</v>
      </c>
      <c r="M850" t="n">
        <v>0</v>
      </c>
      <c r="N850" t="n">
        <v>0</v>
      </c>
      <c r="O850" t="n">
        <v>0</v>
      </c>
      <c r="P850" t="n">
        <v>0</v>
      </c>
      <c r="Q850" t="n">
        <v>0</v>
      </c>
      <c r="R850" t="n">
        <v>0</v>
      </c>
      <c r="S850" t="n">
        <v>0</v>
      </c>
      <c r="T850" t="n">
        <v>0</v>
      </c>
      <c r="U850" s="2" t="inlineStr"/>
    </row>
    <row r="851" ht="15" customHeight="1">
      <c r="A851" t="inlineStr">
        <is>
          <t>A 38840-2024</t>
        </is>
      </c>
      <c r="B851" t="inlineStr">
        <is>
          <t>avverkningsanmälan</t>
        </is>
      </c>
      <c r="C851" t="inlineStr">
        <is>
          <t>Föryngringsavverkning</t>
        </is>
      </c>
      <c r="D851" s="1" t="n">
        <v>45547</v>
      </c>
      <c r="E851" s="1" t="n">
        <v>46223</v>
      </c>
      <c r="F851" t="inlineStr">
        <is>
          <t>JÄMTLANDS LÄN</t>
        </is>
      </c>
      <c r="G851" t="inlineStr">
        <is>
          <t>HÄRJEDALEN</t>
        </is>
      </c>
      <c r="I851" t="n">
        <v>4.1</v>
      </c>
      <c r="J851" t="n">
        <v>0</v>
      </c>
      <c r="K851" t="n">
        <v>0</v>
      </c>
      <c r="L851" t="n">
        <v>0</v>
      </c>
      <c r="M851" t="n">
        <v>0</v>
      </c>
      <c r="N851" t="n">
        <v>0</v>
      </c>
      <c r="O851" t="n">
        <v>0</v>
      </c>
      <c r="P851" t="n">
        <v>0</v>
      </c>
      <c r="Q851" t="n">
        <v>0</v>
      </c>
      <c r="R851" t="n">
        <v>0</v>
      </c>
      <c r="S851" t="n">
        <v>0</v>
      </c>
      <c r="T851" t="n">
        <v>0</v>
      </c>
      <c r="U851" s="2" t="inlineStr"/>
    </row>
    <row r="852" ht="15" customHeight="1">
      <c r="A852" t="inlineStr">
        <is>
          <t>A 45864-2023</t>
        </is>
      </c>
      <c r="B852" t="inlineStr">
        <is>
          <t>avverkningsanmälan</t>
        </is>
      </c>
      <c r="C852" t="inlineStr">
        <is>
          <t>Föryngringsavverkning</t>
        </is>
      </c>
      <c r="D852" s="1" t="n">
        <v>45195</v>
      </c>
      <c r="E852" s="1" t="n">
        <v>46223</v>
      </c>
      <c r="F852" t="inlineStr">
        <is>
          <t>JÄMTLANDS LÄN</t>
        </is>
      </c>
      <c r="G852" t="inlineStr">
        <is>
          <t>HÄRJEDALEN</t>
        </is>
      </c>
      <c r="I852" t="n">
        <v>8.199999999999999</v>
      </c>
      <c r="J852" t="n">
        <v>0</v>
      </c>
      <c r="K852" t="n">
        <v>0</v>
      </c>
      <c r="L852" t="n">
        <v>0</v>
      </c>
      <c r="M852" t="n">
        <v>0</v>
      </c>
      <c r="N852" t="n">
        <v>0</v>
      </c>
      <c r="O852" t="n">
        <v>0</v>
      </c>
      <c r="P852" t="n">
        <v>0</v>
      </c>
      <c r="Q852" t="n">
        <v>0</v>
      </c>
      <c r="R852" t="n">
        <v>0</v>
      </c>
      <c r="S852" t="n">
        <v>0</v>
      </c>
      <c r="T852" t="n">
        <v>0</v>
      </c>
      <c r="U852" s="2" t="inlineStr"/>
    </row>
    <row r="853" ht="15" customHeight="1">
      <c r="A853" t="inlineStr">
        <is>
          <t>A 56013-2023</t>
        </is>
      </c>
      <c r="B853" t="inlineStr">
        <is>
          <t>avverkningsanmälan</t>
        </is>
      </c>
      <c r="C853" t="inlineStr">
        <is>
          <t>Föryngringsavverkning</t>
        </is>
      </c>
      <c r="D853" s="1" t="n">
        <v>45240</v>
      </c>
      <c r="E853" s="1" t="n">
        <v>46223</v>
      </c>
      <c r="F853" t="inlineStr">
        <is>
          <t>JÄMTLANDS LÄN</t>
        </is>
      </c>
      <c r="G853" t="inlineStr">
        <is>
          <t>HÄRJEDALEN</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49969-2023</t>
        </is>
      </c>
      <c r="B854" t="inlineStr">
        <is>
          <t>avverkningsanmälan</t>
        </is>
      </c>
      <c r="C854" t="inlineStr">
        <is>
          <t>Föryngringsavverkning</t>
        </is>
      </c>
      <c r="D854" s="1" t="n">
        <v>45215</v>
      </c>
      <c r="E854" s="1" t="n">
        <v>46223</v>
      </c>
      <c r="F854" t="inlineStr">
        <is>
          <t>JÄMTLANDS LÄN</t>
        </is>
      </c>
      <c r="G854" t="inlineStr">
        <is>
          <t>HÄRJEDALEN</t>
        </is>
      </c>
      <c r="I854" t="n">
        <v>43.7</v>
      </c>
      <c r="J854" t="n">
        <v>0</v>
      </c>
      <c r="K854" t="n">
        <v>0</v>
      </c>
      <c r="L854" t="n">
        <v>0</v>
      </c>
      <c r="M854" t="n">
        <v>0</v>
      </c>
      <c r="N854" t="n">
        <v>0</v>
      </c>
      <c r="O854" t="n">
        <v>0</v>
      </c>
      <c r="P854" t="n">
        <v>0</v>
      </c>
      <c r="Q854" t="n">
        <v>0</v>
      </c>
      <c r="R854" t="n">
        <v>0</v>
      </c>
      <c r="S854" t="n">
        <v>0</v>
      </c>
      <c r="T854" t="n">
        <v>0</v>
      </c>
      <c r="U854" s="2" t="inlineStr"/>
    </row>
    <row r="855" ht="15" customHeight="1">
      <c r="A855" t="inlineStr">
        <is>
          <t>A 45999-2023</t>
        </is>
      </c>
      <c r="B855" t="inlineStr">
        <is>
          <t>avverkningsanmälan</t>
        </is>
      </c>
      <c r="C855" t="inlineStr">
        <is>
          <t>Föryngringsavverkning</t>
        </is>
      </c>
      <c r="D855" s="1" t="n">
        <v>45196</v>
      </c>
      <c r="E855" s="1" t="n">
        <v>46223</v>
      </c>
      <c r="F855" t="inlineStr">
        <is>
          <t>JÄMTLANDS LÄN</t>
        </is>
      </c>
      <c r="G855" t="inlineStr">
        <is>
          <t>HÄRJEDALEN</t>
        </is>
      </c>
      <c r="H855" t="inlineStr">
        <is>
          <t>Bergvik skog väst AB</t>
        </is>
      </c>
      <c r="I855" t="n">
        <v>11.4</v>
      </c>
      <c r="J855" t="n">
        <v>0</v>
      </c>
      <c r="K855" t="n">
        <v>0</v>
      </c>
      <c r="L855" t="n">
        <v>0</v>
      </c>
      <c r="M855" t="n">
        <v>0</v>
      </c>
      <c r="N855" t="n">
        <v>0</v>
      </c>
      <c r="O855" t="n">
        <v>0</v>
      </c>
      <c r="P855" t="n">
        <v>0</v>
      </c>
      <c r="Q855" t="n">
        <v>0</v>
      </c>
      <c r="R855" t="n">
        <v>0</v>
      </c>
      <c r="S855" t="n">
        <v>0</v>
      </c>
      <c r="T855" t="n">
        <v>0</v>
      </c>
      <c r="U855" s="2" t="inlineStr"/>
    </row>
    <row r="856" ht="15" customHeight="1">
      <c r="A856" t="inlineStr">
        <is>
          <t>A 35253-2025</t>
        </is>
      </c>
      <c r="B856" t="inlineStr">
        <is>
          <t>avverkningsanmälan</t>
        </is>
      </c>
      <c r="C856" t="inlineStr">
        <is>
          <t>Föryngringsavverkning</t>
        </is>
      </c>
      <c r="D856" s="1" t="n">
        <v>45853</v>
      </c>
      <c r="E856" s="1" t="n">
        <v>46223</v>
      </c>
      <c r="F856" t="inlineStr">
        <is>
          <t>JÄMTLANDS LÄN</t>
        </is>
      </c>
      <c r="G856" t="inlineStr">
        <is>
          <t>HÄRJEDALEN</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21767-2022</t>
        </is>
      </c>
      <c r="B857" t="inlineStr">
        <is>
          <t>avverkningsanmälan</t>
        </is>
      </c>
      <c r="C857" t="inlineStr">
        <is>
          <t>Föryngringsavverkning</t>
        </is>
      </c>
      <c r="D857" s="1" t="n">
        <v>44708</v>
      </c>
      <c r="E857" s="1" t="n">
        <v>46223</v>
      </c>
      <c r="F857" t="inlineStr">
        <is>
          <t>JÄMTLANDS LÄN</t>
        </is>
      </c>
      <c r="G857" t="inlineStr">
        <is>
          <t>HÄRJEDALEN</t>
        </is>
      </c>
      <c r="H857" t="inlineStr">
        <is>
          <t>Holmen skog AB</t>
        </is>
      </c>
      <c r="I857" t="n">
        <v>8.1</v>
      </c>
      <c r="J857" t="n">
        <v>0</v>
      </c>
      <c r="K857" t="n">
        <v>0</v>
      </c>
      <c r="L857" t="n">
        <v>0</v>
      </c>
      <c r="M857" t="n">
        <v>0</v>
      </c>
      <c r="N857" t="n">
        <v>0</v>
      </c>
      <c r="O857" t="n">
        <v>0</v>
      </c>
      <c r="P857" t="n">
        <v>0</v>
      </c>
      <c r="Q857" t="n">
        <v>0</v>
      </c>
      <c r="R857" t="n">
        <v>0</v>
      </c>
      <c r="S857" t="n">
        <v>0</v>
      </c>
      <c r="T857" t="n">
        <v>0</v>
      </c>
      <c r="U857" s="2" t="inlineStr"/>
    </row>
    <row r="858" ht="15" customHeight="1">
      <c r="A858" t="inlineStr">
        <is>
          <t>A 21796-2022</t>
        </is>
      </c>
      <c r="B858" t="inlineStr">
        <is>
          <t>avverkningsanmälan</t>
        </is>
      </c>
      <c r="C858" t="inlineStr">
        <is>
          <t>Föryngringsavverkning</t>
        </is>
      </c>
      <c r="D858" s="1" t="n">
        <v>44708</v>
      </c>
      <c r="E858" s="1" t="n">
        <v>46223</v>
      </c>
      <c r="F858" t="inlineStr">
        <is>
          <t>JÄMTLANDS LÄN</t>
        </is>
      </c>
      <c r="G858" t="inlineStr">
        <is>
          <t>HÄRJEDALEN</t>
        </is>
      </c>
      <c r="H858" t="inlineStr">
        <is>
          <t>Holmen skog AB</t>
        </is>
      </c>
      <c r="I858" t="n">
        <v>22.3</v>
      </c>
      <c r="J858" t="n">
        <v>0</v>
      </c>
      <c r="K858" t="n">
        <v>0</v>
      </c>
      <c r="L858" t="n">
        <v>0</v>
      </c>
      <c r="M858" t="n">
        <v>0</v>
      </c>
      <c r="N858" t="n">
        <v>0</v>
      </c>
      <c r="O858" t="n">
        <v>0</v>
      </c>
      <c r="P858" t="n">
        <v>0</v>
      </c>
      <c r="Q858" t="n">
        <v>0</v>
      </c>
      <c r="R858" t="n">
        <v>0</v>
      </c>
      <c r="S858" t="n">
        <v>0</v>
      </c>
      <c r="T858" t="n">
        <v>0</v>
      </c>
      <c r="U858" s="2" t="inlineStr"/>
    </row>
    <row r="859" ht="15" customHeight="1">
      <c r="A859" t="inlineStr">
        <is>
          <t>A 31811-2023</t>
        </is>
      </c>
      <c r="B859" t="inlineStr">
        <is>
          <t>avverkningsanmälan</t>
        </is>
      </c>
      <c r="C859" t="inlineStr">
        <is>
          <t>Föryngringsavverkning</t>
        </is>
      </c>
      <c r="D859" s="1" t="n">
        <v>45118</v>
      </c>
      <c r="E859" s="1" t="n">
        <v>46223</v>
      </c>
      <c r="F859" t="inlineStr">
        <is>
          <t>JÄMTLANDS LÄN</t>
        </is>
      </c>
      <c r="G859" t="inlineStr">
        <is>
          <t>HÄRJEDALEN</t>
        </is>
      </c>
      <c r="H859" t="inlineStr">
        <is>
          <t>Bergvik skog väst AB</t>
        </is>
      </c>
      <c r="I859" t="n">
        <v>12.5</v>
      </c>
      <c r="J859" t="n">
        <v>0</v>
      </c>
      <c r="K859" t="n">
        <v>0</v>
      </c>
      <c r="L859" t="n">
        <v>0</v>
      </c>
      <c r="M859" t="n">
        <v>0</v>
      </c>
      <c r="N859" t="n">
        <v>0</v>
      </c>
      <c r="O859" t="n">
        <v>0</v>
      </c>
      <c r="P859" t="n">
        <v>0</v>
      </c>
      <c r="Q859" t="n">
        <v>0</v>
      </c>
      <c r="R859" t="n">
        <v>0</v>
      </c>
      <c r="S859" t="n">
        <v>0</v>
      </c>
      <c r="T859" t="n">
        <v>0</v>
      </c>
      <c r="U859" s="2" t="inlineStr"/>
    </row>
    <row r="860" ht="15" customHeight="1">
      <c r="A860" t="inlineStr">
        <is>
          <t>A 50331-2023</t>
        </is>
      </c>
      <c r="B860" t="inlineStr">
        <is>
          <t>avverkningsanmälan</t>
        </is>
      </c>
      <c r="C860" t="inlineStr">
        <is>
          <t>Avverkning för annat ändamål</t>
        </is>
      </c>
      <c r="D860" s="1" t="n">
        <v>45216</v>
      </c>
      <c r="E860" s="1" t="n">
        <v>46223</v>
      </c>
      <c r="F860" t="inlineStr">
        <is>
          <t>JÄMTLANDS LÄN</t>
        </is>
      </c>
      <c r="G860" t="inlineStr">
        <is>
          <t>HÄRJEDALEN</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17291-2025</t>
        </is>
      </c>
      <c r="B861" t="inlineStr">
        <is>
          <t>avverkningsanmälan</t>
        </is>
      </c>
      <c r="C861" t="inlineStr">
        <is>
          <t>Föryngringsavverkning</t>
        </is>
      </c>
      <c r="D861" s="1" t="n">
        <v>45756</v>
      </c>
      <c r="E861" s="1" t="n">
        <v>46223</v>
      </c>
      <c r="F861" t="inlineStr">
        <is>
          <t>JÄMTLANDS LÄN</t>
        </is>
      </c>
      <c r="G861" t="inlineStr">
        <is>
          <t>HÄRJEDALEN</t>
        </is>
      </c>
      <c r="I861" t="n">
        <v>7.1</v>
      </c>
      <c r="J861" t="n">
        <v>0</v>
      </c>
      <c r="K861" t="n">
        <v>0</v>
      </c>
      <c r="L861" t="n">
        <v>0</v>
      </c>
      <c r="M861" t="n">
        <v>0</v>
      </c>
      <c r="N861" t="n">
        <v>0</v>
      </c>
      <c r="O861" t="n">
        <v>0</v>
      </c>
      <c r="P861" t="n">
        <v>0</v>
      </c>
      <c r="Q861" t="n">
        <v>0</v>
      </c>
      <c r="R861" t="n">
        <v>0</v>
      </c>
      <c r="S861" t="n">
        <v>0</v>
      </c>
      <c r="T861" t="n">
        <v>0</v>
      </c>
      <c r="U861" s="2" t="inlineStr"/>
    </row>
    <row r="862" ht="15" customHeight="1">
      <c r="A862" t="inlineStr">
        <is>
          <t>A 37571-2025</t>
        </is>
      </c>
      <c r="B862" t="inlineStr">
        <is>
          <t>avverkningsanmälan</t>
        </is>
      </c>
      <c r="C862" t="inlineStr">
        <is>
          <t>Föryngringsavverkning</t>
        </is>
      </c>
      <c r="D862" s="1" t="n">
        <v>45880</v>
      </c>
      <c r="E862" s="1" t="n">
        <v>46223</v>
      </c>
      <c r="F862" t="inlineStr">
        <is>
          <t>JÄMTLANDS LÄN</t>
        </is>
      </c>
      <c r="G862" t="inlineStr">
        <is>
          <t>HÄRJEDALEN</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48213-2023</t>
        </is>
      </c>
      <c r="B863" t="inlineStr">
        <is>
          <t>avverkningsanmälan</t>
        </is>
      </c>
      <c r="C863" t="inlineStr">
        <is>
          <t>Föryngringsavverkning</t>
        </is>
      </c>
      <c r="D863" s="1" t="n">
        <v>45205</v>
      </c>
      <c r="E863" s="1" t="n">
        <v>46223</v>
      </c>
      <c r="F863" t="inlineStr">
        <is>
          <t>JÄMTLANDS LÄN</t>
        </is>
      </c>
      <c r="G863" t="inlineStr">
        <is>
          <t>HÄRJEDALEN</t>
        </is>
      </c>
      <c r="I863" t="n">
        <v>12.2</v>
      </c>
      <c r="J863" t="n">
        <v>0</v>
      </c>
      <c r="K863" t="n">
        <v>0</v>
      </c>
      <c r="L863" t="n">
        <v>0</v>
      </c>
      <c r="M863" t="n">
        <v>0</v>
      </c>
      <c r="N863" t="n">
        <v>0</v>
      </c>
      <c r="O863" t="n">
        <v>0</v>
      </c>
      <c r="P863" t="n">
        <v>0</v>
      </c>
      <c r="Q863" t="n">
        <v>0</v>
      </c>
      <c r="R863" t="n">
        <v>0</v>
      </c>
      <c r="S863" t="n">
        <v>0</v>
      </c>
      <c r="T863" t="n">
        <v>0</v>
      </c>
      <c r="U863" s="2" t="inlineStr"/>
    </row>
    <row r="864" ht="15" customHeight="1">
      <c r="A864" t="inlineStr">
        <is>
          <t>A 53537-2024</t>
        </is>
      </c>
      <c r="B864" t="inlineStr">
        <is>
          <t>avverkningsanmälan</t>
        </is>
      </c>
      <c r="C864" t="inlineStr">
        <is>
          <t>Avverkning för annat ändamål</t>
        </is>
      </c>
      <c r="D864" s="1" t="n">
        <v>45614</v>
      </c>
      <c r="E864" s="1" t="n">
        <v>46223</v>
      </c>
      <c r="F864" t="inlineStr">
        <is>
          <t>JÄMTLANDS LÄN</t>
        </is>
      </c>
      <c r="G864" t="inlineStr">
        <is>
          <t>HÄRJEDALEN</t>
        </is>
      </c>
      <c r="H864" t="inlineStr">
        <is>
          <t>Sveaskog</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41711-2022</t>
        </is>
      </c>
      <c r="B865" t="inlineStr">
        <is>
          <t>avverkningsanmälan</t>
        </is>
      </c>
      <c r="C865" t="inlineStr">
        <is>
          <t>Föryngringsavverkning</t>
        </is>
      </c>
      <c r="D865" s="1" t="n">
        <v>44827</v>
      </c>
      <c r="E865" s="1" t="n">
        <v>46223</v>
      </c>
      <c r="F865" t="inlineStr">
        <is>
          <t>JÄMTLANDS LÄN</t>
        </is>
      </c>
      <c r="G865" t="inlineStr">
        <is>
          <t>HÄRJEDALEN</t>
        </is>
      </c>
      <c r="I865" t="n">
        <v>18.3</v>
      </c>
      <c r="J865" t="n">
        <v>0</v>
      </c>
      <c r="K865" t="n">
        <v>0</v>
      </c>
      <c r="L865" t="n">
        <v>0</v>
      </c>
      <c r="M865" t="n">
        <v>0</v>
      </c>
      <c r="N865" t="n">
        <v>0</v>
      </c>
      <c r="O865" t="n">
        <v>0</v>
      </c>
      <c r="P865" t="n">
        <v>0</v>
      </c>
      <c r="Q865" t="n">
        <v>0</v>
      </c>
      <c r="R865" t="n">
        <v>0</v>
      </c>
      <c r="S865" t="n">
        <v>0</v>
      </c>
      <c r="T865" t="n">
        <v>0</v>
      </c>
      <c r="U865" s="2" t="inlineStr"/>
    </row>
    <row r="866" ht="15" customHeight="1">
      <c r="A866" t="inlineStr">
        <is>
          <t>A 24834-2022</t>
        </is>
      </c>
      <c r="B866" t="inlineStr">
        <is>
          <t>avverkningsanmälan</t>
        </is>
      </c>
      <c r="C866" t="inlineStr">
        <is>
          <t>Avverkning för annat ändamål</t>
        </is>
      </c>
      <c r="D866" s="1" t="n">
        <v>44728</v>
      </c>
      <c r="E866" s="1" t="n">
        <v>46223</v>
      </c>
      <c r="F866" t="inlineStr">
        <is>
          <t>JÄMTLANDS LÄN</t>
        </is>
      </c>
      <c r="G866" t="inlineStr">
        <is>
          <t>HÄRJEDALEN</t>
        </is>
      </c>
      <c r="H866" t="inlineStr">
        <is>
          <t>Bergvik skog väst AB</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1658-2025</t>
        </is>
      </c>
      <c r="B867" t="inlineStr">
        <is>
          <t>avverkningsanmälan</t>
        </is>
      </c>
      <c r="C867" t="inlineStr">
        <is>
          <t>Föryngringsavverkning</t>
        </is>
      </c>
      <c r="D867" s="1" t="n">
        <v>45670</v>
      </c>
      <c r="E867" s="1" t="n">
        <v>46223</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51188-2024</t>
        </is>
      </c>
      <c r="B868" t="inlineStr">
        <is>
          <t>avverkningsanmälan</t>
        </is>
      </c>
      <c r="C868" t="inlineStr">
        <is>
          <t>Föryngringsavverkning</t>
        </is>
      </c>
      <c r="D868" s="1" t="n">
        <v>45603</v>
      </c>
      <c r="E868" s="1" t="n">
        <v>46223</v>
      </c>
      <c r="F868" t="inlineStr">
        <is>
          <t>JÄMTLANDS LÄN</t>
        </is>
      </c>
      <c r="G868" t="inlineStr">
        <is>
          <t>HÄRJEDALEN</t>
        </is>
      </c>
      <c r="H868" t="inlineStr">
        <is>
          <t>Holmen skog AB</t>
        </is>
      </c>
      <c r="I868" t="n">
        <v>6.2</v>
      </c>
      <c r="J868" t="n">
        <v>0</v>
      </c>
      <c r="K868" t="n">
        <v>0</v>
      </c>
      <c r="L868" t="n">
        <v>0</v>
      </c>
      <c r="M868" t="n">
        <v>0</v>
      </c>
      <c r="N868" t="n">
        <v>0</v>
      </c>
      <c r="O868" t="n">
        <v>0</v>
      </c>
      <c r="P868" t="n">
        <v>0</v>
      </c>
      <c r="Q868" t="n">
        <v>0</v>
      </c>
      <c r="R868" t="n">
        <v>0</v>
      </c>
      <c r="S868" t="n">
        <v>0</v>
      </c>
      <c r="T868" t="n">
        <v>0</v>
      </c>
      <c r="U868" s="2" t="inlineStr"/>
    </row>
    <row r="869" ht="15" customHeight="1">
      <c r="A869" t="inlineStr">
        <is>
          <t>A 41955-2023</t>
        </is>
      </c>
      <c r="B869" t="inlineStr">
        <is>
          <t>avverkningsanmälan</t>
        </is>
      </c>
      <c r="C869" t="inlineStr">
        <is>
          <t>Föryngringsavverkning</t>
        </is>
      </c>
      <c r="D869" s="1" t="n">
        <v>45174</v>
      </c>
      <c r="E869" s="1" t="n">
        <v>46223</v>
      </c>
      <c r="F869" t="inlineStr">
        <is>
          <t>JÄMTLANDS LÄN</t>
        </is>
      </c>
      <c r="G869" t="inlineStr">
        <is>
          <t>HÄRJEDALEN</t>
        </is>
      </c>
      <c r="I869" t="n">
        <v>60.5</v>
      </c>
      <c r="J869" t="n">
        <v>0</v>
      </c>
      <c r="K869" t="n">
        <v>0</v>
      </c>
      <c r="L869" t="n">
        <v>0</v>
      </c>
      <c r="M869" t="n">
        <v>0</v>
      </c>
      <c r="N869" t="n">
        <v>0</v>
      </c>
      <c r="O869" t="n">
        <v>0</v>
      </c>
      <c r="P869" t="n">
        <v>0</v>
      </c>
      <c r="Q869" t="n">
        <v>0</v>
      </c>
      <c r="R869" t="n">
        <v>0</v>
      </c>
      <c r="S869" t="n">
        <v>0</v>
      </c>
      <c r="T869" t="n">
        <v>0</v>
      </c>
      <c r="U869" s="2" t="inlineStr"/>
    </row>
    <row r="870" ht="15" customHeight="1">
      <c r="A870" t="inlineStr">
        <is>
          <t>A 56452-2025</t>
        </is>
      </c>
      <c r="B870" t="inlineStr">
        <is>
          <t>avverkningsanmälan</t>
        </is>
      </c>
      <c r="C870" t="inlineStr">
        <is>
          <t>Föryngringsavverkning</t>
        </is>
      </c>
      <c r="D870" s="1" t="n">
        <v>45975</v>
      </c>
      <c r="E870" s="1" t="n">
        <v>46223</v>
      </c>
      <c r="F870" t="inlineStr">
        <is>
          <t>JÄMTLANDS LÄN</t>
        </is>
      </c>
      <c r="G870" t="inlineStr">
        <is>
          <t>HÄRJEDALEN</t>
        </is>
      </c>
      <c r="I870" t="n">
        <v>8.4</v>
      </c>
      <c r="J870" t="n">
        <v>0</v>
      </c>
      <c r="K870" t="n">
        <v>0</v>
      </c>
      <c r="L870" t="n">
        <v>0</v>
      </c>
      <c r="M870" t="n">
        <v>0</v>
      </c>
      <c r="N870" t="n">
        <v>0</v>
      </c>
      <c r="O870" t="n">
        <v>0</v>
      </c>
      <c r="P870" t="n">
        <v>0</v>
      </c>
      <c r="Q870" t="n">
        <v>0</v>
      </c>
      <c r="R870" t="n">
        <v>0</v>
      </c>
      <c r="S870" t="n">
        <v>0</v>
      </c>
      <c r="T870" t="n">
        <v>0</v>
      </c>
      <c r="U870" s="2" t="inlineStr"/>
    </row>
    <row r="871" ht="15" customHeight="1">
      <c r="A871" t="inlineStr">
        <is>
          <t>A 55562-2023</t>
        </is>
      </c>
      <c r="B871" t="inlineStr">
        <is>
          <t>avverkningsanmälan</t>
        </is>
      </c>
      <c r="C871" t="inlineStr">
        <is>
          <t>Föryngringsavverkning</t>
        </is>
      </c>
      <c r="D871" s="1" t="n">
        <v>45238</v>
      </c>
      <c r="E871" s="1" t="n">
        <v>46223</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61751-2023</t>
        </is>
      </c>
      <c r="B872" t="inlineStr">
        <is>
          <t>avverkningsanmälan</t>
        </is>
      </c>
      <c r="C872" t="inlineStr">
        <is>
          <t>Föryngringsavverkning</t>
        </is>
      </c>
      <c r="D872" s="1" t="n">
        <v>45265</v>
      </c>
      <c r="E872" s="1" t="n">
        <v>46223</v>
      </c>
      <c r="F872" t="inlineStr">
        <is>
          <t>JÄMTLANDS LÄN</t>
        </is>
      </c>
      <c r="G872" t="inlineStr">
        <is>
          <t>HÄRJEDALEN</t>
        </is>
      </c>
      <c r="I872" t="n">
        <v>11.3</v>
      </c>
      <c r="J872" t="n">
        <v>0</v>
      </c>
      <c r="K872" t="n">
        <v>0</v>
      </c>
      <c r="L872" t="n">
        <v>0</v>
      </c>
      <c r="M872" t="n">
        <v>0</v>
      </c>
      <c r="N872" t="n">
        <v>0</v>
      </c>
      <c r="O872" t="n">
        <v>0</v>
      </c>
      <c r="P872" t="n">
        <v>0</v>
      </c>
      <c r="Q872" t="n">
        <v>0</v>
      </c>
      <c r="R872" t="n">
        <v>0</v>
      </c>
      <c r="S872" t="n">
        <v>0</v>
      </c>
      <c r="T872" t="n">
        <v>0</v>
      </c>
      <c r="U872" s="2" t="inlineStr"/>
    </row>
    <row r="873" ht="15" customHeight="1">
      <c r="A873" t="inlineStr">
        <is>
          <t>A 58607-2025</t>
        </is>
      </c>
      <c r="B873" t="inlineStr">
        <is>
          <t>avverkningsanmälan</t>
        </is>
      </c>
      <c r="C873" t="inlineStr">
        <is>
          <t>Föryngringsavverkning</t>
        </is>
      </c>
      <c r="D873" s="1" t="n">
        <v>45986</v>
      </c>
      <c r="E873" s="1" t="n">
        <v>46223</v>
      </c>
      <c r="F873" t="inlineStr">
        <is>
          <t>JÄMTLANDS LÄN</t>
        </is>
      </c>
      <c r="G873" t="inlineStr">
        <is>
          <t>HÄRJEDALEN</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45716-2023</t>
        </is>
      </c>
      <c r="B874" t="inlineStr">
        <is>
          <t>avverkningsanmälan</t>
        </is>
      </c>
      <c r="C874" t="inlineStr">
        <is>
          <t>Föryngringsavverkning</t>
        </is>
      </c>
      <c r="D874" s="1" t="n">
        <v>45195</v>
      </c>
      <c r="E874" s="1" t="n">
        <v>46223</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45747-2023</t>
        </is>
      </c>
      <c r="B875" t="inlineStr">
        <is>
          <t>avverkningsanmälan</t>
        </is>
      </c>
      <c r="C875" t="inlineStr">
        <is>
          <t>Föryngringsavverkning</t>
        </is>
      </c>
      <c r="D875" s="1" t="n">
        <v>45195</v>
      </c>
      <c r="E875" s="1" t="n">
        <v>46223</v>
      </c>
      <c r="F875" t="inlineStr">
        <is>
          <t>JÄMTLANDS LÄN</t>
        </is>
      </c>
      <c r="G875" t="inlineStr">
        <is>
          <t>HÄRJEDALEN</t>
        </is>
      </c>
      <c r="I875" t="n">
        <v>1.7</v>
      </c>
      <c r="J875" t="n">
        <v>0</v>
      </c>
      <c r="K875" t="n">
        <v>0</v>
      </c>
      <c r="L875" t="n">
        <v>0</v>
      </c>
      <c r="M875" t="n">
        <v>0</v>
      </c>
      <c r="N875" t="n">
        <v>0</v>
      </c>
      <c r="O875" t="n">
        <v>0</v>
      </c>
      <c r="P875" t="n">
        <v>0</v>
      </c>
      <c r="Q875" t="n">
        <v>0</v>
      </c>
      <c r="R875" t="n">
        <v>0</v>
      </c>
      <c r="S875" t="n">
        <v>0</v>
      </c>
      <c r="T875" t="n">
        <v>0</v>
      </c>
      <c r="U875" s="2" t="inlineStr"/>
    </row>
    <row r="876" ht="15" customHeight="1">
      <c r="A876" t="inlineStr">
        <is>
          <t>A 24494-2024</t>
        </is>
      </c>
      <c r="B876" t="inlineStr">
        <is>
          <t>avverkningsanmälan</t>
        </is>
      </c>
      <c r="C876" t="inlineStr">
        <is>
          <t>Föryngringsavverkning</t>
        </is>
      </c>
      <c r="D876" s="1" t="n">
        <v>45459</v>
      </c>
      <c r="E876" s="1" t="n">
        <v>46223</v>
      </c>
      <c r="F876" t="inlineStr">
        <is>
          <t>JÄMTLANDS LÄN</t>
        </is>
      </c>
      <c r="G876" t="inlineStr">
        <is>
          <t>HÄRJEDALEN</t>
        </is>
      </c>
      <c r="I876" t="n">
        <v>20.1</v>
      </c>
      <c r="J876" t="n">
        <v>0</v>
      </c>
      <c r="K876" t="n">
        <v>0</v>
      </c>
      <c r="L876" t="n">
        <v>0</v>
      </c>
      <c r="M876" t="n">
        <v>0</v>
      </c>
      <c r="N876" t="n">
        <v>0</v>
      </c>
      <c r="O876" t="n">
        <v>0</v>
      </c>
      <c r="P876" t="n">
        <v>0</v>
      </c>
      <c r="Q876" t="n">
        <v>0</v>
      </c>
      <c r="R876" t="n">
        <v>0</v>
      </c>
      <c r="S876" t="n">
        <v>0</v>
      </c>
      <c r="T876" t="n">
        <v>0</v>
      </c>
      <c r="U876" s="2" t="inlineStr"/>
    </row>
    <row r="877" ht="15" customHeight="1">
      <c r="A877" t="inlineStr">
        <is>
          <t>A 31588-2024</t>
        </is>
      </c>
      <c r="B877" t="inlineStr">
        <is>
          <t>avverkningsanmälan</t>
        </is>
      </c>
      <c r="C877" t="inlineStr">
        <is>
          <t>Föryngringsavverkning</t>
        </is>
      </c>
      <c r="D877" s="1" t="n">
        <v>45506</v>
      </c>
      <c r="E877" s="1" t="n">
        <v>46223</v>
      </c>
      <c r="F877" t="inlineStr">
        <is>
          <t>JÄMTLANDS LÄN</t>
        </is>
      </c>
      <c r="G877" t="inlineStr">
        <is>
          <t>HÄRJEDALEN</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51017-2023</t>
        </is>
      </c>
      <c r="B878" t="inlineStr">
        <is>
          <t>avverkningsanmälan</t>
        </is>
      </c>
      <c r="C878" t="inlineStr">
        <is>
          <t>Föryngringsavverkning</t>
        </is>
      </c>
      <c r="D878" s="1" t="n">
        <v>45218</v>
      </c>
      <c r="E878" s="1" t="n">
        <v>46223</v>
      </c>
      <c r="F878" t="inlineStr">
        <is>
          <t>JÄMTLANDS LÄN</t>
        </is>
      </c>
      <c r="G878" t="inlineStr">
        <is>
          <t>HÄRJEDALEN</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36097-2024</t>
        </is>
      </c>
      <c r="B879" t="inlineStr">
        <is>
          <t>avverkningsanmälan</t>
        </is>
      </c>
      <c r="C879" t="inlineStr">
        <is>
          <t>Föryngringsavverkning</t>
        </is>
      </c>
      <c r="D879" s="1" t="n">
        <v>45533</v>
      </c>
      <c r="E879" s="1" t="n">
        <v>46223</v>
      </c>
      <c r="F879" t="inlineStr">
        <is>
          <t>JÄMTLANDS LÄN</t>
        </is>
      </c>
      <c r="G879" t="inlineStr">
        <is>
          <t>HÄRJEDALEN</t>
        </is>
      </c>
      <c r="I879" t="n">
        <v>2.9</v>
      </c>
      <c r="J879" t="n">
        <v>0</v>
      </c>
      <c r="K879" t="n">
        <v>0</v>
      </c>
      <c r="L879" t="n">
        <v>0</v>
      </c>
      <c r="M879" t="n">
        <v>0</v>
      </c>
      <c r="N879" t="n">
        <v>0</v>
      </c>
      <c r="O879" t="n">
        <v>0</v>
      </c>
      <c r="P879" t="n">
        <v>0</v>
      </c>
      <c r="Q879" t="n">
        <v>0</v>
      </c>
      <c r="R879" t="n">
        <v>0</v>
      </c>
      <c r="S879" t="n">
        <v>0</v>
      </c>
      <c r="T879" t="n">
        <v>0</v>
      </c>
      <c r="U879" s="2" t="inlineStr"/>
    </row>
    <row r="880" ht="15" customHeight="1">
      <c r="A880" t="inlineStr">
        <is>
          <t>A 24426-2022</t>
        </is>
      </c>
      <c r="B880" t="inlineStr">
        <is>
          <t>avverkningsanmälan</t>
        </is>
      </c>
      <c r="C880" t="inlineStr">
        <is>
          <t>Avverkning för annat ändamål</t>
        </is>
      </c>
      <c r="D880" s="1" t="n">
        <v>44726</v>
      </c>
      <c r="E880" s="1" t="n">
        <v>46223</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26458-2026</t>
        </is>
      </c>
      <c r="B881" t="inlineStr">
        <is>
          <t>avverkningsanmälan</t>
        </is>
      </c>
      <c r="C881" t="inlineStr">
        <is>
          <t>Föryngringsavverkning</t>
        </is>
      </c>
      <c r="D881" s="1" t="n">
        <v>46183</v>
      </c>
      <c r="E881" s="1" t="n">
        <v>46223</v>
      </c>
      <c r="F881" t="inlineStr">
        <is>
          <t>JÄMTLANDS LÄN</t>
        </is>
      </c>
      <c r="G881" t="inlineStr">
        <is>
          <t>HÄRJEDALEN</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16014-2022</t>
        </is>
      </c>
      <c r="B882" t="inlineStr">
        <is>
          <t>avverkningsanmälan</t>
        </is>
      </c>
      <c r="C882" t="inlineStr">
        <is>
          <t>Föryngringsavverkning</t>
        </is>
      </c>
      <c r="D882" s="1" t="n">
        <v>44665</v>
      </c>
      <c r="E882" s="1" t="n">
        <v>46223</v>
      </c>
      <c r="F882" t="inlineStr">
        <is>
          <t>JÄMTLANDS LÄN</t>
        </is>
      </c>
      <c r="G882" t="inlineStr">
        <is>
          <t>HÄRJEDALEN</t>
        </is>
      </c>
      <c r="I882" t="n">
        <v>38.7</v>
      </c>
      <c r="J882" t="n">
        <v>0</v>
      </c>
      <c r="K882" t="n">
        <v>0</v>
      </c>
      <c r="L882" t="n">
        <v>0</v>
      </c>
      <c r="M882" t="n">
        <v>0</v>
      </c>
      <c r="N882" t="n">
        <v>0</v>
      </c>
      <c r="O882" t="n">
        <v>0</v>
      </c>
      <c r="P882" t="n">
        <v>0</v>
      </c>
      <c r="Q882" t="n">
        <v>0</v>
      </c>
      <c r="R882" t="n">
        <v>0</v>
      </c>
      <c r="S882" t="n">
        <v>0</v>
      </c>
      <c r="T882" t="n">
        <v>0</v>
      </c>
      <c r="U882" s="2" t="inlineStr"/>
    </row>
    <row r="883" ht="15" customHeight="1">
      <c r="A883" t="inlineStr">
        <is>
          <t>A 9793-2026</t>
        </is>
      </c>
      <c r="B883" t="inlineStr">
        <is>
          <t>avverkningsanmälan</t>
        </is>
      </c>
      <c r="C883" t="inlineStr">
        <is>
          <t>Föryngringsavverkning</t>
        </is>
      </c>
      <c r="D883" s="1" t="n">
        <v>46071</v>
      </c>
      <c r="E883" s="1" t="n">
        <v>46223</v>
      </c>
      <c r="F883" t="inlineStr">
        <is>
          <t>JÄMTLANDS LÄN</t>
        </is>
      </c>
      <c r="G883" t="inlineStr">
        <is>
          <t>HÄRJEDALEN</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41094-2023</t>
        </is>
      </c>
      <c r="B884" t="inlineStr">
        <is>
          <t>avverkningsanmälan</t>
        </is>
      </c>
      <c r="C884" t="inlineStr">
        <is>
          <t>Avverkning för annat ändamål</t>
        </is>
      </c>
      <c r="D884" s="1" t="n">
        <v>45173</v>
      </c>
      <c r="E884" s="1" t="n">
        <v>46223</v>
      </c>
      <c r="F884" t="inlineStr">
        <is>
          <t>JÄMTLANDS LÄN</t>
        </is>
      </c>
      <c r="G884" t="inlineStr">
        <is>
          <t>HÄRJEDALEN</t>
        </is>
      </c>
      <c r="H884" t="inlineStr">
        <is>
          <t>Sveaskog</t>
        </is>
      </c>
      <c r="I884" t="n">
        <v>0.2</v>
      </c>
      <c r="J884" t="n">
        <v>0</v>
      </c>
      <c r="K884" t="n">
        <v>0</v>
      </c>
      <c r="L884" t="n">
        <v>0</v>
      </c>
      <c r="M884" t="n">
        <v>0</v>
      </c>
      <c r="N884" t="n">
        <v>0</v>
      </c>
      <c r="O884" t="n">
        <v>0</v>
      </c>
      <c r="P884" t="n">
        <v>0</v>
      </c>
      <c r="Q884" t="n">
        <v>0</v>
      </c>
      <c r="R884" t="n">
        <v>0</v>
      </c>
      <c r="S884" t="n">
        <v>0</v>
      </c>
      <c r="T884" t="n">
        <v>0</v>
      </c>
      <c r="U884" s="2" t="inlineStr"/>
    </row>
    <row r="885" ht="15" customHeight="1">
      <c r="A885" t="inlineStr">
        <is>
          <t>A 36528-2025</t>
        </is>
      </c>
      <c r="B885" t="inlineStr">
        <is>
          <t>avverkningsanmälan</t>
        </is>
      </c>
      <c r="C885" t="inlineStr">
        <is>
          <t>Föryngringsavverkning</t>
        </is>
      </c>
      <c r="D885" s="1" t="n">
        <v>45869</v>
      </c>
      <c r="E885" s="1" t="n">
        <v>46223</v>
      </c>
      <c r="F885" t="inlineStr">
        <is>
          <t>JÄMTLANDS LÄN</t>
        </is>
      </c>
      <c r="G885" t="inlineStr">
        <is>
          <t>HÄRJEDALEN</t>
        </is>
      </c>
      <c r="I885" t="n">
        <v>8.300000000000001</v>
      </c>
      <c r="J885" t="n">
        <v>0</v>
      </c>
      <c r="K885" t="n">
        <v>0</v>
      </c>
      <c r="L885" t="n">
        <v>0</v>
      </c>
      <c r="M885" t="n">
        <v>0</v>
      </c>
      <c r="N885" t="n">
        <v>0</v>
      </c>
      <c r="O885" t="n">
        <v>0</v>
      </c>
      <c r="P885" t="n">
        <v>0</v>
      </c>
      <c r="Q885" t="n">
        <v>0</v>
      </c>
      <c r="R885" t="n">
        <v>0</v>
      </c>
      <c r="S885" t="n">
        <v>0</v>
      </c>
      <c r="T885" t="n">
        <v>0</v>
      </c>
      <c r="U885" s="2" t="inlineStr"/>
    </row>
    <row r="886" ht="15" customHeight="1">
      <c r="A886" t="inlineStr">
        <is>
          <t>A 36537-2025</t>
        </is>
      </c>
      <c r="B886" t="inlineStr">
        <is>
          <t>avverkningsanmälan</t>
        </is>
      </c>
      <c r="C886" t="inlineStr">
        <is>
          <t>Föryngringsavverkning</t>
        </is>
      </c>
      <c r="D886" s="1" t="n">
        <v>45869</v>
      </c>
      <c r="E886" s="1" t="n">
        <v>46223</v>
      </c>
      <c r="F886" t="inlineStr">
        <is>
          <t>JÄMTLANDS LÄN</t>
        </is>
      </c>
      <c r="G886" t="inlineStr">
        <is>
          <t>HÄRJEDALEN</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11096-2025</t>
        </is>
      </c>
      <c r="B887" t="inlineStr">
        <is>
          <t>avverkningsanmälan</t>
        </is>
      </c>
      <c r="C887" t="inlineStr">
        <is>
          <t>Föryngringsavverkning</t>
        </is>
      </c>
      <c r="D887" s="1" t="n">
        <v>45723</v>
      </c>
      <c r="E887" s="1" t="n">
        <v>46223</v>
      </c>
      <c r="F887" t="inlineStr">
        <is>
          <t>JÄMTLANDS LÄN</t>
        </is>
      </c>
      <c r="G887" t="inlineStr">
        <is>
          <t>HÄRJEDALEN</t>
        </is>
      </c>
      <c r="I887" t="n">
        <v>3.3</v>
      </c>
      <c r="J887" t="n">
        <v>0</v>
      </c>
      <c r="K887" t="n">
        <v>0</v>
      </c>
      <c r="L887" t="n">
        <v>0</v>
      </c>
      <c r="M887" t="n">
        <v>0</v>
      </c>
      <c r="N887" t="n">
        <v>0</v>
      </c>
      <c r="O887" t="n">
        <v>0</v>
      </c>
      <c r="P887" t="n">
        <v>0</v>
      </c>
      <c r="Q887" t="n">
        <v>0</v>
      </c>
      <c r="R887" t="n">
        <v>0</v>
      </c>
      <c r="S887" t="n">
        <v>0</v>
      </c>
      <c r="T887" t="n">
        <v>0</v>
      </c>
      <c r="U887" s="2" t="inlineStr"/>
    </row>
    <row r="888" ht="15" customHeight="1">
      <c r="A888" t="inlineStr">
        <is>
          <t>A 57202-2023</t>
        </is>
      </c>
      <c r="B888" t="inlineStr">
        <is>
          <t>avverkningsanmälan</t>
        </is>
      </c>
      <c r="C888" t="inlineStr">
        <is>
          <t>Föryngringsavverkning</t>
        </is>
      </c>
      <c r="D888" s="1" t="n">
        <v>45245</v>
      </c>
      <c r="E888" s="1" t="n">
        <v>46223</v>
      </c>
      <c r="F888" t="inlineStr">
        <is>
          <t>JÄMTLANDS LÄN</t>
        </is>
      </c>
      <c r="G888" t="inlineStr">
        <is>
          <t>HÄRJEDALEN</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21149-2026</t>
        </is>
      </c>
      <c r="B889" t="inlineStr">
        <is>
          <t>avverkningsanmälan</t>
        </is>
      </c>
      <c r="C889" t="inlineStr">
        <is>
          <t>Föryngringsavverkning</t>
        </is>
      </c>
      <c r="D889" s="1" t="n">
        <v>46146</v>
      </c>
      <c r="E889" s="1" t="n">
        <v>46223</v>
      </c>
      <c r="F889" t="inlineStr">
        <is>
          <t>JÄMTLANDS LÄN</t>
        </is>
      </c>
      <c r="G889" t="inlineStr">
        <is>
          <t>HÄRJEDALEN</t>
        </is>
      </c>
      <c r="H889" t="inlineStr">
        <is>
          <t>SCA</t>
        </is>
      </c>
      <c r="I889" t="n">
        <v>5.1</v>
      </c>
      <c r="J889" t="n">
        <v>0</v>
      </c>
      <c r="K889" t="n">
        <v>0</v>
      </c>
      <c r="L889" t="n">
        <v>0</v>
      </c>
      <c r="M889" t="n">
        <v>0</v>
      </c>
      <c r="N889" t="n">
        <v>0</v>
      </c>
      <c r="O889" t="n">
        <v>0</v>
      </c>
      <c r="P889" t="n">
        <v>0</v>
      </c>
      <c r="Q889" t="n">
        <v>0</v>
      </c>
      <c r="R889" t="n">
        <v>0</v>
      </c>
      <c r="S889" t="n">
        <v>0</v>
      </c>
      <c r="T889" t="n">
        <v>0</v>
      </c>
      <c r="U889" s="2" t="inlineStr"/>
    </row>
    <row r="890" ht="15" customHeight="1">
      <c r="A890" t="inlineStr">
        <is>
          <t>A 27062-2026</t>
        </is>
      </c>
      <c r="B890" t="inlineStr">
        <is>
          <t>avverkningsanmälan</t>
        </is>
      </c>
      <c r="C890" t="inlineStr">
        <is>
          <t>Föryngringsavverkning</t>
        </is>
      </c>
      <c r="D890" s="1" t="n">
        <v>46185</v>
      </c>
      <c r="E890" s="1" t="n">
        <v>46223</v>
      </c>
      <c r="F890" t="inlineStr">
        <is>
          <t>JÄMTLANDS LÄN</t>
        </is>
      </c>
      <c r="G890" t="inlineStr">
        <is>
          <t>HÄRJEDALEN</t>
        </is>
      </c>
      <c r="H890" t="inlineStr">
        <is>
          <t>Sveaskog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4684-2026</t>
        </is>
      </c>
      <c r="B891" t="inlineStr">
        <is>
          <t>avverkningsanmälan</t>
        </is>
      </c>
      <c r="C891" t="inlineStr">
        <is>
          <t>Föryngringsavverkning</t>
        </is>
      </c>
      <c r="D891" s="1" t="n">
        <v>46048</v>
      </c>
      <c r="E891" s="1" t="n">
        <v>46223</v>
      </c>
      <c r="F891" t="inlineStr">
        <is>
          <t>JÄMTLANDS LÄN</t>
        </is>
      </c>
      <c r="G891" t="inlineStr">
        <is>
          <t>HÄRJEDALEN</t>
        </is>
      </c>
      <c r="I891" t="n">
        <v>15.4</v>
      </c>
      <c r="J891" t="n">
        <v>0</v>
      </c>
      <c r="K891" t="n">
        <v>0</v>
      </c>
      <c r="L891" t="n">
        <v>0</v>
      </c>
      <c r="M891" t="n">
        <v>0</v>
      </c>
      <c r="N891" t="n">
        <v>0</v>
      </c>
      <c r="O891" t="n">
        <v>0</v>
      </c>
      <c r="P891" t="n">
        <v>0</v>
      </c>
      <c r="Q891" t="n">
        <v>0</v>
      </c>
      <c r="R891" t="n">
        <v>0</v>
      </c>
      <c r="S891" t="n">
        <v>0</v>
      </c>
      <c r="T891" t="n">
        <v>0</v>
      </c>
      <c r="U891" s="2" t="inlineStr"/>
    </row>
    <row r="892" ht="15" customHeight="1">
      <c r="A892" t="inlineStr">
        <is>
          <t>A 9791-2026</t>
        </is>
      </c>
      <c r="B892" t="inlineStr">
        <is>
          <t>avverkningsanmälan</t>
        </is>
      </c>
      <c r="C892" t="inlineStr">
        <is>
          <t>Föryngringsavverkning</t>
        </is>
      </c>
      <c r="D892" s="1" t="n">
        <v>46071</v>
      </c>
      <c r="E892" s="1" t="n">
        <v>46223</v>
      </c>
      <c r="F892" t="inlineStr">
        <is>
          <t>JÄMTLANDS LÄN</t>
        </is>
      </c>
      <c r="G892" t="inlineStr">
        <is>
          <t>HÄRJEDALEN</t>
        </is>
      </c>
      <c r="I892" t="n">
        <v>2.5</v>
      </c>
      <c r="J892" t="n">
        <v>0</v>
      </c>
      <c r="K892" t="n">
        <v>0</v>
      </c>
      <c r="L892" t="n">
        <v>0</v>
      </c>
      <c r="M892" t="n">
        <v>0</v>
      </c>
      <c r="N892" t="n">
        <v>0</v>
      </c>
      <c r="O892" t="n">
        <v>0</v>
      </c>
      <c r="P892" t="n">
        <v>0</v>
      </c>
      <c r="Q892" t="n">
        <v>0</v>
      </c>
      <c r="R892" t="n">
        <v>0</v>
      </c>
      <c r="S892" t="n">
        <v>0</v>
      </c>
      <c r="T892" t="n">
        <v>0</v>
      </c>
      <c r="U892" s="2" t="inlineStr"/>
    </row>
    <row r="893" ht="15" customHeight="1">
      <c r="A893" t="inlineStr">
        <is>
          <t>A 9795-2026</t>
        </is>
      </c>
      <c r="B893" t="inlineStr">
        <is>
          <t>avverkningsanmälan</t>
        </is>
      </c>
      <c r="C893" t="inlineStr">
        <is>
          <t>Föryngringsavverkning</t>
        </is>
      </c>
      <c r="D893" s="1" t="n">
        <v>46071</v>
      </c>
      <c r="E893" s="1" t="n">
        <v>46223</v>
      </c>
      <c r="F893" t="inlineStr">
        <is>
          <t>JÄMTLANDS LÄN</t>
        </is>
      </c>
      <c r="G893" t="inlineStr">
        <is>
          <t>HÄRJEDALEN</t>
        </is>
      </c>
      <c r="I893" t="n">
        <v>7.6</v>
      </c>
      <c r="J893" t="n">
        <v>0</v>
      </c>
      <c r="K893" t="n">
        <v>0</v>
      </c>
      <c r="L893" t="n">
        <v>0</v>
      </c>
      <c r="M893" t="n">
        <v>0</v>
      </c>
      <c r="N893" t="n">
        <v>0</v>
      </c>
      <c r="O893" t="n">
        <v>0</v>
      </c>
      <c r="P893" t="n">
        <v>0</v>
      </c>
      <c r="Q893" t="n">
        <v>0</v>
      </c>
      <c r="R893" t="n">
        <v>0</v>
      </c>
      <c r="S893" t="n">
        <v>0</v>
      </c>
      <c r="T893" t="n">
        <v>0</v>
      </c>
      <c r="U893" s="2" t="inlineStr"/>
    </row>
    <row r="894" ht="15" customHeight="1">
      <c r="A894" t="inlineStr">
        <is>
          <t>A 4220-2025</t>
        </is>
      </c>
      <c r="B894" t="inlineStr">
        <is>
          <t>avverkningsanmälan</t>
        </is>
      </c>
      <c r="C894" t="inlineStr">
        <is>
          <t>Föryngringsavverkning</t>
        </is>
      </c>
      <c r="D894" s="1" t="n">
        <v>45685</v>
      </c>
      <c r="E894" s="1" t="n">
        <v>46223</v>
      </c>
      <c r="F894" t="inlineStr">
        <is>
          <t>JÄMTLANDS LÄN</t>
        </is>
      </c>
      <c r="G894" t="inlineStr">
        <is>
          <t>HÄRJEDALEN</t>
        </is>
      </c>
      <c r="H894" t="inlineStr">
        <is>
          <t>Bergvik skog väst AB</t>
        </is>
      </c>
      <c r="I894" t="n">
        <v>19.8</v>
      </c>
      <c r="J894" t="n">
        <v>0</v>
      </c>
      <c r="K894" t="n">
        <v>0</v>
      </c>
      <c r="L894" t="n">
        <v>0</v>
      </c>
      <c r="M894" t="n">
        <v>0</v>
      </c>
      <c r="N894" t="n">
        <v>0</v>
      </c>
      <c r="O894" t="n">
        <v>0</v>
      </c>
      <c r="P894" t="n">
        <v>0</v>
      </c>
      <c r="Q894" t="n">
        <v>0</v>
      </c>
      <c r="R894" t="n">
        <v>0</v>
      </c>
      <c r="S894" t="n">
        <v>0</v>
      </c>
      <c r="T894" t="n">
        <v>0</v>
      </c>
      <c r="U894" s="2" t="inlineStr"/>
    </row>
    <row r="895" ht="15" customHeight="1">
      <c r="A895" t="inlineStr">
        <is>
          <t>A 26994-2026</t>
        </is>
      </c>
      <c r="B895" t="inlineStr">
        <is>
          <t>avverkningsanmälan</t>
        </is>
      </c>
      <c r="C895" t="inlineStr">
        <is>
          <t>Föryngringsavverkning</t>
        </is>
      </c>
      <c r="D895" s="1" t="n">
        <v>46185</v>
      </c>
      <c r="E895" s="1" t="n">
        <v>46223</v>
      </c>
      <c r="F895" t="inlineStr">
        <is>
          <t>JÄMTLANDS LÄN</t>
        </is>
      </c>
      <c r="G895" t="inlineStr">
        <is>
          <t>HÄRJEDALEN</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21222-2026</t>
        </is>
      </c>
      <c r="B896" t="inlineStr">
        <is>
          <t>avverkningsanmälan</t>
        </is>
      </c>
      <c r="C896" t="inlineStr">
        <is>
          <t>Föryngringsavverkning</t>
        </is>
      </c>
      <c r="D896" s="1" t="n">
        <v>46146</v>
      </c>
      <c r="E896" s="1" t="n">
        <v>46223</v>
      </c>
      <c r="F896" t="inlineStr">
        <is>
          <t>JÄMTLANDS LÄN</t>
        </is>
      </c>
      <c r="G896" t="inlineStr">
        <is>
          <t>HÄRJEDALEN</t>
        </is>
      </c>
      <c r="H896" t="inlineStr">
        <is>
          <t>Sveaskog</t>
        </is>
      </c>
      <c r="I896" t="n">
        <v>4.3</v>
      </c>
      <c r="J896" t="n">
        <v>0</v>
      </c>
      <c r="K896" t="n">
        <v>0</v>
      </c>
      <c r="L896" t="n">
        <v>0</v>
      </c>
      <c r="M896" t="n">
        <v>0</v>
      </c>
      <c r="N896" t="n">
        <v>0</v>
      </c>
      <c r="O896" t="n">
        <v>0</v>
      </c>
      <c r="P896" t="n">
        <v>0</v>
      </c>
      <c r="Q896" t="n">
        <v>0</v>
      </c>
      <c r="R896" t="n">
        <v>0</v>
      </c>
      <c r="S896" t="n">
        <v>0</v>
      </c>
      <c r="T896" t="n">
        <v>0</v>
      </c>
      <c r="U896" s="2" t="inlineStr"/>
    </row>
    <row r="897" ht="15" customHeight="1">
      <c r="A897" t="inlineStr">
        <is>
          <t>A 21153-2026</t>
        </is>
      </c>
      <c r="B897" t="inlineStr">
        <is>
          <t>avverkningsanmälan</t>
        </is>
      </c>
      <c r="C897" t="inlineStr">
        <is>
          <t>Föryngringsavverkning</t>
        </is>
      </c>
      <c r="D897" s="1" t="n">
        <v>46146</v>
      </c>
      <c r="E897" s="1" t="n">
        <v>46223</v>
      </c>
      <c r="F897" t="inlineStr">
        <is>
          <t>JÄMTLANDS LÄN</t>
        </is>
      </c>
      <c r="G897" t="inlineStr">
        <is>
          <t>HÄRJEDALEN</t>
        </is>
      </c>
      <c r="H897" t="inlineStr">
        <is>
          <t>SCA</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21171-2026</t>
        </is>
      </c>
      <c r="B898" t="inlineStr">
        <is>
          <t>avverkningsanmälan</t>
        </is>
      </c>
      <c r="C898" t="inlineStr">
        <is>
          <t>Föryngringsavverkning</t>
        </is>
      </c>
      <c r="D898" s="1" t="n">
        <v>46146</v>
      </c>
      <c r="E898" s="1" t="n">
        <v>46223</v>
      </c>
      <c r="F898" t="inlineStr">
        <is>
          <t>JÄMTLANDS LÄN</t>
        </is>
      </c>
      <c r="G898" t="inlineStr">
        <is>
          <t>HÄRJEDALEN</t>
        </is>
      </c>
      <c r="H898" t="inlineStr">
        <is>
          <t>SCA</t>
        </is>
      </c>
      <c r="I898" t="n">
        <v>2.3</v>
      </c>
      <c r="J898" t="n">
        <v>0</v>
      </c>
      <c r="K898" t="n">
        <v>0</v>
      </c>
      <c r="L898" t="n">
        <v>0</v>
      </c>
      <c r="M898" t="n">
        <v>0</v>
      </c>
      <c r="N898" t="n">
        <v>0</v>
      </c>
      <c r="O898" t="n">
        <v>0</v>
      </c>
      <c r="P898" t="n">
        <v>0</v>
      </c>
      <c r="Q898" t="n">
        <v>0</v>
      </c>
      <c r="R898" t="n">
        <v>0</v>
      </c>
      <c r="S898" t="n">
        <v>0</v>
      </c>
      <c r="T898" t="n">
        <v>0</v>
      </c>
      <c r="U898" s="2" t="inlineStr"/>
    </row>
    <row r="899" ht="15" customHeight="1">
      <c r="A899" t="inlineStr">
        <is>
          <t>A 26868-2026</t>
        </is>
      </c>
      <c r="B899" t="inlineStr">
        <is>
          <t>avverkningsanmälan</t>
        </is>
      </c>
      <c r="C899" t="inlineStr">
        <is>
          <t>Avverkning för att bevara och utveckla /försöksver</t>
        </is>
      </c>
      <c r="D899" s="1" t="n">
        <v>46185</v>
      </c>
      <c r="E899" s="1" t="n">
        <v>46223</v>
      </c>
      <c r="F899" t="inlineStr">
        <is>
          <t>JÄMTLANDS LÄN</t>
        </is>
      </c>
      <c r="G899" t="inlineStr">
        <is>
          <t>HÄRJEDALEN</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19478-2026</t>
        </is>
      </c>
      <c r="B900" t="inlineStr">
        <is>
          <t>avverkningsanmälan</t>
        </is>
      </c>
      <c r="C900" t="inlineStr">
        <is>
          <t>Avverkning för annat ändamål</t>
        </is>
      </c>
      <c r="D900" s="1" t="n">
        <v>46133</v>
      </c>
      <c r="E900" s="1" t="n">
        <v>46223</v>
      </c>
      <c r="F900" t="inlineStr">
        <is>
          <t>JÄMTLANDS LÄN</t>
        </is>
      </c>
      <c r="G900" t="inlineStr">
        <is>
          <t>HÄRJEDALEN</t>
        </is>
      </c>
      <c r="I900" t="n">
        <v>5.4</v>
      </c>
      <c r="J900" t="n">
        <v>0</v>
      </c>
      <c r="K900" t="n">
        <v>0</v>
      </c>
      <c r="L900" t="n">
        <v>0</v>
      </c>
      <c r="M900" t="n">
        <v>0</v>
      </c>
      <c r="N900" t="n">
        <v>0</v>
      </c>
      <c r="O900" t="n">
        <v>0</v>
      </c>
      <c r="P900" t="n">
        <v>0</v>
      </c>
      <c r="Q900" t="n">
        <v>0</v>
      </c>
      <c r="R900" t="n">
        <v>0</v>
      </c>
      <c r="S900" t="n">
        <v>0</v>
      </c>
      <c r="T900" t="n">
        <v>0</v>
      </c>
      <c r="U900" s="2" t="inlineStr"/>
    </row>
    <row r="901" ht="15" customHeight="1">
      <c r="A901" t="inlineStr">
        <is>
          <t>A 39625-2022</t>
        </is>
      </c>
      <c r="B901" t="inlineStr">
        <is>
          <t>avverkningsanmälan</t>
        </is>
      </c>
      <c r="C901" t="inlineStr">
        <is>
          <t>Avverkning för annat ändamål</t>
        </is>
      </c>
      <c r="D901" s="1" t="n">
        <v>44818</v>
      </c>
      <c r="E901" s="1" t="n">
        <v>46223</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27851-2026</t>
        </is>
      </c>
      <c r="B902" t="inlineStr">
        <is>
          <t>avverkningsanmälan</t>
        </is>
      </c>
      <c r="C902" t="inlineStr">
        <is>
          <t>Föryngringsavverkning</t>
        </is>
      </c>
      <c r="D902" s="1" t="n">
        <v>46191</v>
      </c>
      <c r="E902" s="1" t="n">
        <v>46223</v>
      </c>
      <c r="F902" t="inlineStr">
        <is>
          <t>JÄMTLANDS LÄN</t>
        </is>
      </c>
      <c r="G902" t="inlineStr">
        <is>
          <t>HÄRJEDALEN</t>
        </is>
      </c>
      <c r="H902" t="inlineStr">
        <is>
          <t>Sveaskog</t>
        </is>
      </c>
      <c r="I902" t="n">
        <v>14.9</v>
      </c>
      <c r="J902" t="n">
        <v>0</v>
      </c>
      <c r="K902" t="n">
        <v>0</v>
      </c>
      <c r="L902" t="n">
        <v>0</v>
      </c>
      <c r="M902" t="n">
        <v>0</v>
      </c>
      <c r="N902" t="n">
        <v>0</v>
      </c>
      <c r="O902" t="n">
        <v>0</v>
      </c>
      <c r="P902" t="n">
        <v>0</v>
      </c>
      <c r="Q902" t="n">
        <v>0</v>
      </c>
      <c r="R902" t="n">
        <v>0</v>
      </c>
      <c r="S902" t="n">
        <v>0</v>
      </c>
      <c r="T902" t="n">
        <v>0</v>
      </c>
      <c r="U902" s="2" t="inlineStr"/>
    </row>
    <row r="903" ht="15" customHeight="1">
      <c r="A903" t="inlineStr">
        <is>
          <t>A 31778-2023</t>
        </is>
      </c>
      <c r="B903" t="inlineStr">
        <is>
          <t>avverkningsanmälan</t>
        </is>
      </c>
      <c r="C903" t="inlineStr">
        <is>
          <t>Föryngringsavverkning</t>
        </is>
      </c>
      <c r="D903" s="1" t="n">
        <v>45118</v>
      </c>
      <c r="E903" s="1" t="n">
        <v>46223</v>
      </c>
      <c r="F903" t="inlineStr">
        <is>
          <t>JÄMTLANDS LÄN</t>
        </is>
      </c>
      <c r="G903" t="inlineStr">
        <is>
          <t>HÄRJEDALEN</t>
        </is>
      </c>
      <c r="H903" t="inlineStr">
        <is>
          <t>Bergvik skog väst AB</t>
        </is>
      </c>
      <c r="I903" t="n">
        <v>4.6</v>
      </c>
      <c r="J903" t="n">
        <v>0</v>
      </c>
      <c r="K903" t="n">
        <v>0</v>
      </c>
      <c r="L903" t="n">
        <v>0</v>
      </c>
      <c r="M903" t="n">
        <v>0</v>
      </c>
      <c r="N903" t="n">
        <v>0</v>
      </c>
      <c r="O903" t="n">
        <v>0</v>
      </c>
      <c r="P903" t="n">
        <v>0</v>
      </c>
      <c r="Q903" t="n">
        <v>0</v>
      </c>
      <c r="R903" t="n">
        <v>0</v>
      </c>
      <c r="S903" t="n">
        <v>0</v>
      </c>
      <c r="T903" t="n">
        <v>0</v>
      </c>
      <c r="U903" s="2" t="inlineStr"/>
    </row>
    <row r="904" ht="15" customHeight="1">
      <c r="A904" t="inlineStr">
        <is>
          <t>A 27812-2023</t>
        </is>
      </c>
      <c r="B904" t="inlineStr">
        <is>
          <t>avverkningsanmälan</t>
        </is>
      </c>
      <c r="C904" t="inlineStr">
        <is>
          <t>Föryngringsavverkning</t>
        </is>
      </c>
      <c r="D904" s="1" t="n">
        <v>45098</v>
      </c>
      <c r="E904" s="1" t="n">
        <v>46223</v>
      </c>
      <c r="F904" t="inlineStr">
        <is>
          <t>JÄMTLANDS LÄN</t>
        </is>
      </c>
      <c r="G904" t="inlineStr">
        <is>
          <t>HÄRJEDALEN</t>
        </is>
      </c>
      <c r="H904" t="inlineStr">
        <is>
          <t>Bergvik skog väst AB</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62639-2022</t>
        </is>
      </c>
      <c r="B905" t="inlineStr">
        <is>
          <t>avverkningsanmälan</t>
        </is>
      </c>
      <c r="C905" t="inlineStr">
        <is>
          <t>Föryngringsavverkning</t>
        </is>
      </c>
      <c r="D905" s="1" t="n">
        <v>44925</v>
      </c>
      <c r="E905" s="1" t="n">
        <v>46223</v>
      </c>
      <c r="F905" t="inlineStr">
        <is>
          <t>JÄMTLANDS LÄN</t>
        </is>
      </c>
      <c r="G905" t="inlineStr">
        <is>
          <t>HÄRJEDALEN</t>
        </is>
      </c>
      <c r="I905" t="n">
        <v>4.3</v>
      </c>
      <c r="J905" t="n">
        <v>0</v>
      </c>
      <c r="K905" t="n">
        <v>0</v>
      </c>
      <c r="L905" t="n">
        <v>0</v>
      </c>
      <c r="M905" t="n">
        <v>0</v>
      </c>
      <c r="N905" t="n">
        <v>0</v>
      </c>
      <c r="O905" t="n">
        <v>0</v>
      </c>
      <c r="P905" t="n">
        <v>0</v>
      </c>
      <c r="Q905" t="n">
        <v>0</v>
      </c>
      <c r="R905" t="n">
        <v>0</v>
      </c>
      <c r="S905" t="n">
        <v>0</v>
      </c>
      <c r="T905" t="n">
        <v>0</v>
      </c>
      <c r="U905" s="2" t="inlineStr"/>
    </row>
    <row r="906" ht="15" customHeight="1">
      <c r="A906" t="inlineStr">
        <is>
          <t>A 30744-2024</t>
        </is>
      </c>
      <c r="B906" t="inlineStr">
        <is>
          <t>avverkningsanmälan</t>
        </is>
      </c>
      <c r="C906" t="inlineStr">
        <is>
          <t>Föryngringsavverkning</t>
        </is>
      </c>
      <c r="D906" s="1" t="n">
        <v>45496</v>
      </c>
      <c r="E906" s="1" t="n">
        <v>46223</v>
      </c>
      <c r="F906" t="inlineStr">
        <is>
          <t>JÄMTLANDS LÄN</t>
        </is>
      </c>
      <c r="G906" t="inlineStr">
        <is>
          <t>HÄRJEDALEN</t>
        </is>
      </c>
      <c r="H906" t="inlineStr">
        <is>
          <t>Bergvik skog väst AB</t>
        </is>
      </c>
      <c r="I906" t="n">
        <v>4.3</v>
      </c>
      <c r="J906" t="n">
        <v>0</v>
      </c>
      <c r="K906" t="n">
        <v>0</v>
      </c>
      <c r="L906" t="n">
        <v>0</v>
      </c>
      <c r="M906" t="n">
        <v>0</v>
      </c>
      <c r="N906" t="n">
        <v>0</v>
      </c>
      <c r="O906" t="n">
        <v>0</v>
      </c>
      <c r="P906" t="n">
        <v>0</v>
      </c>
      <c r="Q906" t="n">
        <v>0</v>
      </c>
      <c r="R906" t="n">
        <v>0</v>
      </c>
      <c r="S906" t="n">
        <v>0</v>
      </c>
      <c r="T906" t="n">
        <v>0</v>
      </c>
      <c r="U906" s="2" t="inlineStr"/>
    </row>
    <row r="907" ht="15" customHeight="1">
      <c r="A907" t="inlineStr">
        <is>
          <t>A 31747-2024</t>
        </is>
      </c>
      <c r="B907" t="inlineStr">
        <is>
          <t>avverkningsanmälan</t>
        </is>
      </c>
      <c r="C907" t="inlineStr">
        <is>
          <t>Avverkning för annat ändamål</t>
        </is>
      </c>
      <c r="D907" s="1" t="n">
        <v>45509</v>
      </c>
      <c r="E907" s="1" t="n">
        <v>46223</v>
      </c>
      <c r="F907" t="inlineStr">
        <is>
          <t>JÄMTLANDS LÄN</t>
        </is>
      </c>
      <c r="G907" t="inlineStr">
        <is>
          <t>HÄRJEDALEN</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5013-2023</t>
        </is>
      </c>
      <c r="B908" t="inlineStr">
        <is>
          <t>avverkningsanmälan</t>
        </is>
      </c>
      <c r="C908" t="inlineStr">
        <is>
          <t>Föryngringsavverkning</t>
        </is>
      </c>
      <c r="D908" s="1" t="n">
        <v>44958</v>
      </c>
      <c r="E908" s="1" t="n">
        <v>46223</v>
      </c>
      <c r="F908" t="inlineStr">
        <is>
          <t>JÄMTLANDS LÄN</t>
        </is>
      </c>
      <c r="G908" t="inlineStr">
        <is>
          <t>HÄRJEDALEN</t>
        </is>
      </c>
      <c r="H908" t="inlineStr">
        <is>
          <t>Bergvik skog väst AB</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34181-2025</t>
        </is>
      </c>
      <c r="B909" t="inlineStr">
        <is>
          <t>avverkningsanmälan</t>
        </is>
      </c>
      <c r="C909" t="inlineStr">
        <is>
          <t>Föryngringsavverkning</t>
        </is>
      </c>
      <c r="D909" s="1" t="n">
        <v>45845</v>
      </c>
      <c r="E909" s="1" t="n">
        <v>46223</v>
      </c>
      <c r="F909" t="inlineStr">
        <is>
          <t>JÄMTLANDS LÄN</t>
        </is>
      </c>
      <c r="G909" t="inlineStr">
        <is>
          <t>HÄRJEDALEN</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14837-2025</t>
        </is>
      </c>
      <c r="B910" t="inlineStr">
        <is>
          <t>avverkningsanmälan</t>
        </is>
      </c>
      <c r="C910" t="inlineStr">
        <is>
          <t>Föryngringsavverkning</t>
        </is>
      </c>
      <c r="D910" s="1" t="n">
        <v>45743</v>
      </c>
      <c r="E910" s="1" t="n">
        <v>46223</v>
      </c>
      <c r="F910" t="inlineStr">
        <is>
          <t>JÄMTLANDS LÄN</t>
        </is>
      </c>
      <c r="G910" t="inlineStr">
        <is>
          <t>HÄRJEDALEN</t>
        </is>
      </c>
      <c r="I910" t="n">
        <v>7.5</v>
      </c>
      <c r="J910" t="n">
        <v>0</v>
      </c>
      <c r="K910" t="n">
        <v>0</v>
      </c>
      <c r="L910" t="n">
        <v>0</v>
      </c>
      <c r="M910" t="n">
        <v>0</v>
      </c>
      <c r="N910" t="n">
        <v>0</v>
      </c>
      <c r="O910" t="n">
        <v>0</v>
      </c>
      <c r="P910" t="n">
        <v>0</v>
      </c>
      <c r="Q910" t="n">
        <v>0</v>
      </c>
      <c r="R910" t="n">
        <v>0</v>
      </c>
      <c r="S910" t="n">
        <v>0</v>
      </c>
      <c r="T910" t="n">
        <v>0</v>
      </c>
      <c r="U910" s="2" t="inlineStr"/>
    </row>
    <row r="911" ht="15" customHeight="1">
      <c r="A911" t="inlineStr">
        <is>
          <t>A 47501-2025</t>
        </is>
      </c>
      <c r="B911" t="inlineStr">
        <is>
          <t>avverkningsanmälan</t>
        </is>
      </c>
      <c r="C911" t="inlineStr">
        <is>
          <t>Föryngringsavverkning</t>
        </is>
      </c>
      <c r="D911" s="1" t="n">
        <v>45930</v>
      </c>
      <c r="E911" s="1" t="n">
        <v>46223</v>
      </c>
      <c r="F911" t="inlineStr">
        <is>
          <t>JÄMTLANDS LÄN</t>
        </is>
      </c>
      <c r="G911" t="inlineStr">
        <is>
          <t>HÄRJEDALEN</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22398-2026</t>
        </is>
      </c>
      <c r="B912" t="inlineStr">
        <is>
          <t>avverkningsanmälan</t>
        </is>
      </c>
      <c r="C912" t="inlineStr">
        <is>
          <t>Föryngringsavverkning</t>
        </is>
      </c>
      <c r="D912" s="1" t="n">
        <v>46154</v>
      </c>
      <c r="E912" s="1" t="n">
        <v>46223</v>
      </c>
      <c r="F912" t="inlineStr">
        <is>
          <t>JÄMTLANDS LÄN</t>
        </is>
      </c>
      <c r="G912" t="inlineStr">
        <is>
          <t>HÄRJEDALEN</t>
        </is>
      </c>
      <c r="H912" t="inlineStr">
        <is>
          <t>Holmen skog AB</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57373-2021</t>
        </is>
      </c>
      <c r="B913" t="inlineStr">
        <is>
          <t>avverkningsanmälan</t>
        </is>
      </c>
      <c r="C913" t="inlineStr">
        <is>
          <t>Föryngringsavverkning</t>
        </is>
      </c>
      <c r="D913" s="1" t="n">
        <v>44483</v>
      </c>
      <c r="E913" s="1" t="n">
        <v>46223</v>
      </c>
      <c r="F913" t="inlineStr">
        <is>
          <t>JÄMTLANDS LÄN</t>
        </is>
      </c>
      <c r="G913" t="inlineStr">
        <is>
          <t>HÄRJEDALEN</t>
        </is>
      </c>
      <c r="I913" t="n">
        <v>10.8</v>
      </c>
      <c r="J913" t="n">
        <v>0</v>
      </c>
      <c r="K913" t="n">
        <v>0</v>
      </c>
      <c r="L913" t="n">
        <v>0</v>
      </c>
      <c r="M913" t="n">
        <v>0</v>
      </c>
      <c r="N913" t="n">
        <v>0</v>
      </c>
      <c r="O913" t="n">
        <v>0</v>
      </c>
      <c r="P913" t="n">
        <v>0</v>
      </c>
      <c r="Q913" t="n">
        <v>0</v>
      </c>
      <c r="R913" t="n">
        <v>0</v>
      </c>
      <c r="S913" t="n">
        <v>0</v>
      </c>
      <c r="T913" t="n">
        <v>0</v>
      </c>
      <c r="U913" s="2" t="inlineStr"/>
    </row>
    <row r="914" ht="15" customHeight="1">
      <c r="A914" t="inlineStr">
        <is>
          <t>A 4590-2025</t>
        </is>
      </c>
      <c r="B914" t="inlineStr">
        <is>
          <t>avverkningsanmälan</t>
        </is>
      </c>
      <c r="C914" t="inlineStr">
        <is>
          <t>Föryngringsavverkning</t>
        </is>
      </c>
      <c r="D914" s="1" t="n">
        <v>45687</v>
      </c>
      <c r="E914" s="1" t="n">
        <v>46223</v>
      </c>
      <c r="F914" t="inlineStr">
        <is>
          <t>JÄMTLANDS LÄN</t>
        </is>
      </c>
      <c r="G914" t="inlineStr">
        <is>
          <t>HÄRJEDALEN</t>
        </is>
      </c>
      <c r="I914" t="n">
        <v>3.6</v>
      </c>
      <c r="J914" t="n">
        <v>0</v>
      </c>
      <c r="K914" t="n">
        <v>0</v>
      </c>
      <c r="L914" t="n">
        <v>0</v>
      </c>
      <c r="M914" t="n">
        <v>0</v>
      </c>
      <c r="N914" t="n">
        <v>0</v>
      </c>
      <c r="O914" t="n">
        <v>0</v>
      </c>
      <c r="P914" t="n">
        <v>0</v>
      </c>
      <c r="Q914" t="n">
        <v>0</v>
      </c>
      <c r="R914" t="n">
        <v>0</v>
      </c>
      <c r="S914" t="n">
        <v>0</v>
      </c>
      <c r="T914" t="n">
        <v>0</v>
      </c>
      <c r="U914" s="2" t="inlineStr"/>
    </row>
    <row r="915" ht="15" customHeight="1">
      <c r="A915" t="inlineStr">
        <is>
          <t>A 29935-2024</t>
        </is>
      </c>
      <c r="B915" t="inlineStr">
        <is>
          <t>avverkningsanmälan</t>
        </is>
      </c>
      <c r="C915" t="inlineStr">
        <is>
          <t>Föryngringsavverkning</t>
        </is>
      </c>
      <c r="D915" s="1" t="n">
        <v>45488</v>
      </c>
      <c r="E915" s="1" t="n">
        <v>46223</v>
      </c>
      <c r="F915" t="inlineStr">
        <is>
          <t>JÄMTLANDS LÄN</t>
        </is>
      </c>
      <c r="G915" t="inlineStr">
        <is>
          <t>HÄRJEDALEN</t>
        </is>
      </c>
      <c r="I915" t="n">
        <v>6.8</v>
      </c>
      <c r="J915" t="n">
        <v>0</v>
      </c>
      <c r="K915" t="n">
        <v>0</v>
      </c>
      <c r="L915" t="n">
        <v>0</v>
      </c>
      <c r="M915" t="n">
        <v>0</v>
      </c>
      <c r="N915" t="n">
        <v>0</v>
      </c>
      <c r="O915" t="n">
        <v>0</v>
      </c>
      <c r="P915" t="n">
        <v>0</v>
      </c>
      <c r="Q915" t="n">
        <v>0</v>
      </c>
      <c r="R915" t="n">
        <v>0</v>
      </c>
      <c r="S915" t="n">
        <v>0</v>
      </c>
      <c r="T915" t="n">
        <v>0</v>
      </c>
      <c r="U915" s="2" t="inlineStr"/>
    </row>
    <row r="916" ht="15" customHeight="1">
      <c r="A916" t="inlineStr">
        <is>
          <t>A 48438-2022</t>
        </is>
      </c>
      <c r="B916" t="inlineStr">
        <is>
          <t>avverkningsanmälan</t>
        </is>
      </c>
      <c r="C916" t="inlineStr">
        <is>
          <t>Föryngringsavverkning</t>
        </is>
      </c>
      <c r="D916" s="1" t="n">
        <v>44858</v>
      </c>
      <c r="E916" s="1" t="n">
        <v>46223</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s="2" t="inlineStr"/>
    </row>
    <row r="917" ht="15" customHeight="1">
      <c r="A917" t="inlineStr">
        <is>
          <t>A 65150-2023</t>
        </is>
      </c>
      <c r="B917" t="inlineStr">
        <is>
          <t>avverkningsanmälan</t>
        </is>
      </c>
      <c r="C917" t="inlineStr">
        <is>
          <t>Föryngringsavverkning</t>
        </is>
      </c>
      <c r="D917" s="1" t="n">
        <v>45288</v>
      </c>
      <c r="E917" s="1" t="n">
        <v>46223</v>
      </c>
      <c r="F917" t="inlineStr">
        <is>
          <t>JÄMTLANDS LÄN</t>
        </is>
      </c>
      <c r="G917" t="inlineStr">
        <is>
          <t>HÄRJEDALEN</t>
        </is>
      </c>
      <c r="I917" t="n">
        <v>2.2</v>
      </c>
      <c r="J917" t="n">
        <v>0</v>
      </c>
      <c r="K917" t="n">
        <v>0</v>
      </c>
      <c r="L917" t="n">
        <v>0</v>
      </c>
      <c r="M917" t="n">
        <v>0</v>
      </c>
      <c r="N917" t="n">
        <v>0</v>
      </c>
      <c r="O917" t="n">
        <v>0</v>
      </c>
      <c r="P917" t="n">
        <v>0</v>
      </c>
      <c r="Q917" t="n">
        <v>0</v>
      </c>
      <c r="R917" t="n">
        <v>0</v>
      </c>
      <c r="S917" t="n">
        <v>0</v>
      </c>
      <c r="T917" t="n">
        <v>0</v>
      </c>
      <c r="U917" s="2" t="inlineStr"/>
    </row>
    <row r="918" ht="15" customHeight="1">
      <c r="A918" t="inlineStr">
        <is>
          <t>A 22027-2026</t>
        </is>
      </c>
      <c r="B918" t="inlineStr">
        <is>
          <t>avverkningsanmälan</t>
        </is>
      </c>
      <c r="C918" t="inlineStr">
        <is>
          <t>Föryngringsavverkning</t>
        </is>
      </c>
      <c r="D918" s="1" t="n">
        <v>46153</v>
      </c>
      <c r="E918" s="1" t="n">
        <v>46223</v>
      </c>
      <c r="F918" t="inlineStr">
        <is>
          <t>JÄMTLANDS LÄN</t>
        </is>
      </c>
      <c r="G918" t="inlineStr">
        <is>
          <t>HÄRJEDALEN</t>
        </is>
      </c>
      <c r="I918" t="n">
        <v>6.6</v>
      </c>
      <c r="J918" t="n">
        <v>0</v>
      </c>
      <c r="K918" t="n">
        <v>0</v>
      </c>
      <c r="L918" t="n">
        <v>0</v>
      </c>
      <c r="M918" t="n">
        <v>0</v>
      </c>
      <c r="N918" t="n">
        <v>0</v>
      </c>
      <c r="O918" t="n">
        <v>0</v>
      </c>
      <c r="P918" t="n">
        <v>0</v>
      </c>
      <c r="Q918" t="n">
        <v>0</v>
      </c>
      <c r="R918" t="n">
        <v>0</v>
      </c>
      <c r="S918" t="n">
        <v>0</v>
      </c>
      <c r="T918" t="n">
        <v>0</v>
      </c>
      <c r="U918" s="2" t="inlineStr"/>
    </row>
    <row r="919" ht="15" customHeight="1">
      <c r="A919" t="inlineStr">
        <is>
          <t>A 31816-2024</t>
        </is>
      </c>
      <c r="B919" t="inlineStr">
        <is>
          <t>avverkningsanmälan</t>
        </is>
      </c>
      <c r="C919" t="inlineStr">
        <is>
          <t>Föryngringsavverkning</t>
        </is>
      </c>
      <c r="D919" s="1" t="n">
        <v>45509</v>
      </c>
      <c r="E919" s="1" t="n">
        <v>46223</v>
      </c>
      <c r="F919" t="inlineStr">
        <is>
          <t>JÄMTLANDS LÄN</t>
        </is>
      </c>
      <c r="G919" t="inlineStr">
        <is>
          <t>HÄRJEDALEN</t>
        </is>
      </c>
      <c r="H919" t="inlineStr">
        <is>
          <t>Bergvik skog väst AB</t>
        </is>
      </c>
      <c r="I919" t="n">
        <v>3.7</v>
      </c>
      <c r="J919" t="n">
        <v>0</v>
      </c>
      <c r="K919" t="n">
        <v>0</v>
      </c>
      <c r="L919" t="n">
        <v>0</v>
      </c>
      <c r="M919" t="n">
        <v>0</v>
      </c>
      <c r="N919" t="n">
        <v>0</v>
      </c>
      <c r="O919" t="n">
        <v>0</v>
      </c>
      <c r="P919" t="n">
        <v>0</v>
      </c>
      <c r="Q919" t="n">
        <v>0</v>
      </c>
      <c r="R919" t="n">
        <v>0</v>
      </c>
      <c r="S919" t="n">
        <v>0</v>
      </c>
      <c r="T919" t="n">
        <v>0</v>
      </c>
      <c r="U919" s="2" t="inlineStr"/>
    </row>
    <row r="920" ht="15" customHeight="1">
      <c r="A920" t="inlineStr">
        <is>
          <t>A 22381-2026</t>
        </is>
      </c>
      <c r="B920" t="inlineStr">
        <is>
          <t>avverkningsanmälan</t>
        </is>
      </c>
      <c r="C920" t="inlineStr">
        <is>
          <t>Föryngringsavverkning</t>
        </is>
      </c>
      <c r="D920" s="1" t="n">
        <v>46154</v>
      </c>
      <c r="E920" s="1" t="n">
        <v>46223</v>
      </c>
      <c r="F920" t="inlineStr">
        <is>
          <t>JÄMTLANDS LÄN</t>
        </is>
      </c>
      <c r="G920" t="inlineStr">
        <is>
          <t>HÄRJEDALEN</t>
        </is>
      </c>
      <c r="H920" t="inlineStr">
        <is>
          <t>Holmen skog AB</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22387-2026</t>
        </is>
      </c>
      <c r="B921" t="inlineStr">
        <is>
          <t>avverkningsanmälan</t>
        </is>
      </c>
      <c r="C921" t="inlineStr">
        <is>
          <t>Föryngringsavverkning</t>
        </is>
      </c>
      <c r="D921" s="1" t="n">
        <v>46154</v>
      </c>
      <c r="E921" s="1" t="n">
        <v>46223</v>
      </c>
      <c r="F921" t="inlineStr">
        <is>
          <t>JÄMTLANDS LÄN</t>
        </is>
      </c>
      <c r="G921" t="inlineStr">
        <is>
          <t>HÄRJEDALEN</t>
        </is>
      </c>
      <c r="H921" t="inlineStr">
        <is>
          <t>Holmen skog AB</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22334-2026</t>
        </is>
      </c>
      <c r="B922" t="inlineStr">
        <is>
          <t>avverkningsanmälan</t>
        </is>
      </c>
      <c r="C922" t="inlineStr">
        <is>
          <t>Avverkning för att bevara och utveckla /försöksver</t>
        </is>
      </c>
      <c r="D922" s="1" t="n">
        <v>46154</v>
      </c>
      <c r="E922" s="1" t="n">
        <v>46223</v>
      </c>
      <c r="F922" t="inlineStr">
        <is>
          <t>JÄMTLANDS LÄN</t>
        </is>
      </c>
      <c r="G922" t="inlineStr">
        <is>
          <t>HÄRJEDALEN</t>
        </is>
      </c>
      <c r="H922" t="inlineStr">
        <is>
          <t>Holmen skog AB</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22338-2026</t>
        </is>
      </c>
      <c r="B923" t="inlineStr">
        <is>
          <t>avverkningsanmälan</t>
        </is>
      </c>
      <c r="C923" t="inlineStr">
        <is>
          <t>Föryngringsavverkning</t>
        </is>
      </c>
      <c r="D923" s="1" t="n">
        <v>46154</v>
      </c>
      <c r="E923" s="1" t="n">
        <v>46223</v>
      </c>
      <c r="F923" t="inlineStr">
        <is>
          <t>JÄMTLANDS LÄN</t>
        </is>
      </c>
      <c r="G923" t="inlineStr">
        <is>
          <t>HÄRJEDALEN</t>
        </is>
      </c>
      <c r="H923" t="inlineStr">
        <is>
          <t>Holmen skog AB</t>
        </is>
      </c>
      <c r="I923" t="n">
        <v>3.2</v>
      </c>
      <c r="J923" t="n">
        <v>0</v>
      </c>
      <c r="K923" t="n">
        <v>0</v>
      </c>
      <c r="L923" t="n">
        <v>0</v>
      </c>
      <c r="M923" t="n">
        <v>0</v>
      </c>
      <c r="N923" t="n">
        <v>0</v>
      </c>
      <c r="O923" t="n">
        <v>0</v>
      </c>
      <c r="P923" t="n">
        <v>0</v>
      </c>
      <c r="Q923" t="n">
        <v>0</v>
      </c>
      <c r="R923" t="n">
        <v>0</v>
      </c>
      <c r="S923" t="n">
        <v>0</v>
      </c>
      <c r="T923" t="n">
        <v>0</v>
      </c>
      <c r="U923" s="2" t="inlineStr"/>
    </row>
    <row r="924" ht="15" customHeight="1">
      <c r="A924" t="inlineStr">
        <is>
          <t>A 19105-2025</t>
        </is>
      </c>
      <c r="B924" t="inlineStr">
        <is>
          <t>avverkningsanmälan</t>
        </is>
      </c>
      <c r="C924" t="inlineStr">
        <is>
          <t>Föryngringsavverkning</t>
        </is>
      </c>
      <c r="D924" s="1" t="n">
        <v>45768</v>
      </c>
      <c r="E924" s="1" t="n">
        <v>46223</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22346-2026</t>
        </is>
      </c>
      <c r="B925" t="inlineStr">
        <is>
          <t>avverkningsanmälan</t>
        </is>
      </c>
      <c r="C925" t="inlineStr">
        <is>
          <t>Föryngringsavverkning</t>
        </is>
      </c>
      <c r="D925" s="1" t="n">
        <v>46154</v>
      </c>
      <c r="E925" s="1" t="n">
        <v>46223</v>
      </c>
      <c r="F925" t="inlineStr">
        <is>
          <t>JÄMTLANDS LÄN</t>
        </is>
      </c>
      <c r="G925" t="inlineStr">
        <is>
          <t>HÄRJEDALEN</t>
        </is>
      </c>
      <c r="H925" t="inlineStr">
        <is>
          <t>Holmen skog AB</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28127-2026</t>
        </is>
      </c>
      <c r="B926" t="inlineStr">
        <is>
          <t>avverkningsanmälan</t>
        </is>
      </c>
      <c r="C926" t="inlineStr">
        <is>
          <t>Föryngringsavverkning</t>
        </is>
      </c>
      <c r="D926" s="1" t="n">
        <v>46195</v>
      </c>
      <c r="E926" s="1" t="n">
        <v>46223</v>
      </c>
      <c r="F926" t="inlineStr">
        <is>
          <t>JÄMTLANDS LÄN</t>
        </is>
      </c>
      <c r="G926" t="inlineStr">
        <is>
          <t>HÄRJEDALEN</t>
        </is>
      </c>
      <c r="H926" t="inlineStr">
        <is>
          <t>SCA</t>
        </is>
      </c>
      <c r="I926" t="n">
        <v>6.9</v>
      </c>
      <c r="J926" t="n">
        <v>0</v>
      </c>
      <c r="K926" t="n">
        <v>0</v>
      </c>
      <c r="L926" t="n">
        <v>0</v>
      </c>
      <c r="M926" t="n">
        <v>0</v>
      </c>
      <c r="N926" t="n">
        <v>0</v>
      </c>
      <c r="O926" t="n">
        <v>0</v>
      </c>
      <c r="P926" t="n">
        <v>0</v>
      </c>
      <c r="Q926" t="n">
        <v>0</v>
      </c>
      <c r="R926" t="n">
        <v>0</v>
      </c>
      <c r="S926" t="n">
        <v>0</v>
      </c>
      <c r="T926" t="n">
        <v>0</v>
      </c>
      <c r="U926" s="2" t="inlineStr"/>
    </row>
    <row r="927" ht="15" customHeight="1">
      <c r="A927" t="inlineStr">
        <is>
          <t>A 6001-2023</t>
        </is>
      </c>
      <c r="B927" t="inlineStr">
        <is>
          <t>avverkningsanmälan</t>
        </is>
      </c>
      <c r="C927" t="inlineStr">
        <is>
          <t>Föryngringsavverkning</t>
        </is>
      </c>
      <c r="D927" s="1" t="n">
        <v>44964</v>
      </c>
      <c r="E927" s="1" t="n">
        <v>46223</v>
      </c>
      <c r="F927" t="inlineStr">
        <is>
          <t>JÄMTLANDS LÄN</t>
        </is>
      </c>
      <c r="G927" t="inlineStr">
        <is>
          <t>HÄRJEDALEN</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51223-2024</t>
        </is>
      </c>
      <c r="B928" t="inlineStr">
        <is>
          <t>avverkningsanmälan</t>
        </is>
      </c>
      <c r="C928" t="inlineStr">
        <is>
          <t>Föryngringsavverkning</t>
        </is>
      </c>
      <c r="D928" s="1" t="n">
        <v>45603</v>
      </c>
      <c r="E928" s="1" t="n">
        <v>46223</v>
      </c>
      <c r="F928" t="inlineStr">
        <is>
          <t>JÄMTLANDS LÄN</t>
        </is>
      </c>
      <c r="G928" t="inlineStr">
        <is>
          <t>HÄRJEDALEN</t>
        </is>
      </c>
      <c r="H928" t="inlineStr">
        <is>
          <t>Holmen skog AB</t>
        </is>
      </c>
      <c r="I928" t="n">
        <v>6.1</v>
      </c>
      <c r="J928" t="n">
        <v>0</v>
      </c>
      <c r="K928" t="n">
        <v>0</v>
      </c>
      <c r="L928" t="n">
        <v>0</v>
      </c>
      <c r="M928" t="n">
        <v>0</v>
      </c>
      <c r="N928" t="n">
        <v>0</v>
      </c>
      <c r="O928" t="n">
        <v>0</v>
      </c>
      <c r="P928" t="n">
        <v>0</v>
      </c>
      <c r="Q928" t="n">
        <v>0</v>
      </c>
      <c r="R928" t="n">
        <v>0</v>
      </c>
      <c r="S928" t="n">
        <v>0</v>
      </c>
      <c r="T928" t="n">
        <v>0</v>
      </c>
      <c r="U928" s="2" t="inlineStr"/>
    </row>
    <row r="929" ht="15" customHeight="1">
      <c r="A929" t="inlineStr">
        <is>
          <t>A 12929-2024</t>
        </is>
      </c>
      <c r="B929" t="inlineStr">
        <is>
          <t>avverkningsanmälan</t>
        </is>
      </c>
      <c r="C929" t="inlineStr">
        <is>
          <t>Föryngringsavverkning</t>
        </is>
      </c>
      <c r="D929" s="1" t="n">
        <v>45385</v>
      </c>
      <c r="E929" s="1" t="n">
        <v>46223</v>
      </c>
      <c r="F929" t="inlineStr">
        <is>
          <t>JÄMTLANDS LÄN</t>
        </is>
      </c>
      <c r="G929" t="inlineStr">
        <is>
          <t>HÄRJEDALEN</t>
        </is>
      </c>
      <c r="I929" t="n">
        <v>4.2</v>
      </c>
      <c r="J929" t="n">
        <v>0</v>
      </c>
      <c r="K929" t="n">
        <v>0</v>
      </c>
      <c r="L929" t="n">
        <v>0</v>
      </c>
      <c r="M929" t="n">
        <v>0</v>
      </c>
      <c r="N929" t="n">
        <v>0</v>
      </c>
      <c r="O929" t="n">
        <v>0</v>
      </c>
      <c r="P929" t="n">
        <v>0</v>
      </c>
      <c r="Q929" t="n">
        <v>0</v>
      </c>
      <c r="R929" t="n">
        <v>0</v>
      </c>
      <c r="S929" t="n">
        <v>0</v>
      </c>
      <c r="T929" t="n">
        <v>0</v>
      </c>
      <c r="U929" s="2" t="inlineStr"/>
    </row>
    <row r="930" ht="15" customHeight="1">
      <c r="A930" t="inlineStr">
        <is>
          <t>A 51191-2024</t>
        </is>
      </c>
      <c r="B930" t="inlineStr">
        <is>
          <t>avverkningsanmälan</t>
        </is>
      </c>
      <c r="C930" t="inlineStr">
        <is>
          <t>Föryngringsavverkning</t>
        </is>
      </c>
      <c r="D930" s="1" t="n">
        <v>45603</v>
      </c>
      <c r="E930" s="1" t="n">
        <v>46223</v>
      </c>
      <c r="F930" t="inlineStr">
        <is>
          <t>JÄMTLANDS LÄN</t>
        </is>
      </c>
      <c r="G930" t="inlineStr">
        <is>
          <t>HÄRJEDALEN</t>
        </is>
      </c>
      <c r="H930" t="inlineStr">
        <is>
          <t>Holmen skog AB</t>
        </is>
      </c>
      <c r="I930" t="n">
        <v>9.1</v>
      </c>
      <c r="J930" t="n">
        <v>0</v>
      </c>
      <c r="K930" t="n">
        <v>0</v>
      </c>
      <c r="L930" t="n">
        <v>0</v>
      </c>
      <c r="M930" t="n">
        <v>0</v>
      </c>
      <c r="N930" t="n">
        <v>0</v>
      </c>
      <c r="O930" t="n">
        <v>0</v>
      </c>
      <c r="P930" t="n">
        <v>0</v>
      </c>
      <c r="Q930" t="n">
        <v>0</v>
      </c>
      <c r="R930" t="n">
        <v>0</v>
      </c>
      <c r="S930" t="n">
        <v>0</v>
      </c>
      <c r="T930" t="n">
        <v>0</v>
      </c>
      <c r="U930" s="2" t="inlineStr"/>
    </row>
    <row r="931" ht="15" customHeight="1">
      <c r="A931" t="inlineStr">
        <is>
          <t>A 10014-2023</t>
        </is>
      </c>
      <c r="B931" t="inlineStr">
        <is>
          <t>avverkningsanmälan</t>
        </is>
      </c>
      <c r="C931" t="inlineStr">
        <is>
          <t>Föryngringsavverkning</t>
        </is>
      </c>
      <c r="D931" s="1" t="n">
        <v>44985</v>
      </c>
      <c r="E931" s="1" t="n">
        <v>46223</v>
      </c>
      <c r="F931" t="inlineStr">
        <is>
          <t>JÄMTLANDS LÄN</t>
        </is>
      </c>
      <c r="G931" t="inlineStr">
        <is>
          <t>HÄRJEDALEN</t>
        </is>
      </c>
      <c r="H931" t="inlineStr">
        <is>
          <t>Holmen skog AB</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19863-2024</t>
        </is>
      </c>
      <c r="B932" t="inlineStr">
        <is>
          <t>avverkningsanmälan</t>
        </is>
      </c>
      <c r="C932" t="inlineStr">
        <is>
          <t>Avverkning för annat ändamål</t>
        </is>
      </c>
      <c r="D932" s="1" t="n">
        <v>45433</v>
      </c>
      <c r="E932" s="1" t="n">
        <v>46223</v>
      </c>
      <c r="F932" t="inlineStr">
        <is>
          <t>JÄMTLANDS LÄN</t>
        </is>
      </c>
      <c r="G932" t="inlineStr">
        <is>
          <t>HÄRJEDALEN</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22896-2026</t>
        </is>
      </c>
      <c r="B933" t="inlineStr">
        <is>
          <t>avverkningsanmälan</t>
        </is>
      </c>
      <c r="C933" t="inlineStr">
        <is>
          <t>Föryngringsavverkning</t>
        </is>
      </c>
      <c r="D933" s="1" t="n">
        <v>46160</v>
      </c>
      <c r="E933" s="1" t="n">
        <v>46223</v>
      </c>
      <c r="F933" t="inlineStr">
        <is>
          <t>JÄMTLANDS LÄN</t>
        </is>
      </c>
      <c r="G933" t="inlineStr">
        <is>
          <t>HÄRJEDALEN</t>
        </is>
      </c>
      <c r="I933" t="n">
        <v>14.4</v>
      </c>
      <c r="J933" t="n">
        <v>0</v>
      </c>
      <c r="K933" t="n">
        <v>0</v>
      </c>
      <c r="L933" t="n">
        <v>0</v>
      </c>
      <c r="M933" t="n">
        <v>0</v>
      </c>
      <c r="N933" t="n">
        <v>0</v>
      </c>
      <c r="O933" t="n">
        <v>0</v>
      </c>
      <c r="P933" t="n">
        <v>0</v>
      </c>
      <c r="Q933" t="n">
        <v>0</v>
      </c>
      <c r="R933" t="n">
        <v>0</v>
      </c>
      <c r="S933" t="n">
        <v>0</v>
      </c>
      <c r="T933" t="n">
        <v>0</v>
      </c>
      <c r="U933" s="2" t="inlineStr"/>
    </row>
    <row r="934" ht="15" customHeight="1">
      <c r="A934" t="inlineStr">
        <is>
          <t>A 39158-2023</t>
        </is>
      </c>
      <c r="B934" t="inlineStr">
        <is>
          <t>avverkningsanmälan</t>
        </is>
      </c>
      <c r="C934" t="inlineStr">
        <is>
          <t>Föryngringsavverkning</t>
        </is>
      </c>
      <c r="D934" s="1" t="n">
        <v>45166</v>
      </c>
      <c r="E934" s="1" t="n">
        <v>46223</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10353-2023</t>
        </is>
      </c>
      <c r="B935" t="inlineStr">
        <is>
          <t>avverkningsanmälan</t>
        </is>
      </c>
      <c r="C935" t="inlineStr">
        <is>
          <t>Föryngringsavverkning</t>
        </is>
      </c>
      <c r="D935" s="1" t="n">
        <v>44987</v>
      </c>
      <c r="E935" s="1" t="n">
        <v>46223</v>
      </c>
      <c r="F935" t="inlineStr">
        <is>
          <t>JÄMTLANDS LÄN</t>
        </is>
      </c>
      <c r="G935" t="inlineStr">
        <is>
          <t>HÄRJEDALEN</t>
        </is>
      </c>
      <c r="H935" t="inlineStr">
        <is>
          <t>Holmen skog AB</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29781-2026</t>
        </is>
      </c>
      <c r="B936" t="inlineStr">
        <is>
          <t>avverkningsanmälan</t>
        </is>
      </c>
      <c r="C936" t="inlineStr">
        <is>
          <t>Föryngringsavverkning</t>
        </is>
      </c>
      <c r="D936" s="1" t="n">
        <v>46204</v>
      </c>
      <c r="E936" s="1" t="n">
        <v>46223</v>
      </c>
      <c r="F936" t="inlineStr">
        <is>
          <t>JÄMTLANDS LÄN</t>
        </is>
      </c>
      <c r="G936" t="inlineStr">
        <is>
          <t>HÄRJEDALEN</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25737-2026</t>
        </is>
      </c>
      <c r="B937" t="inlineStr">
        <is>
          <t>avverkningsanmälan</t>
        </is>
      </c>
      <c r="C937" t="inlineStr">
        <is>
          <t>Föryngringsavverkning</t>
        </is>
      </c>
      <c r="D937" s="1" t="n">
        <v>46178</v>
      </c>
      <c r="E937" s="1" t="n">
        <v>46223</v>
      </c>
      <c r="F937" t="inlineStr">
        <is>
          <t>JÄMTLANDS LÄN</t>
        </is>
      </c>
      <c r="G937" t="inlineStr">
        <is>
          <t>HÄRJEDALEN</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29764-2026</t>
        </is>
      </c>
      <c r="B938" t="inlineStr">
        <is>
          <t>avverkningsanmälan</t>
        </is>
      </c>
      <c r="C938" t="inlineStr">
        <is>
          <t>Föryngringsavverkning</t>
        </is>
      </c>
      <c r="D938" s="1" t="n">
        <v>46204</v>
      </c>
      <c r="E938" s="1" t="n">
        <v>46223</v>
      </c>
      <c r="F938" t="inlineStr">
        <is>
          <t>JÄMTLANDS LÄN</t>
        </is>
      </c>
      <c r="G938" t="inlineStr">
        <is>
          <t>HÄRJEDALEN</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28408-2024</t>
        </is>
      </c>
      <c r="B939" t="inlineStr">
        <is>
          <t>avverkningsanmälan</t>
        </is>
      </c>
      <c r="C939" t="inlineStr">
        <is>
          <t>Föryngringsavverkning</t>
        </is>
      </c>
      <c r="D939" s="1" t="n">
        <v>45477</v>
      </c>
      <c r="E939" s="1" t="n">
        <v>46223</v>
      </c>
      <c r="F939" t="inlineStr">
        <is>
          <t>JÄMTLANDS LÄN</t>
        </is>
      </c>
      <c r="G939" t="inlineStr">
        <is>
          <t>HÄRJEDALEN</t>
        </is>
      </c>
      <c r="H939" t="inlineStr">
        <is>
          <t>Holmen skog AB</t>
        </is>
      </c>
      <c r="I939" t="n">
        <v>8.699999999999999</v>
      </c>
      <c r="J939" t="n">
        <v>0</v>
      </c>
      <c r="K939" t="n">
        <v>0</v>
      </c>
      <c r="L939" t="n">
        <v>0</v>
      </c>
      <c r="M939" t="n">
        <v>0</v>
      </c>
      <c r="N939" t="n">
        <v>0</v>
      </c>
      <c r="O939" t="n">
        <v>0</v>
      </c>
      <c r="P939" t="n">
        <v>0</v>
      </c>
      <c r="Q939" t="n">
        <v>0</v>
      </c>
      <c r="R939" t="n">
        <v>0</v>
      </c>
      <c r="S939" t="n">
        <v>0</v>
      </c>
      <c r="T939" t="n">
        <v>0</v>
      </c>
      <c r="U939" s="2" t="inlineStr"/>
    </row>
    <row r="940" ht="15" customHeight="1">
      <c r="A940" t="inlineStr">
        <is>
          <t>A 43574-2024</t>
        </is>
      </c>
      <c r="B940" t="inlineStr">
        <is>
          <t>avverkningsanmälan</t>
        </is>
      </c>
      <c r="C940" t="inlineStr">
        <is>
          <t>Föryngringsavverkning</t>
        </is>
      </c>
      <c r="D940" s="1" t="n">
        <v>45569</v>
      </c>
      <c r="E940" s="1" t="n">
        <v>46223</v>
      </c>
      <c r="F940" t="inlineStr">
        <is>
          <t>JÄMTLANDS LÄN</t>
        </is>
      </c>
      <c r="G940" t="inlineStr">
        <is>
          <t>HÄRJEDALEN</t>
        </is>
      </c>
      <c r="H940" t="inlineStr">
        <is>
          <t>Bergvik skog väst AB</t>
        </is>
      </c>
      <c r="I940" t="n">
        <v>254.2</v>
      </c>
      <c r="J940" t="n">
        <v>0</v>
      </c>
      <c r="K940" t="n">
        <v>0</v>
      </c>
      <c r="L940" t="n">
        <v>0</v>
      </c>
      <c r="M940" t="n">
        <v>0</v>
      </c>
      <c r="N940" t="n">
        <v>0</v>
      </c>
      <c r="O940" t="n">
        <v>0</v>
      </c>
      <c r="P940" t="n">
        <v>0</v>
      </c>
      <c r="Q940" t="n">
        <v>0</v>
      </c>
      <c r="R940" t="n">
        <v>0</v>
      </c>
      <c r="S940" t="n">
        <v>0</v>
      </c>
      <c r="T940" t="n">
        <v>0</v>
      </c>
      <c r="U940" s="2" t="inlineStr"/>
    </row>
    <row r="941" ht="15" customHeight="1">
      <c r="A941" t="inlineStr">
        <is>
          <t>A 43586-2024</t>
        </is>
      </c>
      <c r="B941" t="inlineStr">
        <is>
          <t>avverkningsanmälan</t>
        </is>
      </c>
      <c r="C941" t="inlineStr">
        <is>
          <t>Föryngringsavverkning</t>
        </is>
      </c>
      <c r="D941" s="1" t="n">
        <v>45569</v>
      </c>
      <c r="E941" s="1" t="n">
        <v>46223</v>
      </c>
      <c r="F941" t="inlineStr">
        <is>
          <t>JÄMTLANDS LÄN</t>
        </is>
      </c>
      <c r="G941" t="inlineStr">
        <is>
          <t>HÄRJEDALEN</t>
        </is>
      </c>
      <c r="H941" t="inlineStr">
        <is>
          <t>Bergvik skog väst AB</t>
        </is>
      </c>
      <c r="I941" t="n">
        <v>96.2</v>
      </c>
      <c r="J941" t="n">
        <v>0</v>
      </c>
      <c r="K941" t="n">
        <v>0</v>
      </c>
      <c r="L941" t="n">
        <v>0</v>
      </c>
      <c r="M941" t="n">
        <v>0</v>
      </c>
      <c r="N941" t="n">
        <v>0</v>
      </c>
      <c r="O941" t="n">
        <v>0</v>
      </c>
      <c r="P941" t="n">
        <v>0</v>
      </c>
      <c r="Q941" t="n">
        <v>0</v>
      </c>
      <c r="R941" t="n">
        <v>0</v>
      </c>
      <c r="S941" t="n">
        <v>0</v>
      </c>
      <c r="T941" t="n">
        <v>0</v>
      </c>
      <c r="U941" s="2" t="inlineStr"/>
    </row>
    <row r="942" ht="15" customHeight="1">
      <c r="A942" t="inlineStr">
        <is>
          <t>A 43607-2024</t>
        </is>
      </c>
      <c r="B942" t="inlineStr">
        <is>
          <t>avverkningsanmälan</t>
        </is>
      </c>
      <c r="C942" t="inlineStr">
        <is>
          <t>Föryngringsavverkning</t>
        </is>
      </c>
      <c r="D942" s="1" t="n">
        <v>45569</v>
      </c>
      <c r="E942" s="1" t="n">
        <v>46223</v>
      </c>
      <c r="F942" t="inlineStr">
        <is>
          <t>JÄMTLANDS LÄN</t>
        </is>
      </c>
      <c r="G942" t="inlineStr">
        <is>
          <t>HÄRJEDALEN</t>
        </is>
      </c>
      <c r="H942" t="inlineStr">
        <is>
          <t>Bergvik skog väst AB</t>
        </is>
      </c>
      <c r="I942" t="n">
        <v>189.8</v>
      </c>
      <c r="J942" t="n">
        <v>0</v>
      </c>
      <c r="K942" t="n">
        <v>0</v>
      </c>
      <c r="L942" t="n">
        <v>0</v>
      </c>
      <c r="M942" t="n">
        <v>0</v>
      </c>
      <c r="N942" t="n">
        <v>0</v>
      </c>
      <c r="O942" t="n">
        <v>0</v>
      </c>
      <c r="P942" t="n">
        <v>0</v>
      </c>
      <c r="Q942" t="n">
        <v>0</v>
      </c>
      <c r="R942" t="n">
        <v>0</v>
      </c>
      <c r="S942" t="n">
        <v>0</v>
      </c>
      <c r="T942" t="n">
        <v>0</v>
      </c>
      <c r="U942" s="2" t="inlineStr"/>
    </row>
    <row r="943" ht="15" customHeight="1">
      <c r="A943" t="inlineStr">
        <is>
          <t>A 25914-2026</t>
        </is>
      </c>
      <c r="B943" t="inlineStr">
        <is>
          <t>avverkningsanmälan</t>
        </is>
      </c>
      <c r="C943" t="inlineStr">
        <is>
          <t>Föryngringsavverkning</t>
        </is>
      </c>
      <c r="D943" s="1" t="n">
        <v>46178</v>
      </c>
      <c r="E943" s="1" t="n">
        <v>46223</v>
      </c>
      <c r="F943" t="inlineStr">
        <is>
          <t>JÄMTLANDS LÄN</t>
        </is>
      </c>
      <c r="G943" t="inlineStr">
        <is>
          <t>HÄRJEDALEN</t>
        </is>
      </c>
      <c r="I943" t="n">
        <v>12.4</v>
      </c>
      <c r="J943" t="n">
        <v>0</v>
      </c>
      <c r="K943" t="n">
        <v>0</v>
      </c>
      <c r="L943" t="n">
        <v>0</v>
      </c>
      <c r="M943" t="n">
        <v>0</v>
      </c>
      <c r="N943" t="n">
        <v>0</v>
      </c>
      <c r="O943" t="n">
        <v>0</v>
      </c>
      <c r="P943" t="n">
        <v>0</v>
      </c>
      <c r="Q943" t="n">
        <v>0</v>
      </c>
      <c r="R943" t="n">
        <v>0</v>
      </c>
      <c r="S943" t="n">
        <v>0</v>
      </c>
      <c r="T943" t="n">
        <v>0</v>
      </c>
      <c r="U943" s="2" t="inlineStr"/>
    </row>
    <row r="944" ht="15" customHeight="1">
      <c r="A944" t="inlineStr">
        <is>
          <t>A 25915-2026</t>
        </is>
      </c>
      <c r="B944" t="inlineStr">
        <is>
          <t>avverkningsanmälan</t>
        </is>
      </c>
      <c r="C944" t="inlineStr">
        <is>
          <t>Föryngringsavverkning</t>
        </is>
      </c>
      <c r="D944" s="1" t="n">
        <v>46178</v>
      </c>
      <c r="E944" s="1" t="n">
        <v>46223</v>
      </c>
      <c r="F944" t="inlineStr">
        <is>
          <t>JÄMTLANDS LÄN</t>
        </is>
      </c>
      <c r="G944" t="inlineStr">
        <is>
          <t>HÄRJEDALEN</t>
        </is>
      </c>
      <c r="I944" t="n">
        <v>1.6</v>
      </c>
      <c r="J944" t="n">
        <v>0</v>
      </c>
      <c r="K944" t="n">
        <v>0</v>
      </c>
      <c r="L944" t="n">
        <v>0</v>
      </c>
      <c r="M944" t="n">
        <v>0</v>
      </c>
      <c r="N944" t="n">
        <v>0</v>
      </c>
      <c r="O944" t="n">
        <v>0</v>
      </c>
      <c r="P944" t="n">
        <v>0</v>
      </c>
      <c r="Q944" t="n">
        <v>0</v>
      </c>
      <c r="R944" t="n">
        <v>0</v>
      </c>
      <c r="S944" t="n">
        <v>0</v>
      </c>
      <c r="T944" t="n">
        <v>0</v>
      </c>
      <c r="U944" s="2" t="inlineStr"/>
    </row>
    <row r="945" ht="15" customHeight="1">
      <c r="A945" t="inlineStr">
        <is>
          <t>A 56251-2024</t>
        </is>
      </c>
      <c r="B945" t="inlineStr">
        <is>
          <t>avverkningsanmälan</t>
        </is>
      </c>
      <c r="C945" t="inlineStr">
        <is>
          <t>Föryngringsavverkning</t>
        </is>
      </c>
      <c r="D945" s="1" t="n">
        <v>45624</v>
      </c>
      <c r="E945" s="1" t="n">
        <v>46223</v>
      </c>
      <c r="F945" t="inlineStr">
        <is>
          <t>JÄMTLANDS LÄN</t>
        </is>
      </c>
      <c r="G945" t="inlineStr">
        <is>
          <t>HÄRJEDALEN</t>
        </is>
      </c>
      <c r="H945" t="inlineStr">
        <is>
          <t>Holmen skog AB</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18646-2023</t>
        </is>
      </c>
      <c r="B946" t="inlineStr">
        <is>
          <t>avverkningsanmälan</t>
        </is>
      </c>
      <c r="C946" t="inlineStr">
        <is>
          <t>Föryngringsavverkning</t>
        </is>
      </c>
      <c r="D946" s="1" t="n">
        <v>45041</v>
      </c>
      <c r="E946" s="1" t="n">
        <v>46223</v>
      </c>
      <c r="F946" t="inlineStr">
        <is>
          <t>JÄMTLANDS LÄN</t>
        </is>
      </c>
      <c r="G946" t="inlineStr">
        <is>
          <t>HÄRJEDALEN</t>
        </is>
      </c>
      <c r="I946" t="n">
        <v>0.2</v>
      </c>
      <c r="J946" t="n">
        <v>0</v>
      </c>
      <c r="K946" t="n">
        <v>0</v>
      </c>
      <c r="L946" t="n">
        <v>0</v>
      </c>
      <c r="M946" t="n">
        <v>0</v>
      </c>
      <c r="N946" t="n">
        <v>0</v>
      </c>
      <c r="O946" t="n">
        <v>0</v>
      </c>
      <c r="P946" t="n">
        <v>0</v>
      </c>
      <c r="Q946" t="n">
        <v>0</v>
      </c>
      <c r="R946" t="n">
        <v>0</v>
      </c>
      <c r="S946" t="n">
        <v>0</v>
      </c>
      <c r="T946" t="n">
        <v>0</v>
      </c>
      <c r="U946" s="2" t="inlineStr"/>
    </row>
    <row r="947" ht="15" customHeight="1">
      <c r="A947" t="inlineStr">
        <is>
          <t>A 18659-2023</t>
        </is>
      </c>
      <c r="B947" t="inlineStr">
        <is>
          <t>avverkningsanmälan</t>
        </is>
      </c>
      <c r="C947" t="inlineStr">
        <is>
          <t>Föryngringsavverkning</t>
        </is>
      </c>
      <c r="D947" s="1" t="n">
        <v>45041</v>
      </c>
      <c r="E947" s="1" t="n">
        <v>46223</v>
      </c>
      <c r="F947" t="inlineStr">
        <is>
          <t>JÄMTLANDS LÄN</t>
        </is>
      </c>
      <c r="G947" t="inlineStr">
        <is>
          <t>HÄRJEDALEN</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73051-2021</t>
        </is>
      </c>
      <c r="B948" t="inlineStr">
        <is>
          <t>avverkningsanmälan</t>
        </is>
      </c>
      <c r="C948" t="inlineStr">
        <is>
          <t>Föryngringsavverkning</t>
        </is>
      </c>
      <c r="D948" s="1" t="n">
        <v>44550</v>
      </c>
      <c r="E948" s="1" t="n">
        <v>46223</v>
      </c>
      <c r="F948" t="inlineStr">
        <is>
          <t>JÄMTLANDS LÄN</t>
        </is>
      </c>
      <c r="G948" t="inlineStr">
        <is>
          <t>HÄRJEDALEN</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37288-2025</t>
        </is>
      </c>
      <c r="B949" t="inlineStr">
        <is>
          <t>avverkningsanmälan</t>
        </is>
      </c>
      <c r="C949" t="inlineStr">
        <is>
          <t>Föryngringsavverkning</t>
        </is>
      </c>
      <c r="D949" s="1" t="n">
        <v>45876</v>
      </c>
      <c r="E949" s="1" t="n">
        <v>46223</v>
      </c>
      <c r="F949" t="inlineStr">
        <is>
          <t>JÄMTLANDS LÄN</t>
        </is>
      </c>
      <c r="G949" t="inlineStr">
        <is>
          <t>HÄRJEDALEN</t>
        </is>
      </c>
      <c r="H949" t="inlineStr">
        <is>
          <t>Bergvik skog väst AB</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37290-2025</t>
        </is>
      </c>
      <c r="B950" t="inlineStr">
        <is>
          <t>avverkningsanmälan</t>
        </is>
      </c>
      <c r="C950" t="inlineStr">
        <is>
          <t>Föryngringsavverkning</t>
        </is>
      </c>
      <c r="D950" s="1" t="n">
        <v>45876</v>
      </c>
      <c r="E950" s="1" t="n">
        <v>46223</v>
      </c>
      <c r="F950" t="inlineStr">
        <is>
          <t>JÄMTLANDS LÄN</t>
        </is>
      </c>
      <c r="G950" t="inlineStr">
        <is>
          <t>HÄRJEDALEN</t>
        </is>
      </c>
      <c r="H950" t="inlineStr">
        <is>
          <t>Bergvik skog väst AB</t>
        </is>
      </c>
      <c r="I950" t="n">
        <v>3.2</v>
      </c>
      <c r="J950" t="n">
        <v>0</v>
      </c>
      <c r="K950" t="n">
        <v>0</v>
      </c>
      <c r="L950" t="n">
        <v>0</v>
      </c>
      <c r="M950" t="n">
        <v>0</v>
      </c>
      <c r="N950" t="n">
        <v>0</v>
      </c>
      <c r="O950" t="n">
        <v>0</v>
      </c>
      <c r="P950" t="n">
        <v>0</v>
      </c>
      <c r="Q950" t="n">
        <v>0</v>
      </c>
      <c r="R950" t="n">
        <v>0</v>
      </c>
      <c r="S950" t="n">
        <v>0</v>
      </c>
      <c r="T950" t="n">
        <v>0</v>
      </c>
      <c r="U950" s="2" t="inlineStr"/>
    </row>
    <row r="951" ht="15" customHeight="1">
      <c r="A951" t="inlineStr">
        <is>
          <t>A 38820-2025</t>
        </is>
      </c>
      <c r="B951" t="inlineStr">
        <is>
          <t>avverkningsanmälan</t>
        </is>
      </c>
      <c r="C951" t="inlineStr">
        <is>
          <t>Föryngringsavverkning</t>
        </is>
      </c>
      <c r="D951" s="1" t="n">
        <v>45887</v>
      </c>
      <c r="E951" s="1" t="n">
        <v>46223</v>
      </c>
      <c r="F951" t="inlineStr">
        <is>
          <t>JÄMTLANDS LÄN</t>
        </is>
      </c>
      <c r="G951" t="inlineStr">
        <is>
          <t>HÄRJEDALEN</t>
        </is>
      </c>
      <c r="H951" t="inlineStr">
        <is>
          <t>Bergvik skog väst AB</t>
        </is>
      </c>
      <c r="I951" t="n">
        <v>8.300000000000001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29762-2026</t>
        </is>
      </c>
      <c r="B952" t="inlineStr">
        <is>
          <t>avverkningsanmälan</t>
        </is>
      </c>
      <c r="C952" t="inlineStr">
        <is>
          <t>Föryngringsavverkning</t>
        </is>
      </c>
      <c r="D952" s="1" t="n">
        <v>46204</v>
      </c>
      <c r="E952" s="1" t="n">
        <v>46223</v>
      </c>
      <c r="F952" t="inlineStr">
        <is>
          <t>JÄMTLANDS LÄN</t>
        </is>
      </c>
      <c r="G952" t="inlineStr">
        <is>
          <t>HÄRJEDALEN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23731-2022</t>
        </is>
      </c>
      <c r="B953" t="inlineStr">
        <is>
          <t>avverkningsanmälan</t>
        </is>
      </c>
      <c r="C953" t="inlineStr">
        <is>
          <t>Föryngringsavverkning</t>
        </is>
      </c>
      <c r="D953" s="1" t="n">
        <v>44722</v>
      </c>
      <c r="E953" s="1" t="n">
        <v>46223</v>
      </c>
      <c r="F953" t="inlineStr">
        <is>
          <t>JÄMTLANDS LÄN</t>
        </is>
      </c>
      <c r="G953" t="inlineStr">
        <is>
          <t>HÄRJEDALEN</t>
        </is>
      </c>
      <c r="I953" t="n">
        <v>15.6</v>
      </c>
      <c r="J953" t="n">
        <v>0</v>
      </c>
      <c r="K953" t="n">
        <v>0</v>
      </c>
      <c r="L953" t="n">
        <v>0</v>
      </c>
      <c r="M953" t="n">
        <v>0</v>
      </c>
      <c r="N953" t="n">
        <v>0</v>
      </c>
      <c r="O953" t="n">
        <v>0</v>
      </c>
      <c r="P953" t="n">
        <v>0</v>
      </c>
      <c r="Q953" t="n">
        <v>0</v>
      </c>
      <c r="R953" t="n">
        <v>0</v>
      </c>
      <c r="S953" t="n">
        <v>0</v>
      </c>
      <c r="T953" t="n">
        <v>0</v>
      </c>
      <c r="U953" s="2" t="inlineStr"/>
    </row>
    <row r="954" ht="15" customHeight="1">
      <c r="A954" t="inlineStr">
        <is>
          <t>A 44438-2025</t>
        </is>
      </c>
      <c r="B954" t="inlineStr">
        <is>
          <t>avverkningsanmälan</t>
        </is>
      </c>
      <c r="C954" t="inlineStr">
        <is>
          <t>Föryngringsavverkning</t>
        </is>
      </c>
      <c r="D954" s="1" t="n">
        <v>45916</v>
      </c>
      <c r="E954" s="1" t="n">
        <v>46223</v>
      </c>
      <c r="F954" t="inlineStr">
        <is>
          <t>JÄMTLANDS LÄN</t>
        </is>
      </c>
      <c r="G954" t="inlineStr">
        <is>
          <t>HÄRJEDALEN</t>
        </is>
      </c>
      <c r="H954" t="inlineStr">
        <is>
          <t>Bergvik skog väst AB</t>
        </is>
      </c>
      <c r="I954" t="n">
        <v>7.8</v>
      </c>
      <c r="J954" t="n">
        <v>0</v>
      </c>
      <c r="K954" t="n">
        <v>0</v>
      </c>
      <c r="L954" t="n">
        <v>0</v>
      </c>
      <c r="M954" t="n">
        <v>0</v>
      </c>
      <c r="N954" t="n">
        <v>0</v>
      </c>
      <c r="O954" t="n">
        <v>0</v>
      </c>
      <c r="P954" t="n">
        <v>0</v>
      </c>
      <c r="Q954" t="n">
        <v>0</v>
      </c>
      <c r="R954" t="n">
        <v>0</v>
      </c>
      <c r="S954" t="n">
        <v>0</v>
      </c>
      <c r="T954" t="n">
        <v>0</v>
      </c>
      <c r="U954" s="2" t="inlineStr"/>
    </row>
    <row r="955" ht="15" customHeight="1">
      <c r="A955" t="inlineStr">
        <is>
          <t>A 12449-2025</t>
        </is>
      </c>
      <c r="B955" t="inlineStr">
        <is>
          <t>avverkningsanmälan</t>
        </is>
      </c>
      <c r="C955" t="inlineStr">
        <is>
          <t>Föryngringsavverkning</t>
        </is>
      </c>
      <c r="D955" s="1" t="n">
        <v>45730</v>
      </c>
      <c r="E955" s="1" t="n">
        <v>46223</v>
      </c>
      <c r="F955" t="inlineStr">
        <is>
          <t>JÄMTLANDS LÄN</t>
        </is>
      </c>
      <c r="G955" t="inlineStr">
        <is>
          <t>HÄRJEDALEN</t>
        </is>
      </c>
      <c r="I955" t="n">
        <v>10.7</v>
      </c>
      <c r="J955" t="n">
        <v>0</v>
      </c>
      <c r="K955" t="n">
        <v>0</v>
      </c>
      <c r="L955" t="n">
        <v>0</v>
      </c>
      <c r="M955" t="n">
        <v>0</v>
      </c>
      <c r="N955" t="n">
        <v>0</v>
      </c>
      <c r="O955" t="n">
        <v>0</v>
      </c>
      <c r="P955" t="n">
        <v>0</v>
      </c>
      <c r="Q955" t="n">
        <v>0</v>
      </c>
      <c r="R955" t="n">
        <v>0</v>
      </c>
      <c r="S955" t="n">
        <v>0</v>
      </c>
      <c r="T955" t="n">
        <v>0</v>
      </c>
      <c r="U955" s="2" t="inlineStr"/>
    </row>
    <row r="956" ht="15" customHeight="1">
      <c r="A956" t="inlineStr">
        <is>
          <t>A 5623-2026</t>
        </is>
      </c>
      <c r="B956" t="inlineStr">
        <is>
          <t>avverkningsanmälan</t>
        </is>
      </c>
      <c r="C956" t="inlineStr">
        <is>
          <t>Avverkning för annat ändamål</t>
        </is>
      </c>
      <c r="D956" s="1" t="n">
        <v>46051</v>
      </c>
      <c r="E956" s="1" t="n">
        <v>46223</v>
      </c>
      <c r="F956" t="inlineStr">
        <is>
          <t>JÄMTLANDS LÄN</t>
        </is>
      </c>
      <c r="G956" t="inlineStr">
        <is>
          <t>HÄRJEDALEN</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30501-2025</t>
        </is>
      </c>
      <c r="B957" t="inlineStr">
        <is>
          <t>avverkningsanmälan</t>
        </is>
      </c>
      <c r="C957" t="inlineStr">
        <is>
          <t>Föryngringsavverkning</t>
        </is>
      </c>
      <c r="D957" s="1" t="n">
        <v>45830</v>
      </c>
      <c r="E957" s="1" t="n">
        <v>46223</v>
      </c>
      <c r="F957" t="inlineStr">
        <is>
          <t>JÄMTLANDS LÄN</t>
        </is>
      </c>
      <c r="G957" t="inlineStr">
        <is>
          <t>HÄRJEDALEN</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37054-2023</t>
        </is>
      </c>
      <c r="B958" t="inlineStr">
        <is>
          <t>avverkningsanmälan</t>
        </is>
      </c>
      <c r="C958" t="inlineStr">
        <is>
          <t>Föryngringsavverkning</t>
        </is>
      </c>
      <c r="D958" s="1" t="n">
        <v>45154</v>
      </c>
      <c r="E958" s="1" t="n">
        <v>46223</v>
      </c>
      <c r="F958" t="inlineStr">
        <is>
          <t>JÄMTLANDS LÄN</t>
        </is>
      </c>
      <c r="G958" t="inlineStr">
        <is>
          <t>HÄRJEDALEN</t>
        </is>
      </c>
      <c r="I958" t="n">
        <v>8.9</v>
      </c>
      <c r="J958" t="n">
        <v>0</v>
      </c>
      <c r="K958" t="n">
        <v>0</v>
      </c>
      <c r="L958" t="n">
        <v>0</v>
      </c>
      <c r="M958" t="n">
        <v>0</v>
      </c>
      <c r="N958" t="n">
        <v>0</v>
      </c>
      <c r="O958" t="n">
        <v>0</v>
      </c>
      <c r="P958" t="n">
        <v>0</v>
      </c>
      <c r="Q958" t="n">
        <v>0</v>
      </c>
      <c r="R958" t="n">
        <v>0</v>
      </c>
      <c r="S958" t="n">
        <v>0</v>
      </c>
      <c r="T958" t="n">
        <v>0</v>
      </c>
      <c r="U958" s="2" t="inlineStr"/>
    </row>
    <row r="959" ht="15" customHeight="1">
      <c r="A959" t="inlineStr">
        <is>
          <t>A 30196-2026</t>
        </is>
      </c>
      <c r="B959" t="inlineStr">
        <is>
          <t>avverkningsanmälan</t>
        </is>
      </c>
      <c r="C959" t="inlineStr">
        <is>
          <t>Föryngringsavverkning</t>
        </is>
      </c>
      <c r="D959" s="1" t="n">
        <v>46206</v>
      </c>
      <c r="E959" s="1" t="n">
        <v>46223</v>
      </c>
      <c r="F959" t="inlineStr">
        <is>
          <t>JÄMTLANDS LÄN</t>
        </is>
      </c>
      <c r="G959" t="inlineStr">
        <is>
          <t>HÄRJEDALEN</t>
        </is>
      </c>
      <c r="H959" t="inlineStr">
        <is>
          <t>Bergvik skog väst AB</t>
        </is>
      </c>
      <c r="I959" t="n">
        <v>23.2</v>
      </c>
      <c r="J959" t="n">
        <v>0</v>
      </c>
      <c r="K959" t="n">
        <v>0</v>
      </c>
      <c r="L959" t="n">
        <v>0</v>
      </c>
      <c r="M959" t="n">
        <v>0</v>
      </c>
      <c r="N959" t="n">
        <v>0</v>
      </c>
      <c r="O959" t="n">
        <v>0</v>
      </c>
      <c r="P959" t="n">
        <v>0</v>
      </c>
      <c r="Q959" t="n">
        <v>0</v>
      </c>
      <c r="R959" t="n">
        <v>0</v>
      </c>
      <c r="S959" t="n">
        <v>0</v>
      </c>
      <c r="T959" t="n">
        <v>0</v>
      </c>
      <c r="U959" s="2" t="inlineStr"/>
    </row>
    <row r="960" ht="15" customHeight="1">
      <c r="A960" t="inlineStr">
        <is>
          <t>A 30743-2024</t>
        </is>
      </c>
      <c r="B960" t="inlineStr">
        <is>
          <t>avverkningsanmälan</t>
        </is>
      </c>
      <c r="C960" t="inlineStr">
        <is>
          <t>Föryngringsavverkning</t>
        </is>
      </c>
      <c r="D960" s="1" t="n">
        <v>45496</v>
      </c>
      <c r="E960" s="1" t="n">
        <v>46223</v>
      </c>
      <c r="F960" t="inlineStr">
        <is>
          <t>JÄMTLANDS LÄN</t>
        </is>
      </c>
      <c r="G960" t="inlineStr">
        <is>
          <t>HÄRJEDALEN</t>
        </is>
      </c>
      <c r="H960" t="inlineStr">
        <is>
          <t>Bergvik skog väst AB</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30246-2026</t>
        </is>
      </c>
      <c r="B961" t="inlineStr">
        <is>
          <t>avverkningsanmälan</t>
        </is>
      </c>
      <c r="C961" t="inlineStr">
        <is>
          <t>Föryngringsavverkning</t>
        </is>
      </c>
      <c r="D961" s="1" t="n">
        <v>46206</v>
      </c>
      <c r="E961" s="1" t="n">
        <v>46223</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64909-2023</t>
        </is>
      </c>
      <c r="B962" t="inlineStr">
        <is>
          <t>avverkningsanmälan</t>
        </is>
      </c>
      <c r="C962" t="inlineStr">
        <is>
          <t>Föryngringsavverkning</t>
        </is>
      </c>
      <c r="D962" s="1" t="n">
        <v>45282</v>
      </c>
      <c r="E962" s="1" t="n">
        <v>46223</v>
      </c>
      <c r="F962" t="inlineStr">
        <is>
          <t>JÄMTLANDS LÄN</t>
        </is>
      </c>
      <c r="G962" t="inlineStr">
        <is>
          <t>HÄRJEDALEN</t>
        </is>
      </c>
      <c r="H962" t="inlineStr">
        <is>
          <t>Holmen skog AB</t>
        </is>
      </c>
      <c r="I962" t="n">
        <v>6.8</v>
      </c>
      <c r="J962" t="n">
        <v>0</v>
      </c>
      <c r="K962" t="n">
        <v>0</v>
      </c>
      <c r="L962" t="n">
        <v>0</v>
      </c>
      <c r="M962" t="n">
        <v>0</v>
      </c>
      <c r="N962" t="n">
        <v>0</v>
      </c>
      <c r="O962" t="n">
        <v>0</v>
      </c>
      <c r="P962" t="n">
        <v>0</v>
      </c>
      <c r="Q962" t="n">
        <v>0</v>
      </c>
      <c r="R962" t="n">
        <v>0</v>
      </c>
      <c r="S962" t="n">
        <v>0</v>
      </c>
      <c r="T962" t="n">
        <v>0</v>
      </c>
      <c r="U962" s="2" t="inlineStr"/>
    </row>
    <row r="963" ht="15" customHeight="1">
      <c r="A963" t="inlineStr">
        <is>
          <t>A 2336-2025</t>
        </is>
      </c>
      <c r="B963" t="inlineStr">
        <is>
          <t>avverkningsanmälan</t>
        </is>
      </c>
      <c r="C963" t="inlineStr">
        <is>
          <t>Föryngringsavverkning</t>
        </is>
      </c>
      <c r="D963" s="1" t="n">
        <v>45673</v>
      </c>
      <c r="E963" s="1" t="n">
        <v>46223</v>
      </c>
      <c r="F963" t="inlineStr">
        <is>
          <t>JÄMTLANDS LÄN</t>
        </is>
      </c>
      <c r="G963" t="inlineStr">
        <is>
          <t>HÄRJEDALEN</t>
        </is>
      </c>
      <c r="H963" t="inlineStr">
        <is>
          <t>Bergvik skog väst AB</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18080-2024</t>
        </is>
      </c>
      <c r="B964" t="inlineStr">
        <is>
          <t>avverkningsanmälan</t>
        </is>
      </c>
      <c r="C964" t="inlineStr">
        <is>
          <t>Föryngringsavverkning</t>
        </is>
      </c>
      <c r="D964" s="1" t="n">
        <v>45420</v>
      </c>
      <c r="E964" s="1" t="n">
        <v>46223</v>
      </c>
      <c r="F964" t="inlineStr">
        <is>
          <t>JÄMTLANDS LÄN</t>
        </is>
      </c>
      <c r="G964" t="inlineStr">
        <is>
          <t>HÄRJEDALEN</t>
        </is>
      </c>
      <c r="H964" t="inlineStr">
        <is>
          <t>Holmen skog AB</t>
        </is>
      </c>
      <c r="I964" t="n">
        <v>12.6</v>
      </c>
      <c r="J964" t="n">
        <v>0</v>
      </c>
      <c r="K964" t="n">
        <v>0</v>
      </c>
      <c r="L964" t="n">
        <v>0</v>
      </c>
      <c r="M964" t="n">
        <v>0</v>
      </c>
      <c r="N964" t="n">
        <v>0</v>
      </c>
      <c r="O964" t="n">
        <v>0</v>
      </c>
      <c r="P964" t="n">
        <v>0</v>
      </c>
      <c r="Q964" t="n">
        <v>0</v>
      </c>
      <c r="R964" t="n">
        <v>0</v>
      </c>
      <c r="S964" t="n">
        <v>0</v>
      </c>
      <c r="T964" t="n">
        <v>0</v>
      </c>
      <c r="U964" s="2" t="inlineStr"/>
    </row>
    <row r="965" ht="15" customHeight="1">
      <c r="A965" t="inlineStr">
        <is>
          <t>A 2718-2025</t>
        </is>
      </c>
      <c r="B965" t="inlineStr">
        <is>
          <t>avverkningsanmälan</t>
        </is>
      </c>
      <c r="C965" t="inlineStr">
        <is>
          <t>Föryngringsavverkning</t>
        </is>
      </c>
      <c r="D965" s="1" t="n">
        <v>45677</v>
      </c>
      <c r="E965" s="1" t="n">
        <v>46223</v>
      </c>
      <c r="F965" t="inlineStr">
        <is>
          <t>JÄMTLANDS LÄN</t>
        </is>
      </c>
      <c r="G965" t="inlineStr">
        <is>
          <t>HÄRJEDALEN</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50775-2021</t>
        </is>
      </c>
      <c r="B966" t="inlineStr">
        <is>
          <t>avverkningsanmälan</t>
        </is>
      </c>
      <c r="C966" t="inlineStr">
        <is>
          <t>Föryngringsavverkning</t>
        </is>
      </c>
      <c r="D966" s="1" t="n">
        <v>44460</v>
      </c>
      <c r="E966" s="1" t="n">
        <v>46223</v>
      </c>
      <c r="F966" t="inlineStr">
        <is>
          <t>JÄMTLANDS LÄN</t>
        </is>
      </c>
      <c r="G966" t="inlineStr">
        <is>
          <t>HÄRJEDALEN</t>
        </is>
      </c>
      <c r="H966" t="inlineStr">
        <is>
          <t>Bergvik skog väst AB</t>
        </is>
      </c>
      <c r="I966" t="n">
        <v>4.9</v>
      </c>
      <c r="J966" t="n">
        <v>0</v>
      </c>
      <c r="K966" t="n">
        <v>0</v>
      </c>
      <c r="L966" t="n">
        <v>0</v>
      </c>
      <c r="M966" t="n">
        <v>0</v>
      </c>
      <c r="N966" t="n">
        <v>0</v>
      </c>
      <c r="O966" t="n">
        <v>0</v>
      </c>
      <c r="P966" t="n">
        <v>0</v>
      </c>
      <c r="Q966" t="n">
        <v>0</v>
      </c>
      <c r="R966" t="n">
        <v>0</v>
      </c>
      <c r="S966" t="n">
        <v>0</v>
      </c>
      <c r="T966" t="n">
        <v>0</v>
      </c>
      <c r="U966" s="2" t="inlineStr"/>
    </row>
    <row r="967" ht="15" customHeight="1">
      <c r="A967" t="inlineStr">
        <is>
          <t>A 55736-2023</t>
        </is>
      </c>
      <c r="B967" t="inlineStr">
        <is>
          <t>avverkningsanmälan</t>
        </is>
      </c>
      <c r="C967" t="inlineStr">
        <is>
          <t>Föryngringsavverkning</t>
        </is>
      </c>
      <c r="D967" s="1" t="n">
        <v>45239</v>
      </c>
      <c r="E967" s="1" t="n">
        <v>46223</v>
      </c>
      <c r="F967" t="inlineStr">
        <is>
          <t>JÄMTLANDS LÄN</t>
        </is>
      </c>
      <c r="G967" t="inlineStr">
        <is>
          <t>HÄRJEDALEN</t>
        </is>
      </c>
      <c r="H967" t="inlineStr">
        <is>
          <t>Holmen skog AB</t>
        </is>
      </c>
      <c r="I967" t="n">
        <v>8.9</v>
      </c>
      <c r="J967" t="n">
        <v>0</v>
      </c>
      <c r="K967" t="n">
        <v>0</v>
      </c>
      <c r="L967" t="n">
        <v>0</v>
      </c>
      <c r="M967" t="n">
        <v>0</v>
      </c>
      <c r="N967" t="n">
        <v>0</v>
      </c>
      <c r="O967" t="n">
        <v>0</v>
      </c>
      <c r="P967" t="n">
        <v>0</v>
      </c>
      <c r="Q967" t="n">
        <v>0</v>
      </c>
      <c r="R967" t="n">
        <v>0</v>
      </c>
      <c r="S967" t="n">
        <v>0</v>
      </c>
      <c r="T967" t="n">
        <v>0</v>
      </c>
      <c r="U967" s="2" t="inlineStr"/>
    </row>
    <row r="968" ht="15" customHeight="1">
      <c r="A968" t="inlineStr">
        <is>
          <t>A 56054-2024</t>
        </is>
      </c>
      <c r="B968" t="inlineStr">
        <is>
          <t>avverkningsanmälan</t>
        </is>
      </c>
      <c r="C968" t="inlineStr">
        <is>
          <t>Föryngringsavverkning</t>
        </is>
      </c>
      <c r="D968" s="1" t="n">
        <v>45624</v>
      </c>
      <c r="E968" s="1" t="n">
        <v>46223</v>
      </c>
      <c r="F968" t="inlineStr">
        <is>
          <t>JÄMTLANDS LÄN</t>
        </is>
      </c>
      <c r="G968" t="inlineStr">
        <is>
          <t>HÄRJEDALEN</t>
        </is>
      </c>
      <c r="I968" t="n">
        <v>16.7</v>
      </c>
      <c r="J968" t="n">
        <v>0</v>
      </c>
      <c r="K968" t="n">
        <v>0</v>
      </c>
      <c r="L968" t="n">
        <v>0</v>
      </c>
      <c r="M968" t="n">
        <v>0</v>
      </c>
      <c r="N968" t="n">
        <v>0</v>
      </c>
      <c r="O968" t="n">
        <v>0</v>
      </c>
      <c r="P968" t="n">
        <v>0</v>
      </c>
      <c r="Q968" t="n">
        <v>0</v>
      </c>
      <c r="R968" t="n">
        <v>0</v>
      </c>
      <c r="S968" t="n">
        <v>0</v>
      </c>
      <c r="T968" t="n">
        <v>0</v>
      </c>
      <c r="U968" s="2" t="inlineStr"/>
    </row>
    <row r="969" ht="15" customHeight="1">
      <c r="A969" t="inlineStr">
        <is>
          <t>A 15747-2023</t>
        </is>
      </c>
      <c r="B969" t="inlineStr">
        <is>
          <t>avverkningsanmälan</t>
        </is>
      </c>
      <c r="C969" t="inlineStr">
        <is>
          <t>Avverkning för annat ändamål</t>
        </is>
      </c>
      <c r="D969" s="1" t="n">
        <v>45020</v>
      </c>
      <c r="E969" s="1" t="n">
        <v>46223</v>
      </c>
      <c r="F969" t="inlineStr">
        <is>
          <t>JÄMTLANDS LÄN</t>
        </is>
      </c>
      <c r="G969" t="inlineStr">
        <is>
          <t>HÄRJEDALEN</t>
        </is>
      </c>
      <c r="I969" t="n">
        <v>0.1</v>
      </c>
      <c r="J969" t="n">
        <v>0</v>
      </c>
      <c r="K969" t="n">
        <v>0</v>
      </c>
      <c r="L969" t="n">
        <v>0</v>
      </c>
      <c r="M969" t="n">
        <v>0</v>
      </c>
      <c r="N969" t="n">
        <v>0</v>
      </c>
      <c r="O969" t="n">
        <v>0</v>
      </c>
      <c r="P969" t="n">
        <v>0</v>
      </c>
      <c r="Q969" t="n">
        <v>0</v>
      </c>
      <c r="R969" t="n">
        <v>0</v>
      </c>
      <c r="S969" t="n">
        <v>0</v>
      </c>
      <c r="T969" t="n">
        <v>0</v>
      </c>
      <c r="U969" s="2" t="inlineStr"/>
    </row>
    <row r="970" ht="15" customHeight="1">
      <c r="A970" t="inlineStr">
        <is>
          <t>A 30044-2026</t>
        </is>
      </c>
      <c r="B970" t="inlineStr">
        <is>
          <t>avverkningsanmälan</t>
        </is>
      </c>
      <c r="C970" t="inlineStr">
        <is>
          <t>Föryngringsavverkning</t>
        </is>
      </c>
      <c r="D970" s="1" t="n">
        <v>46206</v>
      </c>
      <c r="E970" s="1" t="n">
        <v>46223</v>
      </c>
      <c r="F970" t="inlineStr">
        <is>
          <t>JÄMTLANDS LÄN</t>
        </is>
      </c>
      <c r="G970" t="inlineStr">
        <is>
          <t>HÄRJEDALEN</t>
        </is>
      </c>
      <c r="H970" t="inlineStr">
        <is>
          <t>Kyrkan</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52867-2022</t>
        </is>
      </c>
      <c r="B971" t="inlineStr">
        <is>
          <t>avverkningsanmälan</t>
        </is>
      </c>
      <c r="C971" t="inlineStr">
        <is>
          <t>Avverkning för annat ändamål</t>
        </is>
      </c>
      <c r="D971" s="1" t="n">
        <v>44872</v>
      </c>
      <c r="E971" s="1" t="n">
        <v>46223</v>
      </c>
      <c r="F971" t="inlineStr">
        <is>
          <t>JÄMTLANDS LÄN</t>
        </is>
      </c>
      <c r="G971" t="inlineStr">
        <is>
          <t>HÄRJEDALEN</t>
        </is>
      </c>
      <c r="I971" t="n">
        <v>0.3</v>
      </c>
      <c r="J971" t="n">
        <v>0</v>
      </c>
      <c r="K971" t="n">
        <v>0</v>
      </c>
      <c r="L971" t="n">
        <v>0</v>
      </c>
      <c r="M971" t="n">
        <v>0</v>
      </c>
      <c r="N971" t="n">
        <v>0</v>
      </c>
      <c r="O971" t="n">
        <v>0</v>
      </c>
      <c r="P971" t="n">
        <v>0</v>
      </c>
      <c r="Q971" t="n">
        <v>0</v>
      </c>
      <c r="R971" t="n">
        <v>0</v>
      </c>
      <c r="S971" t="n">
        <v>0</v>
      </c>
      <c r="T971" t="n">
        <v>0</v>
      </c>
      <c r="U971" s="2" t="inlineStr"/>
    </row>
    <row r="972" ht="15" customHeight="1">
      <c r="A972" t="inlineStr">
        <is>
          <t>A 23186-2023</t>
        </is>
      </c>
      <c r="B972" t="inlineStr">
        <is>
          <t>avverkningsanmälan</t>
        </is>
      </c>
      <c r="C972" t="inlineStr">
        <is>
          <t>Föryngringsavverkning</t>
        </is>
      </c>
      <c r="D972" s="1" t="n">
        <v>45075</v>
      </c>
      <c r="E972" s="1" t="n">
        <v>46223</v>
      </c>
      <c r="F972" t="inlineStr">
        <is>
          <t>JÄMTLANDS LÄN</t>
        </is>
      </c>
      <c r="G972" t="inlineStr">
        <is>
          <t>HÄRJEDALEN</t>
        </is>
      </c>
      <c r="H972" t="inlineStr">
        <is>
          <t>Bergvik skog väst AB</t>
        </is>
      </c>
      <c r="I972" t="n">
        <v>0.4</v>
      </c>
      <c r="J972" t="n">
        <v>0</v>
      </c>
      <c r="K972" t="n">
        <v>0</v>
      </c>
      <c r="L972" t="n">
        <v>0</v>
      </c>
      <c r="M972" t="n">
        <v>0</v>
      </c>
      <c r="N972" t="n">
        <v>0</v>
      </c>
      <c r="O972" t="n">
        <v>0</v>
      </c>
      <c r="P972" t="n">
        <v>0</v>
      </c>
      <c r="Q972" t="n">
        <v>0</v>
      </c>
      <c r="R972" t="n">
        <v>0</v>
      </c>
      <c r="S972" t="n">
        <v>0</v>
      </c>
      <c r="T972" t="n">
        <v>0</v>
      </c>
      <c r="U972" s="2" t="inlineStr"/>
    </row>
    <row r="973" ht="15" customHeight="1">
      <c r="A973" t="inlineStr">
        <is>
          <t>A 30498-2025</t>
        </is>
      </c>
      <c r="B973" t="inlineStr">
        <is>
          <t>avverkningsanmälan</t>
        </is>
      </c>
      <c r="C973" t="inlineStr">
        <is>
          <t>Föryngringsavverkning</t>
        </is>
      </c>
      <c r="D973" s="1" t="n">
        <v>45830</v>
      </c>
      <c r="E973" s="1" t="n">
        <v>46223</v>
      </c>
      <c r="F973" t="inlineStr">
        <is>
          <t>JÄMTLANDS LÄN</t>
        </is>
      </c>
      <c r="G973" t="inlineStr">
        <is>
          <t>HÄRJEDALEN</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30125-2026</t>
        </is>
      </c>
      <c r="B974" t="inlineStr">
        <is>
          <t>avverkningsanmälan</t>
        </is>
      </c>
      <c r="C974" t="inlineStr">
        <is>
          <t>Föryngringsavverkning</t>
        </is>
      </c>
      <c r="D974" s="1" t="n">
        <v>46206</v>
      </c>
      <c r="E974" s="1" t="n">
        <v>46223</v>
      </c>
      <c r="F974" t="inlineStr">
        <is>
          <t>JÄMTLANDS LÄN</t>
        </is>
      </c>
      <c r="G974" t="inlineStr">
        <is>
          <t>HÄRJEDALEN</t>
        </is>
      </c>
      <c r="H974" t="inlineStr">
        <is>
          <t>Bergvik skog väst AB</t>
        </is>
      </c>
      <c r="I974" t="n">
        <v>16.3</v>
      </c>
      <c r="J974" t="n">
        <v>0</v>
      </c>
      <c r="K974" t="n">
        <v>0</v>
      </c>
      <c r="L974" t="n">
        <v>0</v>
      </c>
      <c r="M974" t="n">
        <v>0</v>
      </c>
      <c r="N974" t="n">
        <v>0</v>
      </c>
      <c r="O974" t="n">
        <v>0</v>
      </c>
      <c r="P974" t="n">
        <v>0</v>
      </c>
      <c r="Q974" t="n">
        <v>0</v>
      </c>
      <c r="R974" t="n">
        <v>0</v>
      </c>
      <c r="S974" t="n">
        <v>0</v>
      </c>
      <c r="T974" t="n">
        <v>0</v>
      </c>
      <c r="U974" s="2" t="inlineStr"/>
    </row>
    <row r="975" ht="15" customHeight="1">
      <c r="A975" t="inlineStr">
        <is>
          <t>A 4225-2025</t>
        </is>
      </c>
      <c r="B975" t="inlineStr">
        <is>
          <t>avverkningsanmälan</t>
        </is>
      </c>
      <c r="C975" t="inlineStr">
        <is>
          <t>Föryngringsavverkning</t>
        </is>
      </c>
      <c r="D975" s="1" t="n">
        <v>45685</v>
      </c>
      <c r="E975" s="1" t="n">
        <v>46223</v>
      </c>
      <c r="F975" t="inlineStr">
        <is>
          <t>JÄMTLANDS LÄN</t>
        </is>
      </c>
      <c r="G975" t="inlineStr">
        <is>
          <t>HÄRJEDALEN</t>
        </is>
      </c>
      <c r="H975" t="inlineStr">
        <is>
          <t>Bergvik skog väst AB</t>
        </is>
      </c>
      <c r="I975" t="n">
        <v>13.4</v>
      </c>
      <c r="J975" t="n">
        <v>0</v>
      </c>
      <c r="K975" t="n">
        <v>0</v>
      </c>
      <c r="L975" t="n">
        <v>0</v>
      </c>
      <c r="M975" t="n">
        <v>0</v>
      </c>
      <c r="N975" t="n">
        <v>0</v>
      </c>
      <c r="O975" t="n">
        <v>0</v>
      </c>
      <c r="P975" t="n">
        <v>0</v>
      </c>
      <c r="Q975" t="n">
        <v>0</v>
      </c>
      <c r="R975" t="n">
        <v>0</v>
      </c>
      <c r="S975" t="n">
        <v>0</v>
      </c>
      <c r="T975" t="n">
        <v>0</v>
      </c>
      <c r="U975" s="2" t="inlineStr"/>
    </row>
    <row r="976" ht="15" customHeight="1">
      <c r="A976" t="inlineStr">
        <is>
          <t>A 30500-2025</t>
        </is>
      </c>
      <c r="B976" t="inlineStr">
        <is>
          <t>avverkningsanmälan</t>
        </is>
      </c>
      <c r="C976" t="inlineStr">
        <is>
          <t>Föryngringsavverkning</t>
        </is>
      </c>
      <c r="D976" s="1" t="n">
        <v>45830</v>
      </c>
      <c r="E976" s="1" t="n">
        <v>46223</v>
      </c>
      <c r="F976" t="inlineStr">
        <is>
          <t>JÄMTLANDS LÄN</t>
        </is>
      </c>
      <c r="G976" t="inlineStr">
        <is>
          <t>HÄRJEDALEN</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2106-2025</t>
        </is>
      </c>
      <c r="B977" t="inlineStr">
        <is>
          <t>avverkningsanmälan</t>
        </is>
      </c>
      <c r="C977" t="inlineStr">
        <is>
          <t>Föryngringsavverkning</t>
        </is>
      </c>
      <c r="D977" s="1" t="n">
        <v>45672</v>
      </c>
      <c r="E977" s="1" t="n">
        <v>46223</v>
      </c>
      <c r="F977" t="inlineStr">
        <is>
          <t>JÄMTLANDS LÄN</t>
        </is>
      </c>
      <c r="G977" t="inlineStr">
        <is>
          <t>HÄRJEDALEN</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38709-2025</t>
        </is>
      </c>
      <c r="B978" t="inlineStr">
        <is>
          <t>avverkningsanmälan</t>
        </is>
      </c>
      <c r="C978" t="inlineStr">
        <is>
          <t>Föryngringsavverkning</t>
        </is>
      </c>
      <c r="D978" s="1" t="n">
        <v>45885</v>
      </c>
      <c r="E978" s="1" t="n">
        <v>46223</v>
      </c>
      <c r="F978" t="inlineStr">
        <is>
          <t>JÄMTLANDS LÄN</t>
        </is>
      </c>
      <c r="G978" t="inlineStr">
        <is>
          <t>HÄRJEDALEN</t>
        </is>
      </c>
      <c r="I978" t="n">
        <v>70</v>
      </c>
      <c r="J978" t="n">
        <v>0</v>
      </c>
      <c r="K978" t="n">
        <v>0</v>
      </c>
      <c r="L978" t="n">
        <v>0</v>
      </c>
      <c r="M978" t="n">
        <v>0</v>
      </c>
      <c r="N978" t="n">
        <v>0</v>
      </c>
      <c r="O978" t="n">
        <v>0</v>
      </c>
      <c r="P978" t="n">
        <v>0</v>
      </c>
      <c r="Q978" t="n">
        <v>0</v>
      </c>
      <c r="R978" t="n">
        <v>0</v>
      </c>
      <c r="S978" t="n">
        <v>0</v>
      </c>
      <c r="T978" t="n">
        <v>0</v>
      </c>
      <c r="U978" s="2" t="inlineStr"/>
    </row>
    <row r="979" ht="15" customHeight="1">
      <c r="A979" t="inlineStr">
        <is>
          <t>A 30499-2025</t>
        </is>
      </c>
      <c r="B979" t="inlineStr">
        <is>
          <t>avverkningsanmälan</t>
        </is>
      </c>
      <c r="C979" t="inlineStr">
        <is>
          <t>Föryngringsavverkning</t>
        </is>
      </c>
      <c r="D979" s="1" t="n">
        <v>45830</v>
      </c>
      <c r="E979" s="1" t="n">
        <v>46223</v>
      </c>
      <c r="F979" t="inlineStr">
        <is>
          <t>JÄMTLANDS LÄN</t>
        </is>
      </c>
      <c r="G979" t="inlineStr">
        <is>
          <t>HÄRJEDALEN</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23551-2026</t>
        </is>
      </c>
      <c r="B980" t="inlineStr">
        <is>
          <t>avverkningsanmälan</t>
        </is>
      </c>
      <c r="C980" t="inlineStr">
        <is>
          <t>Föryngringsavverkning</t>
        </is>
      </c>
      <c r="D980" s="1" t="n">
        <v>46163</v>
      </c>
      <c r="E980" s="1" t="n">
        <v>46223</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24080-2026</t>
        </is>
      </c>
      <c r="B981" t="inlineStr">
        <is>
          <t>avverkningsanmälan</t>
        </is>
      </c>
      <c r="C981" t="inlineStr">
        <is>
          <t>Föryngringsavverkning</t>
        </is>
      </c>
      <c r="D981" s="1" t="n">
        <v>46168</v>
      </c>
      <c r="E981" s="1" t="n">
        <v>46223</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24085-2026</t>
        </is>
      </c>
      <c r="B982" t="inlineStr">
        <is>
          <t>avverkningsanmälan</t>
        </is>
      </c>
      <c r="C982" t="inlineStr">
        <is>
          <t>Föryngringsavverkning</t>
        </is>
      </c>
      <c r="D982" s="1" t="n">
        <v>46168</v>
      </c>
      <c r="E982" s="1" t="n">
        <v>46223</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24118-2026</t>
        </is>
      </c>
      <c r="B983" t="inlineStr">
        <is>
          <t>avverkningsanmälan</t>
        </is>
      </c>
      <c r="C983" t="inlineStr">
        <is>
          <t>Föryngringsavverkning</t>
        </is>
      </c>
      <c r="D983" s="1" t="n">
        <v>46168</v>
      </c>
      <c r="E983" s="1" t="n">
        <v>46223</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s="2" t="inlineStr"/>
    </row>
    <row r="984" ht="15" customHeight="1">
      <c r="A984" t="inlineStr">
        <is>
          <t>A 24140-2026</t>
        </is>
      </c>
      <c r="B984" t="inlineStr">
        <is>
          <t>avverkningsanmälan</t>
        </is>
      </c>
      <c r="C984" t="inlineStr">
        <is>
          <t>Föryngringsavverkning</t>
        </is>
      </c>
      <c r="D984" s="1" t="n">
        <v>46168</v>
      </c>
      <c r="E984" s="1" t="n">
        <v>46223</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s="2" t="inlineStr"/>
    </row>
    <row r="985" ht="15" customHeight="1">
      <c r="A985" t="inlineStr">
        <is>
          <t>A 23977-2026</t>
        </is>
      </c>
      <c r="B985" t="inlineStr">
        <is>
          <t>avverkningsanmälan</t>
        </is>
      </c>
      <c r="C985" t="inlineStr">
        <is>
          <t>Föryngringsavverkning</t>
        </is>
      </c>
      <c r="D985" s="1" t="n">
        <v>46167</v>
      </c>
      <c r="E985" s="1" t="n">
        <v>46223</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s="2" t="inlineStr"/>
    </row>
    <row r="986" ht="15" customHeight="1">
      <c r="A986" t="inlineStr">
        <is>
          <t>A 23983-2026</t>
        </is>
      </c>
      <c r="B986" t="inlineStr">
        <is>
          <t>avverkningsanmälan</t>
        </is>
      </c>
      <c r="C986" t="inlineStr">
        <is>
          <t>Föryngringsavverkning</t>
        </is>
      </c>
      <c r="D986" s="1" t="n">
        <v>46167</v>
      </c>
      <c r="E986" s="1" t="n">
        <v>46223</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s="2" t="inlineStr"/>
    </row>
    <row r="987" ht="15" customHeight="1">
      <c r="A987" t="inlineStr">
        <is>
          <t>A 23984-2026</t>
        </is>
      </c>
      <c r="B987" t="inlineStr">
        <is>
          <t>avverkningsanmälan</t>
        </is>
      </c>
      <c r="C987" t="inlineStr">
        <is>
          <t>Föryngringsavverkning</t>
        </is>
      </c>
      <c r="D987" s="1" t="n">
        <v>46167</v>
      </c>
      <c r="E987" s="1" t="n">
        <v>46223</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10004-2025</t>
        </is>
      </c>
      <c r="B988" t="inlineStr">
        <is>
          <t>avverkningsanmälan</t>
        </is>
      </c>
      <c r="C988" t="inlineStr">
        <is>
          <t>Föryngringsavverkning</t>
        </is>
      </c>
      <c r="D988" s="1" t="n">
        <v>45719</v>
      </c>
      <c r="E988" s="1" t="n">
        <v>46223</v>
      </c>
      <c r="F988" t="inlineStr">
        <is>
          <t>JÄMTLANDS LÄN</t>
        </is>
      </c>
      <c r="G988" t="inlineStr">
        <is>
          <t>HÄRJEDALEN</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23966-2026</t>
        </is>
      </c>
      <c r="B989" t="inlineStr">
        <is>
          <t>avverkningsanmälan</t>
        </is>
      </c>
      <c r="C989" t="inlineStr">
        <is>
          <t>Föryngringsavverkning</t>
        </is>
      </c>
      <c r="D989" s="1" t="n">
        <v>46167</v>
      </c>
      <c r="E989" s="1" t="n">
        <v>46223</v>
      </c>
      <c r="F989" t="inlineStr">
        <is>
          <t>JÄMTLANDS LÄN</t>
        </is>
      </c>
      <c r="G989" t="inlineStr">
        <is>
          <t>HÄRJEDALEN</t>
        </is>
      </c>
      <c r="H989" t="inlineStr">
        <is>
          <t>Holmen skog AB</t>
        </is>
      </c>
      <c r="I989" t="n">
        <v>36.1</v>
      </c>
      <c r="J989" t="n">
        <v>0</v>
      </c>
      <c r="K989" t="n">
        <v>0</v>
      </c>
      <c r="L989" t="n">
        <v>0</v>
      </c>
      <c r="M989" t="n">
        <v>0</v>
      </c>
      <c r="N989" t="n">
        <v>0</v>
      </c>
      <c r="O989" t="n">
        <v>0</v>
      </c>
      <c r="P989" t="n">
        <v>0</v>
      </c>
      <c r="Q989" t="n">
        <v>0</v>
      </c>
      <c r="R989" t="n">
        <v>0</v>
      </c>
      <c r="S989" t="n">
        <v>0</v>
      </c>
      <c r="T989" t="n">
        <v>0</v>
      </c>
      <c r="U989" s="2" t="inlineStr"/>
    </row>
    <row r="990" ht="15" customHeight="1">
      <c r="A990" t="inlineStr">
        <is>
          <t>A 23989-2026</t>
        </is>
      </c>
      <c r="B990" t="inlineStr">
        <is>
          <t>avverkningsanmälan</t>
        </is>
      </c>
      <c r="C990" t="inlineStr">
        <is>
          <t>Föryngringsavverkning</t>
        </is>
      </c>
      <c r="D990" s="1" t="n">
        <v>46167</v>
      </c>
      <c r="E990" s="1" t="n">
        <v>46223</v>
      </c>
      <c r="F990" t="inlineStr">
        <is>
          <t>JÄMTLANDS LÄN</t>
        </is>
      </c>
      <c r="G990" t="inlineStr">
        <is>
          <t>HÄRJEDALEN</t>
        </is>
      </c>
      <c r="H990" t="inlineStr">
        <is>
          <t>Holmen skog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24087-2026</t>
        </is>
      </c>
      <c r="B991" t="inlineStr">
        <is>
          <t>avverkningsanmälan</t>
        </is>
      </c>
      <c r="C991" t="inlineStr">
        <is>
          <t>Föryngringsavverkning</t>
        </is>
      </c>
      <c r="D991" s="1" t="n">
        <v>46168</v>
      </c>
      <c r="E991" s="1" t="n">
        <v>46223</v>
      </c>
      <c r="F991" t="inlineStr">
        <is>
          <t>JÄMTLANDS LÄN</t>
        </is>
      </c>
      <c r="G991" t="inlineStr">
        <is>
          <t>HÄRJEDALEN</t>
        </is>
      </c>
      <c r="H991" t="inlineStr">
        <is>
          <t>Holmen skog AB</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23979-2026</t>
        </is>
      </c>
      <c r="B992" t="inlineStr">
        <is>
          <t>avverkningsanmälan</t>
        </is>
      </c>
      <c r="C992" t="inlineStr">
        <is>
          <t>Föryngringsavverkning</t>
        </is>
      </c>
      <c r="D992" s="1" t="n">
        <v>46167</v>
      </c>
      <c r="E992" s="1" t="n">
        <v>46223</v>
      </c>
      <c r="F992" t="inlineStr">
        <is>
          <t>JÄMTLANDS LÄN</t>
        </is>
      </c>
      <c r="G992" t="inlineStr">
        <is>
          <t>HÄRJEDALEN</t>
        </is>
      </c>
      <c r="H992" t="inlineStr">
        <is>
          <t>Holmen skog AB</t>
        </is>
      </c>
      <c r="I992" t="n">
        <v>3.1</v>
      </c>
      <c r="J992" t="n">
        <v>0</v>
      </c>
      <c r="K992" t="n">
        <v>0</v>
      </c>
      <c r="L992" t="n">
        <v>0</v>
      </c>
      <c r="M992" t="n">
        <v>0</v>
      </c>
      <c r="N992" t="n">
        <v>0</v>
      </c>
      <c r="O992" t="n">
        <v>0</v>
      </c>
      <c r="P992" t="n">
        <v>0</v>
      </c>
      <c r="Q992" t="n">
        <v>0</v>
      </c>
      <c r="R992" t="n">
        <v>0</v>
      </c>
      <c r="S992" t="n">
        <v>0</v>
      </c>
      <c r="T992" t="n">
        <v>0</v>
      </c>
      <c r="U992" s="2" t="inlineStr"/>
    </row>
    <row r="993" ht="15" customHeight="1">
      <c r="A993" t="inlineStr">
        <is>
          <t>A 18542-2025</t>
        </is>
      </c>
      <c r="B993" t="inlineStr">
        <is>
          <t>avverkningsanmälan</t>
        </is>
      </c>
      <c r="C993" t="inlineStr">
        <is>
          <t>Föryngringsavverkning</t>
        </is>
      </c>
      <c r="D993" s="1" t="n">
        <v>45763</v>
      </c>
      <c r="E993" s="1" t="n">
        <v>46223</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8136-2024</t>
        </is>
      </c>
      <c r="B994" t="inlineStr">
        <is>
          <t>avverkningsanmälan</t>
        </is>
      </c>
      <c r="C994" t="inlineStr">
        <is>
          <t>Föryngringsavverkning</t>
        </is>
      </c>
      <c r="D994" s="1" t="n">
        <v>45351</v>
      </c>
      <c r="E994" s="1" t="n">
        <v>46223</v>
      </c>
      <c r="F994" t="inlineStr">
        <is>
          <t>JÄMTLANDS LÄN</t>
        </is>
      </c>
      <c r="G994" t="inlineStr">
        <is>
          <t>HÄRJEDALEN</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44967-2024</t>
        </is>
      </c>
      <c r="B995" t="inlineStr">
        <is>
          <t>avverkningsanmälan</t>
        </is>
      </c>
      <c r="C995" t="inlineStr">
        <is>
          <t>Avverkning för annat ändamål</t>
        </is>
      </c>
      <c r="D995" s="1" t="n">
        <v>45575</v>
      </c>
      <c r="E995" s="1" t="n">
        <v>46223</v>
      </c>
      <c r="F995" t="inlineStr">
        <is>
          <t>JÄMTLANDS LÄN</t>
        </is>
      </c>
      <c r="G995" t="inlineStr">
        <is>
          <t>HÄRJEDALEN</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23941-2026</t>
        </is>
      </c>
      <c r="B996" t="inlineStr">
        <is>
          <t>avverkningsanmälan</t>
        </is>
      </c>
      <c r="C996" t="inlineStr">
        <is>
          <t>Föryngringsavverkning</t>
        </is>
      </c>
      <c r="D996" s="1" t="n">
        <v>46167</v>
      </c>
      <c r="E996" s="1" t="n">
        <v>46223</v>
      </c>
      <c r="F996" t="inlineStr">
        <is>
          <t>JÄMTLANDS LÄN</t>
        </is>
      </c>
      <c r="G996" t="inlineStr">
        <is>
          <t>HÄRJEDALEN</t>
        </is>
      </c>
      <c r="H996" t="inlineStr">
        <is>
          <t>Holmen skog AB</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24132-2026</t>
        </is>
      </c>
      <c r="B997" t="inlineStr">
        <is>
          <t>avverkningsanmälan</t>
        </is>
      </c>
      <c r="C997" t="inlineStr">
        <is>
          <t>Föryngringsavverkning</t>
        </is>
      </c>
      <c r="D997" s="1" t="n">
        <v>46168</v>
      </c>
      <c r="E997" s="1" t="n">
        <v>46223</v>
      </c>
      <c r="F997" t="inlineStr">
        <is>
          <t>JÄMTLANDS LÄN</t>
        </is>
      </c>
      <c r="G997" t="inlineStr">
        <is>
          <t>HÄRJEDALEN</t>
        </is>
      </c>
      <c r="H997" t="inlineStr">
        <is>
          <t>Holmen skog AB</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54079-2024</t>
        </is>
      </c>
      <c r="B998" t="inlineStr">
        <is>
          <t>avverkningsanmälan</t>
        </is>
      </c>
      <c r="C998" t="inlineStr">
        <is>
          <t>Avverkning för att bevara och utveckla /försöksver</t>
        </is>
      </c>
      <c r="D998" s="1" t="n">
        <v>45616</v>
      </c>
      <c r="E998" s="1" t="n">
        <v>46223</v>
      </c>
      <c r="F998" t="inlineStr">
        <is>
          <t>JÄMTLANDS LÄN</t>
        </is>
      </c>
      <c r="G998" t="inlineStr">
        <is>
          <t>HÄRJEDALEN</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36926-2023</t>
        </is>
      </c>
      <c r="B999" t="inlineStr">
        <is>
          <t>avverkningsanmälan</t>
        </is>
      </c>
      <c r="C999" t="inlineStr">
        <is>
          <t>Föryngringsavverkning</t>
        </is>
      </c>
      <c r="D999" s="1" t="n">
        <v>45154</v>
      </c>
      <c r="E999" s="1" t="n">
        <v>46223</v>
      </c>
      <c r="F999" t="inlineStr">
        <is>
          <t>JÄMTLANDS LÄN</t>
        </is>
      </c>
      <c r="G999" t="inlineStr">
        <is>
          <t>HÄRJEDALEN</t>
        </is>
      </c>
      <c r="I999" t="n">
        <v>0.4</v>
      </c>
      <c r="J999" t="n">
        <v>0</v>
      </c>
      <c r="K999" t="n">
        <v>0</v>
      </c>
      <c r="L999" t="n">
        <v>0</v>
      </c>
      <c r="M999" t="n">
        <v>0</v>
      </c>
      <c r="N999" t="n">
        <v>0</v>
      </c>
      <c r="O999" t="n">
        <v>0</v>
      </c>
      <c r="P999" t="n">
        <v>0</v>
      </c>
      <c r="Q999" t="n">
        <v>0</v>
      </c>
      <c r="R999" t="n">
        <v>0</v>
      </c>
      <c r="S999" t="n">
        <v>0</v>
      </c>
      <c r="T999" t="n">
        <v>0</v>
      </c>
      <c r="U999" s="2" t="inlineStr"/>
    </row>
    <row r="1000" ht="15" customHeight="1">
      <c r="A1000" t="inlineStr">
        <is>
          <t>A 30388-2026</t>
        </is>
      </c>
      <c r="B1000" t="inlineStr">
        <is>
          <t>avverkningsanmälan</t>
        </is>
      </c>
      <c r="C1000" t="inlineStr">
        <is>
          <t>Föryngringsavverkning</t>
        </is>
      </c>
      <c r="D1000" s="1" t="n">
        <v>46209</v>
      </c>
      <c r="E1000" s="1" t="n">
        <v>46223</v>
      </c>
      <c r="F1000" t="inlineStr">
        <is>
          <t>JÄMTLANDS LÄN</t>
        </is>
      </c>
      <c r="G1000" t="inlineStr">
        <is>
          <t>HÄRJEDALEN</t>
        </is>
      </c>
      <c r="H1000" t="inlineStr">
        <is>
          <t>Bergvik skog väst AB</t>
        </is>
      </c>
      <c r="I1000" t="n">
        <v>33.6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4752-2025</t>
        </is>
      </c>
      <c r="B1001" t="inlineStr">
        <is>
          <t>avverkningsanmälan</t>
        </is>
      </c>
      <c r="C1001" t="inlineStr">
        <is>
          <t>Avverkning för att bevara och utveckla /försöksver</t>
        </is>
      </c>
      <c r="D1001" s="1" t="n">
        <v>45688</v>
      </c>
      <c r="E1001" s="1" t="n">
        <v>46223</v>
      </c>
      <c r="F1001" t="inlineStr">
        <is>
          <t>JÄMTLANDS LÄN</t>
        </is>
      </c>
      <c r="G1001" t="inlineStr">
        <is>
          <t>HÄRJEDALEN</t>
        </is>
      </c>
      <c r="H1001" t="inlineStr">
        <is>
          <t>Bergvik skog väst AB</t>
        </is>
      </c>
      <c r="I1001" t="n">
        <v>7.1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24077-2026</t>
        </is>
      </c>
      <c r="B1002" t="inlineStr">
        <is>
          <t>avverkningsanmälan</t>
        </is>
      </c>
      <c r="C1002" t="inlineStr">
        <is>
          <t>Föryngringsavverkning</t>
        </is>
      </c>
      <c r="D1002" s="1" t="n">
        <v>46168</v>
      </c>
      <c r="E1002" s="1" t="n">
        <v>46223</v>
      </c>
      <c r="F1002" t="inlineStr">
        <is>
          <t>JÄMTLANDS LÄN</t>
        </is>
      </c>
      <c r="G1002" t="inlineStr">
        <is>
          <t>HÄRJEDALEN</t>
        </is>
      </c>
      <c r="H1002" t="inlineStr">
        <is>
          <t>Holmen skog AB</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24104-2026</t>
        </is>
      </c>
      <c r="B1003" t="inlineStr">
        <is>
          <t>avverkningsanmälan</t>
        </is>
      </c>
      <c r="C1003" t="inlineStr">
        <is>
          <t>Föryngringsavverkning</t>
        </is>
      </c>
      <c r="D1003" s="1" t="n">
        <v>46168</v>
      </c>
      <c r="E1003" s="1" t="n">
        <v>46223</v>
      </c>
      <c r="F1003" t="inlineStr">
        <is>
          <t>JÄMTLANDS LÄN</t>
        </is>
      </c>
      <c r="G1003" t="inlineStr">
        <is>
          <t>HÄRJEDALEN</t>
        </is>
      </c>
      <c r="H1003" t="inlineStr">
        <is>
          <t>Holmen skog AB</t>
        </is>
      </c>
      <c r="I1003" t="n">
        <v>1.9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24109-2026</t>
        </is>
      </c>
      <c r="B1004" t="inlineStr">
        <is>
          <t>avverkningsanmälan</t>
        </is>
      </c>
      <c r="C1004" t="inlineStr">
        <is>
          <t>Föryngringsavverkning</t>
        </is>
      </c>
      <c r="D1004" s="1" t="n">
        <v>46168</v>
      </c>
      <c r="E1004" s="1" t="n">
        <v>46223</v>
      </c>
      <c r="F1004" t="inlineStr">
        <is>
          <t>JÄMTLANDS LÄN</t>
        </is>
      </c>
      <c r="G1004" t="inlineStr">
        <is>
          <t>HÄRJEDALEN</t>
        </is>
      </c>
      <c r="H1004" t="inlineStr">
        <is>
          <t>Holmen skog AB</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24123-2026</t>
        </is>
      </c>
      <c r="B1005" t="inlineStr">
        <is>
          <t>avverkningsanmälan</t>
        </is>
      </c>
      <c r="C1005" t="inlineStr">
        <is>
          <t>Föryngringsavverkning</t>
        </is>
      </c>
      <c r="D1005" s="1" t="n">
        <v>46168</v>
      </c>
      <c r="E1005" s="1" t="n">
        <v>46223</v>
      </c>
      <c r="F1005" t="inlineStr">
        <is>
          <t>JÄMTLANDS LÄN</t>
        </is>
      </c>
      <c r="G1005" t="inlineStr">
        <is>
          <t>HÄRJEDALEN</t>
        </is>
      </c>
      <c r="H1005" t="inlineStr">
        <is>
          <t>Holmen skog AB</t>
        </is>
      </c>
      <c r="I1005" t="n">
        <v>4.1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24124-2026</t>
        </is>
      </c>
      <c r="B1006" t="inlineStr">
        <is>
          <t>avverkningsanmälan</t>
        </is>
      </c>
      <c r="C1006" t="inlineStr">
        <is>
          <t>Föryngringsavverkning</t>
        </is>
      </c>
      <c r="D1006" s="1" t="n">
        <v>46168</v>
      </c>
      <c r="E1006" s="1" t="n">
        <v>46223</v>
      </c>
      <c r="F1006" t="inlineStr">
        <is>
          <t>JÄMTLANDS LÄN</t>
        </is>
      </c>
      <c r="G1006" t="inlineStr">
        <is>
          <t>HÄRJEDALEN</t>
        </is>
      </c>
      <c r="H1006" t="inlineStr">
        <is>
          <t>Holmen skog AB</t>
        </is>
      </c>
      <c r="I1006" t="n">
        <v>5.5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24065-2026</t>
        </is>
      </c>
      <c r="B1007" t="inlineStr">
        <is>
          <t>avverkningsanmälan</t>
        </is>
      </c>
      <c r="C1007" t="inlineStr">
        <is>
          <t>Föryngringsavverkning</t>
        </is>
      </c>
      <c r="D1007" s="1" t="n">
        <v>46168</v>
      </c>
      <c r="E1007" s="1" t="n">
        <v>46223</v>
      </c>
      <c r="F1007" t="inlineStr">
        <is>
          <t>JÄMTLANDS LÄN</t>
        </is>
      </c>
      <c r="G1007" t="inlineStr">
        <is>
          <t>HÄRJEDALEN</t>
        </is>
      </c>
      <c r="H1007" t="inlineStr">
        <is>
          <t>Holmen skog AB</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60050-2024</t>
        </is>
      </c>
      <c r="B1008" t="inlineStr">
        <is>
          <t>avverkningsanmälan</t>
        </is>
      </c>
      <c r="C1008" t="inlineStr">
        <is>
          <t>Föryngringsavverkning</t>
        </is>
      </c>
      <c r="D1008" s="1" t="n">
        <v>45642</v>
      </c>
      <c r="E1008" s="1" t="n">
        <v>46223</v>
      </c>
      <c r="F1008" t="inlineStr">
        <is>
          <t>JÄMTLANDS LÄN</t>
        </is>
      </c>
      <c r="G1008" t="inlineStr">
        <is>
          <t>HÄRJEDALEN</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24112-2026</t>
        </is>
      </c>
      <c r="B1009" t="inlineStr">
        <is>
          <t>avverkningsanmälan</t>
        </is>
      </c>
      <c r="C1009" t="inlineStr">
        <is>
          <t>Föryngringsavverkning</t>
        </is>
      </c>
      <c r="D1009" s="1" t="n">
        <v>46168</v>
      </c>
      <c r="E1009" s="1" t="n">
        <v>46223</v>
      </c>
      <c r="F1009" t="inlineStr">
        <is>
          <t>JÄMTLANDS LÄN</t>
        </is>
      </c>
      <c r="G1009" t="inlineStr">
        <is>
          <t>HÄRJEDALEN</t>
        </is>
      </c>
      <c r="H1009" t="inlineStr">
        <is>
          <t>Holmen skog AB</t>
        </is>
      </c>
      <c r="I1009" t="n">
        <v>5.2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24127-2026</t>
        </is>
      </c>
      <c r="B1010" t="inlineStr">
        <is>
          <t>avverkningsanmälan</t>
        </is>
      </c>
      <c r="C1010" t="inlineStr">
        <is>
          <t>Föryngringsavverkning</t>
        </is>
      </c>
      <c r="D1010" s="1" t="n">
        <v>46168</v>
      </c>
      <c r="E1010" s="1" t="n">
        <v>46223</v>
      </c>
      <c r="F1010" t="inlineStr">
        <is>
          <t>JÄMTLANDS LÄN</t>
        </is>
      </c>
      <c r="G1010" t="inlineStr">
        <is>
          <t>HÄRJEDALEN</t>
        </is>
      </c>
      <c r="H1010" t="inlineStr">
        <is>
          <t>Holmen skog AB</t>
        </is>
      </c>
      <c r="I1010" t="n">
        <v>1.6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23990-2026</t>
        </is>
      </c>
      <c r="B1011" t="inlineStr">
        <is>
          <t>avverkningsanmälan</t>
        </is>
      </c>
      <c r="C1011" t="inlineStr">
        <is>
          <t>Föryngringsavverkning</t>
        </is>
      </c>
      <c r="D1011" s="1" t="n">
        <v>46167</v>
      </c>
      <c r="E1011" s="1" t="n">
        <v>46223</v>
      </c>
      <c r="F1011" t="inlineStr">
        <is>
          <t>JÄMTLANDS LÄN</t>
        </is>
      </c>
      <c r="G1011" t="inlineStr">
        <is>
          <t>HÄRJEDALEN</t>
        </is>
      </c>
      <c r="H1011" t="inlineStr">
        <is>
          <t>Holmen skog AB</t>
        </is>
      </c>
      <c r="I1011" t="n">
        <v>2.7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29594-2024</t>
        </is>
      </c>
      <c r="B1012" t="inlineStr">
        <is>
          <t>avverkningsanmälan</t>
        </is>
      </c>
      <c r="C1012" t="inlineStr">
        <is>
          <t>Föryngringsavverkning</t>
        </is>
      </c>
      <c r="D1012" s="1" t="n">
        <v>45484</v>
      </c>
      <c r="E1012" s="1" t="n">
        <v>46223</v>
      </c>
      <c r="F1012" t="inlineStr">
        <is>
          <t>JÄMTLANDS LÄN</t>
        </is>
      </c>
      <c r="G1012" t="inlineStr">
        <is>
          <t>HÄRJEDALEN</t>
        </is>
      </c>
      <c r="H1012" t="inlineStr">
        <is>
          <t>Holmen skog AB</t>
        </is>
      </c>
      <c r="I1012" t="n">
        <v>9.199999999999999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11255-2024</t>
        </is>
      </c>
      <c r="B1013" t="inlineStr">
        <is>
          <t>avverkningsanmälan</t>
        </is>
      </c>
      <c r="C1013" t="inlineStr">
        <is>
          <t>Föryngringsavverkning</t>
        </is>
      </c>
      <c r="D1013" s="1" t="n">
        <v>45371</v>
      </c>
      <c r="E1013" s="1" t="n">
        <v>46223</v>
      </c>
      <c r="F1013" t="inlineStr">
        <is>
          <t>JÄMTLANDS LÄN</t>
        </is>
      </c>
      <c r="G1013" t="inlineStr">
        <is>
          <t>HÄRJEDALEN</t>
        </is>
      </c>
      <c r="H1013" t="inlineStr">
        <is>
          <t>Holmen skog AB</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55931-2022</t>
        </is>
      </c>
      <c r="B1014" t="inlineStr">
        <is>
          <t>avverkningsanmälan</t>
        </is>
      </c>
      <c r="C1014" t="inlineStr">
        <is>
          <t>Föryngringsavverkning</t>
        </is>
      </c>
      <c r="D1014" s="1" t="n">
        <v>44886</v>
      </c>
      <c r="E1014" s="1" t="n">
        <v>46223</v>
      </c>
      <c r="F1014" t="inlineStr">
        <is>
          <t>JÄMTLANDS LÄN</t>
        </is>
      </c>
      <c r="G1014" t="inlineStr">
        <is>
          <t>HÄRJEDALEN</t>
        </is>
      </c>
      <c r="H1014" t="inlineStr">
        <is>
          <t>Övriga statliga verk och myndigheter</t>
        </is>
      </c>
      <c r="I1014" t="n">
        <v>2.9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24305-2026</t>
        </is>
      </c>
      <c r="B1015" t="inlineStr">
        <is>
          <t>avverkningsanmälan</t>
        </is>
      </c>
      <c r="C1015" t="inlineStr">
        <is>
          <t>Föryngringsavverkning</t>
        </is>
      </c>
      <c r="D1015" s="1" t="n">
        <v>46169</v>
      </c>
      <c r="E1015" s="1" t="n">
        <v>46223</v>
      </c>
      <c r="F1015" t="inlineStr">
        <is>
          <t>JÄMTLANDS LÄN</t>
        </is>
      </c>
      <c r="G1015" t="inlineStr">
        <is>
          <t>HÄRJEDALEN</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30856-2026</t>
        </is>
      </c>
      <c r="B1016" t="inlineStr">
        <is>
          <t>avverkningsanmälan</t>
        </is>
      </c>
      <c r="C1016" t="inlineStr">
        <is>
          <t>Föryngringsavverkning</t>
        </is>
      </c>
      <c r="D1016" s="1" t="n">
        <v>46212</v>
      </c>
      <c r="E1016" s="1" t="n">
        <v>46223</v>
      </c>
      <c r="F1016" t="inlineStr">
        <is>
          <t>JÄMTLANDS LÄN</t>
        </is>
      </c>
      <c r="G1016" t="inlineStr">
        <is>
          <t>HÄRJEDALEN</t>
        </is>
      </c>
      <c r="H1016" t="inlineStr">
        <is>
          <t>SCA</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30854-2026</t>
        </is>
      </c>
      <c r="B1017" t="inlineStr">
        <is>
          <t>avverkningsanmälan</t>
        </is>
      </c>
      <c r="C1017" t="inlineStr">
        <is>
          <t>Föryngringsavverkning</t>
        </is>
      </c>
      <c r="D1017" s="1" t="n">
        <v>46212</v>
      </c>
      <c r="E1017" s="1" t="n">
        <v>46223</v>
      </c>
      <c r="F1017" t="inlineStr">
        <is>
          <t>JÄMTLANDS LÄN</t>
        </is>
      </c>
      <c r="G1017" t="inlineStr">
        <is>
          <t>HÄRJEDALEN</t>
        </is>
      </c>
      <c r="H1017" t="inlineStr">
        <is>
          <t>SCA</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1361-2024</t>
        </is>
      </c>
      <c r="B1018" t="inlineStr">
        <is>
          <t>avverkningsanmälan</t>
        </is>
      </c>
      <c r="C1018" t="inlineStr">
        <is>
          <t>Föryngringsavverkning</t>
        </is>
      </c>
      <c r="D1018" s="1" t="n">
        <v>45303</v>
      </c>
      <c r="E1018" s="1" t="n">
        <v>46223</v>
      </c>
      <c r="F1018" t="inlineStr">
        <is>
          <t>JÄMTLANDS LÄN</t>
        </is>
      </c>
      <c r="G1018" t="inlineStr">
        <is>
          <t>HÄRJEDALEN</t>
        </is>
      </c>
      <c r="I1018" t="n">
        <v>2.9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848-2025</t>
        </is>
      </c>
      <c r="B1019" t="inlineStr">
        <is>
          <t>avverkningsanmälan</t>
        </is>
      </c>
      <c r="C1019" t="inlineStr">
        <is>
          <t>Föryngringsavverkning</t>
        </is>
      </c>
      <c r="D1019" s="1" t="n">
        <v>45665</v>
      </c>
      <c r="E1019" s="1" t="n">
        <v>46223</v>
      </c>
      <c r="F1019" t="inlineStr">
        <is>
          <t>JÄMTLANDS LÄN</t>
        </is>
      </c>
      <c r="G1019" t="inlineStr">
        <is>
          <t>HÄRJEDALEN</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48822-2024</t>
        </is>
      </c>
      <c r="B1020" t="inlineStr">
        <is>
          <t>avverkningsanmälan</t>
        </is>
      </c>
      <c r="C1020" t="inlineStr">
        <is>
          <t>Föryngringsavverkning</t>
        </is>
      </c>
      <c r="D1020" s="1" t="n">
        <v>45593</v>
      </c>
      <c r="E1020" s="1" t="n">
        <v>46223</v>
      </c>
      <c r="F1020" t="inlineStr">
        <is>
          <t>JÄMTLANDS LÄN</t>
        </is>
      </c>
      <c r="G1020" t="inlineStr">
        <is>
          <t>HÄRJEDALEN</t>
        </is>
      </c>
      <c r="I1020" t="n">
        <v>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48823-2024</t>
        </is>
      </c>
      <c r="B1021" t="inlineStr">
        <is>
          <t>avverkningsanmälan</t>
        </is>
      </c>
      <c r="C1021" t="inlineStr">
        <is>
          <t>Föryngringsavverkning</t>
        </is>
      </c>
      <c r="D1021" s="1" t="n">
        <v>45593</v>
      </c>
      <c r="E1021" s="1" t="n">
        <v>46223</v>
      </c>
      <c r="F1021" t="inlineStr">
        <is>
          <t>JÄMTLANDS LÄN</t>
        </is>
      </c>
      <c r="G1021" t="inlineStr">
        <is>
          <t>HÄRJEDALEN</t>
        </is>
      </c>
      <c r="I1021" t="n">
        <v>0.2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56547-2024</t>
        </is>
      </c>
      <c r="B1022" t="inlineStr">
        <is>
          <t>avverkningsanmälan</t>
        </is>
      </c>
      <c r="C1022" t="inlineStr">
        <is>
          <t>Föryngringsavverkning</t>
        </is>
      </c>
      <c r="D1022" s="1" t="n">
        <v>45625</v>
      </c>
      <c r="E1022" s="1" t="n">
        <v>46223</v>
      </c>
      <c r="F1022" t="inlineStr">
        <is>
          <t>JÄMTLANDS LÄN</t>
        </is>
      </c>
      <c r="G1022" t="inlineStr">
        <is>
          <t>HÄRJEDALEN</t>
        </is>
      </c>
      <c r="H1022" t="inlineStr">
        <is>
          <t>Holmen skog AB</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31022-2026</t>
        </is>
      </c>
      <c r="B1023" t="inlineStr">
        <is>
          <t>avverkningsanmälan</t>
        </is>
      </c>
      <c r="C1023" t="inlineStr">
        <is>
          <t>Föryngringsavverkning</t>
        </is>
      </c>
      <c r="D1023" s="1" t="n">
        <v>46206</v>
      </c>
      <c r="E1023" s="1" t="n">
        <v>46223</v>
      </c>
      <c r="F1023" t="inlineStr">
        <is>
          <t>JÄMTLANDS LÄN</t>
        </is>
      </c>
      <c r="G1023" t="inlineStr">
        <is>
          <t>HÄRJEDALEN</t>
        </is>
      </c>
      <c r="H1023" t="inlineStr">
        <is>
          <t>Bergvik skog väst AB</t>
        </is>
      </c>
      <c r="I1023" t="n">
        <v>3.2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63323-2023</t>
        </is>
      </c>
      <c r="B1024" t="inlineStr">
        <is>
          <t>avverkningsanmälan</t>
        </is>
      </c>
      <c r="C1024" t="inlineStr">
        <is>
          <t>Föryngringsavverkning</t>
        </is>
      </c>
      <c r="D1024" s="1" t="n">
        <v>45274</v>
      </c>
      <c r="E1024" s="1" t="n">
        <v>46223</v>
      </c>
      <c r="F1024" t="inlineStr">
        <is>
          <t>JÄMTLANDS LÄN</t>
        </is>
      </c>
      <c r="G1024" t="inlineStr">
        <is>
          <t>HÄRJEDALEN</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12450-2025</t>
        </is>
      </c>
      <c r="B1025" t="inlineStr">
        <is>
          <t>avverkningsanmälan</t>
        </is>
      </c>
      <c r="C1025" t="inlineStr">
        <is>
          <t>Föryngringsavverkning</t>
        </is>
      </c>
      <c r="D1025" s="1" t="n">
        <v>45730</v>
      </c>
      <c r="E1025" s="1" t="n">
        <v>46223</v>
      </c>
      <c r="F1025" t="inlineStr">
        <is>
          <t>JÄMTLANDS LÄN</t>
        </is>
      </c>
      <c r="G1025" t="inlineStr">
        <is>
          <t>HÄRJEDALEN</t>
        </is>
      </c>
      <c r="I1025" t="n">
        <v>7.6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16801-2024</t>
        </is>
      </c>
      <c r="B1026" t="inlineStr">
        <is>
          <t>avverkningsanmälan</t>
        </is>
      </c>
      <c r="C1026" t="inlineStr">
        <is>
          <t>Föryngringsavverkning</t>
        </is>
      </c>
      <c r="D1026" s="1" t="n">
        <v>45411</v>
      </c>
      <c r="E1026" s="1" t="n">
        <v>46223</v>
      </c>
      <c r="F1026" t="inlineStr">
        <is>
          <t>JÄMTLANDS LÄN</t>
        </is>
      </c>
      <c r="G1026" t="inlineStr">
        <is>
          <t>HÄRJEDALEN</t>
        </is>
      </c>
      <c r="H1026" t="inlineStr">
        <is>
          <t>Bergvik skog väst AB</t>
        </is>
      </c>
      <c r="I1026" t="n">
        <v>15.2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1364-2024</t>
        </is>
      </c>
      <c r="B1027" t="inlineStr">
        <is>
          <t>avverkningsanmälan</t>
        </is>
      </c>
      <c r="C1027" t="inlineStr">
        <is>
          <t>Föryngringsavverkning</t>
        </is>
      </c>
      <c r="D1027" s="1" t="n">
        <v>45303</v>
      </c>
      <c r="E1027" s="1" t="n">
        <v>46223</v>
      </c>
      <c r="F1027" t="inlineStr">
        <is>
          <t>JÄMTLANDS LÄN</t>
        </is>
      </c>
      <c r="G1027" t="inlineStr">
        <is>
          <t>HÄRJEDALEN</t>
        </is>
      </c>
      <c r="I1027" t="n">
        <v>2.9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24545-2026</t>
        </is>
      </c>
      <c r="B1028" t="inlineStr">
        <is>
          <t>avverkningsanmälan</t>
        </is>
      </c>
      <c r="C1028" t="inlineStr">
        <is>
          <t>Föryngringsavverkning</t>
        </is>
      </c>
      <c r="D1028" s="1" t="n">
        <v>46170</v>
      </c>
      <c r="E1028" s="1" t="n">
        <v>46223</v>
      </c>
      <c r="F1028" t="inlineStr">
        <is>
          <t>JÄMTLANDS LÄN</t>
        </is>
      </c>
      <c r="G1028" t="inlineStr">
        <is>
          <t>HÄRJEDALEN</t>
        </is>
      </c>
      <c r="H1028" t="inlineStr">
        <is>
          <t>Bergvik skog väst AB</t>
        </is>
      </c>
      <c r="I1028" t="n">
        <v>6.5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58507-2024</t>
        </is>
      </c>
      <c r="B1029" t="inlineStr">
        <is>
          <t>avverkningsanmälan</t>
        </is>
      </c>
      <c r="C1029" t="inlineStr">
        <is>
          <t>Avverkning för annat ändamål</t>
        </is>
      </c>
      <c r="D1029" s="1" t="n">
        <v>45635</v>
      </c>
      <c r="E1029" s="1" t="n">
        <v>46223</v>
      </c>
      <c r="F1029" t="inlineStr">
        <is>
          <t>JÄMTLANDS LÄN</t>
        </is>
      </c>
      <c r="G1029" t="inlineStr">
        <is>
          <t>HÄRJEDALEN</t>
        </is>
      </c>
      <c r="H1029" t="inlineStr">
        <is>
          <t>Holmen skog AB</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11997-2025</t>
        </is>
      </c>
      <c r="B1030" t="inlineStr">
        <is>
          <t>avverkningsanmälan</t>
        </is>
      </c>
      <c r="C1030" t="inlineStr">
        <is>
          <t>Föryngringsavverkning</t>
        </is>
      </c>
      <c r="D1030" s="1" t="n">
        <v>45728</v>
      </c>
      <c r="E1030" s="1" t="n">
        <v>46223</v>
      </c>
      <c r="F1030" t="inlineStr">
        <is>
          <t>JÄMTLANDS LÄN</t>
        </is>
      </c>
      <c r="G1030" t="inlineStr">
        <is>
          <t>HÄRJEDALEN</t>
        </is>
      </c>
      <c r="I1030" t="n">
        <v>3.2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31235-2026</t>
        </is>
      </c>
      <c r="B1031" t="inlineStr">
        <is>
          <t>avverkningsanmälan</t>
        </is>
      </c>
      <c r="C1031" t="inlineStr">
        <is>
          <t>Föryngringsavverkning</t>
        </is>
      </c>
      <c r="D1031" s="1" t="n">
        <v>46210</v>
      </c>
      <c r="E1031" s="1" t="n">
        <v>46223</v>
      </c>
      <c r="F1031" t="inlineStr">
        <is>
          <t>JÄMTLANDS LÄN</t>
        </is>
      </c>
      <c r="G1031" t="inlineStr">
        <is>
          <t>HÄRJEDALEN</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18952-2026</t>
        </is>
      </c>
      <c r="B1032" t="inlineStr">
        <is>
          <t>avverkningsanmälan</t>
        </is>
      </c>
      <c r="C1032" t="inlineStr">
        <is>
          <t>Föryngringsavverkning</t>
        </is>
      </c>
      <c r="D1032" s="1" t="n">
        <v>46129</v>
      </c>
      <c r="E1032" s="1" t="n">
        <v>46223</v>
      </c>
      <c r="F1032" t="inlineStr">
        <is>
          <t>JÄMTLANDS LÄN</t>
        </is>
      </c>
      <c r="G1032" t="inlineStr">
        <is>
          <t>HÄRJEDALEN</t>
        </is>
      </c>
      <c r="I1032" t="n">
        <v>6.8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12810-2022</t>
        </is>
      </c>
      <c r="B1033" t="inlineStr">
        <is>
          <t>avverkningsanmälan</t>
        </is>
      </c>
      <c r="C1033" t="inlineStr">
        <is>
          <t>Föryngringsavverkning</t>
        </is>
      </c>
      <c r="D1033" s="1" t="n">
        <v>44642</v>
      </c>
      <c r="E1033" s="1" t="n">
        <v>46223</v>
      </c>
      <c r="F1033" t="inlineStr">
        <is>
          <t>JÄMTLANDS LÄN</t>
        </is>
      </c>
      <c r="G1033" t="inlineStr">
        <is>
          <t>HÄRJEDALEN</t>
        </is>
      </c>
      <c r="H1033" t="inlineStr">
        <is>
          <t>Holmen skog AB</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31921-2025</t>
        </is>
      </c>
      <c r="B1034" t="inlineStr">
        <is>
          <t>avverkningsanmälan</t>
        </is>
      </c>
      <c r="C1034" t="inlineStr">
        <is>
          <t>Föryngringsavverkning</t>
        </is>
      </c>
      <c r="D1034" s="1" t="n">
        <v>45834</v>
      </c>
      <c r="E1034" s="1" t="n">
        <v>46223</v>
      </c>
      <c r="F1034" t="inlineStr">
        <is>
          <t>JÄMTLANDS LÄN</t>
        </is>
      </c>
      <c r="G1034" t="inlineStr">
        <is>
          <t>HÄRJEDALEN</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56906-2023</t>
        </is>
      </c>
      <c r="B1035" t="inlineStr">
        <is>
          <t>avverkningsanmälan</t>
        </is>
      </c>
      <c r="C1035" t="inlineStr">
        <is>
          <t>Föryngringsavverkning</t>
        </is>
      </c>
      <c r="D1035" s="1" t="n">
        <v>45244</v>
      </c>
      <c r="E1035" s="1" t="n">
        <v>46223</v>
      </c>
      <c r="F1035" t="inlineStr">
        <is>
          <t>JÄMTLANDS LÄN</t>
        </is>
      </c>
      <c r="G1035" t="inlineStr">
        <is>
          <t>HÄRJEDALEN</t>
        </is>
      </c>
      <c r="I1035" t="n">
        <v>4.7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31188-2026</t>
        </is>
      </c>
      <c r="B1036" t="inlineStr">
        <is>
          <t>avverkningsanmälan</t>
        </is>
      </c>
      <c r="C1036" t="inlineStr">
        <is>
          <t>Föryngringsavverkning</t>
        </is>
      </c>
      <c r="D1036" s="1" t="n">
        <v>46217</v>
      </c>
      <c r="E1036" s="1" t="n">
        <v>46223</v>
      </c>
      <c r="F1036" t="inlineStr">
        <is>
          <t>JÄMTLANDS LÄN</t>
        </is>
      </c>
      <c r="G1036" t="inlineStr">
        <is>
          <t>HÄRJEDALEN</t>
        </is>
      </c>
      <c r="I1036" t="n">
        <v>28.5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1963-2026</t>
        </is>
      </c>
      <c r="B1037" t="inlineStr">
        <is>
          <t>avverkningsanmälan</t>
        </is>
      </c>
      <c r="C1037" t="inlineStr">
        <is>
          <t>Föryngringsavverkning</t>
        </is>
      </c>
      <c r="D1037" s="1" t="n">
        <v>46035</v>
      </c>
      <c r="E1037" s="1" t="n">
        <v>46223</v>
      </c>
      <c r="F1037" t="inlineStr">
        <is>
          <t>JÄMTLANDS LÄN</t>
        </is>
      </c>
      <c r="G1037" t="inlineStr">
        <is>
          <t>HÄRJEDALEN</t>
        </is>
      </c>
      <c r="H1037" t="inlineStr">
        <is>
          <t>Övriga statliga verk och myndigheter</t>
        </is>
      </c>
      <c r="I1037" t="n">
        <v>26.9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25558-2026</t>
        </is>
      </c>
      <c r="B1038" t="inlineStr">
        <is>
          <t>avverkningsanmälan</t>
        </is>
      </c>
      <c r="C1038" t="inlineStr">
        <is>
          <t>Föryngringsavverkning</t>
        </is>
      </c>
      <c r="D1038" s="1" t="n">
        <v>46177</v>
      </c>
      <c r="E1038" s="1" t="n">
        <v>46223</v>
      </c>
      <c r="F1038" t="inlineStr">
        <is>
          <t>JÄMTLANDS LÄN</t>
        </is>
      </c>
      <c r="G1038" t="inlineStr">
        <is>
          <t>HÄRJEDALEN</t>
        </is>
      </c>
      <c r="H1038" t="inlineStr">
        <is>
          <t>Bergvik skog väst AB</t>
        </is>
      </c>
      <c r="I1038" t="n">
        <v>41.5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58890-2023</t>
        </is>
      </c>
      <c r="B1039" t="inlineStr">
        <is>
          <t>avverkningsanmälan</t>
        </is>
      </c>
      <c r="C1039" t="inlineStr">
        <is>
          <t>Föryngringsavverkning</t>
        </is>
      </c>
      <c r="D1039" s="1" t="n">
        <v>45252</v>
      </c>
      <c r="E1039" s="1" t="n">
        <v>46223</v>
      </c>
      <c r="F1039" t="inlineStr">
        <is>
          <t>JÄMTLANDS LÄN</t>
        </is>
      </c>
      <c r="G1039" t="inlineStr">
        <is>
          <t>HÄRJEDALEN</t>
        </is>
      </c>
      <c r="I1039" t="n">
        <v>15.2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58930-2023</t>
        </is>
      </c>
      <c r="B1040" t="inlineStr">
        <is>
          <t>avverkningsanmälan</t>
        </is>
      </c>
      <c r="C1040" t="inlineStr">
        <is>
          <t>Föryngringsavverkning</t>
        </is>
      </c>
      <c r="D1040" s="1" t="n">
        <v>45252</v>
      </c>
      <c r="E1040" s="1" t="n">
        <v>46223</v>
      </c>
      <c r="F1040" t="inlineStr">
        <is>
          <t>JÄMTLANDS LÄN</t>
        </is>
      </c>
      <c r="G1040" t="inlineStr">
        <is>
          <t>HÄRJEDALEN</t>
        </is>
      </c>
      <c r="I1040" t="n">
        <v>4.8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1366-2024</t>
        </is>
      </c>
      <c r="B1041" t="inlineStr">
        <is>
          <t>avverkningsanmälan</t>
        </is>
      </c>
      <c r="C1041" t="inlineStr">
        <is>
          <t>Föryngringsavverkning</t>
        </is>
      </c>
      <c r="D1041" s="1" t="n">
        <v>45303</v>
      </c>
      <c r="E1041" s="1" t="n">
        <v>46223</v>
      </c>
      <c r="F1041" t="inlineStr">
        <is>
          <t>JÄMTLANDS LÄN</t>
        </is>
      </c>
      <c r="G1041" t="inlineStr">
        <is>
          <t>HÄRJEDALEN</t>
        </is>
      </c>
      <c r="I1041" t="n">
        <v>7.5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10024-2025</t>
        </is>
      </c>
      <c r="B1042" t="inlineStr">
        <is>
          <t>avverkningsanmälan</t>
        </is>
      </c>
      <c r="C1042" t="inlineStr">
        <is>
          <t>Föryngringsavverkning</t>
        </is>
      </c>
      <c r="D1042" s="1" t="n">
        <v>45719</v>
      </c>
      <c r="E1042" s="1" t="n">
        <v>46223</v>
      </c>
      <c r="F1042" t="inlineStr">
        <is>
          <t>JÄMTLANDS LÄN</t>
        </is>
      </c>
      <c r="G1042" t="inlineStr">
        <is>
          <t>HÄRJEDALEN</t>
        </is>
      </c>
      <c r="I1042" t="n">
        <v>2.4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44819-2024</t>
        </is>
      </c>
      <c r="B1043" t="inlineStr">
        <is>
          <t>avverkningsanmälan</t>
        </is>
      </c>
      <c r="C1043" t="inlineStr">
        <is>
          <t>Föryngringsavverkning</t>
        </is>
      </c>
      <c r="D1043" s="1" t="n">
        <v>45574</v>
      </c>
      <c r="E1043" s="1" t="n">
        <v>46223</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61465-2023</t>
        </is>
      </c>
      <c r="B1044" t="inlineStr">
        <is>
          <t>avverkningsanmälan</t>
        </is>
      </c>
      <c r="C1044" t="inlineStr">
        <is>
          <t>Föryngringsavverkning</t>
        </is>
      </c>
      <c r="D1044" s="1" t="n">
        <v>45264</v>
      </c>
      <c r="E1044" s="1" t="n">
        <v>46223</v>
      </c>
      <c r="F1044" t="inlineStr">
        <is>
          <t>JÄMTLANDS LÄN</t>
        </is>
      </c>
      <c r="G1044" t="inlineStr">
        <is>
          <t>HÄRJEDALEN</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17037-2025</t>
        </is>
      </c>
      <c r="B1045" t="inlineStr">
        <is>
          <t>avverkningsanmälan</t>
        </is>
      </c>
      <c r="C1045" t="inlineStr">
        <is>
          <t>Föryngringsavverkning</t>
        </is>
      </c>
      <c r="D1045" s="1" t="n">
        <v>45755</v>
      </c>
      <c r="E1045" s="1" t="n">
        <v>46223</v>
      </c>
      <c r="F1045" t="inlineStr">
        <is>
          <t>JÄMTLANDS LÄN</t>
        </is>
      </c>
      <c r="G1045" t="inlineStr">
        <is>
          <t>HÄRJEDALEN</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59118-2025</t>
        </is>
      </c>
      <c r="B1046" t="inlineStr">
        <is>
          <t>avverkningsanmälan</t>
        </is>
      </c>
      <c r="C1046" t="inlineStr">
        <is>
          <t>Föryngringsavverkning</t>
        </is>
      </c>
      <c r="D1046" s="1" t="n">
        <v>45988</v>
      </c>
      <c r="E1046" s="1" t="n">
        <v>46223</v>
      </c>
      <c r="F1046" t="inlineStr">
        <is>
          <t>JÄMTLANDS LÄN</t>
        </is>
      </c>
      <c r="G1046" t="inlineStr">
        <is>
          <t>HÄRJEDALEN</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60749-2023</t>
        </is>
      </c>
      <c r="B1047" t="inlineStr">
        <is>
          <t>avverkningsanmälan</t>
        </is>
      </c>
      <c r="C1047" t="inlineStr">
        <is>
          <t>Föryngringsavverkning</t>
        </is>
      </c>
      <c r="D1047" s="1" t="n">
        <v>45260</v>
      </c>
      <c r="E1047" s="1" t="n">
        <v>46223</v>
      </c>
      <c r="F1047" t="inlineStr">
        <is>
          <t>JÄMTLANDS LÄN</t>
        </is>
      </c>
      <c r="G1047" t="inlineStr">
        <is>
          <t>HÄRJEDALEN</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23185-2023</t>
        </is>
      </c>
      <c r="B1048" t="inlineStr">
        <is>
          <t>avverkningsanmälan</t>
        </is>
      </c>
      <c r="C1048" t="inlineStr">
        <is>
          <t>Föryngringsavverkning</t>
        </is>
      </c>
      <c r="D1048" s="1" t="n">
        <v>45075</v>
      </c>
      <c r="E1048" s="1" t="n">
        <v>46223</v>
      </c>
      <c r="F1048" t="inlineStr">
        <is>
          <t>JÄMTLANDS LÄN</t>
        </is>
      </c>
      <c r="G1048" t="inlineStr">
        <is>
          <t>HÄRJEDALEN</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1665-2025</t>
        </is>
      </c>
      <c r="B1049" t="inlineStr">
        <is>
          <t>avverkningsanmälan</t>
        </is>
      </c>
      <c r="C1049" t="inlineStr">
        <is>
          <t>Föryngringsavverkning</t>
        </is>
      </c>
      <c r="D1049" s="1" t="n">
        <v>45670</v>
      </c>
      <c r="E1049" s="1" t="n">
        <v>46223</v>
      </c>
      <c r="F1049" t="inlineStr">
        <is>
          <t>JÄMTLANDS LÄN</t>
        </is>
      </c>
      <c r="G1049" t="inlineStr">
        <is>
          <t>HÄRJEDALEN</t>
        </is>
      </c>
      <c r="H1049" t="inlineStr">
        <is>
          <t>Bergvik skog väst AB</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45120-2024</t>
        </is>
      </c>
      <c r="B1050" t="inlineStr">
        <is>
          <t>avverkningsanmälan</t>
        </is>
      </c>
      <c r="C1050" t="inlineStr">
        <is>
          <t>Föryngringsavverkning</t>
        </is>
      </c>
      <c r="D1050" s="1" t="n">
        <v>45575</v>
      </c>
      <c r="E1050" s="1" t="n">
        <v>46223</v>
      </c>
      <c r="F1050" t="inlineStr">
        <is>
          <t>JÄMTLANDS LÄN</t>
        </is>
      </c>
      <c r="G1050" t="inlineStr">
        <is>
          <t>HÄRJEDALEN</t>
        </is>
      </c>
      <c r="H1050" t="inlineStr">
        <is>
          <t>Holmen skog AB</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24613-2024</t>
        </is>
      </c>
      <c r="B1051" t="inlineStr">
        <is>
          <t>avverkningsanmälan</t>
        </is>
      </c>
      <c r="C1051" t="inlineStr">
        <is>
          <t>Föryngringsavverkning</t>
        </is>
      </c>
      <c r="D1051" s="1" t="n">
        <v>45460</v>
      </c>
      <c r="E1051" s="1" t="n">
        <v>46223</v>
      </c>
      <c r="F1051" t="inlineStr">
        <is>
          <t>JÄMTLANDS LÄN</t>
        </is>
      </c>
      <c r="G1051" t="inlineStr">
        <is>
          <t>HÄRJEDALEN</t>
        </is>
      </c>
      <c r="I1051" t="n">
        <v>10.3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25416-2026</t>
        </is>
      </c>
      <c r="B1052" t="inlineStr">
        <is>
          <t>avverkningsanmälan</t>
        </is>
      </c>
      <c r="C1052" t="inlineStr">
        <is>
          <t>Föryngringsavverkning</t>
        </is>
      </c>
      <c r="D1052" s="1" t="n">
        <v>46176</v>
      </c>
      <c r="E1052" s="1" t="n">
        <v>46223</v>
      </c>
      <c r="F1052" t="inlineStr">
        <is>
          <t>JÄMTLANDS LÄN</t>
        </is>
      </c>
      <c r="G1052" t="inlineStr">
        <is>
          <t>HÄRJEDALEN</t>
        </is>
      </c>
      <c r="I1052" t="n">
        <v>10.6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63741-2025</t>
        </is>
      </c>
      <c r="B1053" t="inlineStr">
        <is>
          <t>avverkningsanmälan</t>
        </is>
      </c>
      <c r="C1053" t="inlineStr">
        <is>
          <t>Föryngringsavverkning</t>
        </is>
      </c>
      <c r="D1053" s="1" t="n">
        <v>46015</v>
      </c>
      <c r="E1053" s="1" t="n">
        <v>46223</v>
      </c>
      <c r="F1053" t="inlineStr">
        <is>
          <t>JÄMTLANDS LÄN</t>
        </is>
      </c>
      <c r="G1053" t="inlineStr">
        <is>
          <t>HÄRJEDALEN</t>
        </is>
      </c>
      <c r="I1053" t="n">
        <v>21.3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36568-2023</t>
        </is>
      </c>
      <c r="B1054" t="inlineStr">
        <is>
          <t>avverkningsanmälan</t>
        </is>
      </c>
      <c r="C1054" t="inlineStr">
        <is>
          <t>Föryngringsavverkning</t>
        </is>
      </c>
      <c r="D1054" s="1" t="n">
        <v>45153</v>
      </c>
      <c r="E1054" s="1" t="n">
        <v>46223</v>
      </c>
      <c r="F1054" t="inlineStr">
        <is>
          <t>JÄMTLANDS LÄN</t>
        </is>
      </c>
      <c r="G1054" t="inlineStr">
        <is>
          <t>HÄRJEDALEN</t>
        </is>
      </c>
      <c r="H1054" t="inlineStr">
        <is>
          <t>Bergvik skog väst AB</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43297-2024</t>
        </is>
      </c>
      <c r="B1055" t="inlineStr">
        <is>
          <t>avverkningsanmälan</t>
        </is>
      </c>
      <c r="C1055" t="inlineStr">
        <is>
          <t>Föryngringsavverkning</t>
        </is>
      </c>
      <c r="D1055" s="1" t="n">
        <v>45568</v>
      </c>
      <c r="E1055" s="1" t="n">
        <v>46223</v>
      </c>
      <c r="F1055" t="inlineStr">
        <is>
          <t>JÄMTLANDS LÄN</t>
        </is>
      </c>
      <c r="G1055" t="inlineStr">
        <is>
          <t>HÄRJEDALEN</t>
        </is>
      </c>
      <c r="H1055" t="inlineStr">
        <is>
          <t>SCA</t>
        </is>
      </c>
      <c r="I1055" t="n">
        <v>9.300000000000001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60062-2023</t>
        </is>
      </c>
      <c r="B1056" t="inlineStr">
        <is>
          <t>avverkningsanmälan</t>
        </is>
      </c>
      <c r="C1056" t="inlineStr">
        <is>
          <t>Avverkning för annat ändamål</t>
        </is>
      </c>
      <c r="D1056" s="1" t="n">
        <v>45257</v>
      </c>
      <c r="E1056" s="1" t="n">
        <v>46223</v>
      </c>
      <c r="F1056" t="inlineStr">
        <is>
          <t>JÄMTLANDS LÄN</t>
        </is>
      </c>
      <c r="G1056" t="inlineStr">
        <is>
          <t>HÄRJEDALEN</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19402-2024</t>
        </is>
      </c>
      <c r="B1057" t="inlineStr">
        <is>
          <t>avverkningsanmälan</t>
        </is>
      </c>
      <c r="C1057" t="inlineStr">
        <is>
          <t>Föryngringsavverkning</t>
        </is>
      </c>
      <c r="D1057" s="1" t="n">
        <v>45429</v>
      </c>
      <c r="E1057" s="1" t="n">
        <v>46223</v>
      </c>
      <c r="F1057" t="inlineStr">
        <is>
          <t>JÄMTLANDS LÄN</t>
        </is>
      </c>
      <c r="G1057" t="inlineStr">
        <is>
          <t>HÄRJEDALEN</t>
        </is>
      </c>
      <c r="I1057" t="n">
        <v>9.800000000000001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58581-2024</t>
        </is>
      </c>
      <c r="B1058" t="inlineStr">
        <is>
          <t>avverkningsanmälan</t>
        </is>
      </c>
      <c r="C1058" t="inlineStr">
        <is>
          <t>Föryngringsavverkning</t>
        </is>
      </c>
      <c r="D1058" s="1" t="n">
        <v>45635</v>
      </c>
      <c r="E1058" s="1" t="n">
        <v>46223</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14631-2023</t>
        </is>
      </c>
      <c r="B1059" t="inlineStr">
        <is>
          <t>avverkningsanmälan</t>
        </is>
      </c>
      <c r="C1059" t="inlineStr">
        <is>
          <t>Föryngringsavverkning</t>
        </is>
      </c>
      <c r="D1059" s="1" t="n">
        <v>45012</v>
      </c>
      <c r="E1059" s="1" t="n">
        <v>46223</v>
      </c>
      <c r="F1059" t="inlineStr">
        <is>
          <t>JÄMTLANDS LÄN</t>
        </is>
      </c>
      <c r="G1059" t="inlineStr">
        <is>
          <t>HÄRJEDALEN</t>
        </is>
      </c>
      <c r="H1059" t="inlineStr">
        <is>
          <t>Bergvik skog väst AB</t>
        </is>
      </c>
      <c r="I1059" t="n">
        <v>14.2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51994-2024</t>
        </is>
      </c>
      <c r="B1060" t="inlineStr">
        <is>
          <t>avverkningsanmälan</t>
        </is>
      </c>
      <c r="C1060" t="inlineStr">
        <is>
          <t>Föryngringsavverkning</t>
        </is>
      </c>
      <c r="D1060" s="1" t="n">
        <v>45607</v>
      </c>
      <c r="E1060" s="1" t="n">
        <v>46223</v>
      </c>
      <c r="F1060" t="inlineStr">
        <is>
          <t>JÄMTLANDS LÄN</t>
        </is>
      </c>
      <c r="G1060" t="inlineStr">
        <is>
          <t>HÄRJEDALEN</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859-2022</t>
        </is>
      </c>
      <c r="B1061" t="inlineStr">
        <is>
          <t>avverkningsanmälan</t>
        </is>
      </c>
      <c r="C1061" t="inlineStr">
        <is>
          <t>Föryngringsavverkning</t>
        </is>
      </c>
      <c r="D1061" s="1" t="n">
        <v>44571</v>
      </c>
      <c r="E1061" s="1" t="n">
        <v>46223</v>
      </c>
      <c r="F1061" t="inlineStr">
        <is>
          <t>JÄMTLANDS LÄN</t>
        </is>
      </c>
      <c r="G1061" t="inlineStr">
        <is>
          <t>HÄRJEDALEN</t>
        </is>
      </c>
      <c r="I1061" t="n">
        <v>16.9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45731-2024</t>
        </is>
      </c>
      <c r="B1062" t="inlineStr">
        <is>
          <t>avverkningsanmälan</t>
        </is>
      </c>
      <c r="C1062" t="inlineStr">
        <is>
          <t>Föryngringsavverkning</t>
        </is>
      </c>
      <c r="D1062" s="1" t="n">
        <v>45579</v>
      </c>
      <c r="E1062" s="1" t="n">
        <v>46223</v>
      </c>
      <c r="F1062" t="inlineStr">
        <is>
          <t>JÄMTLANDS LÄN</t>
        </is>
      </c>
      <c r="G1062" t="inlineStr">
        <is>
          <t>HÄRJEDALEN</t>
        </is>
      </c>
      <c r="I1062" t="n">
        <v>3.4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58110-2024</t>
        </is>
      </c>
      <c r="B1063" t="inlineStr">
        <is>
          <t>avverkningsanmälan</t>
        </is>
      </c>
      <c r="C1063" t="inlineStr">
        <is>
          <t>Föryngringsavverkning</t>
        </is>
      </c>
      <c r="D1063" s="1" t="n">
        <v>45632</v>
      </c>
      <c r="E1063" s="1" t="n">
        <v>46223</v>
      </c>
      <c r="F1063" t="inlineStr">
        <is>
          <t>JÄMTLANDS LÄN</t>
        </is>
      </c>
      <c r="G1063" t="inlineStr">
        <is>
          <t>HÄRJEDALEN</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58117-2024</t>
        </is>
      </c>
      <c r="B1064" t="inlineStr">
        <is>
          <t>avverkningsanmälan</t>
        </is>
      </c>
      <c r="C1064" t="inlineStr">
        <is>
          <t>Föryngringsavverkning</t>
        </is>
      </c>
      <c r="D1064" s="1" t="n">
        <v>45632</v>
      </c>
      <c r="E1064" s="1" t="n">
        <v>46223</v>
      </c>
      <c r="F1064" t="inlineStr">
        <is>
          <t>JÄMTLANDS LÄN</t>
        </is>
      </c>
      <c r="G1064" t="inlineStr">
        <is>
          <t>HÄRJEDALEN</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51315-2024</t>
        </is>
      </c>
      <c r="B1065" t="inlineStr">
        <is>
          <t>avverkningsanmälan</t>
        </is>
      </c>
      <c r="C1065" t="inlineStr">
        <is>
          <t>Föryngringsavverkning</t>
        </is>
      </c>
      <c r="D1065" s="1" t="n">
        <v>45604</v>
      </c>
      <c r="E1065" s="1" t="n">
        <v>46223</v>
      </c>
      <c r="F1065" t="inlineStr">
        <is>
          <t>JÄMTLANDS LÄN</t>
        </is>
      </c>
      <c r="G1065" t="inlineStr">
        <is>
          <t>HÄRJEDALEN</t>
        </is>
      </c>
      <c r="H1065" t="inlineStr">
        <is>
          <t>Holmen skog AB</t>
        </is>
      </c>
      <c r="I1065" t="n">
        <v>7.3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31764-2024</t>
        </is>
      </c>
      <c r="B1066" t="inlineStr">
        <is>
          <t>avverkningsanmälan</t>
        </is>
      </c>
      <c r="C1066" t="inlineStr">
        <is>
          <t>Avverkning för annat ändamål</t>
        </is>
      </c>
      <c r="D1066" s="1" t="n">
        <v>45509</v>
      </c>
      <c r="E1066" s="1" t="n">
        <v>46223</v>
      </c>
      <c r="F1066" t="inlineStr">
        <is>
          <t>JÄMTLANDS LÄN</t>
        </is>
      </c>
      <c r="G1066" t="inlineStr">
        <is>
          <t>HÄRJEDALEN</t>
        </is>
      </c>
      <c r="H1066" t="inlineStr">
        <is>
          <t>Övriga statliga verk och myndigheter</t>
        </is>
      </c>
      <c r="I1066" t="n">
        <v>1.1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29631-2024</t>
        </is>
      </c>
      <c r="B1067" t="inlineStr">
        <is>
          <t>avverkningsanmälan</t>
        </is>
      </c>
      <c r="C1067" t="inlineStr">
        <is>
          <t>Föryngringsavverkning</t>
        </is>
      </c>
      <c r="D1067" s="1" t="n">
        <v>45484</v>
      </c>
      <c r="E1067" s="1" t="n">
        <v>46223</v>
      </c>
      <c r="F1067" t="inlineStr">
        <is>
          <t>JÄMTLANDS LÄN</t>
        </is>
      </c>
      <c r="G1067" t="inlineStr">
        <is>
          <t>HÄRJEDALEN</t>
        </is>
      </c>
      <c r="H1067" t="inlineStr">
        <is>
          <t>Holmen skog AB</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20672-2025</t>
        </is>
      </c>
      <c r="B1068" t="inlineStr">
        <is>
          <t>avverkningsanmälan</t>
        </is>
      </c>
      <c r="C1068" t="inlineStr">
        <is>
          <t>Föryngringsavverkning</t>
        </is>
      </c>
      <c r="D1068" s="1" t="n">
        <v>45776</v>
      </c>
      <c r="E1068" s="1" t="n">
        <v>46223</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21161-2025</t>
        </is>
      </c>
      <c r="B1069" t="inlineStr">
        <is>
          <t>avverkningsanmälan</t>
        </is>
      </c>
      <c r="C1069" t="inlineStr">
        <is>
          <t>Föryngringsavverkning</t>
        </is>
      </c>
      <c r="D1069" s="1" t="n">
        <v>45779</v>
      </c>
      <c r="E1069" s="1" t="n">
        <v>46223</v>
      </c>
      <c r="F1069" t="inlineStr">
        <is>
          <t>JÄMTLANDS LÄN</t>
        </is>
      </c>
      <c r="G1069" t="inlineStr">
        <is>
          <t>HÄRJEDALEN</t>
        </is>
      </c>
      <c r="H1069" t="inlineStr">
        <is>
          <t>Holmen skog AB</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21169-2025</t>
        </is>
      </c>
      <c r="B1070" t="inlineStr">
        <is>
          <t>avverkningsanmälan</t>
        </is>
      </c>
      <c r="C1070" t="inlineStr">
        <is>
          <t>Föryngringsavverkning</t>
        </is>
      </c>
      <c r="D1070" s="1" t="n">
        <v>45779</v>
      </c>
      <c r="E1070" s="1" t="n">
        <v>46223</v>
      </c>
      <c r="F1070" t="inlineStr">
        <is>
          <t>JÄMTLANDS LÄN</t>
        </is>
      </c>
      <c r="G1070" t="inlineStr">
        <is>
          <t>HÄRJEDALEN</t>
        </is>
      </c>
      <c r="H1070" t="inlineStr">
        <is>
          <t>Holmen skog AB</t>
        </is>
      </c>
      <c r="I1070" t="n">
        <v>4.4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13783-2025</t>
        </is>
      </c>
      <c r="B1071" t="inlineStr">
        <is>
          <t>avverkningsanmälan</t>
        </is>
      </c>
      <c r="C1071" t="inlineStr">
        <is>
          <t>Föryngringsavverkning</t>
        </is>
      </c>
      <c r="D1071" s="1" t="n">
        <v>45737</v>
      </c>
      <c r="E1071" s="1" t="n">
        <v>46223</v>
      </c>
      <c r="F1071" t="inlineStr">
        <is>
          <t>JÄMTLANDS LÄN</t>
        </is>
      </c>
      <c r="G1071" t="inlineStr">
        <is>
          <t>HÄRJEDALEN</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21355-2025</t>
        </is>
      </c>
      <c r="B1072" t="inlineStr">
        <is>
          <t>avverkningsanmälan</t>
        </is>
      </c>
      <c r="C1072" t="inlineStr">
        <is>
          <t>Föryngringsavverkning</t>
        </is>
      </c>
      <c r="D1072" s="1" t="n">
        <v>45782</v>
      </c>
      <c r="E1072" s="1" t="n">
        <v>46223</v>
      </c>
      <c r="F1072" t="inlineStr">
        <is>
          <t>JÄMTLANDS LÄN</t>
        </is>
      </c>
      <c r="G1072" t="inlineStr">
        <is>
          <t>HÄRJEDALEN</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21223-2025</t>
        </is>
      </c>
      <c r="B1073" t="inlineStr">
        <is>
          <t>avverkningsanmälan</t>
        </is>
      </c>
      <c r="C1073" t="inlineStr">
        <is>
          <t>Föryngringsavverkning</t>
        </is>
      </c>
      <c r="D1073" s="1" t="n">
        <v>45779</v>
      </c>
      <c r="E1073" s="1" t="n">
        <v>46223</v>
      </c>
      <c r="F1073" t="inlineStr">
        <is>
          <t>JÄMTLANDS LÄN</t>
        </is>
      </c>
      <c r="G1073" t="inlineStr">
        <is>
          <t>HÄRJEDALEN</t>
        </is>
      </c>
      <c r="H1073" t="inlineStr">
        <is>
          <t>Holmen skog AB</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21226-2025</t>
        </is>
      </c>
      <c r="B1074" t="inlineStr">
        <is>
          <t>avverkningsanmälan</t>
        </is>
      </c>
      <c r="C1074" t="inlineStr">
        <is>
          <t>Föryngringsavverkning</t>
        </is>
      </c>
      <c r="D1074" s="1" t="n">
        <v>45779</v>
      </c>
      <c r="E1074" s="1" t="n">
        <v>46223</v>
      </c>
      <c r="F1074" t="inlineStr">
        <is>
          <t>JÄMTLANDS LÄN</t>
        </is>
      </c>
      <c r="G1074" t="inlineStr">
        <is>
          <t>HÄRJEDALEN</t>
        </is>
      </c>
      <c r="H1074" t="inlineStr">
        <is>
          <t>Holmen skog AB</t>
        </is>
      </c>
      <c r="I1074" t="n">
        <v>4.5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21227-2025</t>
        </is>
      </c>
      <c r="B1075" t="inlineStr">
        <is>
          <t>avverkningsanmälan</t>
        </is>
      </c>
      <c r="C1075" t="inlineStr">
        <is>
          <t>Föryngringsavverkning</t>
        </is>
      </c>
      <c r="D1075" s="1" t="n">
        <v>45779</v>
      </c>
      <c r="E1075" s="1" t="n">
        <v>46223</v>
      </c>
      <c r="F1075" t="inlineStr">
        <is>
          <t>JÄMTLANDS LÄN</t>
        </is>
      </c>
      <c r="G1075" t="inlineStr">
        <is>
          <t>HÄRJEDALEN</t>
        </is>
      </c>
      <c r="H1075" t="inlineStr">
        <is>
          <t>Holmen skog AB</t>
        </is>
      </c>
      <c r="I1075" t="n">
        <v>4.9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54684-2024</t>
        </is>
      </c>
      <c r="B1076" t="inlineStr">
        <is>
          <t>avverkningsanmälan</t>
        </is>
      </c>
      <c r="C1076" t="inlineStr">
        <is>
          <t>Föryngringsavverkning</t>
        </is>
      </c>
      <c r="D1076" s="1" t="n">
        <v>45618</v>
      </c>
      <c r="E1076" s="1" t="n">
        <v>46223</v>
      </c>
      <c r="F1076" t="inlineStr">
        <is>
          <t>JÄMTLANDS LÄN</t>
        </is>
      </c>
      <c r="G1076" t="inlineStr">
        <is>
          <t>HÄRJEDALEN</t>
        </is>
      </c>
      <c r="I1076" t="n">
        <v>18.1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58341-2024</t>
        </is>
      </c>
      <c r="B1077" t="inlineStr">
        <is>
          <t>avverkningsanmälan</t>
        </is>
      </c>
      <c r="C1077" t="inlineStr">
        <is>
          <t>Föryngringsavverkning</t>
        </is>
      </c>
      <c r="D1077" s="1" t="n">
        <v>45632</v>
      </c>
      <c r="E1077" s="1" t="n">
        <v>46223</v>
      </c>
      <c r="F1077" t="inlineStr">
        <is>
          <t>JÄMTLANDS LÄN</t>
        </is>
      </c>
      <c r="G1077" t="inlineStr">
        <is>
          <t>HÄRJEDALEN</t>
        </is>
      </c>
      <c r="I1077" t="n">
        <v>7.9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29347-2024</t>
        </is>
      </c>
      <c r="B1078" t="inlineStr">
        <is>
          <t>avverkningsanmälan</t>
        </is>
      </c>
      <c r="C1078" t="inlineStr">
        <is>
          <t>Föryngringsavverkning</t>
        </is>
      </c>
      <c r="D1078" s="1" t="n">
        <v>45483</v>
      </c>
      <c r="E1078" s="1" t="n">
        <v>46223</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60054-2024</t>
        </is>
      </c>
      <c r="B1079" t="inlineStr">
        <is>
          <t>avverkningsanmälan</t>
        </is>
      </c>
      <c r="C1079" t="inlineStr">
        <is>
          <t>Föryngringsavverkning</t>
        </is>
      </c>
      <c r="D1079" s="1" t="n">
        <v>45642</v>
      </c>
      <c r="E1079" s="1" t="n">
        <v>46223</v>
      </c>
      <c r="F1079" t="inlineStr">
        <is>
          <t>JÄMTLANDS LÄN</t>
        </is>
      </c>
      <c r="G1079" t="inlineStr">
        <is>
          <t>HÄRJEDALEN</t>
        </is>
      </c>
      <c r="I1079" t="n">
        <v>8.699999999999999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43760-2024</t>
        </is>
      </c>
      <c r="B1080" t="inlineStr">
        <is>
          <t>avverkningsanmälan</t>
        </is>
      </c>
      <c r="C1080" t="inlineStr">
        <is>
          <t>Föryngringsavverkning</t>
        </is>
      </c>
      <c r="D1080" s="1" t="n">
        <v>45569</v>
      </c>
      <c r="E1080" s="1" t="n">
        <v>46223</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23467-2024</t>
        </is>
      </c>
      <c r="B1081" t="inlineStr">
        <is>
          <t>avverkningsanmälan</t>
        </is>
      </c>
      <c r="C1081" t="inlineStr">
        <is>
          <t>Föryngringsavverkning</t>
        </is>
      </c>
      <c r="D1081" s="1" t="n">
        <v>45453</v>
      </c>
      <c r="E1081" s="1" t="n">
        <v>46223</v>
      </c>
      <c r="F1081" t="inlineStr">
        <is>
          <t>JÄMTLANDS LÄN</t>
        </is>
      </c>
      <c r="G1081" t="inlineStr">
        <is>
          <t>HÄRJEDALEN</t>
        </is>
      </c>
      <c r="I1081" t="n">
        <v>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1459-2025</t>
        </is>
      </c>
      <c r="B1082" t="inlineStr">
        <is>
          <t>avverkningsanmälan</t>
        </is>
      </c>
      <c r="C1082" t="inlineStr">
        <is>
          <t>Föryngringsavverkning</t>
        </is>
      </c>
      <c r="D1082" s="1" t="n">
        <v>45670</v>
      </c>
      <c r="E1082" s="1" t="n">
        <v>46223</v>
      </c>
      <c r="F1082" t="inlineStr">
        <is>
          <t>JÄMTLANDS LÄN</t>
        </is>
      </c>
      <c r="G1082" t="inlineStr">
        <is>
          <t>HÄRJEDALEN</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22915-2025</t>
        </is>
      </c>
      <c r="B1083" t="inlineStr">
        <is>
          <t>avverkningsanmälan</t>
        </is>
      </c>
      <c r="C1083" t="inlineStr">
        <is>
          <t>Avverkning för annat ändamål</t>
        </is>
      </c>
      <c r="D1083" s="1" t="n">
        <v>45790</v>
      </c>
      <c r="E1083" s="1" t="n">
        <v>46223</v>
      </c>
      <c r="F1083" t="inlineStr">
        <is>
          <t>JÄMTLANDS LÄN</t>
        </is>
      </c>
      <c r="G1083" t="inlineStr">
        <is>
          <t>HÄRJEDALEN</t>
        </is>
      </c>
      <c r="H1083" t="inlineStr">
        <is>
          <t>Sveaskog</t>
        </is>
      </c>
      <c r="I1083" t="n">
        <v>0.2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32964-2024</t>
        </is>
      </c>
      <c r="B1084" t="inlineStr">
        <is>
          <t>avverkningsanmälan</t>
        </is>
      </c>
      <c r="C1084" t="inlineStr">
        <is>
          <t>Föryngringsavverkning</t>
        </is>
      </c>
      <c r="D1084" s="1" t="n">
        <v>45517</v>
      </c>
      <c r="E1084" s="1" t="n">
        <v>46223</v>
      </c>
      <c r="F1084" t="inlineStr">
        <is>
          <t>JÄMTLANDS LÄN</t>
        </is>
      </c>
      <c r="G1084" t="inlineStr">
        <is>
          <t>HÄRJEDALEN</t>
        </is>
      </c>
      <c r="H1084" t="inlineStr">
        <is>
          <t>Kommuner</t>
        </is>
      </c>
      <c r="I1084" t="n">
        <v>30.3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23518-2025</t>
        </is>
      </c>
      <c r="B1085" t="inlineStr">
        <is>
          <t>avverkningsanmälan</t>
        </is>
      </c>
      <c r="C1085" t="inlineStr">
        <is>
          <t>Avverkning för annat ändamål</t>
        </is>
      </c>
      <c r="D1085" s="1" t="n">
        <v>45792</v>
      </c>
      <c r="E1085" s="1" t="n">
        <v>46223</v>
      </c>
      <c r="F1085" t="inlineStr">
        <is>
          <t>JÄMTLANDS LÄN</t>
        </is>
      </c>
      <c r="G1085" t="inlineStr">
        <is>
          <t>HÄRJEDALEN</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41387-2021</t>
        </is>
      </c>
      <c r="B1086" t="inlineStr">
        <is>
          <t>avverkningsanmälan</t>
        </is>
      </c>
      <c r="C1086" t="inlineStr">
        <is>
          <t>Föryngringsavverkning</t>
        </is>
      </c>
      <c r="D1086" s="1" t="n">
        <v>44424</v>
      </c>
      <c r="E1086" s="1" t="n">
        <v>46223</v>
      </c>
      <c r="F1086" t="inlineStr">
        <is>
          <t>JÄMTLANDS LÄN</t>
        </is>
      </c>
      <c r="G1086" t="inlineStr">
        <is>
          <t>HÄRJEDALEN</t>
        </is>
      </c>
      <c r="I1086" t="n">
        <v>9.5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54678-2024</t>
        </is>
      </c>
      <c r="B1087" t="inlineStr">
        <is>
          <t>avverkningsanmälan</t>
        </is>
      </c>
      <c r="C1087" t="inlineStr">
        <is>
          <t>Föryngringsavverkning</t>
        </is>
      </c>
      <c r="D1087" s="1" t="n">
        <v>45618</v>
      </c>
      <c r="E1087" s="1" t="n">
        <v>46223</v>
      </c>
      <c r="F1087" t="inlineStr">
        <is>
          <t>JÄMTLANDS LÄN</t>
        </is>
      </c>
      <c r="G1087" t="inlineStr">
        <is>
          <t>HÄRJEDALEN</t>
        </is>
      </c>
      <c r="I1087" t="n">
        <v>16.9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23731-2025</t>
        </is>
      </c>
      <c r="B1088" t="inlineStr">
        <is>
          <t>avverkningsanmälan</t>
        </is>
      </c>
      <c r="C1088" t="inlineStr">
        <is>
          <t>Föryngringsavverkning</t>
        </is>
      </c>
      <c r="D1088" s="1" t="n">
        <v>45793</v>
      </c>
      <c r="E1088" s="1" t="n">
        <v>46223</v>
      </c>
      <c r="F1088" t="inlineStr">
        <is>
          <t>JÄMTLANDS LÄN</t>
        </is>
      </c>
      <c r="G1088" t="inlineStr">
        <is>
          <t>HÄRJEDALEN</t>
        </is>
      </c>
      <c r="H1088" t="inlineStr">
        <is>
          <t>Sveaskog</t>
        </is>
      </c>
      <c r="I1088" t="n">
        <v>11.7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2510-2025</t>
        </is>
      </c>
      <c r="B1089" t="inlineStr">
        <is>
          <t>avverkningsanmälan</t>
        </is>
      </c>
      <c r="C1089" t="inlineStr">
        <is>
          <t>Föryngringsavverkning</t>
        </is>
      </c>
      <c r="D1089" s="1" t="n">
        <v>45674</v>
      </c>
      <c r="E1089" s="1" t="n">
        <v>46223</v>
      </c>
      <c r="F1089" t="inlineStr">
        <is>
          <t>JÄMTLANDS LÄN</t>
        </is>
      </c>
      <c r="G1089" t="inlineStr">
        <is>
          <t>HÄRJEDALEN</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23351-2025</t>
        </is>
      </c>
      <c r="B1090" t="inlineStr">
        <is>
          <t>avverkningsanmälan</t>
        </is>
      </c>
      <c r="C1090" t="inlineStr">
        <is>
          <t>Avverkning för annat ändamål</t>
        </is>
      </c>
      <c r="D1090" s="1" t="n">
        <v>45791</v>
      </c>
      <c r="E1090" s="1" t="n">
        <v>46223</v>
      </c>
      <c r="F1090" t="inlineStr">
        <is>
          <t>JÄMTLANDS LÄN</t>
        </is>
      </c>
      <c r="G1090" t="inlineStr">
        <is>
          <t>HÄRJEDALEN</t>
        </is>
      </c>
      <c r="I1090" t="n">
        <v>1.8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24226-2025</t>
        </is>
      </c>
      <c r="B1091" t="inlineStr">
        <is>
          <t>avverkningsanmälan</t>
        </is>
      </c>
      <c r="C1091" t="inlineStr">
        <is>
          <t>Föryngringsavverkning</t>
        </is>
      </c>
      <c r="D1091" s="1" t="n">
        <v>45797</v>
      </c>
      <c r="E1091" s="1" t="n">
        <v>46223</v>
      </c>
      <c r="F1091" t="inlineStr">
        <is>
          <t>JÄMTLANDS LÄN</t>
        </is>
      </c>
      <c r="G1091" t="inlineStr">
        <is>
          <t>HÄRJEDALEN</t>
        </is>
      </c>
      <c r="I1091" t="n">
        <v>28.7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25325-2025</t>
        </is>
      </c>
      <c r="B1092" t="inlineStr">
        <is>
          <t>avverkningsanmälan</t>
        </is>
      </c>
      <c r="C1092" t="inlineStr">
        <is>
          <t>Föryngringsavverkning</t>
        </is>
      </c>
      <c r="D1092" s="1" t="n">
        <v>45800</v>
      </c>
      <c r="E1092" s="1" t="n">
        <v>46223</v>
      </c>
      <c r="F1092" t="inlineStr">
        <is>
          <t>JÄMTLANDS LÄN</t>
        </is>
      </c>
      <c r="G1092" t="inlineStr">
        <is>
          <t>HÄRJEDALEN</t>
        </is>
      </c>
      <c r="I1092" t="n">
        <v>5.6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25334-2025</t>
        </is>
      </c>
      <c r="B1093" t="inlineStr">
        <is>
          <t>avverkningsanmälan</t>
        </is>
      </c>
      <c r="C1093" t="inlineStr">
        <is>
          <t>Föryngringsavverkning</t>
        </is>
      </c>
      <c r="D1093" s="1" t="n">
        <v>45800</v>
      </c>
      <c r="E1093" s="1" t="n">
        <v>46223</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25392-2025</t>
        </is>
      </c>
      <c r="B1094" t="inlineStr">
        <is>
          <t>avverkningsanmälan</t>
        </is>
      </c>
      <c r="C1094" t="inlineStr">
        <is>
          <t>Föryngringsavverkning</t>
        </is>
      </c>
      <c r="D1094" s="1" t="n">
        <v>45800</v>
      </c>
      <c r="E1094" s="1" t="n">
        <v>46223</v>
      </c>
      <c r="F1094" t="inlineStr">
        <is>
          <t>JÄMTLANDS LÄN</t>
        </is>
      </c>
      <c r="G1094" t="inlineStr">
        <is>
          <t>HÄRJEDALEN</t>
        </is>
      </c>
      <c r="H1094" t="inlineStr">
        <is>
          <t>Holmen skog AB</t>
        </is>
      </c>
      <c r="I1094" t="n">
        <v>10.3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25288-2025</t>
        </is>
      </c>
      <c r="B1095" t="inlineStr">
        <is>
          <t>avverkningsanmälan</t>
        </is>
      </c>
      <c r="C1095" t="inlineStr">
        <is>
          <t>Föryngringsavverkning</t>
        </is>
      </c>
      <c r="D1095" s="1" t="n">
        <v>45800</v>
      </c>
      <c r="E1095" s="1" t="n">
        <v>46223</v>
      </c>
      <c r="F1095" t="inlineStr">
        <is>
          <t>JÄMTLANDS LÄN</t>
        </is>
      </c>
      <c r="G1095" t="inlineStr">
        <is>
          <t>HÄRJEDALEN</t>
        </is>
      </c>
      <c r="I1095" t="n">
        <v>4.6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25127-2025</t>
        </is>
      </c>
      <c r="B1096" t="inlineStr">
        <is>
          <t>avverkningsanmälan</t>
        </is>
      </c>
      <c r="C1096" t="inlineStr">
        <is>
          <t>Föryngringsavverkning</t>
        </is>
      </c>
      <c r="D1096" s="1" t="n">
        <v>45800</v>
      </c>
      <c r="E1096" s="1" t="n">
        <v>46223</v>
      </c>
      <c r="F1096" t="inlineStr">
        <is>
          <t>JÄMTLANDS LÄN</t>
        </is>
      </c>
      <c r="G1096" t="inlineStr">
        <is>
          <t>HÄRJEDALEN</t>
        </is>
      </c>
      <c r="H1096" t="inlineStr">
        <is>
          <t>Holmen skog AB</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25286-2025</t>
        </is>
      </c>
      <c r="B1097" t="inlineStr">
        <is>
          <t>avverkningsanmälan</t>
        </is>
      </c>
      <c r="C1097" t="inlineStr">
        <is>
          <t>Föryngringsavverkning</t>
        </is>
      </c>
      <c r="D1097" s="1" t="n">
        <v>45800</v>
      </c>
      <c r="E1097" s="1" t="n">
        <v>46223</v>
      </c>
      <c r="F1097" t="inlineStr">
        <is>
          <t>JÄMTLANDS LÄN</t>
        </is>
      </c>
      <c r="G1097" t="inlineStr">
        <is>
          <t>HÄRJEDALEN</t>
        </is>
      </c>
      <c r="H1097" t="inlineStr">
        <is>
          <t>Holmen skog AB</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24828-2025</t>
        </is>
      </c>
      <c r="B1098" t="inlineStr">
        <is>
          <t>avverkningsanmälan</t>
        </is>
      </c>
      <c r="C1098" t="inlineStr">
        <is>
          <t>Föryngringsavverkning</t>
        </is>
      </c>
      <c r="D1098" s="1" t="n">
        <v>45799</v>
      </c>
      <c r="E1098" s="1" t="n">
        <v>46223</v>
      </c>
      <c r="F1098" t="inlineStr">
        <is>
          <t>JÄMTLANDS LÄN</t>
        </is>
      </c>
      <c r="G1098" t="inlineStr">
        <is>
          <t>HÄRJEDALEN</t>
        </is>
      </c>
      <c r="H1098" t="inlineStr">
        <is>
          <t>Holmen skog AB</t>
        </is>
      </c>
      <c r="I1098" t="n">
        <v>6.2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24853-2025</t>
        </is>
      </c>
      <c r="B1099" t="inlineStr">
        <is>
          <t>avverkningsanmälan</t>
        </is>
      </c>
      <c r="C1099" t="inlineStr">
        <is>
          <t>Föryngringsavverkning</t>
        </is>
      </c>
      <c r="D1099" s="1" t="n">
        <v>45799</v>
      </c>
      <c r="E1099" s="1" t="n">
        <v>46223</v>
      </c>
      <c r="F1099" t="inlineStr">
        <is>
          <t>JÄMTLANDS LÄN</t>
        </is>
      </c>
      <c r="G1099" t="inlineStr">
        <is>
          <t>HÄRJEDALEN</t>
        </is>
      </c>
      <c r="H1099" t="inlineStr">
        <is>
          <t>Holmen skog AB</t>
        </is>
      </c>
      <c r="I1099" t="n">
        <v>57.7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24796-2025</t>
        </is>
      </c>
      <c r="B1100" t="inlineStr">
        <is>
          <t>avverkningsanmälan</t>
        </is>
      </c>
      <c r="C1100" t="inlineStr">
        <is>
          <t>Föryngringsavverkning</t>
        </is>
      </c>
      <c r="D1100" s="1" t="n">
        <v>45799</v>
      </c>
      <c r="E1100" s="1" t="n">
        <v>46223</v>
      </c>
      <c r="F1100" t="inlineStr">
        <is>
          <t>JÄMTLANDS LÄN</t>
        </is>
      </c>
      <c r="G1100" t="inlineStr">
        <is>
          <t>HÄRJEDALEN</t>
        </is>
      </c>
      <c r="H1100" t="inlineStr">
        <is>
          <t>Holmen skog AB</t>
        </is>
      </c>
      <c r="I1100" t="n">
        <v>5.3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25198-2025</t>
        </is>
      </c>
      <c r="B1101" t="inlineStr">
        <is>
          <t>avverkningsanmälan</t>
        </is>
      </c>
      <c r="C1101" t="inlineStr">
        <is>
          <t>Föryngringsavverkning</t>
        </is>
      </c>
      <c r="D1101" s="1" t="n">
        <v>45800</v>
      </c>
      <c r="E1101" s="1" t="n">
        <v>46223</v>
      </c>
      <c r="F1101" t="inlineStr">
        <is>
          <t>JÄMTLANDS LÄN</t>
        </is>
      </c>
      <c r="G1101" t="inlineStr">
        <is>
          <t>HÄRJEDALEN</t>
        </is>
      </c>
      <c r="H1101" t="inlineStr">
        <is>
          <t>Holmen skog AB</t>
        </is>
      </c>
      <c r="I1101" t="n">
        <v>4.7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25232-2025</t>
        </is>
      </c>
      <c r="B1102" t="inlineStr">
        <is>
          <t>avverkningsanmälan</t>
        </is>
      </c>
      <c r="C1102" t="inlineStr">
        <is>
          <t>Föryngringsavverkning</t>
        </is>
      </c>
      <c r="D1102" s="1" t="n">
        <v>45800</v>
      </c>
      <c r="E1102" s="1" t="n">
        <v>46223</v>
      </c>
      <c r="F1102" t="inlineStr">
        <is>
          <t>JÄMTLANDS LÄN</t>
        </is>
      </c>
      <c r="G1102" t="inlineStr">
        <is>
          <t>HÄRJEDALEN</t>
        </is>
      </c>
      <c r="H1102" t="inlineStr">
        <is>
          <t>Holmen skog AB</t>
        </is>
      </c>
      <c r="I1102" t="n">
        <v>3.6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25298-2025</t>
        </is>
      </c>
      <c r="B1103" t="inlineStr">
        <is>
          <t>avverkningsanmälan</t>
        </is>
      </c>
      <c r="C1103" t="inlineStr">
        <is>
          <t>Föryngringsavverkning</t>
        </is>
      </c>
      <c r="D1103" s="1" t="n">
        <v>45800</v>
      </c>
      <c r="E1103" s="1" t="n">
        <v>46223</v>
      </c>
      <c r="F1103" t="inlineStr">
        <is>
          <t>JÄMTLANDS LÄN</t>
        </is>
      </c>
      <c r="G1103" t="inlineStr">
        <is>
          <t>HÄRJEDALEN</t>
        </is>
      </c>
      <c r="H1103" t="inlineStr">
        <is>
          <t>Holmen skog AB</t>
        </is>
      </c>
      <c r="I1103" t="n">
        <v>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25123-2025</t>
        </is>
      </c>
      <c r="B1104" t="inlineStr">
        <is>
          <t>avverkningsanmälan</t>
        </is>
      </c>
      <c r="C1104" t="inlineStr">
        <is>
          <t>Föryngringsavverkning</t>
        </is>
      </c>
      <c r="D1104" s="1" t="n">
        <v>45800</v>
      </c>
      <c r="E1104" s="1" t="n">
        <v>46223</v>
      </c>
      <c r="F1104" t="inlineStr">
        <is>
          <t>JÄMTLANDS LÄN</t>
        </is>
      </c>
      <c r="G1104" t="inlineStr">
        <is>
          <t>HÄRJEDALEN</t>
        </is>
      </c>
      <c r="H1104" t="inlineStr">
        <is>
          <t>Holmen skog AB</t>
        </is>
      </c>
      <c r="I1104" t="n">
        <v>4.4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55193-2023</t>
        </is>
      </c>
      <c r="B1105" t="inlineStr">
        <is>
          <t>avverkningsanmälan</t>
        </is>
      </c>
      <c r="C1105" t="inlineStr">
        <is>
          <t>Föryngringsavverkning</t>
        </is>
      </c>
      <c r="D1105" s="1" t="n">
        <v>45237</v>
      </c>
      <c r="E1105" s="1" t="n">
        <v>46223</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25380-2025</t>
        </is>
      </c>
      <c r="B1106" t="inlineStr">
        <is>
          <t>avverkningsanmälan</t>
        </is>
      </c>
      <c r="C1106" t="inlineStr">
        <is>
          <t>Föryngringsavverkning</t>
        </is>
      </c>
      <c r="D1106" s="1" t="n">
        <v>45800</v>
      </c>
      <c r="E1106" s="1" t="n">
        <v>46223</v>
      </c>
      <c r="F1106" t="inlineStr">
        <is>
          <t>JÄMTLANDS LÄN</t>
        </is>
      </c>
      <c r="G1106" t="inlineStr">
        <is>
          <t>HÄRJEDALEN</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25343-2025</t>
        </is>
      </c>
      <c r="B1107" t="inlineStr">
        <is>
          <t>avverkningsanmälan</t>
        </is>
      </c>
      <c r="C1107" t="inlineStr">
        <is>
          <t>Föryngringsavverkning</t>
        </is>
      </c>
      <c r="D1107" s="1" t="n">
        <v>45800</v>
      </c>
      <c r="E1107" s="1" t="n">
        <v>46223</v>
      </c>
      <c r="F1107" t="inlineStr">
        <is>
          <t>JÄMTLANDS LÄN</t>
        </is>
      </c>
      <c r="G1107" t="inlineStr">
        <is>
          <t>HÄRJEDALEN</t>
        </is>
      </c>
      <c r="H1107" t="inlineStr">
        <is>
          <t>Holmen skog AB</t>
        </is>
      </c>
      <c r="I1107" t="n">
        <v>6.6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25409-2025</t>
        </is>
      </c>
      <c r="B1108" t="inlineStr">
        <is>
          <t>avverkningsanmälan</t>
        </is>
      </c>
      <c r="C1108" t="inlineStr">
        <is>
          <t>Föryngringsavverkning</t>
        </is>
      </c>
      <c r="D1108" s="1" t="n">
        <v>45800</v>
      </c>
      <c r="E1108" s="1" t="n">
        <v>46223</v>
      </c>
      <c r="F1108" t="inlineStr">
        <is>
          <t>JÄMTLANDS LÄN</t>
        </is>
      </c>
      <c r="G1108" t="inlineStr">
        <is>
          <t>HÄRJEDALEN</t>
        </is>
      </c>
      <c r="H1108" t="inlineStr">
        <is>
          <t>Holmen skog AB</t>
        </is>
      </c>
      <c r="I1108" t="n">
        <v>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24844-2025</t>
        </is>
      </c>
      <c r="B1109" t="inlineStr">
        <is>
          <t>avverkningsanmälan</t>
        </is>
      </c>
      <c r="C1109" t="inlineStr">
        <is>
          <t>Föryngringsavverkning</t>
        </is>
      </c>
      <c r="D1109" s="1" t="n">
        <v>45799</v>
      </c>
      <c r="E1109" s="1" t="n">
        <v>46223</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25112-2025</t>
        </is>
      </c>
      <c r="B1110" t="inlineStr">
        <is>
          <t>avverkningsanmälan</t>
        </is>
      </c>
      <c r="C1110" t="inlineStr">
        <is>
          <t>Föryngringsavverkning</t>
        </is>
      </c>
      <c r="D1110" s="1" t="n">
        <v>45800</v>
      </c>
      <c r="E1110" s="1" t="n">
        <v>46223</v>
      </c>
      <c r="F1110" t="inlineStr">
        <is>
          <t>JÄMTLANDS LÄN</t>
        </is>
      </c>
      <c r="G1110" t="inlineStr">
        <is>
          <t>HÄRJEDALEN</t>
        </is>
      </c>
      <c r="H1110" t="inlineStr">
        <is>
          <t>Holmen skog AB</t>
        </is>
      </c>
      <c r="I1110" t="n">
        <v>5.2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25147-2025</t>
        </is>
      </c>
      <c r="B1111" t="inlineStr">
        <is>
          <t>avverkningsanmälan</t>
        </is>
      </c>
      <c r="C1111" t="inlineStr">
        <is>
          <t>Föryngringsavverkning</t>
        </is>
      </c>
      <c r="D1111" s="1" t="n">
        <v>45800</v>
      </c>
      <c r="E1111" s="1" t="n">
        <v>46223</v>
      </c>
      <c r="F1111" t="inlineStr">
        <is>
          <t>JÄMTLANDS LÄN</t>
        </is>
      </c>
      <c r="G1111" t="inlineStr">
        <is>
          <t>HÄRJEDALEN</t>
        </is>
      </c>
      <c r="H1111" t="inlineStr">
        <is>
          <t>Holmen skog AB</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24791-2025</t>
        </is>
      </c>
      <c r="B1112" t="inlineStr">
        <is>
          <t>avverkningsanmälan</t>
        </is>
      </c>
      <c r="C1112" t="inlineStr">
        <is>
          <t>Föryngringsavverkning</t>
        </is>
      </c>
      <c r="D1112" s="1" t="n">
        <v>45799</v>
      </c>
      <c r="E1112" s="1" t="n">
        <v>46223</v>
      </c>
      <c r="F1112" t="inlineStr">
        <is>
          <t>JÄMTLANDS LÄN</t>
        </is>
      </c>
      <c r="G1112" t="inlineStr">
        <is>
          <t>HÄRJEDALEN</t>
        </is>
      </c>
      <c r="H1112" t="inlineStr">
        <is>
          <t>Holmen skog AB</t>
        </is>
      </c>
      <c r="I1112" t="n">
        <v>5.1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25515-2025</t>
        </is>
      </c>
      <c r="B1113" t="inlineStr">
        <is>
          <t>avverkningsanmälan</t>
        </is>
      </c>
      <c r="C1113" t="inlineStr">
        <is>
          <t>Föryngringsavverkning</t>
        </is>
      </c>
      <c r="D1113" s="1" t="n">
        <v>45803</v>
      </c>
      <c r="E1113" s="1" t="n">
        <v>46223</v>
      </c>
      <c r="F1113" t="inlineStr">
        <is>
          <t>JÄMTLANDS LÄN</t>
        </is>
      </c>
      <c r="G1113" t="inlineStr">
        <is>
          <t>HÄRJEDALEN</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2318-2025</t>
        </is>
      </c>
      <c r="B1114" t="inlineStr">
        <is>
          <t>samrådsanmälan</t>
        </is>
      </c>
      <c r="C1114" t="inlineStr">
        <is>
          <t>Annan skogsbruksåtgärd</t>
        </is>
      </c>
      <c r="D1114" s="1" t="n">
        <v>45883</v>
      </c>
      <c r="E1114" s="1" t="n">
        <v>46223</v>
      </c>
      <c r="F1114" t="inlineStr">
        <is>
          <t>JÄMTLANDS LÄN</t>
        </is>
      </c>
      <c r="G1114" t="inlineStr">
        <is>
          <t>HÄRJEDALEN</t>
        </is>
      </c>
      <c r="H1114" t="inlineStr">
        <is>
          <t>Sveaskog</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3026-2025</t>
        </is>
      </c>
      <c r="B1115" t="inlineStr">
        <is>
          <t>samrådsanmälan</t>
        </is>
      </c>
      <c r="C1115" t="inlineStr">
        <is>
          <t>Annan skogsbruksåtgärd</t>
        </is>
      </c>
      <c r="D1115" s="1" t="n">
        <v>45960</v>
      </c>
      <c r="E1115" s="1" t="n">
        <v>46223</v>
      </c>
      <c r="F1115" t="inlineStr">
        <is>
          <t>JÄMTLANDS LÄN</t>
        </is>
      </c>
      <c r="G1115" t="inlineStr">
        <is>
          <t>HÄRJEDALEN</t>
        </is>
      </c>
      <c r="I1115" t="n">
        <v>2.9</v>
      </c>
      <c r="J1115" t="n">
        <v>0</v>
      </c>
      <c r="K1115" t="n">
        <v>0</v>
      </c>
      <c r="L1115" t="n">
        <v>0</v>
      </c>
      <c r="M1115" t="n">
        <v>0</v>
      </c>
      <c r="N1115" t="n">
        <v>0</v>
      </c>
      <c r="O1115" t="n">
        <v>0</v>
      </c>
      <c r="P1115" t="n">
        <v>0</v>
      </c>
      <c r="Q1115" t="n">
        <v>0</v>
      </c>
      <c r="R1115" t="n">
        <v>0</v>
      </c>
      <c r="S1115" t="n">
        <v>0</v>
      </c>
      <c r="T1115" t="n">
        <v>0</v>
      </c>
      <c r="U1115" s="2" t="inlineStr"/>
    </row>
    <row r="1116">
      <c r="A1116" t="inlineStr">
        <is>
          <t>S 1708-2026</t>
        </is>
      </c>
      <c r="B1116" t="inlineStr">
        <is>
          <t>samrådsanmälan</t>
        </is>
      </c>
      <c r="C1116" t="inlineStr">
        <is>
          <t>Annan skogsbruksåtgärd</t>
        </is>
      </c>
      <c r="D1116" s="1" t="n">
        <v>46185</v>
      </c>
      <c r="E1116" s="1" t="n">
        <v>46223</v>
      </c>
      <c r="F1116" t="inlineStr">
        <is>
          <t>JÄMTLANDS LÄN</t>
        </is>
      </c>
      <c r="G1116" t="inlineStr">
        <is>
          <t>HÄRJEDALEN</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2026-07-20T01:45:54Z</dcterms:created>
  <dcterms:modified xmlns:dcterms="http://purl.org/dc/terms/" xmlns:xsi="http://www.w3.org/2001/XMLSchema-instance" xsi:type="dcterms:W3CDTF">2026-07-20T01:45:55Z</dcterms:modified>
</cp:coreProperties>
</file>