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45668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45668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45668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45668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45668</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45668</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45668</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45668</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45668</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45668</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45668</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45668</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45668</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45668</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45668</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45668</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45668</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45668</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45668</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45668</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45668</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45668</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45668</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45668</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45668</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45668</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45668</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45668</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45668</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45668</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45668</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45668</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45668</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45668</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45668</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45668</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45668</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45668</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45668</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45668</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45668</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45668</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45668</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45668</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45668</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45668</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45668</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45668</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45668</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45668</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45668</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45668</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45668</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45668</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45668</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45668</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45668</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45668</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45668</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45668</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45668</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45668</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45668</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45668</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45668</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45668</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45668</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45668</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45668</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45668</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45668</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45668</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45668</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45668</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45668</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45668</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45668</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45668</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45668</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45668</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45668</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45668</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45668</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45668</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45668</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45668</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45668</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45668</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45668</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45668</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45668</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45668</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45668</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45668</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45668</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45668</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45668</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45668</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45668</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45668</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45668</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45668</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45668</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45668</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45668</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45668</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45668</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45668</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45668</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45668</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45668</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45668</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45668</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45668</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45668</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45668</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45668</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45668</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45668</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45668</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45668</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45668</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45668</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45668</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45668</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45668</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45668</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45668</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45668</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45668</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45668</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45668</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45668</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45668</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45668</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45668</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45668</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45668</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45668</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45668</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45668</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45668</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45668</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45668</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45668</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45668</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45668</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45668</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45668</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45668</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45668</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45668</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45668</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45668</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45668</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45668</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45668</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45668</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45668</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45668</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45668</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45668</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45668</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45668</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45668</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45668</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45668</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45668</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45668</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45668</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45668</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45668</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45668</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45668</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45668</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45668</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45668</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45668</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45668</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45668</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45668</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45668</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45668</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45668</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45668</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17811-2019</t>
        </is>
      </c>
      <c r="B218" s="1" t="n">
        <v>43556</v>
      </c>
      <c r="C218" s="1" t="n">
        <v>45668</v>
      </c>
      <c r="D218" t="inlineStr">
        <is>
          <t>JÄMTLANDS LÄN</t>
        </is>
      </c>
      <c r="E218" t="inlineStr">
        <is>
          <t>HÄRJEDALEN</t>
        </is>
      </c>
      <c r="G218" t="n">
        <v>10.3</v>
      </c>
      <c r="H218" t="n">
        <v>0</v>
      </c>
      <c r="I218" t="n">
        <v>0</v>
      </c>
      <c r="J218" t="n">
        <v>0</v>
      </c>
      <c r="K218" t="n">
        <v>0</v>
      </c>
      <c r="L218" t="n">
        <v>0</v>
      </c>
      <c r="M218" t="n">
        <v>0</v>
      </c>
      <c r="N218" t="n">
        <v>0</v>
      </c>
      <c r="O218" t="n">
        <v>0</v>
      </c>
      <c r="P218" t="n">
        <v>0</v>
      </c>
      <c r="Q218" t="n">
        <v>0</v>
      </c>
      <c r="R218" s="2" t="inlineStr"/>
    </row>
    <row r="219" ht="15" customHeight="1">
      <c r="A219" t="inlineStr">
        <is>
          <t>A 17986-2019</t>
        </is>
      </c>
      <c r="B219" s="1" t="n">
        <v>43557</v>
      </c>
      <c r="C219" s="1" t="n">
        <v>45668</v>
      </c>
      <c r="D219" t="inlineStr">
        <is>
          <t>JÄMTLANDS LÄN</t>
        </is>
      </c>
      <c r="E219" t="inlineStr">
        <is>
          <t>HÄRJEDALEN</t>
        </is>
      </c>
      <c r="F219" t="inlineStr">
        <is>
          <t>Kyrkan</t>
        </is>
      </c>
      <c r="G219" t="n">
        <v>17.5</v>
      </c>
      <c r="H219" t="n">
        <v>0</v>
      </c>
      <c r="I219" t="n">
        <v>0</v>
      </c>
      <c r="J219" t="n">
        <v>0</v>
      </c>
      <c r="K219" t="n">
        <v>0</v>
      </c>
      <c r="L219" t="n">
        <v>0</v>
      </c>
      <c r="M219" t="n">
        <v>0</v>
      </c>
      <c r="N219" t="n">
        <v>0</v>
      </c>
      <c r="O219" t="n">
        <v>0</v>
      </c>
      <c r="P219" t="n">
        <v>0</v>
      </c>
      <c r="Q219" t="n">
        <v>0</v>
      </c>
      <c r="R219" s="2" t="inlineStr"/>
    </row>
    <row r="220" ht="15" customHeight="1">
      <c r="A220" t="inlineStr">
        <is>
          <t>A 17917-2019</t>
        </is>
      </c>
      <c r="B220" s="1" t="n">
        <v>43557</v>
      </c>
      <c r="C220" s="1" t="n">
        <v>45668</v>
      </c>
      <c r="D220" t="inlineStr">
        <is>
          <t>JÄMTLANDS LÄN</t>
        </is>
      </c>
      <c r="E220" t="inlineStr">
        <is>
          <t>HÄRJEDALEN</t>
        </is>
      </c>
      <c r="F220" t="inlineStr">
        <is>
          <t>Bergvik skog väst AB</t>
        </is>
      </c>
      <c r="G220" t="n">
        <v>166.3</v>
      </c>
      <c r="H220" t="n">
        <v>0</v>
      </c>
      <c r="I220" t="n">
        <v>0</v>
      </c>
      <c r="J220" t="n">
        <v>0</v>
      </c>
      <c r="K220" t="n">
        <v>0</v>
      </c>
      <c r="L220" t="n">
        <v>0</v>
      </c>
      <c r="M220" t="n">
        <v>0</v>
      </c>
      <c r="N220" t="n">
        <v>0</v>
      </c>
      <c r="O220" t="n">
        <v>0</v>
      </c>
      <c r="P220" t="n">
        <v>0</v>
      </c>
      <c r="Q220" t="n">
        <v>0</v>
      </c>
      <c r="R220" s="2" t="inlineStr"/>
    </row>
    <row r="221" ht="15" customHeight="1">
      <c r="A221" t="inlineStr">
        <is>
          <t>A 18539-2019</t>
        </is>
      </c>
      <c r="B221" s="1" t="n">
        <v>43559</v>
      </c>
      <c r="C221" s="1" t="n">
        <v>45668</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18648-2019</t>
        </is>
      </c>
      <c r="B222" s="1" t="n">
        <v>43560</v>
      </c>
      <c r="C222" s="1" t="n">
        <v>45668</v>
      </c>
      <c r="D222" t="inlineStr">
        <is>
          <t>JÄMTLANDS LÄN</t>
        </is>
      </c>
      <c r="E222" t="inlineStr">
        <is>
          <t>HÄRJEDALEN</t>
        </is>
      </c>
      <c r="G222" t="n">
        <v>5.5</v>
      </c>
      <c r="H222" t="n">
        <v>0</v>
      </c>
      <c r="I222" t="n">
        <v>0</v>
      </c>
      <c r="J222" t="n">
        <v>0</v>
      </c>
      <c r="K222" t="n">
        <v>0</v>
      </c>
      <c r="L222" t="n">
        <v>0</v>
      </c>
      <c r="M222" t="n">
        <v>0</v>
      </c>
      <c r="N222" t="n">
        <v>0</v>
      </c>
      <c r="O222" t="n">
        <v>0</v>
      </c>
      <c r="P222" t="n">
        <v>0</v>
      </c>
      <c r="Q222" t="n">
        <v>0</v>
      </c>
      <c r="R222" s="2" t="inlineStr"/>
    </row>
    <row r="223" ht="15" customHeight="1">
      <c r="A223" t="inlineStr">
        <is>
          <t>A 19114-2019</t>
        </is>
      </c>
      <c r="B223" s="1" t="n">
        <v>43563</v>
      </c>
      <c r="C223" s="1" t="n">
        <v>45668</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20063-2019</t>
        </is>
      </c>
      <c r="B224" s="1" t="n">
        <v>43567</v>
      </c>
      <c r="C224" s="1" t="n">
        <v>45668</v>
      </c>
      <c r="D224" t="inlineStr">
        <is>
          <t>JÄMTLANDS LÄN</t>
        </is>
      </c>
      <c r="E224" t="inlineStr">
        <is>
          <t>HÄRJEDALEN</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19864-2019</t>
        </is>
      </c>
      <c r="B225" s="1" t="n">
        <v>43567</v>
      </c>
      <c r="C225" s="1" t="n">
        <v>45668</v>
      </c>
      <c r="D225" t="inlineStr">
        <is>
          <t>JÄMTLANDS LÄN</t>
        </is>
      </c>
      <c r="E225" t="inlineStr">
        <is>
          <t>HÄRJEDALEN</t>
        </is>
      </c>
      <c r="G225" t="n">
        <v>2.6</v>
      </c>
      <c r="H225" t="n">
        <v>0</v>
      </c>
      <c r="I225" t="n">
        <v>0</v>
      </c>
      <c r="J225" t="n">
        <v>0</v>
      </c>
      <c r="K225" t="n">
        <v>0</v>
      </c>
      <c r="L225" t="n">
        <v>0</v>
      </c>
      <c r="M225" t="n">
        <v>0</v>
      </c>
      <c r="N225" t="n">
        <v>0</v>
      </c>
      <c r="O225" t="n">
        <v>0</v>
      </c>
      <c r="P225" t="n">
        <v>0</v>
      </c>
      <c r="Q225" t="n">
        <v>0</v>
      </c>
      <c r="R225" s="2" t="inlineStr"/>
    </row>
    <row r="226" ht="15" customHeight="1">
      <c r="A226" t="inlineStr">
        <is>
          <t>A 20403-2019</t>
        </is>
      </c>
      <c r="B226" s="1" t="n">
        <v>43571</v>
      </c>
      <c r="C226" s="1" t="n">
        <v>45668</v>
      </c>
      <c r="D226" t="inlineStr">
        <is>
          <t>JÄMTLANDS LÄN</t>
        </is>
      </c>
      <c r="E226" t="inlineStr">
        <is>
          <t>HÄRJEDALEN</t>
        </is>
      </c>
      <c r="F226" t="inlineStr">
        <is>
          <t>Bergvik skog väst AB</t>
        </is>
      </c>
      <c r="G226" t="n">
        <v>7.8</v>
      </c>
      <c r="H226" t="n">
        <v>0</v>
      </c>
      <c r="I226" t="n">
        <v>0</v>
      </c>
      <c r="J226" t="n">
        <v>0</v>
      </c>
      <c r="K226" t="n">
        <v>0</v>
      </c>
      <c r="L226" t="n">
        <v>0</v>
      </c>
      <c r="M226" t="n">
        <v>0</v>
      </c>
      <c r="N226" t="n">
        <v>0</v>
      </c>
      <c r="O226" t="n">
        <v>0</v>
      </c>
      <c r="P226" t="n">
        <v>0</v>
      </c>
      <c r="Q226" t="n">
        <v>0</v>
      </c>
      <c r="R226" s="2" t="inlineStr"/>
    </row>
    <row r="227" ht="15" customHeight="1">
      <c r="A227" t="inlineStr">
        <is>
          <t>A 20373-2019</t>
        </is>
      </c>
      <c r="B227" s="1" t="n">
        <v>43571</v>
      </c>
      <c r="C227" s="1" t="n">
        <v>45668</v>
      </c>
      <c r="D227" t="inlineStr">
        <is>
          <t>JÄMTLANDS LÄN</t>
        </is>
      </c>
      <c r="E227" t="inlineStr">
        <is>
          <t>HÄRJEDALEN</t>
        </is>
      </c>
      <c r="G227" t="n">
        <v>0.8</v>
      </c>
      <c r="H227" t="n">
        <v>0</v>
      </c>
      <c r="I227" t="n">
        <v>0</v>
      </c>
      <c r="J227" t="n">
        <v>0</v>
      </c>
      <c r="K227" t="n">
        <v>0</v>
      </c>
      <c r="L227" t="n">
        <v>0</v>
      </c>
      <c r="M227" t="n">
        <v>0</v>
      </c>
      <c r="N227" t="n">
        <v>0</v>
      </c>
      <c r="O227" t="n">
        <v>0</v>
      </c>
      <c r="P227" t="n">
        <v>0</v>
      </c>
      <c r="Q227" t="n">
        <v>0</v>
      </c>
      <c r="R227" s="2" t="inlineStr"/>
    </row>
    <row r="228" ht="15" customHeight="1">
      <c r="A228" t="inlineStr">
        <is>
          <t>A 20851-2019</t>
        </is>
      </c>
      <c r="B228" s="1" t="n">
        <v>43577</v>
      </c>
      <c r="C228" s="1" t="n">
        <v>45668</v>
      </c>
      <c r="D228" t="inlineStr">
        <is>
          <t>JÄMTLANDS LÄN</t>
        </is>
      </c>
      <c r="E228" t="inlineStr">
        <is>
          <t>HÄRJEDALEN</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21040-2019</t>
        </is>
      </c>
      <c r="B229" s="1" t="n">
        <v>43578</v>
      </c>
      <c r="C229" s="1" t="n">
        <v>45668</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21189-2019</t>
        </is>
      </c>
      <c r="B230" s="1" t="n">
        <v>43579</v>
      </c>
      <c r="C230" s="1" t="n">
        <v>45668</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22622-2019</t>
        </is>
      </c>
      <c r="B231" s="1" t="n">
        <v>43588</v>
      </c>
      <c r="C231" s="1" t="n">
        <v>45668</v>
      </c>
      <c r="D231" t="inlineStr">
        <is>
          <t>JÄMTLANDS LÄN</t>
        </is>
      </c>
      <c r="E231" t="inlineStr">
        <is>
          <t>HÄRJEDALEN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24030-2019</t>
        </is>
      </c>
      <c r="B232" s="1" t="n">
        <v>43598</v>
      </c>
      <c r="C232" s="1" t="n">
        <v>45668</v>
      </c>
      <c r="D232" t="inlineStr">
        <is>
          <t>JÄMTLANDS LÄN</t>
        </is>
      </c>
      <c r="E232" t="inlineStr">
        <is>
          <t>HÄRJEDALEN</t>
        </is>
      </c>
      <c r="F232" t="inlineStr">
        <is>
          <t>Sveaskog</t>
        </is>
      </c>
      <c r="G232" t="n">
        <v>39.9</v>
      </c>
      <c r="H232" t="n">
        <v>0</v>
      </c>
      <c r="I232" t="n">
        <v>0</v>
      </c>
      <c r="J232" t="n">
        <v>0</v>
      </c>
      <c r="K232" t="n">
        <v>0</v>
      </c>
      <c r="L232" t="n">
        <v>0</v>
      </c>
      <c r="M232" t="n">
        <v>0</v>
      </c>
      <c r="N232" t="n">
        <v>0</v>
      </c>
      <c r="O232" t="n">
        <v>0</v>
      </c>
      <c r="P232" t="n">
        <v>0</v>
      </c>
      <c r="Q232" t="n">
        <v>0</v>
      </c>
      <c r="R232" s="2" t="inlineStr"/>
    </row>
    <row r="233" ht="15" customHeight="1">
      <c r="A233" t="inlineStr">
        <is>
          <t>A 24760-2019</t>
        </is>
      </c>
      <c r="B233" s="1" t="n">
        <v>43601</v>
      </c>
      <c r="C233" s="1" t="n">
        <v>45668</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25309-2019</t>
        </is>
      </c>
      <c r="B234" s="1" t="n">
        <v>43605</v>
      </c>
      <c r="C234" s="1" t="n">
        <v>45668</v>
      </c>
      <c r="D234" t="inlineStr">
        <is>
          <t>JÄMTLANDS LÄN</t>
        </is>
      </c>
      <c r="E234" t="inlineStr">
        <is>
          <t>HÄRJEDALEN</t>
        </is>
      </c>
      <c r="G234" t="n">
        <v>0.1</v>
      </c>
      <c r="H234" t="n">
        <v>0</v>
      </c>
      <c r="I234" t="n">
        <v>0</v>
      </c>
      <c r="J234" t="n">
        <v>0</v>
      </c>
      <c r="K234" t="n">
        <v>0</v>
      </c>
      <c r="L234" t="n">
        <v>0</v>
      </c>
      <c r="M234" t="n">
        <v>0</v>
      </c>
      <c r="N234" t="n">
        <v>0</v>
      </c>
      <c r="O234" t="n">
        <v>0</v>
      </c>
      <c r="P234" t="n">
        <v>0</v>
      </c>
      <c r="Q234" t="n">
        <v>0</v>
      </c>
      <c r="R234" s="2" t="inlineStr"/>
    </row>
    <row r="235" ht="15" customHeight="1">
      <c r="A235" t="inlineStr">
        <is>
          <t>A 25470-2019</t>
        </is>
      </c>
      <c r="B235" s="1" t="n">
        <v>43606</v>
      </c>
      <c r="C235" s="1" t="n">
        <v>45668</v>
      </c>
      <c r="D235" t="inlineStr">
        <is>
          <t>JÄMTLANDS LÄN</t>
        </is>
      </c>
      <c r="E235" t="inlineStr">
        <is>
          <t>HÄRJEDALEN</t>
        </is>
      </c>
      <c r="G235" t="n">
        <v>36.8</v>
      </c>
      <c r="H235" t="n">
        <v>0</v>
      </c>
      <c r="I235" t="n">
        <v>0</v>
      </c>
      <c r="J235" t="n">
        <v>0</v>
      </c>
      <c r="K235" t="n">
        <v>0</v>
      </c>
      <c r="L235" t="n">
        <v>0</v>
      </c>
      <c r="M235" t="n">
        <v>0</v>
      </c>
      <c r="N235" t="n">
        <v>0</v>
      </c>
      <c r="O235" t="n">
        <v>0</v>
      </c>
      <c r="P235" t="n">
        <v>0</v>
      </c>
      <c r="Q235" t="n">
        <v>0</v>
      </c>
      <c r="R235" s="2" t="inlineStr"/>
    </row>
    <row r="236" ht="15" customHeight="1">
      <c r="A236" t="inlineStr">
        <is>
          <t>A 26166-2019</t>
        </is>
      </c>
      <c r="B236" s="1" t="n">
        <v>43609</v>
      </c>
      <c r="C236" s="1" t="n">
        <v>45668</v>
      </c>
      <c r="D236" t="inlineStr">
        <is>
          <t>JÄMTLANDS LÄN</t>
        </is>
      </c>
      <c r="E236" t="inlineStr">
        <is>
          <t>HÄRJEDALEN</t>
        </is>
      </c>
      <c r="G236" t="n">
        <v>85.2</v>
      </c>
      <c r="H236" t="n">
        <v>0</v>
      </c>
      <c r="I236" t="n">
        <v>0</v>
      </c>
      <c r="J236" t="n">
        <v>0</v>
      </c>
      <c r="K236" t="n">
        <v>0</v>
      </c>
      <c r="L236" t="n">
        <v>0</v>
      </c>
      <c r="M236" t="n">
        <v>0</v>
      </c>
      <c r="N236" t="n">
        <v>0</v>
      </c>
      <c r="O236" t="n">
        <v>0</v>
      </c>
      <c r="P236" t="n">
        <v>0</v>
      </c>
      <c r="Q236" t="n">
        <v>0</v>
      </c>
      <c r="R236" s="2" t="inlineStr"/>
    </row>
    <row r="237" ht="15" customHeight="1">
      <c r="A237" t="inlineStr">
        <is>
          <t>A 26310-2019</t>
        </is>
      </c>
      <c r="B237" s="1" t="n">
        <v>43612</v>
      </c>
      <c r="C237" s="1" t="n">
        <v>45668</v>
      </c>
      <c r="D237" t="inlineStr">
        <is>
          <t>JÄMTLANDS LÄN</t>
        </is>
      </c>
      <c r="E237" t="inlineStr">
        <is>
          <t>HÄRJEDALEN</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26423-2019</t>
        </is>
      </c>
      <c r="B238" s="1" t="n">
        <v>43612</v>
      </c>
      <c r="C238" s="1" t="n">
        <v>45668</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27683-2019</t>
        </is>
      </c>
      <c r="B239" s="1" t="n">
        <v>43619</v>
      </c>
      <c r="C239" s="1" t="n">
        <v>45668</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27903-2019</t>
        </is>
      </c>
      <c r="B240" s="1" t="n">
        <v>43620</v>
      </c>
      <c r="C240" s="1" t="n">
        <v>45668</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28312-2019</t>
        </is>
      </c>
      <c r="B241" s="1" t="n">
        <v>43623</v>
      </c>
      <c r="C241" s="1" t="n">
        <v>45668</v>
      </c>
      <c r="D241" t="inlineStr">
        <is>
          <t>JÄMTLANDS LÄN</t>
        </is>
      </c>
      <c r="E241" t="inlineStr">
        <is>
          <t>HÄRJEDALEN</t>
        </is>
      </c>
      <c r="G241" t="n">
        <v>6.5</v>
      </c>
      <c r="H241" t="n">
        <v>0</v>
      </c>
      <c r="I241" t="n">
        <v>0</v>
      </c>
      <c r="J241" t="n">
        <v>0</v>
      </c>
      <c r="K241" t="n">
        <v>0</v>
      </c>
      <c r="L241" t="n">
        <v>0</v>
      </c>
      <c r="M241" t="n">
        <v>0</v>
      </c>
      <c r="N241" t="n">
        <v>0</v>
      </c>
      <c r="O241" t="n">
        <v>0</v>
      </c>
      <c r="P241" t="n">
        <v>0</v>
      </c>
      <c r="Q241" t="n">
        <v>0</v>
      </c>
      <c r="R241" s="2" t="inlineStr"/>
    </row>
    <row r="242" ht="15" customHeight="1">
      <c r="A242" t="inlineStr">
        <is>
          <t>A 28326-2019</t>
        </is>
      </c>
      <c r="B242" s="1" t="n">
        <v>43623</v>
      </c>
      <c r="C242" s="1" t="n">
        <v>45668</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28513-2019</t>
        </is>
      </c>
      <c r="B243" s="1" t="n">
        <v>43626</v>
      </c>
      <c r="C243" s="1" t="n">
        <v>45668</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29263-2019</t>
        </is>
      </c>
      <c r="B244" s="1" t="n">
        <v>43629</v>
      </c>
      <c r="C244" s="1" t="n">
        <v>45668</v>
      </c>
      <c r="D244" t="inlineStr">
        <is>
          <t>JÄMTLANDS LÄN</t>
        </is>
      </c>
      <c r="E244" t="inlineStr">
        <is>
          <t>HÄRJEDALEN</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29822-2019</t>
        </is>
      </c>
      <c r="B245" s="1" t="n">
        <v>43633</v>
      </c>
      <c r="C245" s="1" t="n">
        <v>45668</v>
      </c>
      <c r="D245" t="inlineStr">
        <is>
          <t>JÄMTLANDS LÄN</t>
        </is>
      </c>
      <c r="E245" t="inlineStr">
        <is>
          <t>HÄRJEDALEN</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34618-2019</t>
        </is>
      </c>
      <c r="B246" s="1" t="n">
        <v>43647</v>
      </c>
      <c r="C246" s="1" t="n">
        <v>45668</v>
      </c>
      <c r="D246" t="inlineStr">
        <is>
          <t>JÄMTLANDS LÄN</t>
        </is>
      </c>
      <c r="E246" t="inlineStr">
        <is>
          <t>HÄRJEDALEN</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32878-2019</t>
        </is>
      </c>
      <c r="B247" s="1" t="n">
        <v>43648</v>
      </c>
      <c r="C247" s="1" t="n">
        <v>45668</v>
      </c>
      <c r="D247" t="inlineStr">
        <is>
          <t>JÄMTLANDS LÄN</t>
        </is>
      </c>
      <c r="E247" t="inlineStr">
        <is>
          <t>HÄRJEDALEN</t>
        </is>
      </c>
      <c r="F247" t="inlineStr">
        <is>
          <t>Övriga Aktiebolag</t>
        </is>
      </c>
      <c r="G247" t="n">
        <v>91.8</v>
      </c>
      <c r="H247" t="n">
        <v>0</v>
      </c>
      <c r="I247" t="n">
        <v>0</v>
      </c>
      <c r="J247" t="n">
        <v>0</v>
      </c>
      <c r="K247" t="n">
        <v>0</v>
      </c>
      <c r="L247" t="n">
        <v>0</v>
      </c>
      <c r="M247" t="n">
        <v>0</v>
      </c>
      <c r="N247" t="n">
        <v>0</v>
      </c>
      <c r="O247" t="n">
        <v>0</v>
      </c>
      <c r="P247" t="n">
        <v>0</v>
      </c>
      <c r="Q247" t="n">
        <v>0</v>
      </c>
      <c r="R247" s="2" t="inlineStr"/>
    </row>
    <row r="248" ht="15" customHeight="1">
      <c r="A248" t="inlineStr">
        <is>
          <t>A 33496-2019</t>
        </is>
      </c>
      <c r="B248" s="1" t="n">
        <v>43651</v>
      </c>
      <c r="C248" s="1" t="n">
        <v>45668</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33497-2019</t>
        </is>
      </c>
      <c r="B249" s="1" t="n">
        <v>43651</v>
      </c>
      <c r="C249" s="1" t="n">
        <v>45668</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34688-2019</t>
        </is>
      </c>
      <c r="B250" s="1" t="n">
        <v>43657</v>
      </c>
      <c r="C250" s="1" t="n">
        <v>45668</v>
      </c>
      <c r="D250" t="inlineStr">
        <is>
          <t>JÄMTLANDS LÄN</t>
        </is>
      </c>
      <c r="E250" t="inlineStr">
        <is>
          <t>HÄRJEDALEN</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34805-2019</t>
        </is>
      </c>
      <c r="B251" s="1" t="n">
        <v>43658</v>
      </c>
      <c r="C251" s="1" t="n">
        <v>45668</v>
      </c>
      <c r="D251" t="inlineStr">
        <is>
          <t>JÄMTLANDS LÄN</t>
        </is>
      </c>
      <c r="E251" t="inlineStr">
        <is>
          <t>HÄRJEDALEN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35160-2019</t>
        </is>
      </c>
      <c r="B252" s="1" t="n">
        <v>43661</v>
      </c>
      <c r="C252" s="1" t="n">
        <v>45668</v>
      </c>
      <c r="D252" t="inlineStr">
        <is>
          <t>JÄMTLANDS LÄN</t>
        </is>
      </c>
      <c r="E252" t="inlineStr">
        <is>
          <t>HÄRJEDALEN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36343-2019</t>
        </is>
      </c>
      <c r="B253" s="1" t="n">
        <v>43662</v>
      </c>
      <c r="C253" s="1" t="n">
        <v>45668</v>
      </c>
      <c r="D253" t="inlineStr">
        <is>
          <t>JÄMTLANDS LÄN</t>
        </is>
      </c>
      <c r="E253" t="inlineStr">
        <is>
          <t>HÄRJEDALEN</t>
        </is>
      </c>
      <c r="G253" t="n">
        <v>8</v>
      </c>
      <c r="H253" t="n">
        <v>0</v>
      </c>
      <c r="I253" t="n">
        <v>0</v>
      </c>
      <c r="J253" t="n">
        <v>0</v>
      </c>
      <c r="K253" t="n">
        <v>0</v>
      </c>
      <c r="L253" t="n">
        <v>0</v>
      </c>
      <c r="M253" t="n">
        <v>0</v>
      </c>
      <c r="N253" t="n">
        <v>0</v>
      </c>
      <c r="O253" t="n">
        <v>0</v>
      </c>
      <c r="P253" t="n">
        <v>0</v>
      </c>
      <c r="Q253" t="n">
        <v>0</v>
      </c>
      <c r="R253" s="2" t="inlineStr"/>
    </row>
    <row r="254" ht="15" customHeight="1">
      <c r="A254" t="inlineStr">
        <is>
          <t>A 38283-2019</t>
        </is>
      </c>
      <c r="B254" s="1" t="n">
        <v>43684</v>
      </c>
      <c r="C254" s="1" t="n">
        <v>45668</v>
      </c>
      <c r="D254" t="inlineStr">
        <is>
          <t>JÄMTLANDS LÄN</t>
        </is>
      </c>
      <c r="E254" t="inlineStr">
        <is>
          <t>HÄRJEDALEN</t>
        </is>
      </c>
      <c r="F254" t="inlineStr">
        <is>
          <t>Bergvik skog väst AB</t>
        </is>
      </c>
      <c r="G254" t="n">
        <v>29.5</v>
      </c>
      <c r="H254" t="n">
        <v>0</v>
      </c>
      <c r="I254" t="n">
        <v>0</v>
      </c>
      <c r="J254" t="n">
        <v>0</v>
      </c>
      <c r="K254" t="n">
        <v>0</v>
      </c>
      <c r="L254" t="n">
        <v>0</v>
      </c>
      <c r="M254" t="n">
        <v>0</v>
      </c>
      <c r="N254" t="n">
        <v>0</v>
      </c>
      <c r="O254" t="n">
        <v>0</v>
      </c>
      <c r="P254" t="n">
        <v>0</v>
      </c>
      <c r="Q254" t="n">
        <v>0</v>
      </c>
      <c r="R254" s="2" t="inlineStr"/>
    </row>
    <row r="255" ht="15" customHeight="1">
      <c r="A255" t="inlineStr">
        <is>
          <t>A 38859-2019</t>
        </is>
      </c>
      <c r="B255" s="1" t="n">
        <v>43689</v>
      </c>
      <c r="C255" s="1" t="n">
        <v>45668</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38884-2019</t>
        </is>
      </c>
      <c r="B256" s="1" t="n">
        <v>43689</v>
      </c>
      <c r="C256" s="1" t="n">
        <v>45668</v>
      </c>
      <c r="D256" t="inlineStr">
        <is>
          <t>JÄMTLANDS LÄN</t>
        </is>
      </c>
      <c r="E256" t="inlineStr">
        <is>
          <t>HÄRJEDALEN</t>
        </is>
      </c>
      <c r="G256" t="n">
        <v>2.5</v>
      </c>
      <c r="H256" t="n">
        <v>0</v>
      </c>
      <c r="I256" t="n">
        <v>0</v>
      </c>
      <c r="J256" t="n">
        <v>0</v>
      </c>
      <c r="K256" t="n">
        <v>0</v>
      </c>
      <c r="L256" t="n">
        <v>0</v>
      </c>
      <c r="M256" t="n">
        <v>0</v>
      </c>
      <c r="N256" t="n">
        <v>0</v>
      </c>
      <c r="O256" t="n">
        <v>0</v>
      </c>
      <c r="P256" t="n">
        <v>0</v>
      </c>
      <c r="Q256" t="n">
        <v>0</v>
      </c>
      <c r="R256" s="2" t="inlineStr"/>
    </row>
    <row r="257" ht="15" customHeight="1">
      <c r="A257" t="inlineStr">
        <is>
          <t>A 40244-2019</t>
        </is>
      </c>
      <c r="B257" s="1" t="n">
        <v>43694</v>
      </c>
      <c r="C257" s="1" t="n">
        <v>45668</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42123-2019</t>
        </is>
      </c>
      <c r="B258" s="1" t="n">
        <v>43703</v>
      </c>
      <c r="C258" s="1" t="n">
        <v>45668</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43103-2019</t>
        </is>
      </c>
      <c r="B259" s="1" t="n">
        <v>43705</v>
      </c>
      <c r="C259" s="1" t="n">
        <v>45668</v>
      </c>
      <c r="D259" t="inlineStr">
        <is>
          <t>JÄMTLANDS LÄN</t>
        </is>
      </c>
      <c r="E259" t="inlineStr">
        <is>
          <t>HÄRJEDALEN</t>
        </is>
      </c>
      <c r="G259" t="n">
        <v>38.6</v>
      </c>
      <c r="H259" t="n">
        <v>0</v>
      </c>
      <c r="I259" t="n">
        <v>0</v>
      </c>
      <c r="J259" t="n">
        <v>0</v>
      </c>
      <c r="K259" t="n">
        <v>0</v>
      </c>
      <c r="L259" t="n">
        <v>0</v>
      </c>
      <c r="M259" t="n">
        <v>0</v>
      </c>
      <c r="N259" t="n">
        <v>0</v>
      </c>
      <c r="O259" t="n">
        <v>0</v>
      </c>
      <c r="P259" t="n">
        <v>0</v>
      </c>
      <c r="Q259" t="n">
        <v>0</v>
      </c>
      <c r="R259" s="2" t="inlineStr"/>
    </row>
    <row r="260" ht="15" customHeight="1">
      <c r="A260" t="inlineStr">
        <is>
          <t>A 43142-2019</t>
        </is>
      </c>
      <c r="B260" s="1" t="n">
        <v>43705</v>
      </c>
      <c r="C260" s="1" t="n">
        <v>45668</v>
      </c>
      <c r="D260" t="inlineStr">
        <is>
          <t>JÄMTLANDS LÄN</t>
        </is>
      </c>
      <c r="E260" t="inlineStr">
        <is>
          <t>HÄRJEDALEN</t>
        </is>
      </c>
      <c r="G260" t="n">
        <v>3.2</v>
      </c>
      <c r="H260" t="n">
        <v>0</v>
      </c>
      <c r="I260" t="n">
        <v>0</v>
      </c>
      <c r="J260" t="n">
        <v>0</v>
      </c>
      <c r="K260" t="n">
        <v>0</v>
      </c>
      <c r="L260" t="n">
        <v>0</v>
      </c>
      <c r="M260" t="n">
        <v>0</v>
      </c>
      <c r="N260" t="n">
        <v>0</v>
      </c>
      <c r="O260" t="n">
        <v>0</v>
      </c>
      <c r="P260" t="n">
        <v>0</v>
      </c>
      <c r="Q260" t="n">
        <v>0</v>
      </c>
      <c r="R260" s="2" t="inlineStr"/>
    </row>
    <row r="261" ht="15" customHeight="1">
      <c r="A261" t="inlineStr">
        <is>
          <t>A 43649-2019</t>
        </is>
      </c>
      <c r="B261" s="1" t="n">
        <v>43707</v>
      </c>
      <c r="C261" s="1" t="n">
        <v>45668</v>
      </c>
      <c r="D261" t="inlineStr">
        <is>
          <t>JÄMTLANDS LÄN</t>
        </is>
      </c>
      <c r="E261" t="inlineStr">
        <is>
          <t>HÄRJEDALEN</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43896-2019</t>
        </is>
      </c>
      <c r="B262" s="1" t="n">
        <v>43707</v>
      </c>
      <c r="C262" s="1" t="n">
        <v>45668</v>
      </c>
      <c r="D262" t="inlineStr">
        <is>
          <t>JÄMTLANDS LÄN</t>
        </is>
      </c>
      <c r="E262" t="inlineStr">
        <is>
          <t>HÄRJEDALEN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45167-2019</t>
        </is>
      </c>
      <c r="B263" s="1" t="n">
        <v>43713</v>
      </c>
      <c r="C263" s="1" t="n">
        <v>45668</v>
      </c>
      <c r="D263" t="inlineStr">
        <is>
          <t>JÄMTLANDS LÄN</t>
        </is>
      </c>
      <c r="E263" t="inlineStr">
        <is>
          <t>HÄRJEDALEN</t>
        </is>
      </c>
      <c r="F263" t="inlineStr">
        <is>
          <t>Holmen skog AB</t>
        </is>
      </c>
      <c r="G263" t="n">
        <v>15.9</v>
      </c>
      <c r="H263" t="n">
        <v>0</v>
      </c>
      <c r="I263" t="n">
        <v>0</v>
      </c>
      <c r="J263" t="n">
        <v>0</v>
      </c>
      <c r="K263" t="n">
        <v>0</v>
      </c>
      <c r="L263" t="n">
        <v>0</v>
      </c>
      <c r="M263" t="n">
        <v>0</v>
      </c>
      <c r="N263" t="n">
        <v>0</v>
      </c>
      <c r="O263" t="n">
        <v>0</v>
      </c>
      <c r="P263" t="n">
        <v>0</v>
      </c>
      <c r="Q263" t="n">
        <v>0</v>
      </c>
      <c r="R263" s="2" t="inlineStr"/>
    </row>
    <row r="264" ht="15" customHeight="1">
      <c r="A264" t="inlineStr">
        <is>
          <t>A 44939-2019</t>
        </is>
      </c>
      <c r="B264" s="1" t="n">
        <v>43713</v>
      </c>
      <c r="C264" s="1" t="n">
        <v>45668</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45858-2019</t>
        </is>
      </c>
      <c r="B265" s="1" t="n">
        <v>43717</v>
      </c>
      <c r="C265" s="1" t="n">
        <v>45668</v>
      </c>
      <c r="D265" t="inlineStr">
        <is>
          <t>JÄMTLANDS LÄN</t>
        </is>
      </c>
      <c r="E265" t="inlineStr">
        <is>
          <t>HÄRJEDALEN</t>
        </is>
      </c>
      <c r="F265" t="inlineStr">
        <is>
          <t>Holmen skog AB</t>
        </is>
      </c>
      <c r="G265" t="n">
        <v>3.9</v>
      </c>
      <c r="H265" t="n">
        <v>0</v>
      </c>
      <c r="I265" t="n">
        <v>0</v>
      </c>
      <c r="J265" t="n">
        <v>0</v>
      </c>
      <c r="K265" t="n">
        <v>0</v>
      </c>
      <c r="L265" t="n">
        <v>0</v>
      </c>
      <c r="M265" t="n">
        <v>0</v>
      </c>
      <c r="N265" t="n">
        <v>0</v>
      </c>
      <c r="O265" t="n">
        <v>0</v>
      </c>
      <c r="P265" t="n">
        <v>0</v>
      </c>
      <c r="Q265" t="n">
        <v>0</v>
      </c>
      <c r="R265" s="2" t="inlineStr"/>
    </row>
    <row r="266" ht="15" customHeight="1">
      <c r="A266" t="inlineStr">
        <is>
          <t>A 45781-2019</t>
        </is>
      </c>
      <c r="B266" s="1" t="n">
        <v>43717</v>
      </c>
      <c r="C266" s="1" t="n">
        <v>45668</v>
      </c>
      <c r="D266" t="inlineStr">
        <is>
          <t>JÄMTLANDS LÄN</t>
        </is>
      </c>
      <c r="E266" t="inlineStr">
        <is>
          <t>HÄRJEDALEN</t>
        </is>
      </c>
      <c r="F266" t="inlineStr">
        <is>
          <t>Holmen skog AB</t>
        </is>
      </c>
      <c r="G266" t="n">
        <v>13.8</v>
      </c>
      <c r="H266" t="n">
        <v>0</v>
      </c>
      <c r="I266" t="n">
        <v>0</v>
      </c>
      <c r="J266" t="n">
        <v>0</v>
      </c>
      <c r="K266" t="n">
        <v>0</v>
      </c>
      <c r="L266" t="n">
        <v>0</v>
      </c>
      <c r="M266" t="n">
        <v>0</v>
      </c>
      <c r="N266" t="n">
        <v>0</v>
      </c>
      <c r="O266" t="n">
        <v>0</v>
      </c>
      <c r="P266" t="n">
        <v>0</v>
      </c>
      <c r="Q266" t="n">
        <v>0</v>
      </c>
      <c r="R266" s="2" t="inlineStr"/>
    </row>
    <row r="267" ht="15" customHeight="1">
      <c r="A267" t="inlineStr">
        <is>
          <t>A 46156-2019</t>
        </is>
      </c>
      <c r="B267" s="1" t="n">
        <v>43718</v>
      </c>
      <c r="C267" s="1" t="n">
        <v>45668</v>
      </c>
      <c r="D267" t="inlineStr">
        <is>
          <t>JÄMTLANDS LÄN</t>
        </is>
      </c>
      <c r="E267" t="inlineStr">
        <is>
          <t>HÄRJEDALEN</t>
        </is>
      </c>
      <c r="G267" t="n">
        <v>3.9</v>
      </c>
      <c r="H267" t="n">
        <v>0</v>
      </c>
      <c r="I267" t="n">
        <v>0</v>
      </c>
      <c r="J267" t="n">
        <v>0</v>
      </c>
      <c r="K267" t="n">
        <v>0</v>
      </c>
      <c r="L267" t="n">
        <v>0</v>
      </c>
      <c r="M267" t="n">
        <v>0</v>
      </c>
      <c r="N267" t="n">
        <v>0</v>
      </c>
      <c r="O267" t="n">
        <v>0</v>
      </c>
      <c r="P267" t="n">
        <v>0</v>
      </c>
      <c r="Q267" t="n">
        <v>0</v>
      </c>
      <c r="R267" s="2" t="inlineStr"/>
    </row>
    <row r="268" ht="15" customHeight="1">
      <c r="A268" t="inlineStr">
        <is>
          <t>A 46133-2019</t>
        </is>
      </c>
      <c r="B268" s="1" t="n">
        <v>43718</v>
      </c>
      <c r="C268" s="1" t="n">
        <v>45668</v>
      </c>
      <c r="D268" t="inlineStr">
        <is>
          <t>JÄMTLANDS LÄN</t>
        </is>
      </c>
      <c r="E268" t="inlineStr">
        <is>
          <t>HÄRJEDALEN</t>
        </is>
      </c>
      <c r="G268" t="n">
        <v>17.6</v>
      </c>
      <c r="H268" t="n">
        <v>0</v>
      </c>
      <c r="I268" t="n">
        <v>0</v>
      </c>
      <c r="J268" t="n">
        <v>0</v>
      </c>
      <c r="K268" t="n">
        <v>0</v>
      </c>
      <c r="L268" t="n">
        <v>0</v>
      </c>
      <c r="M268" t="n">
        <v>0</v>
      </c>
      <c r="N268" t="n">
        <v>0</v>
      </c>
      <c r="O268" t="n">
        <v>0</v>
      </c>
      <c r="P268" t="n">
        <v>0</v>
      </c>
      <c r="Q268" t="n">
        <v>0</v>
      </c>
      <c r="R268" s="2" t="inlineStr"/>
    </row>
    <row r="269" ht="15" customHeight="1">
      <c r="A269" t="inlineStr">
        <is>
          <t>A 46163-2019</t>
        </is>
      </c>
      <c r="B269" s="1" t="n">
        <v>43718</v>
      </c>
      <c r="C269" s="1" t="n">
        <v>45668</v>
      </c>
      <c r="D269" t="inlineStr">
        <is>
          <t>JÄMTLANDS LÄN</t>
        </is>
      </c>
      <c r="E269" t="inlineStr">
        <is>
          <t>HÄRJEDALEN</t>
        </is>
      </c>
      <c r="G269" t="n">
        <v>28.9</v>
      </c>
      <c r="H269" t="n">
        <v>0</v>
      </c>
      <c r="I269" t="n">
        <v>0</v>
      </c>
      <c r="J269" t="n">
        <v>0</v>
      </c>
      <c r="K269" t="n">
        <v>0</v>
      </c>
      <c r="L269" t="n">
        <v>0</v>
      </c>
      <c r="M269" t="n">
        <v>0</v>
      </c>
      <c r="N269" t="n">
        <v>0</v>
      </c>
      <c r="O269" t="n">
        <v>0</v>
      </c>
      <c r="P269" t="n">
        <v>0</v>
      </c>
      <c r="Q269" t="n">
        <v>0</v>
      </c>
      <c r="R269" s="2" t="inlineStr"/>
    </row>
    <row r="270" ht="15" customHeight="1">
      <c r="A270" t="inlineStr">
        <is>
          <t>A 47004-2019</t>
        </is>
      </c>
      <c r="B270" s="1" t="n">
        <v>43720</v>
      </c>
      <c r="C270" s="1" t="n">
        <v>45668</v>
      </c>
      <c r="D270" t="inlineStr">
        <is>
          <t>JÄMTLANDS LÄN</t>
        </is>
      </c>
      <c r="E270" t="inlineStr">
        <is>
          <t>HÄRJEDALEN</t>
        </is>
      </c>
      <c r="F270" t="inlineStr">
        <is>
          <t>Bergvik skog väst AB</t>
        </is>
      </c>
      <c r="G270" t="n">
        <v>13.7</v>
      </c>
      <c r="H270" t="n">
        <v>0</v>
      </c>
      <c r="I270" t="n">
        <v>0</v>
      </c>
      <c r="J270" t="n">
        <v>0</v>
      </c>
      <c r="K270" t="n">
        <v>0</v>
      </c>
      <c r="L270" t="n">
        <v>0</v>
      </c>
      <c r="M270" t="n">
        <v>0</v>
      </c>
      <c r="N270" t="n">
        <v>0</v>
      </c>
      <c r="O270" t="n">
        <v>0</v>
      </c>
      <c r="P270" t="n">
        <v>0</v>
      </c>
      <c r="Q270" t="n">
        <v>0</v>
      </c>
      <c r="R270" s="2" t="inlineStr"/>
    </row>
    <row r="271" ht="15" customHeight="1">
      <c r="A271" t="inlineStr">
        <is>
          <t>A 49328-2019</t>
        </is>
      </c>
      <c r="B271" s="1" t="n">
        <v>43731</v>
      </c>
      <c r="C271" s="1" t="n">
        <v>45668</v>
      </c>
      <c r="D271" t="inlineStr">
        <is>
          <t>JÄMTLANDS LÄN</t>
        </is>
      </c>
      <c r="E271" t="inlineStr">
        <is>
          <t>HÄRJEDALEN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49336-2019</t>
        </is>
      </c>
      <c r="B272" s="1" t="n">
        <v>43731</v>
      </c>
      <c r="C272" s="1" t="n">
        <v>45668</v>
      </c>
      <c r="D272" t="inlineStr">
        <is>
          <t>JÄMTLANDS LÄN</t>
        </is>
      </c>
      <c r="E272" t="inlineStr">
        <is>
          <t>HÄRJEDALEN</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50310-2019</t>
        </is>
      </c>
      <c r="B273" s="1" t="n">
        <v>43735</v>
      </c>
      <c r="C273" s="1" t="n">
        <v>45668</v>
      </c>
      <c r="D273" t="inlineStr">
        <is>
          <t>JÄMTLANDS LÄN</t>
        </is>
      </c>
      <c r="E273" t="inlineStr">
        <is>
          <t>HÄRJEDALEN</t>
        </is>
      </c>
      <c r="G273" t="n">
        <v>9.1</v>
      </c>
      <c r="H273" t="n">
        <v>0</v>
      </c>
      <c r="I273" t="n">
        <v>0</v>
      </c>
      <c r="J273" t="n">
        <v>0</v>
      </c>
      <c r="K273" t="n">
        <v>0</v>
      </c>
      <c r="L273" t="n">
        <v>0</v>
      </c>
      <c r="M273" t="n">
        <v>0</v>
      </c>
      <c r="N273" t="n">
        <v>0</v>
      </c>
      <c r="O273" t="n">
        <v>0</v>
      </c>
      <c r="P273" t="n">
        <v>0</v>
      </c>
      <c r="Q273" t="n">
        <v>0</v>
      </c>
      <c r="R273" s="2" t="inlineStr"/>
    </row>
    <row r="274" ht="15" customHeight="1">
      <c r="A274" t="inlineStr">
        <is>
          <t>A 50411-2019</t>
        </is>
      </c>
      <c r="B274" s="1" t="n">
        <v>43735</v>
      </c>
      <c r="C274" s="1" t="n">
        <v>45668</v>
      </c>
      <c r="D274" t="inlineStr">
        <is>
          <t>JÄMTLANDS LÄN</t>
        </is>
      </c>
      <c r="E274" t="inlineStr">
        <is>
          <t>HÄRJEDALEN</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50519-2019</t>
        </is>
      </c>
      <c r="B275" s="1" t="n">
        <v>43735</v>
      </c>
      <c r="C275" s="1" t="n">
        <v>45668</v>
      </c>
      <c r="D275" t="inlineStr">
        <is>
          <t>JÄMTLANDS LÄN</t>
        </is>
      </c>
      <c r="E275" t="inlineStr">
        <is>
          <t>HÄRJEDALEN</t>
        </is>
      </c>
      <c r="G275" t="n">
        <v>4.2</v>
      </c>
      <c r="H275" t="n">
        <v>0</v>
      </c>
      <c r="I275" t="n">
        <v>0</v>
      </c>
      <c r="J275" t="n">
        <v>0</v>
      </c>
      <c r="K275" t="n">
        <v>0</v>
      </c>
      <c r="L275" t="n">
        <v>0</v>
      </c>
      <c r="M275" t="n">
        <v>0</v>
      </c>
      <c r="N275" t="n">
        <v>0</v>
      </c>
      <c r="O275" t="n">
        <v>0</v>
      </c>
      <c r="P275" t="n">
        <v>0</v>
      </c>
      <c r="Q275" t="n">
        <v>0</v>
      </c>
      <c r="R275" s="2" t="inlineStr"/>
    </row>
    <row r="276" ht="15" customHeight="1">
      <c r="A276" t="inlineStr">
        <is>
          <t>A 50624-2019</t>
        </is>
      </c>
      <c r="B276" s="1" t="n">
        <v>43736</v>
      </c>
      <c r="C276" s="1" t="n">
        <v>45668</v>
      </c>
      <c r="D276" t="inlineStr">
        <is>
          <t>JÄMTLANDS LÄN</t>
        </is>
      </c>
      <c r="E276" t="inlineStr">
        <is>
          <t>HÄRJEDALEN</t>
        </is>
      </c>
      <c r="G276" t="n">
        <v>2.4</v>
      </c>
      <c r="H276" t="n">
        <v>0</v>
      </c>
      <c r="I276" t="n">
        <v>0</v>
      </c>
      <c r="J276" t="n">
        <v>0</v>
      </c>
      <c r="K276" t="n">
        <v>0</v>
      </c>
      <c r="L276" t="n">
        <v>0</v>
      </c>
      <c r="M276" t="n">
        <v>0</v>
      </c>
      <c r="N276" t="n">
        <v>0</v>
      </c>
      <c r="O276" t="n">
        <v>0</v>
      </c>
      <c r="P276" t="n">
        <v>0</v>
      </c>
      <c r="Q276" t="n">
        <v>0</v>
      </c>
      <c r="R276" s="2" t="inlineStr"/>
    </row>
    <row r="277" ht="15" customHeight="1">
      <c r="A277" t="inlineStr">
        <is>
          <t>A 51108-2019</t>
        </is>
      </c>
      <c r="B277" s="1" t="n">
        <v>43739</v>
      </c>
      <c r="C277" s="1" t="n">
        <v>45668</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51118-2019</t>
        </is>
      </c>
      <c r="B278" s="1" t="n">
        <v>43739</v>
      </c>
      <c r="C278" s="1" t="n">
        <v>45668</v>
      </c>
      <c r="D278" t="inlineStr">
        <is>
          <t>JÄMTLANDS LÄN</t>
        </is>
      </c>
      <c r="E278" t="inlineStr">
        <is>
          <t>HÄRJEDALEN</t>
        </is>
      </c>
      <c r="G278" t="n">
        <v>12.5</v>
      </c>
      <c r="H278" t="n">
        <v>0</v>
      </c>
      <c r="I278" t="n">
        <v>0</v>
      </c>
      <c r="J278" t="n">
        <v>0</v>
      </c>
      <c r="K278" t="n">
        <v>0</v>
      </c>
      <c r="L278" t="n">
        <v>0</v>
      </c>
      <c r="M278" t="n">
        <v>0</v>
      </c>
      <c r="N278" t="n">
        <v>0</v>
      </c>
      <c r="O278" t="n">
        <v>0</v>
      </c>
      <c r="P278" t="n">
        <v>0</v>
      </c>
      <c r="Q278" t="n">
        <v>0</v>
      </c>
      <c r="R278" s="2" t="inlineStr"/>
    </row>
    <row r="279" ht="15" customHeight="1">
      <c r="A279" t="inlineStr">
        <is>
          <t>A 51123-2019</t>
        </is>
      </c>
      <c r="B279" s="1" t="n">
        <v>43739</v>
      </c>
      <c r="C279" s="1" t="n">
        <v>45668</v>
      </c>
      <c r="D279" t="inlineStr">
        <is>
          <t>JÄMTLANDS LÄN</t>
        </is>
      </c>
      <c r="E279" t="inlineStr">
        <is>
          <t>HÄRJEDALEN</t>
        </is>
      </c>
      <c r="G279" t="n">
        <v>1.6</v>
      </c>
      <c r="H279" t="n">
        <v>0</v>
      </c>
      <c r="I279" t="n">
        <v>0</v>
      </c>
      <c r="J279" t="n">
        <v>0</v>
      </c>
      <c r="K279" t="n">
        <v>0</v>
      </c>
      <c r="L279" t="n">
        <v>0</v>
      </c>
      <c r="M279" t="n">
        <v>0</v>
      </c>
      <c r="N279" t="n">
        <v>0</v>
      </c>
      <c r="O279" t="n">
        <v>0</v>
      </c>
      <c r="P279" t="n">
        <v>0</v>
      </c>
      <c r="Q279" t="n">
        <v>0</v>
      </c>
      <c r="R279" s="2" t="inlineStr"/>
    </row>
    <row r="280" ht="15" customHeight="1">
      <c r="A280" t="inlineStr">
        <is>
          <t>A 51105-2019</t>
        </is>
      </c>
      <c r="B280" s="1" t="n">
        <v>43739</v>
      </c>
      <c r="C280" s="1" t="n">
        <v>45668</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51111-2019</t>
        </is>
      </c>
      <c r="B281" s="1" t="n">
        <v>43739</v>
      </c>
      <c r="C281" s="1" t="n">
        <v>45668</v>
      </c>
      <c r="D281" t="inlineStr">
        <is>
          <t>JÄMTLANDS LÄN</t>
        </is>
      </c>
      <c r="E281" t="inlineStr">
        <is>
          <t>HÄRJEDALEN</t>
        </is>
      </c>
      <c r="G281" t="n">
        <v>3.7</v>
      </c>
      <c r="H281" t="n">
        <v>0</v>
      </c>
      <c r="I281" t="n">
        <v>0</v>
      </c>
      <c r="J281" t="n">
        <v>0</v>
      </c>
      <c r="K281" t="n">
        <v>0</v>
      </c>
      <c r="L281" t="n">
        <v>0</v>
      </c>
      <c r="M281" t="n">
        <v>0</v>
      </c>
      <c r="N281" t="n">
        <v>0</v>
      </c>
      <c r="O281" t="n">
        <v>0</v>
      </c>
      <c r="P281" t="n">
        <v>0</v>
      </c>
      <c r="Q281" t="n">
        <v>0</v>
      </c>
      <c r="R281" s="2" t="inlineStr"/>
    </row>
    <row r="282" ht="15" customHeight="1">
      <c r="A282" t="inlineStr">
        <is>
          <t>A 52304-2019</t>
        </is>
      </c>
      <c r="B282" s="1" t="n">
        <v>43745</v>
      </c>
      <c r="C282" s="1" t="n">
        <v>45668</v>
      </c>
      <c r="D282" t="inlineStr">
        <is>
          <t>JÄMTLANDS LÄN</t>
        </is>
      </c>
      <c r="E282" t="inlineStr">
        <is>
          <t>HÄRJEDALEN</t>
        </is>
      </c>
      <c r="G282" t="n">
        <v>4.8</v>
      </c>
      <c r="H282" t="n">
        <v>0</v>
      </c>
      <c r="I282" t="n">
        <v>0</v>
      </c>
      <c r="J282" t="n">
        <v>0</v>
      </c>
      <c r="K282" t="n">
        <v>0</v>
      </c>
      <c r="L282" t="n">
        <v>0</v>
      </c>
      <c r="M282" t="n">
        <v>0</v>
      </c>
      <c r="N282" t="n">
        <v>0</v>
      </c>
      <c r="O282" t="n">
        <v>0</v>
      </c>
      <c r="P282" t="n">
        <v>0</v>
      </c>
      <c r="Q282" t="n">
        <v>0</v>
      </c>
      <c r="R282" s="2" t="inlineStr"/>
    </row>
    <row r="283" ht="15" customHeight="1">
      <c r="A283" t="inlineStr">
        <is>
          <t>A 52709-2019</t>
        </is>
      </c>
      <c r="B283" s="1" t="n">
        <v>43746</v>
      </c>
      <c r="C283" s="1" t="n">
        <v>45668</v>
      </c>
      <c r="D283" t="inlineStr">
        <is>
          <t>JÄMTLANDS LÄN</t>
        </is>
      </c>
      <c r="E283" t="inlineStr">
        <is>
          <t>HÄRJEDALEN</t>
        </is>
      </c>
      <c r="G283" t="n">
        <v>10.6</v>
      </c>
      <c r="H283" t="n">
        <v>0</v>
      </c>
      <c r="I283" t="n">
        <v>0</v>
      </c>
      <c r="J283" t="n">
        <v>0</v>
      </c>
      <c r="K283" t="n">
        <v>0</v>
      </c>
      <c r="L283" t="n">
        <v>0</v>
      </c>
      <c r="M283" t="n">
        <v>0</v>
      </c>
      <c r="N283" t="n">
        <v>0</v>
      </c>
      <c r="O283" t="n">
        <v>0</v>
      </c>
      <c r="P283" t="n">
        <v>0</v>
      </c>
      <c r="Q283" t="n">
        <v>0</v>
      </c>
      <c r="R283" s="2" t="inlineStr"/>
    </row>
    <row r="284" ht="15" customHeight="1">
      <c r="A284" t="inlineStr">
        <is>
          <t>A 52992-2019</t>
        </is>
      </c>
      <c r="B284" s="1" t="n">
        <v>43747</v>
      </c>
      <c r="C284" s="1" t="n">
        <v>45668</v>
      </c>
      <c r="D284" t="inlineStr">
        <is>
          <t>JÄMTLANDS LÄN</t>
        </is>
      </c>
      <c r="E284" t="inlineStr">
        <is>
          <t>HÄRJEDALEN</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52991-2019</t>
        </is>
      </c>
      <c r="B285" s="1" t="n">
        <v>43747</v>
      </c>
      <c r="C285" s="1" t="n">
        <v>45668</v>
      </c>
      <c r="D285" t="inlineStr">
        <is>
          <t>JÄMTLANDS LÄN</t>
        </is>
      </c>
      <c r="E285" t="inlineStr">
        <is>
          <t>HÄRJEDALEN</t>
        </is>
      </c>
      <c r="F285" t="inlineStr">
        <is>
          <t>Sveaskog</t>
        </is>
      </c>
      <c r="G285" t="n">
        <v>13.6</v>
      </c>
      <c r="H285" t="n">
        <v>0</v>
      </c>
      <c r="I285" t="n">
        <v>0</v>
      </c>
      <c r="J285" t="n">
        <v>0</v>
      </c>
      <c r="K285" t="n">
        <v>0</v>
      </c>
      <c r="L285" t="n">
        <v>0</v>
      </c>
      <c r="M285" t="n">
        <v>0</v>
      </c>
      <c r="N285" t="n">
        <v>0</v>
      </c>
      <c r="O285" t="n">
        <v>0</v>
      </c>
      <c r="P285" t="n">
        <v>0</v>
      </c>
      <c r="Q285" t="n">
        <v>0</v>
      </c>
      <c r="R285" s="2" t="inlineStr"/>
    </row>
    <row r="286" ht="15" customHeight="1">
      <c r="A286" t="inlineStr">
        <is>
          <t>A 53418-2019</t>
        </is>
      </c>
      <c r="B286" s="1" t="n">
        <v>43748</v>
      </c>
      <c r="C286" s="1" t="n">
        <v>45668</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53952-2019</t>
        </is>
      </c>
      <c r="B287" s="1" t="n">
        <v>43752</v>
      </c>
      <c r="C287" s="1" t="n">
        <v>45668</v>
      </c>
      <c r="D287" t="inlineStr">
        <is>
          <t>JÄMTLANDS LÄN</t>
        </is>
      </c>
      <c r="E287" t="inlineStr">
        <is>
          <t>HÄRJEDALEN</t>
        </is>
      </c>
      <c r="G287" t="n">
        <v>8.6</v>
      </c>
      <c r="H287" t="n">
        <v>0</v>
      </c>
      <c r="I287" t="n">
        <v>0</v>
      </c>
      <c r="J287" t="n">
        <v>0</v>
      </c>
      <c r="K287" t="n">
        <v>0</v>
      </c>
      <c r="L287" t="n">
        <v>0</v>
      </c>
      <c r="M287" t="n">
        <v>0</v>
      </c>
      <c r="N287" t="n">
        <v>0</v>
      </c>
      <c r="O287" t="n">
        <v>0</v>
      </c>
      <c r="P287" t="n">
        <v>0</v>
      </c>
      <c r="Q287" t="n">
        <v>0</v>
      </c>
      <c r="R287" s="2" t="inlineStr"/>
    </row>
    <row r="288" ht="15" customHeight="1">
      <c r="A288" t="inlineStr">
        <is>
          <t>A 53962-2019</t>
        </is>
      </c>
      <c r="B288" s="1" t="n">
        <v>43752</v>
      </c>
      <c r="C288" s="1" t="n">
        <v>45668</v>
      </c>
      <c r="D288" t="inlineStr">
        <is>
          <t>JÄMTLANDS LÄN</t>
        </is>
      </c>
      <c r="E288" t="inlineStr">
        <is>
          <t>HÄRJEDALEN</t>
        </is>
      </c>
      <c r="G288" t="n">
        <v>19.4</v>
      </c>
      <c r="H288" t="n">
        <v>0</v>
      </c>
      <c r="I288" t="n">
        <v>0</v>
      </c>
      <c r="J288" t="n">
        <v>0</v>
      </c>
      <c r="K288" t="n">
        <v>0</v>
      </c>
      <c r="L288" t="n">
        <v>0</v>
      </c>
      <c r="M288" t="n">
        <v>0</v>
      </c>
      <c r="N288" t="n">
        <v>0</v>
      </c>
      <c r="O288" t="n">
        <v>0</v>
      </c>
      <c r="P288" t="n">
        <v>0</v>
      </c>
      <c r="Q288" t="n">
        <v>0</v>
      </c>
      <c r="R288" s="2" t="inlineStr"/>
    </row>
    <row r="289" ht="15" customHeight="1">
      <c r="A289" t="inlineStr">
        <is>
          <t>A 54905-2019</t>
        </is>
      </c>
      <c r="B289" s="1" t="n">
        <v>43755</v>
      </c>
      <c r="C289" s="1" t="n">
        <v>45668</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55197-2019</t>
        </is>
      </c>
      <c r="B290" s="1" t="n">
        <v>43756</v>
      </c>
      <c r="C290" s="1" t="n">
        <v>45668</v>
      </c>
      <c r="D290" t="inlineStr">
        <is>
          <t>JÄMTLANDS LÄN</t>
        </is>
      </c>
      <c r="E290" t="inlineStr">
        <is>
          <t>HÄRJEDALEN</t>
        </is>
      </c>
      <c r="F290" t="inlineStr">
        <is>
          <t>Sveaskog</t>
        </is>
      </c>
      <c r="G290" t="n">
        <v>9</v>
      </c>
      <c r="H290" t="n">
        <v>0</v>
      </c>
      <c r="I290" t="n">
        <v>0</v>
      </c>
      <c r="J290" t="n">
        <v>0</v>
      </c>
      <c r="K290" t="n">
        <v>0</v>
      </c>
      <c r="L290" t="n">
        <v>0</v>
      </c>
      <c r="M290" t="n">
        <v>0</v>
      </c>
      <c r="N290" t="n">
        <v>0</v>
      </c>
      <c r="O290" t="n">
        <v>0</v>
      </c>
      <c r="P290" t="n">
        <v>0</v>
      </c>
      <c r="Q290" t="n">
        <v>0</v>
      </c>
      <c r="R290" s="2" t="inlineStr"/>
    </row>
    <row r="291" ht="15" customHeight="1">
      <c r="A291" t="inlineStr">
        <is>
          <t>A 55241-2019</t>
        </is>
      </c>
      <c r="B291" s="1" t="n">
        <v>43756</v>
      </c>
      <c r="C291" s="1" t="n">
        <v>45668</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55193-2019</t>
        </is>
      </c>
      <c r="B292" s="1" t="n">
        <v>43756</v>
      </c>
      <c r="C292" s="1" t="n">
        <v>45668</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55238-2019</t>
        </is>
      </c>
      <c r="B293" s="1" t="n">
        <v>43756</v>
      </c>
      <c r="C293" s="1" t="n">
        <v>45668</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55801-2019</t>
        </is>
      </c>
      <c r="B294" s="1" t="n">
        <v>43759</v>
      </c>
      <c r="C294" s="1" t="n">
        <v>45668</v>
      </c>
      <c r="D294" t="inlineStr">
        <is>
          <t>JÄMTLANDS LÄN</t>
        </is>
      </c>
      <c r="E294" t="inlineStr">
        <is>
          <t>HÄRJEDALEN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55554-2019</t>
        </is>
      </c>
      <c r="B295" s="1" t="n">
        <v>43759</v>
      </c>
      <c r="C295" s="1" t="n">
        <v>45668</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57281-2019</t>
        </is>
      </c>
      <c r="B296" s="1" t="n">
        <v>43759</v>
      </c>
      <c r="C296" s="1" t="n">
        <v>45668</v>
      </c>
      <c r="D296" t="inlineStr">
        <is>
          <t>JÄMTLANDS LÄN</t>
        </is>
      </c>
      <c r="E296" t="inlineStr">
        <is>
          <t>HÄRJEDALEN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55578-2019</t>
        </is>
      </c>
      <c r="B297" s="1" t="n">
        <v>43760</v>
      </c>
      <c r="C297" s="1" t="n">
        <v>45668</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55607-2019</t>
        </is>
      </c>
      <c r="B298" s="1" t="n">
        <v>43760</v>
      </c>
      <c r="C298" s="1" t="n">
        <v>45668</v>
      </c>
      <c r="D298" t="inlineStr">
        <is>
          <t>JÄMTLANDS LÄN</t>
        </is>
      </c>
      <c r="E298" t="inlineStr">
        <is>
          <t>HÄRJEDALEN</t>
        </is>
      </c>
      <c r="G298" t="n">
        <v>3.7</v>
      </c>
      <c r="H298" t="n">
        <v>0</v>
      </c>
      <c r="I298" t="n">
        <v>0</v>
      </c>
      <c r="J298" t="n">
        <v>0</v>
      </c>
      <c r="K298" t="n">
        <v>0</v>
      </c>
      <c r="L298" t="n">
        <v>0</v>
      </c>
      <c r="M298" t="n">
        <v>0</v>
      </c>
      <c r="N298" t="n">
        <v>0</v>
      </c>
      <c r="O298" t="n">
        <v>0</v>
      </c>
      <c r="P298" t="n">
        <v>0</v>
      </c>
      <c r="Q298" t="n">
        <v>0</v>
      </c>
      <c r="R298" s="2" t="inlineStr"/>
    </row>
    <row r="299" ht="15" customHeight="1">
      <c r="A299" t="inlineStr">
        <is>
          <t>A 56217-2019</t>
        </is>
      </c>
      <c r="B299" s="1" t="n">
        <v>43762</v>
      </c>
      <c r="C299" s="1" t="n">
        <v>45668</v>
      </c>
      <c r="D299" t="inlineStr">
        <is>
          <t>JÄMTLANDS LÄN</t>
        </is>
      </c>
      <c r="E299" t="inlineStr">
        <is>
          <t>HÄRJEDALEN</t>
        </is>
      </c>
      <c r="G299" t="n">
        <v>43.2</v>
      </c>
      <c r="H299" t="n">
        <v>0</v>
      </c>
      <c r="I299" t="n">
        <v>0</v>
      </c>
      <c r="J299" t="n">
        <v>0</v>
      </c>
      <c r="K299" t="n">
        <v>0</v>
      </c>
      <c r="L299" t="n">
        <v>0</v>
      </c>
      <c r="M299" t="n">
        <v>0</v>
      </c>
      <c r="N299" t="n">
        <v>0</v>
      </c>
      <c r="O299" t="n">
        <v>0</v>
      </c>
      <c r="P299" t="n">
        <v>0</v>
      </c>
      <c r="Q299" t="n">
        <v>0</v>
      </c>
      <c r="R299" s="2" t="inlineStr"/>
    </row>
    <row r="300" ht="15" customHeight="1">
      <c r="A300" t="inlineStr">
        <is>
          <t>A 58175-2019</t>
        </is>
      </c>
      <c r="B300" s="1" t="n">
        <v>43769</v>
      </c>
      <c r="C300" s="1" t="n">
        <v>45668</v>
      </c>
      <c r="D300" t="inlineStr">
        <is>
          <t>JÄMTLANDS LÄN</t>
        </is>
      </c>
      <c r="E300" t="inlineStr">
        <is>
          <t>HÄRJEDALEN</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59347-2019</t>
        </is>
      </c>
      <c r="B301" s="1" t="n">
        <v>43770</v>
      </c>
      <c r="C301" s="1" t="n">
        <v>45668</v>
      </c>
      <c r="D301" t="inlineStr">
        <is>
          <t>JÄMTLANDS LÄN</t>
        </is>
      </c>
      <c r="E301" t="inlineStr">
        <is>
          <t>HÄRJEDALEN</t>
        </is>
      </c>
      <c r="G301" t="n">
        <v>2.3</v>
      </c>
      <c r="H301" t="n">
        <v>0</v>
      </c>
      <c r="I301" t="n">
        <v>0</v>
      </c>
      <c r="J301" t="n">
        <v>0</v>
      </c>
      <c r="K301" t="n">
        <v>0</v>
      </c>
      <c r="L301" t="n">
        <v>0</v>
      </c>
      <c r="M301" t="n">
        <v>0</v>
      </c>
      <c r="N301" t="n">
        <v>0</v>
      </c>
      <c r="O301" t="n">
        <v>0</v>
      </c>
      <c r="P301" t="n">
        <v>0</v>
      </c>
      <c r="Q301" t="n">
        <v>0</v>
      </c>
      <c r="R301" s="2" t="inlineStr"/>
    </row>
    <row r="302" ht="15" customHeight="1">
      <c r="A302" t="inlineStr">
        <is>
          <t>A 58742-2019</t>
        </is>
      </c>
      <c r="B302" s="1" t="n">
        <v>43773</v>
      </c>
      <c r="C302" s="1" t="n">
        <v>45668</v>
      </c>
      <c r="D302" t="inlineStr">
        <is>
          <t>JÄMTLANDS LÄN</t>
        </is>
      </c>
      <c r="E302" t="inlineStr">
        <is>
          <t>HÄRJEDALEN</t>
        </is>
      </c>
      <c r="G302" t="n">
        <v>4</v>
      </c>
      <c r="H302" t="n">
        <v>0</v>
      </c>
      <c r="I302" t="n">
        <v>0</v>
      </c>
      <c r="J302" t="n">
        <v>0</v>
      </c>
      <c r="K302" t="n">
        <v>0</v>
      </c>
      <c r="L302" t="n">
        <v>0</v>
      </c>
      <c r="M302" t="n">
        <v>0</v>
      </c>
      <c r="N302" t="n">
        <v>0</v>
      </c>
      <c r="O302" t="n">
        <v>0</v>
      </c>
      <c r="P302" t="n">
        <v>0</v>
      </c>
      <c r="Q302" t="n">
        <v>0</v>
      </c>
      <c r="R302" s="2" t="inlineStr"/>
    </row>
    <row r="303" ht="15" customHeight="1">
      <c r="A303" t="inlineStr">
        <is>
          <t>A 59984-2019</t>
        </is>
      </c>
      <c r="B303" s="1" t="n">
        <v>43775</v>
      </c>
      <c r="C303" s="1" t="n">
        <v>45668</v>
      </c>
      <c r="D303" t="inlineStr">
        <is>
          <t>JÄMTLANDS LÄN</t>
        </is>
      </c>
      <c r="E303" t="inlineStr">
        <is>
          <t>HÄRJEDALEN</t>
        </is>
      </c>
      <c r="G303" t="n">
        <v>20.4</v>
      </c>
      <c r="H303" t="n">
        <v>0</v>
      </c>
      <c r="I303" t="n">
        <v>0</v>
      </c>
      <c r="J303" t="n">
        <v>0</v>
      </c>
      <c r="K303" t="n">
        <v>0</v>
      </c>
      <c r="L303" t="n">
        <v>0</v>
      </c>
      <c r="M303" t="n">
        <v>0</v>
      </c>
      <c r="N303" t="n">
        <v>0</v>
      </c>
      <c r="O303" t="n">
        <v>0</v>
      </c>
      <c r="P303" t="n">
        <v>0</v>
      </c>
      <c r="Q303" t="n">
        <v>0</v>
      </c>
      <c r="R303" s="2" t="inlineStr"/>
    </row>
    <row r="304" ht="15" customHeight="1">
      <c r="A304" t="inlineStr">
        <is>
          <t>A 59733-2019</t>
        </is>
      </c>
      <c r="B304" s="1" t="n">
        <v>43776</v>
      </c>
      <c r="C304" s="1" t="n">
        <v>45668</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60213-2019</t>
        </is>
      </c>
      <c r="B305" s="1" t="n">
        <v>43780</v>
      </c>
      <c r="C305" s="1" t="n">
        <v>45668</v>
      </c>
      <c r="D305" t="inlineStr">
        <is>
          <t>JÄMTLANDS LÄN</t>
        </is>
      </c>
      <c r="E305" t="inlineStr">
        <is>
          <t>HÄRJEDALEN</t>
        </is>
      </c>
      <c r="F305" t="inlineStr">
        <is>
          <t>Holmen skog AB</t>
        </is>
      </c>
      <c r="G305" t="n">
        <v>4.7</v>
      </c>
      <c r="H305" t="n">
        <v>0</v>
      </c>
      <c r="I305" t="n">
        <v>0</v>
      </c>
      <c r="J305" t="n">
        <v>0</v>
      </c>
      <c r="K305" t="n">
        <v>0</v>
      </c>
      <c r="L305" t="n">
        <v>0</v>
      </c>
      <c r="M305" t="n">
        <v>0</v>
      </c>
      <c r="N305" t="n">
        <v>0</v>
      </c>
      <c r="O305" t="n">
        <v>0</v>
      </c>
      <c r="P305" t="n">
        <v>0</v>
      </c>
      <c r="Q305" t="n">
        <v>0</v>
      </c>
      <c r="R305" s="2" t="inlineStr"/>
    </row>
    <row r="306" ht="15" customHeight="1">
      <c r="A306" t="inlineStr">
        <is>
          <t>A 62342-2019</t>
        </is>
      </c>
      <c r="B306" s="1" t="n">
        <v>43782</v>
      </c>
      <c r="C306" s="1" t="n">
        <v>45668</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60919-2019</t>
        </is>
      </c>
      <c r="B307" s="1" t="n">
        <v>43782</v>
      </c>
      <c r="C307" s="1" t="n">
        <v>45668</v>
      </c>
      <c r="D307" t="inlineStr">
        <is>
          <t>JÄMTLANDS LÄN</t>
        </is>
      </c>
      <c r="E307" t="inlineStr">
        <is>
          <t>HÄRJEDALEN</t>
        </is>
      </c>
      <c r="G307" t="n">
        <v>6.4</v>
      </c>
      <c r="H307" t="n">
        <v>0</v>
      </c>
      <c r="I307" t="n">
        <v>0</v>
      </c>
      <c r="J307" t="n">
        <v>0</v>
      </c>
      <c r="K307" t="n">
        <v>0</v>
      </c>
      <c r="L307" t="n">
        <v>0</v>
      </c>
      <c r="M307" t="n">
        <v>0</v>
      </c>
      <c r="N307" t="n">
        <v>0</v>
      </c>
      <c r="O307" t="n">
        <v>0</v>
      </c>
      <c r="P307" t="n">
        <v>0</v>
      </c>
      <c r="Q307" t="n">
        <v>0</v>
      </c>
      <c r="R307" s="2" t="inlineStr"/>
    </row>
    <row r="308" ht="15" customHeight="1">
      <c r="A308" t="inlineStr">
        <is>
          <t>A 62115-2019</t>
        </is>
      </c>
      <c r="B308" s="1" t="n">
        <v>43787</v>
      </c>
      <c r="C308" s="1" t="n">
        <v>45668</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62451-2019</t>
        </is>
      </c>
      <c r="B309" s="1" t="n">
        <v>43788</v>
      </c>
      <c r="C309" s="1" t="n">
        <v>45668</v>
      </c>
      <c r="D309" t="inlineStr">
        <is>
          <t>JÄMTLANDS LÄN</t>
        </is>
      </c>
      <c r="E309" t="inlineStr">
        <is>
          <t>HÄRJEDALEN</t>
        </is>
      </c>
      <c r="F309" t="inlineStr">
        <is>
          <t>Bergvik skog väst AB</t>
        </is>
      </c>
      <c r="G309" t="n">
        <v>22.2</v>
      </c>
      <c r="H309" t="n">
        <v>0</v>
      </c>
      <c r="I309" t="n">
        <v>0</v>
      </c>
      <c r="J309" t="n">
        <v>0</v>
      </c>
      <c r="K309" t="n">
        <v>0</v>
      </c>
      <c r="L309" t="n">
        <v>0</v>
      </c>
      <c r="M309" t="n">
        <v>0</v>
      </c>
      <c r="N309" t="n">
        <v>0</v>
      </c>
      <c r="O309" t="n">
        <v>0</v>
      </c>
      <c r="P309" t="n">
        <v>0</v>
      </c>
      <c r="Q309" t="n">
        <v>0</v>
      </c>
      <c r="R309" s="2" t="inlineStr"/>
    </row>
    <row r="310" ht="15" customHeight="1">
      <c r="A310" t="inlineStr">
        <is>
          <t>A 62971-2019</t>
        </is>
      </c>
      <c r="B310" s="1" t="n">
        <v>43790</v>
      </c>
      <c r="C310" s="1" t="n">
        <v>45668</v>
      </c>
      <c r="D310" t="inlineStr">
        <is>
          <t>JÄMTLANDS LÄN</t>
        </is>
      </c>
      <c r="E310" t="inlineStr">
        <is>
          <t>HÄRJEDALEN</t>
        </is>
      </c>
      <c r="F310" t="inlineStr">
        <is>
          <t>Bergvik skog väst AB</t>
        </is>
      </c>
      <c r="G310" t="n">
        <v>18.2</v>
      </c>
      <c r="H310" t="n">
        <v>0</v>
      </c>
      <c r="I310" t="n">
        <v>0</v>
      </c>
      <c r="J310" t="n">
        <v>0</v>
      </c>
      <c r="K310" t="n">
        <v>0</v>
      </c>
      <c r="L310" t="n">
        <v>0</v>
      </c>
      <c r="M310" t="n">
        <v>0</v>
      </c>
      <c r="N310" t="n">
        <v>0</v>
      </c>
      <c r="O310" t="n">
        <v>0</v>
      </c>
      <c r="P310" t="n">
        <v>0</v>
      </c>
      <c r="Q310" t="n">
        <v>0</v>
      </c>
      <c r="R310" s="2" t="inlineStr"/>
    </row>
    <row r="311" ht="15" customHeight="1">
      <c r="A311" t="inlineStr">
        <is>
          <t>A 64417-2019</t>
        </is>
      </c>
      <c r="B311" s="1" t="n">
        <v>43794</v>
      </c>
      <c r="C311" s="1" t="n">
        <v>45668</v>
      </c>
      <c r="D311" t="inlineStr">
        <is>
          <t>JÄMTLANDS LÄN</t>
        </is>
      </c>
      <c r="E311" t="inlineStr">
        <is>
          <t>HÄRJEDALEN</t>
        </is>
      </c>
      <c r="G311" t="n">
        <v>6.9</v>
      </c>
      <c r="H311" t="n">
        <v>0</v>
      </c>
      <c r="I311" t="n">
        <v>0</v>
      </c>
      <c r="J311" t="n">
        <v>0</v>
      </c>
      <c r="K311" t="n">
        <v>0</v>
      </c>
      <c r="L311" t="n">
        <v>0</v>
      </c>
      <c r="M311" t="n">
        <v>0</v>
      </c>
      <c r="N311" t="n">
        <v>0</v>
      </c>
      <c r="O311" t="n">
        <v>0</v>
      </c>
      <c r="P311" t="n">
        <v>0</v>
      </c>
      <c r="Q311" t="n">
        <v>0</v>
      </c>
      <c r="R311" s="2" t="inlineStr"/>
    </row>
    <row r="312" ht="15" customHeight="1">
      <c r="A312" t="inlineStr">
        <is>
          <t>A 64229-2019</t>
        </is>
      </c>
      <c r="B312" s="1" t="n">
        <v>43797</v>
      </c>
      <c r="C312" s="1" t="n">
        <v>45668</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64689-2019</t>
        </is>
      </c>
      <c r="B313" s="1" t="n">
        <v>43798</v>
      </c>
      <c r="C313" s="1" t="n">
        <v>45668</v>
      </c>
      <c r="D313" t="inlineStr">
        <is>
          <t>JÄMTLANDS LÄN</t>
        </is>
      </c>
      <c r="E313" t="inlineStr">
        <is>
          <t>HÄRJEDALEN</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65759-2019</t>
        </is>
      </c>
      <c r="B314" s="1" t="n">
        <v>43804</v>
      </c>
      <c r="C314" s="1" t="n">
        <v>45668</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66255-2019</t>
        </is>
      </c>
      <c r="B315" s="1" t="n">
        <v>43808</v>
      </c>
      <c r="C315" s="1" t="n">
        <v>45668</v>
      </c>
      <c r="D315" t="inlineStr">
        <is>
          <t>JÄMTLANDS LÄN</t>
        </is>
      </c>
      <c r="E315" t="inlineStr">
        <is>
          <t>HÄRJEDALEN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66735-2019</t>
        </is>
      </c>
      <c r="B316" s="1" t="n">
        <v>43810</v>
      </c>
      <c r="C316" s="1" t="n">
        <v>45668</v>
      </c>
      <c r="D316" t="inlineStr">
        <is>
          <t>JÄMTLANDS LÄN</t>
        </is>
      </c>
      <c r="E316" t="inlineStr">
        <is>
          <t>HÄRJEDALEN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67619-2019</t>
        </is>
      </c>
      <c r="B317" s="1" t="n">
        <v>43815</v>
      </c>
      <c r="C317" s="1" t="n">
        <v>45668</v>
      </c>
      <c r="D317" t="inlineStr">
        <is>
          <t>JÄMTLANDS LÄN</t>
        </is>
      </c>
      <c r="E317" t="inlineStr">
        <is>
          <t>HÄRJEDALEN</t>
        </is>
      </c>
      <c r="F317" t="inlineStr">
        <is>
          <t>Holmen skog AB</t>
        </is>
      </c>
      <c r="G317" t="n">
        <v>6.4</v>
      </c>
      <c r="H317" t="n">
        <v>0</v>
      </c>
      <c r="I317" t="n">
        <v>0</v>
      </c>
      <c r="J317" t="n">
        <v>0</v>
      </c>
      <c r="K317" t="n">
        <v>0</v>
      </c>
      <c r="L317" t="n">
        <v>0</v>
      </c>
      <c r="M317" t="n">
        <v>0</v>
      </c>
      <c r="N317" t="n">
        <v>0</v>
      </c>
      <c r="O317" t="n">
        <v>0</v>
      </c>
      <c r="P317" t="n">
        <v>0</v>
      </c>
      <c r="Q317" t="n">
        <v>0</v>
      </c>
      <c r="R317" s="2" t="inlineStr"/>
    </row>
    <row r="318" ht="15" customHeight="1">
      <c r="A318" t="inlineStr">
        <is>
          <t>A 67693-2019</t>
        </is>
      </c>
      <c r="B318" s="1" t="n">
        <v>43815</v>
      </c>
      <c r="C318" s="1" t="n">
        <v>45668</v>
      </c>
      <c r="D318" t="inlineStr">
        <is>
          <t>JÄMTLANDS LÄN</t>
        </is>
      </c>
      <c r="E318" t="inlineStr">
        <is>
          <t>HÄRJEDALEN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67500-2019</t>
        </is>
      </c>
      <c r="B319" s="1" t="n">
        <v>43815</v>
      </c>
      <c r="C319" s="1" t="n">
        <v>45668</v>
      </c>
      <c r="D319" t="inlineStr">
        <is>
          <t>JÄMTLANDS LÄN</t>
        </is>
      </c>
      <c r="E319" t="inlineStr">
        <is>
          <t>HÄRJEDALEN</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67695-2019</t>
        </is>
      </c>
      <c r="B320" s="1" t="n">
        <v>43815</v>
      </c>
      <c r="C320" s="1" t="n">
        <v>45668</v>
      </c>
      <c r="D320" t="inlineStr">
        <is>
          <t>JÄMTLANDS LÄN</t>
        </is>
      </c>
      <c r="E320" t="inlineStr">
        <is>
          <t>HÄRJEDALEN</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67757-2019</t>
        </is>
      </c>
      <c r="B321" s="1" t="n">
        <v>43815</v>
      </c>
      <c r="C321" s="1" t="n">
        <v>45668</v>
      </c>
      <c r="D321" t="inlineStr">
        <is>
          <t>JÄMTLANDS LÄN</t>
        </is>
      </c>
      <c r="E321" t="inlineStr">
        <is>
          <t>HÄRJEDALEN</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67688-2019</t>
        </is>
      </c>
      <c r="B322" s="1" t="n">
        <v>43815</v>
      </c>
      <c r="C322" s="1" t="n">
        <v>45668</v>
      </c>
      <c r="D322" t="inlineStr">
        <is>
          <t>JÄMTLANDS LÄN</t>
        </is>
      </c>
      <c r="E322" t="inlineStr">
        <is>
          <t>HÄRJEDALEN</t>
        </is>
      </c>
      <c r="F322" t="inlineStr">
        <is>
          <t>Holmen skog AB</t>
        </is>
      </c>
      <c r="G322" t="n">
        <v>4.2</v>
      </c>
      <c r="H322" t="n">
        <v>0</v>
      </c>
      <c r="I322" t="n">
        <v>0</v>
      </c>
      <c r="J322" t="n">
        <v>0</v>
      </c>
      <c r="K322" t="n">
        <v>0</v>
      </c>
      <c r="L322" t="n">
        <v>0</v>
      </c>
      <c r="M322" t="n">
        <v>0</v>
      </c>
      <c r="N322" t="n">
        <v>0</v>
      </c>
      <c r="O322" t="n">
        <v>0</v>
      </c>
      <c r="P322" t="n">
        <v>0</v>
      </c>
      <c r="Q322" t="n">
        <v>0</v>
      </c>
      <c r="R322" s="2" t="inlineStr"/>
    </row>
    <row r="323" ht="15" customHeight="1">
      <c r="A323" t="inlineStr">
        <is>
          <t>A 67738-2019</t>
        </is>
      </c>
      <c r="B323" s="1" t="n">
        <v>43815</v>
      </c>
      <c r="C323" s="1" t="n">
        <v>45668</v>
      </c>
      <c r="D323" t="inlineStr">
        <is>
          <t>JÄMTLANDS LÄN</t>
        </is>
      </c>
      <c r="E323" t="inlineStr">
        <is>
          <t>HÄRJEDALEN</t>
        </is>
      </c>
      <c r="F323" t="inlineStr">
        <is>
          <t>Holmen skog AB</t>
        </is>
      </c>
      <c r="G323" t="n">
        <v>15.9</v>
      </c>
      <c r="H323" t="n">
        <v>0</v>
      </c>
      <c r="I323" t="n">
        <v>0</v>
      </c>
      <c r="J323" t="n">
        <v>0</v>
      </c>
      <c r="K323" t="n">
        <v>0</v>
      </c>
      <c r="L323" t="n">
        <v>0</v>
      </c>
      <c r="M323" t="n">
        <v>0</v>
      </c>
      <c r="N323" t="n">
        <v>0</v>
      </c>
      <c r="O323" t="n">
        <v>0</v>
      </c>
      <c r="P323" t="n">
        <v>0</v>
      </c>
      <c r="Q323" t="n">
        <v>0</v>
      </c>
      <c r="R323" s="2" t="inlineStr"/>
    </row>
    <row r="324" ht="15" customHeight="1">
      <c r="A324" t="inlineStr">
        <is>
          <t>A 67506-2019</t>
        </is>
      </c>
      <c r="B324" s="1" t="n">
        <v>43815</v>
      </c>
      <c r="C324" s="1" t="n">
        <v>45668</v>
      </c>
      <c r="D324" t="inlineStr">
        <is>
          <t>JÄMTLANDS LÄN</t>
        </is>
      </c>
      <c r="E324" t="inlineStr">
        <is>
          <t>HÄRJEDALEN</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67692-2019</t>
        </is>
      </c>
      <c r="B325" s="1" t="n">
        <v>43815</v>
      </c>
      <c r="C325" s="1" t="n">
        <v>45668</v>
      </c>
      <c r="D325" t="inlineStr">
        <is>
          <t>JÄMTLANDS LÄN</t>
        </is>
      </c>
      <c r="E325" t="inlineStr">
        <is>
          <t>HÄRJEDALEN</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67733-2019</t>
        </is>
      </c>
      <c r="B326" s="1" t="n">
        <v>43815</v>
      </c>
      <c r="C326" s="1" t="n">
        <v>45668</v>
      </c>
      <c r="D326" t="inlineStr">
        <is>
          <t>JÄMTLANDS LÄN</t>
        </is>
      </c>
      <c r="E326" t="inlineStr">
        <is>
          <t>HÄRJEDALEN</t>
        </is>
      </c>
      <c r="F326" t="inlineStr">
        <is>
          <t>Holmen skog AB</t>
        </is>
      </c>
      <c r="G326" t="n">
        <v>15.5</v>
      </c>
      <c r="H326" t="n">
        <v>0</v>
      </c>
      <c r="I326" t="n">
        <v>0</v>
      </c>
      <c r="J326" t="n">
        <v>0</v>
      </c>
      <c r="K326" t="n">
        <v>0</v>
      </c>
      <c r="L326" t="n">
        <v>0</v>
      </c>
      <c r="M326" t="n">
        <v>0</v>
      </c>
      <c r="N326" t="n">
        <v>0</v>
      </c>
      <c r="O326" t="n">
        <v>0</v>
      </c>
      <c r="P326" t="n">
        <v>0</v>
      </c>
      <c r="Q326" t="n">
        <v>0</v>
      </c>
      <c r="R326" s="2" t="inlineStr"/>
    </row>
    <row r="327" ht="15" customHeight="1">
      <c r="A327" t="inlineStr">
        <is>
          <t>A 67593-2019</t>
        </is>
      </c>
      <c r="B327" s="1" t="n">
        <v>43815</v>
      </c>
      <c r="C327" s="1" t="n">
        <v>45668</v>
      </c>
      <c r="D327" t="inlineStr">
        <is>
          <t>JÄMTLANDS LÄN</t>
        </is>
      </c>
      <c r="E327" t="inlineStr">
        <is>
          <t>HÄRJEDALEN</t>
        </is>
      </c>
      <c r="F327" t="inlineStr">
        <is>
          <t>Holmen skog AB</t>
        </is>
      </c>
      <c r="G327" t="n">
        <v>7.9</v>
      </c>
      <c r="H327" t="n">
        <v>0</v>
      </c>
      <c r="I327" t="n">
        <v>0</v>
      </c>
      <c r="J327" t="n">
        <v>0</v>
      </c>
      <c r="K327" t="n">
        <v>0</v>
      </c>
      <c r="L327" t="n">
        <v>0</v>
      </c>
      <c r="M327" t="n">
        <v>0</v>
      </c>
      <c r="N327" t="n">
        <v>0</v>
      </c>
      <c r="O327" t="n">
        <v>0</v>
      </c>
      <c r="P327" t="n">
        <v>0</v>
      </c>
      <c r="Q327" t="n">
        <v>0</v>
      </c>
      <c r="R327" s="2" t="inlineStr"/>
    </row>
    <row r="328" ht="15" customHeight="1">
      <c r="A328" t="inlineStr">
        <is>
          <t>A 67535-2019</t>
        </is>
      </c>
      <c r="B328" s="1" t="n">
        <v>43815</v>
      </c>
      <c r="C328" s="1" t="n">
        <v>45668</v>
      </c>
      <c r="D328" t="inlineStr">
        <is>
          <t>JÄMTLANDS LÄN</t>
        </is>
      </c>
      <c r="E328" t="inlineStr">
        <is>
          <t>HÄRJEDALEN</t>
        </is>
      </c>
      <c r="F328" t="inlineStr">
        <is>
          <t>Holmen skog AB</t>
        </is>
      </c>
      <c r="G328" t="n">
        <v>34.3</v>
      </c>
      <c r="H328" t="n">
        <v>0</v>
      </c>
      <c r="I328" t="n">
        <v>0</v>
      </c>
      <c r="J328" t="n">
        <v>0</v>
      </c>
      <c r="K328" t="n">
        <v>0</v>
      </c>
      <c r="L328" t="n">
        <v>0</v>
      </c>
      <c r="M328" t="n">
        <v>0</v>
      </c>
      <c r="N328" t="n">
        <v>0</v>
      </c>
      <c r="O328" t="n">
        <v>0</v>
      </c>
      <c r="P328" t="n">
        <v>0</v>
      </c>
      <c r="Q328" t="n">
        <v>0</v>
      </c>
      <c r="R328" s="2" t="inlineStr"/>
    </row>
    <row r="329" ht="15" customHeight="1">
      <c r="A329" t="inlineStr">
        <is>
          <t>A 67972-2019</t>
        </is>
      </c>
      <c r="B329" s="1" t="n">
        <v>43816</v>
      </c>
      <c r="C329" s="1" t="n">
        <v>45668</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642-2020</t>
        </is>
      </c>
      <c r="B330" s="1" t="n">
        <v>43817</v>
      </c>
      <c r="C330" s="1" t="n">
        <v>45668</v>
      </c>
      <c r="D330" t="inlineStr">
        <is>
          <t>JÄMTLANDS LÄN</t>
        </is>
      </c>
      <c r="E330" t="inlineStr">
        <is>
          <t>HÄRJEDALEN</t>
        </is>
      </c>
      <c r="G330" t="n">
        <v>15.5</v>
      </c>
      <c r="H330" t="n">
        <v>0</v>
      </c>
      <c r="I330" t="n">
        <v>0</v>
      </c>
      <c r="J330" t="n">
        <v>0</v>
      </c>
      <c r="K330" t="n">
        <v>0</v>
      </c>
      <c r="L330" t="n">
        <v>0</v>
      </c>
      <c r="M330" t="n">
        <v>0</v>
      </c>
      <c r="N330" t="n">
        <v>0</v>
      </c>
      <c r="O330" t="n">
        <v>0</v>
      </c>
      <c r="P330" t="n">
        <v>0</v>
      </c>
      <c r="Q330" t="n">
        <v>0</v>
      </c>
      <c r="R330" s="2" t="inlineStr"/>
    </row>
    <row r="331" ht="15" customHeight="1">
      <c r="A331" t="inlineStr">
        <is>
          <t>A 159-2020</t>
        </is>
      </c>
      <c r="B331" s="1" t="n">
        <v>43833</v>
      </c>
      <c r="C331" s="1" t="n">
        <v>45668</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2320-2020</t>
        </is>
      </c>
      <c r="B332" s="1" t="n">
        <v>43846</v>
      </c>
      <c r="C332" s="1" t="n">
        <v>45668</v>
      </c>
      <c r="D332" t="inlineStr">
        <is>
          <t>JÄMTLANDS LÄN</t>
        </is>
      </c>
      <c r="E332" t="inlineStr">
        <is>
          <t>HÄRJEDALEN</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4663-2020</t>
        </is>
      </c>
      <c r="B333" s="1" t="n">
        <v>43858</v>
      </c>
      <c r="C333" s="1" t="n">
        <v>45668</v>
      </c>
      <c r="D333" t="inlineStr">
        <is>
          <t>JÄMTLANDS LÄN</t>
        </is>
      </c>
      <c r="E333" t="inlineStr">
        <is>
          <t>HÄRJEDALEN</t>
        </is>
      </c>
      <c r="G333" t="n">
        <v>10.2</v>
      </c>
      <c r="H333" t="n">
        <v>0</v>
      </c>
      <c r="I333" t="n">
        <v>0</v>
      </c>
      <c r="J333" t="n">
        <v>0</v>
      </c>
      <c r="K333" t="n">
        <v>0</v>
      </c>
      <c r="L333" t="n">
        <v>0</v>
      </c>
      <c r="M333" t="n">
        <v>0</v>
      </c>
      <c r="N333" t="n">
        <v>0</v>
      </c>
      <c r="O333" t="n">
        <v>0</v>
      </c>
      <c r="P333" t="n">
        <v>0</v>
      </c>
      <c r="Q333" t="n">
        <v>0</v>
      </c>
      <c r="R333" s="2" t="inlineStr"/>
    </row>
    <row r="334" ht="15" customHeight="1">
      <c r="A334" t="inlineStr">
        <is>
          <t>A 6719-2020</t>
        </is>
      </c>
      <c r="B334" s="1" t="n">
        <v>43866</v>
      </c>
      <c r="C334" s="1" t="n">
        <v>45668</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6715-2020</t>
        </is>
      </c>
      <c r="B335" s="1" t="n">
        <v>43866</v>
      </c>
      <c r="C335" s="1" t="n">
        <v>45668</v>
      </c>
      <c r="D335" t="inlineStr">
        <is>
          <t>JÄMTLANDS LÄN</t>
        </is>
      </c>
      <c r="E335" t="inlineStr">
        <is>
          <t>HÄRJEDALEN</t>
        </is>
      </c>
      <c r="G335" t="n">
        <v>7.5</v>
      </c>
      <c r="H335" t="n">
        <v>0</v>
      </c>
      <c r="I335" t="n">
        <v>0</v>
      </c>
      <c r="J335" t="n">
        <v>0</v>
      </c>
      <c r="K335" t="n">
        <v>0</v>
      </c>
      <c r="L335" t="n">
        <v>0</v>
      </c>
      <c r="M335" t="n">
        <v>0</v>
      </c>
      <c r="N335" t="n">
        <v>0</v>
      </c>
      <c r="O335" t="n">
        <v>0</v>
      </c>
      <c r="P335" t="n">
        <v>0</v>
      </c>
      <c r="Q335" t="n">
        <v>0</v>
      </c>
      <c r="R335" s="2" t="inlineStr"/>
    </row>
    <row r="336" ht="15" customHeight="1">
      <c r="A336" t="inlineStr">
        <is>
          <t>A 6675-2020</t>
        </is>
      </c>
      <c r="B336" s="1" t="n">
        <v>43866</v>
      </c>
      <c r="C336" s="1" t="n">
        <v>45668</v>
      </c>
      <c r="D336" t="inlineStr">
        <is>
          <t>JÄMTLANDS LÄN</t>
        </is>
      </c>
      <c r="E336" t="inlineStr">
        <is>
          <t>HÄRJEDALEN</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6584-2020</t>
        </is>
      </c>
      <c r="B337" s="1" t="n">
        <v>43867</v>
      </c>
      <c r="C337" s="1" t="n">
        <v>45668</v>
      </c>
      <c r="D337" t="inlineStr">
        <is>
          <t>JÄMTLANDS LÄN</t>
        </is>
      </c>
      <c r="E337" t="inlineStr">
        <is>
          <t>HÄRJEDALEN</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6903-2020</t>
        </is>
      </c>
      <c r="B338" s="1" t="n">
        <v>43867</v>
      </c>
      <c r="C338" s="1" t="n">
        <v>45668</v>
      </c>
      <c r="D338" t="inlineStr">
        <is>
          <t>JÄMTLANDS LÄN</t>
        </is>
      </c>
      <c r="E338" t="inlineStr">
        <is>
          <t>HÄRJEDALEN</t>
        </is>
      </c>
      <c r="G338" t="n">
        <v>10.5</v>
      </c>
      <c r="H338" t="n">
        <v>0</v>
      </c>
      <c r="I338" t="n">
        <v>0</v>
      </c>
      <c r="J338" t="n">
        <v>0</v>
      </c>
      <c r="K338" t="n">
        <v>0</v>
      </c>
      <c r="L338" t="n">
        <v>0</v>
      </c>
      <c r="M338" t="n">
        <v>0</v>
      </c>
      <c r="N338" t="n">
        <v>0</v>
      </c>
      <c r="O338" t="n">
        <v>0</v>
      </c>
      <c r="P338" t="n">
        <v>0</v>
      </c>
      <c r="Q338" t="n">
        <v>0</v>
      </c>
      <c r="R338" s="2" t="inlineStr"/>
    </row>
    <row r="339" ht="15" customHeight="1">
      <c r="A339" t="inlineStr">
        <is>
          <t>A 7184-2020</t>
        </is>
      </c>
      <c r="B339" s="1" t="n">
        <v>43871</v>
      </c>
      <c r="C339" s="1" t="n">
        <v>45668</v>
      </c>
      <c r="D339" t="inlineStr">
        <is>
          <t>JÄMTLANDS LÄN</t>
        </is>
      </c>
      <c r="E339" t="inlineStr">
        <is>
          <t>HÄRJEDALEN</t>
        </is>
      </c>
      <c r="G339" t="n">
        <v>41.4</v>
      </c>
      <c r="H339" t="n">
        <v>0</v>
      </c>
      <c r="I339" t="n">
        <v>0</v>
      </c>
      <c r="J339" t="n">
        <v>0</v>
      </c>
      <c r="K339" t="n">
        <v>0</v>
      </c>
      <c r="L339" t="n">
        <v>0</v>
      </c>
      <c r="M339" t="n">
        <v>0</v>
      </c>
      <c r="N339" t="n">
        <v>0</v>
      </c>
      <c r="O339" t="n">
        <v>0</v>
      </c>
      <c r="P339" t="n">
        <v>0</v>
      </c>
      <c r="Q339" t="n">
        <v>0</v>
      </c>
      <c r="R339" s="2" t="inlineStr"/>
    </row>
    <row r="340" ht="15" customHeight="1">
      <c r="A340" t="inlineStr">
        <is>
          <t>A 8111-2020</t>
        </is>
      </c>
      <c r="B340" s="1" t="n">
        <v>43874</v>
      </c>
      <c r="C340" s="1" t="n">
        <v>45668</v>
      </c>
      <c r="D340" t="inlineStr">
        <is>
          <t>JÄMTLANDS LÄN</t>
        </is>
      </c>
      <c r="E340" t="inlineStr">
        <is>
          <t>HÄRJEDALEN</t>
        </is>
      </c>
      <c r="G340" t="n">
        <v>15.4</v>
      </c>
      <c r="H340" t="n">
        <v>0</v>
      </c>
      <c r="I340" t="n">
        <v>0</v>
      </c>
      <c r="J340" t="n">
        <v>0</v>
      </c>
      <c r="K340" t="n">
        <v>0</v>
      </c>
      <c r="L340" t="n">
        <v>0</v>
      </c>
      <c r="M340" t="n">
        <v>0</v>
      </c>
      <c r="N340" t="n">
        <v>0</v>
      </c>
      <c r="O340" t="n">
        <v>0</v>
      </c>
      <c r="P340" t="n">
        <v>0</v>
      </c>
      <c r="Q340" t="n">
        <v>0</v>
      </c>
      <c r="R340" s="2" t="inlineStr"/>
    </row>
    <row r="341" ht="15" customHeight="1">
      <c r="A341" t="inlineStr">
        <is>
          <t>A 8762-2020</t>
        </is>
      </c>
      <c r="B341" s="1" t="n">
        <v>43875</v>
      </c>
      <c r="C341" s="1" t="n">
        <v>45668</v>
      </c>
      <c r="D341" t="inlineStr">
        <is>
          <t>JÄMTLANDS LÄN</t>
        </is>
      </c>
      <c r="E341" t="inlineStr">
        <is>
          <t>HÄRJEDALEN</t>
        </is>
      </c>
      <c r="G341" t="n">
        <v>11</v>
      </c>
      <c r="H341" t="n">
        <v>0</v>
      </c>
      <c r="I341" t="n">
        <v>0</v>
      </c>
      <c r="J341" t="n">
        <v>0</v>
      </c>
      <c r="K341" t="n">
        <v>0</v>
      </c>
      <c r="L341" t="n">
        <v>0</v>
      </c>
      <c r="M341" t="n">
        <v>0</v>
      </c>
      <c r="N341" t="n">
        <v>0</v>
      </c>
      <c r="O341" t="n">
        <v>0</v>
      </c>
      <c r="P341" t="n">
        <v>0</v>
      </c>
      <c r="Q341" t="n">
        <v>0</v>
      </c>
      <c r="R341" s="2" t="inlineStr"/>
    </row>
    <row r="342" ht="15" customHeight="1">
      <c r="A342" t="inlineStr">
        <is>
          <t>A 8908-2020</t>
        </is>
      </c>
      <c r="B342" s="1" t="n">
        <v>43878</v>
      </c>
      <c r="C342" s="1" t="n">
        <v>45668</v>
      </c>
      <c r="D342" t="inlineStr">
        <is>
          <t>JÄMTLANDS LÄN</t>
        </is>
      </c>
      <c r="E342" t="inlineStr">
        <is>
          <t>HÄRJEDALEN</t>
        </is>
      </c>
      <c r="G342" t="n">
        <v>18.1</v>
      </c>
      <c r="H342" t="n">
        <v>0</v>
      </c>
      <c r="I342" t="n">
        <v>0</v>
      </c>
      <c r="J342" t="n">
        <v>0</v>
      </c>
      <c r="K342" t="n">
        <v>0</v>
      </c>
      <c r="L342" t="n">
        <v>0</v>
      </c>
      <c r="M342" t="n">
        <v>0</v>
      </c>
      <c r="N342" t="n">
        <v>0</v>
      </c>
      <c r="O342" t="n">
        <v>0</v>
      </c>
      <c r="P342" t="n">
        <v>0</v>
      </c>
      <c r="Q342" t="n">
        <v>0</v>
      </c>
      <c r="R342" s="2" t="inlineStr"/>
    </row>
    <row r="343" ht="15" customHeight="1">
      <c r="A343" t="inlineStr">
        <is>
          <t>A 9034-2020</t>
        </is>
      </c>
      <c r="B343" s="1" t="n">
        <v>43879</v>
      </c>
      <c r="C343" s="1" t="n">
        <v>45668</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9591-2020</t>
        </is>
      </c>
      <c r="B344" s="1" t="n">
        <v>43881</v>
      </c>
      <c r="C344" s="1" t="n">
        <v>45668</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11731-2020</t>
        </is>
      </c>
      <c r="B345" s="1" t="n">
        <v>43894</v>
      </c>
      <c r="C345" s="1" t="n">
        <v>45668</v>
      </c>
      <c r="D345" t="inlineStr">
        <is>
          <t>JÄMTLANDS LÄN</t>
        </is>
      </c>
      <c r="E345" t="inlineStr">
        <is>
          <t>HÄRJEDALEN</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11816-2020</t>
        </is>
      </c>
      <c r="B346" s="1" t="n">
        <v>43894</v>
      </c>
      <c r="C346" s="1" t="n">
        <v>45668</v>
      </c>
      <c r="D346" t="inlineStr">
        <is>
          <t>JÄMTLANDS LÄN</t>
        </is>
      </c>
      <c r="E346" t="inlineStr">
        <is>
          <t>HÄRJEDALEN</t>
        </is>
      </c>
      <c r="F346" t="inlineStr">
        <is>
          <t>Holmen skog AB</t>
        </is>
      </c>
      <c r="G346" t="n">
        <v>20.4</v>
      </c>
      <c r="H346" t="n">
        <v>0</v>
      </c>
      <c r="I346" t="n">
        <v>0</v>
      </c>
      <c r="J346" t="n">
        <v>0</v>
      </c>
      <c r="K346" t="n">
        <v>0</v>
      </c>
      <c r="L346" t="n">
        <v>0</v>
      </c>
      <c r="M346" t="n">
        <v>0</v>
      </c>
      <c r="N346" t="n">
        <v>0</v>
      </c>
      <c r="O346" t="n">
        <v>0</v>
      </c>
      <c r="P346" t="n">
        <v>0</v>
      </c>
      <c r="Q346" t="n">
        <v>0</v>
      </c>
      <c r="R346" s="2" t="inlineStr"/>
    </row>
    <row r="347" ht="15" customHeight="1">
      <c r="A347" t="inlineStr">
        <is>
          <t>A 11818-2020</t>
        </is>
      </c>
      <c r="B347" s="1" t="n">
        <v>43894</v>
      </c>
      <c r="C347" s="1" t="n">
        <v>45668</v>
      </c>
      <c r="D347" t="inlineStr">
        <is>
          <t>JÄMTLANDS LÄN</t>
        </is>
      </c>
      <c r="E347" t="inlineStr">
        <is>
          <t>HÄRJEDALEN</t>
        </is>
      </c>
      <c r="F347" t="inlineStr">
        <is>
          <t>Holmen skog AB</t>
        </is>
      </c>
      <c r="G347" t="n">
        <v>6</v>
      </c>
      <c r="H347" t="n">
        <v>0</v>
      </c>
      <c r="I347" t="n">
        <v>0</v>
      </c>
      <c r="J347" t="n">
        <v>0</v>
      </c>
      <c r="K347" t="n">
        <v>0</v>
      </c>
      <c r="L347" t="n">
        <v>0</v>
      </c>
      <c r="M347" t="n">
        <v>0</v>
      </c>
      <c r="N347" t="n">
        <v>0</v>
      </c>
      <c r="O347" t="n">
        <v>0</v>
      </c>
      <c r="P347" t="n">
        <v>0</v>
      </c>
      <c r="Q347" t="n">
        <v>0</v>
      </c>
      <c r="R347" s="2" t="inlineStr"/>
    </row>
    <row r="348" ht="15" customHeight="1">
      <c r="A348" t="inlineStr">
        <is>
          <t>A 11885-2020</t>
        </is>
      </c>
      <c r="B348" s="1" t="n">
        <v>43894</v>
      </c>
      <c r="C348" s="1" t="n">
        <v>45668</v>
      </c>
      <c r="D348" t="inlineStr">
        <is>
          <t>JÄMTLANDS LÄN</t>
        </is>
      </c>
      <c r="E348" t="inlineStr">
        <is>
          <t>HÄRJEDALEN</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11828-2020</t>
        </is>
      </c>
      <c r="B349" s="1" t="n">
        <v>43894</v>
      </c>
      <c r="C349" s="1" t="n">
        <v>45668</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11905-2020</t>
        </is>
      </c>
      <c r="B350" s="1" t="n">
        <v>43894</v>
      </c>
      <c r="C350" s="1" t="n">
        <v>45668</v>
      </c>
      <c r="D350" t="inlineStr">
        <is>
          <t>JÄMTLANDS LÄN</t>
        </is>
      </c>
      <c r="E350" t="inlineStr">
        <is>
          <t>HÄRJEDALEN</t>
        </is>
      </c>
      <c r="F350" t="inlineStr">
        <is>
          <t>Holmen skog AB</t>
        </is>
      </c>
      <c r="G350" t="n">
        <v>10.3</v>
      </c>
      <c r="H350" t="n">
        <v>0</v>
      </c>
      <c r="I350" t="n">
        <v>0</v>
      </c>
      <c r="J350" t="n">
        <v>0</v>
      </c>
      <c r="K350" t="n">
        <v>0</v>
      </c>
      <c r="L350" t="n">
        <v>0</v>
      </c>
      <c r="M350" t="n">
        <v>0</v>
      </c>
      <c r="N350" t="n">
        <v>0</v>
      </c>
      <c r="O350" t="n">
        <v>0</v>
      </c>
      <c r="P350" t="n">
        <v>0</v>
      </c>
      <c r="Q350" t="n">
        <v>0</v>
      </c>
      <c r="R350" s="2" t="inlineStr"/>
    </row>
    <row r="351" ht="15" customHeight="1">
      <c r="A351" t="inlineStr">
        <is>
          <t>A 13604-2020</t>
        </is>
      </c>
      <c r="B351" s="1" t="n">
        <v>43895</v>
      </c>
      <c r="C351" s="1" t="n">
        <v>45668</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12398-2020</t>
        </is>
      </c>
      <c r="B352" s="1" t="n">
        <v>43896</v>
      </c>
      <c r="C352" s="1" t="n">
        <v>45668</v>
      </c>
      <c r="D352" t="inlineStr">
        <is>
          <t>JÄMTLANDS LÄN</t>
        </is>
      </c>
      <c r="E352" t="inlineStr">
        <is>
          <t>HÄRJEDALEN</t>
        </is>
      </c>
      <c r="G352" t="n">
        <v>12.3</v>
      </c>
      <c r="H352" t="n">
        <v>0</v>
      </c>
      <c r="I352" t="n">
        <v>0</v>
      </c>
      <c r="J352" t="n">
        <v>0</v>
      </c>
      <c r="K352" t="n">
        <v>0</v>
      </c>
      <c r="L352" t="n">
        <v>0</v>
      </c>
      <c r="M352" t="n">
        <v>0</v>
      </c>
      <c r="N352" t="n">
        <v>0</v>
      </c>
      <c r="O352" t="n">
        <v>0</v>
      </c>
      <c r="P352" t="n">
        <v>0</v>
      </c>
      <c r="Q352" t="n">
        <v>0</v>
      </c>
      <c r="R352" s="2" t="inlineStr"/>
    </row>
    <row r="353" ht="15" customHeight="1">
      <c r="A353" t="inlineStr">
        <is>
          <t>A 12410-2020</t>
        </is>
      </c>
      <c r="B353" s="1" t="n">
        <v>43896</v>
      </c>
      <c r="C353" s="1" t="n">
        <v>45668</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13588-2020</t>
        </is>
      </c>
      <c r="B354" s="1" t="n">
        <v>43896</v>
      </c>
      <c r="C354" s="1" t="n">
        <v>45668</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12898-2020</t>
        </is>
      </c>
      <c r="B355" s="1" t="n">
        <v>43900</v>
      </c>
      <c r="C355" s="1" t="n">
        <v>45668</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15020-2020</t>
        </is>
      </c>
      <c r="B356" s="1" t="n">
        <v>43907</v>
      </c>
      <c r="C356" s="1" t="n">
        <v>45668</v>
      </c>
      <c r="D356" t="inlineStr">
        <is>
          <t>JÄMTLANDS LÄN</t>
        </is>
      </c>
      <c r="E356" t="inlineStr">
        <is>
          <t>HÄRJEDALEN</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15576-2020</t>
        </is>
      </c>
      <c r="B357" s="1" t="n">
        <v>43914</v>
      </c>
      <c r="C357" s="1" t="n">
        <v>45668</v>
      </c>
      <c r="D357" t="inlineStr">
        <is>
          <t>JÄMTLANDS LÄN</t>
        </is>
      </c>
      <c r="E357" t="inlineStr">
        <is>
          <t>HÄRJEDALEN</t>
        </is>
      </c>
      <c r="F357" t="inlineStr">
        <is>
          <t>Kyrkan</t>
        </is>
      </c>
      <c r="G357" t="n">
        <v>8.1</v>
      </c>
      <c r="H357" t="n">
        <v>0</v>
      </c>
      <c r="I357" t="n">
        <v>0</v>
      </c>
      <c r="J357" t="n">
        <v>0</v>
      </c>
      <c r="K357" t="n">
        <v>0</v>
      </c>
      <c r="L357" t="n">
        <v>0</v>
      </c>
      <c r="M357" t="n">
        <v>0</v>
      </c>
      <c r="N357" t="n">
        <v>0</v>
      </c>
      <c r="O357" t="n">
        <v>0</v>
      </c>
      <c r="P357" t="n">
        <v>0</v>
      </c>
      <c r="Q357" t="n">
        <v>0</v>
      </c>
      <c r="R357" s="2" t="inlineStr"/>
    </row>
    <row r="358" ht="15" customHeight="1">
      <c r="A358" t="inlineStr">
        <is>
          <t>A 17515-2020</t>
        </is>
      </c>
      <c r="B358" s="1" t="n">
        <v>43920</v>
      </c>
      <c r="C358" s="1" t="n">
        <v>45668</v>
      </c>
      <c r="D358" t="inlineStr">
        <is>
          <t>JÄMTLANDS LÄN</t>
        </is>
      </c>
      <c r="E358" t="inlineStr">
        <is>
          <t>HÄRJEDALEN</t>
        </is>
      </c>
      <c r="G358" t="n">
        <v>1.1</v>
      </c>
      <c r="H358" t="n">
        <v>0</v>
      </c>
      <c r="I358" t="n">
        <v>0</v>
      </c>
      <c r="J358" t="n">
        <v>0</v>
      </c>
      <c r="K358" t="n">
        <v>0</v>
      </c>
      <c r="L358" t="n">
        <v>0</v>
      </c>
      <c r="M358" t="n">
        <v>0</v>
      </c>
      <c r="N358" t="n">
        <v>0</v>
      </c>
      <c r="O358" t="n">
        <v>0</v>
      </c>
      <c r="P358" t="n">
        <v>0</v>
      </c>
      <c r="Q358" t="n">
        <v>0</v>
      </c>
      <c r="R358" s="2" t="inlineStr"/>
    </row>
    <row r="359" ht="15" customHeight="1">
      <c r="A359" t="inlineStr">
        <is>
          <t>A 17024-2020</t>
        </is>
      </c>
      <c r="B359" s="1" t="n">
        <v>43921</v>
      </c>
      <c r="C359" s="1" t="n">
        <v>45668</v>
      </c>
      <c r="D359" t="inlineStr">
        <is>
          <t>JÄMTLANDS LÄN</t>
        </is>
      </c>
      <c r="E359" t="inlineStr">
        <is>
          <t>HÄRJEDALEN</t>
        </is>
      </c>
      <c r="G359" t="n">
        <v>0.8</v>
      </c>
      <c r="H359" t="n">
        <v>0</v>
      </c>
      <c r="I359" t="n">
        <v>0</v>
      </c>
      <c r="J359" t="n">
        <v>0</v>
      </c>
      <c r="K359" t="n">
        <v>0</v>
      </c>
      <c r="L359" t="n">
        <v>0</v>
      </c>
      <c r="M359" t="n">
        <v>0</v>
      </c>
      <c r="N359" t="n">
        <v>0</v>
      </c>
      <c r="O359" t="n">
        <v>0</v>
      </c>
      <c r="P359" t="n">
        <v>0</v>
      </c>
      <c r="Q359" t="n">
        <v>0</v>
      </c>
      <c r="R359" s="2" t="inlineStr"/>
    </row>
    <row r="360" ht="15" customHeight="1">
      <c r="A360" t="inlineStr">
        <is>
          <t>A 17676-2020</t>
        </is>
      </c>
      <c r="B360" s="1" t="n">
        <v>43924</v>
      </c>
      <c r="C360" s="1" t="n">
        <v>45668</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18038-2020</t>
        </is>
      </c>
      <c r="B361" s="1" t="n">
        <v>43927</v>
      </c>
      <c r="C361" s="1" t="n">
        <v>45668</v>
      </c>
      <c r="D361" t="inlineStr">
        <is>
          <t>JÄMTLANDS LÄN</t>
        </is>
      </c>
      <c r="E361" t="inlineStr">
        <is>
          <t>HÄRJEDALEN</t>
        </is>
      </c>
      <c r="G361" t="n">
        <v>13.5</v>
      </c>
      <c r="H361" t="n">
        <v>0</v>
      </c>
      <c r="I361" t="n">
        <v>0</v>
      </c>
      <c r="J361" t="n">
        <v>0</v>
      </c>
      <c r="K361" t="n">
        <v>0</v>
      </c>
      <c r="L361" t="n">
        <v>0</v>
      </c>
      <c r="M361" t="n">
        <v>0</v>
      </c>
      <c r="N361" t="n">
        <v>0</v>
      </c>
      <c r="O361" t="n">
        <v>0</v>
      </c>
      <c r="P361" t="n">
        <v>0</v>
      </c>
      <c r="Q361" t="n">
        <v>0</v>
      </c>
      <c r="R361" s="2" t="inlineStr"/>
    </row>
    <row r="362" ht="15" customHeight="1">
      <c r="A362" t="inlineStr">
        <is>
          <t>A 18761-2020</t>
        </is>
      </c>
      <c r="B362" s="1" t="n">
        <v>43930</v>
      </c>
      <c r="C362" s="1" t="n">
        <v>45668</v>
      </c>
      <c r="D362" t="inlineStr">
        <is>
          <t>JÄMTLANDS LÄN</t>
        </is>
      </c>
      <c r="E362" t="inlineStr">
        <is>
          <t>HÄRJEDALEN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18760-2020</t>
        </is>
      </c>
      <c r="B363" s="1" t="n">
        <v>43930</v>
      </c>
      <c r="C363" s="1" t="n">
        <v>45668</v>
      </c>
      <c r="D363" t="inlineStr">
        <is>
          <t>JÄMTLANDS LÄN</t>
        </is>
      </c>
      <c r="E363" t="inlineStr">
        <is>
          <t>HÄRJEDALEN</t>
        </is>
      </c>
      <c r="F363" t="inlineStr">
        <is>
          <t>Sveaskog</t>
        </is>
      </c>
      <c r="G363" t="n">
        <v>16.1</v>
      </c>
      <c r="H363" t="n">
        <v>0</v>
      </c>
      <c r="I363" t="n">
        <v>0</v>
      </c>
      <c r="J363" t="n">
        <v>0</v>
      </c>
      <c r="K363" t="n">
        <v>0</v>
      </c>
      <c r="L363" t="n">
        <v>0</v>
      </c>
      <c r="M363" t="n">
        <v>0</v>
      </c>
      <c r="N363" t="n">
        <v>0</v>
      </c>
      <c r="O363" t="n">
        <v>0</v>
      </c>
      <c r="P363" t="n">
        <v>0</v>
      </c>
      <c r="Q363" t="n">
        <v>0</v>
      </c>
      <c r="R363" s="2" t="inlineStr"/>
    </row>
    <row r="364" ht="15" customHeight="1">
      <c r="A364" t="inlineStr">
        <is>
          <t>A 18759-2020</t>
        </is>
      </c>
      <c r="B364" s="1" t="n">
        <v>43930</v>
      </c>
      <c r="C364" s="1" t="n">
        <v>45668</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18877-2020</t>
        </is>
      </c>
      <c r="B365" s="1" t="n">
        <v>43935</v>
      </c>
      <c r="C365" s="1" t="n">
        <v>45668</v>
      </c>
      <c r="D365" t="inlineStr">
        <is>
          <t>JÄMTLANDS LÄN</t>
        </is>
      </c>
      <c r="E365" t="inlineStr">
        <is>
          <t>HÄRJEDALEN</t>
        </is>
      </c>
      <c r="G365" t="n">
        <v>7</v>
      </c>
      <c r="H365" t="n">
        <v>0</v>
      </c>
      <c r="I365" t="n">
        <v>0</v>
      </c>
      <c r="J365" t="n">
        <v>0</v>
      </c>
      <c r="K365" t="n">
        <v>0</v>
      </c>
      <c r="L365" t="n">
        <v>0</v>
      </c>
      <c r="M365" t="n">
        <v>0</v>
      </c>
      <c r="N365" t="n">
        <v>0</v>
      </c>
      <c r="O365" t="n">
        <v>0</v>
      </c>
      <c r="P365" t="n">
        <v>0</v>
      </c>
      <c r="Q365" t="n">
        <v>0</v>
      </c>
      <c r="R365" s="2" t="inlineStr"/>
    </row>
    <row r="366" ht="15" customHeight="1">
      <c r="A366" t="inlineStr">
        <is>
          <t>A 18879-2020</t>
        </is>
      </c>
      <c r="B366" s="1" t="n">
        <v>43935</v>
      </c>
      <c r="C366" s="1" t="n">
        <v>45668</v>
      </c>
      <c r="D366" t="inlineStr">
        <is>
          <t>JÄMTLANDS LÄN</t>
        </is>
      </c>
      <c r="E366" t="inlineStr">
        <is>
          <t>HÄRJEDALEN</t>
        </is>
      </c>
      <c r="G366" t="n">
        <v>5.5</v>
      </c>
      <c r="H366" t="n">
        <v>0</v>
      </c>
      <c r="I366" t="n">
        <v>0</v>
      </c>
      <c r="J366" t="n">
        <v>0</v>
      </c>
      <c r="K366" t="n">
        <v>0</v>
      </c>
      <c r="L366" t="n">
        <v>0</v>
      </c>
      <c r="M366" t="n">
        <v>0</v>
      </c>
      <c r="N366" t="n">
        <v>0</v>
      </c>
      <c r="O366" t="n">
        <v>0</v>
      </c>
      <c r="P366" t="n">
        <v>0</v>
      </c>
      <c r="Q366" t="n">
        <v>0</v>
      </c>
      <c r="R366" s="2" t="inlineStr"/>
    </row>
    <row r="367" ht="15" customHeight="1">
      <c r="A367" t="inlineStr">
        <is>
          <t>A 19304-2020</t>
        </is>
      </c>
      <c r="B367" s="1" t="n">
        <v>43937</v>
      </c>
      <c r="C367" s="1" t="n">
        <v>45668</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19506-2020</t>
        </is>
      </c>
      <c r="B368" s="1" t="n">
        <v>43938</v>
      </c>
      <c r="C368" s="1" t="n">
        <v>45668</v>
      </c>
      <c r="D368" t="inlineStr">
        <is>
          <t>JÄMTLANDS LÄN</t>
        </is>
      </c>
      <c r="E368" t="inlineStr">
        <is>
          <t>HÄRJEDALEN</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20781-2020</t>
        </is>
      </c>
      <c r="B369" s="1" t="n">
        <v>43949</v>
      </c>
      <c r="C369" s="1" t="n">
        <v>45668</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21537-2020</t>
        </is>
      </c>
      <c r="B370" s="1" t="n">
        <v>43956</v>
      </c>
      <c r="C370" s="1" t="n">
        <v>45668</v>
      </c>
      <c r="D370" t="inlineStr">
        <is>
          <t>JÄMTLANDS LÄN</t>
        </is>
      </c>
      <c r="E370" t="inlineStr">
        <is>
          <t>HÄRJEDALEN</t>
        </is>
      </c>
      <c r="G370" t="n">
        <v>4.3</v>
      </c>
      <c r="H370" t="n">
        <v>0</v>
      </c>
      <c r="I370" t="n">
        <v>0</v>
      </c>
      <c r="J370" t="n">
        <v>0</v>
      </c>
      <c r="K370" t="n">
        <v>0</v>
      </c>
      <c r="L370" t="n">
        <v>0</v>
      </c>
      <c r="M370" t="n">
        <v>0</v>
      </c>
      <c r="N370" t="n">
        <v>0</v>
      </c>
      <c r="O370" t="n">
        <v>0</v>
      </c>
      <c r="P370" t="n">
        <v>0</v>
      </c>
      <c r="Q370" t="n">
        <v>0</v>
      </c>
      <c r="R370" s="2" t="inlineStr"/>
    </row>
    <row r="371" ht="15" customHeight="1">
      <c r="A371" t="inlineStr">
        <is>
          <t>A 23082-2020</t>
        </is>
      </c>
      <c r="B371" s="1" t="n">
        <v>43964</v>
      </c>
      <c r="C371" s="1" t="n">
        <v>45668</v>
      </c>
      <c r="D371" t="inlineStr">
        <is>
          <t>JÄMTLANDS LÄN</t>
        </is>
      </c>
      <c r="E371" t="inlineStr">
        <is>
          <t>HÄRJEDALEN</t>
        </is>
      </c>
      <c r="G371" t="n">
        <v>2.1</v>
      </c>
      <c r="H371" t="n">
        <v>0</v>
      </c>
      <c r="I371" t="n">
        <v>0</v>
      </c>
      <c r="J371" t="n">
        <v>0</v>
      </c>
      <c r="K371" t="n">
        <v>0</v>
      </c>
      <c r="L371" t="n">
        <v>0</v>
      </c>
      <c r="M371" t="n">
        <v>0</v>
      </c>
      <c r="N371" t="n">
        <v>0</v>
      </c>
      <c r="O371" t="n">
        <v>0</v>
      </c>
      <c r="P371" t="n">
        <v>0</v>
      </c>
      <c r="Q371" t="n">
        <v>0</v>
      </c>
      <c r="R371" s="2" t="inlineStr"/>
    </row>
    <row r="372" ht="15" customHeight="1">
      <c r="A372" t="inlineStr">
        <is>
          <t>A 23310-2020</t>
        </is>
      </c>
      <c r="B372" s="1" t="n">
        <v>43966</v>
      </c>
      <c r="C372" s="1" t="n">
        <v>45668</v>
      </c>
      <c r="D372" t="inlineStr">
        <is>
          <t>JÄMTLANDS LÄN</t>
        </is>
      </c>
      <c r="E372" t="inlineStr">
        <is>
          <t>HÄRJEDALEN</t>
        </is>
      </c>
      <c r="G372" t="n">
        <v>1.6</v>
      </c>
      <c r="H372" t="n">
        <v>0</v>
      </c>
      <c r="I372" t="n">
        <v>0</v>
      </c>
      <c r="J372" t="n">
        <v>0</v>
      </c>
      <c r="K372" t="n">
        <v>0</v>
      </c>
      <c r="L372" t="n">
        <v>0</v>
      </c>
      <c r="M372" t="n">
        <v>0</v>
      </c>
      <c r="N372" t="n">
        <v>0</v>
      </c>
      <c r="O372" t="n">
        <v>0</v>
      </c>
      <c r="P372" t="n">
        <v>0</v>
      </c>
      <c r="Q372" t="n">
        <v>0</v>
      </c>
      <c r="R372" s="2" t="inlineStr"/>
    </row>
    <row r="373" ht="15" customHeight="1">
      <c r="A373" t="inlineStr">
        <is>
          <t>A 23174-2020</t>
        </is>
      </c>
      <c r="B373" s="1" t="n">
        <v>43966</v>
      </c>
      <c r="C373" s="1" t="n">
        <v>45668</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23560-2020</t>
        </is>
      </c>
      <c r="B374" s="1" t="n">
        <v>43969</v>
      </c>
      <c r="C374" s="1" t="n">
        <v>45668</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24077-2020</t>
        </is>
      </c>
      <c r="B375" s="1" t="n">
        <v>43972</v>
      </c>
      <c r="C375" s="1" t="n">
        <v>45668</v>
      </c>
      <c r="D375" t="inlineStr">
        <is>
          <t>JÄMTLANDS LÄN</t>
        </is>
      </c>
      <c r="E375" t="inlineStr">
        <is>
          <t>HÄRJEDALEN</t>
        </is>
      </c>
      <c r="F375" t="inlineStr">
        <is>
          <t>Sveaskog</t>
        </is>
      </c>
      <c r="G375" t="n">
        <v>9.6</v>
      </c>
      <c r="H375" t="n">
        <v>0</v>
      </c>
      <c r="I375" t="n">
        <v>0</v>
      </c>
      <c r="J375" t="n">
        <v>0</v>
      </c>
      <c r="K375" t="n">
        <v>0</v>
      </c>
      <c r="L375" t="n">
        <v>0</v>
      </c>
      <c r="M375" t="n">
        <v>0</v>
      </c>
      <c r="N375" t="n">
        <v>0</v>
      </c>
      <c r="O375" t="n">
        <v>0</v>
      </c>
      <c r="P375" t="n">
        <v>0</v>
      </c>
      <c r="Q375" t="n">
        <v>0</v>
      </c>
      <c r="R375" s="2" t="inlineStr"/>
    </row>
    <row r="376" ht="15" customHeight="1">
      <c r="A376" t="inlineStr">
        <is>
          <t>A 24127-2020</t>
        </is>
      </c>
      <c r="B376" s="1" t="n">
        <v>43973</v>
      </c>
      <c r="C376" s="1" t="n">
        <v>45668</v>
      </c>
      <c r="D376" t="inlineStr">
        <is>
          <t>JÄMTLANDS LÄN</t>
        </is>
      </c>
      <c r="E376" t="inlineStr">
        <is>
          <t>HÄRJEDALEN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25240-2020</t>
        </is>
      </c>
      <c r="B377" s="1" t="n">
        <v>43980</v>
      </c>
      <c r="C377" s="1" t="n">
        <v>45668</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25341-2020</t>
        </is>
      </c>
      <c r="B378" s="1" t="n">
        <v>43980</v>
      </c>
      <c r="C378" s="1" t="n">
        <v>45668</v>
      </c>
      <c r="D378" t="inlineStr">
        <is>
          <t>JÄMTLANDS LÄN</t>
        </is>
      </c>
      <c r="E378" t="inlineStr">
        <is>
          <t>HÄRJEDALEN</t>
        </is>
      </c>
      <c r="G378" t="n">
        <v>2</v>
      </c>
      <c r="H378" t="n">
        <v>0</v>
      </c>
      <c r="I378" t="n">
        <v>0</v>
      </c>
      <c r="J378" t="n">
        <v>0</v>
      </c>
      <c r="K378" t="n">
        <v>0</v>
      </c>
      <c r="L378" t="n">
        <v>0</v>
      </c>
      <c r="M378" t="n">
        <v>0</v>
      </c>
      <c r="N378" t="n">
        <v>0</v>
      </c>
      <c r="O378" t="n">
        <v>0</v>
      </c>
      <c r="P378" t="n">
        <v>0</v>
      </c>
      <c r="Q378" t="n">
        <v>0</v>
      </c>
      <c r="R378" s="2" t="inlineStr"/>
    </row>
    <row r="379" ht="15" customHeight="1">
      <c r="A379" t="inlineStr">
        <is>
          <t>A 25232-2020</t>
        </is>
      </c>
      <c r="B379" s="1" t="n">
        <v>43980</v>
      </c>
      <c r="C379" s="1" t="n">
        <v>45668</v>
      </c>
      <c r="D379" t="inlineStr">
        <is>
          <t>JÄMTLANDS LÄN</t>
        </is>
      </c>
      <c r="E379" t="inlineStr">
        <is>
          <t>HÄRJEDALEN</t>
        </is>
      </c>
      <c r="G379" t="n">
        <v>14.9</v>
      </c>
      <c r="H379" t="n">
        <v>0</v>
      </c>
      <c r="I379" t="n">
        <v>0</v>
      </c>
      <c r="J379" t="n">
        <v>0</v>
      </c>
      <c r="K379" t="n">
        <v>0</v>
      </c>
      <c r="L379" t="n">
        <v>0</v>
      </c>
      <c r="M379" t="n">
        <v>0</v>
      </c>
      <c r="N379" t="n">
        <v>0</v>
      </c>
      <c r="O379" t="n">
        <v>0</v>
      </c>
      <c r="P379" t="n">
        <v>0</v>
      </c>
      <c r="Q379" t="n">
        <v>0</v>
      </c>
      <c r="R379" s="2" t="inlineStr"/>
    </row>
    <row r="380" ht="15" customHeight="1">
      <c r="A380" t="inlineStr">
        <is>
          <t>A 25238-2020</t>
        </is>
      </c>
      <c r="B380" s="1" t="n">
        <v>43980</v>
      </c>
      <c r="C380" s="1" t="n">
        <v>45668</v>
      </c>
      <c r="D380" t="inlineStr">
        <is>
          <t>JÄMTLANDS LÄN</t>
        </is>
      </c>
      <c r="E380" t="inlineStr">
        <is>
          <t>HÄRJEDALEN</t>
        </is>
      </c>
      <c r="G380" t="n">
        <v>2.6</v>
      </c>
      <c r="H380" t="n">
        <v>0</v>
      </c>
      <c r="I380" t="n">
        <v>0</v>
      </c>
      <c r="J380" t="n">
        <v>0</v>
      </c>
      <c r="K380" t="n">
        <v>0</v>
      </c>
      <c r="L380" t="n">
        <v>0</v>
      </c>
      <c r="M380" t="n">
        <v>0</v>
      </c>
      <c r="N380" t="n">
        <v>0</v>
      </c>
      <c r="O380" t="n">
        <v>0</v>
      </c>
      <c r="P380" t="n">
        <v>0</v>
      </c>
      <c r="Q380" t="n">
        <v>0</v>
      </c>
      <c r="R380" s="2" t="inlineStr"/>
    </row>
    <row r="381" ht="15" customHeight="1">
      <c r="A381" t="inlineStr">
        <is>
          <t>A 25236-2020</t>
        </is>
      </c>
      <c r="B381" s="1" t="n">
        <v>43980</v>
      </c>
      <c r="C381" s="1" t="n">
        <v>45668</v>
      </c>
      <c r="D381" t="inlineStr">
        <is>
          <t>JÄMTLANDS LÄN</t>
        </is>
      </c>
      <c r="E381" t="inlineStr">
        <is>
          <t>HÄRJEDALEN</t>
        </is>
      </c>
      <c r="G381" t="n">
        <v>2.2</v>
      </c>
      <c r="H381" t="n">
        <v>0</v>
      </c>
      <c r="I381" t="n">
        <v>0</v>
      </c>
      <c r="J381" t="n">
        <v>0</v>
      </c>
      <c r="K381" t="n">
        <v>0</v>
      </c>
      <c r="L381" t="n">
        <v>0</v>
      </c>
      <c r="M381" t="n">
        <v>0</v>
      </c>
      <c r="N381" t="n">
        <v>0</v>
      </c>
      <c r="O381" t="n">
        <v>0</v>
      </c>
      <c r="P381" t="n">
        <v>0</v>
      </c>
      <c r="Q381" t="n">
        <v>0</v>
      </c>
      <c r="R381" s="2" t="inlineStr"/>
    </row>
    <row r="382" ht="15" customHeight="1">
      <c r="A382" t="inlineStr">
        <is>
          <t>A 25779-2020</t>
        </is>
      </c>
      <c r="B382" s="1" t="n">
        <v>43984</v>
      </c>
      <c r="C382" s="1" t="n">
        <v>45668</v>
      </c>
      <c r="D382" t="inlineStr">
        <is>
          <t>JÄMTLANDS LÄN</t>
        </is>
      </c>
      <c r="E382" t="inlineStr">
        <is>
          <t>HÄRJEDALEN</t>
        </is>
      </c>
      <c r="G382" t="n">
        <v>22.2</v>
      </c>
      <c r="H382" t="n">
        <v>0</v>
      </c>
      <c r="I382" t="n">
        <v>0</v>
      </c>
      <c r="J382" t="n">
        <v>0</v>
      </c>
      <c r="K382" t="n">
        <v>0</v>
      </c>
      <c r="L382" t="n">
        <v>0</v>
      </c>
      <c r="M382" t="n">
        <v>0</v>
      </c>
      <c r="N382" t="n">
        <v>0</v>
      </c>
      <c r="O382" t="n">
        <v>0</v>
      </c>
      <c r="P382" t="n">
        <v>0</v>
      </c>
      <c r="Q382" t="n">
        <v>0</v>
      </c>
      <c r="R382" s="2" t="inlineStr"/>
    </row>
    <row r="383" ht="15" customHeight="1">
      <c r="A383" t="inlineStr">
        <is>
          <t>A 26056-2020</t>
        </is>
      </c>
      <c r="B383" s="1" t="n">
        <v>43984</v>
      </c>
      <c r="C383" s="1" t="n">
        <v>45668</v>
      </c>
      <c r="D383" t="inlineStr">
        <is>
          <t>JÄMTLANDS LÄN</t>
        </is>
      </c>
      <c r="E383" t="inlineStr">
        <is>
          <t>HÄRJEDALEN</t>
        </is>
      </c>
      <c r="G383" t="n">
        <v>53.1</v>
      </c>
      <c r="H383" t="n">
        <v>0</v>
      </c>
      <c r="I383" t="n">
        <v>0</v>
      </c>
      <c r="J383" t="n">
        <v>0</v>
      </c>
      <c r="K383" t="n">
        <v>0</v>
      </c>
      <c r="L383" t="n">
        <v>0</v>
      </c>
      <c r="M383" t="n">
        <v>0</v>
      </c>
      <c r="N383" t="n">
        <v>0</v>
      </c>
      <c r="O383" t="n">
        <v>0</v>
      </c>
      <c r="P383" t="n">
        <v>0</v>
      </c>
      <c r="Q383" t="n">
        <v>0</v>
      </c>
      <c r="R383" s="2" t="inlineStr"/>
    </row>
    <row r="384" ht="15" customHeight="1">
      <c r="A384" t="inlineStr">
        <is>
          <t>A 27854-2020</t>
        </is>
      </c>
      <c r="B384" s="1" t="n">
        <v>43994</v>
      </c>
      <c r="C384" s="1" t="n">
        <v>45668</v>
      </c>
      <c r="D384" t="inlineStr">
        <is>
          <t>JÄMTLANDS LÄN</t>
        </is>
      </c>
      <c r="E384" t="inlineStr">
        <is>
          <t>HÄRJEDALEN</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28543-2020</t>
        </is>
      </c>
      <c r="B385" s="1" t="n">
        <v>43999</v>
      </c>
      <c r="C385" s="1" t="n">
        <v>45668</v>
      </c>
      <c r="D385" t="inlineStr">
        <is>
          <t>JÄMTLANDS LÄN</t>
        </is>
      </c>
      <c r="E385" t="inlineStr">
        <is>
          <t>HÄRJEDALEN</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29158-2020</t>
        </is>
      </c>
      <c r="B386" s="1" t="n">
        <v>44004</v>
      </c>
      <c r="C386" s="1" t="n">
        <v>45668</v>
      </c>
      <c r="D386" t="inlineStr">
        <is>
          <t>JÄMTLANDS LÄN</t>
        </is>
      </c>
      <c r="E386" t="inlineStr">
        <is>
          <t>HÄRJEDALEN</t>
        </is>
      </c>
      <c r="F386" t="inlineStr">
        <is>
          <t>Sveaskog</t>
        </is>
      </c>
      <c r="G386" t="n">
        <v>6.6</v>
      </c>
      <c r="H386" t="n">
        <v>0</v>
      </c>
      <c r="I386" t="n">
        <v>0</v>
      </c>
      <c r="J386" t="n">
        <v>0</v>
      </c>
      <c r="K386" t="n">
        <v>0</v>
      </c>
      <c r="L386" t="n">
        <v>0</v>
      </c>
      <c r="M386" t="n">
        <v>0</v>
      </c>
      <c r="N386" t="n">
        <v>0</v>
      </c>
      <c r="O386" t="n">
        <v>0</v>
      </c>
      <c r="P386" t="n">
        <v>0</v>
      </c>
      <c r="Q386" t="n">
        <v>0</v>
      </c>
      <c r="R386" s="2" t="inlineStr"/>
    </row>
    <row r="387" ht="15" customHeight="1">
      <c r="A387" t="inlineStr">
        <is>
          <t>A 29154-2020</t>
        </is>
      </c>
      <c r="B387" s="1" t="n">
        <v>44004</v>
      </c>
      <c r="C387" s="1" t="n">
        <v>45668</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30963-2020</t>
        </is>
      </c>
      <c r="B388" s="1" t="n">
        <v>44011</v>
      </c>
      <c r="C388" s="1" t="n">
        <v>45668</v>
      </c>
      <c r="D388" t="inlineStr">
        <is>
          <t>JÄMTLANDS LÄN</t>
        </is>
      </c>
      <c r="E388" t="inlineStr">
        <is>
          <t>HÄRJEDALEN</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30936-2020</t>
        </is>
      </c>
      <c r="B389" s="1" t="n">
        <v>44011</v>
      </c>
      <c r="C389" s="1" t="n">
        <v>45668</v>
      </c>
      <c r="D389" t="inlineStr">
        <is>
          <t>JÄMTLANDS LÄN</t>
        </is>
      </c>
      <c r="E389" t="inlineStr">
        <is>
          <t>HÄRJEDALEN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30940-2020</t>
        </is>
      </c>
      <c r="B390" s="1" t="n">
        <v>44011</v>
      </c>
      <c r="C390" s="1" t="n">
        <v>45668</v>
      </c>
      <c r="D390" t="inlineStr">
        <is>
          <t>JÄMTLANDS LÄN</t>
        </is>
      </c>
      <c r="E390" t="inlineStr">
        <is>
          <t>HÄRJEDALEN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31264-2020</t>
        </is>
      </c>
      <c r="B391" s="1" t="n">
        <v>44012</v>
      </c>
      <c r="C391" s="1" t="n">
        <v>45668</v>
      </c>
      <c r="D391" t="inlineStr">
        <is>
          <t>JÄMTLANDS LÄN</t>
        </is>
      </c>
      <c r="E391" t="inlineStr">
        <is>
          <t>HÄRJEDALEN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31872-2020</t>
        </is>
      </c>
      <c r="B392" s="1" t="n">
        <v>44014</v>
      </c>
      <c r="C392" s="1" t="n">
        <v>45668</v>
      </c>
      <c r="D392" t="inlineStr">
        <is>
          <t>JÄMTLANDS LÄN</t>
        </is>
      </c>
      <c r="E392" t="inlineStr">
        <is>
          <t>HÄRJEDALEN</t>
        </is>
      </c>
      <c r="G392" t="n">
        <v>21.4</v>
      </c>
      <c r="H392" t="n">
        <v>0</v>
      </c>
      <c r="I392" t="n">
        <v>0</v>
      </c>
      <c r="J392" t="n">
        <v>0</v>
      </c>
      <c r="K392" t="n">
        <v>0</v>
      </c>
      <c r="L392" t="n">
        <v>0</v>
      </c>
      <c r="M392" t="n">
        <v>0</v>
      </c>
      <c r="N392" t="n">
        <v>0</v>
      </c>
      <c r="O392" t="n">
        <v>0</v>
      </c>
      <c r="P392" t="n">
        <v>0</v>
      </c>
      <c r="Q392" t="n">
        <v>0</v>
      </c>
      <c r="R392" s="2" t="inlineStr"/>
    </row>
    <row r="393" ht="15" customHeight="1">
      <c r="A393" t="inlineStr">
        <is>
          <t>A 31920-2020</t>
        </is>
      </c>
      <c r="B393" s="1" t="n">
        <v>44014</v>
      </c>
      <c r="C393" s="1" t="n">
        <v>45668</v>
      </c>
      <c r="D393" t="inlineStr">
        <is>
          <t>JÄMTLANDS LÄN</t>
        </is>
      </c>
      <c r="E393" t="inlineStr">
        <is>
          <t>HÄRJEDALEN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33020-2020</t>
        </is>
      </c>
      <c r="B394" s="1" t="n">
        <v>44021</v>
      </c>
      <c r="C394" s="1" t="n">
        <v>45668</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33812-2020</t>
        </is>
      </c>
      <c r="B395" s="1" t="n">
        <v>44025</v>
      </c>
      <c r="C395" s="1" t="n">
        <v>45668</v>
      </c>
      <c r="D395" t="inlineStr">
        <is>
          <t>JÄMTLANDS LÄN</t>
        </is>
      </c>
      <c r="E395" t="inlineStr">
        <is>
          <t>HÄRJEDALEN</t>
        </is>
      </c>
      <c r="G395" t="n">
        <v>3.2</v>
      </c>
      <c r="H395" t="n">
        <v>0</v>
      </c>
      <c r="I395" t="n">
        <v>0</v>
      </c>
      <c r="J395" t="n">
        <v>0</v>
      </c>
      <c r="K395" t="n">
        <v>0</v>
      </c>
      <c r="L395" t="n">
        <v>0</v>
      </c>
      <c r="M395" t="n">
        <v>0</v>
      </c>
      <c r="N395" t="n">
        <v>0</v>
      </c>
      <c r="O395" t="n">
        <v>0</v>
      </c>
      <c r="P395" t="n">
        <v>0</v>
      </c>
      <c r="Q395" t="n">
        <v>0</v>
      </c>
      <c r="R395" s="2" t="inlineStr"/>
    </row>
    <row r="396" ht="15" customHeight="1">
      <c r="A396" t="inlineStr">
        <is>
          <t>A 33513-2020</t>
        </is>
      </c>
      <c r="B396" s="1" t="n">
        <v>44025</v>
      </c>
      <c r="C396" s="1" t="n">
        <v>45668</v>
      </c>
      <c r="D396" t="inlineStr">
        <is>
          <t>JÄMTLANDS LÄN</t>
        </is>
      </c>
      <c r="E396" t="inlineStr">
        <is>
          <t>HÄRJEDALEN</t>
        </is>
      </c>
      <c r="G396" t="n">
        <v>3.5</v>
      </c>
      <c r="H396" t="n">
        <v>0</v>
      </c>
      <c r="I396" t="n">
        <v>0</v>
      </c>
      <c r="J396" t="n">
        <v>0</v>
      </c>
      <c r="K396" t="n">
        <v>0</v>
      </c>
      <c r="L396" t="n">
        <v>0</v>
      </c>
      <c r="M396" t="n">
        <v>0</v>
      </c>
      <c r="N396" t="n">
        <v>0</v>
      </c>
      <c r="O396" t="n">
        <v>0</v>
      </c>
      <c r="P396" t="n">
        <v>0</v>
      </c>
      <c r="Q396" t="n">
        <v>0</v>
      </c>
      <c r="R396" s="2" t="inlineStr"/>
    </row>
    <row r="397" ht="15" customHeight="1">
      <c r="A397" t="inlineStr">
        <is>
          <t>A 33701-2020</t>
        </is>
      </c>
      <c r="B397" s="1" t="n">
        <v>44026</v>
      </c>
      <c r="C397" s="1" t="n">
        <v>45668</v>
      </c>
      <c r="D397" t="inlineStr">
        <is>
          <t>JÄMTLANDS LÄN</t>
        </is>
      </c>
      <c r="E397" t="inlineStr">
        <is>
          <t>HÄRJEDALEN</t>
        </is>
      </c>
      <c r="F397" t="inlineStr">
        <is>
          <t>Bergvik skog väst AB</t>
        </is>
      </c>
      <c r="G397" t="n">
        <v>7.2</v>
      </c>
      <c r="H397" t="n">
        <v>0</v>
      </c>
      <c r="I397" t="n">
        <v>0</v>
      </c>
      <c r="J397" t="n">
        <v>0</v>
      </c>
      <c r="K397" t="n">
        <v>0</v>
      </c>
      <c r="L397" t="n">
        <v>0</v>
      </c>
      <c r="M397" t="n">
        <v>0</v>
      </c>
      <c r="N397" t="n">
        <v>0</v>
      </c>
      <c r="O397" t="n">
        <v>0</v>
      </c>
      <c r="P397" t="n">
        <v>0</v>
      </c>
      <c r="Q397" t="n">
        <v>0</v>
      </c>
      <c r="R397" s="2" t="inlineStr"/>
    </row>
    <row r="398" ht="15" customHeight="1">
      <c r="A398" t="inlineStr">
        <is>
          <t>A 33942-2020</t>
        </is>
      </c>
      <c r="B398" s="1" t="n">
        <v>44028</v>
      </c>
      <c r="C398" s="1" t="n">
        <v>45668</v>
      </c>
      <c r="D398" t="inlineStr">
        <is>
          <t>JÄMTLANDS LÄN</t>
        </is>
      </c>
      <c r="E398" t="inlineStr">
        <is>
          <t>HÄRJEDALEN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34894-2020</t>
        </is>
      </c>
      <c r="B399" s="1" t="n">
        <v>44036</v>
      </c>
      <c r="C399" s="1" t="n">
        <v>45668</v>
      </c>
      <c r="D399" t="inlineStr">
        <is>
          <t>JÄMTLANDS LÄN</t>
        </is>
      </c>
      <c r="E399" t="inlineStr">
        <is>
          <t>HÄRJEDALEN</t>
        </is>
      </c>
      <c r="G399" t="n">
        <v>4</v>
      </c>
      <c r="H399" t="n">
        <v>0</v>
      </c>
      <c r="I399" t="n">
        <v>0</v>
      </c>
      <c r="J399" t="n">
        <v>0</v>
      </c>
      <c r="K399" t="n">
        <v>0</v>
      </c>
      <c r="L399" t="n">
        <v>0</v>
      </c>
      <c r="M399" t="n">
        <v>0</v>
      </c>
      <c r="N399" t="n">
        <v>0</v>
      </c>
      <c r="O399" t="n">
        <v>0</v>
      </c>
      <c r="P399" t="n">
        <v>0</v>
      </c>
      <c r="Q399" t="n">
        <v>0</v>
      </c>
      <c r="R399" s="2" t="inlineStr"/>
    </row>
    <row r="400" ht="15" customHeight="1">
      <c r="A400" t="inlineStr">
        <is>
          <t>A 34900-2020</t>
        </is>
      </c>
      <c r="B400" s="1" t="n">
        <v>44036</v>
      </c>
      <c r="C400" s="1" t="n">
        <v>45668</v>
      </c>
      <c r="D400" t="inlineStr">
        <is>
          <t>JÄMTLANDS LÄN</t>
        </is>
      </c>
      <c r="E400" t="inlineStr">
        <is>
          <t>HÄRJEDALEN</t>
        </is>
      </c>
      <c r="G400" t="n">
        <v>13.1</v>
      </c>
      <c r="H400" t="n">
        <v>0</v>
      </c>
      <c r="I400" t="n">
        <v>0</v>
      </c>
      <c r="J400" t="n">
        <v>0</v>
      </c>
      <c r="K400" t="n">
        <v>0</v>
      </c>
      <c r="L400" t="n">
        <v>0</v>
      </c>
      <c r="M400" t="n">
        <v>0</v>
      </c>
      <c r="N400" t="n">
        <v>0</v>
      </c>
      <c r="O400" t="n">
        <v>0</v>
      </c>
      <c r="P400" t="n">
        <v>0</v>
      </c>
      <c r="Q400" t="n">
        <v>0</v>
      </c>
      <c r="R400" s="2" t="inlineStr"/>
    </row>
    <row r="401" ht="15" customHeight="1">
      <c r="A401" t="inlineStr">
        <is>
          <t>A 34975-2020</t>
        </is>
      </c>
      <c r="B401" s="1" t="n">
        <v>44039</v>
      </c>
      <c r="C401" s="1" t="n">
        <v>45668</v>
      </c>
      <c r="D401" t="inlineStr">
        <is>
          <t>JÄMTLANDS LÄN</t>
        </is>
      </c>
      <c r="E401" t="inlineStr">
        <is>
          <t>HÄRJEDALEN</t>
        </is>
      </c>
      <c r="G401" t="n">
        <v>1.8</v>
      </c>
      <c r="H401" t="n">
        <v>0</v>
      </c>
      <c r="I401" t="n">
        <v>0</v>
      </c>
      <c r="J401" t="n">
        <v>0</v>
      </c>
      <c r="K401" t="n">
        <v>0</v>
      </c>
      <c r="L401" t="n">
        <v>0</v>
      </c>
      <c r="M401" t="n">
        <v>0</v>
      </c>
      <c r="N401" t="n">
        <v>0</v>
      </c>
      <c r="O401" t="n">
        <v>0</v>
      </c>
      <c r="P401" t="n">
        <v>0</v>
      </c>
      <c r="Q401" t="n">
        <v>0</v>
      </c>
      <c r="R401" s="2" t="inlineStr"/>
    </row>
    <row r="402" ht="15" customHeight="1">
      <c r="A402" t="inlineStr">
        <is>
          <t>A 34963-2020</t>
        </is>
      </c>
      <c r="B402" s="1" t="n">
        <v>44039</v>
      </c>
      <c r="C402" s="1" t="n">
        <v>45668</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35160-2020</t>
        </is>
      </c>
      <c r="B403" s="1" t="n">
        <v>44040</v>
      </c>
      <c r="C403" s="1" t="n">
        <v>45668</v>
      </c>
      <c r="D403" t="inlineStr">
        <is>
          <t>JÄMTLANDS LÄN</t>
        </is>
      </c>
      <c r="E403" t="inlineStr">
        <is>
          <t>HÄRJEDALEN</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35436-2020</t>
        </is>
      </c>
      <c r="B404" s="1" t="n">
        <v>44042</v>
      </c>
      <c r="C404" s="1" t="n">
        <v>45668</v>
      </c>
      <c r="D404" t="inlineStr">
        <is>
          <t>JÄMTLANDS LÄN</t>
        </is>
      </c>
      <c r="E404" t="inlineStr">
        <is>
          <t>HÄRJEDALEN</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35548-2020</t>
        </is>
      </c>
      <c r="B405" s="1" t="n">
        <v>44043</v>
      </c>
      <c r="C405" s="1" t="n">
        <v>45668</v>
      </c>
      <c r="D405" t="inlineStr">
        <is>
          <t>JÄMTLANDS LÄN</t>
        </is>
      </c>
      <c r="E405" t="inlineStr">
        <is>
          <t>HÄRJEDALEN</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36471-2020</t>
        </is>
      </c>
      <c r="B406" s="1" t="n">
        <v>44050</v>
      </c>
      <c r="C406" s="1" t="n">
        <v>45668</v>
      </c>
      <c r="D406" t="inlineStr">
        <is>
          <t>JÄMTLANDS LÄN</t>
        </is>
      </c>
      <c r="E406" t="inlineStr">
        <is>
          <t>HÄRJEDALEN</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36790-2020</t>
        </is>
      </c>
      <c r="B407" s="1" t="n">
        <v>44053</v>
      </c>
      <c r="C407" s="1" t="n">
        <v>45668</v>
      </c>
      <c r="D407" t="inlineStr">
        <is>
          <t>JÄMTLANDS LÄN</t>
        </is>
      </c>
      <c r="E407" t="inlineStr">
        <is>
          <t>HÄRJEDALEN</t>
        </is>
      </c>
      <c r="G407" t="n">
        <v>3.8</v>
      </c>
      <c r="H407" t="n">
        <v>0</v>
      </c>
      <c r="I407" t="n">
        <v>0</v>
      </c>
      <c r="J407" t="n">
        <v>0</v>
      </c>
      <c r="K407" t="n">
        <v>0</v>
      </c>
      <c r="L407" t="n">
        <v>0</v>
      </c>
      <c r="M407" t="n">
        <v>0</v>
      </c>
      <c r="N407" t="n">
        <v>0</v>
      </c>
      <c r="O407" t="n">
        <v>0</v>
      </c>
      <c r="P407" t="n">
        <v>0</v>
      </c>
      <c r="Q407" t="n">
        <v>0</v>
      </c>
      <c r="R407" s="2" t="inlineStr"/>
    </row>
    <row r="408" ht="15" customHeight="1">
      <c r="A408" t="inlineStr">
        <is>
          <t>A 37780-2020</t>
        </is>
      </c>
      <c r="B408" s="1" t="n">
        <v>44056</v>
      </c>
      <c r="C408" s="1" t="n">
        <v>45668</v>
      </c>
      <c r="D408" t="inlineStr">
        <is>
          <t>JÄMTLANDS LÄN</t>
        </is>
      </c>
      <c r="E408" t="inlineStr">
        <is>
          <t>HÄRJEDALEN</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38044-2020</t>
        </is>
      </c>
      <c r="B409" s="1" t="n">
        <v>44057</v>
      </c>
      <c r="C409" s="1" t="n">
        <v>45668</v>
      </c>
      <c r="D409" t="inlineStr">
        <is>
          <t>JÄMTLANDS LÄN</t>
        </is>
      </c>
      <c r="E409" t="inlineStr">
        <is>
          <t>HÄRJEDALEN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38107-2020</t>
        </is>
      </c>
      <c r="B410" s="1" t="n">
        <v>44057</v>
      </c>
      <c r="C410" s="1" t="n">
        <v>45668</v>
      </c>
      <c r="D410" t="inlineStr">
        <is>
          <t>JÄMTLANDS LÄN</t>
        </is>
      </c>
      <c r="E410" t="inlineStr">
        <is>
          <t>HÄRJEDALEN</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38403-2020</t>
        </is>
      </c>
      <c r="B411" s="1" t="n">
        <v>44060</v>
      </c>
      <c r="C411" s="1" t="n">
        <v>45668</v>
      </c>
      <c r="D411" t="inlineStr">
        <is>
          <t>JÄMTLANDS LÄN</t>
        </is>
      </c>
      <c r="E411" t="inlineStr">
        <is>
          <t>HÄRJEDALEN</t>
        </is>
      </c>
      <c r="G411" t="n">
        <v>4.7</v>
      </c>
      <c r="H411" t="n">
        <v>0</v>
      </c>
      <c r="I411" t="n">
        <v>0</v>
      </c>
      <c r="J411" t="n">
        <v>0</v>
      </c>
      <c r="K411" t="n">
        <v>0</v>
      </c>
      <c r="L411" t="n">
        <v>0</v>
      </c>
      <c r="M411" t="n">
        <v>0</v>
      </c>
      <c r="N411" t="n">
        <v>0</v>
      </c>
      <c r="O411" t="n">
        <v>0</v>
      </c>
      <c r="P411" t="n">
        <v>0</v>
      </c>
      <c r="Q411" t="n">
        <v>0</v>
      </c>
      <c r="R411" s="2" t="inlineStr"/>
      <c r="U411">
        <f>HYPERLINK("https://klasma.github.io/Logging_2361/knärot/A 38403-2020 karta knärot.png", "A 38403-2020")</f>
        <v/>
      </c>
      <c r="V411">
        <f>HYPERLINK("https://klasma.github.io/Logging_2361/klagomål/A 38403-2020 FSC-klagomål.docx", "A 38403-2020")</f>
        <v/>
      </c>
      <c r="W411">
        <f>HYPERLINK("https://klasma.github.io/Logging_2361/klagomålsmail/A 38403-2020 FSC-klagomål mail.docx", "A 38403-2020")</f>
        <v/>
      </c>
      <c r="X411">
        <f>HYPERLINK("https://klasma.github.io/Logging_2361/tillsyn/A 38403-2020 tillsynsbegäran.docx", "A 38403-2020")</f>
        <v/>
      </c>
      <c r="Y411">
        <f>HYPERLINK("https://klasma.github.io/Logging_2361/tillsynsmail/A 38403-2020 tillsynsbegäran mail.docx", "A 38403-2020")</f>
        <v/>
      </c>
    </row>
    <row r="412" ht="15" customHeight="1">
      <c r="A412" t="inlineStr">
        <is>
          <t>A 42078-2020</t>
        </is>
      </c>
      <c r="B412" s="1" t="n">
        <v>44075</v>
      </c>
      <c r="C412" s="1" t="n">
        <v>45668</v>
      </c>
      <c r="D412" t="inlineStr">
        <is>
          <t>JÄMTLANDS LÄN</t>
        </is>
      </c>
      <c r="E412" t="inlineStr">
        <is>
          <t>HÄRJEDALEN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43417-2020</t>
        </is>
      </c>
      <c r="B413" s="1" t="n">
        <v>44078</v>
      </c>
      <c r="C413" s="1" t="n">
        <v>45668</v>
      </c>
      <c r="D413" t="inlineStr">
        <is>
          <t>JÄMTLANDS LÄN</t>
        </is>
      </c>
      <c r="E413" t="inlineStr">
        <is>
          <t>HÄRJEDALEN</t>
        </is>
      </c>
      <c r="G413" t="n">
        <v>8</v>
      </c>
      <c r="H413" t="n">
        <v>0</v>
      </c>
      <c r="I413" t="n">
        <v>0</v>
      </c>
      <c r="J413" t="n">
        <v>0</v>
      </c>
      <c r="K413" t="n">
        <v>0</v>
      </c>
      <c r="L413" t="n">
        <v>0</v>
      </c>
      <c r="M413" t="n">
        <v>0</v>
      </c>
      <c r="N413" t="n">
        <v>0</v>
      </c>
      <c r="O413" t="n">
        <v>0</v>
      </c>
      <c r="P413" t="n">
        <v>0</v>
      </c>
      <c r="Q413" t="n">
        <v>0</v>
      </c>
      <c r="R413" s="2" t="inlineStr"/>
    </row>
    <row r="414" ht="15" customHeight="1">
      <c r="A414" t="inlineStr">
        <is>
          <t>A 43748-2020</t>
        </is>
      </c>
      <c r="B414" s="1" t="n">
        <v>44082</v>
      </c>
      <c r="C414" s="1" t="n">
        <v>45668</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43750-2020</t>
        </is>
      </c>
      <c r="B415" s="1" t="n">
        <v>44082</v>
      </c>
      <c r="C415" s="1" t="n">
        <v>45668</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44381-2020</t>
        </is>
      </c>
      <c r="B416" s="1" t="n">
        <v>44084</v>
      </c>
      <c r="C416" s="1" t="n">
        <v>45668</v>
      </c>
      <c r="D416" t="inlineStr">
        <is>
          <t>JÄMTLANDS LÄN</t>
        </is>
      </c>
      <c r="E416" t="inlineStr">
        <is>
          <t>HÄRJEDALEN</t>
        </is>
      </c>
      <c r="F416" t="inlineStr">
        <is>
          <t>Holmen skog AB</t>
        </is>
      </c>
      <c r="G416" t="n">
        <v>2.3</v>
      </c>
      <c r="H416" t="n">
        <v>0</v>
      </c>
      <c r="I416" t="n">
        <v>0</v>
      </c>
      <c r="J416" t="n">
        <v>0</v>
      </c>
      <c r="K416" t="n">
        <v>0</v>
      </c>
      <c r="L416" t="n">
        <v>0</v>
      </c>
      <c r="M416" t="n">
        <v>0</v>
      </c>
      <c r="N416" t="n">
        <v>0</v>
      </c>
      <c r="O416" t="n">
        <v>0</v>
      </c>
      <c r="P416" t="n">
        <v>0</v>
      </c>
      <c r="Q416" t="n">
        <v>0</v>
      </c>
      <c r="R416" s="2" t="inlineStr"/>
    </row>
    <row r="417" ht="15" customHeight="1">
      <c r="A417" t="inlineStr">
        <is>
          <t>A 45426-2020</t>
        </is>
      </c>
      <c r="B417" s="1" t="n">
        <v>44088</v>
      </c>
      <c r="C417" s="1" t="n">
        <v>45668</v>
      </c>
      <c r="D417" t="inlineStr">
        <is>
          <t>JÄMTLANDS LÄN</t>
        </is>
      </c>
      <c r="E417" t="inlineStr">
        <is>
          <t>HÄRJEDALEN</t>
        </is>
      </c>
      <c r="G417" t="n">
        <v>6.1</v>
      </c>
      <c r="H417" t="n">
        <v>0</v>
      </c>
      <c r="I417" t="n">
        <v>0</v>
      </c>
      <c r="J417" t="n">
        <v>0</v>
      </c>
      <c r="K417" t="n">
        <v>0</v>
      </c>
      <c r="L417" t="n">
        <v>0</v>
      </c>
      <c r="M417" t="n">
        <v>0</v>
      </c>
      <c r="N417" t="n">
        <v>0</v>
      </c>
      <c r="O417" t="n">
        <v>0</v>
      </c>
      <c r="P417" t="n">
        <v>0</v>
      </c>
      <c r="Q417" t="n">
        <v>0</v>
      </c>
      <c r="R417" s="2" t="inlineStr"/>
    </row>
    <row r="418" ht="15" customHeight="1">
      <c r="A418" t="inlineStr">
        <is>
          <t>A 45866-2020</t>
        </is>
      </c>
      <c r="B418" s="1" t="n">
        <v>44091</v>
      </c>
      <c r="C418" s="1" t="n">
        <v>45668</v>
      </c>
      <c r="D418" t="inlineStr">
        <is>
          <t>JÄMTLANDS LÄN</t>
        </is>
      </c>
      <c r="E418" t="inlineStr">
        <is>
          <t>HÄRJEDALEN</t>
        </is>
      </c>
      <c r="G418" t="n">
        <v>0.2</v>
      </c>
      <c r="H418" t="n">
        <v>0</v>
      </c>
      <c r="I418" t="n">
        <v>0</v>
      </c>
      <c r="J418" t="n">
        <v>0</v>
      </c>
      <c r="K418" t="n">
        <v>0</v>
      </c>
      <c r="L418" t="n">
        <v>0</v>
      </c>
      <c r="M418" t="n">
        <v>0</v>
      </c>
      <c r="N418" t="n">
        <v>0</v>
      </c>
      <c r="O418" t="n">
        <v>0</v>
      </c>
      <c r="P418" t="n">
        <v>0</v>
      </c>
      <c r="Q418" t="n">
        <v>0</v>
      </c>
      <c r="R418" s="2" t="inlineStr"/>
    </row>
    <row r="419" ht="15" customHeight="1">
      <c r="A419" t="inlineStr">
        <is>
          <t>A 46103-2020</t>
        </is>
      </c>
      <c r="B419" s="1" t="n">
        <v>44091</v>
      </c>
      <c r="C419" s="1" t="n">
        <v>45668</v>
      </c>
      <c r="D419" t="inlineStr">
        <is>
          <t>JÄMTLANDS LÄN</t>
        </is>
      </c>
      <c r="E419" t="inlineStr">
        <is>
          <t>HÄRJEDALEN</t>
        </is>
      </c>
      <c r="G419" t="n">
        <v>2.8</v>
      </c>
      <c r="H419" t="n">
        <v>0</v>
      </c>
      <c r="I419" t="n">
        <v>0</v>
      </c>
      <c r="J419" t="n">
        <v>0</v>
      </c>
      <c r="K419" t="n">
        <v>0</v>
      </c>
      <c r="L419" t="n">
        <v>0</v>
      </c>
      <c r="M419" t="n">
        <v>0</v>
      </c>
      <c r="N419" t="n">
        <v>0</v>
      </c>
      <c r="O419" t="n">
        <v>0</v>
      </c>
      <c r="P419" t="n">
        <v>0</v>
      </c>
      <c r="Q419" t="n">
        <v>0</v>
      </c>
      <c r="R419" s="2" t="inlineStr"/>
    </row>
    <row r="420" ht="15" customHeight="1">
      <c r="A420" t="inlineStr">
        <is>
          <t>A 46310-2020</t>
        </is>
      </c>
      <c r="B420" s="1" t="n">
        <v>44092</v>
      </c>
      <c r="C420" s="1" t="n">
        <v>45668</v>
      </c>
      <c r="D420" t="inlineStr">
        <is>
          <t>JÄMTLANDS LÄN</t>
        </is>
      </c>
      <c r="E420" t="inlineStr">
        <is>
          <t>HÄRJEDALEN</t>
        </is>
      </c>
      <c r="F420" t="inlineStr">
        <is>
          <t>Bergvik skog väst AB</t>
        </is>
      </c>
      <c r="G420" t="n">
        <v>26.6</v>
      </c>
      <c r="H420" t="n">
        <v>0</v>
      </c>
      <c r="I420" t="n">
        <v>0</v>
      </c>
      <c r="J420" t="n">
        <v>0</v>
      </c>
      <c r="K420" t="n">
        <v>0</v>
      </c>
      <c r="L420" t="n">
        <v>0</v>
      </c>
      <c r="M420" t="n">
        <v>0</v>
      </c>
      <c r="N420" t="n">
        <v>0</v>
      </c>
      <c r="O420" t="n">
        <v>0</v>
      </c>
      <c r="P420" t="n">
        <v>0</v>
      </c>
      <c r="Q420" t="n">
        <v>0</v>
      </c>
      <c r="R420" s="2" t="inlineStr"/>
    </row>
    <row r="421" ht="15" customHeight="1">
      <c r="A421" t="inlineStr">
        <is>
          <t>A 49430-2020</t>
        </is>
      </c>
      <c r="B421" s="1" t="n">
        <v>44102</v>
      </c>
      <c r="C421" s="1" t="n">
        <v>45668</v>
      </c>
      <c r="D421" t="inlineStr">
        <is>
          <t>JÄMTLANDS LÄN</t>
        </is>
      </c>
      <c r="E421" t="inlineStr">
        <is>
          <t>HÄRJEDALEN</t>
        </is>
      </c>
      <c r="G421" t="n">
        <v>8</v>
      </c>
      <c r="H421" t="n">
        <v>0</v>
      </c>
      <c r="I421" t="n">
        <v>0</v>
      </c>
      <c r="J421" t="n">
        <v>0</v>
      </c>
      <c r="K421" t="n">
        <v>0</v>
      </c>
      <c r="L421" t="n">
        <v>0</v>
      </c>
      <c r="M421" t="n">
        <v>0</v>
      </c>
      <c r="N421" t="n">
        <v>0</v>
      </c>
      <c r="O421" t="n">
        <v>0</v>
      </c>
      <c r="P421" t="n">
        <v>0</v>
      </c>
      <c r="Q421" t="n">
        <v>0</v>
      </c>
      <c r="R421" s="2" t="inlineStr"/>
    </row>
    <row r="422" ht="15" customHeight="1">
      <c r="A422" t="inlineStr">
        <is>
          <t>A 49447-2020</t>
        </is>
      </c>
      <c r="B422" s="1" t="n">
        <v>44102</v>
      </c>
      <c r="C422" s="1" t="n">
        <v>45668</v>
      </c>
      <c r="D422" t="inlineStr">
        <is>
          <t>JÄMTLANDS LÄN</t>
        </is>
      </c>
      <c r="E422" t="inlineStr">
        <is>
          <t>HÄRJEDALEN</t>
        </is>
      </c>
      <c r="F422" t="inlineStr">
        <is>
          <t>Bergvik skog väst AB</t>
        </is>
      </c>
      <c r="G422" t="n">
        <v>8.4</v>
      </c>
      <c r="H422" t="n">
        <v>0</v>
      </c>
      <c r="I422" t="n">
        <v>0</v>
      </c>
      <c r="J422" t="n">
        <v>0</v>
      </c>
      <c r="K422" t="n">
        <v>0</v>
      </c>
      <c r="L422" t="n">
        <v>0</v>
      </c>
      <c r="M422" t="n">
        <v>0</v>
      </c>
      <c r="N422" t="n">
        <v>0</v>
      </c>
      <c r="O422" t="n">
        <v>0</v>
      </c>
      <c r="P422" t="n">
        <v>0</v>
      </c>
      <c r="Q422" t="n">
        <v>0</v>
      </c>
      <c r="R422" s="2" t="inlineStr"/>
    </row>
    <row r="423" ht="15" customHeight="1">
      <c r="A423" t="inlineStr">
        <is>
          <t>A 49248-2020</t>
        </is>
      </c>
      <c r="B423" s="1" t="n">
        <v>44105</v>
      </c>
      <c r="C423" s="1" t="n">
        <v>45668</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49246-2020</t>
        </is>
      </c>
      <c r="B424" s="1" t="n">
        <v>44105</v>
      </c>
      <c r="C424" s="1" t="n">
        <v>45668</v>
      </c>
      <c r="D424" t="inlineStr">
        <is>
          <t>JÄMTLANDS LÄN</t>
        </is>
      </c>
      <c r="E424" t="inlineStr">
        <is>
          <t>HÄRJEDALEN</t>
        </is>
      </c>
      <c r="G424" t="n">
        <v>3.7</v>
      </c>
      <c r="H424" t="n">
        <v>0</v>
      </c>
      <c r="I424" t="n">
        <v>0</v>
      </c>
      <c r="J424" t="n">
        <v>0</v>
      </c>
      <c r="K424" t="n">
        <v>0</v>
      </c>
      <c r="L424" t="n">
        <v>0</v>
      </c>
      <c r="M424" t="n">
        <v>0</v>
      </c>
      <c r="N424" t="n">
        <v>0</v>
      </c>
      <c r="O424" t="n">
        <v>0</v>
      </c>
      <c r="P424" t="n">
        <v>0</v>
      </c>
      <c r="Q424" t="n">
        <v>0</v>
      </c>
      <c r="R424" s="2" t="inlineStr"/>
    </row>
    <row r="425" ht="15" customHeight="1">
      <c r="A425" t="inlineStr">
        <is>
          <t>A 49903-2020</t>
        </is>
      </c>
      <c r="B425" s="1" t="n">
        <v>44108</v>
      </c>
      <c r="C425" s="1" t="n">
        <v>45668</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50018-2020</t>
        </is>
      </c>
      <c r="B426" s="1" t="n">
        <v>44109</v>
      </c>
      <c r="C426" s="1" t="n">
        <v>45668</v>
      </c>
      <c r="D426" t="inlineStr">
        <is>
          <t>JÄMTLANDS LÄN</t>
        </is>
      </c>
      <c r="E426" t="inlineStr">
        <is>
          <t>HÄRJEDALEN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54481-2020</t>
        </is>
      </c>
      <c r="B427" s="1" t="n">
        <v>44126</v>
      </c>
      <c r="C427" s="1" t="n">
        <v>45668</v>
      </c>
      <c r="D427" t="inlineStr">
        <is>
          <t>JÄMTLANDS LÄN</t>
        </is>
      </c>
      <c r="E427" t="inlineStr">
        <is>
          <t>HÄRJEDALEN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54537-2020</t>
        </is>
      </c>
      <c r="B428" s="1" t="n">
        <v>44126</v>
      </c>
      <c r="C428" s="1" t="n">
        <v>45668</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54593-2020</t>
        </is>
      </c>
      <c r="B429" s="1" t="n">
        <v>44126</v>
      </c>
      <c r="C429" s="1" t="n">
        <v>45668</v>
      </c>
      <c r="D429" t="inlineStr">
        <is>
          <t>JÄMTLANDS LÄN</t>
        </is>
      </c>
      <c r="E429" t="inlineStr">
        <is>
          <t>HÄRJEDALEN</t>
        </is>
      </c>
      <c r="G429" t="n">
        <v>6.5</v>
      </c>
      <c r="H429" t="n">
        <v>0</v>
      </c>
      <c r="I429" t="n">
        <v>0</v>
      </c>
      <c r="J429" t="n">
        <v>0</v>
      </c>
      <c r="K429" t="n">
        <v>0</v>
      </c>
      <c r="L429" t="n">
        <v>0</v>
      </c>
      <c r="M429" t="n">
        <v>0</v>
      </c>
      <c r="N429" t="n">
        <v>0</v>
      </c>
      <c r="O429" t="n">
        <v>0</v>
      </c>
      <c r="P429" t="n">
        <v>0</v>
      </c>
      <c r="Q429" t="n">
        <v>0</v>
      </c>
      <c r="R429" s="2" t="inlineStr"/>
    </row>
    <row r="430" ht="15" customHeight="1">
      <c r="A430" t="inlineStr">
        <is>
          <t>A 54716-2020</t>
        </is>
      </c>
      <c r="B430" s="1" t="n">
        <v>44127</v>
      </c>
      <c r="C430" s="1" t="n">
        <v>45668</v>
      </c>
      <c r="D430" t="inlineStr">
        <is>
          <t>JÄMTLANDS LÄN</t>
        </is>
      </c>
      <c r="E430" t="inlineStr">
        <is>
          <t>HÄRJEDALEN</t>
        </is>
      </c>
      <c r="F430" t="inlineStr">
        <is>
          <t>Kyrkan</t>
        </is>
      </c>
      <c r="G430" t="n">
        <v>21.3</v>
      </c>
      <c r="H430" t="n">
        <v>0</v>
      </c>
      <c r="I430" t="n">
        <v>0</v>
      </c>
      <c r="J430" t="n">
        <v>0</v>
      </c>
      <c r="K430" t="n">
        <v>0</v>
      </c>
      <c r="L430" t="n">
        <v>0</v>
      </c>
      <c r="M430" t="n">
        <v>0</v>
      </c>
      <c r="N430" t="n">
        <v>0</v>
      </c>
      <c r="O430" t="n">
        <v>0</v>
      </c>
      <c r="P430" t="n">
        <v>0</v>
      </c>
      <c r="Q430" t="n">
        <v>0</v>
      </c>
      <c r="R430" s="2" t="inlineStr"/>
    </row>
    <row r="431" ht="15" customHeight="1">
      <c r="A431" t="inlineStr">
        <is>
          <t>A 55834-2020</t>
        </is>
      </c>
      <c r="B431" s="1" t="n">
        <v>44132</v>
      </c>
      <c r="C431" s="1" t="n">
        <v>45668</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56001-2020</t>
        </is>
      </c>
      <c r="B432" s="1" t="n">
        <v>44133</v>
      </c>
      <c r="C432" s="1" t="n">
        <v>45668</v>
      </c>
      <c r="D432" t="inlineStr">
        <is>
          <t>JÄMTLANDS LÄN</t>
        </is>
      </c>
      <c r="E432" t="inlineStr">
        <is>
          <t>HÄRJEDALEN</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57196-2020</t>
        </is>
      </c>
      <c r="B433" s="1" t="n">
        <v>44139</v>
      </c>
      <c r="C433" s="1" t="n">
        <v>45668</v>
      </c>
      <c r="D433" t="inlineStr">
        <is>
          <t>JÄMTLANDS LÄN</t>
        </is>
      </c>
      <c r="E433" t="inlineStr">
        <is>
          <t>HÄRJEDALEN</t>
        </is>
      </c>
      <c r="G433" t="n">
        <v>15.1</v>
      </c>
      <c r="H433" t="n">
        <v>0</v>
      </c>
      <c r="I433" t="n">
        <v>0</v>
      </c>
      <c r="J433" t="n">
        <v>0</v>
      </c>
      <c r="K433" t="n">
        <v>0</v>
      </c>
      <c r="L433" t="n">
        <v>0</v>
      </c>
      <c r="M433" t="n">
        <v>0</v>
      </c>
      <c r="N433" t="n">
        <v>0</v>
      </c>
      <c r="O433" t="n">
        <v>0</v>
      </c>
      <c r="P433" t="n">
        <v>0</v>
      </c>
      <c r="Q433" t="n">
        <v>0</v>
      </c>
      <c r="R433" s="2" t="inlineStr"/>
    </row>
    <row r="434" ht="15" customHeight="1">
      <c r="A434" t="inlineStr">
        <is>
          <t>A 59533-2020</t>
        </is>
      </c>
      <c r="B434" s="1" t="n">
        <v>44148</v>
      </c>
      <c r="C434" s="1" t="n">
        <v>45668</v>
      </c>
      <c r="D434" t="inlineStr">
        <is>
          <t>JÄMTLANDS LÄN</t>
        </is>
      </c>
      <c r="E434" t="inlineStr">
        <is>
          <t>HÄRJEDALEN</t>
        </is>
      </c>
      <c r="F434" t="inlineStr">
        <is>
          <t>Holmen skog AB</t>
        </is>
      </c>
      <c r="G434" t="n">
        <v>38.3</v>
      </c>
      <c r="H434" t="n">
        <v>0</v>
      </c>
      <c r="I434" t="n">
        <v>0</v>
      </c>
      <c r="J434" t="n">
        <v>0</v>
      </c>
      <c r="K434" t="n">
        <v>0</v>
      </c>
      <c r="L434" t="n">
        <v>0</v>
      </c>
      <c r="M434" t="n">
        <v>0</v>
      </c>
      <c r="N434" t="n">
        <v>0</v>
      </c>
      <c r="O434" t="n">
        <v>0</v>
      </c>
      <c r="P434" t="n">
        <v>0</v>
      </c>
      <c r="Q434" t="n">
        <v>0</v>
      </c>
      <c r="R434" s="2" t="inlineStr"/>
    </row>
    <row r="435" ht="15" customHeight="1">
      <c r="A435" t="inlineStr">
        <is>
          <t>A 60087-2020</t>
        </is>
      </c>
      <c r="B435" s="1" t="n">
        <v>44151</v>
      </c>
      <c r="C435" s="1" t="n">
        <v>45668</v>
      </c>
      <c r="D435" t="inlineStr">
        <is>
          <t>JÄMTLANDS LÄN</t>
        </is>
      </c>
      <c r="E435" t="inlineStr">
        <is>
          <t>HÄRJEDALEN</t>
        </is>
      </c>
      <c r="G435" t="n">
        <v>9.4</v>
      </c>
      <c r="H435" t="n">
        <v>0</v>
      </c>
      <c r="I435" t="n">
        <v>0</v>
      </c>
      <c r="J435" t="n">
        <v>0</v>
      </c>
      <c r="K435" t="n">
        <v>0</v>
      </c>
      <c r="L435" t="n">
        <v>0</v>
      </c>
      <c r="M435" t="n">
        <v>0</v>
      </c>
      <c r="N435" t="n">
        <v>0</v>
      </c>
      <c r="O435" t="n">
        <v>0</v>
      </c>
      <c r="P435" t="n">
        <v>0</v>
      </c>
      <c r="Q435" t="n">
        <v>0</v>
      </c>
      <c r="R435" s="2" t="inlineStr"/>
    </row>
    <row r="436" ht="15" customHeight="1">
      <c r="A436" t="inlineStr">
        <is>
          <t>A 60424-2020</t>
        </is>
      </c>
      <c r="B436" s="1" t="n">
        <v>44153</v>
      </c>
      <c r="C436" s="1" t="n">
        <v>45668</v>
      </c>
      <c r="D436" t="inlineStr">
        <is>
          <t>JÄMTLANDS LÄN</t>
        </is>
      </c>
      <c r="E436" t="inlineStr">
        <is>
          <t>HÄRJEDALEN</t>
        </is>
      </c>
      <c r="F436" t="inlineStr">
        <is>
          <t>Holmen skog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60429-2020</t>
        </is>
      </c>
      <c r="B437" s="1" t="n">
        <v>44153</v>
      </c>
      <c r="C437" s="1" t="n">
        <v>45668</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60606-2020</t>
        </is>
      </c>
      <c r="B438" s="1" t="n">
        <v>44153</v>
      </c>
      <c r="C438" s="1" t="n">
        <v>45668</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60422-2020</t>
        </is>
      </c>
      <c r="B439" s="1" t="n">
        <v>44153</v>
      </c>
      <c r="C439" s="1" t="n">
        <v>45668</v>
      </c>
      <c r="D439" t="inlineStr">
        <is>
          <t>JÄMTLANDS LÄN</t>
        </is>
      </c>
      <c r="E439" t="inlineStr">
        <is>
          <t>HÄRJEDALEN</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60836-2020</t>
        </is>
      </c>
      <c r="B440" s="1" t="n">
        <v>44154</v>
      </c>
      <c r="C440" s="1" t="n">
        <v>45668</v>
      </c>
      <c r="D440" t="inlineStr">
        <is>
          <t>JÄMTLANDS LÄN</t>
        </is>
      </c>
      <c r="E440" t="inlineStr">
        <is>
          <t>HÄRJEDALEN</t>
        </is>
      </c>
      <c r="G440" t="n">
        <v>2.5</v>
      </c>
      <c r="H440" t="n">
        <v>0</v>
      </c>
      <c r="I440" t="n">
        <v>0</v>
      </c>
      <c r="J440" t="n">
        <v>0</v>
      </c>
      <c r="K440" t="n">
        <v>0</v>
      </c>
      <c r="L440" t="n">
        <v>0</v>
      </c>
      <c r="M440" t="n">
        <v>0</v>
      </c>
      <c r="N440" t="n">
        <v>0</v>
      </c>
      <c r="O440" t="n">
        <v>0</v>
      </c>
      <c r="P440" t="n">
        <v>0</v>
      </c>
      <c r="Q440" t="n">
        <v>0</v>
      </c>
      <c r="R440" s="2" t="inlineStr"/>
    </row>
    <row r="441" ht="15" customHeight="1">
      <c r="A441" t="inlineStr">
        <is>
          <t>A 60794-2020</t>
        </is>
      </c>
      <c r="B441" s="1" t="n">
        <v>44154</v>
      </c>
      <c r="C441" s="1" t="n">
        <v>45668</v>
      </c>
      <c r="D441" t="inlineStr">
        <is>
          <t>JÄMTLANDS LÄN</t>
        </is>
      </c>
      <c r="E441" t="inlineStr">
        <is>
          <t>HÄRJEDALEN</t>
        </is>
      </c>
      <c r="F441" t="inlineStr">
        <is>
          <t>Holmen skog AB</t>
        </is>
      </c>
      <c r="G441" t="n">
        <v>5.5</v>
      </c>
      <c r="H441" t="n">
        <v>0</v>
      </c>
      <c r="I441" t="n">
        <v>0</v>
      </c>
      <c r="J441" t="n">
        <v>0</v>
      </c>
      <c r="K441" t="n">
        <v>0</v>
      </c>
      <c r="L441" t="n">
        <v>0</v>
      </c>
      <c r="M441" t="n">
        <v>0</v>
      </c>
      <c r="N441" t="n">
        <v>0</v>
      </c>
      <c r="O441" t="n">
        <v>0</v>
      </c>
      <c r="P441" t="n">
        <v>0</v>
      </c>
      <c r="Q441" t="n">
        <v>0</v>
      </c>
      <c r="R441" s="2" t="inlineStr"/>
    </row>
    <row r="442" ht="15" customHeight="1">
      <c r="A442" t="inlineStr">
        <is>
          <t>A 61232-2020</t>
        </is>
      </c>
      <c r="B442" s="1" t="n">
        <v>44155</v>
      </c>
      <c r="C442" s="1" t="n">
        <v>45668</v>
      </c>
      <c r="D442" t="inlineStr">
        <is>
          <t>JÄMTLANDS LÄN</t>
        </is>
      </c>
      <c r="E442" t="inlineStr">
        <is>
          <t>HÄRJEDALEN</t>
        </is>
      </c>
      <c r="G442" t="n">
        <v>8.5</v>
      </c>
      <c r="H442" t="n">
        <v>0</v>
      </c>
      <c r="I442" t="n">
        <v>0</v>
      </c>
      <c r="J442" t="n">
        <v>0</v>
      </c>
      <c r="K442" t="n">
        <v>0</v>
      </c>
      <c r="L442" t="n">
        <v>0</v>
      </c>
      <c r="M442" t="n">
        <v>0</v>
      </c>
      <c r="N442" t="n">
        <v>0</v>
      </c>
      <c r="O442" t="n">
        <v>0</v>
      </c>
      <c r="P442" t="n">
        <v>0</v>
      </c>
      <c r="Q442" t="n">
        <v>0</v>
      </c>
      <c r="R442" s="2" t="inlineStr"/>
    </row>
    <row r="443" ht="15" customHeight="1">
      <c r="A443" t="inlineStr">
        <is>
          <t>A 63133-2020</t>
        </is>
      </c>
      <c r="B443" s="1" t="n">
        <v>44162</v>
      </c>
      <c r="C443" s="1" t="n">
        <v>45668</v>
      </c>
      <c r="D443" t="inlineStr">
        <is>
          <t>JÄMTLANDS LÄN</t>
        </is>
      </c>
      <c r="E443" t="inlineStr">
        <is>
          <t>HÄRJEDALEN</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64281-2020</t>
        </is>
      </c>
      <c r="B444" s="1" t="n">
        <v>44166</v>
      </c>
      <c r="C444" s="1" t="n">
        <v>45668</v>
      </c>
      <c r="D444" t="inlineStr">
        <is>
          <t>JÄMTLANDS LÄN</t>
        </is>
      </c>
      <c r="E444" t="inlineStr">
        <is>
          <t>HÄRJEDALEN</t>
        </is>
      </c>
      <c r="F444" t="inlineStr">
        <is>
          <t>Övriga statliga verk och myndigheter</t>
        </is>
      </c>
      <c r="G444" t="n">
        <v>4.1</v>
      </c>
      <c r="H444" t="n">
        <v>0</v>
      </c>
      <c r="I444" t="n">
        <v>0</v>
      </c>
      <c r="J444" t="n">
        <v>0</v>
      </c>
      <c r="K444" t="n">
        <v>0</v>
      </c>
      <c r="L444" t="n">
        <v>0</v>
      </c>
      <c r="M444" t="n">
        <v>0</v>
      </c>
      <c r="N444" t="n">
        <v>0</v>
      </c>
      <c r="O444" t="n">
        <v>0</v>
      </c>
      <c r="P444" t="n">
        <v>0</v>
      </c>
      <c r="Q444" t="n">
        <v>0</v>
      </c>
      <c r="R444" s="2" t="inlineStr"/>
    </row>
    <row r="445" ht="15" customHeight="1">
      <c r="A445" t="inlineStr">
        <is>
          <t>A 64300-2020</t>
        </is>
      </c>
      <c r="B445" s="1" t="n">
        <v>44166</v>
      </c>
      <c r="C445" s="1" t="n">
        <v>45668</v>
      </c>
      <c r="D445" t="inlineStr">
        <is>
          <t>JÄMTLANDS LÄN</t>
        </is>
      </c>
      <c r="E445" t="inlineStr">
        <is>
          <t>HÄRJEDALEN</t>
        </is>
      </c>
      <c r="F445" t="inlineStr">
        <is>
          <t>Övriga statliga verk och myndigheter</t>
        </is>
      </c>
      <c r="G445" t="n">
        <v>58</v>
      </c>
      <c r="H445" t="n">
        <v>0</v>
      </c>
      <c r="I445" t="n">
        <v>0</v>
      </c>
      <c r="J445" t="n">
        <v>0</v>
      </c>
      <c r="K445" t="n">
        <v>0</v>
      </c>
      <c r="L445" t="n">
        <v>0</v>
      </c>
      <c r="M445" t="n">
        <v>0</v>
      </c>
      <c r="N445" t="n">
        <v>0</v>
      </c>
      <c r="O445" t="n">
        <v>0</v>
      </c>
      <c r="P445" t="n">
        <v>0</v>
      </c>
      <c r="Q445" t="n">
        <v>0</v>
      </c>
      <c r="R445" s="2" t="inlineStr"/>
    </row>
    <row r="446" ht="15" customHeight="1">
      <c r="A446" t="inlineStr">
        <is>
          <t>A 63949-2020</t>
        </is>
      </c>
      <c r="B446" s="1" t="n">
        <v>44167</v>
      </c>
      <c r="C446" s="1" t="n">
        <v>45668</v>
      </c>
      <c r="D446" t="inlineStr">
        <is>
          <t>JÄMTLANDS LÄN</t>
        </is>
      </c>
      <c r="E446" t="inlineStr">
        <is>
          <t>HÄRJEDALEN</t>
        </is>
      </c>
      <c r="F446" t="inlineStr">
        <is>
          <t>Bergvik skog väst AB</t>
        </is>
      </c>
      <c r="G446" t="n">
        <v>10.8</v>
      </c>
      <c r="H446" t="n">
        <v>0</v>
      </c>
      <c r="I446" t="n">
        <v>0</v>
      </c>
      <c r="J446" t="n">
        <v>0</v>
      </c>
      <c r="K446" t="n">
        <v>0</v>
      </c>
      <c r="L446" t="n">
        <v>0</v>
      </c>
      <c r="M446" t="n">
        <v>0</v>
      </c>
      <c r="N446" t="n">
        <v>0</v>
      </c>
      <c r="O446" t="n">
        <v>0</v>
      </c>
      <c r="P446" t="n">
        <v>0</v>
      </c>
      <c r="Q446" t="n">
        <v>0</v>
      </c>
      <c r="R446" s="2" t="inlineStr"/>
    </row>
    <row r="447" ht="15" customHeight="1">
      <c r="A447" t="inlineStr">
        <is>
          <t>A 63979-2020</t>
        </is>
      </c>
      <c r="B447" s="1" t="n">
        <v>44167</v>
      </c>
      <c r="C447" s="1" t="n">
        <v>45668</v>
      </c>
      <c r="D447" t="inlineStr">
        <is>
          <t>JÄMTLANDS LÄN</t>
        </is>
      </c>
      <c r="E447" t="inlineStr">
        <is>
          <t>HÄRJEDALEN</t>
        </is>
      </c>
      <c r="G447" t="n">
        <v>10</v>
      </c>
      <c r="H447" t="n">
        <v>0</v>
      </c>
      <c r="I447" t="n">
        <v>0</v>
      </c>
      <c r="J447" t="n">
        <v>0</v>
      </c>
      <c r="K447" t="n">
        <v>0</v>
      </c>
      <c r="L447" t="n">
        <v>0</v>
      </c>
      <c r="M447" t="n">
        <v>0</v>
      </c>
      <c r="N447" t="n">
        <v>0</v>
      </c>
      <c r="O447" t="n">
        <v>0</v>
      </c>
      <c r="P447" t="n">
        <v>0</v>
      </c>
      <c r="Q447" t="n">
        <v>0</v>
      </c>
      <c r="R447" s="2" t="inlineStr"/>
    </row>
    <row r="448" ht="15" customHeight="1">
      <c r="A448" t="inlineStr">
        <is>
          <t>A 64539-2020</t>
        </is>
      </c>
      <c r="B448" s="1" t="n">
        <v>44169</v>
      </c>
      <c r="C448" s="1" t="n">
        <v>45668</v>
      </c>
      <c r="D448" t="inlineStr">
        <is>
          <t>JÄMTLANDS LÄN</t>
        </is>
      </c>
      <c r="E448" t="inlineStr">
        <is>
          <t>HÄRJEDALEN</t>
        </is>
      </c>
      <c r="G448" t="n">
        <v>5.6</v>
      </c>
      <c r="H448" t="n">
        <v>0</v>
      </c>
      <c r="I448" t="n">
        <v>0</v>
      </c>
      <c r="J448" t="n">
        <v>0</v>
      </c>
      <c r="K448" t="n">
        <v>0</v>
      </c>
      <c r="L448" t="n">
        <v>0</v>
      </c>
      <c r="M448" t="n">
        <v>0</v>
      </c>
      <c r="N448" t="n">
        <v>0</v>
      </c>
      <c r="O448" t="n">
        <v>0</v>
      </c>
      <c r="P448" t="n">
        <v>0</v>
      </c>
      <c r="Q448" t="n">
        <v>0</v>
      </c>
      <c r="R448" s="2" t="inlineStr"/>
    </row>
    <row r="449" ht="15" customHeight="1">
      <c r="A449" t="inlineStr">
        <is>
          <t>A 64579-2020</t>
        </is>
      </c>
      <c r="B449" s="1" t="n">
        <v>44169</v>
      </c>
      <c r="C449" s="1" t="n">
        <v>45668</v>
      </c>
      <c r="D449" t="inlineStr">
        <is>
          <t>JÄMTLANDS LÄN</t>
        </is>
      </c>
      <c r="E449" t="inlineStr">
        <is>
          <t>HÄRJEDALEN</t>
        </is>
      </c>
      <c r="G449" t="n">
        <v>12.4</v>
      </c>
      <c r="H449" t="n">
        <v>0</v>
      </c>
      <c r="I449" t="n">
        <v>0</v>
      </c>
      <c r="J449" t="n">
        <v>0</v>
      </c>
      <c r="K449" t="n">
        <v>0</v>
      </c>
      <c r="L449" t="n">
        <v>0</v>
      </c>
      <c r="M449" t="n">
        <v>0</v>
      </c>
      <c r="N449" t="n">
        <v>0</v>
      </c>
      <c r="O449" t="n">
        <v>0</v>
      </c>
      <c r="P449" t="n">
        <v>0</v>
      </c>
      <c r="Q449" t="n">
        <v>0</v>
      </c>
      <c r="R449" s="2" t="inlineStr"/>
    </row>
    <row r="450" ht="15" customHeight="1">
      <c r="A450" t="inlineStr">
        <is>
          <t>A 65817-2020</t>
        </is>
      </c>
      <c r="B450" s="1" t="n">
        <v>44174</v>
      </c>
      <c r="C450" s="1" t="n">
        <v>45668</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66276-2020</t>
        </is>
      </c>
      <c r="B451" s="1" t="n">
        <v>44174</v>
      </c>
      <c r="C451" s="1" t="n">
        <v>45668</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66720-2020</t>
        </is>
      </c>
      <c r="B452" s="1" t="n">
        <v>44179</v>
      </c>
      <c r="C452" s="1" t="n">
        <v>45668</v>
      </c>
      <c r="D452" t="inlineStr">
        <is>
          <t>JÄMTLANDS LÄN</t>
        </is>
      </c>
      <c r="E452" t="inlineStr">
        <is>
          <t>HÄRJEDALEN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67099-2020</t>
        </is>
      </c>
      <c r="B453" s="1" t="n">
        <v>44180</v>
      </c>
      <c r="C453" s="1" t="n">
        <v>45668</v>
      </c>
      <c r="D453" t="inlineStr">
        <is>
          <t>JÄMTLANDS LÄN</t>
        </is>
      </c>
      <c r="E453" t="inlineStr">
        <is>
          <t>HÄRJEDALEN</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67156-2020</t>
        </is>
      </c>
      <c r="B454" s="1" t="n">
        <v>44180</v>
      </c>
      <c r="C454" s="1" t="n">
        <v>45668</v>
      </c>
      <c r="D454" t="inlineStr">
        <is>
          <t>JÄMTLANDS LÄN</t>
        </is>
      </c>
      <c r="E454" t="inlineStr">
        <is>
          <t>HÄRJEDALEN</t>
        </is>
      </c>
      <c r="F454" t="inlineStr">
        <is>
          <t>Holmen skog AB</t>
        </is>
      </c>
      <c r="G454" t="n">
        <v>7.3</v>
      </c>
      <c r="H454" t="n">
        <v>0</v>
      </c>
      <c r="I454" t="n">
        <v>0</v>
      </c>
      <c r="J454" t="n">
        <v>0</v>
      </c>
      <c r="K454" t="n">
        <v>0</v>
      </c>
      <c r="L454" t="n">
        <v>0</v>
      </c>
      <c r="M454" t="n">
        <v>0</v>
      </c>
      <c r="N454" t="n">
        <v>0</v>
      </c>
      <c r="O454" t="n">
        <v>0</v>
      </c>
      <c r="P454" t="n">
        <v>0</v>
      </c>
      <c r="Q454" t="n">
        <v>0</v>
      </c>
      <c r="R454" s="2" t="inlineStr"/>
    </row>
    <row r="455" ht="15" customHeight="1">
      <c r="A455" t="inlineStr">
        <is>
          <t>A 67110-2020</t>
        </is>
      </c>
      <c r="B455" s="1" t="n">
        <v>44180</v>
      </c>
      <c r="C455" s="1" t="n">
        <v>45668</v>
      </c>
      <c r="D455" t="inlineStr">
        <is>
          <t>JÄMTLANDS LÄN</t>
        </is>
      </c>
      <c r="E455" t="inlineStr">
        <is>
          <t>HÄRJEDALEN</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67182-2020</t>
        </is>
      </c>
      <c r="B456" s="1" t="n">
        <v>44180</v>
      </c>
      <c r="C456" s="1" t="n">
        <v>45668</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67194-2020</t>
        </is>
      </c>
      <c r="B457" s="1" t="n">
        <v>44180</v>
      </c>
      <c r="C457" s="1" t="n">
        <v>45668</v>
      </c>
      <c r="D457" t="inlineStr">
        <is>
          <t>JÄMTLANDS LÄN</t>
        </is>
      </c>
      <c r="E457" t="inlineStr">
        <is>
          <t>HÄRJEDALEN</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67180-2020</t>
        </is>
      </c>
      <c r="B458" s="1" t="n">
        <v>44180</v>
      </c>
      <c r="C458" s="1" t="n">
        <v>45668</v>
      </c>
      <c r="D458" t="inlineStr">
        <is>
          <t>JÄMTLANDS LÄN</t>
        </is>
      </c>
      <c r="E458" t="inlineStr">
        <is>
          <t>HÄRJEDALEN</t>
        </is>
      </c>
      <c r="G458" t="n">
        <v>0</v>
      </c>
      <c r="H458" t="n">
        <v>0</v>
      </c>
      <c r="I458" t="n">
        <v>0</v>
      </c>
      <c r="J458" t="n">
        <v>0</v>
      </c>
      <c r="K458" t="n">
        <v>0</v>
      </c>
      <c r="L458" t="n">
        <v>0</v>
      </c>
      <c r="M458" t="n">
        <v>0</v>
      </c>
      <c r="N458" t="n">
        <v>0</v>
      </c>
      <c r="O458" t="n">
        <v>0</v>
      </c>
      <c r="P458" t="n">
        <v>0</v>
      </c>
      <c r="Q458" t="n">
        <v>0</v>
      </c>
      <c r="R458" s="2" t="inlineStr"/>
    </row>
    <row r="459" ht="15" customHeight="1">
      <c r="A459" t="inlineStr">
        <is>
          <t>A 67106-2020</t>
        </is>
      </c>
      <c r="B459" s="1" t="n">
        <v>44180</v>
      </c>
      <c r="C459" s="1" t="n">
        <v>45668</v>
      </c>
      <c r="D459" t="inlineStr">
        <is>
          <t>JÄMTLANDS LÄN</t>
        </is>
      </c>
      <c r="E459" t="inlineStr">
        <is>
          <t>HÄRJEDALEN</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67457-2020</t>
        </is>
      </c>
      <c r="B460" s="1" t="n">
        <v>44181</v>
      </c>
      <c r="C460" s="1" t="n">
        <v>45668</v>
      </c>
      <c r="D460" t="inlineStr">
        <is>
          <t>JÄMTLANDS LÄN</t>
        </is>
      </c>
      <c r="E460" t="inlineStr">
        <is>
          <t>HÄRJEDALEN</t>
        </is>
      </c>
      <c r="F460" t="inlineStr">
        <is>
          <t>Holmen skog AB</t>
        </is>
      </c>
      <c r="G460" t="n">
        <v>30</v>
      </c>
      <c r="H460" t="n">
        <v>0</v>
      </c>
      <c r="I460" t="n">
        <v>0</v>
      </c>
      <c r="J460" t="n">
        <v>0</v>
      </c>
      <c r="K460" t="n">
        <v>0</v>
      </c>
      <c r="L460" t="n">
        <v>0</v>
      </c>
      <c r="M460" t="n">
        <v>0</v>
      </c>
      <c r="N460" t="n">
        <v>0</v>
      </c>
      <c r="O460" t="n">
        <v>0</v>
      </c>
      <c r="P460" t="n">
        <v>0</v>
      </c>
      <c r="Q460" t="n">
        <v>0</v>
      </c>
      <c r="R460" s="2" t="inlineStr"/>
    </row>
    <row r="461" ht="15" customHeight="1">
      <c r="A461" t="inlineStr">
        <is>
          <t>A 67522-2020</t>
        </is>
      </c>
      <c r="B461" s="1" t="n">
        <v>44181</v>
      </c>
      <c r="C461" s="1" t="n">
        <v>45668</v>
      </c>
      <c r="D461" t="inlineStr">
        <is>
          <t>JÄMTLANDS LÄN</t>
        </is>
      </c>
      <c r="E461" t="inlineStr">
        <is>
          <t>HÄRJEDALEN</t>
        </is>
      </c>
      <c r="F461" t="inlineStr">
        <is>
          <t>Holmen skog AB</t>
        </is>
      </c>
      <c r="G461" t="n">
        <v>7.7</v>
      </c>
      <c r="H461" t="n">
        <v>0</v>
      </c>
      <c r="I461" t="n">
        <v>0</v>
      </c>
      <c r="J461" t="n">
        <v>0</v>
      </c>
      <c r="K461" t="n">
        <v>0</v>
      </c>
      <c r="L461" t="n">
        <v>0</v>
      </c>
      <c r="M461" t="n">
        <v>0</v>
      </c>
      <c r="N461" t="n">
        <v>0</v>
      </c>
      <c r="O461" t="n">
        <v>0</v>
      </c>
      <c r="P461" t="n">
        <v>0</v>
      </c>
      <c r="Q461" t="n">
        <v>0</v>
      </c>
      <c r="R461" s="2" t="inlineStr"/>
    </row>
    <row r="462" ht="15" customHeight="1">
      <c r="A462" t="inlineStr">
        <is>
          <t>A 67416-2020</t>
        </is>
      </c>
      <c r="B462" s="1" t="n">
        <v>44181</v>
      </c>
      <c r="C462" s="1" t="n">
        <v>45668</v>
      </c>
      <c r="D462" t="inlineStr">
        <is>
          <t>JÄMTLANDS LÄN</t>
        </is>
      </c>
      <c r="E462" t="inlineStr">
        <is>
          <t>HÄRJEDALEN</t>
        </is>
      </c>
      <c r="F462" t="inlineStr">
        <is>
          <t>Holmen skog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67445-2020</t>
        </is>
      </c>
      <c r="B463" s="1" t="n">
        <v>44181</v>
      </c>
      <c r="C463" s="1" t="n">
        <v>45668</v>
      </c>
      <c r="D463" t="inlineStr">
        <is>
          <t>JÄMTLANDS LÄN</t>
        </is>
      </c>
      <c r="E463" t="inlineStr">
        <is>
          <t>HÄRJEDALEN</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67459-2020</t>
        </is>
      </c>
      <c r="B464" s="1" t="n">
        <v>44181</v>
      </c>
      <c r="C464" s="1" t="n">
        <v>45668</v>
      </c>
      <c r="D464" t="inlineStr">
        <is>
          <t>JÄMTLANDS LÄN</t>
        </is>
      </c>
      <c r="E464" t="inlineStr">
        <is>
          <t>HÄRJEDALEN</t>
        </is>
      </c>
      <c r="F464" t="inlineStr">
        <is>
          <t>Holmen skog AB</t>
        </is>
      </c>
      <c r="G464" t="n">
        <v>17.7</v>
      </c>
      <c r="H464" t="n">
        <v>0</v>
      </c>
      <c r="I464" t="n">
        <v>0</v>
      </c>
      <c r="J464" t="n">
        <v>0</v>
      </c>
      <c r="K464" t="n">
        <v>0</v>
      </c>
      <c r="L464" t="n">
        <v>0</v>
      </c>
      <c r="M464" t="n">
        <v>0</v>
      </c>
      <c r="N464" t="n">
        <v>0</v>
      </c>
      <c r="O464" t="n">
        <v>0</v>
      </c>
      <c r="P464" t="n">
        <v>0</v>
      </c>
      <c r="Q464" t="n">
        <v>0</v>
      </c>
      <c r="R464" s="2" t="inlineStr"/>
    </row>
    <row r="465" ht="15" customHeight="1">
      <c r="A465" t="inlineStr">
        <is>
          <t>A 67529-2020</t>
        </is>
      </c>
      <c r="B465" s="1" t="n">
        <v>44181</v>
      </c>
      <c r="C465" s="1" t="n">
        <v>45668</v>
      </c>
      <c r="D465" t="inlineStr">
        <is>
          <t>JÄMTLANDS LÄN</t>
        </is>
      </c>
      <c r="E465" t="inlineStr">
        <is>
          <t>HÄRJEDALEN</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67411-2020</t>
        </is>
      </c>
      <c r="B466" s="1" t="n">
        <v>44181</v>
      </c>
      <c r="C466" s="1" t="n">
        <v>45668</v>
      </c>
      <c r="D466" t="inlineStr">
        <is>
          <t>JÄMTLANDS LÄN</t>
        </is>
      </c>
      <c r="E466" t="inlineStr">
        <is>
          <t>HÄRJEDALEN</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67438-2020</t>
        </is>
      </c>
      <c r="B467" s="1" t="n">
        <v>44181</v>
      </c>
      <c r="C467" s="1" t="n">
        <v>45668</v>
      </c>
      <c r="D467" t="inlineStr">
        <is>
          <t>JÄMTLANDS LÄN</t>
        </is>
      </c>
      <c r="E467" t="inlineStr">
        <is>
          <t>HÄRJEDALEN</t>
        </is>
      </c>
      <c r="F467" t="inlineStr">
        <is>
          <t>Holmen skog AB</t>
        </is>
      </c>
      <c r="G467" t="n">
        <v>5.6</v>
      </c>
      <c r="H467" t="n">
        <v>0</v>
      </c>
      <c r="I467" t="n">
        <v>0</v>
      </c>
      <c r="J467" t="n">
        <v>0</v>
      </c>
      <c r="K467" t="n">
        <v>0</v>
      </c>
      <c r="L467" t="n">
        <v>0</v>
      </c>
      <c r="M467" t="n">
        <v>0</v>
      </c>
      <c r="N467" t="n">
        <v>0</v>
      </c>
      <c r="O467" t="n">
        <v>0</v>
      </c>
      <c r="P467" t="n">
        <v>0</v>
      </c>
      <c r="Q467" t="n">
        <v>0</v>
      </c>
      <c r="R467" s="2" t="inlineStr"/>
    </row>
    <row r="468" ht="15" customHeight="1">
      <c r="A468" t="inlineStr">
        <is>
          <t>A 67447-2020</t>
        </is>
      </c>
      <c r="B468" s="1" t="n">
        <v>44181</v>
      </c>
      <c r="C468" s="1" t="n">
        <v>45668</v>
      </c>
      <c r="D468" t="inlineStr">
        <is>
          <t>JÄMTLANDS LÄN</t>
        </is>
      </c>
      <c r="E468" t="inlineStr">
        <is>
          <t>HÄRJEDALEN</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67454-2020</t>
        </is>
      </c>
      <c r="B469" s="1" t="n">
        <v>44181</v>
      </c>
      <c r="C469" s="1" t="n">
        <v>45668</v>
      </c>
      <c r="D469" t="inlineStr">
        <is>
          <t>JÄMTLANDS LÄN</t>
        </is>
      </c>
      <c r="E469" t="inlineStr">
        <is>
          <t>HÄRJEDALEN</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67498-2020</t>
        </is>
      </c>
      <c r="B470" s="1" t="n">
        <v>44181</v>
      </c>
      <c r="C470" s="1" t="n">
        <v>45668</v>
      </c>
      <c r="D470" t="inlineStr">
        <is>
          <t>JÄMTLANDS LÄN</t>
        </is>
      </c>
      <c r="E470" t="inlineStr">
        <is>
          <t>HÄRJEDALEN</t>
        </is>
      </c>
      <c r="F470" t="inlineStr">
        <is>
          <t>Holmen skog AB</t>
        </is>
      </c>
      <c r="G470" t="n">
        <v>15.9</v>
      </c>
      <c r="H470" t="n">
        <v>0</v>
      </c>
      <c r="I470" t="n">
        <v>0</v>
      </c>
      <c r="J470" t="n">
        <v>0</v>
      </c>
      <c r="K470" t="n">
        <v>0</v>
      </c>
      <c r="L470" t="n">
        <v>0</v>
      </c>
      <c r="M470" t="n">
        <v>0</v>
      </c>
      <c r="N470" t="n">
        <v>0</v>
      </c>
      <c r="O470" t="n">
        <v>0</v>
      </c>
      <c r="P470" t="n">
        <v>0</v>
      </c>
      <c r="Q470" t="n">
        <v>0</v>
      </c>
      <c r="R470" s="2" t="inlineStr"/>
    </row>
    <row r="471" ht="15" customHeight="1">
      <c r="A471" t="inlineStr">
        <is>
          <t>A 67507-2020</t>
        </is>
      </c>
      <c r="B471" s="1" t="n">
        <v>44181</v>
      </c>
      <c r="C471" s="1" t="n">
        <v>45668</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67526-2020</t>
        </is>
      </c>
      <c r="B472" s="1" t="n">
        <v>44181</v>
      </c>
      <c r="C472" s="1" t="n">
        <v>45668</v>
      </c>
      <c r="D472" t="inlineStr">
        <is>
          <t>JÄMTLANDS LÄN</t>
        </is>
      </c>
      <c r="E472" t="inlineStr">
        <is>
          <t>HÄRJEDALEN</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67409-2020</t>
        </is>
      </c>
      <c r="B473" s="1" t="n">
        <v>44181</v>
      </c>
      <c r="C473" s="1" t="n">
        <v>45668</v>
      </c>
      <c r="D473" t="inlineStr">
        <is>
          <t>JÄMTLANDS LÄN</t>
        </is>
      </c>
      <c r="E473" t="inlineStr">
        <is>
          <t>HÄRJEDALEN</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67720-2020</t>
        </is>
      </c>
      <c r="B474" s="1" t="n">
        <v>44182</v>
      </c>
      <c r="C474" s="1" t="n">
        <v>45668</v>
      </c>
      <c r="D474" t="inlineStr">
        <is>
          <t>JÄMTLANDS LÄN</t>
        </is>
      </c>
      <c r="E474" t="inlineStr">
        <is>
          <t>HÄRJEDALEN</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67697-2020</t>
        </is>
      </c>
      <c r="B475" s="1" t="n">
        <v>44182</v>
      </c>
      <c r="C475" s="1" t="n">
        <v>45668</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67714-2020</t>
        </is>
      </c>
      <c r="B476" s="1" t="n">
        <v>44182</v>
      </c>
      <c r="C476" s="1" t="n">
        <v>45668</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67821-2020</t>
        </is>
      </c>
      <c r="B477" s="1" t="n">
        <v>44182</v>
      </c>
      <c r="C477" s="1" t="n">
        <v>45668</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68141-2020</t>
        </is>
      </c>
      <c r="B478" s="1" t="n">
        <v>44183</v>
      </c>
      <c r="C478" s="1" t="n">
        <v>45668</v>
      </c>
      <c r="D478" t="inlineStr">
        <is>
          <t>JÄMTLANDS LÄN</t>
        </is>
      </c>
      <c r="E478" t="inlineStr">
        <is>
          <t>HÄRJEDALEN</t>
        </is>
      </c>
      <c r="G478" t="n">
        <v>3.1</v>
      </c>
      <c r="H478" t="n">
        <v>0</v>
      </c>
      <c r="I478" t="n">
        <v>0</v>
      </c>
      <c r="J478" t="n">
        <v>0</v>
      </c>
      <c r="K478" t="n">
        <v>0</v>
      </c>
      <c r="L478" t="n">
        <v>0</v>
      </c>
      <c r="M478" t="n">
        <v>0</v>
      </c>
      <c r="N478" t="n">
        <v>0</v>
      </c>
      <c r="O478" t="n">
        <v>0</v>
      </c>
      <c r="P478" t="n">
        <v>0</v>
      </c>
      <c r="Q478" t="n">
        <v>0</v>
      </c>
      <c r="R478" s="2" t="inlineStr"/>
    </row>
    <row r="479" ht="15" customHeight="1">
      <c r="A479" t="inlineStr">
        <is>
          <t>A 69108-2020</t>
        </is>
      </c>
      <c r="B479" s="1" t="n">
        <v>44188</v>
      </c>
      <c r="C479" s="1" t="n">
        <v>45668</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69168-2020</t>
        </is>
      </c>
      <c r="B480" s="1" t="n">
        <v>44188</v>
      </c>
      <c r="C480" s="1" t="n">
        <v>45668</v>
      </c>
      <c r="D480" t="inlineStr">
        <is>
          <t>JÄMTLANDS LÄN</t>
        </is>
      </c>
      <c r="E480" t="inlineStr">
        <is>
          <t>HÄRJEDALEN</t>
        </is>
      </c>
      <c r="F480" t="inlineStr">
        <is>
          <t>Sveaskog</t>
        </is>
      </c>
      <c r="G480" t="n">
        <v>20</v>
      </c>
      <c r="H480" t="n">
        <v>0</v>
      </c>
      <c r="I480" t="n">
        <v>0</v>
      </c>
      <c r="J480" t="n">
        <v>0</v>
      </c>
      <c r="K480" t="n">
        <v>0</v>
      </c>
      <c r="L480" t="n">
        <v>0</v>
      </c>
      <c r="M480" t="n">
        <v>0</v>
      </c>
      <c r="N480" t="n">
        <v>0</v>
      </c>
      <c r="O480" t="n">
        <v>0</v>
      </c>
      <c r="P480" t="n">
        <v>0</v>
      </c>
      <c r="Q480" t="n">
        <v>0</v>
      </c>
      <c r="R480" s="2" t="inlineStr"/>
    </row>
    <row r="481" ht="15" customHeight="1">
      <c r="A481" t="inlineStr">
        <is>
          <t>A 69101-2020</t>
        </is>
      </c>
      <c r="B481" s="1" t="n">
        <v>44188</v>
      </c>
      <c r="C481" s="1" t="n">
        <v>45668</v>
      </c>
      <c r="D481" t="inlineStr">
        <is>
          <t>JÄMTLANDS LÄN</t>
        </is>
      </c>
      <c r="E481" t="inlineStr">
        <is>
          <t>HÄRJEDALEN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1088-2021</t>
        </is>
      </c>
      <c r="B482" s="1" t="n">
        <v>44207</v>
      </c>
      <c r="C482" s="1" t="n">
        <v>45668</v>
      </c>
      <c r="D482" t="inlineStr">
        <is>
          <t>JÄMTLANDS LÄN</t>
        </is>
      </c>
      <c r="E482" t="inlineStr">
        <is>
          <t>HÄRJEDALEN</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1478-2021</t>
        </is>
      </c>
      <c r="B483" s="1" t="n">
        <v>44208</v>
      </c>
      <c r="C483" s="1" t="n">
        <v>45668</v>
      </c>
      <c r="D483" t="inlineStr">
        <is>
          <t>JÄMTLANDS LÄN</t>
        </is>
      </c>
      <c r="E483" t="inlineStr">
        <is>
          <t>HÄRJEDALEN</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1545-2021</t>
        </is>
      </c>
      <c r="B484" s="1" t="n">
        <v>44209</v>
      </c>
      <c r="C484" s="1" t="n">
        <v>45668</v>
      </c>
      <c r="D484" t="inlineStr">
        <is>
          <t>JÄMTLANDS LÄN</t>
        </is>
      </c>
      <c r="E484" t="inlineStr">
        <is>
          <t>HÄRJEDALEN</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1558-2021</t>
        </is>
      </c>
      <c r="B485" s="1" t="n">
        <v>44209</v>
      </c>
      <c r="C485" s="1" t="n">
        <v>45668</v>
      </c>
      <c r="D485" t="inlineStr">
        <is>
          <t>JÄMTLANDS LÄN</t>
        </is>
      </c>
      <c r="E485" t="inlineStr">
        <is>
          <t>HÄRJEDALEN</t>
        </is>
      </c>
      <c r="F485" t="inlineStr">
        <is>
          <t>Bergvik skog väst AB</t>
        </is>
      </c>
      <c r="G485" t="n">
        <v>7.2</v>
      </c>
      <c r="H485" t="n">
        <v>0</v>
      </c>
      <c r="I485" t="n">
        <v>0</v>
      </c>
      <c r="J485" t="n">
        <v>0</v>
      </c>
      <c r="K485" t="n">
        <v>0</v>
      </c>
      <c r="L485" t="n">
        <v>0</v>
      </c>
      <c r="M485" t="n">
        <v>0</v>
      </c>
      <c r="N485" t="n">
        <v>0</v>
      </c>
      <c r="O485" t="n">
        <v>0</v>
      </c>
      <c r="P485" t="n">
        <v>0</v>
      </c>
      <c r="Q485" t="n">
        <v>0</v>
      </c>
      <c r="R485" s="2" t="inlineStr"/>
    </row>
    <row r="486" ht="15" customHeight="1">
      <c r="A486" t="inlineStr">
        <is>
          <t>A 1602-2021</t>
        </is>
      </c>
      <c r="B486" s="1" t="n">
        <v>44209</v>
      </c>
      <c r="C486" s="1" t="n">
        <v>45668</v>
      </c>
      <c r="D486" t="inlineStr">
        <is>
          <t>JÄMTLANDS LÄN</t>
        </is>
      </c>
      <c r="E486" t="inlineStr">
        <is>
          <t>HÄRJEDALEN</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2531-2021</t>
        </is>
      </c>
      <c r="B487" s="1" t="n">
        <v>44214</v>
      </c>
      <c r="C487" s="1" t="n">
        <v>45668</v>
      </c>
      <c r="D487" t="inlineStr">
        <is>
          <t>JÄMTLANDS LÄN</t>
        </is>
      </c>
      <c r="E487" t="inlineStr">
        <is>
          <t>HÄRJEDALEN</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2855-2021</t>
        </is>
      </c>
      <c r="B488" s="1" t="n">
        <v>44216</v>
      </c>
      <c r="C488" s="1" t="n">
        <v>45668</v>
      </c>
      <c r="D488" t="inlineStr">
        <is>
          <t>JÄMTLANDS LÄN</t>
        </is>
      </c>
      <c r="E488" t="inlineStr">
        <is>
          <t>HÄRJEDALEN</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2862-2021</t>
        </is>
      </c>
      <c r="B489" s="1" t="n">
        <v>44216</v>
      </c>
      <c r="C489" s="1" t="n">
        <v>45668</v>
      </c>
      <c r="D489" t="inlineStr">
        <is>
          <t>JÄMTLANDS LÄN</t>
        </is>
      </c>
      <c r="E489" t="inlineStr">
        <is>
          <t>HÄRJEDALEN</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3536-2021</t>
        </is>
      </c>
      <c r="B490" s="1" t="n">
        <v>44218</v>
      </c>
      <c r="C490" s="1" t="n">
        <v>45668</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5277-2021</t>
        </is>
      </c>
      <c r="B491" s="1" t="n">
        <v>44225</v>
      </c>
      <c r="C491" s="1" t="n">
        <v>45668</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5283-2021</t>
        </is>
      </c>
      <c r="B492" s="1" t="n">
        <v>44225</v>
      </c>
      <c r="C492" s="1" t="n">
        <v>45668</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5343-2021</t>
        </is>
      </c>
      <c r="B493" s="1" t="n">
        <v>44228</v>
      </c>
      <c r="C493" s="1" t="n">
        <v>45668</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5353-2021</t>
        </is>
      </c>
      <c r="B494" s="1" t="n">
        <v>44228</v>
      </c>
      <c r="C494" s="1" t="n">
        <v>45668</v>
      </c>
      <c r="D494" t="inlineStr">
        <is>
          <t>JÄMTLANDS LÄN</t>
        </is>
      </c>
      <c r="E494" t="inlineStr">
        <is>
          <t>HÄRJEDALEN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5273-2021</t>
        </is>
      </c>
      <c r="B495" s="1" t="n">
        <v>44229</v>
      </c>
      <c r="C495" s="1" t="n">
        <v>45668</v>
      </c>
      <c r="D495" t="inlineStr">
        <is>
          <t>JÄMTLANDS LÄN</t>
        </is>
      </c>
      <c r="E495" t="inlineStr">
        <is>
          <t>HÄRJEDALEN</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5237-2021</t>
        </is>
      </c>
      <c r="B496" s="1" t="n">
        <v>44229</v>
      </c>
      <c r="C496" s="1" t="n">
        <v>45668</v>
      </c>
      <c r="D496" t="inlineStr">
        <is>
          <t>JÄMTLANDS LÄN</t>
        </is>
      </c>
      <c r="E496" t="inlineStr">
        <is>
          <t>HÄRJEDALEN</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5519-2021</t>
        </is>
      </c>
      <c r="B497" s="1" t="n">
        <v>44230</v>
      </c>
      <c r="C497" s="1" t="n">
        <v>45668</v>
      </c>
      <c r="D497" t="inlineStr">
        <is>
          <t>JÄMTLANDS LÄN</t>
        </is>
      </c>
      <c r="E497" t="inlineStr">
        <is>
          <t>HÄRJEDALEN</t>
        </is>
      </c>
      <c r="G497" t="n">
        <v>10.8</v>
      </c>
      <c r="H497" t="n">
        <v>0</v>
      </c>
      <c r="I497" t="n">
        <v>0</v>
      </c>
      <c r="J497" t="n">
        <v>0</v>
      </c>
      <c r="K497" t="n">
        <v>0</v>
      </c>
      <c r="L497" t="n">
        <v>0</v>
      </c>
      <c r="M497" t="n">
        <v>0</v>
      </c>
      <c r="N497" t="n">
        <v>0</v>
      </c>
      <c r="O497" t="n">
        <v>0</v>
      </c>
      <c r="P497" t="n">
        <v>0</v>
      </c>
      <c r="Q497" t="n">
        <v>0</v>
      </c>
      <c r="R497" s="2" t="inlineStr"/>
    </row>
    <row r="498" ht="15" customHeight="1">
      <c r="A498" t="inlineStr">
        <is>
          <t>A 5993-2021</t>
        </is>
      </c>
      <c r="B498" s="1" t="n">
        <v>44231</v>
      </c>
      <c r="C498" s="1" t="n">
        <v>45668</v>
      </c>
      <c r="D498" t="inlineStr">
        <is>
          <t>JÄMTLANDS LÄN</t>
        </is>
      </c>
      <c r="E498" t="inlineStr">
        <is>
          <t>HÄRJEDALEN</t>
        </is>
      </c>
      <c r="F498" t="inlineStr">
        <is>
          <t>Kyrkan</t>
        </is>
      </c>
      <c r="G498" t="n">
        <v>2.6</v>
      </c>
      <c r="H498" t="n">
        <v>0</v>
      </c>
      <c r="I498" t="n">
        <v>0</v>
      </c>
      <c r="J498" t="n">
        <v>0</v>
      </c>
      <c r="K498" t="n">
        <v>0</v>
      </c>
      <c r="L498" t="n">
        <v>0</v>
      </c>
      <c r="M498" t="n">
        <v>0</v>
      </c>
      <c r="N498" t="n">
        <v>0</v>
      </c>
      <c r="O498" t="n">
        <v>0</v>
      </c>
      <c r="P498" t="n">
        <v>0</v>
      </c>
      <c r="Q498" t="n">
        <v>0</v>
      </c>
      <c r="R498" s="2" t="inlineStr"/>
    </row>
    <row r="499" ht="15" customHeight="1">
      <c r="A499" t="inlineStr">
        <is>
          <t>A 7087-2021</t>
        </is>
      </c>
      <c r="B499" s="1" t="n">
        <v>44238</v>
      </c>
      <c r="C499" s="1" t="n">
        <v>45668</v>
      </c>
      <c r="D499" t="inlineStr">
        <is>
          <t>JÄMTLANDS LÄN</t>
        </is>
      </c>
      <c r="E499" t="inlineStr">
        <is>
          <t>HÄRJEDALEN</t>
        </is>
      </c>
      <c r="F499" t="inlineStr">
        <is>
          <t>Holmen skog AB</t>
        </is>
      </c>
      <c r="G499" t="n">
        <v>14.9</v>
      </c>
      <c r="H499" t="n">
        <v>0</v>
      </c>
      <c r="I499" t="n">
        <v>0</v>
      </c>
      <c r="J499" t="n">
        <v>0</v>
      </c>
      <c r="K499" t="n">
        <v>0</v>
      </c>
      <c r="L499" t="n">
        <v>0</v>
      </c>
      <c r="M499" t="n">
        <v>0</v>
      </c>
      <c r="N499" t="n">
        <v>0</v>
      </c>
      <c r="O499" t="n">
        <v>0</v>
      </c>
      <c r="P499" t="n">
        <v>0</v>
      </c>
      <c r="Q499" t="n">
        <v>0</v>
      </c>
      <c r="R499" s="2" t="inlineStr"/>
    </row>
    <row r="500" ht="15" customHeight="1">
      <c r="A500" t="inlineStr">
        <is>
          <t>A 7112-2021</t>
        </is>
      </c>
      <c r="B500" s="1" t="n">
        <v>44238</v>
      </c>
      <c r="C500" s="1" t="n">
        <v>45668</v>
      </c>
      <c r="D500" t="inlineStr">
        <is>
          <t>JÄMTLANDS LÄN</t>
        </is>
      </c>
      <c r="E500" t="inlineStr">
        <is>
          <t>HÄRJEDALEN</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7097-2021</t>
        </is>
      </c>
      <c r="B501" s="1" t="n">
        <v>44238</v>
      </c>
      <c r="C501" s="1" t="n">
        <v>45668</v>
      </c>
      <c r="D501" t="inlineStr">
        <is>
          <t>JÄMTLANDS LÄN</t>
        </is>
      </c>
      <c r="E501" t="inlineStr">
        <is>
          <t>HÄRJEDALEN</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7086-2021</t>
        </is>
      </c>
      <c r="B502" s="1" t="n">
        <v>44238</v>
      </c>
      <c r="C502" s="1" t="n">
        <v>45668</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7110-2021</t>
        </is>
      </c>
      <c r="B503" s="1" t="n">
        <v>44238</v>
      </c>
      <c r="C503" s="1" t="n">
        <v>45668</v>
      </c>
      <c r="D503" t="inlineStr">
        <is>
          <t>JÄMTLANDS LÄN</t>
        </is>
      </c>
      <c r="E503" t="inlineStr">
        <is>
          <t>HÄRJEDALEN</t>
        </is>
      </c>
      <c r="F503" t="inlineStr">
        <is>
          <t>Holmen skog AB</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7427-2021</t>
        </is>
      </c>
      <c r="B504" s="1" t="n">
        <v>44239</v>
      </c>
      <c r="C504" s="1" t="n">
        <v>45668</v>
      </c>
      <c r="D504" t="inlineStr">
        <is>
          <t>JÄMTLANDS LÄN</t>
        </is>
      </c>
      <c r="E504" t="inlineStr">
        <is>
          <t>HÄRJEDALEN</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7570-2021</t>
        </is>
      </c>
      <c r="B505" s="1" t="n">
        <v>44239</v>
      </c>
      <c r="C505" s="1" t="n">
        <v>45668</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7731-2021</t>
        </is>
      </c>
      <c r="B506" s="1" t="n">
        <v>44242</v>
      </c>
      <c r="C506" s="1" t="n">
        <v>45668</v>
      </c>
      <c r="D506" t="inlineStr">
        <is>
          <t>JÄMTLANDS LÄN</t>
        </is>
      </c>
      <c r="E506" t="inlineStr">
        <is>
          <t>HÄRJEDALEN</t>
        </is>
      </c>
      <c r="G506" t="n">
        <v>13.6</v>
      </c>
      <c r="H506" t="n">
        <v>0</v>
      </c>
      <c r="I506" t="n">
        <v>0</v>
      </c>
      <c r="J506" t="n">
        <v>0</v>
      </c>
      <c r="K506" t="n">
        <v>0</v>
      </c>
      <c r="L506" t="n">
        <v>0</v>
      </c>
      <c r="M506" t="n">
        <v>0</v>
      </c>
      <c r="N506" t="n">
        <v>0</v>
      </c>
      <c r="O506" t="n">
        <v>0</v>
      </c>
      <c r="P506" t="n">
        <v>0</v>
      </c>
      <c r="Q506" t="n">
        <v>0</v>
      </c>
      <c r="R506" s="2" t="inlineStr"/>
    </row>
    <row r="507" ht="15" customHeight="1">
      <c r="A507" t="inlineStr">
        <is>
          <t>A 8055-2021</t>
        </is>
      </c>
      <c r="B507" s="1" t="n">
        <v>44243</v>
      </c>
      <c r="C507" s="1" t="n">
        <v>45668</v>
      </c>
      <c r="D507" t="inlineStr">
        <is>
          <t>JÄMTLANDS LÄN</t>
        </is>
      </c>
      <c r="E507" t="inlineStr">
        <is>
          <t>HÄRJEDALEN</t>
        </is>
      </c>
      <c r="G507" t="n">
        <v>1.6</v>
      </c>
      <c r="H507" t="n">
        <v>0</v>
      </c>
      <c r="I507" t="n">
        <v>0</v>
      </c>
      <c r="J507" t="n">
        <v>0</v>
      </c>
      <c r="K507" t="n">
        <v>0</v>
      </c>
      <c r="L507" t="n">
        <v>0</v>
      </c>
      <c r="M507" t="n">
        <v>0</v>
      </c>
      <c r="N507" t="n">
        <v>0</v>
      </c>
      <c r="O507" t="n">
        <v>0</v>
      </c>
      <c r="P507" t="n">
        <v>0</v>
      </c>
      <c r="Q507" t="n">
        <v>0</v>
      </c>
      <c r="R507" s="2" t="inlineStr"/>
    </row>
    <row r="508" ht="15" customHeight="1">
      <c r="A508" t="inlineStr">
        <is>
          <t>A 9470-2021</t>
        </is>
      </c>
      <c r="B508" s="1" t="n">
        <v>44251</v>
      </c>
      <c r="C508" s="1" t="n">
        <v>45668</v>
      </c>
      <c r="D508" t="inlineStr">
        <is>
          <t>JÄMTLANDS LÄN</t>
        </is>
      </c>
      <c r="E508" t="inlineStr">
        <is>
          <t>HÄRJEDALEN</t>
        </is>
      </c>
      <c r="G508" t="n">
        <v>12.4</v>
      </c>
      <c r="H508" t="n">
        <v>0</v>
      </c>
      <c r="I508" t="n">
        <v>0</v>
      </c>
      <c r="J508" t="n">
        <v>0</v>
      </c>
      <c r="K508" t="n">
        <v>0</v>
      </c>
      <c r="L508" t="n">
        <v>0</v>
      </c>
      <c r="M508" t="n">
        <v>0</v>
      </c>
      <c r="N508" t="n">
        <v>0</v>
      </c>
      <c r="O508" t="n">
        <v>0</v>
      </c>
      <c r="P508" t="n">
        <v>0</v>
      </c>
      <c r="Q508" t="n">
        <v>0</v>
      </c>
      <c r="R508" s="2" t="inlineStr"/>
    </row>
    <row r="509" ht="15" customHeight="1">
      <c r="A509" t="inlineStr">
        <is>
          <t>A 10530-2021</t>
        </is>
      </c>
      <c r="B509" s="1" t="n">
        <v>44258</v>
      </c>
      <c r="C509" s="1" t="n">
        <v>45668</v>
      </c>
      <c r="D509" t="inlineStr">
        <is>
          <t>JÄMTLANDS LÄN</t>
        </is>
      </c>
      <c r="E509" t="inlineStr">
        <is>
          <t>HÄRJEDALEN</t>
        </is>
      </c>
      <c r="G509" t="n">
        <v>19.5</v>
      </c>
      <c r="H509" t="n">
        <v>0</v>
      </c>
      <c r="I509" t="n">
        <v>0</v>
      </c>
      <c r="J509" t="n">
        <v>0</v>
      </c>
      <c r="K509" t="n">
        <v>0</v>
      </c>
      <c r="L509" t="n">
        <v>0</v>
      </c>
      <c r="M509" t="n">
        <v>0</v>
      </c>
      <c r="N509" t="n">
        <v>0</v>
      </c>
      <c r="O509" t="n">
        <v>0</v>
      </c>
      <c r="P509" t="n">
        <v>0</v>
      </c>
      <c r="Q509" t="n">
        <v>0</v>
      </c>
      <c r="R509" s="2" t="inlineStr"/>
    </row>
    <row r="510" ht="15" customHeight="1">
      <c r="A510" t="inlineStr">
        <is>
          <t>A 10536-2021</t>
        </is>
      </c>
      <c r="B510" s="1" t="n">
        <v>44258</v>
      </c>
      <c r="C510" s="1" t="n">
        <v>45668</v>
      </c>
      <c r="D510" t="inlineStr">
        <is>
          <t>JÄMTLANDS LÄN</t>
        </is>
      </c>
      <c r="E510" t="inlineStr">
        <is>
          <t>HÄRJEDALEN</t>
        </is>
      </c>
      <c r="G510" t="n">
        <v>18.7</v>
      </c>
      <c r="H510" t="n">
        <v>0</v>
      </c>
      <c r="I510" t="n">
        <v>0</v>
      </c>
      <c r="J510" t="n">
        <v>0</v>
      </c>
      <c r="K510" t="n">
        <v>0</v>
      </c>
      <c r="L510" t="n">
        <v>0</v>
      </c>
      <c r="M510" t="n">
        <v>0</v>
      </c>
      <c r="N510" t="n">
        <v>0</v>
      </c>
      <c r="O510" t="n">
        <v>0</v>
      </c>
      <c r="P510" t="n">
        <v>0</v>
      </c>
      <c r="Q510" t="n">
        <v>0</v>
      </c>
      <c r="R510" s="2" t="inlineStr"/>
    </row>
    <row r="511" ht="15" customHeight="1">
      <c r="A511" t="inlineStr">
        <is>
          <t>A 12629-2021</t>
        </is>
      </c>
      <c r="B511" s="1" t="n">
        <v>44270</v>
      </c>
      <c r="C511" s="1" t="n">
        <v>45668</v>
      </c>
      <c r="D511" t="inlineStr">
        <is>
          <t>JÄMTLANDS LÄN</t>
        </is>
      </c>
      <c r="E511" t="inlineStr">
        <is>
          <t>HÄRJEDALEN</t>
        </is>
      </c>
      <c r="G511" t="n">
        <v>20.7</v>
      </c>
      <c r="H511" t="n">
        <v>0</v>
      </c>
      <c r="I511" t="n">
        <v>0</v>
      </c>
      <c r="J511" t="n">
        <v>0</v>
      </c>
      <c r="K511" t="n">
        <v>0</v>
      </c>
      <c r="L511" t="n">
        <v>0</v>
      </c>
      <c r="M511" t="n">
        <v>0</v>
      </c>
      <c r="N511" t="n">
        <v>0</v>
      </c>
      <c r="O511" t="n">
        <v>0</v>
      </c>
      <c r="P511" t="n">
        <v>0</v>
      </c>
      <c r="Q511" t="n">
        <v>0</v>
      </c>
      <c r="R511" s="2" t="inlineStr"/>
    </row>
    <row r="512" ht="15" customHeight="1">
      <c r="A512" t="inlineStr">
        <is>
          <t>A 14798-2021</t>
        </is>
      </c>
      <c r="B512" s="1" t="n">
        <v>44280</v>
      </c>
      <c r="C512" s="1" t="n">
        <v>45668</v>
      </c>
      <c r="D512" t="inlineStr">
        <is>
          <t>JÄMTLANDS LÄN</t>
        </is>
      </c>
      <c r="E512" t="inlineStr">
        <is>
          <t>HÄRJEDALEN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15580-2021</t>
        </is>
      </c>
      <c r="B513" s="1" t="n">
        <v>44285</v>
      </c>
      <c r="C513" s="1" t="n">
        <v>45668</v>
      </c>
      <c r="D513" t="inlineStr">
        <is>
          <t>JÄMTLANDS LÄN</t>
        </is>
      </c>
      <c r="E513" t="inlineStr">
        <is>
          <t>HÄRJEDALEN</t>
        </is>
      </c>
      <c r="G513" t="n">
        <v>22.1</v>
      </c>
      <c r="H513" t="n">
        <v>0</v>
      </c>
      <c r="I513" t="n">
        <v>0</v>
      </c>
      <c r="J513" t="n">
        <v>0</v>
      </c>
      <c r="K513" t="n">
        <v>0</v>
      </c>
      <c r="L513" t="n">
        <v>0</v>
      </c>
      <c r="M513" t="n">
        <v>0</v>
      </c>
      <c r="N513" t="n">
        <v>0</v>
      </c>
      <c r="O513" t="n">
        <v>0</v>
      </c>
      <c r="P513" t="n">
        <v>0</v>
      </c>
      <c r="Q513" t="n">
        <v>0</v>
      </c>
      <c r="R513" s="2" t="inlineStr"/>
    </row>
    <row r="514" ht="15" customHeight="1">
      <c r="A514" t="inlineStr">
        <is>
          <t>A 15585-2021</t>
        </is>
      </c>
      <c r="B514" s="1" t="n">
        <v>44285</v>
      </c>
      <c r="C514" s="1" t="n">
        <v>45668</v>
      </c>
      <c r="D514" t="inlineStr">
        <is>
          <t>JÄMTLANDS LÄN</t>
        </is>
      </c>
      <c r="E514" t="inlineStr">
        <is>
          <t>HÄRJEDALEN</t>
        </is>
      </c>
      <c r="G514" t="n">
        <v>21.2</v>
      </c>
      <c r="H514" t="n">
        <v>0</v>
      </c>
      <c r="I514" t="n">
        <v>0</v>
      </c>
      <c r="J514" t="n">
        <v>0</v>
      </c>
      <c r="K514" t="n">
        <v>0</v>
      </c>
      <c r="L514" t="n">
        <v>0</v>
      </c>
      <c r="M514" t="n">
        <v>0</v>
      </c>
      <c r="N514" t="n">
        <v>0</v>
      </c>
      <c r="O514" t="n">
        <v>0</v>
      </c>
      <c r="P514" t="n">
        <v>0</v>
      </c>
      <c r="Q514" t="n">
        <v>0</v>
      </c>
      <c r="R514" s="2" t="inlineStr"/>
    </row>
    <row r="515" ht="15" customHeight="1">
      <c r="A515" t="inlineStr">
        <is>
          <t>A 15594-2021</t>
        </is>
      </c>
      <c r="B515" s="1" t="n">
        <v>44285</v>
      </c>
      <c r="C515" s="1" t="n">
        <v>45668</v>
      </c>
      <c r="D515" t="inlineStr">
        <is>
          <t>JÄMTLANDS LÄN</t>
        </is>
      </c>
      <c r="E515" t="inlineStr">
        <is>
          <t>HÄRJEDALEN</t>
        </is>
      </c>
      <c r="G515" t="n">
        <v>28.5</v>
      </c>
      <c r="H515" t="n">
        <v>0</v>
      </c>
      <c r="I515" t="n">
        <v>0</v>
      </c>
      <c r="J515" t="n">
        <v>0</v>
      </c>
      <c r="K515" t="n">
        <v>0</v>
      </c>
      <c r="L515" t="n">
        <v>0</v>
      </c>
      <c r="M515" t="n">
        <v>0</v>
      </c>
      <c r="N515" t="n">
        <v>0</v>
      </c>
      <c r="O515" t="n">
        <v>0</v>
      </c>
      <c r="P515" t="n">
        <v>0</v>
      </c>
      <c r="Q515" t="n">
        <v>0</v>
      </c>
      <c r="R515" s="2" t="inlineStr"/>
    </row>
    <row r="516" ht="15" customHeight="1">
      <c r="A516" t="inlineStr">
        <is>
          <t>A 15681-2021</t>
        </is>
      </c>
      <c r="B516" s="1" t="n">
        <v>44286</v>
      </c>
      <c r="C516" s="1" t="n">
        <v>45668</v>
      </c>
      <c r="D516" t="inlineStr">
        <is>
          <t>JÄMTLANDS LÄN</t>
        </is>
      </c>
      <c r="E516" t="inlineStr">
        <is>
          <t>HÄRJEDALEN</t>
        </is>
      </c>
      <c r="G516" t="n">
        <v>9.6</v>
      </c>
      <c r="H516" t="n">
        <v>0</v>
      </c>
      <c r="I516" t="n">
        <v>0</v>
      </c>
      <c r="J516" t="n">
        <v>0</v>
      </c>
      <c r="K516" t="n">
        <v>0</v>
      </c>
      <c r="L516" t="n">
        <v>0</v>
      </c>
      <c r="M516" t="n">
        <v>0</v>
      </c>
      <c r="N516" t="n">
        <v>0</v>
      </c>
      <c r="O516" t="n">
        <v>0</v>
      </c>
      <c r="P516" t="n">
        <v>0</v>
      </c>
      <c r="Q516" t="n">
        <v>0</v>
      </c>
      <c r="R516" s="2" t="inlineStr"/>
    </row>
    <row r="517" ht="15" customHeight="1">
      <c r="A517" t="inlineStr">
        <is>
          <t>A 15685-2021</t>
        </is>
      </c>
      <c r="B517" s="1" t="n">
        <v>44286</v>
      </c>
      <c r="C517" s="1" t="n">
        <v>45668</v>
      </c>
      <c r="D517" t="inlineStr">
        <is>
          <t>JÄMTLANDS LÄN</t>
        </is>
      </c>
      <c r="E517" t="inlineStr">
        <is>
          <t>HÄRJEDALEN</t>
        </is>
      </c>
      <c r="G517" t="n">
        <v>3.6</v>
      </c>
      <c r="H517" t="n">
        <v>0</v>
      </c>
      <c r="I517" t="n">
        <v>0</v>
      </c>
      <c r="J517" t="n">
        <v>0</v>
      </c>
      <c r="K517" t="n">
        <v>0</v>
      </c>
      <c r="L517" t="n">
        <v>0</v>
      </c>
      <c r="M517" t="n">
        <v>0</v>
      </c>
      <c r="N517" t="n">
        <v>0</v>
      </c>
      <c r="O517" t="n">
        <v>0</v>
      </c>
      <c r="P517" t="n">
        <v>0</v>
      </c>
      <c r="Q517" t="n">
        <v>0</v>
      </c>
      <c r="R517" s="2" t="inlineStr"/>
    </row>
    <row r="518" ht="15" customHeight="1">
      <c r="A518" t="inlineStr">
        <is>
          <t>A 17187-2021</t>
        </is>
      </c>
      <c r="B518" s="1" t="n">
        <v>44298</v>
      </c>
      <c r="C518" s="1" t="n">
        <v>45668</v>
      </c>
      <c r="D518" t="inlineStr">
        <is>
          <t>JÄMTLANDS LÄN</t>
        </is>
      </c>
      <c r="E518" t="inlineStr">
        <is>
          <t>HÄRJEDALEN</t>
        </is>
      </c>
      <c r="G518" t="n">
        <v>20.1</v>
      </c>
      <c r="H518" t="n">
        <v>0</v>
      </c>
      <c r="I518" t="n">
        <v>0</v>
      </c>
      <c r="J518" t="n">
        <v>0</v>
      </c>
      <c r="K518" t="n">
        <v>0</v>
      </c>
      <c r="L518" t="n">
        <v>0</v>
      </c>
      <c r="M518" t="n">
        <v>0</v>
      </c>
      <c r="N518" t="n">
        <v>0</v>
      </c>
      <c r="O518" t="n">
        <v>0</v>
      </c>
      <c r="P518" t="n">
        <v>0</v>
      </c>
      <c r="Q518" t="n">
        <v>0</v>
      </c>
      <c r="R518" s="2" t="inlineStr"/>
    </row>
    <row r="519" ht="15" customHeight="1">
      <c r="A519" t="inlineStr">
        <is>
          <t>A 17705-2021</t>
        </is>
      </c>
      <c r="B519" s="1" t="n">
        <v>44300</v>
      </c>
      <c r="C519" s="1" t="n">
        <v>45668</v>
      </c>
      <c r="D519" t="inlineStr">
        <is>
          <t>JÄMTLANDS LÄN</t>
        </is>
      </c>
      <c r="E519" t="inlineStr">
        <is>
          <t>HÄRJEDALEN</t>
        </is>
      </c>
      <c r="G519" t="n">
        <v>5.2</v>
      </c>
      <c r="H519" t="n">
        <v>0</v>
      </c>
      <c r="I519" t="n">
        <v>0</v>
      </c>
      <c r="J519" t="n">
        <v>0</v>
      </c>
      <c r="K519" t="n">
        <v>0</v>
      </c>
      <c r="L519" t="n">
        <v>0</v>
      </c>
      <c r="M519" t="n">
        <v>0</v>
      </c>
      <c r="N519" t="n">
        <v>0</v>
      </c>
      <c r="O519" t="n">
        <v>0</v>
      </c>
      <c r="P519" t="n">
        <v>0</v>
      </c>
      <c r="Q519" t="n">
        <v>0</v>
      </c>
      <c r="R519" s="2" t="inlineStr"/>
    </row>
    <row r="520" ht="15" customHeight="1">
      <c r="A520" t="inlineStr">
        <is>
          <t>A 18389-2021</t>
        </is>
      </c>
      <c r="B520" s="1" t="n">
        <v>44305</v>
      </c>
      <c r="C520" s="1" t="n">
        <v>45668</v>
      </c>
      <c r="D520" t="inlineStr">
        <is>
          <t>JÄMTLANDS LÄN</t>
        </is>
      </c>
      <c r="E520" t="inlineStr">
        <is>
          <t>HÄRJEDALEN</t>
        </is>
      </c>
      <c r="G520" t="n">
        <v>1.3</v>
      </c>
      <c r="H520" t="n">
        <v>0</v>
      </c>
      <c r="I520" t="n">
        <v>0</v>
      </c>
      <c r="J520" t="n">
        <v>0</v>
      </c>
      <c r="K520" t="n">
        <v>0</v>
      </c>
      <c r="L520" t="n">
        <v>0</v>
      </c>
      <c r="M520" t="n">
        <v>0</v>
      </c>
      <c r="N520" t="n">
        <v>0</v>
      </c>
      <c r="O520" t="n">
        <v>0</v>
      </c>
      <c r="P520" t="n">
        <v>0</v>
      </c>
      <c r="Q520" t="n">
        <v>0</v>
      </c>
      <c r="R520" s="2" t="inlineStr"/>
    </row>
    <row r="521" ht="15" customHeight="1">
      <c r="A521" t="inlineStr">
        <is>
          <t>A 19958-2021</t>
        </is>
      </c>
      <c r="B521" s="1" t="n">
        <v>44312</v>
      </c>
      <c r="C521" s="1" t="n">
        <v>45668</v>
      </c>
      <c r="D521" t="inlineStr">
        <is>
          <t>JÄMTLANDS LÄN</t>
        </is>
      </c>
      <c r="E521" t="inlineStr">
        <is>
          <t>HÄRJEDALEN</t>
        </is>
      </c>
      <c r="G521" t="n">
        <v>10.7</v>
      </c>
      <c r="H521" t="n">
        <v>0</v>
      </c>
      <c r="I521" t="n">
        <v>0</v>
      </c>
      <c r="J521" t="n">
        <v>0</v>
      </c>
      <c r="K521" t="n">
        <v>0</v>
      </c>
      <c r="L521" t="n">
        <v>0</v>
      </c>
      <c r="M521" t="n">
        <v>0</v>
      </c>
      <c r="N521" t="n">
        <v>0</v>
      </c>
      <c r="O521" t="n">
        <v>0</v>
      </c>
      <c r="P521" t="n">
        <v>0</v>
      </c>
      <c r="Q521" t="n">
        <v>0</v>
      </c>
      <c r="R521" s="2" t="inlineStr"/>
    </row>
    <row r="522" ht="15" customHeight="1">
      <c r="A522" t="inlineStr">
        <is>
          <t>A 19955-2021</t>
        </is>
      </c>
      <c r="B522" s="1" t="n">
        <v>44312</v>
      </c>
      <c r="C522" s="1" t="n">
        <v>45668</v>
      </c>
      <c r="D522" t="inlineStr">
        <is>
          <t>JÄMTLANDS LÄN</t>
        </is>
      </c>
      <c r="E522" t="inlineStr">
        <is>
          <t>HÄRJEDALEN</t>
        </is>
      </c>
      <c r="G522" t="n">
        <v>4.6</v>
      </c>
      <c r="H522" t="n">
        <v>0</v>
      </c>
      <c r="I522" t="n">
        <v>0</v>
      </c>
      <c r="J522" t="n">
        <v>0</v>
      </c>
      <c r="K522" t="n">
        <v>0</v>
      </c>
      <c r="L522" t="n">
        <v>0</v>
      </c>
      <c r="M522" t="n">
        <v>0</v>
      </c>
      <c r="N522" t="n">
        <v>0</v>
      </c>
      <c r="O522" t="n">
        <v>0</v>
      </c>
      <c r="P522" t="n">
        <v>0</v>
      </c>
      <c r="Q522" t="n">
        <v>0</v>
      </c>
      <c r="R522" s="2" t="inlineStr"/>
    </row>
    <row r="523" ht="15" customHeight="1">
      <c r="A523" t="inlineStr">
        <is>
          <t>A 19962-2021</t>
        </is>
      </c>
      <c r="B523" s="1" t="n">
        <v>44312</v>
      </c>
      <c r="C523" s="1" t="n">
        <v>45668</v>
      </c>
      <c r="D523" t="inlineStr">
        <is>
          <t>JÄMTLANDS LÄN</t>
        </is>
      </c>
      <c r="E523" t="inlineStr">
        <is>
          <t>HÄRJEDALEN</t>
        </is>
      </c>
      <c r="G523" t="n">
        <v>3.7</v>
      </c>
      <c r="H523" t="n">
        <v>0</v>
      </c>
      <c r="I523" t="n">
        <v>0</v>
      </c>
      <c r="J523" t="n">
        <v>0</v>
      </c>
      <c r="K523" t="n">
        <v>0</v>
      </c>
      <c r="L523" t="n">
        <v>0</v>
      </c>
      <c r="M523" t="n">
        <v>0</v>
      </c>
      <c r="N523" t="n">
        <v>0</v>
      </c>
      <c r="O523" t="n">
        <v>0</v>
      </c>
      <c r="P523" t="n">
        <v>0</v>
      </c>
      <c r="Q523" t="n">
        <v>0</v>
      </c>
      <c r="R523" s="2" t="inlineStr"/>
    </row>
    <row r="524" ht="15" customHeight="1">
      <c r="A524" t="inlineStr">
        <is>
          <t>A 21593-2021</t>
        </is>
      </c>
      <c r="B524" s="1" t="n">
        <v>44314</v>
      </c>
      <c r="C524" s="1" t="n">
        <v>45668</v>
      </c>
      <c r="D524" t="inlineStr">
        <is>
          <t>JÄMTLANDS LÄN</t>
        </is>
      </c>
      <c r="E524" t="inlineStr">
        <is>
          <t>HÄRJEDALEN</t>
        </is>
      </c>
      <c r="G524" t="n">
        <v>7.7</v>
      </c>
      <c r="H524" t="n">
        <v>0</v>
      </c>
      <c r="I524" t="n">
        <v>0</v>
      </c>
      <c r="J524" t="n">
        <v>0</v>
      </c>
      <c r="K524" t="n">
        <v>0</v>
      </c>
      <c r="L524" t="n">
        <v>0</v>
      </c>
      <c r="M524" t="n">
        <v>0</v>
      </c>
      <c r="N524" t="n">
        <v>0</v>
      </c>
      <c r="O524" t="n">
        <v>0</v>
      </c>
      <c r="P524" t="n">
        <v>0</v>
      </c>
      <c r="Q524" t="n">
        <v>0</v>
      </c>
      <c r="R524" s="2" t="inlineStr"/>
    </row>
    <row r="525" ht="15" customHeight="1">
      <c r="A525" t="inlineStr">
        <is>
          <t>A 21596-2021</t>
        </is>
      </c>
      <c r="B525" s="1" t="n">
        <v>44314</v>
      </c>
      <c r="C525" s="1" t="n">
        <v>45668</v>
      </c>
      <c r="D525" t="inlineStr">
        <is>
          <t>JÄMTLANDS LÄN</t>
        </is>
      </c>
      <c r="E525" t="inlineStr">
        <is>
          <t>HÄRJEDALEN</t>
        </is>
      </c>
      <c r="G525" t="n">
        <v>18.2</v>
      </c>
      <c r="H525" t="n">
        <v>0</v>
      </c>
      <c r="I525" t="n">
        <v>0</v>
      </c>
      <c r="J525" t="n">
        <v>0</v>
      </c>
      <c r="K525" t="n">
        <v>0</v>
      </c>
      <c r="L525" t="n">
        <v>0</v>
      </c>
      <c r="M525" t="n">
        <v>0</v>
      </c>
      <c r="N525" t="n">
        <v>0</v>
      </c>
      <c r="O525" t="n">
        <v>0</v>
      </c>
      <c r="P525" t="n">
        <v>0</v>
      </c>
      <c r="Q525" t="n">
        <v>0</v>
      </c>
      <c r="R525" s="2" t="inlineStr"/>
    </row>
    <row r="526" ht="15" customHeight="1">
      <c r="A526" t="inlineStr">
        <is>
          <t>A 21837-2021</t>
        </is>
      </c>
      <c r="B526" s="1" t="n">
        <v>44316</v>
      </c>
      <c r="C526" s="1" t="n">
        <v>45668</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21702-2021</t>
        </is>
      </c>
      <c r="B527" s="1" t="n">
        <v>44316</v>
      </c>
      <c r="C527" s="1" t="n">
        <v>45668</v>
      </c>
      <c r="D527" t="inlineStr">
        <is>
          <t>JÄMTLANDS LÄN</t>
        </is>
      </c>
      <c r="E527" t="inlineStr">
        <is>
          <t>HÄRJEDALEN</t>
        </is>
      </c>
      <c r="G527" t="n">
        <v>2.9</v>
      </c>
      <c r="H527" t="n">
        <v>0</v>
      </c>
      <c r="I527" t="n">
        <v>0</v>
      </c>
      <c r="J527" t="n">
        <v>0</v>
      </c>
      <c r="K527" t="n">
        <v>0</v>
      </c>
      <c r="L527" t="n">
        <v>0</v>
      </c>
      <c r="M527" t="n">
        <v>0</v>
      </c>
      <c r="N527" t="n">
        <v>0</v>
      </c>
      <c r="O527" t="n">
        <v>0</v>
      </c>
      <c r="P527" t="n">
        <v>0</v>
      </c>
      <c r="Q527" t="n">
        <v>0</v>
      </c>
      <c r="R527" s="2" t="inlineStr"/>
    </row>
    <row r="528" ht="15" customHeight="1">
      <c r="A528" t="inlineStr">
        <is>
          <t>A 21833-2021</t>
        </is>
      </c>
      <c r="B528" s="1" t="n">
        <v>44316</v>
      </c>
      <c r="C528" s="1" t="n">
        <v>45668</v>
      </c>
      <c r="D528" t="inlineStr">
        <is>
          <t>JÄMTLANDS LÄN</t>
        </is>
      </c>
      <c r="E528" t="inlineStr">
        <is>
          <t>HÄRJEDALEN</t>
        </is>
      </c>
      <c r="G528" t="n">
        <v>20.2</v>
      </c>
      <c r="H528" t="n">
        <v>0</v>
      </c>
      <c r="I528" t="n">
        <v>0</v>
      </c>
      <c r="J528" t="n">
        <v>0</v>
      </c>
      <c r="K528" t="n">
        <v>0</v>
      </c>
      <c r="L528" t="n">
        <v>0</v>
      </c>
      <c r="M528" t="n">
        <v>0</v>
      </c>
      <c r="N528" t="n">
        <v>0</v>
      </c>
      <c r="O528" t="n">
        <v>0</v>
      </c>
      <c r="P528" t="n">
        <v>0</v>
      </c>
      <c r="Q528" t="n">
        <v>0</v>
      </c>
      <c r="R528" s="2" t="inlineStr"/>
    </row>
    <row r="529" ht="15" customHeight="1">
      <c r="A529" t="inlineStr">
        <is>
          <t>A 21854-2021</t>
        </is>
      </c>
      <c r="B529" s="1" t="n">
        <v>44316</v>
      </c>
      <c r="C529" s="1" t="n">
        <v>45668</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21848-2021</t>
        </is>
      </c>
      <c r="B530" s="1" t="n">
        <v>44316</v>
      </c>
      <c r="C530" s="1" t="n">
        <v>45668</v>
      </c>
      <c r="D530" t="inlineStr">
        <is>
          <t>JÄMTLANDS LÄN</t>
        </is>
      </c>
      <c r="E530" t="inlineStr">
        <is>
          <t>HÄRJEDALEN</t>
        </is>
      </c>
      <c r="G530" t="n">
        <v>19.4</v>
      </c>
      <c r="H530" t="n">
        <v>0</v>
      </c>
      <c r="I530" t="n">
        <v>0</v>
      </c>
      <c r="J530" t="n">
        <v>0</v>
      </c>
      <c r="K530" t="n">
        <v>0</v>
      </c>
      <c r="L530" t="n">
        <v>0</v>
      </c>
      <c r="M530" t="n">
        <v>0</v>
      </c>
      <c r="N530" t="n">
        <v>0</v>
      </c>
      <c r="O530" t="n">
        <v>0</v>
      </c>
      <c r="P530" t="n">
        <v>0</v>
      </c>
      <c r="Q530" t="n">
        <v>0</v>
      </c>
      <c r="R530" s="2" t="inlineStr"/>
    </row>
    <row r="531" ht="15" customHeight="1">
      <c r="A531" t="inlineStr">
        <is>
          <t>A 21699-2021</t>
        </is>
      </c>
      <c r="B531" s="1" t="n">
        <v>44316</v>
      </c>
      <c r="C531" s="1" t="n">
        <v>45668</v>
      </c>
      <c r="D531" t="inlineStr">
        <is>
          <t>JÄMTLANDS LÄN</t>
        </is>
      </c>
      <c r="E531" t="inlineStr">
        <is>
          <t>HÄRJEDALEN</t>
        </is>
      </c>
      <c r="G531" t="n">
        <v>6.8</v>
      </c>
      <c r="H531" t="n">
        <v>0</v>
      </c>
      <c r="I531" t="n">
        <v>0</v>
      </c>
      <c r="J531" t="n">
        <v>0</v>
      </c>
      <c r="K531" t="n">
        <v>0</v>
      </c>
      <c r="L531" t="n">
        <v>0</v>
      </c>
      <c r="M531" t="n">
        <v>0</v>
      </c>
      <c r="N531" t="n">
        <v>0</v>
      </c>
      <c r="O531" t="n">
        <v>0</v>
      </c>
      <c r="P531" t="n">
        <v>0</v>
      </c>
      <c r="Q531" t="n">
        <v>0</v>
      </c>
      <c r="R531" s="2" t="inlineStr"/>
    </row>
    <row r="532" ht="15" customHeight="1">
      <c r="A532" t="inlineStr">
        <is>
          <t>A 21703-2021</t>
        </is>
      </c>
      <c r="B532" s="1" t="n">
        <v>44316</v>
      </c>
      <c r="C532" s="1" t="n">
        <v>45668</v>
      </c>
      <c r="D532" t="inlineStr">
        <is>
          <t>JÄMTLANDS LÄN</t>
        </is>
      </c>
      <c r="E532" t="inlineStr">
        <is>
          <t>HÄRJEDALEN</t>
        </is>
      </c>
      <c r="G532" t="n">
        <v>11.9</v>
      </c>
      <c r="H532" t="n">
        <v>0</v>
      </c>
      <c r="I532" t="n">
        <v>0</v>
      </c>
      <c r="J532" t="n">
        <v>0</v>
      </c>
      <c r="K532" t="n">
        <v>0</v>
      </c>
      <c r="L532" t="n">
        <v>0</v>
      </c>
      <c r="M532" t="n">
        <v>0</v>
      </c>
      <c r="N532" t="n">
        <v>0</v>
      </c>
      <c r="O532" t="n">
        <v>0</v>
      </c>
      <c r="P532" t="n">
        <v>0</v>
      </c>
      <c r="Q532" t="n">
        <v>0</v>
      </c>
      <c r="R532" s="2" t="inlineStr"/>
    </row>
    <row r="533" ht="15" customHeight="1">
      <c r="A533" t="inlineStr">
        <is>
          <t>A 21843-2021</t>
        </is>
      </c>
      <c r="B533" s="1" t="n">
        <v>44316</v>
      </c>
      <c r="C533" s="1" t="n">
        <v>45668</v>
      </c>
      <c r="D533" t="inlineStr">
        <is>
          <t>JÄMTLANDS LÄN</t>
        </is>
      </c>
      <c r="E533" t="inlineStr">
        <is>
          <t>HÄRJEDALEN</t>
        </is>
      </c>
      <c r="G533" t="n">
        <v>15.1</v>
      </c>
      <c r="H533" t="n">
        <v>0</v>
      </c>
      <c r="I533" t="n">
        <v>0</v>
      </c>
      <c r="J533" t="n">
        <v>0</v>
      </c>
      <c r="K533" t="n">
        <v>0</v>
      </c>
      <c r="L533" t="n">
        <v>0</v>
      </c>
      <c r="M533" t="n">
        <v>0</v>
      </c>
      <c r="N533" t="n">
        <v>0</v>
      </c>
      <c r="O533" t="n">
        <v>0</v>
      </c>
      <c r="P533" t="n">
        <v>0</v>
      </c>
      <c r="Q533" t="n">
        <v>0</v>
      </c>
      <c r="R533" s="2" t="inlineStr"/>
    </row>
    <row r="534" ht="15" customHeight="1">
      <c r="A534" t="inlineStr">
        <is>
          <t>A 21705-2021</t>
        </is>
      </c>
      <c r="B534" s="1" t="n">
        <v>44316</v>
      </c>
      <c r="C534" s="1" t="n">
        <v>45668</v>
      </c>
      <c r="D534" t="inlineStr">
        <is>
          <t>JÄMTLANDS LÄN</t>
        </is>
      </c>
      <c r="E534" t="inlineStr">
        <is>
          <t>HÄRJEDALEN</t>
        </is>
      </c>
      <c r="G534" t="n">
        <v>6.1</v>
      </c>
      <c r="H534" t="n">
        <v>0</v>
      </c>
      <c r="I534" t="n">
        <v>0</v>
      </c>
      <c r="J534" t="n">
        <v>0</v>
      </c>
      <c r="K534" t="n">
        <v>0</v>
      </c>
      <c r="L534" t="n">
        <v>0</v>
      </c>
      <c r="M534" t="n">
        <v>0</v>
      </c>
      <c r="N534" t="n">
        <v>0</v>
      </c>
      <c r="O534" t="n">
        <v>0</v>
      </c>
      <c r="P534" t="n">
        <v>0</v>
      </c>
      <c r="Q534" t="n">
        <v>0</v>
      </c>
      <c r="R534" s="2" t="inlineStr"/>
    </row>
    <row r="535" ht="15" customHeight="1">
      <c r="A535" t="inlineStr">
        <is>
          <t>A 20804-2021</t>
        </is>
      </c>
      <c r="B535" s="1" t="n">
        <v>44316</v>
      </c>
      <c r="C535" s="1" t="n">
        <v>45668</v>
      </c>
      <c r="D535" t="inlineStr">
        <is>
          <t>JÄMTLANDS LÄN</t>
        </is>
      </c>
      <c r="E535" t="inlineStr">
        <is>
          <t>HÄRJEDALEN</t>
        </is>
      </c>
      <c r="F535" t="inlineStr">
        <is>
          <t>SCA</t>
        </is>
      </c>
      <c r="G535" t="n">
        <v>11.2</v>
      </c>
      <c r="H535" t="n">
        <v>0</v>
      </c>
      <c r="I535" t="n">
        <v>0</v>
      </c>
      <c r="J535" t="n">
        <v>0</v>
      </c>
      <c r="K535" t="n">
        <v>0</v>
      </c>
      <c r="L535" t="n">
        <v>0</v>
      </c>
      <c r="M535" t="n">
        <v>0</v>
      </c>
      <c r="N535" t="n">
        <v>0</v>
      </c>
      <c r="O535" t="n">
        <v>0</v>
      </c>
      <c r="P535" t="n">
        <v>0</v>
      </c>
      <c r="Q535" t="n">
        <v>0</v>
      </c>
      <c r="R535" s="2" t="inlineStr"/>
    </row>
    <row r="536" ht="15" customHeight="1">
      <c r="A536" t="inlineStr">
        <is>
          <t>A 21753-2021</t>
        </is>
      </c>
      <c r="B536" s="1" t="n">
        <v>44319</v>
      </c>
      <c r="C536" s="1" t="n">
        <v>45668</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21298-2021</t>
        </is>
      </c>
      <c r="B537" s="1" t="n">
        <v>44320</v>
      </c>
      <c r="C537" s="1" t="n">
        <v>45668</v>
      </c>
      <c r="D537" t="inlineStr">
        <is>
          <t>JÄMTLANDS LÄN</t>
        </is>
      </c>
      <c r="E537" t="inlineStr">
        <is>
          <t>HÄRJEDALEN</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21334-2021</t>
        </is>
      </c>
      <c r="B538" s="1" t="n">
        <v>44320</v>
      </c>
      <c r="C538" s="1" t="n">
        <v>45668</v>
      </c>
      <c r="D538" t="inlineStr">
        <is>
          <t>JÄMTLANDS LÄN</t>
        </is>
      </c>
      <c r="E538" t="inlineStr">
        <is>
          <t>HÄRJEDALEN</t>
        </is>
      </c>
      <c r="G538" t="n">
        <v>3.4</v>
      </c>
      <c r="H538" t="n">
        <v>0</v>
      </c>
      <c r="I538" t="n">
        <v>0</v>
      </c>
      <c r="J538" t="n">
        <v>0</v>
      </c>
      <c r="K538" t="n">
        <v>0</v>
      </c>
      <c r="L538" t="n">
        <v>0</v>
      </c>
      <c r="M538" t="n">
        <v>0</v>
      </c>
      <c r="N538" t="n">
        <v>0</v>
      </c>
      <c r="O538" t="n">
        <v>0</v>
      </c>
      <c r="P538" t="n">
        <v>0</v>
      </c>
      <c r="Q538" t="n">
        <v>0</v>
      </c>
      <c r="R538" s="2" t="inlineStr"/>
    </row>
    <row r="539" ht="15" customHeight="1">
      <c r="A539" t="inlineStr">
        <is>
          <t>A 21346-2021</t>
        </is>
      </c>
      <c r="B539" s="1" t="n">
        <v>44321</v>
      </c>
      <c r="C539" s="1" t="n">
        <v>45668</v>
      </c>
      <c r="D539" t="inlineStr">
        <is>
          <t>JÄMTLANDS LÄN</t>
        </is>
      </c>
      <c r="E539" t="inlineStr">
        <is>
          <t>HÄRJEDALEN</t>
        </is>
      </c>
      <c r="G539" t="n">
        <v>9.9</v>
      </c>
      <c r="H539" t="n">
        <v>0</v>
      </c>
      <c r="I539" t="n">
        <v>0</v>
      </c>
      <c r="J539" t="n">
        <v>0</v>
      </c>
      <c r="K539" t="n">
        <v>0</v>
      </c>
      <c r="L539" t="n">
        <v>0</v>
      </c>
      <c r="M539" t="n">
        <v>0</v>
      </c>
      <c r="N539" t="n">
        <v>0</v>
      </c>
      <c r="O539" t="n">
        <v>0</v>
      </c>
      <c r="P539" t="n">
        <v>0</v>
      </c>
      <c r="Q539" t="n">
        <v>0</v>
      </c>
      <c r="R539" s="2" t="inlineStr"/>
    </row>
    <row r="540" ht="15" customHeight="1">
      <c r="A540" t="inlineStr">
        <is>
          <t>A 21661-2021</t>
        </is>
      </c>
      <c r="B540" s="1" t="n">
        <v>44322</v>
      </c>
      <c r="C540" s="1" t="n">
        <v>45668</v>
      </c>
      <c r="D540" t="inlineStr">
        <is>
          <t>JÄMTLANDS LÄN</t>
        </is>
      </c>
      <c r="E540" t="inlineStr">
        <is>
          <t>HÄRJEDALEN</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22160-2021</t>
        </is>
      </c>
      <c r="B541" s="1" t="n">
        <v>44325</v>
      </c>
      <c r="C541" s="1" t="n">
        <v>45668</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23869-2021</t>
        </is>
      </c>
      <c r="B542" s="1" t="n">
        <v>44335</v>
      </c>
      <c r="C542" s="1" t="n">
        <v>45668</v>
      </c>
      <c r="D542" t="inlineStr">
        <is>
          <t>JÄMTLANDS LÄN</t>
        </is>
      </c>
      <c r="E542" t="inlineStr">
        <is>
          <t>HÄRJEDALEN</t>
        </is>
      </c>
      <c r="G542" t="n">
        <v>15.3</v>
      </c>
      <c r="H542" t="n">
        <v>0</v>
      </c>
      <c r="I542" t="n">
        <v>0</v>
      </c>
      <c r="J542" t="n">
        <v>0</v>
      </c>
      <c r="K542" t="n">
        <v>0</v>
      </c>
      <c r="L542" t="n">
        <v>0</v>
      </c>
      <c r="M542" t="n">
        <v>0</v>
      </c>
      <c r="N542" t="n">
        <v>0</v>
      </c>
      <c r="O542" t="n">
        <v>0</v>
      </c>
      <c r="P542" t="n">
        <v>0</v>
      </c>
      <c r="Q542" t="n">
        <v>0</v>
      </c>
      <c r="R542" s="2" t="inlineStr"/>
    </row>
    <row r="543" ht="15" customHeight="1">
      <c r="A543" t="inlineStr">
        <is>
          <t>A 25444-2021</t>
        </is>
      </c>
      <c r="B543" s="1" t="n">
        <v>44342</v>
      </c>
      <c r="C543" s="1" t="n">
        <v>45668</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26167-2021</t>
        </is>
      </c>
      <c r="B544" s="1" t="n">
        <v>44344</v>
      </c>
      <c r="C544" s="1" t="n">
        <v>45668</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26656-2021</t>
        </is>
      </c>
      <c r="B545" s="1" t="n">
        <v>44348</v>
      </c>
      <c r="C545" s="1" t="n">
        <v>45668</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28446-2021</t>
        </is>
      </c>
      <c r="B546" s="1" t="n">
        <v>44356</v>
      </c>
      <c r="C546" s="1" t="n">
        <v>45668</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28693-2021</t>
        </is>
      </c>
      <c r="B547" s="1" t="n">
        <v>44357</v>
      </c>
      <c r="C547" s="1" t="n">
        <v>45668</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29284-2021</t>
        </is>
      </c>
      <c r="B548" s="1" t="n">
        <v>44361</v>
      </c>
      <c r="C548" s="1" t="n">
        <v>45668</v>
      </c>
      <c r="D548" t="inlineStr">
        <is>
          <t>JÄMTLANDS LÄN</t>
        </is>
      </c>
      <c r="E548" t="inlineStr">
        <is>
          <t>HÄRJEDALEN</t>
        </is>
      </c>
      <c r="F548" t="inlineStr">
        <is>
          <t>Holmen skog AB</t>
        </is>
      </c>
      <c r="G548" t="n">
        <v>10.5</v>
      </c>
      <c r="H548" t="n">
        <v>0</v>
      </c>
      <c r="I548" t="n">
        <v>0</v>
      </c>
      <c r="J548" t="n">
        <v>0</v>
      </c>
      <c r="K548" t="n">
        <v>0</v>
      </c>
      <c r="L548" t="n">
        <v>0</v>
      </c>
      <c r="M548" t="n">
        <v>0</v>
      </c>
      <c r="N548" t="n">
        <v>0</v>
      </c>
      <c r="O548" t="n">
        <v>0</v>
      </c>
      <c r="P548" t="n">
        <v>0</v>
      </c>
      <c r="Q548" t="n">
        <v>0</v>
      </c>
      <c r="R548" s="2" t="inlineStr"/>
    </row>
    <row r="549" ht="15" customHeight="1">
      <c r="A549" t="inlineStr">
        <is>
          <t>A 29372-2021</t>
        </is>
      </c>
      <c r="B549" s="1" t="n">
        <v>44361</v>
      </c>
      <c r="C549" s="1" t="n">
        <v>45668</v>
      </c>
      <c r="D549" t="inlineStr">
        <is>
          <t>JÄMTLANDS LÄN</t>
        </is>
      </c>
      <c r="E549" t="inlineStr">
        <is>
          <t>HÄRJEDALEN</t>
        </is>
      </c>
      <c r="F549" t="inlineStr">
        <is>
          <t>Holmen skog AB</t>
        </is>
      </c>
      <c r="G549" t="n">
        <v>5.9</v>
      </c>
      <c r="H549" t="n">
        <v>0</v>
      </c>
      <c r="I549" t="n">
        <v>0</v>
      </c>
      <c r="J549" t="n">
        <v>0</v>
      </c>
      <c r="K549" t="n">
        <v>0</v>
      </c>
      <c r="L549" t="n">
        <v>0</v>
      </c>
      <c r="M549" t="n">
        <v>0</v>
      </c>
      <c r="N549" t="n">
        <v>0</v>
      </c>
      <c r="O549" t="n">
        <v>0</v>
      </c>
      <c r="P549" t="n">
        <v>0</v>
      </c>
      <c r="Q549" t="n">
        <v>0</v>
      </c>
      <c r="R549" s="2" t="inlineStr"/>
    </row>
    <row r="550" ht="15" customHeight="1">
      <c r="A550" t="inlineStr">
        <is>
          <t>A 29452-2021</t>
        </is>
      </c>
      <c r="B550" s="1" t="n">
        <v>44361</v>
      </c>
      <c r="C550" s="1" t="n">
        <v>45668</v>
      </c>
      <c r="D550" t="inlineStr">
        <is>
          <t>JÄMTLANDS LÄN</t>
        </is>
      </c>
      <c r="E550" t="inlineStr">
        <is>
          <t>HÄRJEDALEN</t>
        </is>
      </c>
      <c r="F550" t="inlineStr">
        <is>
          <t>Holmen skog AB</t>
        </is>
      </c>
      <c r="G550" t="n">
        <v>6.9</v>
      </c>
      <c r="H550" t="n">
        <v>0</v>
      </c>
      <c r="I550" t="n">
        <v>0</v>
      </c>
      <c r="J550" t="n">
        <v>0</v>
      </c>
      <c r="K550" t="n">
        <v>0</v>
      </c>
      <c r="L550" t="n">
        <v>0</v>
      </c>
      <c r="M550" t="n">
        <v>0</v>
      </c>
      <c r="N550" t="n">
        <v>0</v>
      </c>
      <c r="O550" t="n">
        <v>0</v>
      </c>
      <c r="P550" t="n">
        <v>0</v>
      </c>
      <c r="Q550" t="n">
        <v>0</v>
      </c>
      <c r="R550" s="2" t="inlineStr"/>
    </row>
    <row r="551" ht="15" customHeight="1">
      <c r="A551" t="inlineStr">
        <is>
          <t>A 29581-2021</t>
        </is>
      </c>
      <c r="B551" s="1" t="n">
        <v>44361</v>
      </c>
      <c r="C551" s="1" t="n">
        <v>45668</v>
      </c>
      <c r="D551" t="inlineStr">
        <is>
          <t>JÄMTLANDS LÄN</t>
        </is>
      </c>
      <c r="E551" t="inlineStr">
        <is>
          <t>HÄRJEDALEN</t>
        </is>
      </c>
      <c r="G551" t="n">
        <v>50.9</v>
      </c>
      <c r="H551" t="n">
        <v>0</v>
      </c>
      <c r="I551" t="n">
        <v>0</v>
      </c>
      <c r="J551" t="n">
        <v>0</v>
      </c>
      <c r="K551" t="n">
        <v>0</v>
      </c>
      <c r="L551" t="n">
        <v>0</v>
      </c>
      <c r="M551" t="n">
        <v>0</v>
      </c>
      <c r="N551" t="n">
        <v>0</v>
      </c>
      <c r="O551" t="n">
        <v>0</v>
      </c>
      <c r="P551" t="n">
        <v>0</v>
      </c>
      <c r="Q551" t="n">
        <v>0</v>
      </c>
      <c r="R551" s="2" t="inlineStr"/>
    </row>
    <row r="552" ht="15" customHeight="1">
      <c r="A552" t="inlineStr">
        <is>
          <t>A 29585-2021</t>
        </is>
      </c>
      <c r="B552" s="1" t="n">
        <v>44361</v>
      </c>
      <c r="C552" s="1" t="n">
        <v>45668</v>
      </c>
      <c r="D552" t="inlineStr">
        <is>
          <t>JÄMTLANDS LÄN</t>
        </is>
      </c>
      <c r="E552" t="inlineStr">
        <is>
          <t>HÄRJEDALEN</t>
        </is>
      </c>
      <c r="G552" t="n">
        <v>3.4</v>
      </c>
      <c r="H552" t="n">
        <v>0</v>
      </c>
      <c r="I552" t="n">
        <v>0</v>
      </c>
      <c r="J552" t="n">
        <v>0</v>
      </c>
      <c r="K552" t="n">
        <v>0</v>
      </c>
      <c r="L552" t="n">
        <v>0</v>
      </c>
      <c r="M552" t="n">
        <v>0</v>
      </c>
      <c r="N552" t="n">
        <v>0</v>
      </c>
      <c r="O552" t="n">
        <v>0</v>
      </c>
      <c r="P552" t="n">
        <v>0</v>
      </c>
      <c r="Q552" t="n">
        <v>0</v>
      </c>
      <c r="R552" s="2" t="inlineStr"/>
    </row>
    <row r="553" ht="15" customHeight="1">
      <c r="A553" t="inlineStr">
        <is>
          <t>A 30302-2021</t>
        </is>
      </c>
      <c r="B553" s="1" t="n">
        <v>44364</v>
      </c>
      <c r="C553" s="1" t="n">
        <v>45668</v>
      </c>
      <c r="D553" t="inlineStr">
        <is>
          <t>JÄMTLANDS LÄN</t>
        </is>
      </c>
      <c r="E553" t="inlineStr">
        <is>
          <t>HÄRJEDALEN</t>
        </is>
      </c>
      <c r="F553" t="inlineStr">
        <is>
          <t>Holmen skog AB</t>
        </is>
      </c>
      <c r="G553" t="n">
        <v>6</v>
      </c>
      <c r="H553" t="n">
        <v>0</v>
      </c>
      <c r="I553" t="n">
        <v>0</v>
      </c>
      <c r="J553" t="n">
        <v>0</v>
      </c>
      <c r="K553" t="n">
        <v>0</v>
      </c>
      <c r="L553" t="n">
        <v>0</v>
      </c>
      <c r="M553" t="n">
        <v>0</v>
      </c>
      <c r="N553" t="n">
        <v>0</v>
      </c>
      <c r="O553" t="n">
        <v>0</v>
      </c>
      <c r="P553" t="n">
        <v>0</v>
      </c>
      <c r="Q553" t="n">
        <v>0</v>
      </c>
      <c r="R553" s="2" t="inlineStr"/>
    </row>
    <row r="554" ht="15" customHeight="1">
      <c r="A554" t="inlineStr">
        <is>
          <t>A 30323-2021</t>
        </is>
      </c>
      <c r="B554" s="1" t="n">
        <v>44364</v>
      </c>
      <c r="C554" s="1" t="n">
        <v>45668</v>
      </c>
      <c r="D554" t="inlineStr">
        <is>
          <t>JÄMTLANDS LÄN</t>
        </is>
      </c>
      <c r="E554" t="inlineStr">
        <is>
          <t>HÄRJEDALEN</t>
        </is>
      </c>
      <c r="F554" t="inlineStr">
        <is>
          <t>Holmen skog AB</t>
        </is>
      </c>
      <c r="G554" t="n">
        <v>11.2</v>
      </c>
      <c r="H554" t="n">
        <v>0</v>
      </c>
      <c r="I554" t="n">
        <v>0</v>
      </c>
      <c r="J554" t="n">
        <v>0</v>
      </c>
      <c r="K554" t="n">
        <v>0</v>
      </c>
      <c r="L554" t="n">
        <v>0</v>
      </c>
      <c r="M554" t="n">
        <v>0</v>
      </c>
      <c r="N554" t="n">
        <v>0</v>
      </c>
      <c r="O554" t="n">
        <v>0</v>
      </c>
      <c r="P554" t="n">
        <v>0</v>
      </c>
      <c r="Q554" t="n">
        <v>0</v>
      </c>
      <c r="R554" s="2" t="inlineStr"/>
    </row>
    <row r="555" ht="15" customHeight="1">
      <c r="A555" t="inlineStr">
        <is>
          <t>A 30315-2021</t>
        </is>
      </c>
      <c r="B555" s="1" t="n">
        <v>44364</v>
      </c>
      <c r="C555" s="1" t="n">
        <v>45668</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30311-2021</t>
        </is>
      </c>
      <c r="B556" s="1" t="n">
        <v>44364</v>
      </c>
      <c r="C556" s="1" t="n">
        <v>45668</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30321-2021</t>
        </is>
      </c>
      <c r="B557" s="1" t="n">
        <v>44364</v>
      </c>
      <c r="C557" s="1" t="n">
        <v>45668</v>
      </c>
      <c r="D557" t="inlineStr">
        <is>
          <t>JÄMTLANDS LÄN</t>
        </is>
      </c>
      <c r="E557" t="inlineStr">
        <is>
          <t>HÄRJEDALEN</t>
        </is>
      </c>
      <c r="F557" t="inlineStr">
        <is>
          <t>Holmen skog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30317-2021</t>
        </is>
      </c>
      <c r="B558" s="1" t="n">
        <v>44364</v>
      </c>
      <c r="C558" s="1" t="n">
        <v>45668</v>
      </c>
      <c r="D558" t="inlineStr">
        <is>
          <t>JÄMTLANDS LÄN</t>
        </is>
      </c>
      <c r="E558" t="inlineStr">
        <is>
          <t>HÄRJEDALEN</t>
        </is>
      </c>
      <c r="F558" t="inlineStr">
        <is>
          <t>Holmen skog AB</t>
        </is>
      </c>
      <c r="G558" t="n">
        <v>8.4</v>
      </c>
      <c r="H558" t="n">
        <v>0</v>
      </c>
      <c r="I558" t="n">
        <v>0</v>
      </c>
      <c r="J558" t="n">
        <v>0</v>
      </c>
      <c r="K558" t="n">
        <v>0</v>
      </c>
      <c r="L558" t="n">
        <v>0</v>
      </c>
      <c r="M558" t="n">
        <v>0</v>
      </c>
      <c r="N558" t="n">
        <v>0</v>
      </c>
      <c r="O558" t="n">
        <v>0</v>
      </c>
      <c r="P558" t="n">
        <v>0</v>
      </c>
      <c r="Q558" t="n">
        <v>0</v>
      </c>
      <c r="R558" s="2" t="inlineStr"/>
    </row>
    <row r="559" ht="15" customHeight="1">
      <c r="A559" t="inlineStr">
        <is>
          <t>A 30684-2021</t>
        </is>
      </c>
      <c r="B559" s="1" t="n">
        <v>44365</v>
      </c>
      <c r="C559" s="1" t="n">
        <v>45668</v>
      </c>
      <c r="D559" t="inlineStr">
        <is>
          <t>JÄMTLANDS LÄN</t>
        </is>
      </c>
      <c r="E559" t="inlineStr">
        <is>
          <t>HÄRJEDALEN</t>
        </is>
      </c>
      <c r="G559" t="n">
        <v>4</v>
      </c>
      <c r="H559" t="n">
        <v>0</v>
      </c>
      <c r="I559" t="n">
        <v>0</v>
      </c>
      <c r="J559" t="n">
        <v>0</v>
      </c>
      <c r="K559" t="n">
        <v>0</v>
      </c>
      <c r="L559" t="n">
        <v>0</v>
      </c>
      <c r="M559" t="n">
        <v>0</v>
      </c>
      <c r="N559" t="n">
        <v>0</v>
      </c>
      <c r="O559" t="n">
        <v>0</v>
      </c>
      <c r="P559" t="n">
        <v>0</v>
      </c>
      <c r="Q559" t="n">
        <v>0</v>
      </c>
      <c r="R559" s="2" t="inlineStr"/>
    </row>
    <row r="560" ht="15" customHeight="1">
      <c r="A560" t="inlineStr">
        <is>
          <t>A 31212-2021</t>
        </is>
      </c>
      <c r="B560" s="1" t="n">
        <v>44368</v>
      </c>
      <c r="C560" s="1" t="n">
        <v>45668</v>
      </c>
      <c r="D560" t="inlineStr">
        <is>
          <t>JÄMTLANDS LÄN</t>
        </is>
      </c>
      <c r="E560" t="inlineStr">
        <is>
          <t>HÄRJEDALEN</t>
        </is>
      </c>
      <c r="G560" t="n">
        <v>5.5</v>
      </c>
      <c r="H560" t="n">
        <v>0</v>
      </c>
      <c r="I560" t="n">
        <v>0</v>
      </c>
      <c r="J560" t="n">
        <v>0</v>
      </c>
      <c r="K560" t="n">
        <v>0</v>
      </c>
      <c r="L560" t="n">
        <v>0</v>
      </c>
      <c r="M560" t="n">
        <v>0</v>
      </c>
      <c r="N560" t="n">
        <v>0</v>
      </c>
      <c r="O560" t="n">
        <v>0</v>
      </c>
      <c r="P560" t="n">
        <v>0</v>
      </c>
      <c r="Q560" t="n">
        <v>0</v>
      </c>
      <c r="R560" s="2" t="inlineStr"/>
    </row>
    <row r="561" ht="15" customHeight="1">
      <c r="A561" t="inlineStr">
        <is>
          <t>A 33424-2021</t>
        </is>
      </c>
      <c r="B561" s="1" t="n">
        <v>44377</v>
      </c>
      <c r="C561" s="1" t="n">
        <v>45668</v>
      </c>
      <c r="D561" t="inlineStr">
        <is>
          <t>JÄMTLANDS LÄN</t>
        </is>
      </c>
      <c r="E561" t="inlineStr">
        <is>
          <t>HÄRJEDALEN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34453-2021</t>
        </is>
      </c>
      <c r="B562" s="1" t="n">
        <v>44381</v>
      </c>
      <c r="C562" s="1" t="n">
        <v>45668</v>
      </c>
      <c r="D562" t="inlineStr">
        <is>
          <t>JÄMTLANDS LÄN</t>
        </is>
      </c>
      <c r="E562" t="inlineStr">
        <is>
          <t>HÄRJEDALEN</t>
        </is>
      </c>
      <c r="G562" t="n">
        <v>12.7</v>
      </c>
      <c r="H562" t="n">
        <v>0</v>
      </c>
      <c r="I562" t="n">
        <v>0</v>
      </c>
      <c r="J562" t="n">
        <v>0</v>
      </c>
      <c r="K562" t="n">
        <v>0</v>
      </c>
      <c r="L562" t="n">
        <v>0</v>
      </c>
      <c r="M562" t="n">
        <v>0</v>
      </c>
      <c r="N562" t="n">
        <v>0</v>
      </c>
      <c r="O562" t="n">
        <v>0</v>
      </c>
      <c r="P562" t="n">
        <v>0</v>
      </c>
      <c r="Q562" t="n">
        <v>0</v>
      </c>
      <c r="R562" s="2" t="inlineStr"/>
    </row>
    <row r="563" ht="15" customHeight="1">
      <c r="A563" t="inlineStr">
        <is>
          <t>A 35194-2021</t>
        </is>
      </c>
      <c r="B563" s="1" t="n">
        <v>44384</v>
      </c>
      <c r="C563" s="1" t="n">
        <v>45668</v>
      </c>
      <c r="D563" t="inlineStr">
        <is>
          <t>JÄMTLANDS LÄN</t>
        </is>
      </c>
      <c r="E563" t="inlineStr">
        <is>
          <t>HÄRJEDALEN</t>
        </is>
      </c>
      <c r="G563" t="n">
        <v>46.4</v>
      </c>
      <c r="H563" t="n">
        <v>0</v>
      </c>
      <c r="I563" t="n">
        <v>0</v>
      </c>
      <c r="J563" t="n">
        <v>0</v>
      </c>
      <c r="K563" t="n">
        <v>0</v>
      </c>
      <c r="L563" t="n">
        <v>0</v>
      </c>
      <c r="M563" t="n">
        <v>0</v>
      </c>
      <c r="N563" t="n">
        <v>0</v>
      </c>
      <c r="O563" t="n">
        <v>0</v>
      </c>
      <c r="P563" t="n">
        <v>0</v>
      </c>
      <c r="Q563" t="n">
        <v>0</v>
      </c>
      <c r="R563" s="2" t="inlineStr"/>
    </row>
    <row r="564" ht="15" customHeight="1">
      <c r="A564" t="inlineStr">
        <is>
          <t>A 35532-2021</t>
        </is>
      </c>
      <c r="B564" s="1" t="n">
        <v>44385</v>
      </c>
      <c r="C564" s="1" t="n">
        <v>45668</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35572-2021</t>
        </is>
      </c>
      <c r="B565" s="1" t="n">
        <v>44386</v>
      </c>
      <c r="C565" s="1" t="n">
        <v>45668</v>
      </c>
      <c r="D565" t="inlineStr">
        <is>
          <t>JÄMTLANDS LÄN</t>
        </is>
      </c>
      <c r="E565" t="inlineStr">
        <is>
          <t>HÄRJEDALEN</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35573-2021</t>
        </is>
      </c>
      <c r="B566" s="1" t="n">
        <v>44386</v>
      </c>
      <c r="C566" s="1" t="n">
        <v>45668</v>
      </c>
      <c r="D566" t="inlineStr">
        <is>
          <t>JÄMTLANDS LÄN</t>
        </is>
      </c>
      <c r="E566" t="inlineStr">
        <is>
          <t>HÄRJEDALEN</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36235-2021</t>
        </is>
      </c>
      <c r="B567" s="1" t="n">
        <v>44389</v>
      </c>
      <c r="C567" s="1" t="n">
        <v>45668</v>
      </c>
      <c r="D567" t="inlineStr">
        <is>
          <t>JÄMTLANDS LÄN</t>
        </is>
      </c>
      <c r="E567" t="inlineStr">
        <is>
          <t>HÄRJEDALEN</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37155-2021</t>
        </is>
      </c>
      <c r="B568" s="1" t="n">
        <v>44396</v>
      </c>
      <c r="C568" s="1" t="n">
        <v>45668</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37832-2021</t>
        </is>
      </c>
      <c r="B569" s="1" t="n">
        <v>44403</v>
      </c>
      <c r="C569" s="1" t="n">
        <v>45668</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37825-2021</t>
        </is>
      </c>
      <c r="B570" s="1" t="n">
        <v>44403</v>
      </c>
      <c r="C570" s="1" t="n">
        <v>45668</v>
      </c>
      <c r="D570" t="inlineStr">
        <is>
          <t>JÄMTLANDS LÄN</t>
        </is>
      </c>
      <c r="E570" t="inlineStr">
        <is>
          <t>HÄRJEDALEN</t>
        </is>
      </c>
      <c r="G570" t="n">
        <v>0.1</v>
      </c>
      <c r="H570" t="n">
        <v>0</v>
      </c>
      <c r="I570" t="n">
        <v>0</v>
      </c>
      <c r="J570" t="n">
        <v>0</v>
      </c>
      <c r="K570" t="n">
        <v>0</v>
      </c>
      <c r="L570" t="n">
        <v>0</v>
      </c>
      <c r="M570" t="n">
        <v>0</v>
      </c>
      <c r="N570" t="n">
        <v>0</v>
      </c>
      <c r="O570" t="n">
        <v>0</v>
      </c>
      <c r="P570" t="n">
        <v>0</v>
      </c>
      <c r="Q570" t="n">
        <v>0</v>
      </c>
      <c r="R570" s="2" t="inlineStr"/>
    </row>
    <row r="571" ht="15" customHeight="1">
      <c r="A571" t="inlineStr">
        <is>
          <t>A 38001-2021</t>
        </is>
      </c>
      <c r="B571" s="1" t="n">
        <v>44404</v>
      </c>
      <c r="C571" s="1" t="n">
        <v>45668</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38215-2021</t>
        </is>
      </c>
      <c r="B572" s="1" t="n">
        <v>44405</v>
      </c>
      <c r="C572" s="1" t="n">
        <v>45668</v>
      </c>
      <c r="D572" t="inlineStr">
        <is>
          <t>JÄMTLANDS LÄN</t>
        </is>
      </c>
      <c r="E572" t="inlineStr">
        <is>
          <t>HÄRJEDALEN</t>
        </is>
      </c>
      <c r="F572" t="inlineStr">
        <is>
          <t>Övriga Aktiebolag</t>
        </is>
      </c>
      <c r="G572" t="n">
        <v>6.4</v>
      </c>
      <c r="H572" t="n">
        <v>0</v>
      </c>
      <c r="I572" t="n">
        <v>0</v>
      </c>
      <c r="J572" t="n">
        <v>0</v>
      </c>
      <c r="K572" t="n">
        <v>0</v>
      </c>
      <c r="L572" t="n">
        <v>0</v>
      </c>
      <c r="M572" t="n">
        <v>0</v>
      </c>
      <c r="N572" t="n">
        <v>0</v>
      </c>
      <c r="O572" t="n">
        <v>0</v>
      </c>
      <c r="P572" t="n">
        <v>0</v>
      </c>
      <c r="Q572" t="n">
        <v>0</v>
      </c>
      <c r="R572" s="2" t="inlineStr"/>
    </row>
    <row r="573" ht="15" customHeight="1">
      <c r="A573" t="inlineStr">
        <is>
          <t>A 38356-2021</t>
        </is>
      </c>
      <c r="B573" s="1" t="n">
        <v>44406</v>
      </c>
      <c r="C573" s="1" t="n">
        <v>45668</v>
      </c>
      <c r="D573" t="inlineStr">
        <is>
          <t>JÄMTLANDS LÄN</t>
        </is>
      </c>
      <c r="E573" t="inlineStr">
        <is>
          <t>HÄRJEDALEN</t>
        </is>
      </c>
      <c r="G573" t="n">
        <v>5.4</v>
      </c>
      <c r="H573" t="n">
        <v>0</v>
      </c>
      <c r="I573" t="n">
        <v>0</v>
      </c>
      <c r="J573" t="n">
        <v>0</v>
      </c>
      <c r="K573" t="n">
        <v>0</v>
      </c>
      <c r="L573" t="n">
        <v>0</v>
      </c>
      <c r="M573" t="n">
        <v>0</v>
      </c>
      <c r="N573" t="n">
        <v>0</v>
      </c>
      <c r="O573" t="n">
        <v>0</v>
      </c>
      <c r="P573" t="n">
        <v>0</v>
      </c>
      <c r="Q573" t="n">
        <v>0</v>
      </c>
      <c r="R573" s="2" t="inlineStr"/>
    </row>
    <row r="574" ht="15" customHeight="1">
      <c r="A574" t="inlineStr">
        <is>
          <t>A 38794-2021</t>
        </is>
      </c>
      <c r="B574" s="1" t="n">
        <v>44410</v>
      </c>
      <c r="C574" s="1" t="n">
        <v>45668</v>
      </c>
      <c r="D574" t="inlineStr">
        <is>
          <t>JÄMTLANDS LÄN</t>
        </is>
      </c>
      <c r="E574" t="inlineStr">
        <is>
          <t>HÄRJEDALEN</t>
        </is>
      </c>
      <c r="G574" t="n">
        <v>4.2</v>
      </c>
      <c r="H574" t="n">
        <v>0</v>
      </c>
      <c r="I574" t="n">
        <v>0</v>
      </c>
      <c r="J574" t="n">
        <v>0</v>
      </c>
      <c r="K574" t="n">
        <v>0</v>
      </c>
      <c r="L574" t="n">
        <v>0</v>
      </c>
      <c r="M574" t="n">
        <v>0</v>
      </c>
      <c r="N574" t="n">
        <v>0</v>
      </c>
      <c r="O574" t="n">
        <v>0</v>
      </c>
      <c r="P574" t="n">
        <v>0</v>
      </c>
      <c r="Q574" t="n">
        <v>0</v>
      </c>
      <c r="R574" s="2" t="inlineStr"/>
    </row>
    <row r="575" ht="15" customHeight="1">
      <c r="A575" t="inlineStr">
        <is>
          <t>A 39321-2021</t>
        </is>
      </c>
      <c r="B575" s="1" t="n">
        <v>44413</v>
      </c>
      <c r="C575" s="1" t="n">
        <v>45668</v>
      </c>
      <c r="D575" t="inlineStr">
        <is>
          <t>JÄMTLANDS LÄN</t>
        </is>
      </c>
      <c r="E575" t="inlineStr">
        <is>
          <t>HÄRJEDALEN</t>
        </is>
      </c>
      <c r="G575" t="n">
        <v>3.6</v>
      </c>
      <c r="H575" t="n">
        <v>0</v>
      </c>
      <c r="I575" t="n">
        <v>0</v>
      </c>
      <c r="J575" t="n">
        <v>0</v>
      </c>
      <c r="K575" t="n">
        <v>0</v>
      </c>
      <c r="L575" t="n">
        <v>0</v>
      </c>
      <c r="M575" t="n">
        <v>0</v>
      </c>
      <c r="N575" t="n">
        <v>0</v>
      </c>
      <c r="O575" t="n">
        <v>0</v>
      </c>
      <c r="P575" t="n">
        <v>0</v>
      </c>
      <c r="Q575" t="n">
        <v>0</v>
      </c>
      <c r="R575" s="2" t="inlineStr"/>
    </row>
    <row r="576" ht="15" customHeight="1">
      <c r="A576" t="inlineStr">
        <is>
          <t>A 39493-2021</t>
        </is>
      </c>
      <c r="B576" s="1" t="n">
        <v>44414</v>
      </c>
      <c r="C576" s="1" t="n">
        <v>45668</v>
      </c>
      <c r="D576" t="inlineStr">
        <is>
          <t>JÄMTLANDS LÄN</t>
        </is>
      </c>
      <c r="E576" t="inlineStr">
        <is>
          <t>HÄRJEDALEN</t>
        </is>
      </c>
      <c r="G576" t="n">
        <v>13.5</v>
      </c>
      <c r="H576" t="n">
        <v>0</v>
      </c>
      <c r="I576" t="n">
        <v>0</v>
      </c>
      <c r="J576" t="n">
        <v>0</v>
      </c>
      <c r="K576" t="n">
        <v>0</v>
      </c>
      <c r="L576" t="n">
        <v>0</v>
      </c>
      <c r="M576" t="n">
        <v>0</v>
      </c>
      <c r="N576" t="n">
        <v>0</v>
      </c>
      <c r="O576" t="n">
        <v>0</v>
      </c>
      <c r="P576" t="n">
        <v>0</v>
      </c>
      <c r="Q576" t="n">
        <v>0</v>
      </c>
      <c r="R576" s="2" t="inlineStr"/>
    </row>
    <row r="577" ht="15" customHeight="1">
      <c r="A577" t="inlineStr">
        <is>
          <t>A 39492-2021</t>
        </is>
      </c>
      <c r="B577" s="1" t="n">
        <v>44414</v>
      </c>
      <c r="C577" s="1" t="n">
        <v>45668</v>
      </c>
      <c r="D577" t="inlineStr">
        <is>
          <t>JÄMTLANDS LÄN</t>
        </is>
      </c>
      <c r="E577" t="inlineStr">
        <is>
          <t>HÄRJEDALEN</t>
        </is>
      </c>
      <c r="G577" t="n">
        <v>28.3</v>
      </c>
      <c r="H577" t="n">
        <v>0</v>
      </c>
      <c r="I577" t="n">
        <v>0</v>
      </c>
      <c r="J577" t="n">
        <v>0</v>
      </c>
      <c r="K577" t="n">
        <v>0</v>
      </c>
      <c r="L577" t="n">
        <v>0</v>
      </c>
      <c r="M577" t="n">
        <v>0</v>
      </c>
      <c r="N577" t="n">
        <v>0</v>
      </c>
      <c r="O577" t="n">
        <v>0</v>
      </c>
      <c r="P577" t="n">
        <v>0</v>
      </c>
      <c r="Q577" t="n">
        <v>0</v>
      </c>
      <c r="R577" s="2" t="inlineStr"/>
    </row>
    <row r="578" ht="15" customHeight="1">
      <c r="A578" t="inlineStr">
        <is>
          <t>A 39610-2021</t>
        </is>
      </c>
      <c r="B578" s="1" t="n">
        <v>44417</v>
      </c>
      <c r="C578" s="1" t="n">
        <v>45668</v>
      </c>
      <c r="D578" t="inlineStr">
        <is>
          <t>JÄMTLANDS LÄN</t>
        </is>
      </c>
      <c r="E578" t="inlineStr">
        <is>
          <t>HÄRJEDALEN</t>
        </is>
      </c>
      <c r="G578" t="n">
        <v>5.1</v>
      </c>
      <c r="H578" t="n">
        <v>0</v>
      </c>
      <c r="I578" t="n">
        <v>0</v>
      </c>
      <c r="J578" t="n">
        <v>0</v>
      </c>
      <c r="K578" t="n">
        <v>0</v>
      </c>
      <c r="L578" t="n">
        <v>0</v>
      </c>
      <c r="M578" t="n">
        <v>0</v>
      </c>
      <c r="N578" t="n">
        <v>0</v>
      </c>
      <c r="O578" t="n">
        <v>0</v>
      </c>
      <c r="P578" t="n">
        <v>0</v>
      </c>
      <c r="Q578" t="n">
        <v>0</v>
      </c>
      <c r="R578" s="2" t="inlineStr"/>
    </row>
    <row r="579" ht="15" customHeight="1">
      <c r="A579" t="inlineStr">
        <is>
          <t>A 39616-2021</t>
        </is>
      </c>
      <c r="B579" s="1" t="n">
        <v>44417</v>
      </c>
      <c r="C579" s="1" t="n">
        <v>45668</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39611-2021</t>
        </is>
      </c>
      <c r="B580" s="1" t="n">
        <v>44417</v>
      </c>
      <c r="C580" s="1" t="n">
        <v>45668</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39631-2021</t>
        </is>
      </c>
      <c r="B581" s="1" t="n">
        <v>44417</v>
      </c>
      <c r="C581" s="1" t="n">
        <v>45668</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39618-2021</t>
        </is>
      </c>
      <c r="B582" s="1" t="n">
        <v>44417</v>
      </c>
      <c r="C582" s="1" t="n">
        <v>45668</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39979-2021</t>
        </is>
      </c>
      <c r="B583" s="1" t="n">
        <v>44418</v>
      </c>
      <c r="C583" s="1" t="n">
        <v>45668</v>
      </c>
      <c r="D583" t="inlineStr">
        <is>
          <t>JÄMTLANDS LÄN</t>
        </is>
      </c>
      <c r="E583" t="inlineStr">
        <is>
          <t>HÄRJEDALEN</t>
        </is>
      </c>
      <c r="G583" t="n">
        <v>9</v>
      </c>
      <c r="H583" t="n">
        <v>0</v>
      </c>
      <c r="I583" t="n">
        <v>0</v>
      </c>
      <c r="J583" t="n">
        <v>0</v>
      </c>
      <c r="K583" t="n">
        <v>0</v>
      </c>
      <c r="L583" t="n">
        <v>0</v>
      </c>
      <c r="M583" t="n">
        <v>0</v>
      </c>
      <c r="N583" t="n">
        <v>0</v>
      </c>
      <c r="O583" t="n">
        <v>0</v>
      </c>
      <c r="P583" t="n">
        <v>0</v>
      </c>
      <c r="Q583" t="n">
        <v>0</v>
      </c>
      <c r="R583" s="2" t="inlineStr"/>
    </row>
    <row r="584" ht="15" customHeight="1">
      <c r="A584" t="inlineStr">
        <is>
          <t>A 39951-2021</t>
        </is>
      </c>
      <c r="B584" s="1" t="n">
        <v>44418</v>
      </c>
      <c r="C584" s="1" t="n">
        <v>45668</v>
      </c>
      <c r="D584" t="inlineStr">
        <is>
          <t>JÄMTLANDS LÄN</t>
        </is>
      </c>
      <c r="E584" t="inlineStr">
        <is>
          <t>HÄRJEDALEN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39950-2021</t>
        </is>
      </c>
      <c r="B585" s="1" t="n">
        <v>44418</v>
      </c>
      <c r="C585" s="1" t="n">
        <v>45668</v>
      </c>
      <c r="D585" t="inlineStr">
        <is>
          <t>JÄMTLANDS LÄN</t>
        </is>
      </c>
      <c r="E585" t="inlineStr">
        <is>
          <t>HÄRJEDALEN</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40412-2021</t>
        </is>
      </c>
      <c r="B586" s="1" t="n">
        <v>44419</v>
      </c>
      <c r="C586" s="1" t="n">
        <v>45668</v>
      </c>
      <c r="D586" t="inlineStr">
        <is>
          <t>JÄMTLANDS LÄN</t>
        </is>
      </c>
      <c r="E586" t="inlineStr">
        <is>
          <t>HÄRJEDALEN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40497-2021</t>
        </is>
      </c>
      <c r="B587" s="1" t="n">
        <v>44420</v>
      </c>
      <c r="C587" s="1" t="n">
        <v>45668</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40808-2021</t>
        </is>
      </c>
      <c r="B588" s="1" t="n">
        <v>44421</v>
      </c>
      <c r="C588" s="1" t="n">
        <v>45668</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41149-2021</t>
        </is>
      </c>
      <c r="B589" s="1" t="n">
        <v>44423</v>
      </c>
      <c r="C589" s="1" t="n">
        <v>45668</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41147-2021</t>
        </is>
      </c>
      <c r="B590" s="1" t="n">
        <v>44423</v>
      </c>
      <c r="C590" s="1" t="n">
        <v>45668</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41146-2021</t>
        </is>
      </c>
      <c r="B591" s="1" t="n">
        <v>44423</v>
      </c>
      <c r="C591" s="1" t="n">
        <v>45668</v>
      </c>
      <c r="D591" t="inlineStr">
        <is>
          <t>JÄMTLANDS LÄN</t>
        </is>
      </c>
      <c r="E591" t="inlineStr">
        <is>
          <t>HÄRJEDALEN</t>
        </is>
      </c>
      <c r="G591" t="n">
        <v>14.9</v>
      </c>
      <c r="H591" t="n">
        <v>0</v>
      </c>
      <c r="I591" t="n">
        <v>0</v>
      </c>
      <c r="J591" t="n">
        <v>0</v>
      </c>
      <c r="K591" t="n">
        <v>0</v>
      </c>
      <c r="L591" t="n">
        <v>0</v>
      </c>
      <c r="M591" t="n">
        <v>0</v>
      </c>
      <c r="N591" t="n">
        <v>0</v>
      </c>
      <c r="O591" t="n">
        <v>0</v>
      </c>
      <c r="P591" t="n">
        <v>0</v>
      </c>
      <c r="Q591" t="n">
        <v>0</v>
      </c>
      <c r="R591" s="2" t="inlineStr"/>
    </row>
    <row r="592" ht="15" customHeight="1">
      <c r="A592" t="inlineStr">
        <is>
          <t>A 41387-2021</t>
        </is>
      </c>
      <c r="B592" s="1" t="n">
        <v>44424</v>
      </c>
      <c r="C592" s="1" t="n">
        <v>45668</v>
      </c>
      <c r="D592" t="inlineStr">
        <is>
          <t>JÄMTLANDS LÄN</t>
        </is>
      </c>
      <c r="E592" t="inlineStr">
        <is>
          <t>HÄRJEDALEN</t>
        </is>
      </c>
      <c r="G592" t="n">
        <v>9.5</v>
      </c>
      <c r="H592" t="n">
        <v>0</v>
      </c>
      <c r="I592" t="n">
        <v>0</v>
      </c>
      <c r="J592" t="n">
        <v>0</v>
      </c>
      <c r="K592" t="n">
        <v>0</v>
      </c>
      <c r="L592" t="n">
        <v>0</v>
      </c>
      <c r="M592" t="n">
        <v>0</v>
      </c>
      <c r="N592" t="n">
        <v>0</v>
      </c>
      <c r="O592" t="n">
        <v>0</v>
      </c>
      <c r="P592" t="n">
        <v>0</v>
      </c>
      <c r="Q592" t="n">
        <v>0</v>
      </c>
      <c r="R592" s="2" t="inlineStr"/>
    </row>
    <row r="593" ht="15" customHeight="1">
      <c r="A593" t="inlineStr">
        <is>
          <t>A 41395-2021</t>
        </is>
      </c>
      <c r="B593" s="1" t="n">
        <v>44424</v>
      </c>
      <c r="C593" s="1" t="n">
        <v>45668</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41400-2021</t>
        </is>
      </c>
      <c r="B594" s="1" t="n">
        <v>44424</v>
      </c>
      <c r="C594" s="1" t="n">
        <v>45668</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41391-2021</t>
        </is>
      </c>
      <c r="B595" s="1" t="n">
        <v>44424</v>
      </c>
      <c r="C595" s="1" t="n">
        <v>45668</v>
      </c>
      <c r="D595" t="inlineStr">
        <is>
          <t>JÄMTLANDS LÄN</t>
        </is>
      </c>
      <c r="E595" t="inlineStr">
        <is>
          <t>HÄRJEDALEN</t>
        </is>
      </c>
      <c r="G595" t="n">
        <v>1.5</v>
      </c>
      <c r="H595" t="n">
        <v>0</v>
      </c>
      <c r="I595" t="n">
        <v>0</v>
      </c>
      <c r="J595" t="n">
        <v>0</v>
      </c>
      <c r="K595" t="n">
        <v>0</v>
      </c>
      <c r="L595" t="n">
        <v>0</v>
      </c>
      <c r="M595" t="n">
        <v>0</v>
      </c>
      <c r="N595" t="n">
        <v>0</v>
      </c>
      <c r="O595" t="n">
        <v>0</v>
      </c>
      <c r="P595" t="n">
        <v>0</v>
      </c>
      <c r="Q595" t="n">
        <v>0</v>
      </c>
      <c r="R595" s="2" t="inlineStr"/>
    </row>
    <row r="596" ht="15" customHeight="1">
      <c r="A596" t="inlineStr">
        <is>
          <t>A 41978-2021</t>
        </is>
      </c>
      <c r="B596" s="1" t="n">
        <v>44426</v>
      </c>
      <c r="C596" s="1" t="n">
        <v>45668</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42827-2021</t>
        </is>
      </c>
      <c r="B597" s="1" t="n">
        <v>44430</v>
      </c>
      <c r="C597" s="1" t="n">
        <v>45668</v>
      </c>
      <c r="D597" t="inlineStr">
        <is>
          <t>JÄMTLANDS LÄN</t>
        </is>
      </c>
      <c r="E597" t="inlineStr">
        <is>
          <t>HÄRJEDALEN</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44519-2021</t>
        </is>
      </c>
      <c r="B598" s="1" t="n">
        <v>44435</v>
      </c>
      <c r="C598" s="1" t="n">
        <v>45668</v>
      </c>
      <c r="D598" t="inlineStr">
        <is>
          <t>JÄMTLANDS LÄN</t>
        </is>
      </c>
      <c r="E598" t="inlineStr">
        <is>
          <t>HÄRJEDALEN</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45409-2021</t>
        </is>
      </c>
      <c r="B599" s="1" t="n">
        <v>44440</v>
      </c>
      <c r="C599" s="1" t="n">
        <v>45668</v>
      </c>
      <c r="D599" t="inlineStr">
        <is>
          <t>JÄMTLANDS LÄN</t>
        </is>
      </c>
      <c r="E599" t="inlineStr">
        <is>
          <t>HÄRJEDALEN</t>
        </is>
      </c>
      <c r="G599" t="n">
        <v>18.9</v>
      </c>
      <c r="H599" t="n">
        <v>0</v>
      </c>
      <c r="I599" t="n">
        <v>0</v>
      </c>
      <c r="J599" t="n">
        <v>0</v>
      </c>
      <c r="K599" t="n">
        <v>0</v>
      </c>
      <c r="L599" t="n">
        <v>0</v>
      </c>
      <c r="M599" t="n">
        <v>0</v>
      </c>
      <c r="N599" t="n">
        <v>0</v>
      </c>
      <c r="O599" t="n">
        <v>0</v>
      </c>
      <c r="P599" t="n">
        <v>0</v>
      </c>
      <c r="Q599" t="n">
        <v>0</v>
      </c>
      <c r="R599" s="2" t="inlineStr"/>
    </row>
    <row r="600" ht="15" customHeight="1">
      <c r="A600" t="inlineStr">
        <is>
          <t>A 45363-2021</t>
        </is>
      </c>
      <c r="B600" s="1" t="n">
        <v>44440</v>
      </c>
      <c r="C600" s="1" t="n">
        <v>45668</v>
      </c>
      <c r="D600" t="inlineStr">
        <is>
          <t>JÄMTLANDS LÄN</t>
        </is>
      </c>
      <c r="E600" t="inlineStr">
        <is>
          <t>HÄRJEDALEN</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45365-2021</t>
        </is>
      </c>
      <c r="B601" s="1" t="n">
        <v>44440</v>
      </c>
      <c r="C601" s="1" t="n">
        <v>45668</v>
      </c>
      <c r="D601" t="inlineStr">
        <is>
          <t>JÄMTLANDS LÄN</t>
        </is>
      </c>
      <c r="E601" t="inlineStr">
        <is>
          <t>HÄRJEDALEN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45744-2021</t>
        </is>
      </c>
      <c r="B602" s="1" t="n">
        <v>44441</v>
      </c>
      <c r="C602" s="1" t="n">
        <v>45668</v>
      </c>
      <c r="D602" t="inlineStr">
        <is>
          <t>JÄMTLANDS LÄN</t>
        </is>
      </c>
      <c r="E602" t="inlineStr">
        <is>
          <t>HÄRJEDALEN</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46352-2021</t>
        </is>
      </c>
      <c r="B603" s="1" t="n">
        <v>44442</v>
      </c>
      <c r="C603" s="1" t="n">
        <v>45668</v>
      </c>
      <c r="D603" t="inlineStr">
        <is>
          <t>JÄMTLANDS LÄN</t>
        </is>
      </c>
      <c r="E603" t="inlineStr">
        <is>
          <t>HÄRJEDALEN</t>
        </is>
      </c>
      <c r="G603" t="n">
        <v>4.4</v>
      </c>
      <c r="H603" t="n">
        <v>0</v>
      </c>
      <c r="I603" t="n">
        <v>0</v>
      </c>
      <c r="J603" t="n">
        <v>0</v>
      </c>
      <c r="K603" t="n">
        <v>0</v>
      </c>
      <c r="L603" t="n">
        <v>0</v>
      </c>
      <c r="M603" t="n">
        <v>0</v>
      </c>
      <c r="N603" t="n">
        <v>0</v>
      </c>
      <c r="O603" t="n">
        <v>0</v>
      </c>
      <c r="P603" t="n">
        <v>0</v>
      </c>
      <c r="Q603" t="n">
        <v>0</v>
      </c>
      <c r="R603" s="2" t="inlineStr"/>
    </row>
    <row r="604" ht="15" customHeight="1">
      <c r="A604" t="inlineStr">
        <is>
          <t>A 47289-2021</t>
        </is>
      </c>
      <c r="B604" s="1" t="n">
        <v>44447</v>
      </c>
      <c r="C604" s="1" t="n">
        <v>45668</v>
      </c>
      <c r="D604" t="inlineStr">
        <is>
          <t>JÄMTLANDS LÄN</t>
        </is>
      </c>
      <c r="E604" t="inlineStr">
        <is>
          <t>HÄRJEDALEN</t>
        </is>
      </c>
      <c r="F604" t="inlineStr">
        <is>
          <t>Holmen skog AB</t>
        </is>
      </c>
      <c r="G604" t="n">
        <v>31.7</v>
      </c>
      <c r="H604" t="n">
        <v>0</v>
      </c>
      <c r="I604" t="n">
        <v>0</v>
      </c>
      <c r="J604" t="n">
        <v>0</v>
      </c>
      <c r="K604" t="n">
        <v>0</v>
      </c>
      <c r="L604" t="n">
        <v>0</v>
      </c>
      <c r="M604" t="n">
        <v>0</v>
      </c>
      <c r="N604" t="n">
        <v>0</v>
      </c>
      <c r="O604" t="n">
        <v>0</v>
      </c>
      <c r="P604" t="n">
        <v>0</v>
      </c>
      <c r="Q604" t="n">
        <v>0</v>
      </c>
      <c r="R604" s="2" t="inlineStr"/>
    </row>
    <row r="605" ht="15" customHeight="1">
      <c r="A605" t="inlineStr">
        <is>
          <t>A 48079-2021</t>
        </is>
      </c>
      <c r="B605" s="1" t="n">
        <v>44449</v>
      </c>
      <c r="C605" s="1" t="n">
        <v>45668</v>
      </c>
      <c r="D605" t="inlineStr">
        <is>
          <t>JÄMTLANDS LÄN</t>
        </is>
      </c>
      <c r="E605" t="inlineStr">
        <is>
          <t>HÄRJEDALEN</t>
        </is>
      </c>
      <c r="G605" t="n">
        <v>12.5</v>
      </c>
      <c r="H605" t="n">
        <v>0</v>
      </c>
      <c r="I605" t="n">
        <v>0</v>
      </c>
      <c r="J605" t="n">
        <v>0</v>
      </c>
      <c r="K605" t="n">
        <v>0</v>
      </c>
      <c r="L605" t="n">
        <v>0</v>
      </c>
      <c r="M605" t="n">
        <v>0</v>
      </c>
      <c r="N605" t="n">
        <v>0</v>
      </c>
      <c r="O605" t="n">
        <v>0</v>
      </c>
      <c r="P605" t="n">
        <v>0</v>
      </c>
      <c r="Q605" t="n">
        <v>0</v>
      </c>
      <c r="R605" s="2" t="inlineStr"/>
    </row>
    <row r="606" ht="15" customHeight="1">
      <c r="A606" t="inlineStr">
        <is>
          <t>A 48132-2021</t>
        </is>
      </c>
      <c r="B606" s="1" t="n">
        <v>44449</v>
      </c>
      <c r="C606" s="1" t="n">
        <v>45668</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48142-2021</t>
        </is>
      </c>
      <c r="B607" s="1" t="n">
        <v>44449</v>
      </c>
      <c r="C607" s="1" t="n">
        <v>45668</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48444-2021</t>
        </is>
      </c>
      <c r="B608" s="1" t="n">
        <v>44452</v>
      </c>
      <c r="C608" s="1" t="n">
        <v>45668</v>
      </c>
      <c r="D608" t="inlineStr">
        <is>
          <t>JÄMTLANDS LÄN</t>
        </is>
      </c>
      <c r="E608" t="inlineStr">
        <is>
          <t>HÄRJEDALEN</t>
        </is>
      </c>
      <c r="F608" t="inlineStr">
        <is>
          <t>Holmen skog AB</t>
        </is>
      </c>
      <c r="G608" t="n">
        <v>7.4</v>
      </c>
      <c r="H608" t="n">
        <v>0</v>
      </c>
      <c r="I608" t="n">
        <v>0</v>
      </c>
      <c r="J608" t="n">
        <v>0</v>
      </c>
      <c r="K608" t="n">
        <v>0</v>
      </c>
      <c r="L608" t="n">
        <v>0</v>
      </c>
      <c r="M608" t="n">
        <v>0</v>
      </c>
      <c r="N608" t="n">
        <v>0</v>
      </c>
      <c r="O608" t="n">
        <v>0</v>
      </c>
      <c r="P608" t="n">
        <v>0</v>
      </c>
      <c r="Q608" t="n">
        <v>0</v>
      </c>
      <c r="R608" s="2" t="inlineStr"/>
    </row>
    <row r="609" ht="15" customHeight="1">
      <c r="A609" t="inlineStr">
        <is>
          <t>A 48586-2021</t>
        </is>
      </c>
      <c r="B609" s="1" t="n">
        <v>44452</v>
      </c>
      <c r="C609" s="1" t="n">
        <v>45668</v>
      </c>
      <c r="D609" t="inlineStr">
        <is>
          <t>JÄMTLANDS LÄN</t>
        </is>
      </c>
      <c r="E609" t="inlineStr">
        <is>
          <t>HÄRJEDALEN</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48769-2021</t>
        </is>
      </c>
      <c r="B610" s="1" t="n">
        <v>44452</v>
      </c>
      <c r="C610" s="1" t="n">
        <v>45668</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48681-2021</t>
        </is>
      </c>
      <c r="B611" s="1" t="n">
        <v>44452</v>
      </c>
      <c r="C611" s="1" t="n">
        <v>45668</v>
      </c>
      <c r="D611" t="inlineStr">
        <is>
          <t>JÄMTLANDS LÄN</t>
        </is>
      </c>
      <c r="E611" t="inlineStr">
        <is>
          <t>HÄRJEDALEN</t>
        </is>
      </c>
      <c r="F611" t="inlineStr">
        <is>
          <t>Holmen skog AB</t>
        </is>
      </c>
      <c r="G611" t="n">
        <v>3.7</v>
      </c>
      <c r="H611" t="n">
        <v>0</v>
      </c>
      <c r="I611" t="n">
        <v>0</v>
      </c>
      <c r="J611" t="n">
        <v>0</v>
      </c>
      <c r="K611" t="n">
        <v>0</v>
      </c>
      <c r="L611" t="n">
        <v>0</v>
      </c>
      <c r="M611" t="n">
        <v>0</v>
      </c>
      <c r="N611" t="n">
        <v>0</v>
      </c>
      <c r="O611" t="n">
        <v>0</v>
      </c>
      <c r="P611" t="n">
        <v>0</v>
      </c>
      <c r="Q611" t="n">
        <v>0</v>
      </c>
      <c r="R611" s="2" t="inlineStr"/>
    </row>
    <row r="612" ht="15" customHeight="1">
      <c r="A612" t="inlineStr">
        <is>
          <t>A 50775-2021</t>
        </is>
      </c>
      <c r="B612" s="1" t="n">
        <v>44460</v>
      </c>
      <c r="C612" s="1" t="n">
        <v>45668</v>
      </c>
      <c r="D612" t="inlineStr">
        <is>
          <t>JÄMTLANDS LÄN</t>
        </is>
      </c>
      <c r="E612" t="inlineStr">
        <is>
          <t>HÄRJEDALEN</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52685-2021</t>
        </is>
      </c>
      <c r="B613" s="1" t="n">
        <v>44466</v>
      </c>
      <c r="C613" s="1" t="n">
        <v>45668</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54103-2021</t>
        </is>
      </c>
      <c r="B614" s="1" t="n">
        <v>44470</v>
      </c>
      <c r="C614" s="1" t="n">
        <v>45668</v>
      </c>
      <c r="D614" t="inlineStr">
        <is>
          <t>JÄMTLANDS LÄN</t>
        </is>
      </c>
      <c r="E614" t="inlineStr">
        <is>
          <t>HÄRJEDALEN</t>
        </is>
      </c>
      <c r="F614" t="inlineStr">
        <is>
          <t>Holmen skog AB</t>
        </is>
      </c>
      <c r="G614" t="n">
        <v>11.9</v>
      </c>
      <c r="H614" t="n">
        <v>0</v>
      </c>
      <c r="I614" t="n">
        <v>0</v>
      </c>
      <c r="J614" t="n">
        <v>0</v>
      </c>
      <c r="K614" t="n">
        <v>0</v>
      </c>
      <c r="L614" t="n">
        <v>0</v>
      </c>
      <c r="M614" t="n">
        <v>0</v>
      </c>
      <c r="N614" t="n">
        <v>0</v>
      </c>
      <c r="O614" t="n">
        <v>0</v>
      </c>
      <c r="P614" t="n">
        <v>0</v>
      </c>
      <c r="Q614" t="n">
        <v>0</v>
      </c>
      <c r="R614" s="2" t="inlineStr"/>
    </row>
    <row r="615" ht="15" customHeight="1">
      <c r="A615" t="inlineStr">
        <is>
          <t>A 54218-2021</t>
        </is>
      </c>
      <c r="B615" s="1" t="n">
        <v>44470</v>
      </c>
      <c r="C615" s="1" t="n">
        <v>45668</v>
      </c>
      <c r="D615" t="inlineStr">
        <is>
          <t>JÄMTLANDS LÄN</t>
        </is>
      </c>
      <c r="E615" t="inlineStr">
        <is>
          <t>HÄRJEDALEN</t>
        </is>
      </c>
      <c r="F615" t="inlineStr">
        <is>
          <t>Holmen skog AB</t>
        </is>
      </c>
      <c r="G615" t="n">
        <v>4.6</v>
      </c>
      <c r="H615" t="n">
        <v>0</v>
      </c>
      <c r="I615" t="n">
        <v>0</v>
      </c>
      <c r="J615" t="n">
        <v>0</v>
      </c>
      <c r="K615" t="n">
        <v>0</v>
      </c>
      <c r="L615" t="n">
        <v>0</v>
      </c>
      <c r="M615" t="n">
        <v>0</v>
      </c>
      <c r="N615" t="n">
        <v>0</v>
      </c>
      <c r="O615" t="n">
        <v>0</v>
      </c>
      <c r="P615" t="n">
        <v>0</v>
      </c>
      <c r="Q615" t="n">
        <v>0</v>
      </c>
      <c r="R615" s="2" t="inlineStr"/>
    </row>
    <row r="616" ht="15" customHeight="1">
      <c r="A616" t="inlineStr">
        <is>
          <t>A 54331-2021</t>
        </is>
      </c>
      <c r="B616" s="1" t="n">
        <v>44472</v>
      </c>
      <c r="C616" s="1" t="n">
        <v>45668</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54842-2021</t>
        </is>
      </c>
      <c r="B617" s="1" t="n">
        <v>44473</v>
      </c>
      <c r="C617" s="1" t="n">
        <v>45668</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55029-2021</t>
        </is>
      </c>
      <c r="B618" s="1" t="n">
        <v>44474</v>
      </c>
      <c r="C618" s="1" t="n">
        <v>45668</v>
      </c>
      <c r="D618" t="inlineStr">
        <is>
          <t>JÄMTLANDS LÄN</t>
        </is>
      </c>
      <c r="E618" t="inlineStr">
        <is>
          <t>HÄRJEDALEN</t>
        </is>
      </c>
      <c r="G618" t="n">
        <v>6.2</v>
      </c>
      <c r="H618" t="n">
        <v>0</v>
      </c>
      <c r="I618" t="n">
        <v>0</v>
      </c>
      <c r="J618" t="n">
        <v>0</v>
      </c>
      <c r="K618" t="n">
        <v>0</v>
      </c>
      <c r="L618" t="n">
        <v>0</v>
      </c>
      <c r="M618" t="n">
        <v>0</v>
      </c>
      <c r="N618" t="n">
        <v>0</v>
      </c>
      <c r="O618" t="n">
        <v>0</v>
      </c>
      <c r="P618" t="n">
        <v>0</v>
      </c>
      <c r="Q618" t="n">
        <v>0</v>
      </c>
      <c r="R618" s="2" t="inlineStr"/>
    </row>
    <row r="619" ht="15" customHeight="1">
      <c r="A619" t="inlineStr">
        <is>
          <t>A 55219-2021</t>
        </is>
      </c>
      <c r="B619" s="1" t="n">
        <v>44475</v>
      </c>
      <c r="C619" s="1" t="n">
        <v>45668</v>
      </c>
      <c r="D619" t="inlineStr">
        <is>
          <t>JÄMTLANDS LÄN</t>
        </is>
      </c>
      <c r="E619" t="inlineStr">
        <is>
          <t>HÄRJEDALEN</t>
        </is>
      </c>
      <c r="G619" t="n">
        <v>2.5</v>
      </c>
      <c r="H619" t="n">
        <v>0</v>
      </c>
      <c r="I619" t="n">
        <v>0</v>
      </c>
      <c r="J619" t="n">
        <v>0</v>
      </c>
      <c r="K619" t="n">
        <v>0</v>
      </c>
      <c r="L619" t="n">
        <v>0</v>
      </c>
      <c r="M619" t="n">
        <v>0</v>
      </c>
      <c r="N619" t="n">
        <v>0</v>
      </c>
      <c r="O619" t="n">
        <v>0</v>
      </c>
      <c r="P619" t="n">
        <v>0</v>
      </c>
      <c r="Q619" t="n">
        <v>0</v>
      </c>
      <c r="R619" s="2" t="inlineStr"/>
    </row>
    <row r="620" ht="15" customHeight="1">
      <c r="A620" t="inlineStr">
        <is>
          <t>A 55226-2021</t>
        </is>
      </c>
      <c r="B620" s="1" t="n">
        <v>44475</v>
      </c>
      <c r="C620" s="1" t="n">
        <v>45668</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55232-2021</t>
        </is>
      </c>
      <c r="B621" s="1" t="n">
        <v>44475</v>
      </c>
      <c r="C621" s="1" t="n">
        <v>45668</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55250-2021</t>
        </is>
      </c>
      <c r="B622" s="1" t="n">
        <v>44475</v>
      </c>
      <c r="C622" s="1" t="n">
        <v>45668</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55231-2021</t>
        </is>
      </c>
      <c r="B623" s="1" t="n">
        <v>44475</v>
      </c>
      <c r="C623" s="1" t="n">
        <v>45668</v>
      </c>
      <c r="D623" t="inlineStr">
        <is>
          <t>JÄMTLANDS LÄN</t>
        </is>
      </c>
      <c r="E623" t="inlineStr">
        <is>
          <t>HÄRJEDALEN</t>
        </is>
      </c>
      <c r="G623" t="n">
        <v>0.9</v>
      </c>
      <c r="H623" t="n">
        <v>0</v>
      </c>
      <c r="I623" t="n">
        <v>0</v>
      </c>
      <c r="J623" t="n">
        <v>0</v>
      </c>
      <c r="K623" t="n">
        <v>0</v>
      </c>
      <c r="L623" t="n">
        <v>0</v>
      </c>
      <c r="M623" t="n">
        <v>0</v>
      </c>
      <c r="N623" t="n">
        <v>0</v>
      </c>
      <c r="O623" t="n">
        <v>0</v>
      </c>
      <c r="P623" t="n">
        <v>0</v>
      </c>
      <c r="Q623" t="n">
        <v>0</v>
      </c>
      <c r="R623" s="2" t="inlineStr"/>
    </row>
    <row r="624" ht="15" customHeight="1">
      <c r="A624" t="inlineStr">
        <is>
          <t>A 55238-2021</t>
        </is>
      </c>
      <c r="B624" s="1" t="n">
        <v>44475</v>
      </c>
      <c r="C624" s="1" t="n">
        <v>45668</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55242-2021</t>
        </is>
      </c>
      <c r="B625" s="1" t="n">
        <v>44475</v>
      </c>
      <c r="C625" s="1" t="n">
        <v>45668</v>
      </c>
      <c r="D625" t="inlineStr">
        <is>
          <t>JÄMTLANDS LÄN</t>
        </is>
      </c>
      <c r="E625" t="inlineStr">
        <is>
          <t>HÄRJEDALEN</t>
        </is>
      </c>
      <c r="G625" t="n">
        <v>26</v>
      </c>
      <c r="H625" t="n">
        <v>0</v>
      </c>
      <c r="I625" t="n">
        <v>0</v>
      </c>
      <c r="J625" t="n">
        <v>0</v>
      </c>
      <c r="K625" t="n">
        <v>0</v>
      </c>
      <c r="L625" t="n">
        <v>0</v>
      </c>
      <c r="M625" t="n">
        <v>0</v>
      </c>
      <c r="N625" t="n">
        <v>0</v>
      </c>
      <c r="O625" t="n">
        <v>0</v>
      </c>
      <c r="P625" t="n">
        <v>0</v>
      </c>
      <c r="Q625" t="n">
        <v>0</v>
      </c>
      <c r="R625" s="2" t="inlineStr"/>
    </row>
    <row r="626" ht="15" customHeight="1">
      <c r="A626" t="inlineStr">
        <is>
          <t>A 55252-2021</t>
        </is>
      </c>
      <c r="B626" s="1" t="n">
        <v>44475</v>
      </c>
      <c r="C626" s="1" t="n">
        <v>45668</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55257-2021</t>
        </is>
      </c>
      <c r="B627" s="1" t="n">
        <v>44475</v>
      </c>
      <c r="C627" s="1" t="n">
        <v>45668</v>
      </c>
      <c r="D627" t="inlineStr">
        <is>
          <t>JÄMTLANDS LÄN</t>
        </is>
      </c>
      <c r="E627" t="inlineStr">
        <is>
          <t>HÄRJEDALEN</t>
        </is>
      </c>
      <c r="G627" t="n">
        <v>0</v>
      </c>
      <c r="H627" t="n">
        <v>0</v>
      </c>
      <c r="I627" t="n">
        <v>0</v>
      </c>
      <c r="J627" t="n">
        <v>0</v>
      </c>
      <c r="K627" t="n">
        <v>0</v>
      </c>
      <c r="L627" t="n">
        <v>0</v>
      </c>
      <c r="M627" t="n">
        <v>0</v>
      </c>
      <c r="N627" t="n">
        <v>0</v>
      </c>
      <c r="O627" t="n">
        <v>0</v>
      </c>
      <c r="P627" t="n">
        <v>0</v>
      </c>
      <c r="Q627" t="n">
        <v>0</v>
      </c>
      <c r="R627" s="2" t="inlineStr"/>
    </row>
    <row r="628" ht="15" customHeight="1">
      <c r="A628" t="inlineStr">
        <is>
          <t>A 55255-2021</t>
        </is>
      </c>
      <c r="B628" s="1" t="n">
        <v>44475</v>
      </c>
      <c r="C628" s="1" t="n">
        <v>45668</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55246-2021</t>
        </is>
      </c>
      <c r="B629" s="1" t="n">
        <v>44475</v>
      </c>
      <c r="C629" s="1" t="n">
        <v>45668</v>
      </c>
      <c r="D629" t="inlineStr">
        <is>
          <t>JÄMTLANDS LÄN</t>
        </is>
      </c>
      <c r="E629" t="inlineStr">
        <is>
          <t>HÄRJEDALEN</t>
        </is>
      </c>
      <c r="G629" t="n">
        <v>3.8</v>
      </c>
      <c r="H629" t="n">
        <v>0</v>
      </c>
      <c r="I629" t="n">
        <v>0</v>
      </c>
      <c r="J629" t="n">
        <v>0</v>
      </c>
      <c r="K629" t="n">
        <v>0</v>
      </c>
      <c r="L629" t="n">
        <v>0</v>
      </c>
      <c r="M629" t="n">
        <v>0</v>
      </c>
      <c r="N629" t="n">
        <v>0</v>
      </c>
      <c r="O629" t="n">
        <v>0</v>
      </c>
      <c r="P629" t="n">
        <v>0</v>
      </c>
      <c r="Q629" t="n">
        <v>0</v>
      </c>
      <c r="R629" s="2" t="inlineStr"/>
    </row>
    <row r="630" ht="15" customHeight="1">
      <c r="A630" t="inlineStr">
        <is>
          <t>A 55384-2021</t>
        </is>
      </c>
      <c r="B630" s="1" t="n">
        <v>44475</v>
      </c>
      <c r="C630" s="1" t="n">
        <v>45668</v>
      </c>
      <c r="D630" t="inlineStr">
        <is>
          <t>JÄMTLANDS LÄN</t>
        </is>
      </c>
      <c r="E630" t="inlineStr">
        <is>
          <t>HÄRJEDALEN</t>
        </is>
      </c>
      <c r="G630" t="n">
        <v>0.3</v>
      </c>
      <c r="H630" t="n">
        <v>0</v>
      </c>
      <c r="I630" t="n">
        <v>0</v>
      </c>
      <c r="J630" t="n">
        <v>0</v>
      </c>
      <c r="K630" t="n">
        <v>0</v>
      </c>
      <c r="L630" t="n">
        <v>0</v>
      </c>
      <c r="M630" t="n">
        <v>0</v>
      </c>
      <c r="N630" t="n">
        <v>0</v>
      </c>
      <c r="O630" t="n">
        <v>0</v>
      </c>
      <c r="P630" t="n">
        <v>0</v>
      </c>
      <c r="Q630" t="n">
        <v>0</v>
      </c>
      <c r="R630" s="2" t="inlineStr"/>
    </row>
    <row r="631" ht="15" customHeight="1">
      <c r="A631" t="inlineStr">
        <is>
          <t>A 55379-2021</t>
        </is>
      </c>
      <c r="B631" s="1" t="n">
        <v>44475</v>
      </c>
      <c r="C631" s="1" t="n">
        <v>45668</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55388-2021</t>
        </is>
      </c>
      <c r="B632" s="1" t="n">
        <v>44475</v>
      </c>
      <c r="C632" s="1" t="n">
        <v>45668</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55396-2021</t>
        </is>
      </c>
      <c r="B633" s="1" t="n">
        <v>44475</v>
      </c>
      <c r="C633" s="1" t="n">
        <v>45668</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55385-2021</t>
        </is>
      </c>
      <c r="B634" s="1" t="n">
        <v>44475</v>
      </c>
      <c r="C634" s="1" t="n">
        <v>45668</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55381-2021</t>
        </is>
      </c>
      <c r="B635" s="1" t="n">
        <v>44475</v>
      </c>
      <c r="C635" s="1" t="n">
        <v>45668</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55399-2021</t>
        </is>
      </c>
      <c r="B636" s="1" t="n">
        <v>44475</v>
      </c>
      <c r="C636" s="1" t="n">
        <v>45668</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55517-2021</t>
        </is>
      </c>
      <c r="B637" s="1" t="n">
        <v>44475</v>
      </c>
      <c r="C637" s="1" t="n">
        <v>45668</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55542-2021</t>
        </is>
      </c>
      <c r="B638" s="1" t="n">
        <v>44475</v>
      </c>
      <c r="C638" s="1" t="n">
        <v>45668</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55393-2021</t>
        </is>
      </c>
      <c r="B639" s="1" t="n">
        <v>44475</v>
      </c>
      <c r="C639" s="1" t="n">
        <v>45668</v>
      </c>
      <c r="D639" t="inlineStr">
        <is>
          <t>JÄMTLANDS LÄN</t>
        </is>
      </c>
      <c r="E639" t="inlineStr">
        <is>
          <t>HÄRJEDALEN</t>
        </is>
      </c>
      <c r="G639" t="n">
        <v>3</v>
      </c>
      <c r="H639" t="n">
        <v>0</v>
      </c>
      <c r="I639" t="n">
        <v>0</v>
      </c>
      <c r="J639" t="n">
        <v>0</v>
      </c>
      <c r="K639" t="n">
        <v>0</v>
      </c>
      <c r="L639" t="n">
        <v>0</v>
      </c>
      <c r="M639" t="n">
        <v>0</v>
      </c>
      <c r="N639" t="n">
        <v>0</v>
      </c>
      <c r="O639" t="n">
        <v>0</v>
      </c>
      <c r="P639" t="n">
        <v>0</v>
      </c>
      <c r="Q639" t="n">
        <v>0</v>
      </c>
      <c r="R639" s="2" t="inlineStr"/>
    </row>
    <row r="640" ht="15" customHeight="1">
      <c r="A640" t="inlineStr">
        <is>
          <t>A 55215-2021</t>
        </is>
      </c>
      <c r="B640" s="1" t="n">
        <v>44475</v>
      </c>
      <c r="C640" s="1" t="n">
        <v>45668</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56852-2021</t>
        </is>
      </c>
      <c r="B641" s="1" t="n">
        <v>44481</v>
      </c>
      <c r="C641" s="1" t="n">
        <v>45668</v>
      </c>
      <c r="D641" t="inlineStr">
        <is>
          <t>JÄMTLANDS LÄN</t>
        </is>
      </c>
      <c r="E641" t="inlineStr">
        <is>
          <t>HÄRJEDALEN</t>
        </is>
      </c>
      <c r="G641" t="n">
        <v>2.8</v>
      </c>
      <c r="H641" t="n">
        <v>0</v>
      </c>
      <c r="I641" t="n">
        <v>0</v>
      </c>
      <c r="J641" t="n">
        <v>0</v>
      </c>
      <c r="K641" t="n">
        <v>0</v>
      </c>
      <c r="L641" t="n">
        <v>0</v>
      </c>
      <c r="M641" t="n">
        <v>0</v>
      </c>
      <c r="N641" t="n">
        <v>0</v>
      </c>
      <c r="O641" t="n">
        <v>0</v>
      </c>
      <c r="P641" t="n">
        <v>0</v>
      </c>
      <c r="Q641" t="n">
        <v>0</v>
      </c>
      <c r="R641" s="2" t="inlineStr"/>
    </row>
    <row r="642" ht="15" customHeight="1">
      <c r="A642" t="inlineStr">
        <is>
          <t>A 57381-2021</t>
        </is>
      </c>
      <c r="B642" s="1" t="n">
        <v>44483</v>
      </c>
      <c r="C642" s="1" t="n">
        <v>45668</v>
      </c>
      <c r="D642" t="inlineStr">
        <is>
          <t>JÄMTLANDS LÄN</t>
        </is>
      </c>
      <c r="E642" t="inlineStr">
        <is>
          <t>HÄRJEDALEN</t>
        </is>
      </c>
      <c r="G642" t="n">
        <v>17.9</v>
      </c>
      <c r="H642" t="n">
        <v>0</v>
      </c>
      <c r="I642" t="n">
        <v>0</v>
      </c>
      <c r="J642" t="n">
        <v>0</v>
      </c>
      <c r="K642" t="n">
        <v>0</v>
      </c>
      <c r="L642" t="n">
        <v>0</v>
      </c>
      <c r="M642" t="n">
        <v>0</v>
      </c>
      <c r="N642" t="n">
        <v>0</v>
      </c>
      <c r="O642" t="n">
        <v>0</v>
      </c>
      <c r="P642" t="n">
        <v>0</v>
      </c>
      <c r="Q642" t="n">
        <v>0</v>
      </c>
      <c r="R642" s="2" t="inlineStr"/>
    </row>
    <row r="643" ht="15" customHeight="1">
      <c r="A643" t="inlineStr">
        <is>
          <t>A 57256-2021</t>
        </is>
      </c>
      <c r="B643" s="1" t="n">
        <v>44483</v>
      </c>
      <c r="C643" s="1" t="n">
        <v>45668</v>
      </c>
      <c r="D643" t="inlineStr">
        <is>
          <t>JÄMTLANDS LÄN</t>
        </is>
      </c>
      <c r="E643" t="inlineStr">
        <is>
          <t>HÄRJEDALEN</t>
        </is>
      </c>
      <c r="G643" t="n">
        <v>4.5</v>
      </c>
      <c r="H643" t="n">
        <v>0</v>
      </c>
      <c r="I643" t="n">
        <v>0</v>
      </c>
      <c r="J643" t="n">
        <v>0</v>
      </c>
      <c r="K643" t="n">
        <v>0</v>
      </c>
      <c r="L643" t="n">
        <v>0</v>
      </c>
      <c r="M643" t="n">
        <v>0</v>
      </c>
      <c r="N643" t="n">
        <v>0</v>
      </c>
      <c r="O643" t="n">
        <v>0</v>
      </c>
      <c r="P643" t="n">
        <v>0</v>
      </c>
      <c r="Q643" t="n">
        <v>0</v>
      </c>
      <c r="R643" s="2" t="inlineStr"/>
    </row>
    <row r="644" ht="15" customHeight="1">
      <c r="A644" t="inlineStr">
        <is>
          <t>A 57373-2021</t>
        </is>
      </c>
      <c r="B644" s="1" t="n">
        <v>44483</v>
      </c>
      <c r="C644" s="1" t="n">
        <v>45668</v>
      </c>
      <c r="D644" t="inlineStr">
        <is>
          <t>JÄMTLANDS LÄN</t>
        </is>
      </c>
      <c r="E644" t="inlineStr">
        <is>
          <t>HÄRJEDALEN</t>
        </is>
      </c>
      <c r="G644" t="n">
        <v>10.8</v>
      </c>
      <c r="H644" t="n">
        <v>0</v>
      </c>
      <c r="I644" t="n">
        <v>0</v>
      </c>
      <c r="J644" t="n">
        <v>0</v>
      </c>
      <c r="K644" t="n">
        <v>0</v>
      </c>
      <c r="L644" t="n">
        <v>0</v>
      </c>
      <c r="M644" t="n">
        <v>0</v>
      </c>
      <c r="N644" t="n">
        <v>0</v>
      </c>
      <c r="O644" t="n">
        <v>0</v>
      </c>
      <c r="P644" t="n">
        <v>0</v>
      </c>
      <c r="Q644" t="n">
        <v>0</v>
      </c>
      <c r="R644" s="2" t="inlineStr"/>
    </row>
    <row r="645" ht="15" customHeight="1">
      <c r="A645" t="inlineStr">
        <is>
          <t>A 57755-2021</t>
        </is>
      </c>
      <c r="B645" s="1" t="n">
        <v>44484</v>
      </c>
      <c r="C645" s="1" t="n">
        <v>45668</v>
      </c>
      <c r="D645" t="inlineStr">
        <is>
          <t>JÄMTLANDS LÄN</t>
        </is>
      </c>
      <c r="E645" t="inlineStr">
        <is>
          <t>HÄRJEDALEN</t>
        </is>
      </c>
      <c r="G645" t="n">
        <v>3.9</v>
      </c>
      <c r="H645" t="n">
        <v>0</v>
      </c>
      <c r="I645" t="n">
        <v>0</v>
      </c>
      <c r="J645" t="n">
        <v>0</v>
      </c>
      <c r="K645" t="n">
        <v>0</v>
      </c>
      <c r="L645" t="n">
        <v>0</v>
      </c>
      <c r="M645" t="n">
        <v>0</v>
      </c>
      <c r="N645" t="n">
        <v>0</v>
      </c>
      <c r="O645" t="n">
        <v>0</v>
      </c>
      <c r="P645" t="n">
        <v>0</v>
      </c>
      <c r="Q645" t="n">
        <v>0</v>
      </c>
      <c r="R645" s="2" t="inlineStr"/>
    </row>
    <row r="646" ht="15" customHeight="1">
      <c r="A646" t="inlineStr">
        <is>
          <t>A 57782-2021</t>
        </is>
      </c>
      <c r="B646" s="1" t="n">
        <v>44484</v>
      </c>
      <c r="C646" s="1" t="n">
        <v>45668</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58451-2021</t>
        </is>
      </c>
      <c r="B647" s="1" t="n">
        <v>44488</v>
      </c>
      <c r="C647" s="1" t="n">
        <v>45668</v>
      </c>
      <c r="D647" t="inlineStr">
        <is>
          <t>JÄMTLANDS LÄN</t>
        </is>
      </c>
      <c r="E647" t="inlineStr">
        <is>
          <t>HÄRJEDALEN</t>
        </is>
      </c>
      <c r="F647" t="inlineStr">
        <is>
          <t>Naturvårdsverket</t>
        </is>
      </c>
      <c r="G647" t="n">
        <v>12</v>
      </c>
      <c r="H647" t="n">
        <v>0</v>
      </c>
      <c r="I647" t="n">
        <v>0</v>
      </c>
      <c r="J647" t="n">
        <v>0</v>
      </c>
      <c r="K647" t="n">
        <v>0</v>
      </c>
      <c r="L647" t="n">
        <v>0</v>
      </c>
      <c r="M647" t="n">
        <v>0</v>
      </c>
      <c r="N647" t="n">
        <v>0</v>
      </c>
      <c r="O647" t="n">
        <v>0</v>
      </c>
      <c r="P647" t="n">
        <v>0</v>
      </c>
      <c r="Q647" t="n">
        <v>0</v>
      </c>
      <c r="R647" s="2" t="inlineStr"/>
    </row>
    <row r="648" ht="15" customHeight="1">
      <c r="A648" t="inlineStr">
        <is>
          <t>A 59928-2021</t>
        </is>
      </c>
      <c r="B648" s="1" t="n">
        <v>44494</v>
      </c>
      <c r="C648" s="1" t="n">
        <v>45668</v>
      </c>
      <c r="D648" t="inlineStr">
        <is>
          <t>JÄMTLANDS LÄN</t>
        </is>
      </c>
      <c r="E648" t="inlineStr">
        <is>
          <t>HÄRJEDALEN</t>
        </is>
      </c>
      <c r="G648" t="n">
        <v>28.6</v>
      </c>
      <c r="H648" t="n">
        <v>0</v>
      </c>
      <c r="I648" t="n">
        <v>0</v>
      </c>
      <c r="J648" t="n">
        <v>0</v>
      </c>
      <c r="K648" t="n">
        <v>0</v>
      </c>
      <c r="L648" t="n">
        <v>0</v>
      </c>
      <c r="M648" t="n">
        <v>0</v>
      </c>
      <c r="N648" t="n">
        <v>0</v>
      </c>
      <c r="O648" t="n">
        <v>0</v>
      </c>
      <c r="P648" t="n">
        <v>0</v>
      </c>
      <c r="Q648" t="n">
        <v>0</v>
      </c>
      <c r="R648" s="2" t="inlineStr"/>
    </row>
    <row r="649" ht="15" customHeight="1">
      <c r="A649" t="inlineStr">
        <is>
          <t>A 60841-2021</t>
        </is>
      </c>
      <c r="B649" s="1" t="n">
        <v>44497</v>
      </c>
      <c r="C649" s="1" t="n">
        <v>45668</v>
      </c>
      <c r="D649" t="inlineStr">
        <is>
          <t>JÄMTLANDS LÄN</t>
        </is>
      </c>
      <c r="E649" t="inlineStr">
        <is>
          <t>HÄRJEDALEN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61547-2021</t>
        </is>
      </c>
      <c r="B650" s="1" t="n">
        <v>44501</v>
      </c>
      <c r="C650" s="1" t="n">
        <v>45668</v>
      </c>
      <c r="D650" t="inlineStr">
        <is>
          <t>JÄMTLANDS LÄN</t>
        </is>
      </c>
      <c r="E650" t="inlineStr">
        <is>
          <t>HÄRJEDALEN</t>
        </is>
      </c>
      <c r="G650" t="n">
        <v>2.1</v>
      </c>
      <c r="H650" t="n">
        <v>0</v>
      </c>
      <c r="I650" t="n">
        <v>0</v>
      </c>
      <c r="J650" t="n">
        <v>0</v>
      </c>
      <c r="K650" t="n">
        <v>0</v>
      </c>
      <c r="L650" t="n">
        <v>0</v>
      </c>
      <c r="M650" t="n">
        <v>0</v>
      </c>
      <c r="N650" t="n">
        <v>0</v>
      </c>
      <c r="O650" t="n">
        <v>0</v>
      </c>
      <c r="P650" t="n">
        <v>0</v>
      </c>
      <c r="Q650" t="n">
        <v>0</v>
      </c>
      <c r="R650" s="2" t="inlineStr"/>
    </row>
    <row r="651" ht="15" customHeight="1">
      <c r="A651" t="inlineStr">
        <is>
          <t>A 63774-2021</t>
        </is>
      </c>
      <c r="B651" s="1" t="n">
        <v>44508</v>
      </c>
      <c r="C651" s="1" t="n">
        <v>45668</v>
      </c>
      <c r="D651" t="inlineStr">
        <is>
          <t>JÄMTLANDS LÄN</t>
        </is>
      </c>
      <c r="E651" t="inlineStr">
        <is>
          <t>HÄRJEDALEN</t>
        </is>
      </c>
      <c r="F651" t="inlineStr">
        <is>
          <t>Holmen skog AB</t>
        </is>
      </c>
      <c r="G651" t="n">
        <v>14.8</v>
      </c>
      <c r="H651" t="n">
        <v>0</v>
      </c>
      <c r="I651" t="n">
        <v>0</v>
      </c>
      <c r="J651" t="n">
        <v>0</v>
      </c>
      <c r="K651" t="n">
        <v>0</v>
      </c>
      <c r="L651" t="n">
        <v>0</v>
      </c>
      <c r="M651" t="n">
        <v>0</v>
      </c>
      <c r="N651" t="n">
        <v>0</v>
      </c>
      <c r="O651" t="n">
        <v>0</v>
      </c>
      <c r="P651" t="n">
        <v>0</v>
      </c>
      <c r="Q651" t="n">
        <v>0</v>
      </c>
      <c r="R651" s="2" t="inlineStr"/>
    </row>
    <row r="652" ht="15" customHeight="1">
      <c r="A652" t="inlineStr">
        <is>
          <t>A 64937-2021</t>
        </is>
      </c>
      <c r="B652" s="1" t="n">
        <v>44512</v>
      </c>
      <c r="C652" s="1" t="n">
        <v>45668</v>
      </c>
      <c r="D652" t="inlineStr">
        <is>
          <t>JÄMTLANDS LÄN</t>
        </is>
      </c>
      <c r="E652" t="inlineStr">
        <is>
          <t>HÄRJEDALEN</t>
        </is>
      </c>
      <c r="G652" t="n">
        <v>7</v>
      </c>
      <c r="H652" t="n">
        <v>0</v>
      </c>
      <c r="I652" t="n">
        <v>0</v>
      </c>
      <c r="J652" t="n">
        <v>0</v>
      </c>
      <c r="K652" t="n">
        <v>0</v>
      </c>
      <c r="L652" t="n">
        <v>0</v>
      </c>
      <c r="M652" t="n">
        <v>0</v>
      </c>
      <c r="N652" t="n">
        <v>0</v>
      </c>
      <c r="O652" t="n">
        <v>0</v>
      </c>
      <c r="P652" t="n">
        <v>0</v>
      </c>
      <c r="Q652" t="n">
        <v>0</v>
      </c>
      <c r="R652" s="2" t="inlineStr"/>
    </row>
    <row r="653" ht="15" customHeight="1">
      <c r="A653" t="inlineStr">
        <is>
          <t>A 65125-2021</t>
        </is>
      </c>
      <c r="B653" s="1" t="n">
        <v>44515</v>
      </c>
      <c r="C653" s="1" t="n">
        <v>45668</v>
      </c>
      <c r="D653" t="inlineStr">
        <is>
          <t>JÄMTLANDS LÄN</t>
        </is>
      </c>
      <c r="E653" t="inlineStr">
        <is>
          <t>HÄRJEDALEN</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65549-2021</t>
        </is>
      </c>
      <c r="B654" s="1" t="n">
        <v>44516</v>
      </c>
      <c r="C654" s="1" t="n">
        <v>45668</v>
      </c>
      <c r="D654" t="inlineStr">
        <is>
          <t>JÄMTLANDS LÄN</t>
        </is>
      </c>
      <c r="E654" t="inlineStr">
        <is>
          <t>HÄRJEDALEN</t>
        </is>
      </c>
      <c r="F654" t="inlineStr">
        <is>
          <t>Bergvik skog väst AB</t>
        </is>
      </c>
      <c r="G654" t="n">
        <v>7</v>
      </c>
      <c r="H654" t="n">
        <v>0</v>
      </c>
      <c r="I654" t="n">
        <v>0</v>
      </c>
      <c r="J654" t="n">
        <v>0</v>
      </c>
      <c r="K654" t="n">
        <v>0</v>
      </c>
      <c r="L654" t="n">
        <v>0</v>
      </c>
      <c r="M654" t="n">
        <v>0</v>
      </c>
      <c r="N654" t="n">
        <v>0</v>
      </c>
      <c r="O654" t="n">
        <v>0</v>
      </c>
      <c r="P654" t="n">
        <v>0</v>
      </c>
      <c r="Q654" t="n">
        <v>0</v>
      </c>
      <c r="R654" s="2" t="inlineStr"/>
    </row>
    <row r="655" ht="15" customHeight="1">
      <c r="A655" t="inlineStr">
        <is>
          <t>A 68858-2021</t>
        </is>
      </c>
      <c r="B655" s="1" t="n">
        <v>44530</v>
      </c>
      <c r="C655" s="1" t="n">
        <v>45668</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v>
      </c>
      <c r="C656" s="1" t="n">
        <v>45668</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69501-2021</t>
        </is>
      </c>
      <c r="B657" s="1" t="n">
        <v>44531</v>
      </c>
      <c r="C657" s="1" t="n">
        <v>45668</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69490-2021</t>
        </is>
      </c>
      <c r="B658" s="1" t="n">
        <v>44531</v>
      </c>
      <c r="C658" s="1" t="n">
        <v>45668</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69504-2021</t>
        </is>
      </c>
      <c r="B659" s="1" t="n">
        <v>44531</v>
      </c>
      <c r="C659" s="1" t="n">
        <v>45668</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69499-2021</t>
        </is>
      </c>
      <c r="B660" s="1" t="n">
        <v>44531</v>
      </c>
      <c r="C660" s="1" t="n">
        <v>45668</v>
      </c>
      <c r="D660" t="inlineStr">
        <is>
          <t>JÄMTLANDS LÄN</t>
        </is>
      </c>
      <c r="E660" t="inlineStr">
        <is>
          <t>HÄRJEDALEN</t>
        </is>
      </c>
      <c r="G660" t="n">
        <v>7.5</v>
      </c>
      <c r="H660" t="n">
        <v>0</v>
      </c>
      <c r="I660" t="n">
        <v>0</v>
      </c>
      <c r="J660" t="n">
        <v>0</v>
      </c>
      <c r="K660" t="n">
        <v>0</v>
      </c>
      <c r="L660" t="n">
        <v>0</v>
      </c>
      <c r="M660" t="n">
        <v>0</v>
      </c>
      <c r="N660" t="n">
        <v>0</v>
      </c>
      <c r="O660" t="n">
        <v>0</v>
      </c>
      <c r="P660" t="n">
        <v>0</v>
      </c>
      <c r="Q660" t="n">
        <v>0</v>
      </c>
      <c r="R660" s="2" t="inlineStr"/>
    </row>
    <row r="661" ht="15" customHeight="1">
      <c r="A661" t="inlineStr">
        <is>
          <t>A 71649-2021</t>
        </is>
      </c>
      <c r="B661" s="1" t="n">
        <v>44538</v>
      </c>
      <c r="C661" s="1" t="n">
        <v>45668</v>
      </c>
      <c r="D661" t="inlineStr">
        <is>
          <t>JÄMTLANDS LÄN</t>
        </is>
      </c>
      <c r="E661" t="inlineStr">
        <is>
          <t>HÄRJEDALEN</t>
        </is>
      </c>
      <c r="F661" t="inlineStr">
        <is>
          <t>Övriga statliga verk och myndigheter</t>
        </is>
      </c>
      <c r="G661" t="n">
        <v>3.7</v>
      </c>
      <c r="H661" t="n">
        <v>0</v>
      </c>
      <c r="I661" t="n">
        <v>0</v>
      </c>
      <c r="J661" t="n">
        <v>0</v>
      </c>
      <c r="K661" t="n">
        <v>0</v>
      </c>
      <c r="L661" t="n">
        <v>0</v>
      </c>
      <c r="M661" t="n">
        <v>0</v>
      </c>
      <c r="N661" t="n">
        <v>0</v>
      </c>
      <c r="O661" t="n">
        <v>0</v>
      </c>
      <c r="P661" t="n">
        <v>0</v>
      </c>
      <c r="Q661" t="n">
        <v>0</v>
      </c>
      <c r="R661" s="2" t="inlineStr"/>
    </row>
    <row r="662" ht="15" customHeight="1">
      <c r="A662" t="inlineStr">
        <is>
          <t>A 71668-2021</t>
        </is>
      </c>
      <c r="B662" s="1" t="n">
        <v>44538</v>
      </c>
      <c r="C662" s="1" t="n">
        <v>45668</v>
      </c>
      <c r="D662" t="inlineStr">
        <is>
          <t>JÄMTLANDS LÄN</t>
        </is>
      </c>
      <c r="E662" t="inlineStr">
        <is>
          <t>HÄRJEDALEN</t>
        </is>
      </c>
      <c r="F662" t="inlineStr">
        <is>
          <t>Övriga statliga verk och myndigheter</t>
        </is>
      </c>
      <c r="G662" t="n">
        <v>3.1</v>
      </c>
      <c r="H662" t="n">
        <v>0</v>
      </c>
      <c r="I662" t="n">
        <v>0</v>
      </c>
      <c r="J662" t="n">
        <v>0</v>
      </c>
      <c r="K662" t="n">
        <v>0</v>
      </c>
      <c r="L662" t="n">
        <v>0</v>
      </c>
      <c r="M662" t="n">
        <v>0</v>
      </c>
      <c r="N662" t="n">
        <v>0</v>
      </c>
      <c r="O662" t="n">
        <v>0</v>
      </c>
      <c r="P662" t="n">
        <v>0</v>
      </c>
      <c r="Q662" t="n">
        <v>0</v>
      </c>
      <c r="R662" s="2" t="inlineStr"/>
    </row>
    <row r="663" ht="15" customHeight="1">
      <c r="A663" t="inlineStr">
        <is>
          <t>A 71638-2021</t>
        </is>
      </c>
      <c r="B663" s="1" t="n">
        <v>44538</v>
      </c>
      <c r="C663" s="1" t="n">
        <v>45668</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71493-2021</t>
        </is>
      </c>
      <c r="B664" s="1" t="n">
        <v>44540</v>
      </c>
      <c r="C664" s="1" t="n">
        <v>45668</v>
      </c>
      <c r="D664" t="inlineStr">
        <is>
          <t>JÄMTLANDS LÄN</t>
        </is>
      </c>
      <c r="E664" t="inlineStr">
        <is>
          <t>HÄRJEDALEN</t>
        </is>
      </c>
      <c r="G664" t="n">
        <v>0.4</v>
      </c>
      <c r="H664" t="n">
        <v>0</v>
      </c>
      <c r="I664" t="n">
        <v>0</v>
      </c>
      <c r="J664" t="n">
        <v>0</v>
      </c>
      <c r="K664" t="n">
        <v>0</v>
      </c>
      <c r="L664" t="n">
        <v>0</v>
      </c>
      <c r="M664" t="n">
        <v>0</v>
      </c>
      <c r="N664" t="n">
        <v>0</v>
      </c>
      <c r="O664" t="n">
        <v>0</v>
      </c>
      <c r="P664" t="n">
        <v>0</v>
      </c>
      <c r="Q664" t="n">
        <v>0</v>
      </c>
      <c r="R664" s="2" t="inlineStr"/>
    </row>
    <row r="665" ht="15" customHeight="1">
      <c r="A665" t="inlineStr">
        <is>
          <t>A 71467-2021</t>
        </is>
      </c>
      <c r="B665" s="1" t="n">
        <v>44540</v>
      </c>
      <c r="C665" s="1" t="n">
        <v>45668</v>
      </c>
      <c r="D665" t="inlineStr">
        <is>
          <t>JÄMTLANDS LÄN</t>
        </is>
      </c>
      <c r="E665" t="inlineStr">
        <is>
          <t>HÄRJEDALEN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71501-2021</t>
        </is>
      </c>
      <c r="B666" s="1" t="n">
        <v>44540</v>
      </c>
      <c r="C666" s="1" t="n">
        <v>45668</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71864-2021</t>
        </is>
      </c>
      <c r="B667" s="1" t="n">
        <v>44543</v>
      </c>
      <c r="C667" s="1" t="n">
        <v>45668</v>
      </c>
      <c r="D667" t="inlineStr">
        <is>
          <t>JÄMTLANDS LÄN</t>
        </is>
      </c>
      <c r="E667" t="inlineStr">
        <is>
          <t>HÄRJEDALEN</t>
        </is>
      </c>
      <c r="F667" t="inlineStr">
        <is>
          <t>Holmen skog AB</t>
        </is>
      </c>
      <c r="G667" t="n">
        <v>0.2</v>
      </c>
      <c r="H667" t="n">
        <v>0</v>
      </c>
      <c r="I667" t="n">
        <v>0</v>
      </c>
      <c r="J667" t="n">
        <v>0</v>
      </c>
      <c r="K667" t="n">
        <v>0</v>
      </c>
      <c r="L667" t="n">
        <v>0</v>
      </c>
      <c r="M667" t="n">
        <v>0</v>
      </c>
      <c r="N667" t="n">
        <v>0</v>
      </c>
      <c r="O667" t="n">
        <v>0</v>
      </c>
      <c r="P667" t="n">
        <v>0</v>
      </c>
      <c r="Q667" t="n">
        <v>0</v>
      </c>
      <c r="R667" s="2" t="inlineStr"/>
    </row>
    <row r="668" ht="15" customHeight="1">
      <c r="A668" t="inlineStr">
        <is>
          <t>A 71756-2021</t>
        </is>
      </c>
      <c r="B668" s="1" t="n">
        <v>44543</v>
      </c>
      <c r="C668" s="1" t="n">
        <v>45668</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71989-2021</t>
        </is>
      </c>
      <c r="B669" s="1" t="n">
        <v>44544</v>
      </c>
      <c r="C669" s="1" t="n">
        <v>45668</v>
      </c>
      <c r="D669" t="inlineStr">
        <is>
          <t>JÄMTLANDS LÄN</t>
        </is>
      </c>
      <c r="E669" t="inlineStr">
        <is>
          <t>HÄRJEDALEN</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72374-2021</t>
        </is>
      </c>
      <c r="B670" s="1" t="n">
        <v>44545</v>
      </c>
      <c r="C670" s="1" t="n">
        <v>45668</v>
      </c>
      <c r="D670" t="inlineStr">
        <is>
          <t>JÄMTLANDS LÄN</t>
        </is>
      </c>
      <c r="E670" t="inlineStr">
        <is>
          <t>HÄRJEDALEN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72790-2021</t>
        </is>
      </c>
      <c r="B671" s="1" t="n">
        <v>44547</v>
      </c>
      <c r="C671" s="1" t="n">
        <v>45668</v>
      </c>
      <c r="D671" t="inlineStr">
        <is>
          <t>JÄMTLANDS LÄN</t>
        </is>
      </c>
      <c r="E671" t="inlineStr">
        <is>
          <t>HÄRJEDALEN</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73051-2021</t>
        </is>
      </c>
      <c r="B672" s="1" t="n">
        <v>44550</v>
      </c>
      <c r="C672" s="1" t="n">
        <v>45668</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73211-2021</t>
        </is>
      </c>
      <c r="B673" s="1" t="n">
        <v>44550</v>
      </c>
      <c r="C673" s="1" t="n">
        <v>45668</v>
      </c>
      <c r="D673" t="inlineStr">
        <is>
          <t>JÄMTLANDS LÄN</t>
        </is>
      </c>
      <c r="E673" t="inlineStr">
        <is>
          <t>HÄRJEDALEN</t>
        </is>
      </c>
      <c r="G673" t="n">
        <v>0.8</v>
      </c>
      <c r="H673" t="n">
        <v>0</v>
      </c>
      <c r="I673" t="n">
        <v>0</v>
      </c>
      <c r="J673" t="n">
        <v>0</v>
      </c>
      <c r="K673" t="n">
        <v>0</v>
      </c>
      <c r="L673" t="n">
        <v>0</v>
      </c>
      <c r="M673" t="n">
        <v>0</v>
      </c>
      <c r="N673" t="n">
        <v>0</v>
      </c>
      <c r="O673" t="n">
        <v>0</v>
      </c>
      <c r="P673" t="n">
        <v>0</v>
      </c>
      <c r="Q673" t="n">
        <v>0</v>
      </c>
      <c r="R673" s="2" t="inlineStr"/>
    </row>
    <row r="674" ht="15" customHeight="1">
      <c r="A674" t="inlineStr">
        <is>
          <t>A 73573-2021</t>
        </is>
      </c>
      <c r="B674" s="1" t="n">
        <v>44552</v>
      </c>
      <c r="C674" s="1" t="n">
        <v>45668</v>
      </c>
      <c r="D674" t="inlineStr">
        <is>
          <t>JÄMTLANDS LÄN</t>
        </is>
      </c>
      <c r="E674" t="inlineStr">
        <is>
          <t>HÄRJEDALEN</t>
        </is>
      </c>
      <c r="F674" t="inlineStr">
        <is>
          <t>Holmen skog AB</t>
        </is>
      </c>
      <c r="G674" t="n">
        <v>10.5</v>
      </c>
      <c r="H674" t="n">
        <v>0</v>
      </c>
      <c r="I674" t="n">
        <v>0</v>
      </c>
      <c r="J674" t="n">
        <v>0</v>
      </c>
      <c r="K674" t="n">
        <v>0</v>
      </c>
      <c r="L674" t="n">
        <v>0</v>
      </c>
      <c r="M674" t="n">
        <v>0</v>
      </c>
      <c r="N674" t="n">
        <v>0</v>
      </c>
      <c r="O674" t="n">
        <v>0</v>
      </c>
      <c r="P674" t="n">
        <v>0</v>
      </c>
      <c r="Q674" t="n">
        <v>0</v>
      </c>
      <c r="R674" s="2" t="inlineStr"/>
    </row>
    <row r="675" ht="15" customHeight="1">
      <c r="A675" t="inlineStr">
        <is>
          <t>A 197-2022</t>
        </is>
      </c>
      <c r="B675" s="1" t="n">
        <v>44564</v>
      </c>
      <c r="C675" s="1" t="n">
        <v>45668</v>
      </c>
      <c r="D675" t="inlineStr">
        <is>
          <t>JÄMTLANDS LÄN</t>
        </is>
      </c>
      <c r="E675" t="inlineStr">
        <is>
          <t>HÄRJEDALEN</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241-2022</t>
        </is>
      </c>
      <c r="B676" s="1" t="n">
        <v>44565</v>
      </c>
      <c r="C676" s="1" t="n">
        <v>45668</v>
      </c>
      <c r="D676" t="inlineStr">
        <is>
          <t>JÄMTLANDS LÄN</t>
        </is>
      </c>
      <c r="E676" t="inlineStr">
        <is>
          <t>HÄRJEDALEN</t>
        </is>
      </c>
      <c r="F676" t="inlineStr">
        <is>
          <t>Övriga Aktiebolag</t>
        </is>
      </c>
      <c r="G676" t="n">
        <v>16.5</v>
      </c>
      <c r="H676" t="n">
        <v>0</v>
      </c>
      <c r="I676" t="n">
        <v>0</v>
      </c>
      <c r="J676" t="n">
        <v>0</v>
      </c>
      <c r="K676" t="n">
        <v>0</v>
      </c>
      <c r="L676" t="n">
        <v>0</v>
      </c>
      <c r="M676" t="n">
        <v>0</v>
      </c>
      <c r="N676" t="n">
        <v>0</v>
      </c>
      <c r="O676" t="n">
        <v>0</v>
      </c>
      <c r="P676" t="n">
        <v>0</v>
      </c>
      <c r="Q676" t="n">
        <v>0</v>
      </c>
      <c r="R676" s="2" t="inlineStr"/>
    </row>
    <row r="677" ht="15" customHeight="1">
      <c r="A677" t="inlineStr">
        <is>
          <t>A 239-2022</t>
        </is>
      </c>
      <c r="B677" s="1" t="n">
        <v>44565</v>
      </c>
      <c r="C677" s="1" t="n">
        <v>45668</v>
      </c>
      <c r="D677" t="inlineStr">
        <is>
          <t>JÄMTLANDS LÄN</t>
        </is>
      </c>
      <c r="E677" t="inlineStr">
        <is>
          <t>HÄRJEDALEN</t>
        </is>
      </c>
      <c r="F677" t="inlineStr">
        <is>
          <t>Övriga Aktiebolag</t>
        </is>
      </c>
      <c r="G677" t="n">
        <v>4.3</v>
      </c>
      <c r="H677" t="n">
        <v>0</v>
      </c>
      <c r="I677" t="n">
        <v>0</v>
      </c>
      <c r="J677" t="n">
        <v>0</v>
      </c>
      <c r="K677" t="n">
        <v>0</v>
      </c>
      <c r="L677" t="n">
        <v>0</v>
      </c>
      <c r="M677" t="n">
        <v>0</v>
      </c>
      <c r="N677" t="n">
        <v>0</v>
      </c>
      <c r="O677" t="n">
        <v>0</v>
      </c>
      <c r="P677" t="n">
        <v>0</v>
      </c>
      <c r="Q677" t="n">
        <v>0</v>
      </c>
      <c r="R677" s="2" t="inlineStr"/>
    </row>
    <row r="678" ht="15" customHeight="1">
      <c r="A678" t="inlineStr">
        <is>
          <t>A 240-2022</t>
        </is>
      </c>
      <c r="B678" s="1" t="n">
        <v>44565</v>
      </c>
      <c r="C678" s="1" t="n">
        <v>45668</v>
      </c>
      <c r="D678" t="inlineStr">
        <is>
          <t>JÄMTLANDS LÄN</t>
        </is>
      </c>
      <c r="E678" t="inlineStr">
        <is>
          <t>HÄRJEDALEN</t>
        </is>
      </c>
      <c r="F678" t="inlineStr">
        <is>
          <t>Övriga Aktiebolag</t>
        </is>
      </c>
      <c r="G678" t="n">
        <v>53.9</v>
      </c>
      <c r="H678" t="n">
        <v>0</v>
      </c>
      <c r="I678" t="n">
        <v>0</v>
      </c>
      <c r="J678" t="n">
        <v>0</v>
      </c>
      <c r="K678" t="n">
        <v>0</v>
      </c>
      <c r="L678" t="n">
        <v>0</v>
      </c>
      <c r="M678" t="n">
        <v>0</v>
      </c>
      <c r="N678" t="n">
        <v>0</v>
      </c>
      <c r="O678" t="n">
        <v>0</v>
      </c>
      <c r="P678" t="n">
        <v>0</v>
      </c>
      <c r="Q678" t="n">
        <v>0</v>
      </c>
      <c r="R678" s="2" t="inlineStr"/>
    </row>
    <row r="679" ht="15" customHeight="1">
      <c r="A679" t="inlineStr">
        <is>
          <t>A 537-2022</t>
        </is>
      </c>
      <c r="B679" s="1" t="n">
        <v>44566</v>
      </c>
      <c r="C679" s="1" t="n">
        <v>45668</v>
      </c>
      <c r="D679" t="inlineStr">
        <is>
          <t>JÄMTLANDS LÄN</t>
        </is>
      </c>
      <c r="E679" t="inlineStr">
        <is>
          <t>HÄRJEDALEN</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859-2022</t>
        </is>
      </c>
      <c r="B680" s="1" t="n">
        <v>44571</v>
      </c>
      <c r="C680" s="1" t="n">
        <v>45668</v>
      </c>
      <c r="D680" t="inlineStr">
        <is>
          <t>JÄMTLANDS LÄN</t>
        </is>
      </c>
      <c r="E680" t="inlineStr">
        <is>
          <t>HÄRJEDALEN</t>
        </is>
      </c>
      <c r="G680" t="n">
        <v>16.9</v>
      </c>
      <c r="H680" t="n">
        <v>0</v>
      </c>
      <c r="I680" t="n">
        <v>0</v>
      </c>
      <c r="J680" t="n">
        <v>0</v>
      </c>
      <c r="K680" t="n">
        <v>0</v>
      </c>
      <c r="L680" t="n">
        <v>0</v>
      </c>
      <c r="M680" t="n">
        <v>0</v>
      </c>
      <c r="N680" t="n">
        <v>0</v>
      </c>
      <c r="O680" t="n">
        <v>0</v>
      </c>
      <c r="P680" t="n">
        <v>0</v>
      </c>
      <c r="Q680" t="n">
        <v>0</v>
      </c>
      <c r="R680" s="2" t="inlineStr"/>
    </row>
    <row r="681" ht="15" customHeight="1">
      <c r="A681" t="inlineStr">
        <is>
          <t>A 2846-2022</t>
        </is>
      </c>
      <c r="B681" s="1" t="n">
        <v>44581</v>
      </c>
      <c r="C681" s="1" t="n">
        <v>45668</v>
      </c>
      <c r="D681" t="inlineStr">
        <is>
          <t>JÄMTLANDS LÄN</t>
        </is>
      </c>
      <c r="E681" t="inlineStr">
        <is>
          <t>HÄRJEDALEN</t>
        </is>
      </c>
      <c r="G681" t="n">
        <v>15.2</v>
      </c>
      <c r="H681" t="n">
        <v>0</v>
      </c>
      <c r="I681" t="n">
        <v>0</v>
      </c>
      <c r="J681" t="n">
        <v>0</v>
      </c>
      <c r="K681" t="n">
        <v>0</v>
      </c>
      <c r="L681" t="n">
        <v>0</v>
      </c>
      <c r="M681" t="n">
        <v>0</v>
      </c>
      <c r="N681" t="n">
        <v>0</v>
      </c>
      <c r="O681" t="n">
        <v>0</v>
      </c>
      <c r="P681" t="n">
        <v>0</v>
      </c>
      <c r="Q681" t="n">
        <v>0</v>
      </c>
      <c r="R681" s="2" t="inlineStr"/>
    </row>
    <row r="682" ht="15" customHeight="1">
      <c r="A682" t="inlineStr">
        <is>
          <t>A 3163-2022</t>
        </is>
      </c>
      <c r="B682" s="1" t="n">
        <v>44582</v>
      </c>
      <c r="C682" s="1" t="n">
        <v>45668</v>
      </c>
      <c r="D682" t="inlineStr">
        <is>
          <t>JÄMTLANDS LÄN</t>
        </is>
      </c>
      <c r="E682" t="inlineStr">
        <is>
          <t>HÄRJEDALEN</t>
        </is>
      </c>
      <c r="G682" t="n">
        <v>1.6</v>
      </c>
      <c r="H682" t="n">
        <v>0</v>
      </c>
      <c r="I682" t="n">
        <v>0</v>
      </c>
      <c r="J682" t="n">
        <v>0</v>
      </c>
      <c r="K682" t="n">
        <v>0</v>
      </c>
      <c r="L682" t="n">
        <v>0</v>
      </c>
      <c r="M682" t="n">
        <v>0</v>
      </c>
      <c r="N682" t="n">
        <v>0</v>
      </c>
      <c r="O682" t="n">
        <v>0</v>
      </c>
      <c r="P682" t="n">
        <v>0</v>
      </c>
      <c r="Q682" t="n">
        <v>0</v>
      </c>
      <c r="R682" s="2" t="inlineStr"/>
    </row>
    <row r="683" ht="15" customHeight="1">
      <c r="A683" t="inlineStr">
        <is>
          <t>A 3373-2022</t>
        </is>
      </c>
      <c r="B683" s="1" t="n">
        <v>44585</v>
      </c>
      <c r="C683" s="1" t="n">
        <v>45668</v>
      </c>
      <c r="D683" t="inlineStr">
        <is>
          <t>JÄMTLANDS LÄN</t>
        </is>
      </c>
      <c r="E683" t="inlineStr">
        <is>
          <t>HÄRJEDALEN</t>
        </is>
      </c>
      <c r="G683" t="n">
        <v>7.4</v>
      </c>
      <c r="H683" t="n">
        <v>0</v>
      </c>
      <c r="I683" t="n">
        <v>0</v>
      </c>
      <c r="J683" t="n">
        <v>0</v>
      </c>
      <c r="K683" t="n">
        <v>0</v>
      </c>
      <c r="L683" t="n">
        <v>0</v>
      </c>
      <c r="M683" t="n">
        <v>0</v>
      </c>
      <c r="N683" t="n">
        <v>0</v>
      </c>
      <c r="O683" t="n">
        <v>0</v>
      </c>
      <c r="P683" t="n">
        <v>0</v>
      </c>
      <c r="Q683" t="n">
        <v>0</v>
      </c>
      <c r="R683" s="2" t="inlineStr"/>
    </row>
    <row r="684" ht="15" customHeight="1">
      <c r="A684" t="inlineStr">
        <is>
          <t>A 4487-2022</t>
        </is>
      </c>
      <c r="B684" s="1" t="n">
        <v>44589</v>
      </c>
      <c r="C684" s="1" t="n">
        <v>45668</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4914-2022</t>
        </is>
      </c>
      <c r="B685" s="1" t="n">
        <v>44593</v>
      </c>
      <c r="C685" s="1" t="n">
        <v>45668</v>
      </c>
      <c r="D685" t="inlineStr">
        <is>
          <t>JÄMTLANDS LÄN</t>
        </is>
      </c>
      <c r="E685" t="inlineStr">
        <is>
          <t>HÄRJEDALEN</t>
        </is>
      </c>
      <c r="F685" t="inlineStr">
        <is>
          <t>Sveaskog</t>
        </is>
      </c>
      <c r="G685" t="n">
        <v>7.7</v>
      </c>
      <c r="H685" t="n">
        <v>0</v>
      </c>
      <c r="I685" t="n">
        <v>0</v>
      </c>
      <c r="J685" t="n">
        <v>0</v>
      </c>
      <c r="K685" t="n">
        <v>0</v>
      </c>
      <c r="L685" t="n">
        <v>0</v>
      </c>
      <c r="M685" t="n">
        <v>0</v>
      </c>
      <c r="N685" t="n">
        <v>0</v>
      </c>
      <c r="O685" t="n">
        <v>0</v>
      </c>
      <c r="P685" t="n">
        <v>0</v>
      </c>
      <c r="Q685" t="n">
        <v>0</v>
      </c>
      <c r="R685" s="2" t="inlineStr"/>
    </row>
    <row r="686" ht="15" customHeight="1">
      <c r="A686" t="inlineStr">
        <is>
          <t>A 6309-2022</t>
        </is>
      </c>
      <c r="B686" s="1" t="n">
        <v>44600</v>
      </c>
      <c r="C686" s="1" t="n">
        <v>45668</v>
      </c>
      <c r="D686" t="inlineStr">
        <is>
          <t>JÄMTLANDS LÄN</t>
        </is>
      </c>
      <c r="E686" t="inlineStr">
        <is>
          <t>HÄRJEDALEN</t>
        </is>
      </c>
      <c r="G686" t="n">
        <v>38.2</v>
      </c>
      <c r="H686" t="n">
        <v>0</v>
      </c>
      <c r="I686" t="n">
        <v>0</v>
      </c>
      <c r="J686" t="n">
        <v>0</v>
      </c>
      <c r="K686" t="n">
        <v>0</v>
      </c>
      <c r="L686" t="n">
        <v>0</v>
      </c>
      <c r="M686" t="n">
        <v>0</v>
      </c>
      <c r="N686" t="n">
        <v>0</v>
      </c>
      <c r="O686" t="n">
        <v>0</v>
      </c>
      <c r="P686" t="n">
        <v>0</v>
      </c>
      <c r="Q686" t="n">
        <v>0</v>
      </c>
      <c r="R686" s="2" t="inlineStr"/>
    </row>
    <row r="687" ht="15" customHeight="1">
      <c r="A687" t="inlineStr">
        <is>
          <t>A 6208-2022</t>
        </is>
      </c>
      <c r="B687" s="1" t="n">
        <v>44600</v>
      </c>
      <c r="C687" s="1" t="n">
        <v>45668</v>
      </c>
      <c r="D687" t="inlineStr">
        <is>
          <t>JÄMTLANDS LÄN</t>
        </is>
      </c>
      <c r="E687" t="inlineStr">
        <is>
          <t>HÄRJEDALEN</t>
        </is>
      </c>
      <c r="G687" t="n">
        <v>1.2</v>
      </c>
      <c r="H687" t="n">
        <v>0</v>
      </c>
      <c r="I687" t="n">
        <v>0</v>
      </c>
      <c r="J687" t="n">
        <v>0</v>
      </c>
      <c r="K687" t="n">
        <v>0</v>
      </c>
      <c r="L687" t="n">
        <v>0</v>
      </c>
      <c r="M687" t="n">
        <v>0</v>
      </c>
      <c r="N687" t="n">
        <v>0</v>
      </c>
      <c r="O687" t="n">
        <v>0</v>
      </c>
      <c r="P687" t="n">
        <v>0</v>
      </c>
      <c r="Q687" t="n">
        <v>0</v>
      </c>
      <c r="R687" s="2" t="inlineStr"/>
    </row>
    <row r="688" ht="15" customHeight="1">
      <c r="A688" t="inlineStr">
        <is>
          <t>A 6312-2022</t>
        </is>
      </c>
      <c r="B688" s="1" t="n">
        <v>44600</v>
      </c>
      <c r="C688" s="1" t="n">
        <v>45668</v>
      </c>
      <c r="D688" t="inlineStr">
        <is>
          <t>JÄMTLANDS LÄN</t>
        </is>
      </c>
      <c r="E688" t="inlineStr">
        <is>
          <t>HÄRJEDALEN</t>
        </is>
      </c>
      <c r="G688" t="n">
        <v>18.4</v>
      </c>
      <c r="H688" t="n">
        <v>0</v>
      </c>
      <c r="I688" t="n">
        <v>0</v>
      </c>
      <c r="J688" t="n">
        <v>0</v>
      </c>
      <c r="K688" t="n">
        <v>0</v>
      </c>
      <c r="L688" t="n">
        <v>0</v>
      </c>
      <c r="M688" t="n">
        <v>0</v>
      </c>
      <c r="N688" t="n">
        <v>0</v>
      </c>
      <c r="O688" t="n">
        <v>0</v>
      </c>
      <c r="P688" t="n">
        <v>0</v>
      </c>
      <c r="Q688" t="n">
        <v>0</v>
      </c>
      <c r="R688" s="2" t="inlineStr"/>
    </row>
    <row r="689" ht="15" customHeight="1">
      <c r="A689" t="inlineStr">
        <is>
          <t>A 6444-2022</t>
        </is>
      </c>
      <c r="B689" s="1" t="n">
        <v>44601</v>
      </c>
      <c r="C689" s="1" t="n">
        <v>45668</v>
      </c>
      <c r="D689" t="inlineStr">
        <is>
          <t>JÄMTLANDS LÄN</t>
        </is>
      </c>
      <c r="E689" t="inlineStr">
        <is>
          <t>HÄRJEDALEN</t>
        </is>
      </c>
      <c r="F689" t="inlineStr">
        <is>
          <t>Holmen skog AB</t>
        </is>
      </c>
      <c r="G689" t="n">
        <v>4.3</v>
      </c>
      <c r="H689" t="n">
        <v>0</v>
      </c>
      <c r="I689" t="n">
        <v>0</v>
      </c>
      <c r="J689" t="n">
        <v>0</v>
      </c>
      <c r="K689" t="n">
        <v>0</v>
      </c>
      <c r="L689" t="n">
        <v>0</v>
      </c>
      <c r="M689" t="n">
        <v>0</v>
      </c>
      <c r="N689" t="n">
        <v>0</v>
      </c>
      <c r="O689" t="n">
        <v>0</v>
      </c>
      <c r="P689" t="n">
        <v>0</v>
      </c>
      <c r="Q689" t="n">
        <v>0</v>
      </c>
      <c r="R689" s="2" t="inlineStr"/>
    </row>
    <row r="690" ht="15" customHeight="1">
      <c r="A690" t="inlineStr">
        <is>
          <t>A 6933-2022</t>
        </is>
      </c>
      <c r="B690" s="1" t="n">
        <v>44603</v>
      </c>
      <c r="C690" s="1" t="n">
        <v>45668</v>
      </c>
      <c r="D690" t="inlineStr">
        <is>
          <t>JÄMTLANDS LÄN</t>
        </is>
      </c>
      <c r="E690" t="inlineStr">
        <is>
          <t>HÄRJEDALEN</t>
        </is>
      </c>
      <c r="F690" t="inlineStr">
        <is>
          <t>Holmen skog AB</t>
        </is>
      </c>
      <c r="G690" t="n">
        <v>3.9</v>
      </c>
      <c r="H690" t="n">
        <v>0</v>
      </c>
      <c r="I690" t="n">
        <v>0</v>
      </c>
      <c r="J690" t="n">
        <v>0</v>
      </c>
      <c r="K690" t="n">
        <v>0</v>
      </c>
      <c r="L690" t="n">
        <v>0</v>
      </c>
      <c r="M690" t="n">
        <v>0</v>
      </c>
      <c r="N690" t="n">
        <v>0</v>
      </c>
      <c r="O690" t="n">
        <v>0</v>
      </c>
      <c r="P690" t="n">
        <v>0</v>
      </c>
      <c r="Q690" t="n">
        <v>0</v>
      </c>
      <c r="R690" s="2" t="inlineStr"/>
    </row>
    <row r="691" ht="15" customHeight="1">
      <c r="A691" t="inlineStr">
        <is>
          <t>A 6938-2022</t>
        </is>
      </c>
      <c r="B691" s="1" t="n">
        <v>44603</v>
      </c>
      <c r="C691" s="1" t="n">
        <v>45668</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6935-2022</t>
        </is>
      </c>
      <c r="B692" s="1" t="n">
        <v>44603</v>
      </c>
      <c r="C692" s="1" t="n">
        <v>45668</v>
      </c>
      <c r="D692" t="inlineStr">
        <is>
          <t>JÄMTLANDS LÄN</t>
        </is>
      </c>
      <c r="E692" t="inlineStr">
        <is>
          <t>HÄRJEDALEN</t>
        </is>
      </c>
      <c r="F692" t="inlineStr">
        <is>
          <t>Holmen skog AB</t>
        </is>
      </c>
      <c r="G692" t="n">
        <v>4</v>
      </c>
      <c r="H692" t="n">
        <v>0</v>
      </c>
      <c r="I692" t="n">
        <v>0</v>
      </c>
      <c r="J692" t="n">
        <v>0</v>
      </c>
      <c r="K692" t="n">
        <v>0</v>
      </c>
      <c r="L692" t="n">
        <v>0</v>
      </c>
      <c r="M692" t="n">
        <v>0</v>
      </c>
      <c r="N692" t="n">
        <v>0</v>
      </c>
      <c r="O692" t="n">
        <v>0</v>
      </c>
      <c r="P692" t="n">
        <v>0</v>
      </c>
      <c r="Q692" t="n">
        <v>0</v>
      </c>
      <c r="R692" s="2" t="inlineStr"/>
    </row>
    <row r="693" ht="15" customHeight="1">
      <c r="A693" t="inlineStr">
        <is>
          <t>A 6941-2022</t>
        </is>
      </c>
      <c r="B693" s="1" t="n">
        <v>44603</v>
      </c>
      <c r="C693" s="1" t="n">
        <v>45668</v>
      </c>
      <c r="D693" t="inlineStr">
        <is>
          <t>JÄMTLANDS LÄN</t>
        </is>
      </c>
      <c r="E693" t="inlineStr">
        <is>
          <t>HÄRJEDALEN</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8368-2022</t>
        </is>
      </c>
      <c r="B694" s="1" t="n">
        <v>44610</v>
      </c>
      <c r="C694" s="1" t="n">
        <v>45668</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8538-2022</t>
        </is>
      </c>
      <c r="B695" s="1" t="n">
        <v>44613</v>
      </c>
      <c r="C695" s="1" t="n">
        <v>45668</v>
      </c>
      <c r="D695" t="inlineStr">
        <is>
          <t>JÄMTLANDS LÄN</t>
        </is>
      </c>
      <c r="E695" t="inlineStr">
        <is>
          <t>HÄRJEDALEN</t>
        </is>
      </c>
      <c r="F695" t="inlineStr">
        <is>
          <t>Naturvårdsverket</t>
        </is>
      </c>
      <c r="G695" t="n">
        <v>0.4</v>
      </c>
      <c r="H695" t="n">
        <v>0</v>
      </c>
      <c r="I695" t="n">
        <v>0</v>
      </c>
      <c r="J695" t="n">
        <v>0</v>
      </c>
      <c r="K695" t="n">
        <v>0</v>
      </c>
      <c r="L695" t="n">
        <v>0</v>
      </c>
      <c r="M695" t="n">
        <v>0</v>
      </c>
      <c r="N695" t="n">
        <v>0</v>
      </c>
      <c r="O695" t="n">
        <v>0</v>
      </c>
      <c r="P695" t="n">
        <v>0</v>
      </c>
      <c r="Q695" t="n">
        <v>0</v>
      </c>
      <c r="R695" s="2" t="inlineStr"/>
    </row>
    <row r="696" ht="15" customHeight="1">
      <c r="A696" t="inlineStr">
        <is>
          <t>A 8823-2022</t>
        </is>
      </c>
      <c r="B696" s="1" t="n">
        <v>44614</v>
      </c>
      <c r="C696" s="1" t="n">
        <v>45668</v>
      </c>
      <c r="D696" t="inlineStr">
        <is>
          <t>JÄMTLANDS LÄN</t>
        </is>
      </c>
      <c r="E696" t="inlineStr">
        <is>
          <t>HÄRJEDALEN</t>
        </is>
      </c>
      <c r="F696" t="inlineStr">
        <is>
          <t>Naturvårdsverket</t>
        </is>
      </c>
      <c r="G696" t="n">
        <v>23.7</v>
      </c>
      <c r="H696" t="n">
        <v>0</v>
      </c>
      <c r="I696" t="n">
        <v>0</v>
      </c>
      <c r="J696" t="n">
        <v>0</v>
      </c>
      <c r="K696" t="n">
        <v>0</v>
      </c>
      <c r="L696" t="n">
        <v>0</v>
      </c>
      <c r="M696" t="n">
        <v>0</v>
      </c>
      <c r="N696" t="n">
        <v>0</v>
      </c>
      <c r="O696" t="n">
        <v>0</v>
      </c>
      <c r="P696" t="n">
        <v>0</v>
      </c>
      <c r="Q696" t="n">
        <v>0</v>
      </c>
      <c r="R696" s="2" t="inlineStr"/>
    </row>
    <row r="697" ht="15" customHeight="1">
      <c r="A697" t="inlineStr">
        <is>
          <t>A 9095-2022</t>
        </is>
      </c>
      <c r="B697" s="1" t="n">
        <v>44615</v>
      </c>
      <c r="C697" s="1" t="n">
        <v>45668</v>
      </c>
      <c r="D697" t="inlineStr">
        <is>
          <t>JÄMTLANDS LÄN</t>
        </is>
      </c>
      <c r="E697" t="inlineStr">
        <is>
          <t>HÄRJEDALEN</t>
        </is>
      </c>
      <c r="F697" t="inlineStr">
        <is>
          <t>Kyrkan</t>
        </is>
      </c>
      <c r="G697" t="n">
        <v>15.9</v>
      </c>
      <c r="H697" t="n">
        <v>0</v>
      </c>
      <c r="I697" t="n">
        <v>0</v>
      </c>
      <c r="J697" t="n">
        <v>0</v>
      </c>
      <c r="K697" t="n">
        <v>0</v>
      </c>
      <c r="L697" t="n">
        <v>0</v>
      </c>
      <c r="M697" t="n">
        <v>0</v>
      </c>
      <c r="N697" t="n">
        <v>0</v>
      </c>
      <c r="O697" t="n">
        <v>0</v>
      </c>
      <c r="P697" t="n">
        <v>0</v>
      </c>
      <c r="Q697" t="n">
        <v>0</v>
      </c>
      <c r="R697" s="2" t="inlineStr"/>
    </row>
    <row r="698" ht="15" customHeight="1">
      <c r="A698" t="inlineStr">
        <is>
          <t>A 10504-2022</t>
        </is>
      </c>
      <c r="B698" s="1" t="n">
        <v>44623</v>
      </c>
      <c r="C698" s="1" t="n">
        <v>45668</v>
      </c>
      <c r="D698" t="inlineStr">
        <is>
          <t>JÄMTLANDS LÄN</t>
        </is>
      </c>
      <c r="E698" t="inlineStr">
        <is>
          <t>HÄRJEDALEN</t>
        </is>
      </c>
      <c r="F698" t="inlineStr">
        <is>
          <t>Holmen skog AB</t>
        </is>
      </c>
      <c r="G698" t="n">
        <v>11.6</v>
      </c>
      <c r="H698" t="n">
        <v>0</v>
      </c>
      <c r="I698" t="n">
        <v>0</v>
      </c>
      <c r="J698" t="n">
        <v>0</v>
      </c>
      <c r="K698" t="n">
        <v>0</v>
      </c>
      <c r="L698" t="n">
        <v>0</v>
      </c>
      <c r="M698" t="n">
        <v>0</v>
      </c>
      <c r="N698" t="n">
        <v>0</v>
      </c>
      <c r="O698" t="n">
        <v>0</v>
      </c>
      <c r="P698" t="n">
        <v>0</v>
      </c>
      <c r="Q698" t="n">
        <v>0</v>
      </c>
      <c r="R698" s="2" t="inlineStr"/>
    </row>
    <row r="699" ht="15" customHeight="1">
      <c r="A699" t="inlineStr">
        <is>
          <t>A 10727-2022</t>
        </is>
      </c>
      <c r="B699" s="1" t="n">
        <v>44627</v>
      </c>
      <c r="C699" s="1" t="n">
        <v>45668</v>
      </c>
      <c r="D699" t="inlineStr">
        <is>
          <t>JÄMTLANDS LÄN</t>
        </is>
      </c>
      <c r="E699" t="inlineStr">
        <is>
          <t>HÄRJEDALEN</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10741-2022</t>
        </is>
      </c>
      <c r="B700" s="1" t="n">
        <v>44627</v>
      </c>
      <c r="C700" s="1" t="n">
        <v>45668</v>
      </c>
      <c r="D700" t="inlineStr">
        <is>
          <t>JÄMTLANDS LÄN</t>
        </is>
      </c>
      <c r="E700" t="inlineStr">
        <is>
          <t>HÄRJEDALEN</t>
        </is>
      </c>
      <c r="F700" t="inlineStr">
        <is>
          <t>Holmen skog AB</t>
        </is>
      </c>
      <c r="G700" t="n">
        <v>8</v>
      </c>
      <c r="H700" t="n">
        <v>0</v>
      </c>
      <c r="I700" t="n">
        <v>0</v>
      </c>
      <c r="J700" t="n">
        <v>0</v>
      </c>
      <c r="K700" t="n">
        <v>0</v>
      </c>
      <c r="L700" t="n">
        <v>0</v>
      </c>
      <c r="M700" t="n">
        <v>0</v>
      </c>
      <c r="N700" t="n">
        <v>0</v>
      </c>
      <c r="O700" t="n">
        <v>0</v>
      </c>
      <c r="P700" t="n">
        <v>0</v>
      </c>
      <c r="Q700" t="n">
        <v>0</v>
      </c>
      <c r="R700" s="2" t="inlineStr"/>
    </row>
    <row r="701" ht="15" customHeight="1">
      <c r="A701" t="inlineStr">
        <is>
          <t>A 10956-2022</t>
        </is>
      </c>
      <c r="B701" s="1" t="n">
        <v>44628</v>
      </c>
      <c r="C701" s="1" t="n">
        <v>45668</v>
      </c>
      <c r="D701" t="inlineStr">
        <is>
          <t>JÄMTLANDS LÄN</t>
        </is>
      </c>
      <c r="E701" t="inlineStr">
        <is>
          <t>HÄRJEDALEN</t>
        </is>
      </c>
      <c r="F701" t="inlineStr">
        <is>
          <t>Holmen skog AB</t>
        </is>
      </c>
      <c r="G701" t="n">
        <v>21.8</v>
      </c>
      <c r="H701" t="n">
        <v>0</v>
      </c>
      <c r="I701" t="n">
        <v>0</v>
      </c>
      <c r="J701" t="n">
        <v>0</v>
      </c>
      <c r="K701" t="n">
        <v>0</v>
      </c>
      <c r="L701" t="n">
        <v>0</v>
      </c>
      <c r="M701" t="n">
        <v>0</v>
      </c>
      <c r="N701" t="n">
        <v>0</v>
      </c>
      <c r="O701" t="n">
        <v>0</v>
      </c>
      <c r="P701" t="n">
        <v>0</v>
      </c>
      <c r="Q701" t="n">
        <v>0</v>
      </c>
      <c r="R701" s="2" t="inlineStr"/>
    </row>
    <row r="702" ht="15" customHeight="1">
      <c r="A702" t="inlineStr">
        <is>
          <t>A 10959-2022</t>
        </is>
      </c>
      <c r="B702" s="1" t="n">
        <v>44628</v>
      </c>
      <c r="C702" s="1" t="n">
        <v>45668</v>
      </c>
      <c r="D702" t="inlineStr">
        <is>
          <t>JÄMTLANDS LÄN</t>
        </is>
      </c>
      <c r="E702" t="inlineStr">
        <is>
          <t>HÄRJEDALEN</t>
        </is>
      </c>
      <c r="G702" t="n">
        <v>2.1</v>
      </c>
      <c r="H702" t="n">
        <v>0</v>
      </c>
      <c r="I702" t="n">
        <v>0</v>
      </c>
      <c r="J702" t="n">
        <v>0</v>
      </c>
      <c r="K702" t="n">
        <v>0</v>
      </c>
      <c r="L702" t="n">
        <v>0</v>
      </c>
      <c r="M702" t="n">
        <v>0</v>
      </c>
      <c r="N702" t="n">
        <v>0</v>
      </c>
      <c r="O702" t="n">
        <v>0</v>
      </c>
      <c r="P702" t="n">
        <v>0</v>
      </c>
      <c r="Q702" t="n">
        <v>0</v>
      </c>
      <c r="R702" s="2" t="inlineStr"/>
    </row>
    <row r="703" ht="15" customHeight="1">
      <c r="A703" t="inlineStr">
        <is>
          <t>A 11334-2022</t>
        </is>
      </c>
      <c r="B703" s="1" t="n">
        <v>44630</v>
      </c>
      <c r="C703" s="1" t="n">
        <v>45668</v>
      </c>
      <c r="D703" t="inlineStr">
        <is>
          <t>JÄMTLANDS LÄN</t>
        </is>
      </c>
      <c r="E703" t="inlineStr">
        <is>
          <t>HÄRJEDALEN</t>
        </is>
      </c>
      <c r="F703" t="inlineStr">
        <is>
          <t>Holmen skog AB</t>
        </is>
      </c>
      <c r="G703" t="n">
        <v>5.8</v>
      </c>
      <c r="H703" t="n">
        <v>0</v>
      </c>
      <c r="I703" t="n">
        <v>0</v>
      </c>
      <c r="J703" t="n">
        <v>0</v>
      </c>
      <c r="K703" t="n">
        <v>0</v>
      </c>
      <c r="L703" t="n">
        <v>0</v>
      </c>
      <c r="M703" t="n">
        <v>0</v>
      </c>
      <c r="N703" t="n">
        <v>0</v>
      </c>
      <c r="O703" t="n">
        <v>0</v>
      </c>
      <c r="P703" t="n">
        <v>0</v>
      </c>
      <c r="Q703" t="n">
        <v>0</v>
      </c>
      <c r="R703" s="2" t="inlineStr"/>
    </row>
    <row r="704" ht="15" customHeight="1">
      <c r="A704" t="inlineStr">
        <is>
          <t>A 11512-2022</t>
        </is>
      </c>
      <c r="B704" s="1" t="n">
        <v>44631</v>
      </c>
      <c r="C704" s="1" t="n">
        <v>45668</v>
      </c>
      <c r="D704" t="inlineStr">
        <is>
          <t>JÄMTLANDS LÄN</t>
        </is>
      </c>
      <c r="E704" t="inlineStr">
        <is>
          <t>HÄRJEDALEN</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11528-2022</t>
        </is>
      </c>
      <c r="B705" s="1" t="n">
        <v>44631</v>
      </c>
      <c r="C705" s="1" t="n">
        <v>45668</v>
      </c>
      <c r="D705" t="inlineStr">
        <is>
          <t>JÄMTLANDS LÄN</t>
        </is>
      </c>
      <c r="E705" t="inlineStr">
        <is>
          <t>HÄRJEDALEN</t>
        </is>
      </c>
      <c r="F705" t="inlineStr">
        <is>
          <t>Holmen skog AB</t>
        </is>
      </c>
      <c r="G705" t="n">
        <v>6.1</v>
      </c>
      <c r="H705" t="n">
        <v>0</v>
      </c>
      <c r="I705" t="n">
        <v>0</v>
      </c>
      <c r="J705" t="n">
        <v>0</v>
      </c>
      <c r="K705" t="n">
        <v>0</v>
      </c>
      <c r="L705" t="n">
        <v>0</v>
      </c>
      <c r="M705" t="n">
        <v>0</v>
      </c>
      <c r="N705" t="n">
        <v>0</v>
      </c>
      <c r="O705" t="n">
        <v>0</v>
      </c>
      <c r="P705" t="n">
        <v>0</v>
      </c>
      <c r="Q705" t="n">
        <v>0</v>
      </c>
      <c r="R705" s="2" t="inlineStr"/>
    </row>
    <row r="706" ht="15" customHeight="1">
      <c r="A706" t="inlineStr">
        <is>
          <t>A 11553-2022</t>
        </is>
      </c>
      <c r="B706" s="1" t="n">
        <v>44631</v>
      </c>
      <c r="C706" s="1" t="n">
        <v>45668</v>
      </c>
      <c r="D706" t="inlineStr">
        <is>
          <t>JÄMTLANDS LÄN</t>
        </is>
      </c>
      <c r="E706" t="inlineStr">
        <is>
          <t>HÄRJEDALEN</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11525-2022</t>
        </is>
      </c>
      <c r="B707" s="1" t="n">
        <v>44631</v>
      </c>
      <c r="C707" s="1" t="n">
        <v>45668</v>
      </c>
      <c r="D707" t="inlineStr">
        <is>
          <t>JÄMTLANDS LÄN</t>
        </is>
      </c>
      <c r="E707" t="inlineStr">
        <is>
          <t>HÄRJEDALEN</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11545-2022</t>
        </is>
      </c>
      <c r="B708" s="1" t="n">
        <v>44631</v>
      </c>
      <c r="C708" s="1" t="n">
        <v>45668</v>
      </c>
      <c r="D708" t="inlineStr">
        <is>
          <t>JÄMTLANDS LÄN</t>
        </is>
      </c>
      <c r="E708" t="inlineStr">
        <is>
          <t>HÄRJEDALEN</t>
        </is>
      </c>
      <c r="F708" t="inlineStr">
        <is>
          <t>Holmen skog AB</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11522-2022</t>
        </is>
      </c>
      <c r="B709" s="1" t="n">
        <v>44631</v>
      </c>
      <c r="C709" s="1" t="n">
        <v>45668</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11527-2022</t>
        </is>
      </c>
      <c r="B710" s="1" t="n">
        <v>44631</v>
      </c>
      <c r="C710" s="1" t="n">
        <v>45668</v>
      </c>
      <c r="D710" t="inlineStr">
        <is>
          <t>JÄMTLANDS LÄN</t>
        </is>
      </c>
      <c r="E710" t="inlineStr">
        <is>
          <t>HÄRJEDALEN</t>
        </is>
      </c>
      <c r="F710" t="inlineStr">
        <is>
          <t>Holmen skog AB</t>
        </is>
      </c>
      <c r="G710" t="n">
        <v>4.6</v>
      </c>
      <c r="H710" t="n">
        <v>0</v>
      </c>
      <c r="I710" t="n">
        <v>0</v>
      </c>
      <c r="J710" t="n">
        <v>0</v>
      </c>
      <c r="K710" t="n">
        <v>0</v>
      </c>
      <c r="L710" t="n">
        <v>0</v>
      </c>
      <c r="M710" t="n">
        <v>0</v>
      </c>
      <c r="N710" t="n">
        <v>0</v>
      </c>
      <c r="O710" t="n">
        <v>0</v>
      </c>
      <c r="P710" t="n">
        <v>0</v>
      </c>
      <c r="Q710" t="n">
        <v>0</v>
      </c>
      <c r="R710" s="2" t="inlineStr"/>
    </row>
    <row r="711" ht="15" customHeight="1">
      <c r="A711" t="inlineStr">
        <is>
          <t>A 11557-2022</t>
        </is>
      </c>
      <c r="B711" s="1" t="n">
        <v>44631</v>
      </c>
      <c r="C711" s="1" t="n">
        <v>45668</v>
      </c>
      <c r="D711" t="inlineStr">
        <is>
          <t>JÄMTLANDS LÄN</t>
        </is>
      </c>
      <c r="E711" t="inlineStr">
        <is>
          <t>HÄRJEDALEN</t>
        </is>
      </c>
      <c r="F711" t="inlineStr">
        <is>
          <t>Holmen skog AB</t>
        </is>
      </c>
      <c r="G711" t="n">
        <v>2.7</v>
      </c>
      <c r="H711" t="n">
        <v>0</v>
      </c>
      <c r="I711" t="n">
        <v>0</v>
      </c>
      <c r="J711" t="n">
        <v>0</v>
      </c>
      <c r="K711" t="n">
        <v>0</v>
      </c>
      <c r="L711" t="n">
        <v>0</v>
      </c>
      <c r="M711" t="n">
        <v>0</v>
      </c>
      <c r="N711" t="n">
        <v>0</v>
      </c>
      <c r="O711" t="n">
        <v>0</v>
      </c>
      <c r="P711" t="n">
        <v>0</v>
      </c>
      <c r="Q711" t="n">
        <v>0</v>
      </c>
      <c r="R711" s="2" t="inlineStr"/>
    </row>
    <row r="712" ht="15" customHeight="1">
      <c r="A712" t="inlineStr">
        <is>
          <t>A 11541-2022</t>
        </is>
      </c>
      <c r="B712" s="1" t="n">
        <v>44631</v>
      </c>
      <c r="C712" s="1" t="n">
        <v>45668</v>
      </c>
      <c r="D712" t="inlineStr">
        <is>
          <t>JÄMTLANDS LÄN</t>
        </is>
      </c>
      <c r="E712" t="inlineStr">
        <is>
          <t>HÄRJEDALEN</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11551-2022</t>
        </is>
      </c>
      <c r="B713" s="1" t="n">
        <v>44631</v>
      </c>
      <c r="C713" s="1" t="n">
        <v>45668</v>
      </c>
      <c r="D713" t="inlineStr">
        <is>
          <t>JÄMTLANDS LÄN</t>
        </is>
      </c>
      <c r="E713" t="inlineStr">
        <is>
          <t>HÄRJEDALEN</t>
        </is>
      </c>
      <c r="F713" t="inlineStr">
        <is>
          <t>Holmen skog AB</t>
        </is>
      </c>
      <c r="G713" t="n">
        <v>17.6</v>
      </c>
      <c r="H713" t="n">
        <v>0</v>
      </c>
      <c r="I713" t="n">
        <v>0</v>
      </c>
      <c r="J713" t="n">
        <v>0</v>
      </c>
      <c r="K713" t="n">
        <v>0</v>
      </c>
      <c r="L713" t="n">
        <v>0</v>
      </c>
      <c r="M713" t="n">
        <v>0</v>
      </c>
      <c r="N713" t="n">
        <v>0</v>
      </c>
      <c r="O713" t="n">
        <v>0</v>
      </c>
      <c r="P713" t="n">
        <v>0</v>
      </c>
      <c r="Q713" t="n">
        <v>0</v>
      </c>
      <c r="R713" s="2" t="inlineStr"/>
    </row>
    <row r="714" ht="15" customHeight="1">
      <c r="A714" t="inlineStr">
        <is>
          <t>A 12468-2022</t>
        </is>
      </c>
      <c r="B714" s="1" t="n">
        <v>44638</v>
      </c>
      <c r="C714" s="1" t="n">
        <v>45668</v>
      </c>
      <c r="D714" t="inlineStr">
        <is>
          <t>JÄMTLANDS LÄN</t>
        </is>
      </c>
      <c r="E714" t="inlineStr">
        <is>
          <t>HÄRJEDALEN</t>
        </is>
      </c>
      <c r="G714" t="n">
        <v>2.5</v>
      </c>
      <c r="H714" t="n">
        <v>0</v>
      </c>
      <c r="I714" t="n">
        <v>0</v>
      </c>
      <c r="J714" t="n">
        <v>0</v>
      </c>
      <c r="K714" t="n">
        <v>0</v>
      </c>
      <c r="L714" t="n">
        <v>0</v>
      </c>
      <c r="M714" t="n">
        <v>0</v>
      </c>
      <c r="N714" t="n">
        <v>0</v>
      </c>
      <c r="O714" t="n">
        <v>0</v>
      </c>
      <c r="P714" t="n">
        <v>0</v>
      </c>
      <c r="Q714" t="n">
        <v>0</v>
      </c>
      <c r="R714" s="2" t="inlineStr"/>
    </row>
    <row r="715" ht="15" customHeight="1">
      <c r="A715" t="inlineStr">
        <is>
          <t>A 12810-2022</t>
        </is>
      </c>
      <c r="B715" s="1" t="n">
        <v>44642</v>
      </c>
      <c r="C715" s="1" t="n">
        <v>45668</v>
      </c>
      <c r="D715" t="inlineStr">
        <is>
          <t>JÄMTLANDS LÄN</t>
        </is>
      </c>
      <c r="E715" t="inlineStr">
        <is>
          <t>HÄRJEDALEN</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13081-2022</t>
        </is>
      </c>
      <c r="B716" s="1" t="n">
        <v>44643</v>
      </c>
      <c r="C716" s="1" t="n">
        <v>45668</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13991-2022</t>
        </is>
      </c>
      <c r="B717" s="1" t="n">
        <v>44650</v>
      </c>
      <c r="C717" s="1" t="n">
        <v>45668</v>
      </c>
      <c r="D717" t="inlineStr">
        <is>
          <t>JÄMTLANDS LÄN</t>
        </is>
      </c>
      <c r="E717" t="inlineStr">
        <is>
          <t>HÄRJEDALEN</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15374-2022</t>
        </is>
      </c>
      <c r="B718" s="1" t="n">
        <v>44659</v>
      </c>
      <c r="C718" s="1" t="n">
        <v>45668</v>
      </c>
      <c r="D718" t="inlineStr">
        <is>
          <t>JÄMTLANDS LÄN</t>
        </is>
      </c>
      <c r="E718" t="inlineStr">
        <is>
          <t>HÄRJEDALEN</t>
        </is>
      </c>
      <c r="G718" t="n">
        <v>1.9</v>
      </c>
      <c r="H718" t="n">
        <v>0</v>
      </c>
      <c r="I718" t="n">
        <v>0</v>
      </c>
      <c r="J718" t="n">
        <v>0</v>
      </c>
      <c r="K718" t="n">
        <v>0</v>
      </c>
      <c r="L718" t="n">
        <v>0</v>
      </c>
      <c r="M718" t="n">
        <v>0</v>
      </c>
      <c r="N718" t="n">
        <v>0</v>
      </c>
      <c r="O718" t="n">
        <v>0</v>
      </c>
      <c r="P718" t="n">
        <v>0</v>
      </c>
      <c r="Q718" t="n">
        <v>0</v>
      </c>
      <c r="R718" s="2" t="inlineStr"/>
    </row>
    <row r="719" ht="15" customHeight="1">
      <c r="A719" t="inlineStr">
        <is>
          <t>A 15611-2022</t>
        </is>
      </c>
      <c r="B719" s="1" t="n">
        <v>44662</v>
      </c>
      <c r="C719" s="1" t="n">
        <v>45668</v>
      </c>
      <c r="D719" t="inlineStr">
        <is>
          <t>JÄMTLANDS LÄN</t>
        </is>
      </c>
      <c r="E719" t="inlineStr">
        <is>
          <t>HÄRJEDALEN</t>
        </is>
      </c>
      <c r="F719" t="inlineStr">
        <is>
          <t>Kyrkan</t>
        </is>
      </c>
      <c r="G719" t="n">
        <v>6.9</v>
      </c>
      <c r="H719" t="n">
        <v>0</v>
      </c>
      <c r="I719" t="n">
        <v>0</v>
      </c>
      <c r="J719" t="n">
        <v>0</v>
      </c>
      <c r="K719" t="n">
        <v>0</v>
      </c>
      <c r="L719" t="n">
        <v>0</v>
      </c>
      <c r="M719" t="n">
        <v>0</v>
      </c>
      <c r="N719" t="n">
        <v>0</v>
      </c>
      <c r="O719" t="n">
        <v>0</v>
      </c>
      <c r="P719" t="n">
        <v>0</v>
      </c>
      <c r="Q719" t="n">
        <v>0</v>
      </c>
      <c r="R719" s="2" t="inlineStr"/>
    </row>
    <row r="720" ht="15" customHeight="1">
      <c r="A720" t="inlineStr">
        <is>
          <t>A 15763-2022</t>
        </is>
      </c>
      <c r="B720" s="1" t="n">
        <v>44663</v>
      </c>
      <c r="C720" s="1" t="n">
        <v>45668</v>
      </c>
      <c r="D720" t="inlineStr">
        <is>
          <t>JÄMTLANDS LÄN</t>
        </is>
      </c>
      <c r="E720" t="inlineStr">
        <is>
          <t>HÄRJEDALEN</t>
        </is>
      </c>
      <c r="G720" t="n">
        <v>4.4</v>
      </c>
      <c r="H720" t="n">
        <v>0</v>
      </c>
      <c r="I720" t="n">
        <v>0</v>
      </c>
      <c r="J720" t="n">
        <v>0</v>
      </c>
      <c r="K720" t="n">
        <v>0</v>
      </c>
      <c r="L720" t="n">
        <v>0</v>
      </c>
      <c r="M720" t="n">
        <v>0</v>
      </c>
      <c r="N720" t="n">
        <v>0</v>
      </c>
      <c r="O720" t="n">
        <v>0</v>
      </c>
      <c r="P720" t="n">
        <v>0</v>
      </c>
      <c r="Q720" t="n">
        <v>0</v>
      </c>
      <c r="R720" s="2" t="inlineStr"/>
    </row>
    <row r="721" ht="15" customHeight="1">
      <c r="A721" t="inlineStr">
        <is>
          <t>A 16014-2022</t>
        </is>
      </c>
      <c r="B721" s="1" t="n">
        <v>44665</v>
      </c>
      <c r="C721" s="1" t="n">
        <v>45668</v>
      </c>
      <c r="D721" t="inlineStr">
        <is>
          <t>JÄMTLANDS LÄN</t>
        </is>
      </c>
      <c r="E721" t="inlineStr">
        <is>
          <t>HÄRJEDALEN</t>
        </is>
      </c>
      <c r="G721" t="n">
        <v>38.7</v>
      </c>
      <c r="H721" t="n">
        <v>0</v>
      </c>
      <c r="I721" t="n">
        <v>0</v>
      </c>
      <c r="J721" t="n">
        <v>0</v>
      </c>
      <c r="K721" t="n">
        <v>0</v>
      </c>
      <c r="L721" t="n">
        <v>0</v>
      </c>
      <c r="M721" t="n">
        <v>0</v>
      </c>
      <c r="N721" t="n">
        <v>0</v>
      </c>
      <c r="O721" t="n">
        <v>0</v>
      </c>
      <c r="P721" t="n">
        <v>0</v>
      </c>
      <c r="Q721" t="n">
        <v>0</v>
      </c>
      <c r="R721" s="2" t="inlineStr"/>
    </row>
    <row r="722" ht="15" customHeight="1">
      <c r="A722" t="inlineStr">
        <is>
          <t>A 17805-2022</t>
        </is>
      </c>
      <c r="B722" s="1" t="n">
        <v>44683</v>
      </c>
      <c r="C722" s="1" t="n">
        <v>45668</v>
      </c>
      <c r="D722" t="inlineStr">
        <is>
          <t>JÄMTLANDS LÄN</t>
        </is>
      </c>
      <c r="E722" t="inlineStr">
        <is>
          <t>HÄRJEDALEN</t>
        </is>
      </c>
      <c r="G722" t="n">
        <v>15.7</v>
      </c>
      <c r="H722" t="n">
        <v>0</v>
      </c>
      <c r="I722" t="n">
        <v>0</v>
      </c>
      <c r="J722" t="n">
        <v>0</v>
      </c>
      <c r="K722" t="n">
        <v>0</v>
      </c>
      <c r="L722" t="n">
        <v>0</v>
      </c>
      <c r="M722" t="n">
        <v>0</v>
      </c>
      <c r="N722" t="n">
        <v>0</v>
      </c>
      <c r="O722" t="n">
        <v>0</v>
      </c>
      <c r="P722" t="n">
        <v>0</v>
      </c>
      <c r="Q722" t="n">
        <v>0</v>
      </c>
      <c r="R722" s="2" t="inlineStr"/>
    </row>
    <row r="723" ht="15" customHeight="1">
      <c r="A723" t="inlineStr">
        <is>
          <t>A 17797-2022</t>
        </is>
      </c>
      <c r="B723" s="1" t="n">
        <v>44683</v>
      </c>
      <c r="C723" s="1" t="n">
        <v>45668</v>
      </c>
      <c r="D723" t="inlineStr">
        <is>
          <t>JÄMTLANDS LÄN</t>
        </is>
      </c>
      <c r="E723" t="inlineStr">
        <is>
          <t>HÄRJEDALEN</t>
        </is>
      </c>
      <c r="G723" t="n">
        <v>15.4</v>
      </c>
      <c r="H723" t="n">
        <v>0</v>
      </c>
      <c r="I723" t="n">
        <v>0</v>
      </c>
      <c r="J723" t="n">
        <v>0</v>
      </c>
      <c r="K723" t="n">
        <v>0</v>
      </c>
      <c r="L723" t="n">
        <v>0</v>
      </c>
      <c r="M723" t="n">
        <v>0</v>
      </c>
      <c r="N723" t="n">
        <v>0</v>
      </c>
      <c r="O723" t="n">
        <v>0</v>
      </c>
      <c r="P723" t="n">
        <v>0</v>
      </c>
      <c r="Q723" t="n">
        <v>0</v>
      </c>
      <c r="R723" s="2" t="inlineStr"/>
    </row>
    <row r="724" ht="15" customHeight="1">
      <c r="A724" t="inlineStr">
        <is>
          <t>A 17935-2022</t>
        </is>
      </c>
      <c r="B724" s="1" t="n">
        <v>44683</v>
      </c>
      <c r="C724" s="1" t="n">
        <v>45668</v>
      </c>
      <c r="D724" t="inlineStr">
        <is>
          <t>JÄMTLANDS LÄN</t>
        </is>
      </c>
      <c r="E724" t="inlineStr">
        <is>
          <t>HÄRJEDALEN</t>
        </is>
      </c>
      <c r="G724" t="n">
        <v>4.2</v>
      </c>
      <c r="H724" t="n">
        <v>0</v>
      </c>
      <c r="I724" t="n">
        <v>0</v>
      </c>
      <c r="J724" t="n">
        <v>0</v>
      </c>
      <c r="K724" t="n">
        <v>0</v>
      </c>
      <c r="L724" t="n">
        <v>0</v>
      </c>
      <c r="M724" t="n">
        <v>0</v>
      </c>
      <c r="N724" t="n">
        <v>0</v>
      </c>
      <c r="O724" t="n">
        <v>0</v>
      </c>
      <c r="P724" t="n">
        <v>0</v>
      </c>
      <c r="Q724" t="n">
        <v>0</v>
      </c>
      <c r="R724" s="2" t="inlineStr"/>
    </row>
    <row r="725" ht="15" customHeight="1">
      <c r="A725" t="inlineStr">
        <is>
          <t>A 18169-2022</t>
        </is>
      </c>
      <c r="B725" s="1" t="n">
        <v>44684</v>
      </c>
      <c r="C725" s="1" t="n">
        <v>45668</v>
      </c>
      <c r="D725" t="inlineStr">
        <is>
          <t>JÄMTLANDS LÄN</t>
        </is>
      </c>
      <c r="E725" t="inlineStr">
        <is>
          <t>HÄRJEDALEN</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18778-2022</t>
        </is>
      </c>
      <c r="B726" s="1" t="n">
        <v>44689</v>
      </c>
      <c r="C726" s="1" t="n">
        <v>45668</v>
      </c>
      <c r="D726" t="inlineStr">
        <is>
          <t>JÄMTLANDS LÄN</t>
        </is>
      </c>
      <c r="E726" t="inlineStr">
        <is>
          <t>HÄRJEDALEN</t>
        </is>
      </c>
      <c r="G726" t="n">
        <v>4.1</v>
      </c>
      <c r="H726" t="n">
        <v>0</v>
      </c>
      <c r="I726" t="n">
        <v>0</v>
      </c>
      <c r="J726" t="n">
        <v>0</v>
      </c>
      <c r="K726" t="n">
        <v>0</v>
      </c>
      <c r="L726" t="n">
        <v>0</v>
      </c>
      <c r="M726" t="n">
        <v>0</v>
      </c>
      <c r="N726" t="n">
        <v>0</v>
      </c>
      <c r="O726" t="n">
        <v>0</v>
      </c>
      <c r="P726" t="n">
        <v>0</v>
      </c>
      <c r="Q726" t="n">
        <v>0</v>
      </c>
      <c r="R726" s="2" t="inlineStr"/>
    </row>
    <row r="727" ht="15" customHeight="1">
      <c r="A727" t="inlineStr">
        <is>
          <t>A 18808-2022</t>
        </is>
      </c>
      <c r="B727" s="1" t="n">
        <v>44690</v>
      </c>
      <c r="C727" s="1" t="n">
        <v>45668</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20059-2022</t>
        </is>
      </c>
      <c r="B728" s="1" t="n">
        <v>44698</v>
      </c>
      <c r="C728" s="1" t="n">
        <v>45668</v>
      </c>
      <c r="D728" t="inlineStr">
        <is>
          <t>JÄMTLANDS LÄN</t>
        </is>
      </c>
      <c r="E728" t="inlineStr">
        <is>
          <t>HÄRJEDALEN</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20206-2022</t>
        </is>
      </c>
      <c r="B729" s="1" t="n">
        <v>44698</v>
      </c>
      <c r="C729" s="1" t="n">
        <v>45668</v>
      </c>
      <c r="D729" t="inlineStr">
        <is>
          <t>JÄMTLANDS LÄN</t>
        </is>
      </c>
      <c r="E729" t="inlineStr">
        <is>
          <t>HÄRJEDALEN</t>
        </is>
      </c>
      <c r="F729" t="inlineStr">
        <is>
          <t>Bergvik skog väst AB</t>
        </is>
      </c>
      <c r="G729" t="n">
        <v>5.8</v>
      </c>
      <c r="H729" t="n">
        <v>0</v>
      </c>
      <c r="I729" t="n">
        <v>0</v>
      </c>
      <c r="J729" t="n">
        <v>0</v>
      </c>
      <c r="K729" t="n">
        <v>0</v>
      </c>
      <c r="L729" t="n">
        <v>0</v>
      </c>
      <c r="M729" t="n">
        <v>0</v>
      </c>
      <c r="N729" t="n">
        <v>0</v>
      </c>
      <c r="O729" t="n">
        <v>0</v>
      </c>
      <c r="P729" t="n">
        <v>0</v>
      </c>
      <c r="Q729" t="n">
        <v>0</v>
      </c>
      <c r="R729" s="2" t="inlineStr"/>
    </row>
    <row r="730" ht="15" customHeight="1">
      <c r="A730" t="inlineStr">
        <is>
          <t>A 21610-2022</t>
        </is>
      </c>
      <c r="B730" s="1" t="n">
        <v>44706</v>
      </c>
      <c r="C730" s="1" t="n">
        <v>45668</v>
      </c>
      <c r="D730" t="inlineStr">
        <is>
          <t>JÄMTLANDS LÄN</t>
        </is>
      </c>
      <c r="E730" t="inlineStr">
        <is>
          <t>HÄRJEDALEN</t>
        </is>
      </c>
      <c r="F730" t="inlineStr">
        <is>
          <t>Holmen skog AB</t>
        </is>
      </c>
      <c r="G730" t="n">
        <v>15.3</v>
      </c>
      <c r="H730" t="n">
        <v>0</v>
      </c>
      <c r="I730" t="n">
        <v>0</v>
      </c>
      <c r="J730" t="n">
        <v>0</v>
      </c>
      <c r="K730" t="n">
        <v>0</v>
      </c>
      <c r="L730" t="n">
        <v>0</v>
      </c>
      <c r="M730" t="n">
        <v>0</v>
      </c>
      <c r="N730" t="n">
        <v>0</v>
      </c>
      <c r="O730" t="n">
        <v>0</v>
      </c>
      <c r="P730" t="n">
        <v>0</v>
      </c>
      <c r="Q730" t="n">
        <v>0</v>
      </c>
      <c r="R730" s="2" t="inlineStr"/>
    </row>
    <row r="731" ht="15" customHeight="1">
      <c r="A731" t="inlineStr">
        <is>
          <t>A 21767-2022</t>
        </is>
      </c>
      <c r="B731" s="1" t="n">
        <v>44708</v>
      </c>
      <c r="C731" s="1" t="n">
        <v>45668</v>
      </c>
      <c r="D731" t="inlineStr">
        <is>
          <t>JÄMTLANDS LÄN</t>
        </is>
      </c>
      <c r="E731" t="inlineStr">
        <is>
          <t>HÄRJEDALEN</t>
        </is>
      </c>
      <c r="F731" t="inlineStr">
        <is>
          <t>Holmen skog AB</t>
        </is>
      </c>
      <c r="G731" t="n">
        <v>8.1</v>
      </c>
      <c r="H731" t="n">
        <v>0</v>
      </c>
      <c r="I731" t="n">
        <v>0</v>
      </c>
      <c r="J731" t="n">
        <v>0</v>
      </c>
      <c r="K731" t="n">
        <v>0</v>
      </c>
      <c r="L731" t="n">
        <v>0</v>
      </c>
      <c r="M731" t="n">
        <v>0</v>
      </c>
      <c r="N731" t="n">
        <v>0</v>
      </c>
      <c r="O731" t="n">
        <v>0</v>
      </c>
      <c r="P731" t="n">
        <v>0</v>
      </c>
      <c r="Q731" t="n">
        <v>0</v>
      </c>
      <c r="R731" s="2" t="inlineStr"/>
    </row>
    <row r="732" ht="15" customHeight="1">
      <c r="A732" t="inlineStr">
        <is>
          <t>A 21774-2022</t>
        </is>
      </c>
      <c r="B732" s="1" t="n">
        <v>44708</v>
      </c>
      <c r="C732" s="1" t="n">
        <v>45668</v>
      </c>
      <c r="D732" t="inlineStr">
        <is>
          <t>JÄMTLANDS LÄN</t>
        </is>
      </c>
      <c r="E732" t="inlineStr">
        <is>
          <t>HÄRJEDALEN</t>
        </is>
      </c>
      <c r="F732" t="inlineStr">
        <is>
          <t>Holmen skog AB</t>
        </is>
      </c>
      <c r="G732" t="n">
        <v>17.3</v>
      </c>
      <c r="H732" t="n">
        <v>0</v>
      </c>
      <c r="I732" t="n">
        <v>0</v>
      </c>
      <c r="J732" t="n">
        <v>0</v>
      </c>
      <c r="K732" t="n">
        <v>0</v>
      </c>
      <c r="L732" t="n">
        <v>0</v>
      </c>
      <c r="M732" t="n">
        <v>0</v>
      </c>
      <c r="N732" t="n">
        <v>0</v>
      </c>
      <c r="O732" t="n">
        <v>0</v>
      </c>
      <c r="P732" t="n">
        <v>0</v>
      </c>
      <c r="Q732" t="n">
        <v>0</v>
      </c>
      <c r="R732" s="2" t="inlineStr"/>
    </row>
    <row r="733" ht="15" customHeight="1">
      <c r="A733" t="inlineStr">
        <is>
          <t>A 21778-2022</t>
        </is>
      </c>
      <c r="B733" s="1" t="n">
        <v>44708</v>
      </c>
      <c r="C733" s="1" t="n">
        <v>45668</v>
      </c>
      <c r="D733" t="inlineStr">
        <is>
          <t>JÄMTLANDS LÄN</t>
        </is>
      </c>
      <c r="E733" t="inlineStr">
        <is>
          <t>HÄRJEDALEN</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21770-2022</t>
        </is>
      </c>
      <c r="B734" s="1" t="n">
        <v>44708</v>
      </c>
      <c r="C734" s="1" t="n">
        <v>45668</v>
      </c>
      <c r="D734" t="inlineStr">
        <is>
          <t>JÄMTLANDS LÄN</t>
        </is>
      </c>
      <c r="E734" t="inlineStr">
        <is>
          <t>HÄRJEDALEN</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21781-2022</t>
        </is>
      </c>
      <c r="B735" s="1" t="n">
        <v>44708</v>
      </c>
      <c r="C735" s="1" t="n">
        <v>45668</v>
      </c>
      <c r="D735" t="inlineStr">
        <is>
          <t>JÄMTLANDS LÄN</t>
        </is>
      </c>
      <c r="E735" t="inlineStr">
        <is>
          <t>HÄRJEDALEN</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21796-2022</t>
        </is>
      </c>
      <c r="B736" s="1" t="n">
        <v>44708</v>
      </c>
      <c r="C736" s="1" t="n">
        <v>45668</v>
      </c>
      <c r="D736" t="inlineStr">
        <is>
          <t>JÄMTLANDS LÄN</t>
        </is>
      </c>
      <c r="E736" t="inlineStr">
        <is>
          <t>HÄRJEDALEN</t>
        </is>
      </c>
      <c r="F736" t="inlineStr">
        <is>
          <t>Holmen skog AB</t>
        </is>
      </c>
      <c r="G736" t="n">
        <v>22.3</v>
      </c>
      <c r="H736" t="n">
        <v>0</v>
      </c>
      <c r="I736" t="n">
        <v>0</v>
      </c>
      <c r="J736" t="n">
        <v>0</v>
      </c>
      <c r="K736" t="n">
        <v>0</v>
      </c>
      <c r="L736" t="n">
        <v>0</v>
      </c>
      <c r="M736" t="n">
        <v>0</v>
      </c>
      <c r="N736" t="n">
        <v>0</v>
      </c>
      <c r="O736" t="n">
        <v>0</v>
      </c>
      <c r="P736" t="n">
        <v>0</v>
      </c>
      <c r="Q736" t="n">
        <v>0</v>
      </c>
      <c r="R736" s="2" t="inlineStr"/>
    </row>
    <row r="737" ht="15" customHeight="1">
      <c r="A737" t="inlineStr">
        <is>
          <t>A 22166-2022</t>
        </is>
      </c>
      <c r="B737" s="1" t="n">
        <v>44712</v>
      </c>
      <c r="C737" s="1" t="n">
        <v>45668</v>
      </c>
      <c r="D737" t="inlineStr">
        <is>
          <t>JÄMTLANDS LÄN</t>
        </is>
      </c>
      <c r="E737" t="inlineStr">
        <is>
          <t>HÄRJEDALEN</t>
        </is>
      </c>
      <c r="F737" t="inlineStr">
        <is>
          <t>Holmen skog AB</t>
        </is>
      </c>
      <c r="G737" t="n">
        <v>5.6</v>
      </c>
      <c r="H737" t="n">
        <v>0</v>
      </c>
      <c r="I737" t="n">
        <v>0</v>
      </c>
      <c r="J737" t="n">
        <v>0</v>
      </c>
      <c r="K737" t="n">
        <v>0</v>
      </c>
      <c r="L737" t="n">
        <v>0</v>
      </c>
      <c r="M737" t="n">
        <v>0</v>
      </c>
      <c r="N737" t="n">
        <v>0</v>
      </c>
      <c r="O737" t="n">
        <v>0</v>
      </c>
      <c r="P737" t="n">
        <v>0</v>
      </c>
      <c r="Q737" t="n">
        <v>0</v>
      </c>
      <c r="R737" s="2" t="inlineStr"/>
    </row>
    <row r="738" ht="15" customHeight="1">
      <c r="A738" t="inlineStr">
        <is>
          <t>A 23074-2022</t>
        </is>
      </c>
      <c r="B738" s="1" t="n">
        <v>44719</v>
      </c>
      <c r="C738" s="1" t="n">
        <v>45668</v>
      </c>
      <c r="D738" t="inlineStr">
        <is>
          <t>JÄMTLANDS LÄN</t>
        </is>
      </c>
      <c r="E738" t="inlineStr">
        <is>
          <t>HÄRJEDALEN</t>
        </is>
      </c>
      <c r="F738" t="inlineStr">
        <is>
          <t>Bergvik skog väst AB</t>
        </is>
      </c>
      <c r="G738" t="n">
        <v>23.2</v>
      </c>
      <c r="H738" t="n">
        <v>0</v>
      </c>
      <c r="I738" t="n">
        <v>0</v>
      </c>
      <c r="J738" t="n">
        <v>0</v>
      </c>
      <c r="K738" t="n">
        <v>0</v>
      </c>
      <c r="L738" t="n">
        <v>0</v>
      </c>
      <c r="M738" t="n">
        <v>0</v>
      </c>
      <c r="N738" t="n">
        <v>0</v>
      </c>
      <c r="O738" t="n">
        <v>0</v>
      </c>
      <c r="P738" t="n">
        <v>0</v>
      </c>
      <c r="Q738" t="n">
        <v>0</v>
      </c>
      <c r="R738" s="2" t="inlineStr"/>
    </row>
    <row r="739" ht="15" customHeight="1">
      <c r="A739" t="inlineStr">
        <is>
          <t>A 23140-2022</t>
        </is>
      </c>
      <c r="B739" s="1" t="n">
        <v>44719</v>
      </c>
      <c r="C739" s="1" t="n">
        <v>45668</v>
      </c>
      <c r="D739" t="inlineStr">
        <is>
          <t>JÄMTLANDS LÄN</t>
        </is>
      </c>
      <c r="E739" t="inlineStr">
        <is>
          <t>HÄRJEDALEN</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23731-2022</t>
        </is>
      </c>
      <c r="B740" s="1" t="n">
        <v>44722</v>
      </c>
      <c r="C740" s="1" t="n">
        <v>45668</v>
      </c>
      <c r="D740" t="inlineStr">
        <is>
          <t>JÄMTLANDS LÄN</t>
        </is>
      </c>
      <c r="E740" t="inlineStr">
        <is>
          <t>HÄRJEDALEN</t>
        </is>
      </c>
      <c r="G740" t="n">
        <v>15.6</v>
      </c>
      <c r="H740" t="n">
        <v>0</v>
      </c>
      <c r="I740" t="n">
        <v>0</v>
      </c>
      <c r="J740" t="n">
        <v>0</v>
      </c>
      <c r="K740" t="n">
        <v>0</v>
      </c>
      <c r="L740" t="n">
        <v>0</v>
      </c>
      <c r="M740" t="n">
        <v>0</v>
      </c>
      <c r="N740" t="n">
        <v>0</v>
      </c>
      <c r="O740" t="n">
        <v>0</v>
      </c>
      <c r="P740" t="n">
        <v>0</v>
      </c>
      <c r="Q740" t="n">
        <v>0</v>
      </c>
      <c r="R740" s="2" t="inlineStr"/>
    </row>
    <row r="741" ht="15" customHeight="1">
      <c r="A741" t="inlineStr">
        <is>
          <t>A 24214-2022</t>
        </is>
      </c>
      <c r="B741" s="1" t="n">
        <v>44725</v>
      </c>
      <c r="C741" s="1" t="n">
        <v>45668</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24426-2022</t>
        </is>
      </c>
      <c r="B742" s="1" t="n">
        <v>44726</v>
      </c>
      <c r="C742" s="1" t="n">
        <v>45668</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24530-2022</t>
        </is>
      </c>
      <c r="B743" s="1" t="n">
        <v>44726</v>
      </c>
      <c r="C743" s="1" t="n">
        <v>45668</v>
      </c>
      <c r="D743" t="inlineStr">
        <is>
          <t>JÄMTLANDS LÄN</t>
        </is>
      </c>
      <c r="E743" t="inlineStr">
        <is>
          <t>HÄRJEDALEN</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24571-2022</t>
        </is>
      </c>
      <c r="B744" s="1" t="n">
        <v>44727</v>
      </c>
      <c r="C744" s="1" t="n">
        <v>45668</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24690-2022</t>
        </is>
      </c>
      <c r="B745" s="1" t="n">
        <v>44727</v>
      </c>
      <c r="C745" s="1" t="n">
        <v>45668</v>
      </c>
      <c r="D745" t="inlineStr">
        <is>
          <t>JÄMTLANDS LÄN</t>
        </is>
      </c>
      <c r="E745" t="inlineStr">
        <is>
          <t>HÄRJEDALEN</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24693-2022</t>
        </is>
      </c>
      <c r="B746" s="1" t="n">
        <v>44727</v>
      </c>
      <c r="C746" s="1" t="n">
        <v>45668</v>
      </c>
      <c r="D746" t="inlineStr">
        <is>
          <t>JÄMTLANDS LÄN</t>
        </is>
      </c>
      <c r="E746" t="inlineStr">
        <is>
          <t>HÄRJEDALEN</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24824-2022</t>
        </is>
      </c>
      <c r="B747" s="1" t="n">
        <v>44728</v>
      </c>
      <c r="C747" s="1" t="n">
        <v>45668</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24834-2022</t>
        </is>
      </c>
      <c r="B748" s="1" t="n">
        <v>44728</v>
      </c>
      <c r="C748" s="1" t="n">
        <v>45668</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24792-2022</t>
        </is>
      </c>
      <c r="B749" s="1" t="n">
        <v>44728</v>
      </c>
      <c r="C749" s="1" t="n">
        <v>45668</v>
      </c>
      <c r="D749" t="inlineStr">
        <is>
          <t>JÄMTLANDS LÄN</t>
        </is>
      </c>
      <c r="E749" t="inlineStr">
        <is>
          <t>HÄRJEDALEN</t>
        </is>
      </c>
      <c r="G749" t="n">
        <v>0.2</v>
      </c>
      <c r="H749" t="n">
        <v>0</v>
      </c>
      <c r="I749" t="n">
        <v>0</v>
      </c>
      <c r="J749" t="n">
        <v>0</v>
      </c>
      <c r="K749" t="n">
        <v>0</v>
      </c>
      <c r="L749" t="n">
        <v>0</v>
      </c>
      <c r="M749" t="n">
        <v>0</v>
      </c>
      <c r="N749" t="n">
        <v>0</v>
      </c>
      <c r="O749" t="n">
        <v>0</v>
      </c>
      <c r="P749" t="n">
        <v>0</v>
      </c>
      <c r="Q749" t="n">
        <v>0</v>
      </c>
      <c r="R749" s="2" t="inlineStr"/>
    </row>
    <row r="750" ht="15" customHeight="1">
      <c r="A750" t="inlineStr">
        <is>
          <t>A 25500-2022</t>
        </is>
      </c>
      <c r="B750" s="1" t="n">
        <v>44732</v>
      </c>
      <c r="C750" s="1" t="n">
        <v>45668</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25583-2022</t>
        </is>
      </c>
      <c r="B751" s="1" t="n">
        <v>44732</v>
      </c>
      <c r="C751" s="1" t="n">
        <v>45668</v>
      </c>
      <c r="D751" t="inlineStr">
        <is>
          <t>JÄMTLANDS LÄN</t>
        </is>
      </c>
      <c r="E751" t="inlineStr">
        <is>
          <t>HÄRJEDALEN</t>
        </is>
      </c>
      <c r="F751" t="inlineStr">
        <is>
          <t>Bergvik skog väst AB</t>
        </is>
      </c>
      <c r="G751" t="n">
        <v>7.5</v>
      </c>
      <c r="H751" t="n">
        <v>0</v>
      </c>
      <c r="I751" t="n">
        <v>0</v>
      </c>
      <c r="J751" t="n">
        <v>0</v>
      </c>
      <c r="K751" t="n">
        <v>0</v>
      </c>
      <c r="L751" t="n">
        <v>0</v>
      </c>
      <c r="M751" t="n">
        <v>0</v>
      </c>
      <c r="N751" t="n">
        <v>0</v>
      </c>
      <c r="O751" t="n">
        <v>0</v>
      </c>
      <c r="P751" t="n">
        <v>0</v>
      </c>
      <c r="Q751" t="n">
        <v>0</v>
      </c>
      <c r="R751" s="2" t="inlineStr"/>
    </row>
    <row r="752" ht="15" customHeight="1">
      <c r="A752" t="inlineStr">
        <is>
          <t>A 25780-2022</t>
        </is>
      </c>
      <c r="B752" s="1" t="n">
        <v>44733</v>
      </c>
      <c r="C752" s="1" t="n">
        <v>45668</v>
      </c>
      <c r="D752" t="inlineStr">
        <is>
          <t>JÄMTLANDS LÄN</t>
        </is>
      </c>
      <c r="E752" t="inlineStr">
        <is>
          <t>HÄRJEDALEN</t>
        </is>
      </c>
      <c r="F752" t="inlineStr">
        <is>
          <t>Kyrkan</t>
        </is>
      </c>
      <c r="G752" t="n">
        <v>7.7</v>
      </c>
      <c r="H752" t="n">
        <v>0</v>
      </c>
      <c r="I752" t="n">
        <v>0</v>
      </c>
      <c r="J752" t="n">
        <v>0</v>
      </c>
      <c r="K752" t="n">
        <v>0</v>
      </c>
      <c r="L752" t="n">
        <v>0</v>
      </c>
      <c r="M752" t="n">
        <v>0</v>
      </c>
      <c r="N752" t="n">
        <v>0</v>
      </c>
      <c r="O752" t="n">
        <v>0</v>
      </c>
      <c r="P752" t="n">
        <v>0</v>
      </c>
      <c r="Q752" t="n">
        <v>0</v>
      </c>
      <c r="R752" s="2" t="inlineStr"/>
    </row>
    <row r="753" ht="15" customHeight="1">
      <c r="A753" t="inlineStr">
        <is>
          <t>A 25725-2022</t>
        </is>
      </c>
      <c r="B753" s="1" t="n">
        <v>44733</v>
      </c>
      <c r="C753" s="1" t="n">
        <v>45668</v>
      </c>
      <c r="D753" t="inlineStr">
        <is>
          <t>JÄMTLANDS LÄN</t>
        </is>
      </c>
      <c r="E753" t="inlineStr">
        <is>
          <t>HÄRJEDALEN</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25912-2022</t>
        </is>
      </c>
      <c r="B754" s="1" t="n">
        <v>44734</v>
      </c>
      <c r="C754" s="1" t="n">
        <v>45668</v>
      </c>
      <c r="D754" t="inlineStr">
        <is>
          <t>JÄMTLANDS LÄN</t>
        </is>
      </c>
      <c r="E754" t="inlineStr">
        <is>
          <t>HÄRJEDALEN</t>
        </is>
      </c>
      <c r="F754" t="inlineStr">
        <is>
          <t>Bergvik skog väst AB</t>
        </is>
      </c>
      <c r="G754" t="n">
        <v>13.7</v>
      </c>
      <c r="H754" t="n">
        <v>0</v>
      </c>
      <c r="I754" t="n">
        <v>0</v>
      </c>
      <c r="J754" t="n">
        <v>0</v>
      </c>
      <c r="K754" t="n">
        <v>0</v>
      </c>
      <c r="L754" t="n">
        <v>0</v>
      </c>
      <c r="M754" t="n">
        <v>0</v>
      </c>
      <c r="N754" t="n">
        <v>0</v>
      </c>
      <c r="O754" t="n">
        <v>0</v>
      </c>
      <c r="P754" t="n">
        <v>0</v>
      </c>
      <c r="Q754" t="n">
        <v>0</v>
      </c>
      <c r="R754" s="2" t="inlineStr"/>
    </row>
    <row r="755" ht="15" customHeight="1">
      <c r="A755" t="inlineStr">
        <is>
          <t>A 26613-2022</t>
        </is>
      </c>
      <c r="B755" s="1" t="n">
        <v>44739</v>
      </c>
      <c r="C755" s="1" t="n">
        <v>45668</v>
      </c>
      <c r="D755" t="inlineStr">
        <is>
          <t>JÄMTLANDS LÄN</t>
        </is>
      </c>
      <c r="E755" t="inlineStr">
        <is>
          <t>HÄRJEDALEN</t>
        </is>
      </c>
      <c r="F755" t="inlineStr">
        <is>
          <t>Bergvik skog väst AB</t>
        </is>
      </c>
      <c r="G755" t="n">
        <v>7.9</v>
      </c>
      <c r="H755" t="n">
        <v>0</v>
      </c>
      <c r="I755" t="n">
        <v>0</v>
      </c>
      <c r="J755" t="n">
        <v>0</v>
      </c>
      <c r="K755" t="n">
        <v>0</v>
      </c>
      <c r="L755" t="n">
        <v>0</v>
      </c>
      <c r="M755" t="n">
        <v>0</v>
      </c>
      <c r="N755" t="n">
        <v>0</v>
      </c>
      <c r="O755" t="n">
        <v>0</v>
      </c>
      <c r="P755" t="n">
        <v>0</v>
      </c>
      <c r="Q755" t="n">
        <v>0</v>
      </c>
      <c r="R755" s="2" t="inlineStr"/>
    </row>
    <row r="756" ht="15" customHeight="1">
      <c r="A756" t="inlineStr">
        <is>
          <t>A 26935-2022</t>
        </is>
      </c>
      <c r="B756" s="1" t="n">
        <v>44740</v>
      </c>
      <c r="C756" s="1" t="n">
        <v>45668</v>
      </c>
      <c r="D756" t="inlineStr">
        <is>
          <t>JÄMTLANDS LÄN</t>
        </is>
      </c>
      <c r="E756" t="inlineStr">
        <is>
          <t>HÄRJEDALEN</t>
        </is>
      </c>
      <c r="G756" t="n">
        <v>10.8</v>
      </c>
      <c r="H756" t="n">
        <v>0</v>
      </c>
      <c r="I756" t="n">
        <v>0</v>
      </c>
      <c r="J756" t="n">
        <v>0</v>
      </c>
      <c r="K756" t="n">
        <v>0</v>
      </c>
      <c r="L756" t="n">
        <v>0</v>
      </c>
      <c r="M756" t="n">
        <v>0</v>
      </c>
      <c r="N756" t="n">
        <v>0</v>
      </c>
      <c r="O756" t="n">
        <v>0</v>
      </c>
      <c r="P756" t="n">
        <v>0</v>
      </c>
      <c r="Q756" t="n">
        <v>0</v>
      </c>
      <c r="R756" s="2" t="inlineStr"/>
    </row>
    <row r="757" ht="15" customHeight="1">
      <c r="A757" t="inlineStr">
        <is>
          <t>A 27483-2022</t>
        </is>
      </c>
      <c r="B757" s="1" t="n">
        <v>44742</v>
      </c>
      <c r="C757" s="1" t="n">
        <v>45668</v>
      </c>
      <c r="D757" t="inlineStr">
        <is>
          <t>JÄMTLANDS LÄN</t>
        </is>
      </c>
      <c r="E757" t="inlineStr">
        <is>
          <t>HÄRJEDALEN</t>
        </is>
      </c>
      <c r="F757" t="inlineStr">
        <is>
          <t>Holmen skog AB</t>
        </is>
      </c>
      <c r="G757" t="n">
        <v>0</v>
      </c>
      <c r="H757" t="n">
        <v>0</v>
      </c>
      <c r="I757" t="n">
        <v>0</v>
      </c>
      <c r="J757" t="n">
        <v>0</v>
      </c>
      <c r="K757" t="n">
        <v>0</v>
      </c>
      <c r="L757" t="n">
        <v>0</v>
      </c>
      <c r="M757" t="n">
        <v>0</v>
      </c>
      <c r="N757" t="n">
        <v>0</v>
      </c>
      <c r="O757" t="n">
        <v>0</v>
      </c>
      <c r="P757" t="n">
        <v>0</v>
      </c>
      <c r="Q757" t="n">
        <v>0</v>
      </c>
      <c r="R757" s="2" t="inlineStr"/>
    </row>
    <row r="758" ht="15" customHeight="1">
      <c r="A758" t="inlineStr">
        <is>
          <t>A 29000-2022</t>
        </is>
      </c>
      <c r="B758" s="1" t="n">
        <v>44749</v>
      </c>
      <c r="C758" s="1" t="n">
        <v>45668</v>
      </c>
      <c r="D758" t="inlineStr">
        <is>
          <t>JÄMTLANDS LÄN</t>
        </is>
      </c>
      <c r="E758" t="inlineStr">
        <is>
          <t>HÄRJEDALEN</t>
        </is>
      </c>
      <c r="F758" t="inlineStr">
        <is>
          <t>Kyrkan</t>
        </is>
      </c>
      <c r="G758" t="n">
        <v>16.7</v>
      </c>
      <c r="H758" t="n">
        <v>0</v>
      </c>
      <c r="I758" t="n">
        <v>0</v>
      </c>
      <c r="J758" t="n">
        <v>0</v>
      </c>
      <c r="K758" t="n">
        <v>0</v>
      </c>
      <c r="L758" t="n">
        <v>0</v>
      </c>
      <c r="M758" t="n">
        <v>0</v>
      </c>
      <c r="N758" t="n">
        <v>0</v>
      </c>
      <c r="O758" t="n">
        <v>0</v>
      </c>
      <c r="P758" t="n">
        <v>0</v>
      </c>
      <c r="Q758" t="n">
        <v>0</v>
      </c>
      <c r="R758" s="2" t="inlineStr"/>
    </row>
    <row r="759" ht="15" customHeight="1">
      <c r="A759" t="inlineStr">
        <is>
          <t>A 29455-2022</t>
        </is>
      </c>
      <c r="B759" s="1" t="n">
        <v>44753</v>
      </c>
      <c r="C759" s="1" t="n">
        <v>45668</v>
      </c>
      <c r="D759" t="inlineStr">
        <is>
          <t>JÄMTLANDS LÄN</t>
        </is>
      </c>
      <c r="E759" t="inlineStr">
        <is>
          <t>HÄRJEDALEN</t>
        </is>
      </c>
      <c r="F759" t="inlineStr">
        <is>
          <t>Bergvik skog väst AB</t>
        </is>
      </c>
      <c r="G759" t="n">
        <v>1.7</v>
      </c>
      <c r="H759" t="n">
        <v>0</v>
      </c>
      <c r="I759" t="n">
        <v>0</v>
      </c>
      <c r="J759" t="n">
        <v>0</v>
      </c>
      <c r="K759" t="n">
        <v>0</v>
      </c>
      <c r="L759" t="n">
        <v>0</v>
      </c>
      <c r="M759" t="n">
        <v>0</v>
      </c>
      <c r="N759" t="n">
        <v>0</v>
      </c>
      <c r="O759" t="n">
        <v>0</v>
      </c>
      <c r="P759" t="n">
        <v>0</v>
      </c>
      <c r="Q759" t="n">
        <v>0</v>
      </c>
      <c r="R759" s="2" t="inlineStr"/>
    </row>
    <row r="760" ht="15" customHeight="1">
      <c r="A760" t="inlineStr">
        <is>
          <t>A 30082-2022</t>
        </is>
      </c>
      <c r="B760" s="1" t="n">
        <v>44757</v>
      </c>
      <c r="C760" s="1" t="n">
        <v>45668</v>
      </c>
      <c r="D760" t="inlineStr">
        <is>
          <t>JÄMTLANDS LÄN</t>
        </is>
      </c>
      <c r="E760" t="inlineStr">
        <is>
          <t>HÄRJEDALEN</t>
        </is>
      </c>
      <c r="G760" t="n">
        <v>3</v>
      </c>
      <c r="H760" t="n">
        <v>0</v>
      </c>
      <c r="I760" t="n">
        <v>0</v>
      </c>
      <c r="J760" t="n">
        <v>0</v>
      </c>
      <c r="K760" t="n">
        <v>0</v>
      </c>
      <c r="L760" t="n">
        <v>0</v>
      </c>
      <c r="M760" t="n">
        <v>0</v>
      </c>
      <c r="N760" t="n">
        <v>0</v>
      </c>
      <c r="O760" t="n">
        <v>0</v>
      </c>
      <c r="P760" t="n">
        <v>0</v>
      </c>
      <c r="Q760" t="n">
        <v>0</v>
      </c>
      <c r="R760" s="2" t="inlineStr"/>
    </row>
    <row r="761" ht="15" customHeight="1">
      <c r="A761" t="inlineStr">
        <is>
          <t>A 30537-2022</t>
        </is>
      </c>
      <c r="B761" s="1" t="n">
        <v>44762</v>
      </c>
      <c r="C761" s="1" t="n">
        <v>45668</v>
      </c>
      <c r="D761" t="inlineStr">
        <is>
          <t>JÄMTLANDS LÄN</t>
        </is>
      </c>
      <c r="E761" t="inlineStr">
        <is>
          <t>HÄRJEDALEN</t>
        </is>
      </c>
      <c r="F761" t="inlineStr">
        <is>
          <t>Bergvik skog väst AB</t>
        </is>
      </c>
      <c r="G761" t="n">
        <v>18.5</v>
      </c>
      <c r="H761" t="n">
        <v>0</v>
      </c>
      <c r="I761" t="n">
        <v>0</v>
      </c>
      <c r="J761" t="n">
        <v>0</v>
      </c>
      <c r="K761" t="n">
        <v>0</v>
      </c>
      <c r="L761" t="n">
        <v>0</v>
      </c>
      <c r="M761" t="n">
        <v>0</v>
      </c>
      <c r="N761" t="n">
        <v>0</v>
      </c>
      <c r="O761" t="n">
        <v>0</v>
      </c>
      <c r="P761" t="n">
        <v>0</v>
      </c>
      <c r="Q761" t="n">
        <v>0</v>
      </c>
      <c r="R761" s="2" t="inlineStr"/>
    </row>
    <row r="762" ht="15" customHeight="1">
      <c r="A762" t="inlineStr">
        <is>
          <t>A 30643-2022</t>
        </is>
      </c>
      <c r="B762" s="1" t="n">
        <v>44763</v>
      </c>
      <c r="C762" s="1" t="n">
        <v>45668</v>
      </c>
      <c r="D762" t="inlineStr">
        <is>
          <t>JÄMTLANDS LÄN</t>
        </is>
      </c>
      <c r="E762" t="inlineStr">
        <is>
          <t>HÄRJEDALEN</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30962-2022</t>
        </is>
      </c>
      <c r="B763" s="1" t="n">
        <v>44768</v>
      </c>
      <c r="C763" s="1" t="n">
        <v>45668</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31167-2022</t>
        </is>
      </c>
      <c r="B764" s="1" t="n">
        <v>44770</v>
      </c>
      <c r="C764" s="1" t="n">
        <v>45668</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32910-2022</t>
        </is>
      </c>
      <c r="B765" s="1" t="n">
        <v>44784</v>
      </c>
      <c r="C765" s="1" t="n">
        <v>45668</v>
      </c>
      <c r="D765" t="inlineStr">
        <is>
          <t>JÄMTLANDS LÄN</t>
        </is>
      </c>
      <c r="E765" t="inlineStr">
        <is>
          <t>HÄRJEDALEN</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32974-2022</t>
        </is>
      </c>
      <c r="B766" s="1" t="n">
        <v>44784</v>
      </c>
      <c r="C766" s="1" t="n">
        <v>45668</v>
      </c>
      <c r="D766" t="inlineStr">
        <is>
          <t>JÄMTLANDS LÄN</t>
        </is>
      </c>
      <c r="E766" t="inlineStr">
        <is>
          <t>HÄRJEDALEN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33465-2022</t>
        </is>
      </c>
      <c r="B767" s="1" t="n">
        <v>44788</v>
      </c>
      <c r="C767" s="1" t="n">
        <v>45668</v>
      </c>
      <c r="D767" t="inlineStr">
        <is>
          <t>JÄMTLANDS LÄN</t>
        </is>
      </c>
      <c r="E767" t="inlineStr">
        <is>
          <t>HÄRJEDALEN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33900-2022</t>
        </is>
      </c>
      <c r="B768" s="1" t="n">
        <v>44790</v>
      </c>
      <c r="C768" s="1" t="n">
        <v>45668</v>
      </c>
      <c r="D768" t="inlineStr">
        <is>
          <t>JÄMTLANDS LÄN</t>
        </is>
      </c>
      <c r="E768" t="inlineStr">
        <is>
          <t>HÄRJEDALEN</t>
        </is>
      </c>
      <c r="F768" t="inlineStr">
        <is>
          <t>Bergvik skog väst AB</t>
        </is>
      </c>
      <c r="G768" t="n">
        <v>15.2</v>
      </c>
      <c r="H768" t="n">
        <v>0</v>
      </c>
      <c r="I768" t="n">
        <v>0</v>
      </c>
      <c r="J768" t="n">
        <v>0</v>
      </c>
      <c r="K768" t="n">
        <v>0</v>
      </c>
      <c r="L768" t="n">
        <v>0</v>
      </c>
      <c r="M768" t="n">
        <v>0</v>
      </c>
      <c r="N768" t="n">
        <v>0</v>
      </c>
      <c r="O768" t="n">
        <v>0</v>
      </c>
      <c r="P768" t="n">
        <v>0</v>
      </c>
      <c r="Q768" t="n">
        <v>0</v>
      </c>
      <c r="R768" s="2" t="inlineStr"/>
    </row>
    <row r="769" ht="15" customHeight="1">
      <c r="A769" t="inlineStr">
        <is>
          <t>A 33889-2022</t>
        </is>
      </c>
      <c r="B769" s="1" t="n">
        <v>44790</v>
      </c>
      <c r="C769" s="1" t="n">
        <v>45668</v>
      </c>
      <c r="D769" t="inlineStr">
        <is>
          <t>JÄMTLANDS LÄN</t>
        </is>
      </c>
      <c r="E769" t="inlineStr">
        <is>
          <t>HÄRJEDALEN</t>
        </is>
      </c>
      <c r="F769" t="inlineStr">
        <is>
          <t>Bergvik skog väst AB</t>
        </is>
      </c>
      <c r="G769" t="n">
        <v>6.6</v>
      </c>
      <c r="H769" t="n">
        <v>0</v>
      </c>
      <c r="I769" t="n">
        <v>0</v>
      </c>
      <c r="J769" t="n">
        <v>0</v>
      </c>
      <c r="K769" t="n">
        <v>0</v>
      </c>
      <c r="L769" t="n">
        <v>0</v>
      </c>
      <c r="M769" t="n">
        <v>0</v>
      </c>
      <c r="N769" t="n">
        <v>0</v>
      </c>
      <c r="O769" t="n">
        <v>0</v>
      </c>
      <c r="P769" t="n">
        <v>0</v>
      </c>
      <c r="Q769" t="n">
        <v>0</v>
      </c>
      <c r="R769" s="2" t="inlineStr"/>
    </row>
    <row r="770" ht="15" customHeight="1">
      <c r="A770" t="inlineStr">
        <is>
          <t>A 34112-2022</t>
        </is>
      </c>
      <c r="B770" s="1" t="n">
        <v>44791</v>
      </c>
      <c r="C770" s="1" t="n">
        <v>45668</v>
      </c>
      <c r="D770" t="inlineStr">
        <is>
          <t>JÄMTLANDS LÄN</t>
        </is>
      </c>
      <c r="E770" t="inlineStr">
        <is>
          <t>HÄRJEDALEN</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34359-2022</t>
        </is>
      </c>
      <c r="B771" s="1" t="n">
        <v>44792</v>
      </c>
      <c r="C771" s="1" t="n">
        <v>45668</v>
      </c>
      <c r="D771" t="inlineStr">
        <is>
          <t>JÄMTLANDS LÄN</t>
        </is>
      </c>
      <c r="E771" t="inlineStr">
        <is>
          <t>HÄRJEDALEN</t>
        </is>
      </c>
      <c r="F771" t="inlineStr">
        <is>
          <t>Bergvik skog väst AB</t>
        </is>
      </c>
      <c r="G771" t="n">
        <v>23.1</v>
      </c>
      <c r="H771" t="n">
        <v>0</v>
      </c>
      <c r="I771" t="n">
        <v>0</v>
      </c>
      <c r="J771" t="n">
        <v>0</v>
      </c>
      <c r="K771" t="n">
        <v>0</v>
      </c>
      <c r="L771" t="n">
        <v>0</v>
      </c>
      <c r="M771" t="n">
        <v>0</v>
      </c>
      <c r="N771" t="n">
        <v>0</v>
      </c>
      <c r="O771" t="n">
        <v>0</v>
      </c>
      <c r="P771" t="n">
        <v>0</v>
      </c>
      <c r="Q771" t="n">
        <v>0</v>
      </c>
      <c r="R771" s="2" t="inlineStr"/>
    </row>
    <row r="772" ht="15" customHeight="1">
      <c r="A772" t="inlineStr">
        <is>
          <t>A 34361-2022</t>
        </is>
      </c>
      <c r="B772" s="1" t="n">
        <v>44792</v>
      </c>
      <c r="C772" s="1" t="n">
        <v>45668</v>
      </c>
      <c r="D772" t="inlineStr">
        <is>
          <t>JÄMTLANDS LÄN</t>
        </is>
      </c>
      <c r="E772" t="inlineStr">
        <is>
          <t>HÄRJEDALEN</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34392-2022</t>
        </is>
      </c>
      <c r="B773" s="1" t="n">
        <v>44792</v>
      </c>
      <c r="C773" s="1" t="n">
        <v>45668</v>
      </c>
      <c r="D773" t="inlineStr">
        <is>
          <t>JÄMTLANDS LÄN</t>
        </is>
      </c>
      <c r="E773" t="inlineStr">
        <is>
          <t>HÄRJEDALEN</t>
        </is>
      </c>
      <c r="G773" t="n">
        <v>23.5</v>
      </c>
      <c r="H773" t="n">
        <v>0</v>
      </c>
      <c r="I773" t="n">
        <v>0</v>
      </c>
      <c r="J773" t="n">
        <v>0</v>
      </c>
      <c r="K773" t="n">
        <v>0</v>
      </c>
      <c r="L773" t="n">
        <v>0</v>
      </c>
      <c r="M773" t="n">
        <v>0</v>
      </c>
      <c r="N773" t="n">
        <v>0</v>
      </c>
      <c r="O773" t="n">
        <v>0</v>
      </c>
      <c r="P773" t="n">
        <v>0</v>
      </c>
      <c r="Q773" t="n">
        <v>0</v>
      </c>
      <c r="R773" s="2" t="inlineStr"/>
    </row>
    <row r="774" ht="15" customHeight="1">
      <c r="A774" t="inlineStr">
        <is>
          <t>A 34492-2022</t>
        </is>
      </c>
      <c r="B774" s="1" t="n">
        <v>44792</v>
      </c>
      <c r="C774" s="1" t="n">
        <v>45668</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34627-2022</t>
        </is>
      </c>
      <c r="B775" s="1" t="n">
        <v>44795</v>
      </c>
      <c r="C775" s="1" t="n">
        <v>45668</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34621-2022</t>
        </is>
      </c>
      <c r="B776" s="1" t="n">
        <v>44795</v>
      </c>
      <c r="C776" s="1" t="n">
        <v>45668</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35614-2022</t>
        </is>
      </c>
      <c r="B777" s="1" t="n">
        <v>44799</v>
      </c>
      <c r="C777" s="1" t="n">
        <v>45668</v>
      </c>
      <c r="D777" t="inlineStr">
        <is>
          <t>JÄMTLANDS LÄN</t>
        </is>
      </c>
      <c r="E777" t="inlineStr">
        <is>
          <t>HÄRJEDALEN</t>
        </is>
      </c>
      <c r="F777" t="inlineStr">
        <is>
          <t>Bergvik skog väst AB</t>
        </is>
      </c>
      <c r="G777" t="n">
        <v>72.09999999999999</v>
      </c>
      <c r="H777" t="n">
        <v>0</v>
      </c>
      <c r="I777" t="n">
        <v>0</v>
      </c>
      <c r="J777" t="n">
        <v>0</v>
      </c>
      <c r="K777" t="n">
        <v>0</v>
      </c>
      <c r="L777" t="n">
        <v>0</v>
      </c>
      <c r="M777" t="n">
        <v>0</v>
      </c>
      <c r="N777" t="n">
        <v>0</v>
      </c>
      <c r="O777" t="n">
        <v>0</v>
      </c>
      <c r="P777" t="n">
        <v>0</v>
      </c>
      <c r="Q777" t="n">
        <v>0</v>
      </c>
      <c r="R777" s="2" t="inlineStr"/>
    </row>
    <row r="778" ht="15" customHeight="1">
      <c r="A778" t="inlineStr">
        <is>
          <t>A 36249-2022</t>
        </is>
      </c>
      <c r="B778" s="1" t="n">
        <v>44803</v>
      </c>
      <c r="C778" s="1" t="n">
        <v>45668</v>
      </c>
      <c r="D778" t="inlineStr">
        <is>
          <t>JÄMTLANDS LÄN</t>
        </is>
      </c>
      <c r="E778" t="inlineStr">
        <is>
          <t>HÄRJEDALEN</t>
        </is>
      </c>
      <c r="G778" t="n">
        <v>7.2</v>
      </c>
      <c r="H778" t="n">
        <v>0</v>
      </c>
      <c r="I778" t="n">
        <v>0</v>
      </c>
      <c r="J778" t="n">
        <v>0</v>
      </c>
      <c r="K778" t="n">
        <v>0</v>
      </c>
      <c r="L778" t="n">
        <v>0</v>
      </c>
      <c r="M778" t="n">
        <v>0</v>
      </c>
      <c r="N778" t="n">
        <v>0</v>
      </c>
      <c r="O778" t="n">
        <v>0</v>
      </c>
      <c r="P778" t="n">
        <v>0</v>
      </c>
      <c r="Q778" t="n">
        <v>0</v>
      </c>
      <c r="R778" s="2" t="inlineStr"/>
    </row>
    <row r="779" ht="15" customHeight="1">
      <c r="A779" t="inlineStr">
        <is>
          <t>A 36170-2022</t>
        </is>
      </c>
      <c r="B779" s="1" t="n">
        <v>44803</v>
      </c>
      <c r="C779" s="1" t="n">
        <v>45668</v>
      </c>
      <c r="D779" t="inlineStr">
        <is>
          <t>JÄMTLANDS LÄN</t>
        </is>
      </c>
      <c r="E779" t="inlineStr">
        <is>
          <t>HÄRJEDALEN</t>
        </is>
      </c>
      <c r="G779" t="n">
        <v>14.7</v>
      </c>
      <c r="H779" t="n">
        <v>0</v>
      </c>
      <c r="I779" t="n">
        <v>0</v>
      </c>
      <c r="J779" t="n">
        <v>0</v>
      </c>
      <c r="K779" t="n">
        <v>0</v>
      </c>
      <c r="L779" t="n">
        <v>0</v>
      </c>
      <c r="M779" t="n">
        <v>0</v>
      </c>
      <c r="N779" t="n">
        <v>0</v>
      </c>
      <c r="O779" t="n">
        <v>0</v>
      </c>
      <c r="P779" t="n">
        <v>0</v>
      </c>
      <c r="Q779" t="n">
        <v>0</v>
      </c>
      <c r="R779" s="2" t="inlineStr"/>
    </row>
    <row r="780" ht="15" customHeight="1">
      <c r="A780" t="inlineStr">
        <is>
          <t>A 36182-2022</t>
        </is>
      </c>
      <c r="B780" s="1" t="n">
        <v>44803</v>
      </c>
      <c r="C780" s="1" t="n">
        <v>45668</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36187-2022</t>
        </is>
      </c>
      <c r="B781" s="1" t="n">
        <v>44803</v>
      </c>
      <c r="C781" s="1" t="n">
        <v>45668</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36448-2022</t>
        </is>
      </c>
      <c r="B782" s="1" t="n">
        <v>44804</v>
      </c>
      <c r="C782" s="1" t="n">
        <v>45668</v>
      </c>
      <c r="D782" t="inlineStr">
        <is>
          <t>JÄMTLANDS LÄN</t>
        </is>
      </c>
      <c r="E782" t="inlineStr">
        <is>
          <t>HÄRJEDALEN</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37515-2022</t>
        </is>
      </c>
      <c r="B783" s="1" t="n">
        <v>44809</v>
      </c>
      <c r="C783" s="1" t="n">
        <v>45668</v>
      </c>
      <c r="D783" t="inlineStr">
        <is>
          <t>JÄMTLANDS LÄN</t>
        </is>
      </c>
      <c r="E783" t="inlineStr">
        <is>
          <t>HÄRJEDALEN</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37666-2022</t>
        </is>
      </c>
      <c r="B784" s="1" t="n">
        <v>44810</v>
      </c>
      <c r="C784" s="1" t="n">
        <v>45668</v>
      </c>
      <c r="D784" t="inlineStr">
        <is>
          <t>JÄMTLANDS LÄN</t>
        </is>
      </c>
      <c r="E784" t="inlineStr">
        <is>
          <t>HÄRJEDALEN</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37690-2022</t>
        </is>
      </c>
      <c r="B785" s="1" t="n">
        <v>44810</v>
      </c>
      <c r="C785" s="1" t="n">
        <v>45668</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37678-2022</t>
        </is>
      </c>
      <c r="B786" s="1" t="n">
        <v>44810</v>
      </c>
      <c r="C786" s="1" t="n">
        <v>45668</v>
      </c>
      <c r="D786" t="inlineStr">
        <is>
          <t>JÄMTLANDS LÄN</t>
        </is>
      </c>
      <c r="E786" t="inlineStr">
        <is>
          <t>HÄRJEDALEN</t>
        </is>
      </c>
      <c r="F786" t="inlineStr">
        <is>
          <t>Bergvik skog väst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37873-2022</t>
        </is>
      </c>
      <c r="B787" s="1" t="n">
        <v>44811</v>
      </c>
      <c r="C787" s="1" t="n">
        <v>45668</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37990-2022</t>
        </is>
      </c>
      <c r="B788" s="1" t="n">
        <v>44811</v>
      </c>
      <c r="C788" s="1" t="n">
        <v>45668</v>
      </c>
      <c r="D788" t="inlineStr">
        <is>
          <t>JÄMTLANDS LÄN</t>
        </is>
      </c>
      <c r="E788" t="inlineStr">
        <is>
          <t>HÄRJEDALEN</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37988-2022</t>
        </is>
      </c>
      <c r="B789" s="1" t="n">
        <v>44811</v>
      </c>
      <c r="C789" s="1" t="n">
        <v>45668</v>
      </c>
      <c r="D789" t="inlineStr">
        <is>
          <t>JÄMTLANDS LÄN</t>
        </is>
      </c>
      <c r="E789" t="inlineStr">
        <is>
          <t>HÄRJEDALEN</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39396-2022</t>
        </is>
      </c>
      <c r="B790" s="1" t="n">
        <v>44818</v>
      </c>
      <c r="C790" s="1" t="n">
        <v>45668</v>
      </c>
      <c r="D790" t="inlineStr">
        <is>
          <t>JÄMTLANDS LÄN</t>
        </is>
      </c>
      <c r="E790" t="inlineStr">
        <is>
          <t>HÄRJEDALEN</t>
        </is>
      </c>
      <c r="F790" t="inlineStr">
        <is>
          <t>SCA</t>
        </is>
      </c>
      <c r="G790" t="n">
        <v>11.4</v>
      </c>
      <c r="H790" t="n">
        <v>0</v>
      </c>
      <c r="I790" t="n">
        <v>0</v>
      </c>
      <c r="J790" t="n">
        <v>0</v>
      </c>
      <c r="K790" t="n">
        <v>0</v>
      </c>
      <c r="L790" t="n">
        <v>0</v>
      </c>
      <c r="M790" t="n">
        <v>0</v>
      </c>
      <c r="N790" t="n">
        <v>0</v>
      </c>
      <c r="O790" t="n">
        <v>0</v>
      </c>
      <c r="P790" t="n">
        <v>0</v>
      </c>
      <c r="Q790" t="n">
        <v>0</v>
      </c>
      <c r="R790" s="2" t="inlineStr"/>
    </row>
    <row r="791" ht="15" customHeight="1">
      <c r="A791" t="inlineStr">
        <is>
          <t>A 39625-2022</t>
        </is>
      </c>
      <c r="B791" s="1" t="n">
        <v>44818</v>
      </c>
      <c r="C791" s="1" t="n">
        <v>45668</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39618-2022</t>
        </is>
      </c>
      <c r="B792" s="1" t="n">
        <v>44818</v>
      </c>
      <c r="C792" s="1" t="n">
        <v>45668</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39820-2022</t>
        </is>
      </c>
      <c r="B793" s="1" t="n">
        <v>44819</v>
      </c>
      <c r="C793" s="1" t="n">
        <v>45668</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40084-2022</t>
        </is>
      </c>
      <c r="B794" s="1" t="n">
        <v>44820</v>
      </c>
      <c r="C794" s="1" t="n">
        <v>45668</v>
      </c>
      <c r="D794" t="inlineStr">
        <is>
          <t>JÄMTLANDS LÄN</t>
        </is>
      </c>
      <c r="E794" t="inlineStr">
        <is>
          <t>HÄRJEDALEN</t>
        </is>
      </c>
      <c r="F794" t="inlineStr">
        <is>
          <t>Bergvik skog väst AB</t>
        </is>
      </c>
      <c r="G794" t="n">
        <v>6</v>
      </c>
      <c r="H794" t="n">
        <v>0</v>
      </c>
      <c r="I794" t="n">
        <v>0</v>
      </c>
      <c r="J794" t="n">
        <v>0</v>
      </c>
      <c r="K794" t="n">
        <v>0</v>
      </c>
      <c r="L794" t="n">
        <v>0</v>
      </c>
      <c r="M794" t="n">
        <v>0</v>
      </c>
      <c r="N794" t="n">
        <v>0</v>
      </c>
      <c r="O794" t="n">
        <v>0</v>
      </c>
      <c r="P794" t="n">
        <v>0</v>
      </c>
      <c r="Q794" t="n">
        <v>0</v>
      </c>
      <c r="R794" s="2" t="inlineStr"/>
    </row>
    <row r="795" ht="15" customHeight="1">
      <c r="A795" t="inlineStr">
        <is>
          <t>A 40201-2022</t>
        </is>
      </c>
      <c r="B795" s="1" t="n">
        <v>44820</v>
      </c>
      <c r="C795" s="1" t="n">
        <v>45668</v>
      </c>
      <c r="D795" t="inlineStr">
        <is>
          <t>JÄMTLANDS LÄN</t>
        </is>
      </c>
      <c r="E795" t="inlineStr">
        <is>
          <t>HÄRJEDALEN</t>
        </is>
      </c>
      <c r="F795" t="inlineStr">
        <is>
          <t>Kyrkan</t>
        </is>
      </c>
      <c r="G795" t="n">
        <v>14.6</v>
      </c>
      <c r="H795" t="n">
        <v>0</v>
      </c>
      <c r="I795" t="n">
        <v>0</v>
      </c>
      <c r="J795" t="n">
        <v>0</v>
      </c>
      <c r="K795" t="n">
        <v>0</v>
      </c>
      <c r="L795" t="n">
        <v>0</v>
      </c>
      <c r="M795" t="n">
        <v>0</v>
      </c>
      <c r="N795" t="n">
        <v>0</v>
      </c>
      <c r="O795" t="n">
        <v>0</v>
      </c>
      <c r="P795" t="n">
        <v>0</v>
      </c>
      <c r="Q795" t="n">
        <v>0</v>
      </c>
      <c r="R795" s="2" t="inlineStr"/>
    </row>
    <row r="796" ht="15" customHeight="1">
      <c r="A796" t="inlineStr">
        <is>
          <t>A 40596-2022</t>
        </is>
      </c>
      <c r="B796" s="1" t="n">
        <v>44823</v>
      </c>
      <c r="C796" s="1" t="n">
        <v>45668</v>
      </c>
      <c r="D796" t="inlineStr">
        <is>
          <t>JÄMTLANDS LÄN</t>
        </is>
      </c>
      <c r="E796" t="inlineStr">
        <is>
          <t>HÄRJEDALEN</t>
        </is>
      </c>
      <c r="G796" t="n">
        <v>2.9</v>
      </c>
      <c r="H796" t="n">
        <v>0</v>
      </c>
      <c r="I796" t="n">
        <v>0</v>
      </c>
      <c r="J796" t="n">
        <v>0</v>
      </c>
      <c r="K796" t="n">
        <v>0</v>
      </c>
      <c r="L796" t="n">
        <v>0</v>
      </c>
      <c r="M796" t="n">
        <v>0</v>
      </c>
      <c r="N796" t="n">
        <v>0</v>
      </c>
      <c r="O796" t="n">
        <v>0</v>
      </c>
      <c r="P796" t="n">
        <v>0</v>
      </c>
      <c r="Q796" t="n">
        <v>0</v>
      </c>
      <c r="R796" s="2" t="inlineStr"/>
    </row>
    <row r="797" ht="15" customHeight="1">
      <c r="A797" t="inlineStr">
        <is>
          <t>A 40561-2022</t>
        </is>
      </c>
      <c r="B797" s="1" t="n">
        <v>44823</v>
      </c>
      <c r="C797" s="1" t="n">
        <v>45668</v>
      </c>
      <c r="D797" t="inlineStr">
        <is>
          <t>JÄMTLANDS LÄN</t>
        </is>
      </c>
      <c r="E797" t="inlineStr">
        <is>
          <t>HÄRJEDALEN</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40578-2022</t>
        </is>
      </c>
      <c r="B798" s="1" t="n">
        <v>44823</v>
      </c>
      <c r="C798" s="1" t="n">
        <v>45668</v>
      </c>
      <c r="D798" t="inlineStr">
        <is>
          <t>JÄMTLANDS LÄN</t>
        </is>
      </c>
      <c r="E798" t="inlineStr">
        <is>
          <t>HÄRJEDALEN</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41080-2022</t>
        </is>
      </c>
      <c r="B799" s="1" t="n">
        <v>44825</v>
      </c>
      <c r="C799" s="1" t="n">
        <v>45668</v>
      </c>
      <c r="D799" t="inlineStr">
        <is>
          <t>JÄMTLANDS LÄN</t>
        </is>
      </c>
      <c r="E799" t="inlineStr">
        <is>
          <t>HÄRJEDALEN</t>
        </is>
      </c>
      <c r="G799" t="n">
        <v>1.3</v>
      </c>
      <c r="H799" t="n">
        <v>0</v>
      </c>
      <c r="I799" t="n">
        <v>0</v>
      </c>
      <c r="J799" t="n">
        <v>0</v>
      </c>
      <c r="K799" t="n">
        <v>0</v>
      </c>
      <c r="L799" t="n">
        <v>0</v>
      </c>
      <c r="M799" t="n">
        <v>0</v>
      </c>
      <c r="N799" t="n">
        <v>0</v>
      </c>
      <c r="O799" t="n">
        <v>0</v>
      </c>
      <c r="P799" t="n">
        <v>0</v>
      </c>
      <c r="Q799" t="n">
        <v>0</v>
      </c>
      <c r="R799" s="2" t="inlineStr"/>
    </row>
    <row r="800" ht="15" customHeight="1">
      <c r="A800" t="inlineStr">
        <is>
          <t>A 41164-2022</t>
        </is>
      </c>
      <c r="B800" s="1" t="n">
        <v>44825</v>
      </c>
      <c r="C800" s="1" t="n">
        <v>45668</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41209-2022</t>
        </is>
      </c>
      <c r="B801" s="1" t="n">
        <v>44825</v>
      </c>
      <c r="C801" s="1" t="n">
        <v>45668</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41293-2022</t>
        </is>
      </c>
      <c r="B802" s="1" t="n">
        <v>44826</v>
      </c>
      <c r="C802" s="1" t="n">
        <v>45668</v>
      </c>
      <c r="D802" t="inlineStr">
        <is>
          <t>JÄMTLANDS LÄN</t>
        </is>
      </c>
      <c r="E802" t="inlineStr">
        <is>
          <t>HÄRJEDALEN</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41759-2022</t>
        </is>
      </c>
      <c r="B803" s="1" t="n">
        <v>44827</v>
      </c>
      <c r="C803" s="1" t="n">
        <v>45668</v>
      </c>
      <c r="D803" t="inlineStr">
        <is>
          <t>JÄMTLANDS LÄN</t>
        </is>
      </c>
      <c r="E803" t="inlineStr">
        <is>
          <t>HÄRJEDALEN</t>
        </is>
      </c>
      <c r="G803" t="n">
        <v>20</v>
      </c>
      <c r="H803" t="n">
        <v>0</v>
      </c>
      <c r="I803" t="n">
        <v>0</v>
      </c>
      <c r="J803" t="n">
        <v>0</v>
      </c>
      <c r="K803" t="n">
        <v>0</v>
      </c>
      <c r="L803" t="n">
        <v>0</v>
      </c>
      <c r="M803" t="n">
        <v>0</v>
      </c>
      <c r="N803" t="n">
        <v>0</v>
      </c>
      <c r="O803" t="n">
        <v>0</v>
      </c>
      <c r="P803" t="n">
        <v>0</v>
      </c>
      <c r="Q803" t="n">
        <v>0</v>
      </c>
      <c r="R803" s="2" t="inlineStr"/>
    </row>
    <row r="804" ht="15" customHeight="1">
      <c r="A804" t="inlineStr">
        <is>
          <t>A 41711-2022</t>
        </is>
      </c>
      <c r="B804" s="1" t="n">
        <v>44827</v>
      </c>
      <c r="C804" s="1" t="n">
        <v>45668</v>
      </c>
      <c r="D804" t="inlineStr">
        <is>
          <t>JÄMTLANDS LÄN</t>
        </is>
      </c>
      <c r="E804" t="inlineStr">
        <is>
          <t>HÄRJEDALEN</t>
        </is>
      </c>
      <c r="G804" t="n">
        <v>18.3</v>
      </c>
      <c r="H804" t="n">
        <v>0</v>
      </c>
      <c r="I804" t="n">
        <v>0</v>
      </c>
      <c r="J804" t="n">
        <v>0</v>
      </c>
      <c r="K804" t="n">
        <v>0</v>
      </c>
      <c r="L804" t="n">
        <v>0</v>
      </c>
      <c r="M804" t="n">
        <v>0</v>
      </c>
      <c r="N804" t="n">
        <v>0</v>
      </c>
      <c r="O804" t="n">
        <v>0</v>
      </c>
      <c r="P804" t="n">
        <v>0</v>
      </c>
      <c r="Q804" t="n">
        <v>0</v>
      </c>
      <c r="R804" s="2" t="inlineStr"/>
    </row>
    <row r="805" ht="15" customHeight="1">
      <c r="A805" t="inlineStr">
        <is>
          <t>A 41771-2022</t>
        </is>
      </c>
      <c r="B805" s="1" t="n">
        <v>44827</v>
      </c>
      <c r="C805" s="1" t="n">
        <v>45668</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41766-2022</t>
        </is>
      </c>
      <c r="B806" s="1" t="n">
        <v>44827</v>
      </c>
      <c r="C806" s="1" t="n">
        <v>45668</v>
      </c>
      <c r="D806" t="inlineStr">
        <is>
          <t>JÄMTLANDS LÄN</t>
        </is>
      </c>
      <c r="E806" t="inlineStr">
        <is>
          <t>HÄRJEDALEN</t>
        </is>
      </c>
      <c r="G806" t="n">
        <v>12.5</v>
      </c>
      <c r="H806" t="n">
        <v>0</v>
      </c>
      <c r="I806" t="n">
        <v>0</v>
      </c>
      <c r="J806" t="n">
        <v>0</v>
      </c>
      <c r="K806" t="n">
        <v>0</v>
      </c>
      <c r="L806" t="n">
        <v>0</v>
      </c>
      <c r="M806" t="n">
        <v>0</v>
      </c>
      <c r="N806" t="n">
        <v>0</v>
      </c>
      <c r="O806" t="n">
        <v>0</v>
      </c>
      <c r="P806" t="n">
        <v>0</v>
      </c>
      <c r="Q806" t="n">
        <v>0</v>
      </c>
      <c r="R806" s="2" t="inlineStr"/>
    </row>
    <row r="807" ht="15" customHeight="1">
      <c r="A807" t="inlineStr">
        <is>
          <t>A 42673-2022</t>
        </is>
      </c>
      <c r="B807" s="1" t="n">
        <v>44832</v>
      </c>
      <c r="C807" s="1" t="n">
        <v>45668</v>
      </c>
      <c r="D807" t="inlineStr">
        <is>
          <t>JÄMTLANDS LÄN</t>
        </is>
      </c>
      <c r="E807" t="inlineStr">
        <is>
          <t>HÄRJEDALEN</t>
        </is>
      </c>
      <c r="F807" t="inlineStr">
        <is>
          <t>Bergvik skog väst AB</t>
        </is>
      </c>
      <c r="G807" t="n">
        <v>18.6</v>
      </c>
      <c r="H807" t="n">
        <v>0</v>
      </c>
      <c r="I807" t="n">
        <v>0</v>
      </c>
      <c r="J807" t="n">
        <v>0</v>
      </c>
      <c r="K807" t="n">
        <v>0</v>
      </c>
      <c r="L807" t="n">
        <v>0</v>
      </c>
      <c r="M807" t="n">
        <v>0</v>
      </c>
      <c r="N807" t="n">
        <v>0</v>
      </c>
      <c r="O807" t="n">
        <v>0</v>
      </c>
      <c r="P807" t="n">
        <v>0</v>
      </c>
      <c r="Q807" t="n">
        <v>0</v>
      </c>
      <c r="R807" s="2" t="inlineStr"/>
    </row>
    <row r="808" ht="15" customHeight="1">
      <c r="A808" t="inlineStr">
        <is>
          <t>A 42916-2022</t>
        </is>
      </c>
      <c r="B808" s="1" t="n">
        <v>44833</v>
      </c>
      <c r="C808" s="1" t="n">
        <v>45668</v>
      </c>
      <c r="D808" t="inlineStr">
        <is>
          <t>JÄMTLANDS LÄN</t>
        </is>
      </c>
      <c r="E808" t="inlineStr">
        <is>
          <t>HÄRJEDALEN</t>
        </is>
      </c>
      <c r="F808" t="inlineStr">
        <is>
          <t>Bergvik skog väst AB</t>
        </is>
      </c>
      <c r="G808" t="n">
        <v>8.6</v>
      </c>
      <c r="H808" t="n">
        <v>0</v>
      </c>
      <c r="I808" t="n">
        <v>0</v>
      </c>
      <c r="J808" t="n">
        <v>0</v>
      </c>
      <c r="K808" t="n">
        <v>0</v>
      </c>
      <c r="L808" t="n">
        <v>0</v>
      </c>
      <c r="M808" t="n">
        <v>0</v>
      </c>
      <c r="N808" t="n">
        <v>0</v>
      </c>
      <c r="O808" t="n">
        <v>0</v>
      </c>
      <c r="P808" t="n">
        <v>0</v>
      </c>
      <c r="Q808" t="n">
        <v>0</v>
      </c>
      <c r="R808" s="2" t="inlineStr"/>
    </row>
    <row r="809" ht="15" customHeight="1">
      <c r="A809" t="inlineStr">
        <is>
          <t>A 43293-2022</t>
        </is>
      </c>
      <c r="B809" s="1" t="n">
        <v>44834</v>
      </c>
      <c r="C809" s="1" t="n">
        <v>45668</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43531-2022</t>
        </is>
      </c>
      <c r="B810" s="1" t="n">
        <v>44837</v>
      </c>
      <c r="C810" s="1" t="n">
        <v>45668</v>
      </c>
      <c r="D810" t="inlineStr">
        <is>
          <t>JÄMTLANDS LÄN</t>
        </is>
      </c>
      <c r="E810" t="inlineStr">
        <is>
          <t>HÄRJEDALEN</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43552-2022</t>
        </is>
      </c>
      <c r="B811" s="1" t="n">
        <v>44837</v>
      </c>
      <c r="C811" s="1" t="n">
        <v>45668</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43825-2022</t>
        </is>
      </c>
      <c r="B812" s="1" t="n">
        <v>44838</v>
      </c>
      <c r="C812" s="1" t="n">
        <v>45668</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45017-2022</t>
        </is>
      </c>
      <c r="B813" s="1" t="n">
        <v>44841</v>
      </c>
      <c r="C813" s="1" t="n">
        <v>45668</v>
      </c>
      <c r="D813" t="inlineStr">
        <is>
          <t>JÄMTLANDS LÄN</t>
        </is>
      </c>
      <c r="E813" t="inlineStr">
        <is>
          <t>HÄRJEDALEN</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47351-2022</t>
        </is>
      </c>
      <c r="B814" s="1" t="n">
        <v>44853</v>
      </c>
      <c r="C814" s="1" t="n">
        <v>45668</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47450-2022</t>
        </is>
      </c>
      <c r="B815" s="1" t="n">
        <v>44853</v>
      </c>
      <c r="C815" s="1" t="n">
        <v>45668</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47635-2022</t>
        </is>
      </c>
      <c r="B816" s="1" t="n">
        <v>44854</v>
      </c>
      <c r="C816" s="1" t="n">
        <v>45668</v>
      </c>
      <c r="D816" t="inlineStr">
        <is>
          <t>JÄMTLANDS LÄN</t>
        </is>
      </c>
      <c r="E816" t="inlineStr">
        <is>
          <t>HÄRJEDALEN</t>
        </is>
      </c>
      <c r="G816" t="n">
        <v>2.2</v>
      </c>
      <c r="H816" t="n">
        <v>0</v>
      </c>
      <c r="I816" t="n">
        <v>0</v>
      </c>
      <c r="J816" t="n">
        <v>0</v>
      </c>
      <c r="K816" t="n">
        <v>0</v>
      </c>
      <c r="L816" t="n">
        <v>0</v>
      </c>
      <c r="M816" t="n">
        <v>0</v>
      </c>
      <c r="N816" t="n">
        <v>0</v>
      </c>
      <c r="O816" t="n">
        <v>0</v>
      </c>
      <c r="P816" t="n">
        <v>0</v>
      </c>
      <c r="Q816" t="n">
        <v>0</v>
      </c>
      <c r="R816" s="2" t="inlineStr"/>
    </row>
    <row r="817" ht="15" customHeight="1">
      <c r="A817" t="inlineStr">
        <is>
          <t>A 47738-2022</t>
        </is>
      </c>
      <c r="B817" s="1" t="n">
        <v>44854</v>
      </c>
      <c r="C817" s="1" t="n">
        <v>45668</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47975-2022</t>
        </is>
      </c>
      <c r="B818" s="1" t="n">
        <v>44855</v>
      </c>
      <c r="C818" s="1" t="n">
        <v>45668</v>
      </c>
      <c r="D818" t="inlineStr">
        <is>
          <t>JÄMTLANDS LÄN</t>
        </is>
      </c>
      <c r="E818" t="inlineStr">
        <is>
          <t>HÄRJEDALEN</t>
        </is>
      </c>
      <c r="G818" t="n">
        <v>3</v>
      </c>
      <c r="H818" t="n">
        <v>0</v>
      </c>
      <c r="I818" t="n">
        <v>0</v>
      </c>
      <c r="J818" t="n">
        <v>0</v>
      </c>
      <c r="K818" t="n">
        <v>0</v>
      </c>
      <c r="L818" t="n">
        <v>0</v>
      </c>
      <c r="M818" t="n">
        <v>0</v>
      </c>
      <c r="N818" t="n">
        <v>0</v>
      </c>
      <c r="O818" t="n">
        <v>0</v>
      </c>
      <c r="P818" t="n">
        <v>0</v>
      </c>
      <c r="Q818" t="n">
        <v>0</v>
      </c>
      <c r="R818" s="2" t="inlineStr"/>
    </row>
    <row r="819" ht="15" customHeight="1">
      <c r="A819" t="inlineStr">
        <is>
          <t>A 48438-2022</t>
        </is>
      </c>
      <c r="B819" s="1" t="n">
        <v>44858</v>
      </c>
      <c r="C819" s="1" t="n">
        <v>45668</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48583-2022</t>
        </is>
      </c>
      <c r="B820" s="1" t="n">
        <v>44859</v>
      </c>
      <c r="C820" s="1" t="n">
        <v>45668</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49237-2022</t>
        </is>
      </c>
      <c r="B821" s="1" t="n">
        <v>44861</v>
      </c>
      <c r="C821" s="1" t="n">
        <v>45668</v>
      </c>
      <c r="D821" t="inlineStr">
        <is>
          <t>JÄMTLANDS LÄN</t>
        </is>
      </c>
      <c r="E821" t="inlineStr">
        <is>
          <t>HÄRJEDALEN</t>
        </is>
      </c>
      <c r="G821" t="n">
        <v>5.8</v>
      </c>
      <c r="H821" t="n">
        <v>0</v>
      </c>
      <c r="I821" t="n">
        <v>0</v>
      </c>
      <c r="J821" t="n">
        <v>0</v>
      </c>
      <c r="K821" t="n">
        <v>0</v>
      </c>
      <c r="L821" t="n">
        <v>0</v>
      </c>
      <c r="M821" t="n">
        <v>0</v>
      </c>
      <c r="N821" t="n">
        <v>0</v>
      </c>
      <c r="O821" t="n">
        <v>0</v>
      </c>
      <c r="P821" t="n">
        <v>0</v>
      </c>
      <c r="Q821" t="n">
        <v>0</v>
      </c>
      <c r="R821" s="2" t="inlineStr"/>
    </row>
    <row r="822" ht="15" customHeight="1">
      <c r="A822" t="inlineStr">
        <is>
          <t>A 49295-2022</t>
        </is>
      </c>
      <c r="B822" s="1" t="n">
        <v>44861</v>
      </c>
      <c r="C822" s="1" t="n">
        <v>45668</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49663-2022</t>
        </is>
      </c>
      <c r="B823" s="1" t="n">
        <v>44862</v>
      </c>
      <c r="C823" s="1" t="n">
        <v>45668</v>
      </c>
      <c r="D823" t="inlineStr">
        <is>
          <t>JÄMTLANDS LÄN</t>
        </is>
      </c>
      <c r="E823" t="inlineStr">
        <is>
          <t>HÄRJEDALEN</t>
        </is>
      </c>
      <c r="F823" t="inlineStr">
        <is>
          <t>Bergvik skog väst AB</t>
        </is>
      </c>
      <c r="G823" t="n">
        <v>17.5</v>
      </c>
      <c r="H823" t="n">
        <v>0</v>
      </c>
      <c r="I823" t="n">
        <v>0</v>
      </c>
      <c r="J823" t="n">
        <v>0</v>
      </c>
      <c r="K823" t="n">
        <v>0</v>
      </c>
      <c r="L823" t="n">
        <v>0</v>
      </c>
      <c r="M823" t="n">
        <v>0</v>
      </c>
      <c r="N823" t="n">
        <v>0</v>
      </c>
      <c r="O823" t="n">
        <v>0</v>
      </c>
      <c r="P823" t="n">
        <v>0</v>
      </c>
      <c r="Q823" t="n">
        <v>0</v>
      </c>
      <c r="R823" s="2" t="inlineStr"/>
    </row>
    <row r="824" ht="15" customHeight="1">
      <c r="A824" t="inlineStr">
        <is>
          <t>A 49689-2022</t>
        </is>
      </c>
      <c r="B824" s="1" t="n">
        <v>44862</v>
      </c>
      <c r="C824" s="1" t="n">
        <v>45668</v>
      </c>
      <c r="D824" t="inlineStr">
        <is>
          <t>JÄMTLANDS LÄN</t>
        </is>
      </c>
      <c r="E824" t="inlineStr">
        <is>
          <t>HÄRJEDALEN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49995-2022</t>
        </is>
      </c>
      <c r="B825" s="1" t="n">
        <v>44865</v>
      </c>
      <c r="C825" s="1" t="n">
        <v>45668</v>
      </c>
      <c r="D825" t="inlineStr">
        <is>
          <t>JÄMTLANDS LÄN</t>
        </is>
      </c>
      <c r="E825" t="inlineStr">
        <is>
          <t>HÄRJEDALEN</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51948-2022</t>
        </is>
      </c>
      <c r="B826" s="1" t="n">
        <v>44872</v>
      </c>
      <c r="C826" s="1" t="n">
        <v>45668</v>
      </c>
      <c r="D826" t="inlineStr">
        <is>
          <t>JÄMTLANDS LÄN</t>
        </is>
      </c>
      <c r="E826" t="inlineStr">
        <is>
          <t>HÄRJEDALEN</t>
        </is>
      </c>
      <c r="F826" t="inlineStr">
        <is>
          <t>Bergvik skog väst AB</t>
        </is>
      </c>
      <c r="G826" t="n">
        <v>3.8</v>
      </c>
      <c r="H826" t="n">
        <v>0</v>
      </c>
      <c r="I826" t="n">
        <v>0</v>
      </c>
      <c r="J826" t="n">
        <v>0</v>
      </c>
      <c r="K826" t="n">
        <v>0</v>
      </c>
      <c r="L826" t="n">
        <v>0</v>
      </c>
      <c r="M826" t="n">
        <v>0</v>
      </c>
      <c r="N826" t="n">
        <v>0</v>
      </c>
      <c r="O826" t="n">
        <v>0</v>
      </c>
      <c r="P826" t="n">
        <v>0</v>
      </c>
      <c r="Q826" t="n">
        <v>0</v>
      </c>
      <c r="R826" s="2" t="inlineStr"/>
    </row>
    <row r="827" ht="15" customHeight="1">
      <c r="A827" t="inlineStr">
        <is>
          <t>A 52852-2022</t>
        </is>
      </c>
      <c r="B827" s="1" t="n">
        <v>44872</v>
      </c>
      <c r="C827" s="1" t="n">
        <v>45668</v>
      </c>
      <c r="D827" t="inlineStr">
        <is>
          <t>JÄMTLANDS LÄN</t>
        </is>
      </c>
      <c r="E827" t="inlineStr">
        <is>
          <t>HÄRJEDALEN</t>
        </is>
      </c>
      <c r="F827" t="inlineStr">
        <is>
          <t>Holmen skog AB</t>
        </is>
      </c>
      <c r="G827" t="n">
        <v>0.6</v>
      </c>
      <c r="H827" t="n">
        <v>0</v>
      </c>
      <c r="I827" t="n">
        <v>0</v>
      </c>
      <c r="J827" t="n">
        <v>0</v>
      </c>
      <c r="K827" t="n">
        <v>0</v>
      </c>
      <c r="L827" t="n">
        <v>0</v>
      </c>
      <c r="M827" t="n">
        <v>0</v>
      </c>
      <c r="N827" t="n">
        <v>0</v>
      </c>
      <c r="O827" t="n">
        <v>0</v>
      </c>
      <c r="P827" t="n">
        <v>0</v>
      </c>
      <c r="Q827" t="n">
        <v>0</v>
      </c>
      <c r="R827" s="2" t="inlineStr"/>
    </row>
    <row r="828" ht="15" customHeight="1">
      <c r="A828" t="inlineStr">
        <is>
          <t>A 52867-2022</t>
        </is>
      </c>
      <c r="B828" s="1" t="n">
        <v>44872</v>
      </c>
      <c r="C828" s="1" t="n">
        <v>45668</v>
      </c>
      <c r="D828" t="inlineStr">
        <is>
          <t>JÄMTLANDS LÄN</t>
        </is>
      </c>
      <c r="E828" t="inlineStr">
        <is>
          <t>HÄRJEDALEN</t>
        </is>
      </c>
      <c r="G828" t="n">
        <v>0.3</v>
      </c>
      <c r="H828" t="n">
        <v>0</v>
      </c>
      <c r="I828" t="n">
        <v>0</v>
      </c>
      <c r="J828" t="n">
        <v>0</v>
      </c>
      <c r="K828" t="n">
        <v>0</v>
      </c>
      <c r="L828" t="n">
        <v>0</v>
      </c>
      <c r="M828" t="n">
        <v>0</v>
      </c>
      <c r="N828" t="n">
        <v>0</v>
      </c>
      <c r="O828" t="n">
        <v>0</v>
      </c>
      <c r="P828" t="n">
        <v>0</v>
      </c>
      <c r="Q828" t="n">
        <v>0</v>
      </c>
      <c r="R828" s="2" t="inlineStr"/>
    </row>
    <row r="829" ht="15" customHeight="1">
      <c r="A829" t="inlineStr">
        <is>
          <t>A 52339-2022</t>
        </is>
      </c>
      <c r="B829" s="1" t="n">
        <v>44873</v>
      </c>
      <c r="C829" s="1" t="n">
        <v>45668</v>
      </c>
      <c r="D829" t="inlineStr">
        <is>
          <t>JÄMTLANDS LÄN</t>
        </is>
      </c>
      <c r="E829" t="inlineStr">
        <is>
          <t>HÄRJEDALEN</t>
        </is>
      </c>
      <c r="G829" t="n">
        <v>28.1</v>
      </c>
      <c r="H829" t="n">
        <v>0</v>
      </c>
      <c r="I829" t="n">
        <v>0</v>
      </c>
      <c r="J829" t="n">
        <v>0</v>
      </c>
      <c r="K829" t="n">
        <v>0</v>
      </c>
      <c r="L829" t="n">
        <v>0</v>
      </c>
      <c r="M829" t="n">
        <v>0</v>
      </c>
      <c r="N829" t="n">
        <v>0</v>
      </c>
      <c r="O829" t="n">
        <v>0</v>
      </c>
      <c r="P829" t="n">
        <v>0</v>
      </c>
      <c r="Q829" t="n">
        <v>0</v>
      </c>
      <c r="R829" s="2" t="inlineStr"/>
    </row>
    <row r="830" ht="15" customHeight="1">
      <c r="A830" t="inlineStr">
        <is>
          <t>A 52586-2022</t>
        </is>
      </c>
      <c r="B830" s="1" t="n">
        <v>44874</v>
      </c>
      <c r="C830" s="1" t="n">
        <v>45668</v>
      </c>
      <c r="D830" t="inlineStr">
        <is>
          <t>JÄMTLANDS LÄN</t>
        </is>
      </c>
      <c r="E830" t="inlineStr">
        <is>
          <t>HÄRJEDALEN</t>
        </is>
      </c>
      <c r="F830" t="inlineStr">
        <is>
          <t>Bergvik skog väst AB</t>
        </is>
      </c>
      <c r="G830" t="n">
        <v>6.1</v>
      </c>
      <c r="H830" t="n">
        <v>0</v>
      </c>
      <c r="I830" t="n">
        <v>0</v>
      </c>
      <c r="J830" t="n">
        <v>0</v>
      </c>
      <c r="K830" t="n">
        <v>0</v>
      </c>
      <c r="L830" t="n">
        <v>0</v>
      </c>
      <c r="M830" t="n">
        <v>0</v>
      </c>
      <c r="N830" t="n">
        <v>0</v>
      </c>
      <c r="O830" t="n">
        <v>0</v>
      </c>
      <c r="P830" t="n">
        <v>0</v>
      </c>
      <c r="Q830" t="n">
        <v>0</v>
      </c>
      <c r="R830" s="2" t="inlineStr"/>
    </row>
    <row r="831" ht="15" customHeight="1">
      <c r="A831" t="inlineStr">
        <is>
          <t>A 53104-2022</t>
        </is>
      </c>
      <c r="B831" s="1" t="n">
        <v>44876</v>
      </c>
      <c r="C831" s="1" t="n">
        <v>45668</v>
      </c>
      <c r="D831" t="inlineStr">
        <is>
          <t>JÄMTLANDS LÄN</t>
        </is>
      </c>
      <c r="E831" t="inlineStr">
        <is>
          <t>HÄRJEDALEN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53107-2022</t>
        </is>
      </c>
      <c r="B832" s="1" t="n">
        <v>44876</v>
      </c>
      <c r="C832" s="1" t="n">
        <v>45668</v>
      </c>
      <c r="D832" t="inlineStr">
        <is>
          <t>JÄMTLANDS LÄN</t>
        </is>
      </c>
      <c r="E832" t="inlineStr">
        <is>
          <t>HÄRJEDALEN</t>
        </is>
      </c>
      <c r="F832" t="inlineStr">
        <is>
          <t>Bergvik skog väst AB</t>
        </is>
      </c>
      <c r="G832" t="n">
        <v>9.1</v>
      </c>
      <c r="H832" t="n">
        <v>0</v>
      </c>
      <c r="I832" t="n">
        <v>0</v>
      </c>
      <c r="J832" t="n">
        <v>0</v>
      </c>
      <c r="K832" t="n">
        <v>0</v>
      </c>
      <c r="L832" t="n">
        <v>0</v>
      </c>
      <c r="M832" t="n">
        <v>0</v>
      </c>
      <c r="N832" t="n">
        <v>0</v>
      </c>
      <c r="O832" t="n">
        <v>0</v>
      </c>
      <c r="P832" t="n">
        <v>0</v>
      </c>
      <c r="Q832" t="n">
        <v>0</v>
      </c>
      <c r="R832" s="2" t="inlineStr"/>
    </row>
    <row r="833" ht="15" customHeight="1">
      <c r="A833" t="inlineStr">
        <is>
          <t>A 53120-2022</t>
        </is>
      </c>
      <c r="B833" s="1" t="n">
        <v>44876</v>
      </c>
      <c r="C833" s="1" t="n">
        <v>45668</v>
      </c>
      <c r="D833" t="inlineStr">
        <is>
          <t>JÄMTLANDS LÄN</t>
        </is>
      </c>
      <c r="E833" t="inlineStr">
        <is>
          <t>HÄRJEDALEN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53563-2022</t>
        </is>
      </c>
      <c r="B834" s="1" t="n">
        <v>44879</v>
      </c>
      <c r="C834" s="1" t="n">
        <v>45668</v>
      </c>
      <c r="D834" t="inlineStr">
        <is>
          <t>JÄMTLANDS LÄN</t>
        </is>
      </c>
      <c r="E834" t="inlineStr">
        <is>
          <t>HÄRJEDALEN</t>
        </is>
      </c>
      <c r="G834" t="n">
        <v>8.6</v>
      </c>
      <c r="H834" t="n">
        <v>0</v>
      </c>
      <c r="I834" t="n">
        <v>0</v>
      </c>
      <c r="J834" t="n">
        <v>0</v>
      </c>
      <c r="K834" t="n">
        <v>0</v>
      </c>
      <c r="L834" t="n">
        <v>0</v>
      </c>
      <c r="M834" t="n">
        <v>0</v>
      </c>
      <c r="N834" t="n">
        <v>0</v>
      </c>
      <c r="O834" t="n">
        <v>0</v>
      </c>
      <c r="P834" t="n">
        <v>0</v>
      </c>
      <c r="Q834" t="n">
        <v>0</v>
      </c>
      <c r="R834" s="2" t="inlineStr"/>
    </row>
    <row r="835" ht="15" customHeight="1">
      <c r="A835" t="inlineStr">
        <is>
          <t>A 54059-2022</t>
        </is>
      </c>
      <c r="B835" s="1" t="n">
        <v>44881</v>
      </c>
      <c r="C835" s="1" t="n">
        <v>45668</v>
      </c>
      <c r="D835" t="inlineStr">
        <is>
          <t>JÄMTLANDS LÄN</t>
        </is>
      </c>
      <c r="E835" t="inlineStr">
        <is>
          <t>HÄRJEDALEN</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54065-2022</t>
        </is>
      </c>
      <c r="B836" s="1" t="n">
        <v>44881</v>
      </c>
      <c r="C836" s="1" t="n">
        <v>45668</v>
      </c>
      <c r="D836" t="inlineStr">
        <is>
          <t>JÄMTLANDS LÄN</t>
        </is>
      </c>
      <c r="E836" t="inlineStr">
        <is>
          <t>HÄRJEDALEN</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54305-2022</t>
        </is>
      </c>
      <c r="B837" s="1" t="n">
        <v>44882</v>
      </c>
      <c r="C837" s="1" t="n">
        <v>45668</v>
      </c>
      <c r="D837" t="inlineStr">
        <is>
          <t>JÄMTLANDS LÄN</t>
        </is>
      </c>
      <c r="E837" t="inlineStr">
        <is>
          <t>HÄRJEDALEN</t>
        </is>
      </c>
      <c r="G837" t="n">
        <v>2.3</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45668</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54762-2022</t>
        </is>
      </c>
      <c r="B839" s="1" t="n">
        <v>44883</v>
      </c>
      <c r="C839" s="1" t="n">
        <v>45668</v>
      </c>
      <c r="D839" t="inlineStr">
        <is>
          <t>JÄMTLANDS LÄN</t>
        </is>
      </c>
      <c r="E839" t="inlineStr">
        <is>
          <t>HÄRJEDALEN</t>
        </is>
      </c>
      <c r="G839" t="n">
        <v>1.8</v>
      </c>
      <c r="H839" t="n">
        <v>0</v>
      </c>
      <c r="I839" t="n">
        <v>0</v>
      </c>
      <c r="J839" t="n">
        <v>0</v>
      </c>
      <c r="K839" t="n">
        <v>0</v>
      </c>
      <c r="L839" t="n">
        <v>0</v>
      </c>
      <c r="M839" t="n">
        <v>0</v>
      </c>
      <c r="N839" t="n">
        <v>0</v>
      </c>
      <c r="O839" t="n">
        <v>0</v>
      </c>
      <c r="P839" t="n">
        <v>0</v>
      </c>
      <c r="Q839" t="n">
        <v>0</v>
      </c>
      <c r="R839" s="2" t="inlineStr"/>
    </row>
    <row r="840" ht="15" customHeight="1">
      <c r="A840" t="inlineStr">
        <is>
          <t>A 55100-2022</t>
        </is>
      </c>
      <c r="B840" s="1" t="n">
        <v>44886</v>
      </c>
      <c r="C840" s="1" t="n">
        <v>45668</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55103-2022</t>
        </is>
      </c>
      <c r="B841" s="1" t="n">
        <v>44886</v>
      </c>
      <c r="C841" s="1" t="n">
        <v>45668</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55931-2022</t>
        </is>
      </c>
      <c r="B842" s="1" t="n">
        <v>44886</v>
      </c>
      <c r="C842" s="1" t="n">
        <v>45668</v>
      </c>
      <c r="D842" t="inlineStr">
        <is>
          <t>JÄMTLANDS LÄN</t>
        </is>
      </c>
      <c r="E842" t="inlineStr">
        <is>
          <t>HÄRJEDALEN</t>
        </is>
      </c>
      <c r="F842" t="inlineStr">
        <is>
          <t>Övriga statliga verk och myndigheter</t>
        </is>
      </c>
      <c r="G842" t="n">
        <v>2.9</v>
      </c>
      <c r="H842" t="n">
        <v>0</v>
      </c>
      <c r="I842" t="n">
        <v>0</v>
      </c>
      <c r="J842" t="n">
        <v>0</v>
      </c>
      <c r="K842" t="n">
        <v>0</v>
      </c>
      <c r="L842" t="n">
        <v>0</v>
      </c>
      <c r="M842" t="n">
        <v>0</v>
      </c>
      <c r="N842" t="n">
        <v>0</v>
      </c>
      <c r="O842" t="n">
        <v>0</v>
      </c>
      <c r="P842" t="n">
        <v>0</v>
      </c>
      <c r="Q842" t="n">
        <v>0</v>
      </c>
      <c r="R842" s="2" t="inlineStr"/>
    </row>
    <row r="843" ht="15" customHeight="1">
      <c r="A843" t="inlineStr">
        <is>
          <t>A 55969-2022</t>
        </is>
      </c>
      <c r="B843" s="1" t="n">
        <v>44886</v>
      </c>
      <c r="C843" s="1" t="n">
        <v>45668</v>
      </c>
      <c r="D843" t="inlineStr">
        <is>
          <t>JÄMTLANDS LÄN</t>
        </is>
      </c>
      <c r="E843" t="inlineStr">
        <is>
          <t>HÄRJEDALEN</t>
        </is>
      </c>
      <c r="F843" t="inlineStr">
        <is>
          <t>Övriga statliga verk och myndigheter</t>
        </is>
      </c>
      <c r="G843" t="n">
        <v>1.6</v>
      </c>
      <c r="H843" t="n">
        <v>0</v>
      </c>
      <c r="I843" t="n">
        <v>0</v>
      </c>
      <c r="J843" t="n">
        <v>0</v>
      </c>
      <c r="K843" t="n">
        <v>0</v>
      </c>
      <c r="L843" t="n">
        <v>0</v>
      </c>
      <c r="M843" t="n">
        <v>0</v>
      </c>
      <c r="N843" t="n">
        <v>0</v>
      </c>
      <c r="O843" t="n">
        <v>0</v>
      </c>
      <c r="P843" t="n">
        <v>0</v>
      </c>
      <c r="Q843" t="n">
        <v>0</v>
      </c>
      <c r="R843" s="2" t="inlineStr"/>
    </row>
    <row r="844" ht="15" customHeight="1">
      <c r="A844" t="inlineStr">
        <is>
          <t>A 56043-2022</t>
        </is>
      </c>
      <c r="B844" s="1" t="n">
        <v>44889</v>
      </c>
      <c r="C844" s="1" t="n">
        <v>45668</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57223-2022</t>
        </is>
      </c>
      <c r="B845" s="1" t="n">
        <v>44889</v>
      </c>
      <c r="C845" s="1" t="n">
        <v>45668</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56533-2022</t>
        </is>
      </c>
      <c r="B846" s="1" t="n">
        <v>44893</v>
      </c>
      <c r="C846" s="1" t="n">
        <v>45668</v>
      </c>
      <c r="D846" t="inlineStr">
        <is>
          <t>JÄMTLANDS LÄN</t>
        </is>
      </c>
      <c r="E846" t="inlineStr">
        <is>
          <t>HÄRJEDALEN</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56992-2022</t>
        </is>
      </c>
      <c r="B847" s="1" t="n">
        <v>44894</v>
      </c>
      <c r="C847" s="1" t="n">
        <v>45668</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58425-2022</t>
        </is>
      </c>
      <c r="B848" s="1" t="n">
        <v>44901</v>
      </c>
      <c r="C848" s="1" t="n">
        <v>45668</v>
      </c>
      <c r="D848" t="inlineStr">
        <is>
          <t>JÄMTLANDS LÄN</t>
        </is>
      </c>
      <c r="E848" t="inlineStr">
        <is>
          <t>HÄRJEDALEN</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59094-2022</t>
        </is>
      </c>
      <c r="B849" s="1" t="n">
        <v>44904</v>
      </c>
      <c r="C849" s="1" t="n">
        <v>45668</v>
      </c>
      <c r="D849" t="inlineStr">
        <is>
          <t>JÄMTLANDS LÄN</t>
        </is>
      </c>
      <c r="E849" t="inlineStr">
        <is>
          <t>HÄRJEDALEN</t>
        </is>
      </c>
      <c r="F849" t="inlineStr">
        <is>
          <t>Bergvik skog väst AB</t>
        </is>
      </c>
      <c r="G849" t="n">
        <v>49.8</v>
      </c>
      <c r="H849" t="n">
        <v>0</v>
      </c>
      <c r="I849" t="n">
        <v>0</v>
      </c>
      <c r="J849" t="n">
        <v>0</v>
      </c>
      <c r="K849" t="n">
        <v>0</v>
      </c>
      <c r="L849" t="n">
        <v>0</v>
      </c>
      <c r="M849" t="n">
        <v>0</v>
      </c>
      <c r="N849" t="n">
        <v>0</v>
      </c>
      <c r="O849" t="n">
        <v>0</v>
      </c>
      <c r="P849" t="n">
        <v>0</v>
      </c>
      <c r="Q849" t="n">
        <v>0</v>
      </c>
      <c r="R849" s="2" t="inlineStr"/>
    </row>
    <row r="850" ht="15" customHeight="1">
      <c r="A850" t="inlineStr">
        <is>
          <t>A 59112-2022</t>
        </is>
      </c>
      <c r="B850" s="1" t="n">
        <v>44904</v>
      </c>
      <c r="C850" s="1" t="n">
        <v>45668</v>
      </c>
      <c r="D850" t="inlineStr">
        <is>
          <t>JÄMTLANDS LÄN</t>
        </is>
      </c>
      <c r="E850" t="inlineStr">
        <is>
          <t>HÄRJEDALEN</t>
        </is>
      </c>
      <c r="F850" t="inlineStr">
        <is>
          <t>Bergvik skog väst AB</t>
        </is>
      </c>
      <c r="G850" t="n">
        <v>5.7</v>
      </c>
      <c r="H850" t="n">
        <v>0</v>
      </c>
      <c r="I850" t="n">
        <v>0</v>
      </c>
      <c r="J850" t="n">
        <v>0</v>
      </c>
      <c r="K850" t="n">
        <v>0</v>
      </c>
      <c r="L850" t="n">
        <v>0</v>
      </c>
      <c r="M850" t="n">
        <v>0</v>
      </c>
      <c r="N850" t="n">
        <v>0</v>
      </c>
      <c r="O850" t="n">
        <v>0</v>
      </c>
      <c r="P850" t="n">
        <v>0</v>
      </c>
      <c r="Q850" t="n">
        <v>0</v>
      </c>
      <c r="R850" s="2" t="inlineStr"/>
    </row>
    <row r="851" ht="15" customHeight="1">
      <c r="A851" t="inlineStr">
        <is>
          <t>A 59824-2022</t>
        </is>
      </c>
      <c r="B851" s="1" t="n">
        <v>44908</v>
      </c>
      <c r="C851" s="1" t="n">
        <v>45668</v>
      </c>
      <c r="D851" t="inlineStr">
        <is>
          <t>JÄMTLANDS LÄN</t>
        </is>
      </c>
      <c r="E851" t="inlineStr">
        <is>
          <t>HÄRJEDALEN</t>
        </is>
      </c>
      <c r="G851" t="n">
        <v>4.9</v>
      </c>
      <c r="H851" t="n">
        <v>0</v>
      </c>
      <c r="I851" t="n">
        <v>0</v>
      </c>
      <c r="J851" t="n">
        <v>0</v>
      </c>
      <c r="K851" t="n">
        <v>0</v>
      </c>
      <c r="L851" t="n">
        <v>0</v>
      </c>
      <c r="M851" t="n">
        <v>0</v>
      </c>
      <c r="N851" t="n">
        <v>0</v>
      </c>
      <c r="O851" t="n">
        <v>0</v>
      </c>
      <c r="P851" t="n">
        <v>0</v>
      </c>
      <c r="Q851" t="n">
        <v>0</v>
      </c>
      <c r="R851" s="2" t="inlineStr"/>
    </row>
    <row r="852" ht="15" customHeight="1">
      <c r="A852" t="inlineStr">
        <is>
          <t>A 59851-2022</t>
        </is>
      </c>
      <c r="B852" s="1" t="n">
        <v>44908</v>
      </c>
      <c r="C852" s="1" t="n">
        <v>45668</v>
      </c>
      <c r="D852" t="inlineStr">
        <is>
          <t>JÄMTLANDS LÄN</t>
        </is>
      </c>
      <c r="E852" t="inlineStr">
        <is>
          <t>HÄRJEDALEN</t>
        </is>
      </c>
      <c r="G852" t="n">
        <v>3.2</v>
      </c>
      <c r="H852" t="n">
        <v>0</v>
      </c>
      <c r="I852" t="n">
        <v>0</v>
      </c>
      <c r="J852" t="n">
        <v>0</v>
      </c>
      <c r="K852" t="n">
        <v>0</v>
      </c>
      <c r="L852" t="n">
        <v>0</v>
      </c>
      <c r="M852" t="n">
        <v>0</v>
      </c>
      <c r="N852" t="n">
        <v>0</v>
      </c>
      <c r="O852" t="n">
        <v>0</v>
      </c>
      <c r="P852" t="n">
        <v>0</v>
      </c>
      <c r="Q852" t="n">
        <v>0</v>
      </c>
      <c r="R852" s="2" t="inlineStr"/>
    </row>
    <row r="853" ht="15" customHeight="1">
      <c r="A853" t="inlineStr">
        <is>
          <t>A 59828-2022</t>
        </is>
      </c>
      <c r="B853" s="1" t="n">
        <v>44908</v>
      </c>
      <c r="C853" s="1" t="n">
        <v>45668</v>
      </c>
      <c r="D853" t="inlineStr">
        <is>
          <t>JÄMTLANDS LÄN</t>
        </is>
      </c>
      <c r="E853" t="inlineStr">
        <is>
          <t>HÄRJEDALEN</t>
        </is>
      </c>
      <c r="G853" t="n">
        <v>7.4</v>
      </c>
      <c r="H853" t="n">
        <v>0</v>
      </c>
      <c r="I853" t="n">
        <v>0</v>
      </c>
      <c r="J853" t="n">
        <v>0</v>
      </c>
      <c r="K853" t="n">
        <v>0</v>
      </c>
      <c r="L853" t="n">
        <v>0</v>
      </c>
      <c r="M853" t="n">
        <v>0</v>
      </c>
      <c r="N853" t="n">
        <v>0</v>
      </c>
      <c r="O853" t="n">
        <v>0</v>
      </c>
      <c r="P853" t="n">
        <v>0</v>
      </c>
      <c r="Q853" t="n">
        <v>0</v>
      </c>
      <c r="R853" s="2" t="inlineStr"/>
    </row>
    <row r="854" ht="15" customHeight="1">
      <c r="A854" t="inlineStr">
        <is>
          <t>A 59818-2022</t>
        </is>
      </c>
      <c r="B854" s="1" t="n">
        <v>44908</v>
      </c>
      <c r="C854" s="1" t="n">
        <v>45668</v>
      </c>
      <c r="D854" t="inlineStr">
        <is>
          <t>JÄMTLANDS LÄN</t>
        </is>
      </c>
      <c r="E854" t="inlineStr">
        <is>
          <t>HÄRJEDALEN</t>
        </is>
      </c>
      <c r="G854" t="n">
        <v>5.3</v>
      </c>
      <c r="H854" t="n">
        <v>0</v>
      </c>
      <c r="I854" t="n">
        <v>0</v>
      </c>
      <c r="J854" t="n">
        <v>0</v>
      </c>
      <c r="K854" t="n">
        <v>0</v>
      </c>
      <c r="L854" t="n">
        <v>0</v>
      </c>
      <c r="M854" t="n">
        <v>0</v>
      </c>
      <c r="N854" t="n">
        <v>0</v>
      </c>
      <c r="O854" t="n">
        <v>0</v>
      </c>
      <c r="P854" t="n">
        <v>0</v>
      </c>
      <c r="Q854" t="n">
        <v>0</v>
      </c>
      <c r="R854" s="2" t="inlineStr"/>
    </row>
    <row r="855" ht="15" customHeight="1">
      <c r="A855" t="inlineStr">
        <is>
          <t>A 61300-2022</t>
        </is>
      </c>
      <c r="B855" s="1" t="n">
        <v>44909</v>
      </c>
      <c r="C855" s="1" t="n">
        <v>45668</v>
      </c>
      <c r="D855" t="inlineStr">
        <is>
          <t>JÄMTLANDS LÄN</t>
        </is>
      </c>
      <c r="E855" t="inlineStr">
        <is>
          <t>HÄRJEDALEN</t>
        </is>
      </c>
      <c r="F855" t="inlineStr">
        <is>
          <t>Bergvik skog väst AB</t>
        </is>
      </c>
      <c r="G855" t="n">
        <v>14.1</v>
      </c>
      <c r="H855" t="n">
        <v>0</v>
      </c>
      <c r="I855" t="n">
        <v>0</v>
      </c>
      <c r="J855" t="n">
        <v>0</v>
      </c>
      <c r="K855" t="n">
        <v>0</v>
      </c>
      <c r="L855" t="n">
        <v>0</v>
      </c>
      <c r="M855" t="n">
        <v>0</v>
      </c>
      <c r="N855" t="n">
        <v>0</v>
      </c>
      <c r="O855" t="n">
        <v>0</v>
      </c>
      <c r="P855" t="n">
        <v>0</v>
      </c>
      <c r="Q855" t="n">
        <v>0</v>
      </c>
      <c r="R855" s="2" t="inlineStr"/>
    </row>
    <row r="856" ht="15" customHeight="1">
      <c r="A856" t="inlineStr">
        <is>
          <t>A 60236-2022</t>
        </is>
      </c>
      <c r="B856" s="1" t="n">
        <v>44910</v>
      </c>
      <c r="C856" s="1" t="n">
        <v>45668</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60542-2022</t>
        </is>
      </c>
      <c r="B857" s="1" t="n">
        <v>44911</v>
      </c>
      <c r="C857" s="1" t="n">
        <v>45668</v>
      </c>
      <c r="D857" t="inlineStr">
        <is>
          <t>JÄMTLANDS LÄN</t>
        </is>
      </c>
      <c r="E857" t="inlineStr">
        <is>
          <t>HÄRJEDALEN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60887-2022</t>
        </is>
      </c>
      <c r="B858" s="1" t="n">
        <v>44914</v>
      </c>
      <c r="C858" s="1" t="n">
        <v>45668</v>
      </c>
      <c r="D858" t="inlineStr">
        <is>
          <t>JÄMTLANDS LÄN</t>
        </is>
      </c>
      <c r="E858" t="inlineStr">
        <is>
          <t>HÄRJEDALEN</t>
        </is>
      </c>
      <c r="G858" t="n">
        <v>0.9</v>
      </c>
      <c r="H858" t="n">
        <v>0</v>
      </c>
      <c r="I858" t="n">
        <v>0</v>
      </c>
      <c r="J858" t="n">
        <v>0</v>
      </c>
      <c r="K858" t="n">
        <v>0</v>
      </c>
      <c r="L858" t="n">
        <v>0</v>
      </c>
      <c r="M858" t="n">
        <v>0</v>
      </c>
      <c r="N858" t="n">
        <v>0</v>
      </c>
      <c r="O858" t="n">
        <v>0</v>
      </c>
      <c r="P858" t="n">
        <v>0</v>
      </c>
      <c r="Q858" t="n">
        <v>0</v>
      </c>
      <c r="R858" s="2" t="inlineStr"/>
    </row>
    <row r="859" ht="15" customHeight="1">
      <c r="A859" t="inlineStr">
        <is>
          <t>A 60983-2022</t>
        </is>
      </c>
      <c r="B859" s="1" t="n">
        <v>44914</v>
      </c>
      <c r="C859" s="1" t="n">
        <v>45668</v>
      </c>
      <c r="D859" t="inlineStr">
        <is>
          <t>JÄMTLANDS LÄN</t>
        </is>
      </c>
      <c r="E859" t="inlineStr">
        <is>
          <t>HÄRJEDALEN</t>
        </is>
      </c>
      <c r="G859" t="n">
        <v>44</v>
      </c>
      <c r="H859" t="n">
        <v>0</v>
      </c>
      <c r="I859" t="n">
        <v>0</v>
      </c>
      <c r="J859" t="n">
        <v>0</v>
      </c>
      <c r="K859" t="n">
        <v>0</v>
      </c>
      <c r="L859" t="n">
        <v>0</v>
      </c>
      <c r="M859" t="n">
        <v>0</v>
      </c>
      <c r="N859" t="n">
        <v>0</v>
      </c>
      <c r="O859" t="n">
        <v>0</v>
      </c>
      <c r="P859" t="n">
        <v>0</v>
      </c>
      <c r="Q859" t="n">
        <v>0</v>
      </c>
      <c r="R859" s="2" t="inlineStr"/>
    </row>
    <row r="860" ht="15" customHeight="1">
      <c r="A860" t="inlineStr">
        <is>
          <t>A 60897-2022</t>
        </is>
      </c>
      <c r="B860" s="1" t="n">
        <v>44914</v>
      </c>
      <c r="C860" s="1" t="n">
        <v>45668</v>
      </c>
      <c r="D860" t="inlineStr">
        <is>
          <t>JÄMTLANDS LÄN</t>
        </is>
      </c>
      <c r="E860" t="inlineStr">
        <is>
          <t>HÄRJEDALEN</t>
        </is>
      </c>
      <c r="F860" t="inlineStr">
        <is>
          <t>Holmen skog AB</t>
        </is>
      </c>
      <c r="G860" t="n">
        <v>0.3</v>
      </c>
      <c r="H860" t="n">
        <v>0</v>
      </c>
      <c r="I860" t="n">
        <v>0</v>
      </c>
      <c r="J860" t="n">
        <v>0</v>
      </c>
      <c r="K860" t="n">
        <v>0</v>
      </c>
      <c r="L860" t="n">
        <v>0</v>
      </c>
      <c r="M860" t="n">
        <v>0</v>
      </c>
      <c r="N860" t="n">
        <v>0</v>
      </c>
      <c r="O860" t="n">
        <v>0</v>
      </c>
      <c r="P860" t="n">
        <v>0</v>
      </c>
      <c r="Q860" t="n">
        <v>0</v>
      </c>
      <c r="R860" s="2" t="inlineStr"/>
      <c r="U860">
        <f>HYPERLINK("https://klasma.github.io/Logging_2361/knärot/A 60897-2022 karta knärot.png", "A 60897-2022")</f>
        <v/>
      </c>
      <c r="V860">
        <f>HYPERLINK("https://klasma.github.io/Logging_2361/klagomål/A 60897-2022 FSC-klagomål.docx", "A 60897-2022")</f>
        <v/>
      </c>
      <c r="W860">
        <f>HYPERLINK("https://klasma.github.io/Logging_2361/klagomålsmail/A 60897-2022 FSC-klagomål mail.docx", "A 60897-2022")</f>
        <v/>
      </c>
      <c r="X860">
        <f>HYPERLINK("https://klasma.github.io/Logging_2361/tillsyn/A 60897-2022 tillsynsbegäran.docx", "A 60897-2022")</f>
        <v/>
      </c>
      <c r="Y860">
        <f>HYPERLINK("https://klasma.github.io/Logging_2361/tillsynsmail/A 60897-2022 tillsynsbegäran mail.docx", "A 60897-2022")</f>
        <v/>
      </c>
    </row>
    <row r="861" ht="15" customHeight="1">
      <c r="A861" t="inlineStr">
        <is>
          <t>A 60933-2022</t>
        </is>
      </c>
      <c r="B861" s="1" t="n">
        <v>44914</v>
      </c>
      <c r="C861" s="1" t="n">
        <v>45668</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61571-2022</t>
        </is>
      </c>
      <c r="B862" s="1" t="n">
        <v>44916</v>
      </c>
      <c r="C862" s="1" t="n">
        <v>45668</v>
      </c>
      <c r="D862" t="inlineStr">
        <is>
          <t>JÄMTLANDS LÄN</t>
        </is>
      </c>
      <c r="E862" t="inlineStr">
        <is>
          <t>HÄRJEDALEN</t>
        </is>
      </c>
      <c r="G862" t="n">
        <v>3.4</v>
      </c>
      <c r="H862" t="n">
        <v>0</v>
      </c>
      <c r="I862" t="n">
        <v>0</v>
      </c>
      <c r="J862" t="n">
        <v>0</v>
      </c>
      <c r="K862" t="n">
        <v>0</v>
      </c>
      <c r="L862" t="n">
        <v>0</v>
      </c>
      <c r="M862" t="n">
        <v>0</v>
      </c>
      <c r="N862" t="n">
        <v>0</v>
      </c>
      <c r="O862" t="n">
        <v>0</v>
      </c>
      <c r="P862" t="n">
        <v>0</v>
      </c>
      <c r="Q862" t="n">
        <v>0</v>
      </c>
      <c r="R862" s="2" t="inlineStr"/>
    </row>
    <row r="863" ht="15" customHeight="1">
      <c r="A863" t="inlineStr">
        <is>
          <t>A 62500-2022</t>
        </is>
      </c>
      <c r="B863" s="1" t="n">
        <v>44924</v>
      </c>
      <c r="C863" s="1" t="n">
        <v>45668</v>
      </c>
      <c r="D863" t="inlineStr">
        <is>
          <t>JÄMTLANDS LÄN</t>
        </is>
      </c>
      <c r="E863" t="inlineStr">
        <is>
          <t>HÄRJEDALEN</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62513-2022</t>
        </is>
      </c>
      <c r="B864" s="1" t="n">
        <v>44924</v>
      </c>
      <c r="C864" s="1" t="n">
        <v>45668</v>
      </c>
      <c r="D864" t="inlineStr">
        <is>
          <t>JÄMTLANDS LÄN</t>
        </is>
      </c>
      <c r="E864" t="inlineStr">
        <is>
          <t>HÄRJEDALEN</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62535-2022</t>
        </is>
      </c>
      <c r="B865" s="1" t="n">
        <v>44924</v>
      </c>
      <c r="C865" s="1" t="n">
        <v>45668</v>
      </c>
      <c r="D865" t="inlineStr">
        <is>
          <t>JÄMTLANDS LÄN</t>
        </is>
      </c>
      <c r="E865" t="inlineStr">
        <is>
          <t>HÄRJEDALEN</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62505-2022</t>
        </is>
      </c>
      <c r="B866" s="1" t="n">
        <v>44924</v>
      </c>
      <c r="C866" s="1" t="n">
        <v>45668</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62533-2022</t>
        </is>
      </c>
      <c r="B867" s="1" t="n">
        <v>44924</v>
      </c>
      <c r="C867" s="1" t="n">
        <v>45668</v>
      </c>
      <c r="D867" t="inlineStr">
        <is>
          <t>JÄMTLANDS LÄN</t>
        </is>
      </c>
      <c r="E867" t="inlineStr">
        <is>
          <t>HÄRJEDALEN</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62639-2022</t>
        </is>
      </c>
      <c r="B868" s="1" t="n">
        <v>44925</v>
      </c>
      <c r="C868" s="1" t="n">
        <v>45668</v>
      </c>
      <c r="D868" t="inlineStr">
        <is>
          <t>JÄMTLANDS LÄN</t>
        </is>
      </c>
      <c r="E868" t="inlineStr">
        <is>
          <t>HÄRJEDALEN</t>
        </is>
      </c>
      <c r="G868" t="n">
        <v>4.3</v>
      </c>
      <c r="H868" t="n">
        <v>0</v>
      </c>
      <c r="I868" t="n">
        <v>0</v>
      </c>
      <c r="J868" t="n">
        <v>0</v>
      </c>
      <c r="K868" t="n">
        <v>0</v>
      </c>
      <c r="L868" t="n">
        <v>0</v>
      </c>
      <c r="M868" t="n">
        <v>0</v>
      </c>
      <c r="N868" t="n">
        <v>0</v>
      </c>
      <c r="O868" t="n">
        <v>0</v>
      </c>
      <c r="P868" t="n">
        <v>0</v>
      </c>
      <c r="Q868" t="n">
        <v>0</v>
      </c>
      <c r="R868" s="2" t="inlineStr"/>
    </row>
    <row r="869" ht="15" customHeight="1">
      <c r="A869" t="inlineStr">
        <is>
          <t>A 62696-2022</t>
        </is>
      </c>
      <c r="B869" s="1" t="n">
        <v>44925</v>
      </c>
      <c r="C869" s="1" t="n">
        <v>45668</v>
      </c>
      <c r="D869" t="inlineStr">
        <is>
          <t>JÄMTLANDS LÄN</t>
        </is>
      </c>
      <c r="E869" t="inlineStr">
        <is>
          <t>HÄRJEDALEN</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62702-2022</t>
        </is>
      </c>
      <c r="B870" s="1" t="n">
        <v>44925</v>
      </c>
      <c r="C870" s="1" t="n">
        <v>45668</v>
      </c>
      <c r="D870" t="inlineStr">
        <is>
          <t>JÄMTLANDS LÄN</t>
        </is>
      </c>
      <c r="E870" t="inlineStr">
        <is>
          <t>HÄRJEDALEN</t>
        </is>
      </c>
      <c r="F870" t="inlineStr">
        <is>
          <t>Holmen skog AB</t>
        </is>
      </c>
      <c r="G870" t="n">
        <v>1.4</v>
      </c>
      <c r="H870" t="n">
        <v>0</v>
      </c>
      <c r="I870" t="n">
        <v>0</v>
      </c>
      <c r="J870" t="n">
        <v>0</v>
      </c>
      <c r="K870" t="n">
        <v>0</v>
      </c>
      <c r="L870" t="n">
        <v>0</v>
      </c>
      <c r="M870" t="n">
        <v>0</v>
      </c>
      <c r="N870" t="n">
        <v>0</v>
      </c>
      <c r="O870" t="n">
        <v>0</v>
      </c>
      <c r="P870" t="n">
        <v>0</v>
      </c>
      <c r="Q870" t="n">
        <v>0</v>
      </c>
      <c r="R870" s="2" t="inlineStr"/>
    </row>
    <row r="871" ht="15" customHeight="1">
      <c r="A871" t="inlineStr">
        <is>
          <t>A 62719-2022</t>
        </is>
      </c>
      <c r="B871" s="1" t="n">
        <v>44925</v>
      </c>
      <c r="C871" s="1" t="n">
        <v>45668</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62724-2022</t>
        </is>
      </c>
      <c r="B872" s="1" t="n">
        <v>44925</v>
      </c>
      <c r="C872" s="1" t="n">
        <v>45668</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62599-2022</t>
        </is>
      </c>
      <c r="B873" s="1" t="n">
        <v>44925</v>
      </c>
      <c r="C873" s="1" t="n">
        <v>45668</v>
      </c>
      <c r="D873" t="inlineStr">
        <is>
          <t>JÄMTLANDS LÄN</t>
        </is>
      </c>
      <c r="E873" t="inlineStr">
        <is>
          <t>HÄRJEDALEN</t>
        </is>
      </c>
      <c r="F873" t="inlineStr">
        <is>
          <t>Holmen skog AB</t>
        </is>
      </c>
      <c r="G873" t="n">
        <v>8.1</v>
      </c>
      <c r="H873" t="n">
        <v>0</v>
      </c>
      <c r="I873" t="n">
        <v>0</v>
      </c>
      <c r="J873" t="n">
        <v>0</v>
      </c>
      <c r="K873" t="n">
        <v>0</v>
      </c>
      <c r="L873" t="n">
        <v>0</v>
      </c>
      <c r="M873" t="n">
        <v>0</v>
      </c>
      <c r="N873" t="n">
        <v>0</v>
      </c>
      <c r="O873" t="n">
        <v>0</v>
      </c>
      <c r="P873" t="n">
        <v>0</v>
      </c>
      <c r="Q873" t="n">
        <v>0</v>
      </c>
      <c r="R873" s="2" t="inlineStr"/>
    </row>
    <row r="874" ht="15" customHeight="1">
      <c r="A874" t="inlineStr">
        <is>
          <t>A 62641-2022</t>
        </is>
      </c>
      <c r="B874" s="1" t="n">
        <v>44925</v>
      </c>
      <c r="C874" s="1" t="n">
        <v>45668</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62591-2022</t>
        </is>
      </c>
      <c r="B875" s="1" t="n">
        <v>44925</v>
      </c>
      <c r="C875" s="1" t="n">
        <v>45668</v>
      </c>
      <c r="D875" t="inlineStr">
        <is>
          <t>JÄMTLANDS LÄN</t>
        </is>
      </c>
      <c r="E875" t="inlineStr">
        <is>
          <t>HÄRJEDALEN</t>
        </is>
      </c>
      <c r="G875" t="n">
        <v>32.7</v>
      </c>
      <c r="H875" t="n">
        <v>0</v>
      </c>
      <c r="I875" t="n">
        <v>0</v>
      </c>
      <c r="J875" t="n">
        <v>0</v>
      </c>
      <c r="K875" t="n">
        <v>0</v>
      </c>
      <c r="L875" t="n">
        <v>0</v>
      </c>
      <c r="M875" t="n">
        <v>0</v>
      </c>
      <c r="N875" t="n">
        <v>0</v>
      </c>
      <c r="O875" t="n">
        <v>0</v>
      </c>
      <c r="P875" t="n">
        <v>0</v>
      </c>
      <c r="Q875" t="n">
        <v>0</v>
      </c>
      <c r="R875" s="2" t="inlineStr"/>
    </row>
    <row r="876" ht="15" customHeight="1">
      <c r="A876" t="inlineStr">
        <is>
          <t>A 62653-2022</t>
        </is>
      </c>
      <c r="B876" s="1" t="n">
        <v>44925</v>
      </c>
      <c r="C876" s="1" t="n">
        <v>45668</v>
      </c>
      <c r="D876" t="inlineStr">
        <is>
          <t>JÄMTLANDS LÄN</t>
        </is>
      </c>
      <c r="E876" t="inlineStr">
        <is>
          <t>HÄRJEDALEN</t>
        </is>
      </c>
      <c r="G876" t="n">
        <v>3.8</v>
      </c>
      <c r="H876" t="n">
        <v>0</v>
      </c>
      <c r="I876" t="n">
        <v>0</v>
      </c>
      <c r="J876" t="n">
        <v>0</v>
      </c>
      <c r="K876" t="n">
        <v>0</v>
      </c>
      <c r="L876" t="n">
        <v>0</v>
      </c>
      <c r="M876" t="n">
        <v>0</v>
      </c>
      <c r="N876" t="n">
        <v>0</v>
      </c>
      <c r="O876" t="n">
        <v>0</v>
      </c>
      <c r="P876" t="n">
        <v>0</v>
      </c>
      <c r="Q876" t="n">
        <v>0</v>
      </c>
      <c r="R876" s="2" t="inlineStr"/>
    </row>
    <row r="877" ht="15" customHeight="1">
      <c r="A877" t="inlineStr">
        <is>
          <t>A 62687-2022</t>
        </is>
      </c>
      <c r="B877" s="1" t="n">
        <v>44925</v>
      </c>
      <c r="C877" s="1" t="n">
        <v>45668</v>
      </c>
      <c r="D877" t="inlineStr">
        <is>
          <t>JÄMTLANDS LÄN</t>
        </is>
      </c>
      <c r="E877" t="inlineStr">
        <is>
          <t>HÄRJEDALEN</t>
        </is>
      </c>
      <c r="F877" t="inlineStr">
        <is>
          <t>Holmen skog AB</t>
        </is>
      </c>
      <c r="G877" t="n">
        <v>5.7</v>
      </c>
      <c r="H877" t="n">
        <v>0</v>
      </c>
      <c r="I877" t="n">
        <v>0</v>
      </c>
      <c r="J877" t="n">
        <v>0</v>
      </c>
      <c r="K877" t="n">
        <v>0</v>
      </c>
      <c r="L877" t="n">
        <v>0</v>
      </c>
      <c r="M877" t="n">
        <v>0</v>
      </c>
      <c r="N877" t="n">
        <v>0</v>
      </c>
      <c r="O877" t="n">
        <v>0</v>
      </c>
      <c r="P877" t="n">
        <v>0</v>
      </c>
      <c r="Q877" t="n">
        <v>0</v>
      </c>
      <c r="R877" s="2" t="inlineStr"/>
    </row>
    <row r="878" ht="15" customHeight="1">
      <c r="A878" t="inlineStr">
        <is>
          <t>A 62694-2022</t>
        </is>
      </c>
      <c r="B878" s="1" t="n">
        <v>44925</v>
      </c>
      <c r="C878" s="1" t="n">
        <v>45668</v>
      </c>
      <c r="D878" t="inlineStr">
        <is>
          <t>JÄMTLANDS LÄN</t>
        </is>
      </c>
      <c r="E878" t="inlineStr">
        <is>
          <t>HÄRJEDALEN</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62708-2022</t>
        </is>
      </c>
      <c r="B879" s="1" t="n">
        <v>44925</v>
      </c>
      <c r="C879" s="1" t="n">
        <v>45668</v>
      </c>
      <c r="D879" t="inlineStr">
        <is>
          <t>JÄMTLANDS LÄN</t>
        </is>
      </c>
      <c r="E879" t="inlineStr">
        <is>
          <t>HÄRJEDALEN</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62590-2022</t>
        </is>
      </c>
      <c r="B880" s="1" t="n">
        <v>44925</v>
      </c>
      <c r="C880" s="1" t="n">
        <v>45668</v>
      </c>
      <c r="D880" t="inlineStr">
        <is>
          <t>JÄMTLANDS LÄN</t>
        </is>
      </c>
      <c r="E880" t="inlineStr">
        <is>
          <t>HÄRJEDALEN</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62684-2022</t>
        </is>
      </c>
      <c r="B881" s="1" t="n">
        <v>44925</v>
      </c>
      <c r="C881" s="1" t="n">
        <v>45668</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62699-2022</t>
        </is>
      </c>
      <c r="B882" s="1" t="n">
        <v>44925</v>
      </c>
      <c r="C882" s="1" t="n">
        <v>45668</v>
      </c>
      <c r="D882" t="inlineStr">
        <is>
          <t>JÄMTLANDS LÄN</t>
        </is>
      </c>
      <c r="E882" t="inlineStr">
        <is>
          <t>HÄRJEDALEN</t>
        </is>
      </c>
      <c r="F882" t="inlineStr">
        <is>
          <t>Holmen skog AB</t>
        </is>
      </c>
      <c r="G882" t="n">
        <v>5</v>
      </c>
      <c r="H882" t="n">
        <v>0</v>
      </c>
      <c r="I882" t="n">
        <v>0</v>
      </c>
      <c r="J882" t="n">
        <v>0</v>
      </c>
      <c r="K882" t="n">
        <v>0</v>
      </c>
      <c r="L882" t="n">
        <v>0</v>
      </c>
      <c r="M882" t="n">
        <v>0</v>
      </c>
      <c r="N882" t="n">
        <v>0</v>
      </c>
      <c r="O882" t="n">
        <v>0</v>
      </c>
      <c r="P882" t="n">
        <v>0</v>
      </c>
      <c r="Q882" t="n">
        <v>0</v>
      </c>
      <c r="R882" s="2" t="inlineStr"/>
    </row>
    <row r="883" ht="15" customHeight="1">
      <c r="A883" t="inlineStr">
        <is>
          <t>A 62706-2022</t>
        </is>
      </c>
      <c r="B883" s="1" t="n">
        <v>44925</v>
      </c>
      <c r="C883" s="1" t="n">
        <v>45668</v>
      </c>
      <c r="D883" t="inlineStr">
        <is>
          <t>JÄMTLANDS LÄN</t>
        </is>
      </c>
      <c r="E883" t="inlineStr">
        <is>
          <t>HÄRJEDALEN</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62721-2022</t>
        </is>
      </c>
      <c r="B884" s="1" t="n">
        <v>44925</v>
      </c>
      <c r="C884" s="1" t="n">
        <v>45668</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105-2023</t>
        </is>
      </c>
      <c r="B885" s="1" t="n">
        <v>44928</v>
      </c>
      <c r="C885" s="1" t="n">
        <v>45668</v>
      </c>
      <c r="D885" t="inlineStr">
        <is>
          <t>JÄMTLANDS LÄN</t>
        </is>
      </c>
      <c r="E885" t="inlineStr">
        <is>
          <t>HÄRJEDALEN</t>
        </is>
      </c>
      <c r="F885" t="inlineStr">
        <is>
          <t>Holmen skog AB</t>
        </is>
      </c>
      <c r="G885" t="n">
        <v>17.5</v>
      </c>
      <c r="H885" t="n">
        <v>0</v>
      </c>
      <c r="I885" t="n">
        <v>0</v>
      </c>
      <c r="J885" t="n">
        <v>0</v>
      </c>
      <c r="K885" t="n">
        <v>0</v>
      </c>
      <c r="L885" t="n">
        <v>0</v>
      </c>
      <c r="M885" t="n">
        <v>0</v>
      </c>
      <c r="N885" t="n">
        <v>0</v>
      </c>
      <c r="O885" t="n">
        <v>0</v>
      </c>
      <c r="P885" t="n">
        <v>0</v>
      </c>
      <c r="Q885" t="n">
        <v>0</v>
      </c>
      <c r="R885" s="2" t="inlineStr"/>
    </row>
    <row r="886" ht="15" customHeight="1">
      <c r="A886" t="inlineStr">
        <is>
          <t>A 29-2023</t>
        </is>
      </c>
      <c r="B886" s="1" t="n">
        <v>44928</v>
      </c>
      <c r="C886" s="1" t="n">
        <v>45668</v>
      </c>
      <c r="D886" t="inlineStr">
        <is>
          <t>JÄMTLANDS LÄN</t>
        </is>
      </c>
      <c r="E886" t="inlineStr">
        <is>
          <t>HÄRJEDALEN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35-2023</t>
        </is>
      </c>
      <c r="B887" s="1" t="n">
        <v>44928</v>
      </c>
      <c r="C887" s="1" t="n">
        <v>45668</v>
      </c>
      <c r="D887" t="inlineStr">
        <is>
          <t>JÄMTLANDS LÄN</t>
        </is>
      </c>
      <c r="E887" t="inlineStr">
        <is>
          <t>HÄRJEDALEN</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78-2023</t>
        </is>
      </c>
      <c r="B888" s="1" t="n">
        <v>44928</v>
      </c>
      <c r="C888" s="1" t="n">
        <v>45668</v>
      </c>
      <c r="D888" t="inlineStr">
        <is>
          <t>JÄMTLANDS LÄN</t>
        </is>
      </c>
      <c r="E888" t="inlineStr">
        <is>
          <t>HÄRJEDALEN</t>
        </is>
      </c>
      <c r="F888" t="inlineStr">
        <is>
          <t>Holmen skog AB</t>
        </is>
      </c>
      <c r="G888" t="n">
        <v>3.1</v>
      </c>
      <c r="H888" t="n">
        <v>0</v>
      </c>
      <c r="I888" t="n">
        <v>0</v>
      </c>
      <c r="J888" t="n">
        <v>0</v>
      </c>
      <c r="K888" t="n">
        <v>0</v>
      </c>
      <c r="L888" t="n">
        <v>0</v>
      </c>
      <c r="M888" t="n">
        <v>0</v>
      </c>
      <c r="N888" t="n">
        <v>0</v>
      </c>
      <c r="O888" t="n">
        <v>0</v>
      </c>
      <c r="P888" t="n">
        <v>0</v>
      </c>
      <c r="Q888" t="n">
        <v>0</v>
      </c>
      <c r="R888" s="2" t="inlineStr"/>
    </row>
    <row r="889" ht="15" customHeight="1">
      <c r="A889" t="inlineStr">
        <is>
          <t>A 103-2023</t>
        </is>
      </c>
      <c r="B889" s="1" t="n">
        <v>44928</v>
      </c>
      <c r="C889" s="1" t="n">
        <v>45668</v>
      </c>
      <c r="D889" t="inlineStr">
        <is>
          <t>JÄMTLANDS LÄN</t>
        </is>
      </c>
      <c r="E889" t="inlineStr">
        <is>
          <t>HÄRJEDALEN</t>
        </is>
      </c>
      <c r="F889" t="inlineStr">
        <is>
          <t>Holmen skog AB</t>
        </is>
      </c>
      <c r="G889" t="n">
        <v>6.9</v>
      </c>
      <c r="H889" t="n">
        <v>0</v>
      </c>
      <c r="I889" t="n">
        <v>0</v>
      </c>
      <c r="J889" t="n">
        <v>0</v>
      </c>
      <c r="K889" t="n">
        <v>0</v>
      </c>
      <c r="L889" t="n">
        <v>0</v>
      </c>
      <c r="M889" t="n">
        <v>0</v>
      </c>
      <c r="N889" t="n">
        <v>0</v>
      </c>
      <c r="O889" t="n">
        <v>0</v>
      </c>
      <c r="P889" t="n">
        <v>0</v>
      </c>
      <c r="Q889" t="n">
        <v>0</v>
      </c>
      <c r="R889" s="2" t="inlineStr"/>
    </row>
    <row r="890" ht="15" customHeight="1">
      <c r="A890" t="inlineStr">
        <is>
          <t>A 166-2023</t>
        </is>
      </c>
      <c r="B890" s="1" t="n">
        <v>44928</v>
      </c>
      <c r="C890" s="1" t="n">
        <v>45668</v>
      </c>
      <c r="D890" t="inlineStr">
        <is>
          <t>JÄMTLANDS LÄN</t>
        </is>
      </c>
      <c r="E890" t="inlineStr">
        <is>
          <t>HÄRJEDALEN</t>
        </is>
      </c>
      <c r="F890" t="inlineStr">
        <is>
          <t>Holmen skog AB</t>
        </is>
      </c>
      <c r="G890" t="n">
        <v>13.5</v>
      </c>
      <c r="H890" t="n">
        <v>0</v>
      </c>
      <c r="I890" t="n">
        <v>0</v>
      </c>
      <c r="J890" t="n">
        <v>0</v>
      </c>
      <c r="K890" t="n">
        <v>0</v>
      </c>
      <c r="L890" t="n">
        <v>0</v>
      </c>
      <c r="M890" t="n">
        <v>0</v>
      </c>
      <c r="N890" t="n">
        <v>0</v>
      </c>
      <c r="O890" t="n">
        <v>0</v>
      </c>
      <c r="P890" t="n">
        <v>0</v>
      </c>
      <c r="Q890" t="n">
        <v>0</v>
      </c>
      <c r="R890" s="2" t="inlineStr"/>
    </row>
    <row r="891" ht="15" customHeight="1">
      <c r="A891" t="inlineStr">
        <is>
          <t>A 176-2023</t>
        </is>
      </c>
      <c r="B891" s="1" t="n">
        <v>44928</v>
      </c>
      <c r="C891" s="1" t="n">
        <v>45668</v>
      </c>
      <c r="D891" t="inlineStr">
        <is>
          <t>JÄMTLANDS LÄN</t>
        </is>
      </c>
      <c r="E891" t="inlineStr">
        <is>
          <t>HÄRJEDALEN</t>
        </is>
      </c>
      <c r="F891" t="inlineStr">
        <is>
          <t>Holmen skog AB</t>
        </is>
      </c>
      <c r="G891" t="n">
        <v>5.9</v>
      </c>
      <c r="H891" t="n">
        <v>0</v>
      </c>
      <c r="I891" t="n">
        <v>0</v>
      </c>
      <c r="J891" t="n">
        <v>0</v>
      </c>
      <c r="K891" t="n">
        <v>0</v>
      </c>
      <c r="L891" t="n">
        <v>0</v>
      </c>
      <c r="M891" t="n">
        <v>0</v>
      </c>
      <c r="N891" t="n">
        <v>0</v>
      </c>
      <c r="O891" t="n">
        <v>0</v>
      </c>
      <c r="P891" t="n">
        <v>0</v>
      </c>
      <c r="Q891" t="n">
        <v>0</v>
      </c>
      <c r="R891" s="2" t="inlineStr"/>
    </row>
    <row r="892" ht="15" customHeight="1">
      <c r="A892" t="inlineStr">
        <is>
          <t>A 171-2023</t>
        </is>
      </c>
      <c r="B892" s="1" t="n">
        <v>44928</v>
      </c>
      <c r="C892" s="1" t="n">
        <v>45668</v>
      </c>
      <c r="D892" t="inlineStr">
        <is>
          <t>JÄMTLANDS LÄN</t>
        </is>
      </c>
      <c r="E892" t="inlineStr">
        <is>
          <t>HÄRJEDALEN</t>
        </is>
      </c>
      <c r="F892" t="inlineStr">
        <is>
          <t>Holmen skog AB</t>
        </is>
      </c>
      <c r="G892" t="n">
        <v>5.7</v>
      </c>
      <c r="H892" t="n">
        <v>0</v>
      </c>
      <c r="I892" t="n">
        <v>0</v>
      </c>
      <c r="J892" t="n">
        <v>0</v>
      </c>
      <c r="K892" t="n">
        <v>0</v>
      </c>
      <c r="L892" t="n">
        <v>0</v>
      </c>
      <c r="M892" t="n">
        <v>0</v>
      </c>
      <c r="N892" t="n">
        <v>0</v>
      </c>
      <c r="O892" t="n">
        <v>0</v>
      </c>
      <c r="P892" t="n">
        <v>0</v>
      </c>
      <c r="Q892" t="n">
        <v>0</v>
      </c>
      <c r="R892" s="2" t="inlineStr"/>
    </row>
    <row r="893" ht="15" customHeight="1">
      <c r="A893" t="inlineStr">
        <is>
          <t>A 1907-2023</t>
        </is>
      </c>
      <c r="B893" s="1" t="n">
        <v>44939</v>
      </c>
      <c r="C893" s="1" t="n">
        <v>45668</v>
      </c>
      <c r="D893" t="inlineStr">
        <is>
          <t>JÄMTLANDS LÄN</t>
        </is>
      </c>
      <c r="E893" t="inlineStr">
        <is>
          <t>HÄRJEDALEN</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1954-2023</t>
        </is>
      </c>
      <c r="B894" s="1" t="n">
        <v>44939</v>
      </c>
      <c r="C894" s="1" t="n">
        <v>45668</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4196-2023</t>
        </is>
      </c>
      <c r="B895" s="1" t="n">
        <v>44953</v>
      </c>
      <c r="C895" s="1" t="n">
        <v>45668</v>
      </c>
      <c r="D895" t="inlineStr">
        <is>
          <t>JÄMTLANDS LÄN</t>
        </is>
      </c>
      <c r="E895" t="inlineStr">
        <is>
          <t>HÄRJEDALEN</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45668</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4712-2023</t>
        </is>
      </c>
      <c r="B897" s="1" t="n">
        <v>44957</v>
      </c>
      <c r="C897" s="1" t="n">
        <v>45668</v>
      </c>
      <c r="D897" t="inlineStr">
        <is>
          <t>JÄMTLANDS LÄN</t>
        </is>
      </c>
      <c r="E897" t="inlineStr">
        <is>
          <t>HÄRJEDALEN</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4711-2023</t>
        </is>
      </c>
      <c r="B898" s="1" t="n">
        <v>44957</v>
      </c>
      <c r="C898" s="1" t="n">
        <v>45668</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4782-2023</t>
        </is>
      </c>
      <c r="B899" s="1" t="n">
        <v>44957</v>
      </c>
      <c r="C899" s="1" t="n">
        <v>45668</v>
      </c>
      <c r="D899" t="inlineStr">
        <is>
          <t>JÄMTLANDS LÄN</t>
        </is>
      </c>
      <c r="E899" t="inlineStr">
        <is>
          <t>HÄRJEDALEN</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5013-2023</t>
        </is>
      </c>
      <c r="B900" s="1" t="n">
        <v>44958</v>
      </c>
      <c r="C900" s="1" t="n">
        <v>45668</v>
      </c>
      <c r="D900" t="inlineStr">
        <is>
          <t>JÄMTLANDS LÄN</t>
        </is>
      </c>
      <c r="E900" t="inlineStr">
        <is>
          <t>HÄRJEDALEN</t>
        </is>
      </c>
      <c r="F900" t="inlineStr">
        <is>
          <t>Bergvik skog väst AB</t>
        </is>
      </c>
      <c r="G900" t="n">
        <v>0.2</v>
      </c>
      <c r="H900" t="n">
        <v>0</v>
      </c>
      <c r="I900" t="n">
        <v>0</v>
      </c>
      <c r="J900" t="n">
        <v>0</v>
      </c>
      <c r="K900" t="n">
        <v>0</v>
      </c>
      <c r="L900" t="n">
        <v>0</v>
      </c>
      <c r="M900" t="n">
        <v>0</v>
      </c>
      <c r="N900" t="n">
        <v>0</v>
      </c>
      <c r="O900" t="n">
        <v>0</v>
      </c>
      <c r="P900" t="n">
        <v>0</v>
      </c>
      <c r="Q900" t="n">
        <v>0</v>
      </c>
      <c r="R900" s="2" t="inlineStr"/>
    </row>
    <row r="901" ht="15" customHeight="1">
      <c r="A901" t="inlineStr">
        <is>
          <t>A 5640-2023</t>
        </is>
      </c>
      <c r="B901" s="1" t="n">
        <v>44960</v>
      </c>
      <c r="C901" s="1" t="n">
        <v>45668</v>
      </c>
      <c r="D901" t="inlineStr">
        <is>
          <t>JÄMTLANDS LÄN</t>
        </is>
      </c>
      <c r="E901" t="inlineStr">
        <is>
          <t>HÄRJEDALEN</t>
        </is>
      </c>
      <c r="G901" t="n">
        <v>8.4</v>
      </c>
      <c r="H901" t="n">
        <v>0</v>
      </c>
      <c r="I901" t="n">
        <v>0</v>
      </c>
      <c r="J901" t="n">
        <v>0</v>
      </c>
      <c r="K901" t="n">
        <v>0</v>
      </c>
      <c r="L901" t="n">
        <v>0</v>
      </c>
      <c r="M901" t="n">
        <v>0</v>
      </c>
      <c r="N901" t="n">
        <v>0</v>
      </c>
      <c r="O901" t="n">
        <v>0</v>
      </c>
      <c r="P901" t="n">
        <v>0</v>
      </c>
      <c r="Q901" t="n">
        <v>0</v>
      </c>
      <c r="R901" s="2" t="inlineStr"/>
    </row>
    <row r="902" ht="15" customHeight="1">
      <c r="A902" t="inlineStr">
        <is>
          <t>A 6001-2023</t>
        </is>
      </c>
      <c r="B902" s="1" t="n">
        <v>44964</v>
      </c>
      <c r="C902" s="1" t="n">
        <v>45668</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6124-2023</t>
        </is>
      </c>
      <c r="B903" s="1" t="n">
        <v>44964</v>
      </c>
      <c r="C903" s="1" t="n">
        <v>45668</v>
      </c>
      <c r="D903" t="inlineStr">
        <is>
          <t>JÄMTLANDS LÄN</t>
        </is>
      </c>
      <c r="E903" t="inlineStr">
        <is>
          <t>HÄRJEDALEN</t>
        </is>
      </c>
      <c r="G903" t="n">
        <v>20</v>
      </c>
      <c r="H903" t="n">
        <v>0</v>
      </c>
      <c r="I903" t="n">
        <v>0</v>
      </c>
      <c r="J903" t="n">
        <v>0</v>
      </c>
      <c r="K903" t="n">
        <v>0</v>
      </c>
      <c r="L903" t="n">
        <v>0</v>
      </c>
      <c r="M903" t="n">
        <v>0</v>
      </c>
      <c r="N903" t="n">
        <v>0</v>
      </c>
      <c r="O903" t="n">
        <v>0</v>
      </c>
      <c r="P903" t="n">
        <v>0</v>
      </c>
      <c r="Q903" t="n">
        <v>0</v>
      </c>
      <c r="R903" s="2" t="inlineStr"/>
    </row>
    <row r="904" ht="15" customHeight="1">
      <c r="A904" t="inlineStr">
        <is>
          <t>A 7636-2023</t>
        </is>
      </c>
      <c r="B904" s="1" t="n">
        <v>44972</v>
      </c>
      <c r="C904" s="1" t="n">
        <v>45668</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8365-2023</t>
        </is>
      </c>
      <c r="B905" s="1" t="n">
        <v>44977</v>
      </c>
      <c r="C905" s="1" t="n">
        <v>45668</v>
      </c>
      <c r="D905" t="inlineStr">
        <is>
          <t>JÄMTLANDS LÄN</t>
        </is>
      </c>
      <c r="E905" t="inlineStr">
        <is>
          <t>HÄRJEDALEN</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8420-2023</t>
        </is>
      </c>
      <c r="B906" s="1" t="n">
        <v>44977</v>
      </c>
      <c r="C906" s="1" t="n">
        <v>45668</v>
      </c>
      <c r="D906" t="inlineStr">
        <is>
          <t>JÄMTLANDS LÄN</t>
        </is>
      </c>
      <c r="E906" t="inlineStr">
        <is>
          <t>HÄRJEDALEN</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8577-2023</t>
        </is>
      </c>
      <c r="B907" s="1" t="n">
        <v>44977</v>
      </c>
      <c r="C907" s="1" t="n">
        <v>45668</v>
      </c>
      <c r="D907" t="inlineStr">
        <is>
          <t>JÄMTLANDS LÄN</t>
        </is>
      </c>
      <c r="E907" t="inlineStr">
        <is>
          <t>HÄRJEDALEN</t>
        </is>
      </c>
      <c r="G907" t="n">
        <v>19.6</v>
      </c>
      <c r="H907" t="n">
        <v>0</v>
      </c>
      <c r="I907" t="n">
        <v>0</v>
      </c>
      <c r="J907" t="n">
        <v>0</v>
      </c>
      <c r="K907" t="n">
        <v>0</v>
      </c>
      <c r="L907" t="n">
        <v>0</v>
      </c>
      <c r="M907" t="n">
        <v>0</v>
      </c>
      <c r="N907" t="n">
        <v>0</v>
      </c>
      <c r="O907" t="n">
        <v>0</v>
      </c>
      <c r="P907" t="n">
        <v>0</v>
      </c>
      <c r="Q907" t="n">
        <v>0</v>
      </c>
      <c r="R907" s="2" t="inlineStr"/>
    </row>
    <row r="908" ht="15" customHeight="1">
      <c r="A908" t="inlineStr">
        <is>
          <t>A 8804-2023</t>
        </is>
      </c>
      <c r="B908" s="1" t="n">
        <v>44978</v>
      </c>
      <c r="C908" s="1" t="n">
        <v>45668</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9188-2023</t>
        </is>
      </c>
      <c r="B909" s="1" t="n">
        <v>44980</v>
      </c>
      <c r="C909" s="1" t="n">
        <v>45668</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9998-2023</t>
        </is>
      </c>
      <c r="B910" s="1" t="n">
        <v>44985</v>
      </c>
      <c r="C910" s="1" t="n">
        <v>45668</v>
      </c>
      <c r="D910" t="inlineStr">
        <is>
          <t>JÄMTLANDS LÄN</t>
        </is>
      </c>
      <c r="E910" t="inlineStr">
        <is>
          <t>HÄRJEDALEN</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10002-2023</t>
        </is>
      </c>
      <c r="B911" s="1" t="n">
        <v>44985</v>
      </c>
      <c r="C911" s="1" t="n">
        <v>45668</v>
      </c>
      <c r="D911" t="inlineStr">
        <is>
          <t>JÄMTLANDS LÄN</t>
        </is>
      </c>
      <c r="E911" t="inlineStr">
        <is>
          <t>HÄRJEDALEN</t>
        </is>
      </c>
      <c r="F911" t="inlineStr">
        <is>
          <t>Holmen skog AB</t>
        </is>
      </c>
      <c r="G911" t="n">
        <v>8.6</v>
      </c>
      <c r="H911" t="n">
        <v>0</v>
      </c>
      <c r="I911" t="n">
        <v>0</v>
      </c>
      <c r="J911" t="n">
        <v>0</v>
      </c>
      <c r="K911" t="n">
        <v>0</v>
      </c>
      <c r="L911" t="n">
        <v>0</v>
      </c>
      <c r="M911" t="n">
        <v>0</v>
      </c>
      <c r="N911" t="n">
        <v>0</v>
      </c>
      <c r="O911" t="n">
        <v>0</v>
      </c>
      <c r="P911" t="n">
        <v>0</v>
      </c>
      <c r="Q911" t="n">
        <v>0</v>
      </c>
      <c r="R911" s="2" t="inlineStr"/>
    </row>
    <row r="912" ht="15" customHeight="1">
      <c r="A912" t="inlineStr">
        <is>
          <t>A 10006-2023</t>
        </is>
      </c>
      <c r="B912" s="1" t="n">
        <v>44985</v>
      </c>
      <c r="C912" s="1" t="n">
        <v>45668</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10000-2023</t>
        </is>
      </c>
      <c r="B913" s="1" t="n">
        <v>44985</v>
      </c>
      <c r="C913" s="1" t="n">
        <v>45668</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9997-2023</t>
        </is>
      </c>
      <c r="B914" s="1" t="n">
        <v>44985</v>
      </c>
      <c r="C914" s="1" t="n">
        <v>45668</v>
      </c>
      <c r="D914" t="inlineStr">
        <is>
          <t>JÄMTLANDS LÄN</t>
        </is>
      </c>
      <c r="E914" t="inlineStr">
        <is>
          <t>HÄRJEDALEN</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10014-2023</t>
        </is>
      </c>
      <c r="B915" s="1" t="n">
        <v>44985</v>
      </c>
      <c r="C915" s="1" t="n">
        <v>45668</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10008-2023</t>
        </is>
      </c>
      <c r="B916" s="1" t="n">
        <v>44985</v>
      </c>
      <c r="C916" s="1" t="n">
        <v>45668</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10046-2023</t>
        </is>
      </c>
      <c r="B917" s="1" t="n">
        <v>44985</v>
      </c>
      <c r="C917" s="1" t="n">
        <v>45668</v>
      </c>
      <c r="D917" t="inlineStr">
        <is>
          <t>JÄMTLANDS LÄN</t>
        </is>
      </c>
      <c r="E917" t="inlineStr">
        <is>
          <t>HÄRJEDALEN</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10015-2023</t>
        </is>
      </c>
      <c r="B918" s="1" t="n">
        <v>44985</v>
      </c>
      <c r="C918" s="1" t="n">
        <v>45668</v>
      </c>
      <c r="D918" t="inlineStr">
        <is>
          <t>JÄMTLANDS LÄN</t>
        </is>
      </c>
      <c r="E918" t="inlineStr">
        <is>
          <t>HÄRJEDALEN</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10043-2023</t>
        </is>
      </c>
      <c r="B919" s="1" t="n">
        <v>44985</v>
      </c>
      <c r="C919" s="1" t="n">
        <v>45668</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9993-2023</t>
        </is>
      </c>
      <c r="B920" s="1" t="n">
        <v>44985</v>
      </c>
      <c r="C920" s="1" t="n">
        <v>45668</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10003-2023</t>
        </is>
      </c>
      <c r="B921" s="1" t="n">
        <v>44985</v>
      </c>
      <c r="C921" s="1" t="n">
        <v>45668</v>
      </c>
      <c r="D921" t="inlineStr">
        <is>
          <t>JÄMTLANDS LÄN</t>
        </is>
      </c>
      <c r="E921" t="inlineStr">
        <is>
          <t>HÄRJEDALEN</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10007-2023</t>
        </is>
      </c>
      <c r="B922" s="1" t="n">
        <v>44985</v>
      </c>
      <c r="C922" s="1" t="n">
        <v>45668</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10012-2023</t>
        </is>
      </c>
      <c r="B923" s="1" t="n">
        <v>44985</v>
      </c>
      <c r="C923" s="1" t="n">
        <v>45668</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10040-2023</t>
        </is>
      </c>
      <c r="B924" s="1" t="n">
        <v>44985</v>
      </c>
      <c r="C924" s="1" t="n">
        <v>45668</v>
      </c>
      <c r="D924" t="inlineStr">
        <is>
          <t>JÄMTLANDS LÄN</t>
        </is>
      </c>
      <c r="E924" t="inlineStr">
        <is>
          <t>HÄRJEDALEN</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10329-2023</t>
        </is>
      </c>
      <c r="B925" s="1" t="n">
        <v>44987</v>
      </c>
      <c r="C925" s="1" t="n">
        <v>45668</v>
      </c>
      <c r="D925" t="inlineStr">
        <is>
          <t>JÄMTLANDS LÄN</t>
        </is>
      </c>
      <c r="E925" t="inlineStr">
        <is>
          <t>HÄRJEDALEN</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10353-2023</t>
        </is>
      </c>
      <c r="B926" s="1" t="n">
        <v>44987</v>
      </c>
      <c r="C926" s="1" t="n">
        <v>45668</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10342-2023</t>
        </is>
      </c>
      <c r="B927" s="1" t="n">
        <v>44987</v>
      </c>
      <c r="C927" s="1" t="n">
        <v>45668</v>
      </c>
      <c r="D927" t="inlineStr">
        <is>
          <t>JÄMTLANDS LÄN</t>
        </is>
      </c>
      <c r="E927" t="inlineStr">
        <is>
          <t>HÄRJEDALEN</t>
        </is>
      </c>
      <c r="F927" t="inlineStr">
        <is>
          <t>Holmen skog AB</t>
        </is>
      </c>
      <c r="G927" t="n">
        <v>32.6</v>
      </c>
      <c r="H927" t="n">
        <v>0</v>
      </c>
      <c r="I927" t="n">
        <v>0</v>
      </c>
      <c r="J927" t="n">
        <v>0</v>
      </c>
      <c r="K927" t="n">
        <v>0</v>
      </c>
      <c r="L927" t="n">
        <v>0</v>
      </c>
      <c r="M927" t="n">
        <v>0</v>
      </c>
      <c r="N927" t="n">
        <v>0</v>
      </c>
      <c r="O927" t="n">
        <v>0</v>
      </c>
      <c r="P927" t="n">
        <v>0</v>
      </c>
      <c r="Q927" t="n">
        <v>0</v>
      </c>
      <c r="R927" s="2" t="inlineStr"/>
    </row>
    <row r="928" ht="15" customHeight="1">
      <c r="A928" t="inlineStr">
        <is>
          <t>A 10340-2023</t>
        </is>
      </c>
      <c r="B928" s="1" t="n">
        <v>44987</v>
      </c>
      <c r="C928" s="1" t="n">
        <v>45668</v>
      </c>
      <c r="D928" t="inlineStr">
        <is>
          <t>JÄMTLANDS LÄN</t>
        </is>
      </c>
      <c r="E928" t="inlineStr">
        <is>
          <t>HÄRJEDALEN</t>
        </is>
      </c>
      <c r="F928" t="inlineStr">
        <is>
          <t>Holmen skog AB</t>
        </is>
      </c>
      <c r="G928" t="n">
        <v>5.7</v>
      </c>
      <c r="H928" t="n">
        <v>0</v>
      </c>
      <c r="I928" t="n">
        <v>0</v>
      </c>
      <c r="J928" t="n">
        <v>0</v>
      </c>
      <c r="K928" t="n">
        <v>0</v>
      </c>
      <c r="L928" t="n">
        <v>0</v>
      </c>
      <c r="M928" t="n">
        <v>0</v>
      </c>
      <c r="N928" t="n">
        <v>0</v>
      </c>
      <c r="O928" t="n">
        <v>0</v>
      </c>
      <c r="P928" t="n">
        <v>0</v>
      </c>
      <c r="Q928" t="n">
        <v>0</v>
      </c>
      <c r="R928" s="2" t="inlineStr"/>
    </row>
    <row r="929" ht="15" customHeight="1">
      <c r="A929" t="inlineStr">
        <is>
          <t>A 10348-2023</t>
        </is>
      </c>
      <c r="B929" s="1" t="n">
        <v>44987</v>
      </c>
      <c r="C929" s="1" t="n">
        <v>45668</v>
      </c>
      <c r="D929" t="inlineStr">
        <is>
          <t>JÄMTLANDS LÄN</t>
        </is>
      </c>
      <c r="E929" t="inlineStr">
        <is>
          <t>HÄRJEDALEN</t>
        </is>
      </c>
      <c r="F929" t="inlineStr">
        <is>
          <t>Holmen skog AB</t>
        </is>
      </c>
      <c r="G929" t="n">
        <v>17.8</v>
      </c>
      <c r="H929" t="n">
        <v>0</v>
      </c>
      <c r="I929" t="n">
        <v>0</v>
      </c>
      <c r="J929" t="n">
        <v>0</v>
      </c>
      <c r="K929" t="n">
        <v>0</v>
      </c>
      <c r="L929" t="n">
        <v>0</v>
      </c>
      <c r="M929" t="n">
        <v>0</v>
      </c>
      <c r="N929" t="n">
        <v>0</v>
      </c>
      <c r="O929" t="n">
        <v>0</v>
      </c>
      <c r="P929" t="n">
        <v>0</v>
      </c>
      <c r="Q929" t="n">
        <v>0</v>
      </c>
      <c r="R929" s="2" t="inlineStr"/>
    </row>
    <row r="930" ht="15" customHeight="1">
      <c r="A930" t="inlineStr">
        <is>
          <t>A 10338-2023</t>
        </is>
      </c>
      <c r="B930" s="1" t="n">
        <v>44987</v>
      </c>
      <c r="C930" s="1" t="n">
        <v>45668</v>
      </c>
      <c r="D930" t="inlineStr">
        <is>
          <t>JÄMTLANDS LÄN</t>
        </is>
      </c>
      <c r="E930" t="inlineStr">
        <is>
          <t>HÄRJEDALEN</t>
        </is>
      </c>
      <c r="F930" t="inlineStr">
        <is>
          <t>Holmen skog AB</t>
        </is>
      </c>
      <c r="G930" t="n">
        <v>11.8</v>
      </c>
      <c r="H930" t="n">
        <v>0</v>
      </c>
      <c r="I930" t="n">
        <v>0</v>
      </c>
      <c r="J930" t="n">
        <v>0</v>
      </c>
      <c r="K930" t="n">
        <v>0</v>
      </c>
      <c r="L930" t="n">
        <v>0</v>
      </c>
      <c r="M930" t="n">
        <v>0</v>
      </c>
      <c r="N930" t="n">
        <v>0</v>
      </c>
      <c r="O930" t="n">
        <v>0</v>
      </c>
      <c r="P930" t="n">
        <v>0</v>
      </c>
      <c r="Q930" t="n">
        <v>0</v>
      </c>
      <c r="R930" s="2" t="inlineStr"/>
    </row>
    <row r="931" ht="15" customHeight="1">
      <c r="A931" t="inlineStr">
        <is>
          <t>A 11448-2023</t>
        </is>
      </c>
      <c r="B931" s="1" t="n">
        <v>44993</v>
      </c>
      <c r="C931" s="1" t="n">
        <v>45668</v>
      </c>
      <c r="D931" t="inlineStr">
        <is>
          <t>JÄMTLANDS LÄN</t>
        </is>
      </c>
      <c r="E931" t="inlineStr">
        <is>
          <t>HÄRJEDALEN</t>
        </is>
      </c>
      <c r="G931" t="n">
        <v>12.1</v>
      </c>
      <c r="H931" t="n">
        <v>0</v>
      </c>
      <c r="I931" t="n">
        <v>0</v>
      </c>
      <c r="J931" t="n">
        <v>0</v>
      </c>
      <c r="K931" t="n">
        <v>0</v>
      </c>
      <c r="L931" t="n">
        <v>0</v>
      </c>
      <c r="M931" t="n">
        <v>0</v>
      </c>
      <c r="N931" t="n">
        <v>0</v>
      </c>
      <c r="O931" t="n">
        <v>0</v>
      </c>
      <c r="P931" t="n">
        <v>0</v>
      </c>
      <c r="Q931" t="n">
        <v>0</v>
      </c>
      <c r="R931" s="2" t="inlineStr"/>
    </row>
    <row r="932" ht="15" customHeight="1">
      <c r="A932" t="inlineStr">
        <is>
          <t>A 11818-2023</t>
        </is>
      </c>
      <c r="B932" s="1" t="n">
        <v>44994</v>
      </c>
      <c r="C932" s="1" t="n">
        <v>45668</v>
      </c>
      <c r="D932" t="inlineStr">
        <is>
          <t>JÄMTLANDS LÄN</t>
        </is>
      </c>
      <c r="E932" t="inlineStr">
        <is>
          <t>HÄRJEDALEN</t>
        </is>
      </c>
      <c r="G932" t="n">
        <v>8.9</v>
      </c>
      <c r="H932" t="n">
        <v>0</v>
      </c>
      <c r="I932" t="n">
        <v>0</v>
      </c>
      <c r="J932" t="n">
        <v>0</v>
      </c>
      <c r="K932" t="n">
        <v>0</v>
      </c>
      <c r="L932" t="n">
        <v>0</v>
      </c>
      <c r="M932" t="n">
        <v>0</v>
      </c>
      <c r="N932" t="n">
        <v>0</v>
      </c>
      <c r="O932" t="n">
        <v>0</v>
      </c>
      <c r="P932" t="n">
        <v>0</v>
      </c>
      <c r="Q932" t="n">
        <v>0</v>
      </c>
      <c r="R932" s="2" t="inlineStr"/>
    </row>
    <row r="933" ht="15" customHeight="1">
      <c r="A933" t="inlineStr">
        <is>
          <t>A 12484-2023</t>
        </is>
      </c>
      <c r="B933" s="1" t="n">
        <v>44998</v>
      </c>
      <c r="C933" s="1" t="n">
        <v>45668</v>
      </c>
      <c r="D933" t="inlineStr">
        <is>
          <t>JÄMTLANDS LÄN</t>
        </is>
      </c>
      <c r="E933" t="inlineStr">
        <is>
          <t>HÄRJEDALEN</t>
        </is>
      </c>
      <c r="G933" t="n">
        <v>43.1</v>
      </c>
      <c r="H933" t="n">
        <v>0</v>
      </c>
      <c r="I933" t="n">
        <v>0</v>
      </c>
      <c r="J933" t="n">
        <v>0</v>
      </c>
      <c r="K933" t="n">
        <v>0</v>
      </c>
      <c r="L933" t="n">
        <v>0</v>
      </c>
      <c r="M933" t="n">
        <v>0</v>
      </c>
      <c r="N933" t="n">
        <v>0</v>
      </c>
      <c r="O933" t="n">
        <v>0</v>
      </c>
      <c r="P933" t="n">
        <v>0</v>
      </c>
      <c r="Q933" t="n">
        <v>0</v>
      </c>
      <c r="R933" s="2" t="inlineStr"/>
    </row>
    <row r="934" ht="15" customHeight="1">
      <c r="A934" t="inlineStr">
        <is>
          <t>A 12462-2023</t>
        </is>
      </c>
      <c r="B934" s="1" t="n">
        <v>44999</v>
      </c>
      <c r="C934" s="1" t="n">
        <v>45668</v>
      </c>
      <c r="D934" t="inlineStr">
        <is>
          <t>JÄMTLANDS LÄN</t>
        </is>
      </c>
      <c r="E934" t="inlineStr">
        <is>
          <t>HÄRJEDALEN</t>
        </is>
      </c>
      <c r="G934" t="n">
        <v>7.8</v>
      </c>
      <c r="H934" t="n">
        <v>0</v>
      </c>
      <c r="I934" t="n">
        <v>0</v>
      </c>
      <c r="J934" t="n">
        <v>0</v>
      </c>
      <c r="K934" t="n">
        <v>0</v>
      </c>
      <c r="L934" t="n">
        <v>0</v>
      </c>
      <c r="M934" t="n">
        <v>0</v>
      </c>
      <c r="N934" t="n">
        <v>0</v>
      </c>
      <c r="O934" t="n">
        <v>0</v>
      </c>
      <c r="P934" t="n">
        <v>0</v>
      </c>
      <c r="Q934" t="n">
        <v>0</v>
      </c>
      <c r="R934" s="2" t="inlineStr"/>
    </row>
    <row r="935" ht="15" customHeight="1">
      <c r="A935" t="inlineStr">
        <is>
          <t>A 12625-2023</t>
        </is>
      </c>
      <c r="B935" s="1" t="n">
        <v>45000</v>
      </c>
      <c r="C935" s="1" t="n">
        <v>45668</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12921-2023</t>
        </is>
      </c>
      <c r="B936" s="1" t="n">
        <v>45001</v>
      </c>
      <c r="C936" s="1" t="n">
        <v>45668</v>
      </c>
      <c r="D936" t="inlineStr">
        <is>
          <t>JÄMTLANDS LÄN</t>
        </is>
      </c>
      <c r="E936" t="inlineStr">
        <is>
          <t>HÄRJEDALEN</t>
        </is>
      </c>
      <c r="G936" t="n">
        <v>13.9</v>
      </c>
      <c r="H936" t="n">
        <v>0</v>
      </c>
      <c r="I936" t="n">
        <v>0</v>
      </c>
      <c r="J936" t="n">
        <v>0</v>
      </c>
      <c r="K936" t="n">
        <v>0</v>
      </c>
      <c r="L936" t="n">
        <v>0</v>
      </c>
      <c r="M936" t="n">
        <v>0</v>
      </c>
      <c r="N936" t="n">
        <v>0</v>
      </c>
      <c r="O936" t="n">
        <v>0</v>
      </c>
      <c r="P936" t="n">
        <v>0</v>
      </c>
      <c r="Q936" t="n">
        <v>0</v>
      </c>
      <c r="R936" s="2" t="inlineStr"/>
    </row>
    <row r="937" ht="15" customHeight="1">
      <c r="A937" t="inlineStr">
        <is>
          <t>A 13774-2023</t>
        </is>
      </c>
      <c r="B937" s="1" t="n">
        <v>45007</v>
      </c>
      <c r="C937" s="1" t="n">
        <v>45668</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14631-2023</t>
        </is>
      </c>
      <c r="B938" s="1" t="n">
        <v>45012</v>
      </c>
      <c r="C938" s="1" t="n">
        <v>45668</v>
      </c>
      <c r="D938" t="inlineStr">
        <is>
          <t>JÄMTLANDS LÄN</t>
        </is>
      </c>
      <c r="E938" t="inlineStr">
        <is>
          <t>HÄRJEDALEN</t>
        </is>
      </c>
      <c r="F938" t="inlineStr">
        <is>
          <t>Bergvik skog väst AB</t>
        </is>
      </c>
      <c r="G938" t="n">
        <v>14.2</v>
      </c>
      <c r="H938" t="n">
        <v>0</v>
      </c>
      <c r="I938" t="n">
        <v>0</v>
      </c>
      <c r="J938" t="n">
        <v>0</v>
      </c>
      <c r="K938" t="n">
        <v>0</v>
      </c>
      <c r="L938" t="n">
        <v>0</v>
      </c>
      <c r="M938" t="n">
        <v>0</v>
      </c>
      <c r="N938" t="n">
        <v>0</v>
      </c>
      <c r="O938" t="n">
        <v>0</v>
      </c>
      <c r="P938" t="n">
        <v>0</v>
      </c>
      <c r="Q938" t="n">
        <v>0</v>
      </c>
      <c r="R938" s="2" t="inlineStr"/>
    </row>
    <row r="939" ht="15" customHeight="1">
      <c r="A939" t="inlineStr">
        <is>
          <t>A 15511-2023</t>
        </is>
      </c>
      <c r="B939" s="1" t="n">
        <v>45020</v>
      </c>
      <c r="C939" s="1" t="n">
        <v>45668</v>
      </c>
      <c r="D939" t="inlineStr">
        <is>
          <t>JÄMTLANDS LÄN</t>
        </is>
      </c>
      <c r="E939" t="inlineStr">
        <is>
          <t>HÄRJEDALEN</t>
        </is>
      </c>
      <c r="G939" t="n">
        <v>14.6</v>
      </c>
      <c r="H939" t="n">
        <v>0</v>
      </c>
      <c r="I939" t="n">
        <v>0</v>
      </c>
      <c r="J939" t="n">
        <v>0</v>
      </c>
      <c r="K939" t="n">
        <v>0</v>
      </c>
      <c r="L939" t="n">
        <v>0</v>
      </c>
      <c r="M939" t="n">
        <v>0</v>
      </c>
      <c r="N939" t="n">
        <v>0</v>
      </c>
      <c r="O939" t="n">
        <v>0</v>
      </c>
      <c r="P939" t="n">
        <v>0</v>
      </c>
      <c r="Q939" t="n">
        <v>0</v>
      </c>
      <c r="R939" s="2" t="inlineStr"/>
    </row>
    <row r="940" ht="15" customHeight="1">
      <c r="A940" t="inlineStr">
        <is>
          <t>A 15747-2023</t>
        </is>
      </c>
      <c r="B940" s="1" t="n">
        <v>45020</v>
      </c>
      <c r="C940" s="1" t="n">
        <v>45668</v>
      </c>
      <c r="D940" t="inlineStr">
        <is>
          <t>JÄMTLANDS LÄN</t>
        </is>
      </c>
      <c r="E940" t="inlineStr">
        <is>
          <t>HÄRJEDALEN</t>
        </is>
      </c>
      <c r="G940" t="n">
        <v>0.1</v>
      </c>
      <c r="H940" t="n">
        <v>0</v>
      </c>
      <c r="I940" t="n">
        <v>0</v>
      </c>
      <c r="J940" t="n">
        <v>0</v>
      </c>
      <c r="K940" t="n">
        <v>0</v>
      </c>
      <c r="L940" t="n">
        <v>0</v>
      </c>
      <c r="M940" t="n">
        <v>0</v>
      </c>
      <c r="N940" t="n">
        <v>0</v>
      </c>
      <c r="O940" t="n">
        <v>0</v>
      </c>
      <c r="P940" t="n">
        <v>0</v>
      </c>
      <c r="Q940" t="n">
        <v>0</v>
      </c>
      <c r="R940" s="2" t="inlineStr"/>
    </row>
    <row r="941" ht="15" customHeight="1">
      <c r="A941" t="inlineStr">
        <is>
          <t>A 16115-2023</t>
        </is>
      </c>
      <c r="B941" s="1" t="n">
        <v>45027</v>
      </c>
      <c r="C941" s="1" t="n">
        <v>45668</v>
      </c>
      <c r="D941" t="inlineStr">
        <is>
          <t>JÄMTLANDS LÄN</t>
        </is>
      </c>
      <c r="E941" t="inlineStr">
        <is>
          <t>HÄRJEDALEN</t>
        </is>
      </c>
      <c r="G941" t="n">
        <v>26</v>
      </c>
      <c r="H941" t="n">
        <v>0</v>
      </c>
      <c r="I941" t="n">
        <v>0</v>
      </c>
      <c r="J941" t="n">
        <v>0</v>
      </c>
      <c r="K941" t="n">
        <v>0</v>
      </c>
      <c r="L941" t="n">
        <v>0</v>
      </c>
      <c r="M941" t="n">
        <v>0</v>
      </c>
      <c r="N941" t="n">
        <v>0</v>
      </c>
      <c r="O941" t="n">
        <v>0</v>
      </c>
      <c r="P941" t="n">
        <v>0</v>
      </c>
      <c r="Q941" t="n">
        <v>0</v>
      </c>
      <c r="R941" s="2" t="inlineStr"/>
    </row>
    <row r="942" ht="15" customHeight="1">
      <c r="A942" t="inlineStr">
        <is>
          <t>A 16468-2023</t>
        </is>
      </c>
      <c r="B942" s="1" t="n">
        <v>45029</v>
      </c>
      <c r="C942" s="1" t="n">
        <v>45668</v>
      </c>
      <c r="D942" t="inlineStr">
        <is>
          <t>JÄMTLANDS LÄN</t>
        </is>
      </c>
      <c r="E942" t="inlineStr">
        <is>
          <t>HÄRJEDALEN</t>
        </is>
      </c>
      <c r="G942" t="n">
        <v>6.7</v>
      </c>
      <c r="H942" t="n">
        <v>0</v>
      </c>
      <c r="I942" t="n">
        <v>0</v>
      </c>
      <c r="J942" t="n">
        <v>0</v>
      </c>
      <c r="K942" t="n">
        <v>0</v>
      </c>
      <c r="L942" t="n">
        <v>0</v>
      </c>
      <c r="M942" t="n">
        <v>0</v>
      </c>
      <c r="N942" t="n">
        <v>0</v>
      </c>
      <c r="O942" t="n">
        <v>0</v>
      </c>
      <c r="P942" t="n">
        <v>0</v>
      </c>
      <c r="Q942" t="n">
        <v>0</v>
      </c>
      <c r="R942" s="2" t="inlineStr"/>
    </row>
    <row r="943" ht="15" customHeight="1">
      <c r="A943" t="inlineStr">
        <is>
          <t>A 17121-2023</t>
        </is>
      </c>
      <c r="B943" s="1" t="n">
        <v>45034</v>
      </c>
      <c r="C943" s="1" t="n">
        <v>45668</v>
      </c>
      <c r="D943" t="inlineStr">
        <is>
          <t>JÄMTLANDS LÄN</t>
        </is>
      </c>
      <c r="E943" t="inlineStr">
        <is>
          <t>HÄRJEDALEN</t>
        </is>
      </c>
      <c r="G943" t="n">
        <v>6.4</v>
      </c>
      <c r="H943" t="n">
        <v>0</v>
      </c>
      <c r="I943" t="n">
        <v>0</v>
      </c>
      <c r="J943" t="n">
        <v>0</v>
      </c>
      <c r="K943" t="n">
        <v>0</v>
      </c>
      <c r="L943" t="n">
        <v>0</v>
      </c>
      <c r="M943" t="n">
        <v>0</v>
      </c>
      <c r="N943" t="n">
        <v>0</v>
      </c>
      <c r="O943" t="n">
        <v>0</v>
      </c>
      <c r="P943" t="n">
        <v>0</v>
      </c>
      <c r="Q943" t="n">
        <v>0</v>
      </c>
      <c r="R943" s="2" t="inlineStr"/>
    </row>
    <row r="944" ht="15" customHeight="1">
      <c r="A944" t="inlineStr">
        <is>
          <t>A 17105-2023</t>
        </is>
      </c>
      <c r="B944" s="1" t="n">
        <v>45034</v>
      </c>
      <c r="C944" s="1" t="n">
        <v>45668</v>
      </c>
      <c r="D944" t="inlineStr">
        <is>
          <t>JÄMTLANDS LÄN</t>
        </is>
      </c>
      <c r="E944" t="inlineStr">
        <is>
          <t>HÄRJEDALEN</t>
        </is>
      </c>
      <c r="G944" t="n">
        <v>1.2</v>
      </c>
      <c r="H944" t="n">
        <v>0</v>
      </c>
      <c r="I944" t="n">
        <v>0</v>
      </c>
      <c r="J944" t="n">
        <v>0</v>
      </c>
      <c r="K944" t="n">
        <v>0</v>
      </c>
      <c r="L944" t="n">
        <v>0</v>
      </c>
      <c r="M944" t="n">
        <v>0</v>
      </c>
      <c r="N944" t="n">
        <v>0</v>
      </c>
      <c r="O944" t="n">
        <v>0</v>
      </c>
      <c r="P944" t="n">
        <v>0</v>
      </c>
      <c r="Q944" t="n">
        <v>0</v>
      </c>
      <c r="R944" s="2" t="inlineStr"/>
    </row>
    <row r="945" ht="15" customHeight="1">
      <c r="A945" t="inlineStr">
        <is>
          <t>A 17122-2023</t>
        </is>
      </c>
      <c r="B945" s="1" t="n">
        <v>45034</v>
      </c>
      <c r="C945" s="1" t="n">
        <v>45668</v>
      </c>
      <c r="D945" t="inlineStr">
        <is>
          <t>JÄMTLANDS LÄN</t>
        </is>
      </c>
      <c r="E945" t="inlineStr">
        <is>
          <t>HÄRJEDALEN</t>
        </is>
      </c>
      <c r="G945" t="n">
        <v>3.8</v>
      </c>
      <c r="H945" t="n">
        <v>0</v>
      </c>
      <c r="I945" t="n">
        <v>0</v>
      </c>
      <c r="J945" t="n">
        <v>0</v>
      </c>
      <c r="K945" t="n">
        <v>0</v>
      </c>
      <c r="L945" t="n">
        <v>0</v>
      </c>
      <c r="M945" t="n">
        <v>0</v>
      </c>
      <c r="N945" t="n">
        <v>0</v>
      </c>
      <c r="O945" t="n">
        <v>0</v>
      </c>
      <c r="P945" t="n">
        <v>0</v>
      </c>
      <c r="Q945" t="n">
        <v>0</v>
      </c>
      <c r="R945" s="2" t="inlineStr"/>
    </row>
    <row r="946" ht="15" customHeight="1">
      <c r="A946" t="inlineStr">
        <is>
          <t>A 17153-2023</t>
        </is>
      </c>
      <c r="B946" s="1" t="n">
        <v>45034</v>
      </c>
      <c r="C946" s="1" t="n">
        <v>45668</v>
      </c>
      <c r="D946" t="inlineStr">
        <is>
          <t>JÄMTLANDS LÄN</t>
        </is>
      </c>
      <c r="E946" t="inlineStr">
        <is>
          <t>HÄRJEDALEN</t>
        </is>
      </c>
      <c r="G946" t="n">
        <v>5.6</v>
      </c>
      <c r="H946" t="n">
        <v>0</v>
      </c>
      <c r="I946" t="n">
        <v>0</v>
      </c>
      <c r="J946" t="n">
        <v>0</v>
      </c>
      <c r="K946" t="n">
        <v>0</v>
      </c>
      <c r="L946" t="n">
        <v>0</v>
      </c>
      <c r="M946" t="n">
        <v>0</v>
      </c>
      <c r="N946" t="n">
        <v>0</v>
      </c>
      <c r="O946" t="n">
        <v>0</v>
      </c>
      <c r="P946" t="n">
        <v>0</v>
      </c>
      <c r="Q946" t="n">
        <v>0</v>
      </c>
      <c r="R946" s="2" t="inlineStr"/>
    </row>
    <row r="947" ht="15" customHeight="1">
      <c r="A947" t="inlineStr">
        <is>
          <t>A 17118-2023</t>
        </is>
      </c>
      <c r="B947" s="1" t="n">
        <v>45034</v>
      </c>
      <c r="C947" s="1" t="n">
        <v>45668</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17238-2023</t>
        </is>
      </c>
      <c r="B948" s="1" t="n">
        <v>45035</v>
      </c>
      <c r="C948" s="1" t="n">
        <v>45668</v>
      </c>
      <c r="D948" t="inlineStr">
        <is>
          <t>JÄMTLANDS LÄN</t>
        </is>
      </c>
      <c r="E948" t="inlineStr">
        <is>
          <t>HÄRJEDALEN</t>
        </is>
      </c>
      <c r="G948" t="n">
        <v>3.1</v>
      </c>
      <c r="H948" t="n">
        <v>0</v>
      </c>
      <c r="I948" t="n">
        <v>0</v>
      </c>
      <c r="J948" t="n">
        <v>0</v>
      </c>
      <c r="K948" t="n">
        <v>0</v>
      </c>
      <c r="L948" t="n">
        <v>0</v>
      </c>
      <c r="M948" t="n">
        <v>0</v>
      </c>
      <c r="N948" t="n">
        <v>0</v>
      </c>
      <c r="O948" t="n">
        <v>0</v>
      </c>
      <c r="P948" t="n">
        <v>0</v>
      </c>
      <c r="Q948" t="n">
        <v>0</v>
      </c>
      <c r="R948" s="2" t="inlineStr"/>
    </row>
    <row r="949" ht="15" customHeight="1">
      <c r="A949" t="inlineStr">
        <is>
          <t>A 17246-2023</t>
        </is>
      </c>
      <c r="B949" s="1" t="n">
        <v>45035</v>
      </c>
      <c r="C949" s="1" t="n">
        <v>45668</v>
      </c>
      <c r="D949" t="inlineStr">
        <is>
          <t>JÄMTLANDS LÄN</t>
        </is>
      </c>
      <c r="E949" t="inlineStr">
        <is>
          <t>HÄRJEDALEN</t>
        </is>
      </c>
      <c r="G949" t="n">
        <v>2.4</v>
      </c>
      <c r="H949" t="n">
        <v>0</v>
      </c>
      <c r="I949" t="n">
        <v>0</v>
      </c>
      <c r="J949" t="n">
        <v>0</v>
      </c>
      <c r="K949" t="n">
        <v>0</v>
      </c>
      <c r="L949" t="n">
        <v>0</v>
      </c>
      <c r="M949" t="n">
        <v>0</v>
      </c>
      <c r="N949" t="n">
        <v>0</v>
      </c>
      <c r="O949" t="n">
        <v>0</v>
      </c>
      <c r="P949" t="n">
        <v>0</v>
      </c>
      <c r="Q949" t="n">
        <v>0</v>
      </c>
      <c r="R949" s="2" t="inlineStr"/>
    </row>
    <row r="950" ht="15" customHeight="1">
      <c r="A950" t="inlineStr">
        <is>
          <t>A 17232-2023</t>
        </is>
      </c>
      <c r="B950" s="1" t="n">
        <v>45035</v>
      </c>
      <c r="C950" s="1" t="n">
        <v>45668</v>
      </c>
      <c r="D950" t="inlineStr">
        <is>
          <t>JÄMTLANDS LÄN</t>
        </is>
      </c>
      <c r="E950" t="inlineStr">
        <is>
          <t>HÄRJEDALEN</t>
        </is>
      </c>
      <c r="G950" t="n">
        <v>6.9</v>
      </c>
      <c r="H950" t="n">
        <v>0</v>
      </c>
      <c r="I950" t="n">
        <v>0</v>
      </c>
      <c r="J950" t="n">
        <v>0</v>
      </c>
      <c r="K950" t="n">
        <v>0</v>
      </c>
      <c r="L950" t="n">
        <v>0</v>
      </c>
      <c r="M950" t="n">
        <v>0</v>
      </c>
      <c r="N950" t="n">
        <v>0</v>
      </c>
      <c r="O950" t="n">
        <v>0</v>
      </c>
      <c r="P950" t="n">
        <v>0</v>
      </c>
      <c r="Q950" t="n">
        <v>0</v>
      </c>
      <c r="R950" s="2" t="inlineStr"/>
    </row>
    <row r="951" ht="15" customHeight="1">
      <c r="A951" t="inlineStr">
        <is>
          <t>A 17368-2023</t>
        </is>
      </c>
      <c r="B951" s="1" t="n">
        <v>45035</v>
      </c>
      <c r="C951" s="1" t="n">
        <v>45668</v>
      </c>
      <c r="D951" t="inlineStr">
        <is>
          <t>JÄMTLANDS LÄN</t>
        </is>
      </c>
      <c r="E951" t="inlineStr">
        <is>
          <t>HÄRJEDALEN</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18334-2023</t>
        </is>
      </c>
      <c r="B952" s="1" t="n">
        <v>45041</v>
      </c>
      <c r="C952" s="1" t="n">
        <v>45668</v>
      </c>
      <c r="D952" t="inlineStr">
        <is>
          <t>JÄMTLANDS LÄN</t>
        </is>
      </c>
      <c r="E952" t="inlineStr">
        <is>
          <t>HÄRJEDALEN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18258-2023</t>
        </is>
      </c>
      <c r="B953" s="1" t="n">
        <v>45041</v>
      </c>
      <c r="C953" s="1" t="n">
        <v>45668</v>
      </c>
      <c r="D953" t="inlineStr">
        <is>
          <t>JÄMTLANDS LÄN</t>
        </is>
      </c>
      <c r="E953" t="inlineStr">
        <is>
          <t>HÄRJEDALEN</t>
        </is>
      </c>
      <c r="F953" t="inlineStr">
        <is>
          <t>Bergvik skog väst AB</t>
        </is>
      </c>
      <c r="G953" t="n">
        <v>14.7</v>
      </c>
      <c r="H953" t="n">
        <v>0</v>
      </c>
      <c r="I953" t="n">
        <v>0</v>
      </c>
      <c r="J953" t="n">
        <v>0</v>
      </c>
      <c r="K953" t="n">
        <v>0</v>
      </c>
      <c r="L953" t="n">
        <v>0</v>
      </c>
      <c r="M953" t="n">
        <v>0</v>
      </c>
      <c r="N953" t="n">
        <v>0</v>
      </c>
      <c r="O953" t="n">
        <v>0</v>
      </c>
      <c r="P953" t="n">
        <v>0</v>
      </c>
      <c r="Q953" t="n">
        <v>0</v>
      </c>
      <c r="R953" s="2" t="inlineStr"/>
    </row>
    <row r="954" ht="15" customHeight="1">
      <c r="A954" t="inlineStr">
        <is>
          <t>A 18620-2023</t>
        </is>
      </c>
      <c r="B954" s="1" t="n">
        <v>45041</v>
      </c>
      <c r="C954" s="1" t="n">
        <v>45668</v>
      </c>
      <c r="D954" t="inlineStr">
        <is>
          <t>JÄMTLANDS LÄN</t>
        </is>
      </c>
      <c r="E954" t="inlineStr">
        <is>
          <t>HÄRJEDALEN</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18646-2023</t>
        </is>
      </c>
      <c r="B955" s="1" t="n">
        <v>45041</v>
      </c>
      <c r="C955" s="1" t="n">
        <v>45668</v>
      </c>
      <c r="D955" t="inlineStr">
        <is>
          <t>JÄMTLANDS LÄN</t>
        </is>
      </c>
      <c r="E955" t="inlineStr">
        <is>
          <t>HÄRJEDALEN</t>
        </is>
      </c>
      <c r="G955" t="n">
        <v>0.2</v>
      </c>
      <c r="H955" t="n">
        <v>0</v>
      </c>
      <c r="I955" t="n">
        <v>0</v>
      </c>
      <c r="J955" t="n">
        <v>0</v>
      </c>
      <c r="K955" t="n">
        <v>0</v>
      </c>
      <c r="L955" t="n">
        <v>0</v>
      </c>
      <c r="M955" t="n">
        <v>0</v>
      </c>
      <c r="N955" t="n">
        <v>0</v>
      </c>
      <c r="O955" t="n">
        <v>0</v>
      </c>
      <c r="P955" t="n">
        <v>0</v>
      </c>
      <c r="Q955" t="n">
        <v>0</v>
      </c>
      <c r="R955" s="2" t="inlineStr"/>
    </row>
    <row r="956" ht="15" customHeight="1">
      <c r="A956" t="inlineStr">
        <is>
          <t>A 18659-2023</t>
        </is>
      </c>
      <c r="B956" s="1" t="n">
        <v>45041</v>
      </c>
      <c r="C956" s="1" t="n">
        <v>45668</v>
      </c>
      <c r="D956" t="inlineStr">
        <is>
          <t>JÄMTLANDS LÄN</t>
        </is>
      </c>
      <c r="E956" t="inlineStr">
        <is>
          <t>HÄRJEDALEN</t>
        </is>
      </c>
      <c r="G956" t="n">
        <v>0.9</v>
      </c>
      <c r="H956" t="n">
        <v>0</v>
      </c>
      <c r="I956" t="n">
        <v>0</v>
      </c>
      <c r="J956" t="n">
        <v>0</v>
      </c>
      <c r="K956" t="n">
        <v>0</v>
      </c>
      <c r="L956" t="n">
        <v>0</v>
      </c>
      <c r="M956" t="n">
        <v>0</v>
      </c>
      <c r="N956" t="n">
        <v>0</v>
      </c>
      <c r="O956" t="n">
        <v>0</v>
      </c>
      <c r="P956" t="n">
        <v>0</v>
      </c>
      <c r="Q956" t="n">
        <v>0</v>
      </c>
      <c r="R956" s="2" t="inlineStr"/>
    </row>
    <row r="957" ht="15" customHeight="1">
      <c r="A957" t="inlineStr">
        <is>
          <t>A 18617-2023</t>
        </is>
      </c>
      <c r="B957" s="1" t="n">
        <v>45043</v>
      </c>
      <c r="C957" s="1" t="n">
        <v>45668</v>
      </c>
      <c r="D957" t="inlineStr">
        <is>
          <t>JÄMTLANDS LÄN</t>
        </is>
      </c>
      <c r="E957" t="inlineStr">
        <is>
          <t>HÄRJEDALEN</t>
        </is>
      </c>
      <c r="G957" t="n">
        <v>15.1</v>
      </c>
      <c r="H957" t="n">
        <v>0</v>
      </c>
      <c r="I957" t="n">
        <v>0</v>
      </c>
      <c r="J957" t="n">
        <v>0</v>
      </c>
      <c r="K957" t="n">
        <v>0</v>
      </c>
      <c r="L957" t="n">
        <v>0</v>
      </c>
      <c r="M957" t="n">
        <v>0</v>
      </c>
      <c r="N957" t="n">
        <v>0</v>
      </c>
      <c r="O957" t="n">
        <v>0</v>
      </c>
      <c r="P957" t="n">
        <v>0</v>
      </c>
      <c r="Q957" t="n">
        <v>0</v>
      </c>
      <c r="R957" s="2" t="inlineStr"/>
    </row>
    <row r="958" ht="15" customHeight="1">
      <c r="A958" t="inlineStr">
        <is>
          <t>A 18875-2023</t>
        </is>
      </c>
      <c r="B958" s="1" t="n">
        <v>45044</v>
      </c>
      <c r="C958" s="1" t="n">
        <v>45668</v>
      </c>
      <c r="D958" t="inlineStr">
        <is>
          <t>JÄMTLANDS LÄN</t>
        </is>
      </c>
      <c r="E958" t="inlineStr">
        <is>
          <t>HÄRJEDALEN</t>
        </is>
      </c>
      <c r="F958" t="inlineStr">
        <is>
          <t>Kyrkan</t>
        </is>
      </c>
      <c r="G958" t="n">
        <v>1.4</v>
      </c>
      <c r="H958" t="n">
        <v>0</v>
      </c>
      <c r="I958" t="n">
        <v>0</v>
      </c>
      <c r="J958" t="n">
        <v>0</v>
      </c>
      <c r="K958" t="n">
        <v>0</v>
      </c>
      <c r="L958" t="n">
        <v>0</v>
      </c>
      <c r="M958" t="n">
        <v>0</v>
      </c>
      <c r="N958" t="n">
        <v>0</v>
      </c>
      <c r="O958" t="n">
        <v>0</v>
      </c>
      <c r="P958" t="n">
        <v>0</v>
      </c>
      <c r="Q958" t="n">
        <v>0</v>
      </c>
      <c r="R958" s="2" t="inlineStr"/>
    </row>
    <row r="959" ht="15" customHeight="1">
      <c r="A959" t="inlineStr">
        <is>
          <t>A 19353-2023</t>
        </is>
      </c>
      <c r="B959" s="1" t="n">
        <v>45049</v>
      </c>
      <c r="C959" s="1" t="n">
        <v>45668</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19337-2023</t>
        </is>
      </c>
      <c r="B960" s="1" t="n">
        <v>45049</v>
      </c>
      <c r="C960" s="1" t="n">
        <v>45668</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19730-2023</t>
        </is>
      </c>
      <c r="B961" s="1" t="n">
        <v>45050</v>
      </c>
      <c r="C961" s="1" t="n">
        <v>45668</v>
      </c>
      <c r="D961" t="inlineStr">
        <is>
          <t>JÄMTLANDS LÄN</t>
        </is>
      </c>
      <c r="E961" t="inlineStr">
        <is>
          <t>HÄRJEDALEN</t>
        </is>
      </c>
      <c r="F961" t="inlineStr">
        <is>
          <t>Bergvik skog väst AB</t>
        </is>
      </c>
      <c r="G961" t="n">
        <v>1.3</v>
      </c>
      <c r="H961" t="n">
        <v>0</v>
      </c>
      <c r="I961" t="n">
        <v>0</v>
      </c>
      <c r="J961" t="n">
        <v>0</v>
      </c>
      <c r="K961" t="n">
        <v>0</v>
      </c>
      <c r="L961" t="n">
        <v>0</v>
      </c>
      <c r="M961" t="n">
        <v>0</v>
      </c>
      <c r="N961" t="n">
        <v>0</v>
      </c>
      <c r="O961" t="n">
        <v>0</v>
      </c>
      <c r="P961" t="n">
        <v>0</v>
      </c>
      <c r="Q961" t="n">
        <v>0</v>
      </c>
      <c r="R961" s="2" t="inlineStr"/>
    </row>
    <row r="962" ht="15" customHeight="1">
      <c r="A962" t="inlineStr">
        <is>
          <t>A 19915-2023</t>
        </is>
      </c>
      <c r="B962" s="1" t="n">
        <v>45054</v>
      </c>
      <c r="C962" s="1" t="n">
        <v>45668</v>
      </c>
      <c r="D962" t="inlineStr">
        <is>
          <t>JÄMTLANDS LÄN</t>
        </is>
      </c>
      <c r="E962" t="inlineStr">
        <is>
          <t>HÄRJEDALEN</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19981-2023</t>
        </is>
      </c>
      <c r="B963" s="1" t="n">
        <v>45054</v>
      </c>
      <c r="C963" s="1" t="n">
        <v>45668</v>
      </c>
      <c r="D963" t="inlineStr">
        <is>
          <t>JÄMTLANDS LÄN</t>
        </is>
      </c>
      <c r="E963" t="inlineStr">
        <is>
          <t>HÄRJEDALEN</t>
        </is>
      </c>
      <c r="G963" t="n">
        <v>13.5</v>
      </c>
      <c r="H963" t="n">
        <v>0</v>
      </c>
      <c r="I963" t="n">
        <v>0</v>
      </c>
      <c r="J963" t="n">
        <v>0</v>
      </c>
      <c r="K963" t="n">
        <v>0</v>
      </c>
      <c r="L963" t="n">
        <v>0</v>
      </c>
      <c r="M963" t="n">
        <v>0</v>
      </c>
      <c r="N963" t="n">
        <v>0</v>
      </c>
      <c r="O963" t="n">
        <v>0</v>
      </c>
      <c r="P963" t="n">
        <v>0</v>
      </c>
      <c r="Q963" t="n">
        <v>0</v>
      </c>
      <c r="R963" s="2" t="inlineStr"/>
    </row>
    <row r="964" ht="15" customHeight="1">
      <c r="A964" t="inlineStr">
        <is>
          <t>A 20539-2023</t>
        </is>
      </c>
      <c r="B964" s="1" t="n">
        <v>45055</v>
      </c>
      <c r="C964" s="1" t="n">
        <v>45668</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20851-2023</t>
        </is>
      </c>
      <c r="B965" s="1" t="n">
        <v>45056</v>
      </c>
      <c r="C965" s="1" t="n">
        <v>45668</v>
      </c>
      <c r="D965" t="inlineStr">
        <is>
          <t>JÄMTLANDS LÄN</t>
        </is>
      </c>
      <c r="E965" t="inlineStr">
        <is>
          <t>HÄRJEDALEN</t>
        </is>
      </c>
      <c r="F965" t="inlineStr">
        <is>
          <t>Holmen skog AB</t>
        </is>
      </c>
      <c r="G965" t="n">
        <v>41.1</v>
      </c>
      <c r="H965" t="n">
        <v>0</v>
      </c>
      <c r="I965" t="n">
        <v>0</v>
      </c>
      <c r="J965" t="n">
        <v>0</v>
      </c>
      <c r="K965" t="n">
        <v>0</v>
      </c>
      <c r="L965" t="n">
        <v>0</v>
      </c>
      <c r="M965" t="n">
        <v>0</v>
      </c>
      <c r="N965" t="n">
        <v>0</v>
      </c>
      <c r="O965" t="n">
        <v>0</v>
      </c>
      <c r="P965" t="n">
        <v>0</v>
      </c>
      <c r="Q965" t="n">
        <v>0</v>
      </c>
      <c r="R965" s="2" t="inlineStr"/>
    </row>
    <row r="966" ht="15" customHeight="1">
      <c r="A966" t="inlineStr">
        <is>
          <t>A 20609-2023</t>
        </is>
      </c>
      <c r="B966" s="1" t="n">
        <v>45057</v>
      </c>
      <c r="C966" s="1" t="n">
        <v>45668</v>
      </c>
      <c r="D966" t="inlineStr">
        <is>
          <t>JÄMTLANDS LÄN</t>
        </is>
      </c>
      <c r="E966" t="inlineStr">
        <is>
          <t>HÄRJEDALEN</t>
        </is>
      </c>
      <c r="F966" t="inlineStr">
        <is>
          <t>SCA</t>
        </is>
      </c>
      <c r="G966" t="n">
        <v>15.6</v>
      </c>
      <c r="H966" t="n">
        <v>0</v>
      </c>
      <c r="I966" t="n">
        <v>0</v>
      </c>
      <c r="J966" t="n">
        <v>0</v>
      </c>
      <c r="K966" t="n">
        <v>0</v>
      </c>
      <c r="L966" t="n">
        <v>0</v>
      </c>
      <c r="M966" t="n">
        <v>0</v>
      </c>
      <c r="N966" t="n">
        <v>0</v>
      </c>
      <c r="O966" t="n">
        <v>0</v>
      </c>
      <c r="P966" t="n">
        <v>0</v>
      </c>
      <c r="Q966" t="n">
        <v>0</v>
      </c>
      <c r="R966" s="2" t="inlineStr"/>
      <c r="U966">
        <f>HYPERLINK("https://klasma.github.io/Logging_2361/knärot/A 20609-2023 karta knärot.png", "A 20609-2023")</f>
        <v/>
      </c>
      <c r="V966">
        <f>HYPERLINK("https://klasma.github.io/Logging_2361/klagomål/A 20609-2023 FSC-klagomål.docx", "A 20609-2023")</f>
        <v/>
      </c>
      <c r="W966">
        <f>HYPERLINK("https://klasma.github.io/Logging_2361/klagomålsmail/A 20609-2023 FSC-klagomål mail.docx", "A 20609-2023")</f>
        <v/>
      </c>
      <c r="X966">
        <f>HYPERLINK("https://klasma.github.io/Logging_2361/tillsyn/A 20609-2023 tillsynsbegäran.docx", "A 20609-2023")</f>
        <v/>
      </c>
      <c r="Y966">
        <f>HYPERLINK("https://klasma.github.io/Logging_2361/tillsynsmail/A 20609-2023 tillsynsbegäran mail.docx", "A 20609-2023")</f>
        <v/>
      </c>
    </row>
    <row r="967" ht="15" customHeight="1">
      <c r="A967" t="inlineStr">
        <is>
          <t>A 20768-2023</t>
        </is>
      </c>
      <c r="B967" s="1" t="n">
        <v>45058</v>
      </c>
      <c r="C967" s="1" t="n">
        <v>45668</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20718-2023</t>
        </is>
      </c>
      <c r="B968" s="1" t="n">
        <v>45058</v>
      </c>
      <c r="C968" s="1" t="n">
        <v>45668</v>
      </c>
      <c r="D968" t="inlineStr">
        <is>
          <t>JÄMTLANDS LÄN</t>
        </is>
      </c>
      <c r="E968" t="inlineStr">
        <is>
          <t>HÄRJEDALEN</t>
        </is>
      </c>
      <c r="F968" t="inlineStr">
        <is>
          <t>Kyrkan</t>
        </is>
      </c>
      <c r="G968" t="n">
        <v>1</v>
      </c>
      <c r="H968" t="n">
        <v>0</v>
      </c>
      <c r="I968" t="n">
        <v>0</v>
      </c>
      <c r="J968" t="n">
        <v>0</v>
      </c>
      <c r="K968" t="n">
        <v>0</v>
      </c>
      <c r="L968" t="n">
        <v>0</v>
      </c>
      <c r="M968" t="n">
        <v>0</v>
      </c>
      <c r="N968" t="n">
        <v>0</v>
      </c>
      <c r="O968" t="n">
        <v>0</v>
      </c>
      <c r="P968" t="n">
        <v>0</v>
      </c>
      <c r="Q968" t="n">
        <v>0</v>
      </c>
      <c r="R968" s="2" t="inlineStr"/>
    </row>
    <row r="969" ht="15" customHeight="1">
      <c r="A969" t="inlineStr">
        <is>
          <t>A 20935-2023</t>
        </is>
      </c>
      <c r="B969" s="1" t="n">
        <v>45061</v>
      </c>
      <c r="C969" s="1" t="n">
        <v>45668</v>
      </c>
      <c r="D969" t="inlineStr">
        <is>
          <t>JÄMTLANDS LÄN</t>
        </is>
      </c>
      <c r="E969" t="inlineStr">
        <is>
          <t>HÄRJEDALEN</t>
        </is>
      </c>
      <c r="G969" t="n">
        <v>7.3</v>
      </c>
      <c r="H969" t="n">
        <v>0</v>
      </c>
      <c r="I969" t="n">
        <v>0</v>
      </c>
      <c r="J969" t="n">
        <v>0</v>
      </c>
      <c r="K969" t="n">
        <v>0</v>
      </c>
      <c r="L969" t="n">
        <v>0</v>
      </c>
      <c r="M969" t="n">
        <v>0</v>
      </c>
      <c r="N969" t="n">
        <v>0</v>
      </c>
      <c r="O969" t="n">
        <v>0</v>
      </c>
      <c r="P969" t="n">
        <v>0</v>
      </c>
      <c r="Q969" t="n">
        <v>0</v>
      </c>
      <c r="R969" s="2" t="inlineStr"/>
    </row>
    <row r="970" ht="15" customHeight="1">
      <c r="A970" t="inlineStr">
        <is>
          <t>A 21050-2023</t>
        </is>
      </c>
      <c r="B970" s="1" t="n">
        <v>45061</v>
      </c>
      <c r="C970" s="1" t="n">
        <v>45668</v>
      </c>
      <c r="D970" t="inlineStr">
        <is>
          <t>JÄMTLANDS LÄN</t>
        </is>
      </c>
      <c r="E970" t="inlineStr">
        <is>
          <t>HÄRJEDALEN</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21054-2023</t>
        </is>
      </c>
      <c r="B971" s="1" t="n">
        <v>45061</v>
      </c>
      <c r="C971" s="1" t="n">
        <v>45668</v>
      </c>
      <c r="D971" t="inlineStr">
        <is>
          <t>JÄMTLANDS LÄN</t>
        </is>
      </c>
      <c r="E971" t="inlineStr">
        <is>
          <t>HÄRJEDALEN</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21517-2023</t>
        </is>
      </c>
      <c r="B972" s="1" t="n">
        <v>45063</v>
      </c>
      <c r="C972" s="1" t="n">
        <v>45668</v>
      </c>
      <c r="D972" t="inlineStr">
        <is>
          <t>JÄMTLANDS LÄN</t>
        </is>
      </c>
      <c r="E972" t="inlineStr">
        <is>
          <t>HÄRJEDALEN</t>
        </is>
      </c>
      <c r="G972" t="n">
        <v>9</v>
      </c>
      <c r="H972" t="n">
        <v>0</v>
      </c>
      <c r="I972" t="n">
        <v>0</v>
      </c>
      <c r="J972" t="n">
        <v>0</v>
      </c>
      <c r="K972" t="n">
        <v>0</v>
      </c>
      <c r="L972" t="n">
        <v>0</v>
      </c>
      <c r="M972" t="n">
        <v>0</v>
      </c>
      <c r="N972" t="n">
        <v>0</v>
      </c>
      <c r="O972" t="n">
        <v>0</v>
      </c>
      <c r="P972" t="n">
        <v>0</v>
      </c>
      <c r="Q972" t="n">
        <v>0</v>
      </c>
      <c r="R972" s="2" t="inlineStr"/>
    </row>
    <row r="973" ht="15" customHeight="1">
      <c r="A973" t="inlineStr">
        <is>
          <t>A 21531-2023</t>
        </is>
      </c>
      <c r="B973" s="1" t="n">
        <v>45063</v>
      </c>
      <c r="C973" s="1" t="n">
        <v>45668</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21439-2023</t>
        </is>
      </c>
      <c r="B974" s="1" t="n">
        <v>45063</v>
      </c>
      <c r="C974" s="1" t="n">
        <v>45668</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21521-2023</t>
        </is>
      </c>
      <c r="B975" s="1" t="n">
        <v>45063</v>
      </c>
      <c r="C975" s="1" t="n">
        <v>45668</v>
      </c>
      <c r="D975" t="inlineStr">
        <is>
          <t>JÄMTLANDS LÄN</t>
        </is>
      </c>
      <c r="E975" t="inlineStr">
        <is>
          <t>HÄRJEDALEN</t>
        </is>
      </c>
      <c r="G975" t="n">
        <v>3</v>
      </c>
      <c r="H975" t="n">
        <v>0</v>
      </c>
      <c r="I975" t="n">
        <v>0</v>
      </c>
      <c r="J975" t="n">
        <v>0</v>
      </c>
      <c r="K975" t="n">
        <v>0</v>
      </c>
      <c r="L975" t="n">
        <v>0</v>
      </c>
      <c r="M975" t="n">
        <v>0</v>
      </c>
      <c r="N975" t="n">
        <v>0</v>
      </c>
      <c r="O975" t="n">
        <v>0</v>
      </c>
      <c r="P975" t="n">
        <v>0</v>
      </c>
      <c r="Q975" t="n">
        <v>0</v>
      </c>
      <c r="R975" s="2" t="inlineStr"/>
    </row>
    <row r="976" ht="15" customHeight="1">
      <c r="A976" t="inlineStr">
        <is>
          <t>A 21525-2023</t>
        </is>
      </c>
      <c r="B976" s="1" t="n">
        <v>45063</v>
      </c>
      <c r="C976" s="1" t="n">
        <v>45668</v>
      </c>
      <c r="D976" t="inlineStr">
        <is>
          <t>JÄMTLANDS LÄN</t>
        </is>
      </c>
      <c r="E976" t="inlineStr">
        <is>
          <t>HÄRJEDALEN</t>
        </is>
      </c>
      <c r="G976" t="n">
        <v>20</v>
      </c>
      <c r="H976" t="n">
        <v>0</v>
      </c>
      <c r="I976" t="n">
        <v>0</v>
      </c>
      <c r="J976" t="n">
        <v>0</v>
      </c>
      <c r="K976" t="n">
        <v>0</v>
      </c>
      <c r="L976" t="n">
        <v>0</v>
      </c>
      <c r="M976" t="n">
        <v>0</v>
      </c>
      <c r="N976" t="n">
        <v>0</v>
      </c>
      <c r="O976" t="n">
        <v>0</v>
      </c>
      <c r="P976" t="n">
        <v>0</v>
      </c>
      <c r="Q976" t="n">
        <v>0</v>
      </c>
      <c r="R976" s="2" t="inlineStr"/>
    </row>
    <row r="977" ht="15" customHeight="1">
      <c r="A977" t="inlineStr">
        <is>
          <t>A 21530-2023</t>
        </is>
      </c>
      <c r="B977" s="1" t="n">
        <v>45063</v>
      </c>
      <c r="C977" s="1" t="n">
        <v>45668</v>
      </c>
      <c r="D977" t="inlineStr">
        <is>
          <t>JÄMTLANDS LÄN</t>
        </is>
      </c>
      <c r="E977" t="inlineStr">
        <is>
          <t>HÄRJEDALEN</t>
        </is>
      </c>
      <c r="G977" t="n">
        <v>15.3</v>
      </c>
      <c r="H977" t="n">
        <v>0</v>
      </c>
      <c r="I977" t="n">
        <v>0</v>
      </c>
      <c r="J977" t="n">
        <v>0</v>
      </c>
      <c r="K977" t="n">
        <v>0</v>
      </c>
      <c r="L977" t="n">
        <v>0</v>
      </c>
      <c r="M977" t="n">
        <v>0</v>
      </c>
      <c r="N977" t="n">
        <v>0</v>
      </c>
      <c r="O977" t="n">
        <v>0</v>
      </c>
      <c r="P977" t="n">
        <v>0</v>
      </c>
      <c r="Q977" t="n">
        <v>0</v>
      </c>
      <c r="R977" s="2" t="inlineStr"/>
    </row>
    <row r="978" ht="15" customHeight="1">
      <c r="A978" t="inlineStr">
        <is>
          <t>A 21645-2023</t>
        </is>
      </c>
      <c r="B978" s="1" t="n">
        <v>45063</v>
      </c>
      <c r="C978" s="1" t="n">
        <v>45668</v>
      </c>
      <c r="D978" t="inlineStr">
        <is>
          <t>JÄMTLANDS LÄN</t>
        </is>
      </c>
      <c r="E978" t="inlineStr">
        <is>
          <t>HÄRJEDALEN</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21646-2023</t>
        </is>
      </c>
      <c r="B979" s="1" t="n">
        <v>45063</v>
      </c>
      <c r="C979" s="1" t="n">
        <v>45668</v>
      </c>
      <c r="D979" t="inlineStr">
        <is>
          <t>JÄMTLANDS LÄN</t>
        </is>
      </c>
      <c r="E979" t="inlineStr">
        <is>
          <t>HÄRJEDALEN</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21665-2023</t>
        </is>
      </c>
      <c r="B980" s="1" t="n">
        <v>45063</v>
      </c>
      <c r="C980" s="1" t="n">
        <v>45668</v>
      </c>
      <c r="D980" t="inlineStr">
        <is>
          <t>JÄMTLANDS LÄN</t>
        </is>
      </c>
      <c r="E980" t="inlineStr">
        <is>
          <t>HÄRJEDALEN</t>
        </is>
      </c>
      <c r="G980" t="n">
        <v>19.3</v>
      </c>
      <c r="H980" t="n">
        <v>0</v>
      </c>
      <c r="I980" t="n">
        <v>0</v>
      </c>
      <c r="J980" t="n">
        <v>0</v>
      </c>
      <c r="K980" t="n">
        <v>0</v>
      </c>
      <c r="L980" t="n">
        <v>0</v>
      </c>
      <c r="M980" t="n">
        <v>0</v>
      </c>
      <c r="N980" t="n">
        <v>0</v>
      </c>
      <c r="O980" t="n">
        <v>0</v>
      </c>
      <c r="P980" t="n">
        <v>0</v>
      </c>
      <c r="Q980" t="n">
        <v>0</v>
      </c>
      <c r="R980" s="2" t="inlineStr"/>
    </row>
    <row r="981" ht="15" customHeight="1">
      <c r="A981" t="inlineStr">
        <is>
          <t>A 21666-2023</t>
        </is>
      </c>
      <c r="B981" s="1" t="n">
        <v>45064</v>
      </c>
      <c r="C981" s="1" t="n">
        <v>45668</v>
      </c>
      <c r="D981" t="inlineStr">
        <is>
          <t>JÄMTLANDS LÄN</t>
        </is>
      </c>
      <c r="E981" t="inlineStr">
        <is>
          <t>HÄRJEDALEN</t>
        </is>
      </c>
      <c r="G981" t="n">
        <v>2.5</v>
      </c>
      <c r="H981" t="n">
        <v>0</v>
      </c>
      <c r="I981" t="n">
        <v>0</v>
      </c>
      <c r="J981" t="n">
        <v>0</v>
      </c>
      <c r="K981" t="n">
        <v>0</v>
      </c>
      <c r="L981" t="n">
        <v>0</v>
      </c>
      <c r="M981" t="n">
        <v>0</v>
      </c>
      <c r="N981" t="n">
        <v>0</v>
      </c>
      <c r="O981" t="n">
        <v>0</v>
      </c>
      <c r="P981" t="n">
        <v>0</v>
      </c>
      <c r="Q981" t="n">
        <v>0</v>
      </c>
      <c r="R981" s="2" t="inlineStr"/>
    </row>
    <row r="982" ht="15" customHeight="1">
      <c r="A982" t="inlineStr">
        <is>
          <t>A 22674-2023</t>
        </is>
      </c>
      <c r="B982" s="1" t="n">
        <v>45071</v>
      </c>
      <c r="C982" s="1" t="n">
        <v>45668</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22728-2023</t>
        </is>
      </c>
      <c r="B983" s="1" t="n">
        <v>45072</v>
      </c>
      <c r="C983" s="1" t="n">
        <v>45668</v>
      </c>
      <c r="D983" t="inlineStr">
        <is>
          <t>JÄMTLANDS LÄN</t>
        </is>
      </c>
      <c r="E983" t="inlineStr">
        <is>
          <t>HÄRJEDALEN</t>
        </is>
      </c>
      <c r="G983" t="n">
        <v>2.8</v>
      </c>
      <c r="H983" t="n">
        <v>0</v>
      </c>
      <c r="I983" t="n">
        <v>0</v>
      </c>
      <c r="J983" t="n">
        <v>0</v>
      </c>
      <c r="K983" t="n">
        <v>0</v>
      </c>
      <c r="L983" t="n">
        <v>0</v>
      </c>
      <c r="M983" t="n">
        <v>0</v>
      </c>
      <c r="N983" t="n">
        <v>0</v>
      </c>
      <c r="O983" t="n">
        <v>0</v>
      </c>
      <c r="P983" t="n">
        <v>0</v>
      </c>
      <c r="Q983" t="n">
        <v>0</v>
      </c>
      <c r="R983" s="2" t="inlineStr"/>
    </row>
    <row r="984" ht="15" customHeight="1">
      <c r="A984" t="inlineStr">
        <is>
          <t>A 22747-2023</t>
        </is>
      </c>
      <c r="B984" s="1" t="n">
        <v>45071</v>
      </c>
      <c r="C984" s="1" t="n">
        <v>45668</v>
      </c>
      <c r="D984" t="inlineStr">
        <is>
          <t>JÄMTLANDS LÄN</t>
        </is>
      </c>
      <c r="E984" t="inlineStr">
        <is>
          <t>HÄRJEDALEN</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22746-2023</t>
        </is>
      </c>
      <c r="B985" s="1" t="n">
        <v>45071</v>
      </c>
      <c r="C985" s="1" t="n">
        <v>45668</v>
      </c>
      <c r="D985" t="inlineStr">
        <is>
          <t>JÄMTLANDS LÄN</t>
        </is>
      </c>
      <c r="E985" t="inlineStr">
        <is>
          <t>HÄRJEDALEN</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22729-2023</t>
        </is>
      </c>
      <c r="B986" s="1" t="n">
        <v>45072</v>
      </c>
      <c r="C986" s="1" t="n">
        <v>45668</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v>
      </c>
      <c r="C987" s="1" t="n">
        <v>45668</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23185-2023</t>
        </is>
      </c>
      <c r="B988" s="1" t="n">
        <v>45075</v>
      </c>
      <c r="C988" s="1" t="n">
        <v>45668</v>
      </c>
      <c r="D988" t="inlineStr">
        <is>
          <t>JÄMTLANDS LÄN</t>
        </is>
      </c>
      <c r="E988" t="inlineStr">
        <is>
          <t>HÄRJEDALEN</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23356-2023</t>
        </is>
      </c>
      <c r="B989" s="1" t="n">
        <v>45076</v>
      </c>
      <c r="C989" s="1" t="n">
        <v>45668</v>
      </c>
      <c r="D989" t="inlineStr">
        <is>
          <t>JÄMTLANDS LÄN</t>
        </is>
      </c>
      <c r="E989" t="inlineStr">
        <is>
          <t>HÄRJEDALEN</t>
        </is>
      </c>
      <c r="G989" t="n">
        <v>2.1</v>
      </c>
      <c r="H989" t="n">
        <v>0</v>
      </c>
      <c r="I989" t="n">
        <v>0</v>
      </c>
      <c r="J989" t="n">
        <v>0</v>
      </c>
      <c r="K989" t="n">
        <v>0</v>
      </c>
      <c r="L989" t="n">
        <v>0</v>
      </c>
      <c r="M989" t="n">
        <v>0</v>
      </c>
      <c r="N989" t="n">
        <v>0</v>
      </c>
      <c r="O989" t="n">
        <v>0</v>
      </c>
      <c r="P989" t="n">
        <v>0</v>
      </c>
      <c r="Q989" t="n">
        <v>0</v>
      </c>
      <c r="R989" s="2" t="inlineStr"/>
    </row>
    <row r="990" ht="15" customHeight="1">
      <c r="A990" t="inlineStr">
        <is>
          <t>A 23465-2023</t>
        </is>
      </c>
      <c r="B990" s="1" t="n">
        <v>45076</v>
      </c>
      <c r="C990" s="1" t="n">
        <v>45668</v>
      </c>
      <c r="D990" t="inlineStr">
        <is>
          <t>JÄMTLANDS LÄN</t>
        </is>
      </c>
      <c r="E990" t="inlineStr">
        <is>
          <t>HÄRJEDALEN</t>
        </is>
      </c>
      <c r="G990" t="n">
        <v>14.1</v>
      </c>
      <c r="H990" t="n">
        <v>0</v>
      </c>
      <c r="I990" t="n">
        <v>0</v>
      </c>
      <c r="J990" t="n">
        <v>0</v>
      </c>
      <c r="K990" t="n">
        <v>0</v>
      </c>
      <c r="L990" t="n">
        <v>0</v>
      </c>
      <c r="M990" t="n">
        <v>0</v>
      </c>
      <c r="N990" t="n">
        <v>0</v>
      </c>
      <c r="O990" t="n">
        <v>0</v>
      </c>
      <c r="P990" t="n">
        <v>0</v>
      </c>
      <c r="Q990" t="n">
        <v>0</v>
      </c>
      <c r="R990" s="2" t="inlineStr"/>
    </row>
    <row r="991" ht="15" customHeight="1">
      <c r="A991" t="inlineStr">
        <is>
          <t>A 23895-2023</t>
        </is>
      </c>
      <c r="B991" s="1" t="n">
        <v>45078</v>
      </c>
      <c r="C991" s="1" t="n">
        <v>45668</v>
      </c>
      <c r="D991" t="inlineStr">
        <is>
          <t>JÄMTLANDS LÄN</t>
        </is>
      </c>
      <c r="E991" t="inlineStr">
        <is>
          <t>HÄRJEDALEN</t>
        </is>
      </c>
      <c r="G991" t="n">
        <v>3.2</v>
      </c>
      <c r="H991" t="n">
        <v>0</v>
      </c>
      <c r="I991" t="n">
        <v>0</v>
      </c>
      <c r="J991" t="n">
        <v>0</v>
      </c>
      <c r="K991" t="n">
        <v>0</v>
      </c>
      <c r="L991" t="n">
        <v>0</v>
      </c>
      <c r="M991" t="n">
        <v>0</v>
      </c>
      <c r="N991" t="n">
        <v>0</v>
      </c>
      <c r="O991" t="n">
        <v>0</v>
      </c>
      <c r="P991" t="n">
        <v>0</v>
      </c>
      <c r="Q991" t="n">
        <v>0</v>
      </c>
      <c r="R991" s="2" t="inlineStr"/>
    </row>
    <row r="992" ht="15" customHeight="1">
      <c r="A992" t="inlineStr">
        <is>
          <t>A 23908-2023</t>
        </is>
      </c>
      <c r="B992" s="1" t="n">
        <v>45078</v>
      </c>
      <c r="C992" s="1" t="n">
        <v>45668</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24240-2023</t>
        </is>
      </c>
      <c r="B993" s="1" t="n">
        <v>45079</v>
      </c>
      <c r="C993" s="1" t="n">
        <v>45668</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24238-2023</t>
        </is>
      </c>
      <c r="B994" s="1" t="n">
        <v>45079</v>
      </c>
      <c r="C994" s="1" t="n">
        <v>45668</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24255-2023</t>
        </is>
      </c>
      <c r="B995" s="1" t="n">
        <v>45079</v>
      </c>
      <c r="C995" s="1" t="n">
        <v>45668</v>
      </c>
      <c r="D995" t="inlineStr">
        <is>
          <t>JÄMTLANDS LÄN</t>
        </is>
      </c>
      <c r="E995" t="inlineStr">
        <is>
          <t>HÄRJEDALEN</t>
        </is>
      </c>
      <c r="G995" t="n">
        <v>16.1</v>
      </c>
      <c r="H995" t="n">
        <v>0</v>
      </c>
      <c r="I995" t="n">
        <v>0</v>
      </c>
      <c r="J995" t="n">
        <v>0</v>
      </c>
      <c r="K995" t="n">
        <v>0</v>
      </c>
      <c r="L995" t="n">
        <v>0</v>
      </c>
      <c r="M995" t="n">
        <v>0</v>
      </c>
      <c r="N995" t="n">
        <v>0</v>
      </c>
      <c r="O995" t="n">
        <v>0</v>
      </c>
      <c r="P995" t="n">
        <v>0</v>
      </c>
      <c r="Q995" t="n">
        <v>0</v>
      </c>
      <c r="R995" s="2" t="inlineStr"/>
    </row>
    <row r="996" ht="15" customHeight="1">
      <c r="A996" t="inlineStr">
        <is>
          <t>A 24220-2023</t>
        </is>
      </c>
      <c r="B996" s="1" t="n">
        <v>45079</v>
      </c>
      <c r="C996" s="1" t="n">
        <v>45668</v>
      </c>
      <c r="D996" t="inlineStr">
        <is>
          <t>JÄMTLANDS LÄN</t>
        </is>
      </c>
      <c r="E996" t="inlineStr">
        <is>
          <t>HÄRJEDALEN</t>
        </is>
      </c>
      <c r="F996" t="inlineStr">
        <is>
          <t>Bergvik skog väst AB</t>
        </is>
      </c>
      <c r="G996" t="n">
        <v>6.5</v>
      </c>
      <c r="H996" t="n">
        <v>0</v>
      </c>
      <c r="I996" t="n">
        <v>0</v>
      </c>
      <c r="J996" t="n">
        <v>0</v>
      </c>
      <c r="K996" t="n">
        <v>0</v>
      </c>
      <c r="L996" t="n">
        <v>0</v>
      </c>
      <c r="M996" t="n">
        <v>0</v>
      </c>
      <c r="N996" t="n">
        <v>0</v>
      </c>
      <c r="O996" t="n">
        <v>0</v>
      </c>
      <c r="P996" t="n">
        <v>0</v>
      </c>
      <c r="Q996" t="n">
        <v>0</v>
      </c>
      <c r="R996" s="2" t="inlineStr"/>
    </row>
    <row r="997" ht="15" customHeight="1">
      <c r="A997" t="inlineStr">
        <is>
          <t>A 25536-2023</t>
        </is>
      </c>
      <c r="B997" s="1" t="n">
        <v>45082</v>
      </c>
      <c r="C997" s="1" t="n">
        <v>45668</v>
      </c>
      <c r="D997" t="inlineStr">
        <is>
          <t>JÄMTLANDS LÄN</t>
        </is>
      </c>
      <c r="E997" t="inlineStr">
        <is>
          <t>HÄRJEDALEN</t>
        </is>
      </c>
      <c r="F997" t="inlineStr">
        <is>
          <t>Bergvik skog väst AB</t>
        </is>
      </c>
      <c r="G997" t="n">
        <v>6.9</v>
      </c>
      <c r="H997" t="n">
        <v>0</v>
      </c>
      <c r="I997" t="n">
        <v>0</v>
      </c>
      <c r="J997" t="n">
        <v>0</v>
      </c>
      <c r="K997" t="n">
        <v>0</v>
      </c>
      <c r="L997" t="n">
        <v>0</v>
      </c>
      <c r="M997" t="n">
        <v>0</v>
      </c>
      <c r="N997" t="n">
        <v>0</v>
      </c>
      <c r="O997" t="n">
        <v>0</v>
      </c>
      <c r="P997" t="n">
        <v>0</v>
      </c>
      <c r="Q997" t="n">
        <v>0</v>
      </c>
      <c r="R997" s="2" t="inlineStr"/>
    </row>
    <row r="998" ht="15" customHeight="1">
      <c r="A998" t="inlineStr">
        <is>
          <t>A 25526-2023</t>
        </is>
      </c>
      <c r="B998" s="1" t="n">
        <v>45082</v>
      </c>
      <c r="C998" s="1" t="n">
        <v>45668</v>
      </c>
      <c r="D998" t="inlineStr">
        <is>
          <t>JÄMTLANDS LÄN</t>
        </is>
      </c>
      <c r="E998" t="inlineStr">
        <is>
          <t>HÄRJEDALEN</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25582-2023</t>
        </is>
      </c>
      <c r="B999" s="1" t="n">
        <v>45082</v>
      </c>
      <c r="C999" s="1" t="n">
        <v>45668</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24834-2023</t>
        </is>
      </c>
      <c r="B1000" s="1" t="n">
        <v>45084</v>
      </c>
      <c r="C1000" s="1" t="n">
        <v>45668</v>
      </c>
      <c r="D1000" t="inlineStr">
        <is>
          <t>JÄMTLANDS LÄN</t>
        </is>
      </c>
      <c r="E1000" t="inlineStr">
        <is>
          <t>HÄRJEDALEN</t>
        </is>
      </c>
      <c r="F1000" t="inlineStr">
        <is>
          <t>SCA</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24835-2023</t>
        </is>
      </c>
      <c r="B1001" s="1" t="n">
        <v>45084</v>
      </c>
      <c r="C1001" s="1" t="n">
        <v>45668</v>
      </c>
      <c r="D1001" t="inlineStr">
        <is>
          <t>JÄMTLANDS LÄN</t>
        </is>
      </c>
      <c r="E1001" t="inlineStr">
        <is>
          <t>HÄRJEDALEN</t>
        </is>
      </c>
      <c r="F1001" t="inlineStr">
        <is>
          <t>SCA</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25018-2023</t>
        </is>
      </c>
      <c r="B1002" s="1" t="n">
        <v>45085</v>
      </c>
      <c r="C1002" s="1" t="n">
        <v>45668</v>
      </c>
      <c r="D1002" t="inlineStr">
        <is>
          <t>JÄMTLANDS LÄN</t>
        </is>
      </c>
      <c r="E1002" t="inlineStr">
        <is>
          <t>HÄRJEDALEN</t>
        </is>
      </c>
      <c r="F1002" t="inlineStr">
        <is>
          <t>Sveaskog</t>
        </is>
      </c>
      <c r="G1002" t="n">
        <v>39.7</v>
      </c>
      <c r="H1002" t="n">
        <v>0</v>
      </c>
      <c r="I1002" t="n">
        <v>0</v>
      </c>
      <c r="J1002" t="n">
        <v>0</v>
      </c>
      <c r="K1002" t="n">
        <v>0</v>
      </c>
      <c r="L1002" t="n">
        <v>0</v>
      </c>
      <c r="M1002" t="n">
        <v>0</v>
      </c>
      <c r="N1002" t="n">
        <v>0</v>
      </c>
      <c r="O1002" t="n">
        <v>0</v>
      </c>
      <c r="P1002" t="n">
        <v>0</v>
      </c>
      <c r="Q1002" t="n">
        <v>0</v>
      </c>
      <c r="R1002" s="2" t="inlineStr"/>
    </row>
    <row r="1003" ht="15" customHeight="1">
      <c r="A1003" t="inlineStr">
        <is>
          <t>A 24964-2023</t>
        </is>
      </c>
      <c r="B1003" s="1" t="n">
        <v>45085</v>
      </c>
      <c r="C1003" s="1" t="n">
        <v>45668</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25181-2023</t>
        </is>
      </c>
      <c r="B1004" s="1" t="n">
        <v>45086</v>
      </c>
      <c r="C1004" s="1" t="n">
        <v>45668</v>
      </c>
      <c r="D1004" t="inlineStr">
        <is>
          <t>JÄMTLANDS LÄN</t>
        </is>
      </c>
      <c r="E1004" t="inlineStr">
        <is>
          <t>HÄRJEDALEN</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25485-2023</t>
        </is>
      </c>
      <c r="B1005" s="1" t="n">
        <v>45089</v>
      </c>
      <c r="C1005" s="1" t="n">
        <v>45668</v>
      </c>
      <c r="D1005" t="inlineStr">
        <is>
          <t>JÄMTLANDS LÄN</t>
        </is>
      </c>
      <c r="E1005" t="inlineStr">
        <is>
          <t>HÄRJEDALEN</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26411-2023</t>
        </is>
      </c>
      <c r="B1006" s="1" t="n">
        <v>45092</v>
      </c>
      <c r="C1006" s="1" t="n">
        <v>45668</v>
      </c>
      <c r="D1006" t="inlineStr">
        <is>
          <t>JÄMTLANDS LÄN</t>
        </is>
      </c>
      <c r="E1006" t="inlineStr">
        <is>
          <t>HÄRJEDALEN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26701-2023</t>
        </is>
      </c>
      <c r="B1007" s="1" t="n">
        <v>45093</v>
      </c>
      <c r="C1007" s="1" t="n">
        <v>45668</v>
      </c>
      <c r="D1007" t="inlineStr">
        <is>
          <t>JÄMTLANDS LÄN</t>
        </is>
      </c>
      <c r="E1007" t="inlineStr">
        <is>
          <t>HÄRJEDALEN</t>
        </is>
      </c>
      <c r="F1007" t="inlineStr">
        <is>
          <t>Bergvik skog väst AB</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26902-2023</t>
        </is>
      </c>
      <c r="B1008" s="1" t="n">
        <v>45093</v>
      </c>
      <c r="C1008" s="1" t="n">
        <v>45668</v>
      </c>
      <c r="D1008" t="inlineStr">
        <is>
          <t>JÄMTLANDS LÄN</t>
        </is>
      </c>
      <c r="E1008" t="inlineStr">
        <is>
          <t>HÄRJEDALEN</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26905-2023</t>
        </is>
      </c>
      <c r="B1009" s="1" t="n">
        <v>45093</v>
      </c>
      <c r="C1009" s="1" t="n">
        <v>45668</v>
      </c>
      <c r="D1009" t="inlineStr">
        <is>
          <t>JÄMTLANDS LÄN</t>
        </is>
      </c>
      <c r="E1009" t="inlineStr">
        <is>
          <t>HÄRJEDALEN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27136-2023</t>
        </is>
      </c>
      <c r="B1010" s="1" t="n">
        <v>45096</v>
      </c>
      <c r="C1010" s="1" t="n">
        <v>45668</v>
      </c>
      <c r="D1010" t="inlineStr">
        <is>
          <t>JÄMTLANDS LÄN</t>
        </is>
      </c>
      <c r="E1010" t="inlineStr">
        <is>
          <t>HÄRJEDALEN</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27261-2023</t>
        </is>
      </c>
      <c r="B1011" s="1" t="n">
        <v>45096</v>
      </c>
      <c r="C1011" s="1" t="n">
        <v>45668</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27541-2023</t>
        </is>
      </c>
      <c r="B1012" s="1" t="n">
        <v>45097</v>
      </c>
      <c r="C1012" s="1" t="n">
        <v>45668</v>
      </c>
      <c r="D1012" t="inlineStr">
        <is>
          <t>JÄMTLANDS LÄN</t>
        </is>
      </c>
      <c r="E1012" t="inlineStr">
        <is>
          <t>HÄRJEDALEN</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27764-2023</t>
        </is>
      </c>
      <c r="B1013" s="1" t="n">
        <v>45098</v>
      </c>
      <c r="C1013" s="1" t="n">
        <v>45668</v>
      </c>
      <c r="D1013" t="inlineStr">
        <is>
          <t>JÄMTLANDS LÄN</t>
        </is>
      </c>
      <c r="E1013" t="inlineStr">
        <is>
          <t>HÄRJEDALEN</t>
        </is>
      </c>
      <c r="G1013" t="n">
        <v>66.40000000000001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27812-2023</t>
        </is>
      </c>
      <c r="B1014" s="1" t="n">
        <v>45098</v>
      </c>
      <c r="C1014" s="1" t="n">
        <v>45668</v>
      </c>
      <c r="D1014" t="inlineStr">
        <is>
          <t>JÄMTLANDS LÄN</t>
        </is>
      </c>
      <c r="E1014" t="inlineStr">
        <is>
          <t>HÄRJEDALEN</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27940-2023</t>
        </is>
      </c>
      <c r="B1015" s="1" t="n">
        <v>45098</v>
      </c>
      <c r="C1015" s="1" t="n">
        <v>45668</v>
      </c>
      <c r="D1015" t="inlineStr">
        <is>
          <t>JÄMTLANDS LÄN</t>
        </is>
      </c>
      <c r="E1015" t="inlineStr">
        <is>
          <t>HÄRJEDALEN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28078-2023</t>
        </is>
      </c>
      <c r="B1016" s="1" t="n">
        <v>45099</v>
      </c>
      <c r="C1016" s="1" t="n">
        <v>45668</v>
      </c>
      <c r="D1016" t="inlineStr">
        <is>
          <t>JÄMTLANDS LÄN</t>
        </is>
      </c>
      <c r="E1016" t="inlineStr">
        <is>
          <t>HÄRJEDALEN</t>
        </is>
      </c>
      <c r="F1016" t="inlineStr">
        <is>
          <t>Bergvik skog väst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28059-2023</t>
        </is>
      </c>
      <c r="B1017" s="1" t="n">
        <v>45099</v>
      </c>
      <c r="C1017" s="1" t="n">
        <v>45668</v>
      </c>
      <c r="D1017" t="inlineStr">
        <is>
          <t>JÄMTLANDS LÄN</t>
        </is>
      </c>
      <c r="E1017" t="inlineStr">
        <is>
          <t>HÄRJEDALEN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28209-2023</t>
        </is>
      </c>
      <c r="B1018" s="1" t="n">
        <v>45099</v>
      </c>
      <c r="C1018" s="1" t="n">
        <v>45668</v>
      </c>
      <c r="D1018" t="inlineStr">
        <is>
          <t>JÄMTLANDS LÄN</t>
        </is>
      </c>
      <c r="E1018" t="inlineStr">
        <is>
          <t>HÄRJEDALEN</t>
        </is>
      </c>
      <c r="F1018" t="inlineStr">
        <is>
          <t>Bergvik skog väst AB</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28802-2023</t>
        </is>
      </c>
      <c r="B1019" s="1" t="n">
        <v>45104</v>
      </c>
      <c r="C1019" s="1" t="n">
        <v>45668</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29067-2023</t>
        </is>
      </c>
      <c r="B1020" s="1" t="n">
        <v>45104</v>
      </c>
      <c r="C1020" s="1" t="n">
        <v>45668</v>
      </c>
      <c r="D1020" t="inlineStr">
        <is>
          <t>JÄMTLANDS LÄN</t>
        </is>
      </c>
      <c r="E1020" t="inlineStr">
        <is>
          <t>HÄRJEDALEN</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29194-2023</t>
        </is>
      </c>
      <c r="B1021" s="1" t="n">
        <v>45105</v>
      </c>
      <c r="C1021" s="1" t="n">
        <v>45668</v>
      </c>
      <c r="D1021" t="inlineStr">
        <is>
          <t>JÄMTLANDS LÄN</t>
        </is>
      </c>
      <c r="E1021" t="inlineStr">
        <is>
          <t>HÄRJEDALEN</t>
        </is>
      </c>
      <c r="F1021" t="inlineStr">
        <is>
          <t>Bergvik skog väst AB</t>
        </is>
      </c>
      <c r="G1021" t="n">
        <v>21.4</v>
      </c>
      <c r="H1021" t="n">
        <v>0</v>
      </c>
      <c r="I1021" t="n">
        <v>0</v>
      </c>
      <c r="J1021" t="n">
        <v>0</v>
      </c>
      <c r="K1021" t="n">
        <v>0</v>
      </c>
      <c r="L1021" t="n">
        <v>0</v>
      </c>
      <c r="M1021" t="n">
        <v>0</v>
      </c>
      <c r="N1021" t="n">
        <v>0</v>
      </c>
      <c r="O1021" t="n">
        <v>0</v>
      </c>
      <c r="P1021" t="n">
        <v>0</v>
      </c>
      <c r="Q1021" t="n">
        <v>0</v>
      </c>
      <c r="R1021" s="2" t="inlineStr"/>
    </row>
    <row r="1022" ht="15" customHeight="1">
      <c r="A1022" t="inlineStr">
        <is>
          <t>A 29094-2023</t>
        </is>
      </c>
      <c r="B1022" s="1" t="n">
        <v>45105</v>
      </c>
      <c r="C1022" s="1" t="n">
        <v>45668</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29431-2023</t>
        </is>
      </c>
      <c r="B1023" s="1" t="n">
        <v>45106</v>
      </c>
      <c r="C1023" s="1" t="n">
        <v>45668</v>
      </c>
      <c r="D1023" t="inlineStr">
        <is>
          <t>JÄMTLANDS LÄN</t>
        </is>
      </c>
      <c r="E1023" t="inlineStr">
        <is>
          <t>HÄRJEDALEN</t>
        </is>
      </c>
      <c r="F1023" t="inlineStr">
        <is>
          <t>Bergvik skog väst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29772-2023</t>
        </is>
      </c>
      <c r="B1024" s="1" t="n">
        <v>45107</v>
      </c>
      <c r="C1024" s="1" t="n">
        <v>45668</v>
      </c>
      <c r="D1024" t="inlineStr">
        <is>
          <t>JÄMTLANDS LÄN</t>
        </is>
      </c>
      <c r="E1024" t="inlineStr">
        <is>
          <t>HÄRJEDALEN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30411-2023</t>
        </is>
      </c>
      <c r="B1025" s="1" t="n">
        <v>45111</v>
      </c>
      <c r="C1025" s="1" t="n">
        <v>45668</v>
      </c>
      <c r="D1025" t="inlineStr">
        <is>
          <t>JÄMTLANDS LÄN</t>
        </is>
      </c>
      <c r="E1025" t="inlineStr">
        <is>
          <t>HÄRJEDALEN</t>
        </is>
      </c>
      <c r="F1025" t="inlineStr">
        <is>
          <t>Bergvik skog väst AB</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30435-2023</t>
        </is>
      </c>
      <c r="B1026" s="1" t="n">
        <v>45111</v>
      </c>
      <c r="C1026" s="1" t="n">
        <v>45668</v>
      </c>
      <c r="D1026" t="inlineStr">
        <is>
          <t>JÄMTLANDS LÄN</t>
        </is>
      </c>
      <c r="E1026" t="inlineStr">
        <is>
          <t>HÄRJEDALEN</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30751-2023</t>
        </is>
      </c>
      <c r="B1027" s="1" t="n">
        <v>45112</v>
      </c>
      <c r="C1027" s="1" t="n">
        <v>45668</v>
      </c>
      <c r="D1027" t="inlineStr">
        <is>
          <t>JÄMTLANDS LÄN</t>
        </is>
      </c>
      <c r="E1027" t="inlineStr">
        <is>
          <t>HÄRJEDALEN</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30709-2023</t>
        </is>
      </c>
      <c r="B1028" s="1" t="n">
        <v>45112</v>
      </c>
      <c r="C1028" s="1" t="n">
        <v>45668</v>
      </c>
      <c r="D1028" t="inlineStr">
        <is>
          <t>JÄMTLANDS LÄN</t>
        </is>
      </c>
      <c r="E1028" t="inlineStr">
        <is>
          <t>HÄRJEDALEN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30984-2023</t>
        </is>
      </c>
      <c r="B1029" s="1" t="n">
        <v>45113</v>
      </c>
      <c r="C1029" s="1" t="n">
        <v>45668</v>
      </c>
      <c r="D1029" t="inlineStr">
        <is>
          <t>JÄMTLANDS LÄN</t>
        </is>
      </c>
      <c r="E1029" t="inlineStr">
        <is>
          <t>HÄRJEDALEN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31269-2023</t>
        </is>
      </c>
      <c r="B1030" s="1" t="n">
        <v>45114</v>
      </c>
      <c r="C1030" s="1" t="n">
        <v>45668</v>
      </c>
      <c r="D1030" t="inlineStr">
        <is>
          <t>JÄMTLANDS LÄN</t>
        </is>
      </c>
      <c r="E1030" t="inlineStr">
        <is>
          <t>HÄRJEDALEN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31435-2023</t>
        </is>
      </c>
      <c r="B1031" s="1" t="n">
        <v>45114</v>
      </c>
      <c r="C1031" s="1" t="n">
        <v>45668</v>
      </c>
      <c r="D1031" t="inlineStr">
        <is>
          <t>JÄMTLANDS LÄN</t>
        </is>
      </c>
      <c r="E1031" t="inlineStr">
        <is>
          <t>HÄRJEDALEN</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31778-2023</t>
        </is>
      </c>
      <c r="B1032" s="1" t="n">
        <v>45118</v>
      </c>
      <c r="C1032" s="1" t="n">
        <v>45668</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31811-2023</t>
        </is>
      </c>
      <c r="B1033" s="1" t="n">
        <v>45118</v>
      </c>
      <c r="C1033" s="1" t="n">
        <v>45668</v>
      </c>
      <c r="D1033" t="inlineStr">
        <is>
          <t>JÄMTLANDS LÄN</t>
        </is>
      </c>
      <c r="E1033" t="inlineStr">
        <is>
          <t>HÄRJEDALEN</t>
        </is>
      </c>
      <c r="F1033" t="inlineStr">
        <is>
          <t>Bergvik skog väst AB</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31910-2023</t>
        </is>
      </c>
      <c r="B1034" s="1" t="n">
        <v>45118</v>
      </c>
      <c r="C1034" s="1" t="n">
        <v>45668</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31958-2023</t>
        </is>
      </c>
      <c r="B1035" s="1" t="n">
        <v>45119</v>
      </c>
      <c r="C1035" s="1" t="n">
        <v>45668</v>
      </c>
      <c r="D1035" t="inlineStr">
        <is>
          <t>JÄMTLANDS LÄN</t>
        </is>
      </c>
      <c r="E1035" t="inlineStr">
        <is>
          <t>HÄRJEDALEN</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31996-2023</t>
        </is>
      </c>
      <c r="B1036" s="1" t="n">
        <v>45119</v>
      </c>
      <c r="C1036" s="1" t="n">
        <v>45668</v>
      </c>
      <c r="D1036" t="inlineStr">
        <is>
          <t>JÄMTLANDS LÄN</t>
        </is>
      </c>
      <c r="E1036" t="inlineStr">
        <is>
          <t>HÄRJEDALEN</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31960-2023</t>
        </is>
      </c>
      <c r="B1037" s="1" t="n">
        <v>45119</v>
      </c>
      <c r="C1037" s="1" t="n">
        <v>45668</v>
      </c>
      <c r="D1037" t="inlineStr">
        <is>
          <t>JÄMTLANDS LÄN</t>
        </is>
      </c>
      <c r="E1037" t="inlineStr">
        <is>
          <t>HÄRJEDALEN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v>
      </c>
      <c r="C1038" s="1" t="n">
        <v>45668</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31961-2023</t>
        </is>
      </c>
      <c r="B1039" s="1" t="n">
        <v>45119</v>
      </c>
      <c r="C1039" s="1" t="n">
        <v>45668</v>
      </c>
      <c r="D1039" t="inlineStr">
        <is>
          <t>JÄMTLANDS LÄN</t>
        </is>
      </c>
      <c r="E1039" t="inlineStr">
        <is>
          <t>HÄRJEDALEN</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33257-2023</t>
        </is>
      </c>
      <c r="B1040" s="1" t="n">
        <v>45127</v>
      </c>
      <c r="C1040" s="1" t="n">
        <v>45668</v>
      </c>
      <c r="D1040" t="inlineStr">
        <is>
          <t>JÄMTLANDS LÄN</t>
        </is>
      </c>
      <c r="E1040" t="inlineStr">
        <is>
          <t>HÄRJEDALEN</t>
        </is>
      </c>
      <c r="F1040" t="inlineStr">
        <is>
          <t>Bergvik skog väst AB</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33232-2023</t>
        </is>
      </c>
      <c r="B1041" s="1" t="n">
        <v>45127</v>
      </c>
      <c r="C1041" s="1" t="n">
        <v>45668</v>
      </c>
      <c r="D1041" t="inlineStr">
        <is>
          <t>JÄMTLANDS LÄN</t>
        </is>
      </c>
      <c r="E1041" t="inlineStr">
        <is>
          <t>HÄRJEDALEN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33992-2023</t>
        </is>
      </c>
      <c r="B1042" s="1" t="n">
        <v>45134</v>
      </c>
      <c r="C1042" s="1" t="n">
        <v>45668</v>
      </c>
      <c r="D1042" t="inlineStr">
        <is>
          <t>JÄMTLANDS LÄN</t>
        </is>
      </c>
      <c r="E1042" t="inlineStr">
        <is>
          <t>HÄRJEDALEN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34260-2023</t>
        </is>
      </c>
      <c r="B1043" s="1" t="n">
        <v>45138</v>
      </c>
      <c r="C1043" s="1" t="n">
        <v>45668</v>
      </c>
      <c r="D1043" t="inlineStr">
        <is>
          <t>JÄMTLANDS LÄN</t>
        </is>
      </c>
      <c r="E1043" t="inlineStr">
        <is>
          <t>HÄRJEDALEN</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34313-2023</t>
        </is>
      </c>
      <c r="B1044" s="1" t="n">
        <v>45139</v>
      </c>
      <c r="C1044" s="1" t="n">
        <v>45668</v>
      </c>
      <c r="D1044" t="inlineStr">
        <is>
          <t>JÄMTLANDS LÄN</t>
        </is>
      </c>
      <c r="E1044" t="inlineStr">
        <is>
          <t>HÄRJEDALEN</t>
        </is>
      </c>
      <c r="F1044" t="inlineStr">
        <is>
          <t>SCA</t>
        </is>
      </c>
      <c r="G1044" t="n">
        <v>31.6</v>
      </c>
      <c r="H1044" t="n">
        <v>0</v>
      </c>
      <c r="I1044" t="n">
        <v>0</v>
      </c>
      <c r="J1044" t="n">
        <v>0</v>
      </c>
      <c r="K1044" t="n">
        <v>0</v>
      </c>
      <c r="L1044" t="n">
        <v>0</v>
      </c>
      <c r="M1044" t="n">
        <v>0</v>
      </c>
      <c r="N1044" t="n">
        <v>0</v>
      </c>
      <c r="O1044" t="n">
        <v>0</v>
      </c>
      <c r="P1044" t="n">
        <v>0</v>
      </c>
      <c r="Q1044" t="n">
        <v>0</v>
      </c>
      <c r="R1044" s="2" t="inlineStr"/>
    </row>
    <row r="1045" ht="15" customHeight="1">
      <c r="A1045" t="inlineStr">
        <is>
          <t>A 34314-2023</t>
        </is>
      </c>
      <c r="B1045" s="1" t="n">
        <v>45138</v>
      </c>
      <c r="C1045" s="1" t="n">
        <v>45668</v>
      </c>
      <c r="D1045" t="inlineStr">
        <is>
          <t>JÄMTLANDS LÄN</t>
        </is>
      </c>
      <c r="E1045" t="inlineStr">
        <is>
          <t>HÄRJEDALEN</t>
        </is>
      </c>
      <c r="F1045" t="inlineStr">
        <is>
          <t>SCA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35396-2023</t>
        </is>
      </c>
      <c r="B1046" s="1" t="n">
        <v>45146</v>
      </c>
      <c r="C1046" s="1" t="n">
        <v>45668</v>
      </c>
      <c r="D1046" t="inlineStr">
        <is>
          <t>JÄMTLANDS LÄN</t>
        </is>
      </c>
      <c r="E1046" t="inlineStr">
        <is>
          <t>HÄRJEDALEN</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35813-2023</t>
        </is>
      </c>
      <c r="B1047" s="1" t="n">
        <v>45147</v>
      </c>
      <c r="C1047" s="1" t="n">
        <v>45668</v>
      </c>
      <c r="D1047" t="inlineStr">
        <is>
          <t>JÄMTLANDS LÄN</t>
        </is>
      </c>
      <c r="E1047" t="inlineStr">
        <is>
          <t>HÄRJEDALEN</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35891-2023</t>
        </is>
      </c>
      <c r="B1048" s="1" t="n">
        <v>45148</v>
      </c>
      <c r="C1048" s="1" t="n">
        <v>45668</v>
      </c>
      <c r="D1048" t="inlineStr">
        <is>
          <t>JÄMTLANDS LÄN</t>
        </is>
      </c>
      <c r="E1048" t="inlineStr">
        <is>
          <t>HÄRJEDALEN</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36027-2023</t>
        </is>
      </c>
      <c r="B1049" s="1" t="n">
        <v>45149</v>
      </c>
      <c r="C1049" s="1" t="n">
        <v>45668</v>
      </c>
      <c r="D1049" t="inlineStr">
        <is>
          <t>JÄMTLANDS LÄN</t>
        </is>
      </c>
      <c r="E1049" t="inlineStr">
        <is>
          <t>HÄRJEDALEN</t>
        </is>
      </c>
      <c r="F1049" t="inlineStr">
        <is>
          <t>Bergvik skog väst AB</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36111-2023</t>
        </is>
      </c>
      <c r="B1050" s="1" t="n">
        <v>45149</v>
      </c>
      <c r="C1050" s="1" t="n">
        <v>45668</v>
      </c>
      <c r="D1050" t="inlineStr">
        <is>
          <t>JÄMTLANDS LÄN</t>
        </is>
      </c>
      <c r="E1050" t="inlineStr">
        <is>
          <t>HÄRJEDALEN</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36143-2023</t>
        </is>
      </c>
      <c r="B1051" s="1" t="n">
        <v>45149</v>
      </c>
      <c r="C1051" s="1" t="n">
        <v>45668</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36570-2023</t>
        </is>
      </c>
      <c r="B1052" s="1" t="n">
        <v>45153</v>
      </c>
      <c r="C1052" s="1" t="n">
        <v>45668</v>
      </c>
      <c r="D1052" t="inlineStr">
        <is>
          <t>JÄMTLANDS LÄN</t>
        </is>
      </c>
      <c r="E1052" t="inlineStr">
        <is>
          <t>HÄRJEDALEN</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36565-2023</t>
        </is>
      </c>
      <c r="B1053" s="1" t="n">
        <v>45153</v>
      </c>
      <c r="C1053" s="1" t="n">
        <v>45668</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36568-2023</t>
        </is>
      </c>
      <c r="B1054" s="1" t="n">
        <v>45153</v>
      </c>
      <c r="C1054" s="1" t="n">
        <v>45668</v>
      </c>
      <c r="D1054" t="inlineStr">
        <is>
          <t>JÄMTLANDS LÄN</t>
        </is>
      </c>
      <c r="E1054" t="inlineStr">
        <is>
          <t>HÄRJEDALEN</t>
        </is>
      </c>
      <c r="F1054" t="inlineStr">
        <is>
          <t>Bergvik skog väst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36651-2023</t>
        </is>
      </c>
      <c r="B1055" s="1" t="n">
        <v>45153</v>
      </c>
      <c r="C1055" s="1" t="n">
        <v>45668</v>
      </c>
      <c r="D1055" t="inlineStr">
        <is>
          <t>JÄMTLANDS LÄN</t>
        </is>
      </c>
      <c r="E1055" t="inlineStr">
        <is>
          <t>HÄRJEDALEN</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36720-2023</t>
        </is>
      </c>
      <c r="B1056" s="1" t="n">
        <v>45153</v>
      </c>
      <c r="C1056" s="1" t="n">
        <v>45668</v>
      </c>
      <c r="D1056" t="inlineStr">
        <is>
          <t>JÄMTLANDS LÄN</t>
        </is>
      </c>
      <c r="E1056" t="inlineStr">
        <is>
          <t>HÄRJEDALEN</t>
        </is>
      </c>
      <c r="F1056" t="inlineStr">
        <is>
          <t>Bergvik skog väst AB</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36677-2023</t>
        </is>
      </c>
      <c r="B1057" s="1" t="n">
        <v>45153</v>
      </c>
      <c r="C1057" s="1" t="n">
        <v>45668</v>
      </c>
      <c r="D1057" t="inlineStr">
        <is>
          <t>JÄMTLANDS LÄN</t>
        </is>
      </c>
      <c r="E1057" t="inlineStr">
        <is>
          <t>HÄRJEDALEN</t>
        </is>
      </c>
      <c r="F1057" t="inlineStr">
        <is>
          <t>Bergvik skog väst AB</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36921-2023</t>
        </is>
      </c>
      <c r="B1058" s="1" t="n">
        <v>45154</v>
      </c>
      <c r="C1058" s="1" t="n">
        <v>45668</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36926-2023</t>
        </is>
      </c>
      <c r="B1059" s="1" t="n">
        <v>45154</v>
      </c>
      <c r="C1059" s="1" t="n">
        <v>45668</v>
      </c>
      <c r="D1059" t="inlineStr">
        <is>
          <t>JÄMTLANDS LÄN</t>
        </is>
      </c>
      <c r="E1059" t="inlineStr">
        <is>
          <t>HÄRJEDALEN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36930-2023</t>
        </is>
      </c>
      <c r="B1060" s="1" t="n">
        <v>45154</v>
      </c>
      <c r="C1060" s="1" t="n">
        <v>45668</v>
      </c>
      <c r="D1060" t="inlineStr">
        <is>
          <t>JÄMTLANDS LÄN</t>
        </is>
      </c>
      <c r="E1060" t="inlineStr">
        <is>
          <t>HÄRJEDALEN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36946-2023</t>
        </is>
      </c>
      <c r="B1061" s="1" t="n">
        <v>45154</v>
      </c>
      <c r="C1061" s="1" t="n">
        <v>45668</v>
      </c>
      <c r="D1061" t="inlineStr">
        <is>
          <t>JÄMTLANDS LÄN</t>
        </is>
      </c>
      <c r="E1061" t="inlineStr">
        <is>
          <t>HÄRJEDALEN</t>
        </is>
      </c>
      <c r="F1061" t="inlineStr">
        <is>
          <t>Kyrkan</t>
        </is>
      </c>
      <c r="G1061" t="n">
        <v>43.1</v>
      </c>
      <c r="H1061" t="n">
        <v>0</v>
      </c>
      <c r="I1061" t="n">
        <v>0</v>
      </c>
      <c r="J1061" t="n">
        <v>0</v>
      </c>
      <c r="K1061" t="n">
        <v>0</v>
      </c>
      <c r="L1061" t="n">
        <v>0</v>
      </c>
      <c r="M1061" t="n">
        <v>0</v>
      </c>
      <c r="N1061" t="n">
        <v>0</v>
      </c>
      <c r="O1061" t="n">
        <v>0</v>
      </c>
      <c r="P1061" t="n">
        <v>0</v>
      </c>
      <c r="Q1061" t="n">
        <v>0</v>
      </c>
      <c r="R1061" s="2" t="inlineStr"/>
    </row>
    <row r="1062" ht="15" customHeight="1">
      <c r="A1062" t="inlineStr">
        <is>
          <t>A 36840-2023</t>
        </is>
      </c>
      <c r="B1062" s="1" t="n">
        <v>45154</v>
      </c>
      <c r="C1062" s="1" t="n">
        <v>45668</v>
      </c>
      <c r="D1062" t="inlineStr">
        <is>
          <t>JÄMTLANDS LÄN</t>
        </is>
      </c>
      <c r="E1062" t="inlineStr">
        <is>
          <t>HÄRJEDALEN</t>
        </is>
      </c>
      <c r="G1062" t="n">
        <v>2.8</v>
      </c>
      <c r="H1062" t="n">
        <v>0</v>
      </c>
      <c r="I1062" t="n">
        <v>0</v>
      </c>
      <c r="J1062" t="n">
        <v>0</v>
      </c>
      <c r="K1062" t="n">
        <v>0</v>
      </c>
      <c r="L1062" t="n">
        <v>0</v>
      </c>
      <c r="M1062" t="n">
        <v>0</v>
      </c>
      <c r="N1062" t="n">
        <v>0</v>
      </c>
      <c r="O1062" t="n">
        <v>0</v>
      </c>
      <c r="P1062" t="n">
        <v>0</v>
      </c>
      <c r="Q1062" t="n">
        <v>0</v>
      </c>
      <c r="R1062" s="2" t="inlineStr"/>
      <c r="U1062">
        <f>HYPERLINK("https://klasma.github.io/Logging_2361/knärot/A 36840-2023 karta knärot.png", "A 36840-2023")</f>
        <v/>
      </c>
      <c r="V1062">
        <f>HYPERLINK("https://klasma.github.io/Logging_2361/klagomål/A 36840-2023 FSC-klagomål.docx", "A 36840-2023")</f>
        <v/>
      </c>
      <c r="W1062">
        <f>HYPERLINK("https://klasma.github.io/Logging_2361/klagomålsmail/A 36840-2023 FSC-klagomål mail.docx", "A 36840-2023")</f>
        <v/>
      </c>
      <c r="X1062">
        <f>HYPERLINK("https://klasma.github.io/Logging_2361/tillsyn/A 36840-2023 tillsynsbegäran.docx", "A 36840-2023")</f>
        <v/>
      </c>
      <c r="Y1062">
        <f>HYPERLINK("https://klasma.github.io/Logging_2361/tillsynsmail/A 36840-2023 tillsynsbegäran mail.docx", "A 36840-2023")</f>
        <v/>
      </c>
    </row>
    <row r="1063" ht="15" customHeight="1">
      <c r="A1063" t="inlineStr">
        <is>
          <t>A 37054-2023</t>
        </is>
      </c>
      <c r="B1063" s="1" t="n">
        <v>45154</v>
      </c>
      <c r="C1063" s="1" t="n">
        <v>45668</v>
      </c>
      <c r="D1063" t="inlineStr">
        <is>
          <t>JÄMTLANDS LÄN</t>
        </is>
      </c>
      <c r="E1063" t="inlineStr">
        <is>
          <t>HÄRJEDALEN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36931-2023</t>
        </is>
      </c>
      <c r="B1064" s="1" t="n">
        <v>45154</v>
      </c>
      <c r="C1064" s="1" t="n">
        <v>45668</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37315-2023</t>
        </is>
      </c>
      <c r="B1065" s="1" t="n">
        <v>45156</v>
      </c>
      <c r="C1065" s="1" t="n">
        <v>45668</v>
      </c>
      <c r="D1065" t="inlineStr">
        <is>
          <t>JÄMTLANDS LÄN</t>
        </is>
      </c>
      <c r="E1065" t="inlineStr">
        <is>
          <t>HÄRJEDALEN</t>
        </is>
      </c>
      <c r="F1065" t="inlineStr">
        <is>
          <t>Bergvik skog väst AB</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37345-2023</t>
        </is>
      </c>
      <c r="B1066" s="1" t="n">
        <v>45156</v>
      </c>
      <c r="C1066" s="1" t="n">
        <v>45668</v>
      </c>
      <c r="D1066" t="inlineStr">
        <is>
          <t>JÄMTLANDS LÄN</t>
        </is>
      </c>
      <c r="E1066" t="inlineStr">
        <is>
          <t>HÄRJEDALEN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37365-2023</t>
        </is>
      </c>
      <c r="B1067" s="1" t="n">
        <v>45156</v>
      </c>
      <c r="C1067" s="1" t="n">
        <v>45668</v>
      </c>
      <c r="D1067" t="inlineStr">
        <is>
          <t>JÄMTLANDS LÄN</t>
        </is>
      </c>
      <c r="E1067" t="inlineStr">
        <is>
          <t>HÄRJEDALEN</t>
        </is>
      </c>
      <c r="F1067" t="inlineStr">
        <is>
          <t>Bergvik skog väst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37363-2023</t>
        </is>
      </c>
      <c r="B1068" s="1" t="n">
        <v>45156</v>
      </c>
      <c r="C1068" s="1" t="n">
        <v>45668</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37638-2023</t>
        </is>
      </c>
      <c r="B1069" s="1" t="n">
        <v>45159</v>
      </c>
      <c r="C1069" s="1" t="n">
        <v>45668</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37764-2023</t>
        </is>
      </c>
      <c r="B1070" s="1" t="n">
        <v>45159</v>
      </c>
      <c r="C1070" s="1" t="n">
        <v>45668</v>
      </c>
      <c r="D1070" t="inlineStr">
        <is>
          <t>JÄMTLANDS LÄN</t>
        </is>
      </c>
      <c r="E1070" t="inlineStr">
        <is>
          <t>HÄRJEDALEN</t>
        </is>
      </c>
      <c r="F1070" t="inlineStr">
        <is>
          <t>Bergvik skog väst AB</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37715-2023</t>
        </is>
      </c>
      <c r="B1071" s="1" t="n">
        <v>45159</v>
      </c>
      <c r="C1071" s="1" t="n">
        <v>45668</v>
      </c>
      <c r="D1071" t="inlineStr">
        <is>
          <t>JÄMTLANDS LÄN</t>
        </is>
      </c>
      <c r="E1071" t="inlineStr">
        <is>
          <t>HÄRJEDALEN</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37719-2023</t>
        </is>
      </c>
      <c r="B1072" s="1" t="n">
        <v>45159</v>
      </c>
      <c r="C1072" s="1" t="n">
        <v>45668</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37747-2023</t>
        </is>
      </c>
      <c r="B1073" s="1" t="n">
        <v>45159</v>
      </c>
      <c r="C1073" s="1" t="n">
        <v>45668</v>
      </c>
      <c r="D1073" t="inlineStr">
        <is>
          <t>JÄMTLANDS LÄN</t>
        </is>
      </c>
      <c r="E1073" t="inlineStr">
        <is>
          <t>HÄRJEDALEN</t>
        </is>
      </c>
      <c r="F1073" t="inlineStr">
        <is>
          <t>Bergvik skog väst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37762-2023</t>
        </is>
      </c>
      <c r="B1074" s="1" t="n">
        <v>45159</v>
      </c>
      <c r="C1074" s="1" t="n">
        <v>45668</v>
      </c>
      <c r="D1074" t="inlineStr">
        <is>
          <t>JÄMTLANDS LÄN</t>
        </is>
      </c>
      <c r="E1074" t="inlineStr">
        <is>
          <t>HÄRJEDALEN</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38683-2023</t>
        </is>
      </c>
      <c r="B1075" s="1" t="n">
        <v>45162</v>
      </c>
      <c r="C1075" s="1" t="n">
        <v>45668</v>
      </c>
      <c r="D1075" t="inlineStr">
        <is>
          <t>JÄMTLANDS LÄN</t>
        </is>
      </c>
      <c r="E1075" t="inlineStr">
        <is>
          <t>HÄRJEDALEN</t>
        </is>
      </c>
      <c r="F1075" t="inlineStr">
        <is>
          <t>SCA</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38929-2023</t>
        </is>
      </c>
      <c r="B1076" s="1" t="n">
        <v>45163</v>
      </c>
      <c r="C1076" s="1" t="n">
        <v>45668</v>
      </c>
      <c r="D1076" t="inlineStr">
        <is>
          <t>JÄMTLANDS LÄN</t>
        </is>
      </c>
      <c r="E1076" t="inlineStr">
        <is>
          <t>HÄRJEDALEN</t>
        </is>
      </c>
      <c r="G1076" t="n">
        <v>23.1</v>
      </c>
      <c r="H1076" t="n">
        <v>0</v>
      </c>
      <c r="I1076" t="n">
        <v>0</v>
      </c>
      <c r="J1076" t="n">
        <v>0</v>
      </c>
      <c r="K1076" t="n">
        <v>0</v>
      </c>
      <c r="L1076" t="n">
        <v>0</v>
      </c>
      <c r="M1076" t="n">
        <v>0</v>
      </c>
      <c r="N1076" t="n">
        <v>0</v>
      </c>
      <c r="O1076" t="n">
        <v>0</v>
      </c>
      <c r="P1076" t="n">
        <v>0</v>
      </c>
      <c r="Q1076" t="n">
        <v>0</v>
      </c>
      <c r="R1076" s="2" t="inlineStr"/>
    </row>
    <row r="1077" ht="15" customHeight="1">
      <c r="A1077" t="inlineStr">
        <is>
          <t>A 39158-2023</t>
        </is>
      </c>
      <c r="B1077" s="1" t="n">
        <v>45166</v>
      </c>
      <c r="C1077" s="1" t="n">
        <v>45668</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39355-2023</t>
        </is>
      </c>
      <c r="B1078" s="1" t="n">
        <v>45166</v>
      </c>
      <c r="C1078" s="1" t="n">
        <v>45668</v>
      </c>
      <c r="D1078" t="inlineStr">
        <is>
          <t>JÄMTLANDS LÄN</t>
        </is>
      </c>
      <c r="E1078" t="inlineStr">
        <is>
          <t>HÄRJEDALEN</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39614-2023</t>
        </is>
      </c>
      <c r="B1079" s="1" t="n">
        <v>45167</v>
      </c>
      <c r="C1079" s="1" t="n">
        <v>45668</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39612-2023</t>
        </is>
      </c>
      <c r="B1080" s="1" t="n">
        <v>45167</v>
      </c>
      <c r="C1080" s="1" t="n">
        <v>45668</v>
      </c>
      <c r="D1080" t="inlineStr">
        <is>
          <t>JÄMTLANDS LÄN</t>
        </is>
      </c>
      <c r="E1080" t="inlineStr">
        <is>
          <t>HÄRJEDALEN</t>
        </is>
      </c>
      <c r="F1080" t="inlineStr">
        <is>
          <t>Bergvik skog väst AB</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39649-2023</t>
        </is>
      </c>
      <c r="B1081" s="1" t="n">
        <v>45167</v>
      </c>
      <c r="C1081" s="1" t="n">
        <v>45668</v>
      </c>
      <c r="D1081" t="inlineStr">
        <is>
          <t>JÄMTLANDS LÄN</t>
        </is>
      </c>
      <c r="E1081" t="inlineStr">
        <is>
          <t>HÄRJEDALEN</t>
        </is>
      </c>
      <c r="F1081" t="inlineStr">
        <is>
          <t>Bergvik skog väst AB</t>
        </is>
      </c>
      <c r="G1081" t="n">
        <v>23.6</v>
      </c>
      <c r="H1081" t="n">
        <v>0</v>
      </c>
      <c r="I1081" t="n">
        <v>0</v>
      </c>
      <c r="J1081" t="n">
        <v>0</v>
      </c>
      <c r="K1081" t="n">
        <v>0</v>
      </c>
      <c r="L1081" t="n">
        <v>0</v>
      </c>
      <c r="M1081" t="n">
        <v>0</v>
      </c>
      <c r="N1081" t="n">
        <v>0</v>
      </c>
      <c r="O1081" t="n">
        <v>0</v>
      </c>
      <c r="P1081" t="n">
        <v>0</v>
      </c>
      <c r="Q1081" t="n">
        <v>0</v>
      </c>
      <c r="R1081" s="2" t="inlineStr"/>
      <c r="U1081">
        <f>HYPERLINK("https://klasma.github.io/Logging_2361/knärot/A 39649-2023 karta knärot.png", "A 39649-2023")</f>
        <v/>
      </c>
      <c r="V1081">
        <f>HYPERLINK("https://klasma.github.io/Logging_2361/klagomål/A 39649-2023 FSC-klagomål.docx", "A 39649-2023")</f>
        <v/>
      </c>
      <c r="W1081">
        <f>HYPERLINK("https://klasma.github.io/Logging_2361/klagomålsmail/A 39649-2023 FSC-klagomål mail.docx", "A 39649-2023")</f>
        <v/>
      </c>
      <c r="X1081">
        <f>HYPERLINK("https://klasma.github.io/Logging_2361/tillsyn/A 39649-2023 tillsynsbegäran.docx", "A 39649-2023")</f>
        <v/>
      </c>
      <c r="Y1081">
        <f>HYPERLINK("https://klasma.github.io/Logging_2361/tillsynsmail/A 39649-2023 tillsynsbegäran mail.docx", "A 39649-2023")</f>
        <v/>
      </c>
    </row>
    <row r="1082" ht="15" customHeight="1">
      <c r="A1082" t="inlineStr">
        <is>
          <t>A 40215-2023</t>
        </is>
      </c>
      <c r="B1082" s="1" t="n">
        <v>45169</v>
      </c>
      <c r="C1082" s="1" t="n">
        <v>45668</v>
      </c>
      <c r="D1082" t="inlineStr">
        <is>
          <t>JÄMTLANDS LÄN</t>
        </is>
      </c>
      <c r="E1082" t="inlineStr">
        <is>
          <t>HÄRJEDALEN</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40217-2023</t>
        </is>
      </c>
      <c r="B1083" s="1" t="n">
        <v>45169</v>
      </c>
      <c r="C1083" s="1" t="n">
        <v>45668</v>
      </c>
      <c r="D1083" t="inlineStr">
        <is>
          <t>JÄMTLANDS LÄN</t>
        </is>
      </c>
      <c r="E1083" t="inlineStr">
        <is>
          <t>HÄRJEDALEN</t>
        </is>
      </c>
      <c r="G1083" t="n">
        <v>23.5</v>
      </c>
      <c r="H1083" t="n">
        <v>0</v>
      </c>
      <c r="I1083" t="n">
        <v>0</v>
      </c>
      <c r="J1083" t="n">
        <v>0</v>
      </c>
      <c r="K1083" t="n">
        <v>0</v>
      </c>
      <c r="L1083" t="n">
        <v>0</v>
      </c>
      <c r="M1083" t="n">
        <v>0</v>
      </c>
      <c r="N1083" t="n">
        <v>0</v>
      </c>
      <c r="O1083" t="n">
        <v>0</v>
      </c>
      <c r="P1083" t="n">
        <v>0</v>
      </c>
      <c r="Q1083" t="n">
        <v>0</v>
      </c>
      <c r="R1083" s="2" t="inlineStr"/>
    </row>
    <row r="1084" ht="15" customHeight="1">
      <c r="A1084" t="inlineStr">
        <is>
          <t>A 40560-2023</t>
        </is>
      </c>
      <c r="B1084" s="1" t="n">
        <v>45170</v>
      </c>
      <c r="C1084" s="1" t="n">
        <v>45668</v>
      </c>
      <c r="D1084" t="inlineStr">
        <is>
          <t>JÄMTLANDS LÄN</t>
        </is>
      </c>
      <c r="E1084" t="inlineStr">
        <is>
          <t>HÄRJEDALEN</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40569-2023</t>
        </is>
      </c>
      <c r="B1085" s="1" t="n">
        <v>45170</v>
      </c>
      <c r="C1085" s="1" t="n">
        <v>45668</v>
      </c>
      <c r="D1085" t="inlineStr">
        <is>
          <t>JÄMTLANDS LÄN</t>
        </is>
      </c>
      <c r="E1085" t="inlineStr">
        <is>
          <t>HÄRJEDALEN</t>
        </is>
      </c>
      <c r="F1085" t="inlineStr">
        <is>
          <t>Holmen skog AB</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40578-2023</t>
        </is>
      </c>
      <c r="B1086" s="1" t="n">
        <v>45170</v>
      </c>
      <c r="C1086" s="1" t="n">
        <v>45668</v>
      </c>
      <c r="D1086" t="inlineStr">
        <is>
          <t>JÄMTLANDS LÄN</t>
        </is>
      </c>
      <c r="E1086" t="inlineStr">
        <is>
          <t>HÄRJEDALEN</t>
        </is>
      </c>
      <c r="F1086" t="inlineStr">
        <is>
          <t>Holmen skog AB</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40664-2023</t>
        </is>
      </c>
      <c r="B1087" s="1" t="n">
        <v>45170</v>
      </c>
      <c r="C1087" s="1" t="n">
        <v>45668</v>
      </c>
      <c r="D1087" t="inlineStr">
        <is>
          <t>JÄMTLANDS LÄN</t>
        </is>
      </c>
      <c r="E1087" t="inlineStr">
        <is>
          <t>HÄRJEDALEN</t>
        </is>
      </c>
      <c r="G1087" t="n">
        <v>65.3</v>
      </c>
      <c r="H1087" t="n">
        <v>0</v>
      </c>
      <c r="I1087" t="n">
        <v>0</v>
      </c>
      <c r="J1087" t="n">
        <v>0</v>
      </c>
      <c r="K1087" t="n">
        <v>0</v>
      </c>
      <c r="L1087" t="n">
        <v>0</v>
      </c>
      <c r="M1087" t="n">
        <v>0</v>
      </c>
      <c r="N1087" t="n">
        <v>0</v>
      </c>
      <c r="O1087" t="n">
        <v>0</v>
      </c>
      <c r="P1087" t="n">
        <v>0</v>
      </c>
      <c r="Q1087" t="n">
        <v>0</v>
      </c>
      <c r="R1087" s="2" t="inlineStr"/>
    </row>
    <row r="1088" ht="15" customHeight="1">
      <c r="A1088" t="inlineStr">
        <is>
          <t>A 40567-2023</t>
        </is>
      </c>
      <c r="B1088" s="1" t="n">
        <v>45170</v>
      </c>
      <c r="C1088" s="1" t="n">
        <v>45668</v>
      </c>
      <c r="D1088" t="inlineStr">
        <is>
          <t>JÄMTLANDS LÄN</t>
        </is>
      </c>
      <c r="E1088" t="inlineStr">
        <is>
          <t>HÄRJEDALEN</t>
        </is>
      </c>
      <c r="F1088" t="inlineStr">
        <is>
          <t>Holmen skog AB</t>
        </is>
      </c>
      <c r="G1088" t="n">
        <v>19.4</v>
      </c>
      <c r="H1088" t="n">
        <v>0</v>
      </c>
      <c r="I1088" t="n">
        <v>0</v>
      </c>
      <c r="J1088" t="n">
        <v>0</v>
      </c>
      <c r="K1088" t="n">
        <v>0</v>
      </c>
      <c r="L1088" t="n">
        <v>0</v>
      </c>
      <c r="M1088" t="n">
        <v>0</v>
      </c>
      <c r="N1088" t="n">
        <v>0</v>
      </c>
      <c r="O1088" t="n">
        <v>0</v>
      </c>
      <c r="P1088" t="n">
        <v>0</v>
      </c>
      <c r="Q1088" t="n">
        <v>0</v>
      </c>
      <c r="R1088" s="2" t="inlineStr"/>
    </row>
    <row r="1089" ht="15" customHeight="1">
      <c r="A1089" t="inlineStr">
        <is>
          <t>A 40573-2023</t>
        </is>
      </c>
      <c r="B1089" s="1" t="n">
        <v>45170</v>
      </c>
      <c r="C1089" s="1" t="n">
        <v>45668</v>
      </c>
      <c r="D1089" t="inlineStr">
        <is>
          <t>JÄMTLANDS LÄN</t>
        </is>
      </c>
      <c r="E1089" t="inlineStr">
        <is>
          <t>HÄRJEDALEN</t>
        </is>
      </c>
      <c r="F1089" t="inlineStr">
        <is>
          <t>Holmen skog AB</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40900-2023</t>
        </is>
      </c>
      <c r="B1090" s="1" t="n">
        <v>45173</v>
      </c>
      <c r="C1090" s="1" t="n">
        <v>45668</v>
      </c>
      <c r="D1090" t="inlineStr">
        <is>
          <t>JÄMTLANDS LÄN</t>
        </is>
      </c>
      <c r="E1090" t="inlineStr">
        <is>
          <t>HÄRJEDALEN</t>
        </is>
      </c>
      <c r="F1090" t="inlineStr">
        <is>
          <t>Bergvik skog väst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40904-2023</t>
        </is>
      </c>
      <c r="B1091" s="1" t="n">
        <v>45173</v>
      </c>
      <c r="C1091" s="1" t="n">
        <v>45668</v>
      </c>
      <c r="D1091" t="inlineStr">
        <is>
          <t>JÄMTLANDS LÄN</t>
        </is>
      </c>
      <c r="E1091" t="inlineStr">
        <is>
          <t>HÄRJEDALEN</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41058-2023</t>
        </is>
      </c>
      <c r="B1092" s="1" t="n">
        <v>45173</v>
      </c>
      <c r="C1092" s="1" t="n">
        <v>45668</v>
      </c>
      <c r="D1092" t="inlineStr">
        <is>
          <t>JÄMTLANDS LÄN</t>
        </is>
      </c>
      <c r="E1092" t="inlineStr">
        <is>
          <t>HÄRJEDALEN</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41094-2023</t>
        </is>
      </c>
      <c r="B1093" s="1" t="n">
        <v>45173</v>
      </c>
      <c r="C1093" s="1" t="n">
        <v>45668</v>
      </c>
      <c r="D1093" t="inlineStr">
        <is>
          <t>JÄMTLANDS LÄN</t>
        </is>
      </c>
      <c r="E1093" t="inlineStr">
        <is>
          <t>HÄRJEDALEN</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41955-2023</t>
        </is>
      </c>
      <c r="B1094" s="1" t="n">
        <v>45174</v>
      </c>
      <c r="C1094" s="1" t="n">
        <v>45668</v>
      </c>
      <c r="D1094" t="inlineStr">
        <is>
          <t>JÄMTLANDS LÄN</t>
        </is>
      </c>
      <c r="E1094" t="inlineStr">
        <is>
          <t>HÄRJEDALEN</t>
        </is>
      </c>
      <c r="G1094" t="n">
        <v>60.4</v>
      </c>
      <c r="H1094" t="n">
        <v>0</v>
      </c>
      <c r="I1094" t="n">
        <v>0</v>
      </c>
      <c r="J1094" t="n">
        <v>0</v>
      </c>
      <c r="K1094" t="n">
        <v>0</v>
      </c>
      <c r="L1094" t="n">
        <v>0</v>
      </c>
      <c r="M1094" t="n">
        <v>0</v>
      </c>
      <c r="N1094" t="n">
        <v>0</v>
      </c>
      <c r="O1094" t="n">
        <v>0</v>
      </c>
      <c r="P1094" t="n">
        <v>0</v>
      </c>
      <c r="Q1094" t="n">
        <v>0</v>
      </c>
      <c r="R1094" s="2" t="inlineStr"/>
    </row>
    <row r="1095" ht="15" customHeight="1">
      <c r="A1095" t="inlineStr">
        <is>
          <t>A 42146-2023</t>
        </is>
      </c>
      <c r="B1095" s="1" t="n">
        <v>45178</v>
      </c>
      <c r="C1095" s="1" t="n">
        <v>45668</v>
      </c>
      <c r="D1095" t="inlineStr">
        <is>
          <t>JÄMTLANDS LÄN</t>
        </is>
      </c>
      <c r="E1095" t="inlineStr">
        <is>
          <t>HÄRJEDALEN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42143-2023</t>
        </is>
      </c>
      <c r="B1096" s="1" t="n">
        <v>45178</v>
      </c>
      <c r="C1096" s="1" t="n">
        <v>45668</v>
      </c>
      <c r="D1096" t="inlineStr">
        <is>
          <t>JÄMTLANDS LÄN</t>
        </is>
      </c>
      <c r="E1096" t="inlineStr">
        <is>
          <t>HÄRJEDALEN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43192-2023</t>
        </is>
      </c>
      <c r="B1097" s="1" t="n">
        <v>45180</v>
      </c>
      <c r="C1097" s="1" t="n">
        <v>45668</v>
      </c>
      <c r="D1097" t="inlineStr">
        <is>
          <t>JÄMTLANDS LÄN</t>
        </is>
      </c>
      <c r="E1097" t="inlineStr">
        <is>
          <t>HÄRJEDALEN</t>
        </is>
      </c>
      <c r="F1097" t="inlineStr">
        <is>
          <t>Övriga Aktiebolag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43211-2023</t>
        </is>
      </c>
      <c r="B1098" s="1" t="n">
        <v>45180</v>
      </c>
      <c r="C1098" s="1" t="n">
        <v>45668</v>
      </c>
      <c r="D1098" t="inlineStr">
        <is>
          <t>JÄMTLANDS LÄN</t>
        </is>
      </c>
      <c r="E1098" t="inlineStr">
        <is>
          <t>HÄRJEDALEN</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42720-2023</t>
        </is>
      </c>
      <c r="B1099" s="1" t="n">
        <v>45181</v>
      </c>
      <c r="C1099" s="1" t="n">
        <v>45668</v>
      </c>
      <c r="D1099" t="inlineStr">
        <is>
          <t>JÄMTLANDS LÄN</t>
        </is>
      </c>
      <c r="E1099" t="inlineStr">
        <is>
          <t>HÄRJEDALEN</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43503-2023</t>
        </is>
      </c>
      <c r="B1100" s="1" t="n">
        <v>45184</v>
      </c>
      <c r="C1100" s="1" t="n">
        <v>45668</v>
      </c>
      <c r="D1100" t="inlineStr">
        <is>
          <t>JÄMTLANDS LÄN</t>
        </is>
      </c>
      <c r="E1100" t="inlineStr">
        <is>
          <t>HÄRJEDALEN</t>
        </is>
      </c>
      <c r="F1100" t="inlineStr">
        <is>
          <t>Bergvik skog väst AB</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43481-2023</t>
        </is>
      </c>
      <c r="B1101" s="1" t="n">
        <v>45184</v>
      </c>
      <c r="C1101" s="1" t="n">
        <v>45668</v>
      </c>
      <c r="D1101" t="inlineStr">
        <is>
          <t>JÄMTLANDS LÄN</t>
        </is>
      </c>
      <c r="E1101" t="inlineStr">
        <is>
          <t>HÄRJEDALEN</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43870-2023</t>
        </is>
      </c>
      <c r="B1102" s="1" t="n">
        <v>45187</v>
      </c>
      <c r="C1102" s="1" t="n">
        <v>45668</v>
      </c>
      <c r="D1102" t="inlineStr">
        <is>
          <t>JÄMTLANDS LÄN</t>
        </is>
      </c>
      <c r="E1102" t="inlineStr">
        <is>
          <t>HÄRJEDALEN</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43804-2023</t>
        </is>
      </c>
      <c r="B1103" s="1" t="n">
        <v>45187</v>
      </c>
      <c r="C1103" s="1" t="n">
        <v>45668</v>
      </c>
      <c r="D1103" t="inlineStr">
        <is>
          <t>JÄMTLANDS LÄN</t>
        </is>
      </c>
      <c r="E1103" t="inlineStr">
        <is>
          <t>HÄRJEDALEN</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43811-2023</t>
        </is>
      </c>
      <c r="B1104" s="1" t="n">
        <v>45187</v>
      </c>
      <c r="C1104" s="1" t="n">
        <v>45668</v>
      </c>
      <c r="D1104" t="inlineStr">
        <is>
          <t>JÄMTLANDS LÄN</t>
        </is>
      </c>
      <c r="E1104" t="inlineStr">
        <is>
          <t>HÄRJEDALEN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43820-2023</t>
        </is>
      </c>
      <c r="B1105" s="1" t="n">
        <v>45187</v>
      </c>
      <c r="C1105" s="1" t="n">
        <v>45668</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44102-2023</t>
        </is>
      </c>
      <c r="B1106" s="1" t="n">
        <v>45188</v>
      </c>
      <c r="C1106" s="1" t="n">
        <v>45668</v>
      </c>
      <c r="D1106" t="inlineStr">
        <is>
          <t>JÄMTLANDS LÄN</t>
        </is>
      </c>
      <c r="E1106" t="inlineStr">
        <is>
          <t>HÄRJEDALEN</t>
        </is>
      </c>
      <c r="F1106" t="inlineStr">
        <is>
          <t>Bergvik skog väst AB</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44270-2023</t>
        </is>
      </c>
      <c r="B1107" s="1" t="n">
        <v>45188</v>
      </c>
      <c r="C1107" s="1" t="n">
        <v>45668</v>
      </c>
      <c r="D1107" t="inlineStr">
        <is>
          <t>JÄMTLANDS LÄN</t>
        </is>
      </c>
      <c r="E1107" t="inlineStr">
        <is>
          <t>HÄRJEDALEN</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45640-2023</t>
        </is>
      </c>
      <c r="B1108" s="1" t="n">
        <v>45188</v>
      </c>
      <c r="C1108" s="1" t="n">
        <v>45668</v>
      </c>
      <c r="D1108" t="inlineStr">
        <is>
          <t>JÄMTLANDS LÄN</t>
        </is>
      </c>
      <c r="E1108" t="inlineStr">
        <is>
          <t>HÄRJEDALEN</t>
        </is>
      </c>
      <c r="F1108" t="inlineStr">
        <is>
          <t>Bergvik skog väst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45179-2023</t>
        </is>
      </c>
      <c r="B1109" s="1" t="n">
        <v>45191</v>
      </c>
      <c r="C1109" s="1" t="n">
        <v>45668</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45143-2023</t>
        </is>
      </c>
      <c r="B1110" s="1" t="n">
        <v>45191</v>
      </c>
      <c r="C1110" s="1" t="n">
        <v>45668</v>
      </c>
      <c r="D1110" t="inlineStr">
        <is>
          <t>JÄMTLANDS LÄN</t>
        </is>
      </c>
      <c r="E1110" t="inlineStr">
        <is>
          <t>HÄRJEDALEN</t>
        </is>
      </c>
      <c r="G1110" t="n">
        <v>24.8</v>
      </c>
      <c r="H1110" t="n">
        <v>0</v>
      </c>
      <c r="I1110" t="n">
        <v>0</v>
      </c>
      <c r="J1110" t="n">
        <v>0</v>
      </c>
      <c r="K1110" t="n">
        <v>0</v>
      </c>
      <c r="L1110" t="n">
        <v>0</v>
      </c>
      <c r="M1110" t="n">
        <v>0</v>
      </c>
      <c r="N1110" t="n">
        <v>0</v>
      </c>
      <c r="O1110" t="n">
        <v>0</v>
      </c>
      <c r="P1110" t="n">
        <v>0</v>
      </c>
      <c r="Q1110" t="n">
        <v>0</v>
      </c>
      <c r="R1110" s="2" t="inlineStr"/>
    </row>
    <row r="1111" ht="15" customHeight="1">
      <c r="A1111" t="inlineStr">
        <is>
          <t>A 45274-2023</t>
        </is>
      </c>
      <c r="B1111" s="1" t="n">
        <v>45191</v>
      </c>
      <c r="C1111" s="1" t="n">
        <v>45668</v>
      </c>
      <c r="D1111" t="inlineStr">
        <is>
          <t>JÄMTLANDS LÄN</t>
        </is>
      </c>
      <c r="E1111" t="inlineStr">
        <is>
          <t>HÄRJEDALEN</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45491-2023</t>
        </is>
      </c>
      <c r="B1112" s="1" t="n">
        <v>45194</v>
      </c>
      <c r="C1112" s="1" t="n">
        <v>45668</v>
      </c>
      <c r="D1112" t="inlineStr">
        <is>
          <t>JÄMTLANDS LÄN</t>
        </is>
      </c>
      <c r="E1112" t="inlineStr">
        <is>
          <t>HÄRJEDALEN</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45495-2023</t>
        </is>
      </c>
      <c r="B1113" s="1" t="n">
        <v>45194</v>
      </c>
      <c r="C1113" s="1" t="n">
        <v>45668</v>
      </c>
      <c r="D1113" t="inlineStr">
        <is>
          <t>JÄMTLANDS LÄN</t>
        </is>
      </c>
      <c r="E1113" t="inlineStr">
        <is>
          <t>HÄRJEDALEN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45613-2023</t>
        </is>
      </c>
      <c r="B1114" s="1" t="n">
        <v>45194</v>
      </c>
      <c r="C1114" s="1" t="n">
        <v>45668</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45636-2023</t>
        </is>
      </c>
      <c r="B1115" s="1" t="n">
        <v>45194</v>
      </c>
      <c r="C1115" s="1" t="n">
        <v>45668</v>
      </c>
      <c r="D1115" t="inlineStr">
        <is>
          <t>JÄMTLANDS LÄN</t>
        </is>
      </c>
      <c r="E1115" t="inlineStr">
        <is>
          <t>HÄRJEDALEN</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45616-2023</t>
        </is>
      </c>
      <c r="B1116" s="1" t="n">
        <v>45194</v>
      </c>
      <c r="C1116" s="1" t="n">
        <v>45668</v>
      </c>
      <c r="D1116" t="inlineStr">
        <is>
          <t>JÄMTLANDS LÄN</t>
        </is>
      </c>
      <c r="E1116" t="inlineStr">
        <is>
          <t>HÄRJEDALEN</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45684-2023</t>
        </is>
      </c>
      <c r="B1117" s="1" t="n">
        <v>45195</v>
      </c>
      <c r="C1117" s="1" t="n">
        <v>45668</v>
      </c>
      <c r="D1117" t="inlineStr">
        <is>
          <t>JÄMTLANDS LÄN</t>
        </is>
      </c>
      <c r="E1117" t="inlineStr">
        <is>
          <t>HÄRJEDALEN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45716-2023</t>
        </is>
      </c>
      <c r="B1118" s="1" t="n">
        <v>45195</v>
      </c>
      <c r="C1118" s="1" t="n">
        <v>45668</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45720-2023</t>
        </is>
      </c>
      <c r="B1119" s="1" t="n">
        <v>45195</v>
      </c>
      <c r="C1119" s="1" t="n">
        <v>45668</v>
      </c>
      <c r="D1119" t="inlineStr">
        <is>
          <t>JÄMTLANDS LÄN</t>
        </is>
      </c>
      <c r="E1119" t="inlineStr">
        <is>
          <t>HÄRJEDALEN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45747-2023</t>
        </is>
      </c>
      <c r="B1120" s="1" t="n">
        <v>45195</v>
      </c>
      <c r="C1120" s="1" t="n">
        <v>45668</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45864-2023</t>
        </is>
      </c>
      <c r="B1121" s="1" t="n">
        <v>45195</v>
      </c>
      <c r="C1121" s="1" t="n">
        <v>45668</v>
      </c>
      <c r="D1121" t="inlineStr">
        <is>
          <t>JÄMTLANDS LÄN</t>
        </is>
      </c>
      <c r="E1121" t="inlineStr">
        <is>
          <t>HÄRJEDALEN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45843-2023</t>
        </is>
      </c>
      <c r="B1122" s="1" t="n">
        <v>45195</v>
      </c>
      <c r="C1122" s="1" t="n">
        <v>45668</v>
      </c>
      <c r="D1122" t="inlineStr">
        <is>
          <t>JÄMTLANDS LÄN</t>
        </is>
      </c>
      <c r="E1122" t="inlineStr">
        <is>
          <t>HÄRJEDALEN</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45999-2023</t>
        </is>
      </c>
      <c r="B1123" s="1" t="n">
        <v>45196</v>
      </c>
      <c r="C1123" s="1" t="n">
        <v>45668</v>
      </c>
      <c r="D1123" t="inlineStr">
        <is>
          <t>JÄMTLANDS LÄN</t>
        </is>
      </c>
      <c r="E1123" t="inlineStr">
        <is>
          <t>HÄRJEDALEN</t>
        </is>
      </c>
      <c r="F1123" t="inlineStr">
        <is>
          <t>Bergvik skog väst AB</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v>
      </c>
      <c r="C1124" s="1" t="n">
        <v>45668</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46394-2023</t>
        </is>
      </c>
      <c r="B1125" s="1" t="n">
        <v>45197</v>
      </c>
      <c r="C1125" s="1" t="n">
        <v>45668</v>
      </c>
      <c r="D1125" t="inlineStr">
        <is>
          <t>JÄMTLANDS LÄN</t>
        </is>
      </c>
      <c r="E1125" t="inlineStr">
        <is>
          <t>HÄRJEDALEN</t>
        </is>
      </c>
      <c r="F1125" t="inlineStr">
        <is>
          <t>Bergvik skog väst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46977-2023</t>
        </is>
      </c>
      <c r="B1126" s="1" t="n">
        <v>45201</v>
      </c>
      <c r="C1126" s="1" t="n">
        <v>45668</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46993-2023</t>
        </is>
      </c>
      <c r="B1127" s="1" t="n">
        <v>45201</v>
      </c>
      <c r="C1127" s="1" t="n">
        <v>45668</v>
      </c>
      <c r="D1127" t="inlineStr">
        <is>
          <t>JÄMTLANDS LÄN</t>
        </is>
      </c>
      <c r="E1127" t="inlineStr">
        <is>
          <t>HÄRJEDALEN</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47095-2023</t>
        </is>
      </c>
      <c r="B1128" s="1" t="n">
        <v>45201</v>
      </c>
      <c r="C1128" s="1" t="n">
        <v>45668</v>
      </c>
      <c r="D1128" t="inlineStr">
        <is>
          <t>JÄMTLANDS LÄN</t>
        </is>
      </c>
      <c r="E1128" t="inlineStr">
        <is>
          <t>HÄRJEDALEN</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47244-2023</t>
        </is>
      </c>
      <c r="B1129" s="1" t="n">
        <v>45202</v>
      </c>
      <c r="C1129" s="1" t="n">
        <v>45668</v>
      </c>
      <c r="D1129" t="inlineStr">
        <is>
          <t>JÄMTLANDS LÄN</t>
        </is>
      </c>
      <c r="E1129" t="inlineStr">
        <is>
          <t>HÄRJEDALEN</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47546-2023</t>
        </is>
      </c>
      <c r="B1130" s="1" t="n">
        <v>45203</v>
      </c>
      <c r="C1130" s="1" t="n">
        <v>45668</v>
      </c>
      <c r="D1130" t="inlineStr">
        <is>
          <t>JÄMTLANDS LÄN</t>
        </is>
      </c>
      <c r="E1130" t="inlineStr">
        <is>
          <t>HÄRJEDALEN</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47705-2023</t>
        </is>
      </c>
      <c r="B1131" s="1" t="n">
        <v>45203</v>
      </c>
      <c r="C1131" s="1" t="n">
        <v>45668</v>
      </c>
      <c r="D1131" t="inlineStr">
        <is>
          <t>JÄMTLANDS LÄN</t>
        </is>
      </c>
      <c r="E1131" t="inlineStr">
        <is>
          <t>HÄRJEDALEN</t>
        </is>
      </c>
      <c r="F1131" t="inlineStr">
        <is>
          <t>Bergvik skog väst AB</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47510-2023</t>
        </is>
      </c>
      <c r="B1132" s="1" t="n">
        <v>45203</v>
      </c>
      <c r="C1132" s="1" t="n">
        <v>45668</v>
      </c>
      <c r="D1132" t="inlineStr">
        <is>
          <t>JÄMTLANDS LÄN</t>
        </is>
      </c>
      <c r="E1132" t="inlineStr">
        <is>
          <t>HÄRJEDALEN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47795-2023</t>
        </is>
      </c>
      <c r="B1133" s="1" t="n">
        <v>45204</v>
      </c>
      <c r="C1133" s="1" t="n">
        <v>45668</v>
      </c>
      <c r="D1133" t="inlineStr">
        <is>
          <t>JÄMTLANDS LÄN</t>
        </is>
      </c>
      <c r="E1133" t="inlineStr">
        <is>
          <t>HÄRJEDALEN</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48669-2023</t>
        </is>
      </c>
      <c r="B1134" s="1" t="n">
        <v>45203</v>
      </c>
      <c r="C1134" s="1" t="n">
        <v>45668</v>
      </c>
      <c r="D1134" t="inlineStr">
        <is>
          <t>JÄMTLANDS LÄN</t>
        </is>
      </c>
      <c r="E1134" t="inlineStr">
        <is>
          <t>HÄRJEDALEN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47955-2023</t>
        </is>
      </c>
      <c r="B1135" s="1" t="n">
        <v>45204</v>
      </c>
      <c r="C1135" s="1" t="n">
        <v>45668</v>
      </c>
      <c r="D1135" t="inlineStr">
        <is>
          <t>JÄMTLANDS LÄN</t>
        </is>
      </c>
      <c r="E1135" t="inlineStr">
        <is>
          <t>HÄRJEDALEN</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48051-2023</t>
        </is>
      </c>
      <c r="B1136" s="1" t="n">
        <v>45204</v>
      </c>
      <c r="C1136" s="1" t="n">
        <v>45668</v>
      </c>
      <c r="D1136" t="inlineStr">
        <is>
          <t>JÄMTLANDS LÄN</t>
        </is>
      </c>
      <c r="E1136" t="inlineStr">
        <is>
          <t>HÄRJEDALEN</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48050-2023</t>
        </is>
      </c>
      <c r="B1137" s="1" t="n">
        <v>45204</v>
      </c>
      <c r="C1137" s="1" t="n">
        <v>45668</v>
      </c>
      <c r="D1137" t="inlineStr">
        <is>
          <t>JÄMTLANDS LÄN</t>
        </is>
      </c>
      <c r="E1137" t="inlineStr">
        <is>
          <t>HÄRJEDALEN</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48048-2023</t>
        </is>
      </c>
      <c r="B1138" s="1" t="n">
        <v>45204</v>
      </c>
      <c r="C1138" s="1" t="n">
        <v>45668</v>
      </c>
      <c r="D1138" t="inlineStr">
        <is>
          <t>JÄMTLANDS LÄN</t>
        </is>
      </c>
      <c r="E1138" t="inlineStr">
        <is>
          <t>HÄRJEDALEN</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48100-2023</t>
        </is>
      </c>
      <c r="B1139" s="1" t="n">
        <v>45205</v>
      </c>
      <c r="C1139" s="1" t="n">
        <v>45668</v>
      </c>
      <c r="D1139" t="inlineStr">
        <is>
          <t>JÄMTLANDS LÄN</t>
        </is>
      </c>
      <c r="E1139" t="inlineStr">
        <is>
          <t>HÄRJEDALEN</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48213-2023</t>
        </is>
      </c>
      <c r="B1140" s="1" t="n">
        <v>45205</v>
      </c>
      <c r="C1140" s="1" t="n">
        <v>45668</v>
      </c>
      <c r="D1140" t="inlineStr">
        <is>
          <t>JÄMTLANDS LÄN</t>
        </is>
      </c>
      <c r="E1140" t="inlineStr">
        <is>
          <t>HÄRJEDALEN</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48179-2023</t>
        </is>
      </c>
      <c r="B1141" s="1" t="n">
        <v>45205</v>
      </c>
      <c r="C1141" s="1" t="n">
        <v>45668</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48299-2023</t>
        </is>
      </c>
      <c r="B1142" s="1" t="n">
        <v>45205</v>
      </c>
      <c r="C1142" s="1" t="n">
        <v>45668</v>
      </c>
      <c r="D1142" t="inlineStr">
        <is>
          <t>JÄMTLANDS LÄN</t>
        </is>
      </c>
      <c r="E1142" t="inlineStr">
        <is>
          <t>HÄRJEDALEN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48318-2023</t>
        </is>
      </c>
      <c r="B1143" s="1" t="n">
        <v>45205</v>
      </c>
      <c r="C1143" s="1" t="n">
        <v>45668</v>
      </c>
      <c r="D1143" t="inlineStr">
        <is>
          <t>JÄMTLANDS LÄN</t>
        </is>
      </c>
      <c r="E1143" t="inlineStr">
        <is>
          <t>HÄRJEDALEN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48226-2023</t>
        </is>
      </c>
      <c r="B1144" s="1" t="n">
        <v>45205</v>
      </c>
      <c r="C1144" s="1" t="n">
        <v>45668</v>
      </c>
      <c r="D1144" t="inlineStr">
        <is>
          <t>JÄMTLANDS LÄN</t>
        </is>
      </c>
      <c r="E1144" t="inlineStr">
        <is>
          <t>HÄRJEDALEN</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48364-2023</t>
        </is>
      </c>
      <c r="B1145" s="1" t="n">
        <v>45205</v>
      </c>
      <c r="C1145" s="1" t="n">
        <v>45668</v>
      </c>
      <c r="D1145" t="inlineStr">
        <is>
          <t>JÄMTLANDS LÄN</t>
        </is>
      </c>
      <c r="E1145" t="inlineStr">
        <is>
          <t>HÄRJEDALEN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48438-2023</t>
        </is>
      </c>
      <c r="B1146" s="1" t="n">
        <v>45205</v>
      </c>
      <c r="C1146" s="1" t="n">
        <v>45668</v>
      </c>
      <c r="D1146" t="inlineStr">
        <is>
          <t>JÄMTLANDS LÄN</t>
        </is>
      </c>
      <c r="E1146" t="inlineStr">
        <is>
          <t>HÄRJEDALEN</t>
        </is>
      </c>
      <c r="F1146" t="inlineStr">
        <is>
          <t>SCA</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48201-2023</t>
        </is>
      </c>
      <c r="B1147" s="1" t="n">
        <v>45205</v>
      </c>
      <c r="C1147" s="1" t="n">
        <v>45668</v>
      </c>
      <c r="D1147" t="inlineStr">
        <is>
          <t>JÄMTLANDS LÄN</t>
        </is>
      </c>
      <c r="E1147" t="inlineStr">
        <is>
          <t>HÄRJEDALEN</t>
        </is>
      </c>
      <c r="G1147" t="n">
        <v>12.3</v>
      </c>
      <c r="H1147" t="n">
        <v>0</v>
      </c>
      <c r="I1147" t="n">
        <v>0</v>
      </c>
      <c r="J1147" t="n">
        <v>0</v>
      </c>
      <c r="K1147" t="n">
        <v>0</v>
      </c>
      <c r="L1147" t="n">
        <v>0</v>
      </c>
      <c r="M1147" t="n">
        <v>0</v>
      </c>
      <c r="N1147" t="n">
        <v>0</v>
      </c>
      <c r="O1147" t="n">
        <v>0</v>
      </c>
      <c r="P1147" t="n">
        <v>0</v>
      </c>
      <c r="Q1147" t="n">
        <v>0</v>
      </c>
      <c r="R1147" s="2" t="inlineStr"/>
    </row>
    <row r="1148" ht="15" customHeight="1">
      <c r="A1148" t="inlineStr">
        <is>
          <t>A 48485-2023</t>
        </is>
      </c>
      <c r="B1148" s="1" t="n">
        <v>45206</v>
      </c>
      <c r="C1148" s="1" t="n">
        <v>45668</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48583-2023</t>
        </is>
      </c>
      <c r="B1149" s="1" t="n">
        <v>45208</v>
      </c>
      <c r="C1149" s="1" t="n">
        <v>45668</v>
      </c>
      <c r="D1149" t="inlineStr">
        <is>
          <t>JÄMTLANDS LÄN</t>
        </is>
      </c>
      <c r="E1149" t="inlineStr">
        <is>
          <t>HÄRJEDALEN</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48675-2023</t>
        </is>
      </c>
      <c r="B1150" s="1" t="n">
        <v>45208</v>
      </c>
      <c r="C1150" s="1" t="n">
        <v>45668</v>
      </c>
      <c r="D1150" t="inlineStr">
        <is>
          <t>JÄMTLANDS LÄN</t>
        </is>
      </c>
      <c r="E1150" t="inlineStr">
        <is>
          <t>HÄRJEDALEN</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48689-2023</t>
        </is>
      </c>
      <c r="B1151" s="1" t="n">
        <v>45208</v>
      </c>
      <c r="C1151" s="1" t="n">
        <v>45668</v>
      </c>
      <c r="D1151" t="inlineStr">
        <is>
          <t>JÄMTLANDS LÄN</t>
        </is>
      </c>
      <c r="E1151" t="inlineStr">
        <is>
          <t>HÄRJEDALEN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48708-2023</t>
        </is>
      </c>
      <c r="B1152" s="1" t="n">
        <v>45208</v>
      </c>
      <c r="C1152" s="1" t="n">
        <v>45668</v>
      </c>
      <c r="D1152" t="inlineStr">
        <is>
          <t>JÄMTLANDS LÄN</t>
        </is>
      </c>
      <c r="E1152" t="inlineStr">
        <is>
          <t>HÄRJEDALEN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48854-2023</t>
        </is>
      </c>
      <c r="B1153" s="1" t="n">
        <v>45209</v>
      </c>
      <c r="C1153" s="1" t="n">
        <v>45668</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48867-2023</t>
        </is>
      </c>
      <c r="B1154" s="1" t="n">
        <v>45209</v>
      </c>
      <c r="C1154" s="1" t="n">
        <v>45668</v>
      </c>
      <c r="D1154" t="inlineStr">
        <is>
          <t>JÄMTLANDS LÄN</t>
        </is>
      </c>
      <c r="E1154" t="inlineStr">
        <is>
          <t>HÄRJEDALEN</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49120-2023</t>
        </is>
      </c>
      <c r="B1155" s="1" t="n">
        <v>45210</v>
      </c>
      <c r="C1155" s="1" t="n">
        <v>45668</v>
      </c>
      <c r="D1155" t="inlineStr">
        <is>
          <t>JÄMTLANDS LÄN</t>
        </is>
      </c>
      <c r="E1155" t="inlineStr">
        <is>
          <t>HÄRJEDALEN</t>
        </is>
      </c>
      <c r="G1155" t="n">
        <v>38.2</v>
      </c>
      <c r="H1155" t="n">
        <v>0</v>
      </c>
      <c r="I1155" t="n">
        <v>0</v>
      </c>
      <c r="J1155" t="n">
        <v>0</v>
      </c>
      <c r="K1155" t="n">
        <v>0</v>
      </c>
      <c r="L1155" t="n">
        <v>0</v>
      </c>
      <c r="M1155" t="n">
        <v>0</v>
      </c>
      <c r="N1155" t="n">
        <v>0</v>
      </c>
      <c r="O1155" t="n">
        <v>0</v>
      </c>
      <c r="P1155" t="n">
        <v>0</v>
      </c>
      <c r="Q1155" t="n">
        <v>0</v>
      </c>
      <c r="R1155" s="2" t="inlineStr"/>
    </row>
    <row r="1156" ht="15" customHeight="1">
      <c r="A1156" t="inlineStr">
        <is>
          <t>A 49134-2023</t>
        </is>
      </c>
      <c r="B1156" s="1" t="n">
        <v>45210</v>
      </c>
      <c r="C1156" s="1" t="n">
        <v>45668</v>
      </c>
      <c r="D1156" t="inlineStr">
        <is>
          <t>JÄMTLANDS LÄN</t>
        </is>
      </c>
      <c r="E1156" t="inlineStr">
        <is>
          <t>HÄRJEDALEN</t>
        </is>
      </c>
      <c r="G1156" t="n">
        <v>25.8</v>
      </c>
      <c r="H1156" t="n">
        <v>0</v>
      </c>
      <c r="I1156" t="n">
        <v>0</v>
      </c>
      <c r="J1156" t="n">
        <v>0</v>
      </c>
      <c r="K1156" t="n">
        <v>0</v>
      </c>
      <c r="L1156" t="n">
        <v>0</v>
      </c>
      <c r="M1156" t="n">
        <v>0</v>
      </c>
      <c r="N1156" t="n">
        <v>0</v>
      </c>
      <c r="O1156" t="n">
        <v>0</v>
      </c>
      <c r="P1156" t="n">
        <v>0</v>
      </c>
      <c r="Q1156" t="n">
        <v>0</v>
      </c>
      <c r="R1156" s="2" t="inlineStr"/>
    </row>
    <row r="1157" ht="15" customHeight="1">
      <c r="A1157" t="inlineStr">
        <is>
          <t>A 49712-2023</t>
        </is>
      </c>
      <c r="B1157" s="1" t="n">
        <v>45212</v>
      </c>
      <c r="C1157" s="1" t="n">
        <v>45668</v>
      </c>
      <c r="D1157" t="inlineStr">
        <is>
          <t>JÄMTLANDS LÄN</t>
        </is>
      </c>
      <c r="E1157" t="inlineStr">
        <is>
          <t>HÄRJEDALEN</t>
        </is>
      </c>
      <c r="G1157" t="n">
        <v>42.9</v>
      </c>
      <c r="H1157" t="n">
        <v>0</v>
      </c>
      <c r="I1157" t="n">
        <v>0</v>
      </c>
      <c r="J1157" t="n">
        <v>0</v>
      </c>
      <c r="K1157" t="n">
        <v>0</v>
      </c>
      <c r="L1157" t="n">
        <v>0</v>
      </c>
      <c r="M1157" t="n">
        <v>0</v>
      </c>
      <c r="N1157" t="n">
        <v>0</v>
      </c>
      <c r="O1157" t="n">
        <v>0</v>
      </c>
      <c r="P1157" t="n">
        <v>0</v>
      </c>
      <c r="Q1157" t="n">
        <v>0</v>
      </c>
      <c r="R1157" s="2" t="inlineStr"/>
    </row>
    <row r="1158" ht="15" customHeight="1">
      <c r="A1158" t="inlineStr">
        <is>
          <t>A 49792-2023</t>
        </is>
      </c>
      <c r="B1158" s="1" t="n">
        <v>45212</v>
      </c>
      <c r="C1158" s="1" t="n">
        <v>45668</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49969-2023</t>
        </is>
      </c>
      <c r="B1159" s="1" t="n">
        <v>45215</v>
      </c>
      <c r="C1159" s="1" t="n">
        <v>45668</v>
      </c>
      <c r="D1159" t="inlineStr">
        <is>
          <t>JÄMTLANDS LÄN</t>
        </is>
      </c>
      <c r="E1159" t="inlineStr">
        <is>
          <t>HÄRJEDALEN</t>
        </is>
      </c>
      <c r="G1159" t="n">
        <v>43.7</v>
      </c>
      <c r="H1159" t="n">
        <v>0</v>
      </c>
      <c r="I1159" t="n">
        <v>0</v>
      </c>
      <c r="J1159" t="n">
        <v>0</v>
      </c>
      <c r="K1159" t="n">
        <v>0</v>
      </c>
      <c r="L1159" t="n">
        <v>0</v>
      </c>
      <c r="M1159" t="n">
        <v>0</v>
      </c>
      <c r="N1159" t="n">
        <v>0</v>
      </c>
      <c r="O1159" t="n">
        <v>0</v>
      </c>
      <c r="P1159" t="n">
        <v>0</v>
      </c>
      <c r="Q1159" t="n">
        <v>0</v>
      </c>
      <c r="R1159" s="2" t="inlineStr"/>
    </row>
    <row r="1160" ht="15" customHeight="1">
      <c r="A1160" t="inlineStr">
        <is>
          <t>A 50360-2023</t>
        </is>
      </c>
      <c r="B1160" s="1" t="n">
        <v>45216</v>
      </c>
      <c r="C1160" s="1" t="n">
        <v>45668</v>
      </c>
      <c r="D1160" t="inlineStr">
        <is>
          <t>JÄMTLANDS LÄN</t>
        </is>
      </c>
      <c r="E1160" t="inlineStr">
        <is>
          <t>HÄRJEDALEN</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50331-2023</t>
        </is>
      </c>
      <c r="B1161" s="1" t="n">
        <v>45216</v>
      </c>
      <c r="C1161" s="1" t="n">
        <v>45668</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50291-2023</t>
        </is>
      </c>
      <c r="B1162" s="1" t="n">
        <v>45216</v>
      </c>
      <c r="C1162" s="1" t="n">
        <v>45668</v>
      </c>
      <c r="D1162" t="inlineStr">
        <is>
          <t>JÄMTLANDS LÄN</t>
        </is>
      </c>
      <c r="E1162" t="inlineStr">
        <is>
          <t>HÄRJEDALEN</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50424-2023</t>
        </is>
      </c>
      <c r="B1163" s="1" t="n">
        <v>45216</v>
      </c>
      <c r="C1163" s="1" t="n">
        <v>45668</v>
      </c>
      <c r="D1163" t="inlineStr">
        <is>
          <t>JÄMTLANDS LÄN</t>
        </is>
      </c>
      <c r="E1163" t="inlineStr">
        <is>
          <t>HÄRJEDALEN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50328-2023</t>
        </is>
      </c>
      <c r="B1164" s="1" t="n">
        <v>45216</v>
      </c>
      <c r="C1164" s="1" t="n">
        <v>45668</v>
      </c>
      <c r="D1164" t="inlineStr">
        <is>
          <t>JÄMTLANDS LÄN</t>
        </is>
      </c>
      <c r="E1164" t="inlineStr">
        <is>
          <t>HÄRJEDALEN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50539-2023</t>
        </is>
      </c>
      <c r="B1165" s="1" t="n">
        <v>45217</v>
      </c>
      <c r="C1165" s="1" t="n">
        <v>45668</v>
      </c>
      <c r="D1165" t="inlineStr">
        <is>
          <t>JÄMTLANDS LÄN</t>
        </is>
      </c>
      <c r="E1165" t="inlineStr">
        <is>
          <t>HÄRJEDALEN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51017-2023</t>
        </is>
      </c>
      <c r="B1166" s="1" t="n">
        <v>45218</v>
      </c>
      <c r="C1166" s="1" t="n">
        <v>45668</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51351-2023</t>
        </is>
      </c>
      <c r="B1167" s="1" t="n">
        <v>45219</v>
      </c>
      <c r="C1167" s="1" t="n">
        <v>45668</v>
      </c>
      <c r="D1167" t="inlineStr">
        <is>
          <t>JÄMTLANDS LÄN</t>
        </is>
      </c>
      <c r="E1167" t="inlineStr">
        <is>
          <t>HÄRJEDALEN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51898-2023</t>
        </is>
      </c>
      <c r="B1168" s="1" t="n">
        <v>45223</v>
      </c>
      <c r="C1168" s="1" t="n">
        <v>45668</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52565-2023</t>
        </is>
      </c>
      <c r="B1169" s="1" t="n">
        <v>45225</v>
      </c>
      <c r="C1169" s="1" t="n">
        <v>45668</v>
      </c>
      <c r="D1169" t="inlineStr">
        <is>
          <t>JÄMTLANDS LÄN</t>
        </is>
      </c>
      <c r="E1169" t="inlineStr">
        <is>
          <t>HÄRJEDALEN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52554-2023</t>
        </is>
      </c>
      <c r="B1170" s="1" t="n">
        <v>45225</v>
      </c>
      <c r="C1170" s="1" t="n">
        <v>45668</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52567-2023</t>
        </is>
      </c>
      <c r="B1171" s="1" t="n">
        <v>45225</v>
      </c>
      <c r="C1171" s="1" t="n">
        <v>45668</v>
      </c>
      <c r="D1171" t="inlineStr">
        <is>
          <t>JÄMTLANDS LÄN</t>
        </is>
      </c>
      <c r="E1171" t="inlineStr">
        <is>
          <t>HÄRJEDALEN</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52683-2023</t>
        </is>
      </c>
      <c r="B1172" s="1" t="n">
        <v>45225</v>
      </c>
      <c r="C1172" s="1" t="n">
        <v>45668</v>
      </c>
      <c r="D1172" t="inlineStr">
        <is>
          <t>JÄMTLANDS LÄN</t>
        </is>
      </c>
      <c r="E1172" t="inlineStr">
        <is>
          <t>HÄRJEDALEN</t>
        </is>
      </c>
      <c r="F1172" t="inlineStr">
        <is>
          <t>Bergvik skog väst AB</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52741-2023</t>
        </is>
      </c>
      <c r="B1173" s="1" t="n">
        <v>45225</v>
      </c>
      <c r="C1173" s="1" t="n">
        <v>45668</v>
      </c>
      <c r="D1173" t="inlineStr">
        <is>
          <t>JÄMTLANDS LÄN</t>
        </is>
      </c>
      <c r="E1173" t="inlineStr">
        <is>
          <t>HÄRJEDALEN</t>
        </is>
      </c>
      <c r="F1173" t="inlineStr">
        <is>
          <t>SCA</t>
        </is>
      </c>
      <c r="G1173" t="n">
        <v>75.40000000000001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53003-2023</t>
        </is>
      </c>
      <c r="B1174" s="1" t="n">
        <v>45226</v>
      </c>
      <c r="C1174" s="1" t="n">
        <v>45668</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53431-2023</t>
        </is>
      </c>
      <c r="B1175" s="1" t="n">
        <v>45229</v>
      </c>
      <c r="C1175" s="1" t="n">
        <v>45668</v>
      </c>
      <c r="D1175" t="inlineStr">
        <is>
          <t>JÄMTLANDS LÄN</t>
        </is>
      </c>
      <c r="E1175" t="inlineStr">
        <is>
          <t>HÄRJEDALEN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53432-2023</t>
        </is>
      </c>
      <c r="B1176" s="1" t="n">
        <v>45229</v>
      </c>
      <c r="C1176" s="1" t="n">
        <v>45668</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53681-2023</t>
        </is>
      </c>
      <c r="B1177" s="1" t="n">
        <v>45230</v>
      </c>
      <c r="C1177" s="1" t="n">
        <v>45668</v>
      </c>
      <c r="D1177" t="inlineStr">
        <is>
          <t>JÄMTLANDS LÄN</t>
        </is>
      </c>
      <c r="E1177" t="inlineStr">
        <is>
          <t>HÄRJEDALEN</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53804-2023</t>
        </is>
      </c>
      <c r="B1178" s="1" t="n">
        <v>45231</v>
      </c>
      <c r="C1178" s="1" t="n">
        <v>45668</v>
      </c>
      <c r="D1178" t="inlineStr">
        <is>
          <t>JÄMTLANDS LÄN</t>
        </is>
      </c>
      <c r="E1178" t="inlineStr">
        <is>
          <t>HÄRJEDALEN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53993-2023</t>
        </is>
      </c>
      <c r="B1179" s="1" t="n">
        <v>45231</v>
      </c>
      <c r="C1179" s="1" t="n">
        <v>45668</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54382-2023</t>
        </is>
      </c>
      <c r="B1180" s="1" t="n">
        <v>45233</v>
      </c>
      <c r="C1180" s="1" t="n">
        <v>45668</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55127-2023</t>
        </is>
      </c>
      <c r="B1181" s="1" t="n">
        <v>45237</v>
      </c>
      <c r="C1181" s="1" t="n">
        <v>45668</v>
      </c>
      <c r="D1181" t="inlineStr">
        <is>
          <t>JÄMTLANDS LÄN</t>
        </is>
      </c>
      <c r="E1181" t="inlineStr">
        <is>
          <t>HÄRJEDALEN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55150-2023</t>
        </is>
      </c>
      <c r="B1182" s="1" t="n">
        <v>45237</v>
      </c>
      <c r="C1182" s="1" t="n">
        <v>45668</v>
      </c>
      <c r="D1182" t="inlineStr">
        <is>
          <t>JÄMTLANDS LÄN</t>
        </is>
      </c>
      <c r="E1182" t="inlineStr">
        <is>
          <t>HÄRJEDALEN</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55183-2023</t>
        </is>
      </c>
      <c r="B1183" s="1" t="n">
        <v>45237</v>
      </c>
      <c r="C1183" s="1" t="n">
        <v>45668</v>
      </c>
      <c r="D1183" t="inlineStr">
        <is>
          <t>JÄMTLANDS LÄN</t>
        </is>
      </c>
      <c r="E1183" t="inlineStr">
        <is>
          <t>HÄRJEDALEN</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55195-2023</t>
        </is>
      </c>
      <c r="B1184" s="1" t="n">
        <v>45237</v>
      </c>
      <c r="C1184" s="1" t="n">
        <v>45668</v>
      </c>
      <c r="D1184" t="inlineStr">
        <is>
          <t>JÄMTLANDS LÄN</t>
        </is>
      </c>
      <c r="E1184" t="inlineStr">
        <is>
          <t>HÄRJEDALEN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55220-2023</t>
        </is>
      </c>
      <c r="B1185" s="1" t="n">
        <v>45237</v>
      </c>
      <c r="C1185" s="1" t="n">
        <v>45668</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55180-2023</t>
        </is>
      </c>
      <c r="B1186" s="1" t="n">
        <v>45237</v>
      </c>
      <c r="C1186" s="1" t="n">
        <v>45668</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55185-2023</t>
        </is>
      </c>
      <c r="B1187" s="1" t="n">
        <v>45237</v>
      </c>
      <c r="C1187" s="1" t="n">
        <v>45668</v>
      </c>
      <c r="D1187" t="inlineStr">
        <is>
          <t>JÄMTLANDS LÄN</t>
        </is>
      </c>
      <c r="E1187" t="inlineStr">
        <is>
          <t>HÄRJEDALEN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55189-2023</t>
        </is>
      </c>
      <c r="B1188" s="1" t="n">
        <v>45237</v>
      </c>
      <c r="C1188" s="1" t="n">
        <v>45668</v>
      </c>
      <c r="D1188" t="inlineStr">
        <is>
          <t>JÄMTLANDS LÄN</t>
        </is>
      </c>
      <c r="E1188" t="inlineStr">
        <is>
          <t>HÄRJEDALEN</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55193-2023</t>
        </is>
      </c>
      <c r="B1189" s="1" t="n">
        <v>45237</v>
      </c>
      <c r="C1189" s="1" t="n">
        <v>45668</v>
      </c>
      <c r="D1189" t="inlineStr">
        <is>
          <t>JÄMTLANDS LÄN</t>
        </is>
      </c>
      <c r="E1189" t="inlineStr">
        <is>
          <t>HÄRJEDALEN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55500-2023</t>
        </is>
      </c>
      <c r="B1190" s="1" t="n">
        <v>45238</v>
      </c>
      <c r="C1190" s="1" t="n">
        <v>45668</v>
      </c>
      <c r="D1190" t="inlineStr">
        <is>
          <t>JÄMTLANDS LÄN</t>
        </is>
      </c>
      <c r="E1190" t="inlineStr">
        <is>
          <t>HÄRJEDALEN</t>
        </is>
      </c>
      <c r="F1190" t="inlineStr">
        <is>
          <t>Kyrkan</t>
        </is>
      </c>
      <c r="G1190" t="n">
        <v>81.2</v>
      </c>
      <c r="H1190" t="n">
        <v>0</v>
      </c>
      <c r="I1190" t="n">
        <v>0</v>
      </c>
      <c r="J1190" t="n">
        <v>0</v>
      </c>
      <c r="K1190" t="n">
        <v>0</v>
      </c>
      <c r="L1190" t="n">
        <v>0</v>
      </c>
      <c r="M1190" t="n">
        <v>0</v>
      </c>
      <c r="N1190" t="n">
        <v>0</v>
      </c>
      <c r="O1190" t="n">
        <v>0</v>
      </c>
      <c r="P1190" t="n">
        <v>0</v>
      </c>
      <c r="Q1190" t="n">
        <v>0</v>
      </c>
      <c r="R1190" s="2" t="inlineStr"/>
    </row>
    <row r="1191" ht="15" customHeight="1">
      <c r="A1191" t="inlineStr">
        <is>
          <t>A 55562-2023</t>
        </is>
      </c>
      <c r="B1191" s="1" t="n">
        <v>45238</v>
      </c>
      <c r="C1191" s="1" t="n">
        <v>45668</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55463-2023</t>
        </is>
      </c>
      <c r="B1192" s="1" t="n">
        <v>45238</v>
      </c>
      <c r="C1192" s="1" t="n">
        <v>45668</v>
      </c>
      <c r="D1192" t="inlineStr">
        <is>
          <t>JÄMTLANDS LÄN</t>
        </is>
      </c>
      <c r="E1192" t="inlineStr">
        <is>
          <t>HÄRJEDALEN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55555-2023</t>
        </is>
      </c>
      <c r="B1193" s="1" t="n">
        <v>45238</v>
      </c>
      <c r="C1193" s="1" t="n">
        <v>45668</v>
      </c>
      <c r="D1193" t="inlineStr">
        <is>
          <t>JÄMTLANDS LÄN</t>
        </is>
      </c>
      <c r="E1193" t="inlineStr">
        <is>
          <t>HÄRJEDALEN</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55566-2023</t>
        </is>
      </c>
      <c r="B1194" s="1" t="n">
        <v>45238</v>
      </c>
      <c r="C1194" s="1" t="n">
        <v>45668</v>
      </c>
      <c r="D1194" t="inlineStr">
        <is>
          <t>JÄMTLANDS LÄN</t>
        </is>
      </c>
      <c r="E1194" t="inlineStr">
        <is>
          <t>HÄRJEDALEN</t>
        </is>
      </c>
      <c r="F1194" t="inlineStr">
        <is>
          <t>Bergvik skog väst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55844-2023</t>
        </is>
      </c>
      <c r="B1195" s="1" t="n">
        <v>45239</v>
      </c>
      <c r="C1195" s="1" t="n">
        <v>45668</v>
      </c>
      <c r="D1195" t="inlineStr">
        <is>
          <t>JÄMTLANDS LÄN</t>
        </is>
      </c>
      <c r="E1195" t="inlineStr">
        <is>
          <t>HÄRJEDALEN</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55736-2023</t>
        </is>
      </c>
      <c r="B1196" s="1" t="n">
        <v>45239</v>
      </c>
      <c r="C1196" s="1" t="n">
        <v>45668</v>
      </c>
      <c r="D1196" t="inlineStr">
        <is>
          <t>JÄMTLANDS LÄN</t>
        </is>
      </c>
      <c r="E1196" t="inlineStr">
        <is>
          <t>HÄRJEDALEN</t>
        </is>
      </c>
      <c r="F1196" t="inlineStr">
        <is>
          <t>Holmen skog AB</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55766-2023</t>
        </is>
      </c>
      <c r="B1197" s="1" t="n">
        <v>45239</v>
      </c>
      <c r="C1197" s="1" t="n">
        <v>45668</v>
      </c>
      <c r="D1197" t="inlineStr">
        <is>
          <t>JÄMTLANDS LÄN</t>
        </is>
      </c>
      <c r="E1197" t="inlineStr">
        <is>
          <t>HÄRJEDALEN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55834-2023</t>
        </is>
      </c>
      <c r="B1198" s="1" t="n">
        <v>45239</v>
      </c>
      <c r="C1198" s="1" t="n">
        <v>45668</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56013-2023</t>
        </is>
      </c>
      <c r="B1199" s="1" t="n">
        <v>45240</v>
      </c>
      <c r="C1199" s="1" t="n">
        <v>45668</v>
      </c>
      <c r="D1199" t="inlineStr">
        <is>
          <t>JÄMTLANDS LÄN</t>
        </is>
      </c>
      <c r="E1199" t="inlineStr">
        <is>
          <t>HÄRJEDALEN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56512-2023</t>
        </is>
      </c>
      <c r="B1200" s="1" t="n">
        <v>45243</v>
      </c>
      <c r="C1200" s="1" t="n">
        <v>45668</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56587-2023</t>
        </is>
      </c>
      <c r="B1201" s="1" t="n">
        <v>45243</v>
      </c>
      <c r="C1201" s="1" t="n">
        <v>45668</v>
      </c>
      <c r="D1201" t="inlineStr">
        <is>
          <t>JÄMTLANDS LÄN</t>
        </is>
      </c>
      <c r="E1201" t="inlineStr">
        <is>
          <t>HÄRJEDALEN</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56909-2023</t>
        </is>
      </c>
      <c r="B1202" s="1" t="n">
        <v>45244</v>
      </c>
      <c r="C1202" s="1" t="n">
        <v>45668</v>
      </c>
      <c r="D1202" t="inlineStr">
        <is>
          <t>JÄMTLANDS LÄN</t>
        </is>
      </c>
      <c r="E1202" t="inlineStr">
        <is>
          <t>HÄRJEDALEN</t>
        </is>
      </c>
      <c r="F1202" t="inlineStr">
        <is>
          <t>Bergvik skog väst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56912-2023</t>
        </is>
      </c>
      <c r="B1203" s="1" t="n">
        <v>45244</v>
      </c>
      <c r="C1203" s="1" t="n">
        <v>45668</v>
      </c>
      <c r="D1203" t="inlineStr">
        <is>
          <t>JÄMTLANDS LÄN</t>
        </is>
      </c>
      <c r="E1203" t="inlineStr">
        <is>
          <t>HÄRJEDALEN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56906-2023</t>
        </is>
      </c>
      <c r="B1204" s="1" t="n">
        <v>45244</v>
      </c>
      <c r="C1204" s="1" t="n">
        <v>45668</v>
      </c>
      <c r="D1204" t="inlineStr">
        <is>
          <t>JÄMTLANDS LÄN</t>
        </is>
      </c>
      <c r="E1204" t="inlineStr">
        <is>
          <t>HÄRJEDALEN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57313-2023</t>
        </is>
      </c>
      <c r="B1205" s="1" t="n">
        <v>45245</v>
      </c>
      <c r="C1205" s="1" t="n">
        <v>45668</v>
      </c>
      <c r="D1205" t="inlineStr">
        <is>
          <t>JÄMTLANDS LÄN</t>
        </is>
      </c>
      <c r="E1205" t="inlineStr">
        <is>
          <t>HÄRJEDALEN</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57099-2023</t>
        </is>
      </c>
      <c r="B1206" s="1" t="n">
        <v>45245</v>
      </c>
      <c r="C1206" s="1" t="n">
        <v>45668</v>
      </c>
      <c r="D1206" t="inlineStr">
        <is>
          <t>JÄMTLANDS LÄN</t>
        </is>
      </c>
      <c r="E1206" t="inlineStr">
        <is>
          <t>HÄRJEDALEN</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57181-2023</t>
        </is>
      </c>
      <c r="B1207" s="1" t="n">
        <v>45245</v>
      </c>
      <c r="C1207" s="1" t="n">
        <v>45668</v>
      </c>
      <c r="D1207" t="inlineStr">
        <is>
          <t>JÄMTLANDS LÄN</t>
        </is>
      </c>
      <c r="E1207" t="inlineStr">
        <is>
          <t>HÄRJEDALEN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57202-2023</t>
        </is>
      </c>
      <c r="B1208" s="1" t="n">
        <v>45245</v>
      </c>
      <c r="C1208" s="1" t="n">
        <v>45668</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57140-2023</t>
        </is>
      </c>
      <c r="B1209" s="1" t="n">
        <v>45245</v>
      </c>
      <c r="C1209" s="1" t="n">
        <v>45668</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57281-2023</t>
        </is>
      </c>
      <c r="B1210" s="1" t="n">
        <v>45245</v>
      </c>
      <c r="C1210" s="1" t="n">
        <v>45668</v>
      </c>
      <c r="D1210" t="inlineStr">
        <is>
          <t>JÄMTLANDS LÄN</t>
        </is>
      </c>
      <c r="E1210" t="inlineStr">
        <is>
          <t>HÄRJEDALEN</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57661-2023</t>
        </is>
      </c>
      <c r="B1211" s="1" t="n">
        <v>45246</v>
      </c>
      <c r="C1211" s="1" t="n">
        <v>45668</v>
      </c>
      <c r="D1211" t="inlineStr">
        <is>
          <t>JÄMTLANDS LÄN</t>
        </is>
      </c>
      <c r="E1211" t="inlineStr">
        <is>
          <t>HÄRJEDALEN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58146-2023</t>
        </is>
      </c>
      <c r="B1212" s="1" t="n">
        <v>45250</v>
      </c>
      <c r="C1212" s="1" t="n">
        <v>45668</v>
      </c>
      <c r="D1212" t="inlineStr">
        <is>
          <t>JÄMTLANDS LÄN</t>
        </is>
      </c>
      <c r="E1212" t="inlineStr">
        <is>
          <t>HÄRJEDALEN</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58144-2023</t>
        </is>
      </c>
      <c r="B1213" s="1" t="n">
        <v>45250</v>
      </c>
      <c r="C1213" s="1" t="n">
        <v>45668</v>
      </c>
      <c r="D1213" t="inlineStr">
        <is>
          <t>JÄMTLANDS LÄN</t>
        </is>
      </c>
      <c r="E1213" t="inlineStr">
        <is>
          <t>HÄRJEDALEN</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58890-2023</t>
        </is>
      </c>
      <c r="B1214" s="1" t="n">
        <v>45252</v>
      </c>
      <c r="C1214" s="1" t="n">
        <v>45668</v>
      </c>
      <c r="D1214" t="inlineStr">
        <is>
          <t>JÄMTLANDS LÄN</t>
        </is>
      </c>
      <c r="E1214" t="inlineStr">
        <is>
          <t>HÄRJEDALEN</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58930-2023</t>
        </is>
      </c>
      <c r="B1215" s="1" t="n">
        <v>45252</v>
      </c>
      <c r="C1215" s="1" t="n">
        <v>45668</v>
      </c>
      <c r="D1215" t="inlineStr">
        <is>
          <t>JÄMTLANDS LÄN</t>
        </is>
      </c>
      <c r="E1215" t="inlineStr">
        <is>
          <t>HÄRJEDALEN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58866-2023</t>
        </is>
      </c>
      <c r="B1216" s="1" t="n">
        <v>45252</v>
      </c>
      <c r="C1216" s="1" t="n">
        <v>45668</v>
      </c>
      <c r="D1216" t="inlineStr">
        <is>
          <t>JÄMTLANDS LÄN</t>
        </is>
      </c>
      <c r="E1216" t="inlineStr">
        <is>
          <t>HÄRJEDALEN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59092-2023</t>
        </is>
      </c>
      <c r="B1217" s="1" t="n">
        <v>45253</v>
      </c>
      <c r="C1217" s="1" t="n">
        <v>45668</v>
      </c>
      <c r="D1217" t="inlineStr">
        <is>
          <t>JÄMTLANDS LÄN</t>
        </is>
      </c>
      <c r="E1217" t="inlineStr">
        <is>
          <t>HÄRJEDALEN</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59279-2023</t>
        </is>
      </c>
      <c r="B1218" s="1" t="n">
        <v>45253</v>
      </c>
      <c r="C1218" s="1" t="n">
        <v>45668</v>
      </c>
      <c r="D1218" t="inlineStr">
        <is>
          <t>JÄMTLANDS LÄN</t>
        </is>
      </c>
      <c r="E1218" t="inlineStr">
        <is>
          <t>HÄRJEDALEN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59424-2023</t>
        </is>
      </c>
      <c r="B1219" s="1" t="n">
        <v>45254</v>
      </c>
      <c r="C1219" s="1" t="n">
        <v>45668</v>
      </c>
      <c r="D1219" t="inlineStr">
        <is>
          <t>JÄMTLANDS LÄN</t>
        </is>
      </c>
      <c r="E1219" t="inlineStr">
        <is>
          <t>HÄRJEDALEN</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59577-2023</t>
        </is>
      </c>
      <c r="B1220" s="1" t="n">
        <v>45254</v>
      </c>
      <c r="C1220" s="1" t="n">
        <v>45668</v>
      </c>
      <c r="D1220" t="inlineStr">
        <is>
          <t>JÄMTLANDS LÄN</t>
        </is>
      </c>
      <c r="E1220" t="inlineStr">
        <is>
          <t>HÄRJEDALEN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59594-2023</t>
        </is>
      </c>
      <c r="B1221" s="1" t="n">
        <v>45254</v>
      </c>
      <c r="C1221" s="1" t="n">
        <v>45668</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59620-2023</t>
        </is>
      </c>
      <c r="B1222" s="1" t="n">
        <v>45254</v>
      </c>
      <c r="C1222" s="1" t="n">
        <v>45668</v>
      </c>
      <c r="D1222" t="inlineStr">
        <is>
          <t>JÄMTLANDS LÄN</t>
        </is>
      </c>
      <c r="E1222" t="inlineStr">
        <is>
          <t>HÄRJEDALEN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59738-2023</t>
        </is>
      </c>
      <c r="B1223" s="1" t="n">
        <v>45257</v>
      </c>
      <c r="C1223" s="1" t="n">
        <v>45668</v>
      </c>
      <c r="D1223" t="inlineStr">
        <is>
          <t>JÄMTLANDS LÄN</t>
        </is>
      </c>
      <c r="E1223" t="inlineStr">
        <is>
          <t>HÄRJEDALEN</t>
        </is>
      </c>
      <c r="F1223" t="inlineStr">
        <is>
          <t>Bergvik skog väst AB</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59750-2023</t>
        </is>
      </c>
      <c r="B1224" s="1" t="n">
        <v>45257</v>
      </c>
      <c r="C1224" s="1" t="n">
        <v>45668</v>
      </c>
      <c r="D1224" t="inlineStr">
        <is>
          <t>JÄMTLANDS LÄN</t>
        </is>
      </c>
      <c r="E1224" t="inlineStr">
        <is>
          <t>HÄRJEDALEN</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60062-2023</t>
        </is>
      </c>
      <c r="B1225" s="1" t="n">
        <v>45257</v>
      </c>
      <c r="C1225" s="1" t="n">
        <v>45668</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60611-2023</t>
        </is>
      </c>
      <c r="B1226" s="1" t="n">
        <v>45260</v>
      </c>
      <c r="C1226" s="1" t="n">
        <v>45668</v>
      </c>
      <c r="D1226" t="inlineStr">
        <is>
          <t>JÄMTLANDS LÄN</t>
        </is>
      </c>
      <c r="E1226" t="inlineStr">
        <is>
          <t>HÄRJEDALEN</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60749-2023</t>
        </is>
      </c>
      <c r="B1227" s="1" t="n">
        <v>45260</v>
      </c>
      <c r="C1227" s="1" t="n">
        <v>45668</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61465-2023</t>
        </is>
      </c>
      <c r="B1228" s="1" t="n">
        <v>45264</v>
      </c>
      <c r="C1228" s="1" t="n">
        <v>45668</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61751-2023</t>
        </is>
      </c>
      <c r="B1229" s="1" t="n">
        <v>45265</v>
      </c>
      <c r="C1229" s="1" t="n">
        <v>45668</v>
      </c>
      <c r="D1229" t="inlineStr">
        <is>
          <t>JÄMTLANDS LÄN</t>
        </is>
      </c>
      <c r="E1229" t="inlineStr">
        <is>
          <t>HÄRJEDALEN</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62482-2023</t>
        </is>
      </c>
      <c r="B1230" s="1" t="n">
        <v>45268</v>
      </c>
      <c r="C1230" s="1" t="n">
        <v>45668</v>
      </c>
      <c r="D1230" t="inlineStr">
        <is>
          <t>JÄMTLANDS LÄN</t>
        </is>
      </c>
      <c r="E1230" t="inlineStr">
        <is>
          <t>HÄRJEDALEN</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62784-2023</t>
        </is>
      </c>
      <c r="B1231" s="1" t="n">
        <v>45271</v>
      </c>
      <c r="C1231" s="1" t="n">
        <v>45668</v>
      </c>
      <c r="D1231" t="inlineStr">
        <is>
          <t>JÄMTLANDS LÄN</t>
        </is>
      </c>
      <c r="E1231" t="inlineStr">
        <is>
          <t>HÄRJEDALEN</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63323-2023</t>
        </is>
      </c>
      <c r="B1232" s="1" t="n">
        <v>45274</v>
      </c>
      <c r="C1232" s="1" t="n">
        <v>45668</v>
      </c>
      <c r="D1232" t="inlineStr">
        <is>
          <t>JÄMTLANDS LÄN</t>
        </is>
      </c>
      <c r="E1232" t="inlineStr">
        <is>
          <t>HÄRJEDALEN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63546-2023</t>
        </is>
      </c>
      <c r="B1233" s="1" t="n">
        <v>45275</v>
      </c>
      <c r="C1233" s="1" t="n">
        <v>45668</v>
      </c>
      <c r="D1233" t="inlineStr">
        <is>
          <t>JÄMTLANDS LÄN</t>
        </is>
      </c>
      <c r="E1233" t="inlineStr">
        <is>
          <t>HÄRJEDALEN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63577-2023</t>
        </is>
      </c>
      <c r="B1234" s="1" t="n">
        <v>45275</v>
      </c>
      <c r="C1234" s="1" t="n">
        <v>45668</v>
      </c>
      <c r="D1234" t="inlineStr">
        <is>
          <t>JÄMTLANDS LÄN</t>
        </is>
      </c>
      <c r="E1234" t="inlineStr">
        <is>
          <t>HÄRJEDALEN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63934-2023</t>
        </is>
      </c>
      <c r="B1235" s="1" t="n">
        <v>45278</v>
      </c>
      <c r="C1235" s="1" t="n">
        <v>45668</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63802-2023</t>
        </is>
      </c>
      <c r="B1236" s="1" t="n">
        <v>45278</v>
      </c>
      <c r="C1236" s="1" t="n">
        <v>45668</v>
      </c>
      <c r="D1236" t="inlineStr">
        <is>
          <t>JÄMTLANDS LÄN</t>
        </is>
      </c>
      <c r="E1236" t="inlineStr">
        <is>
          <t>HÄRJEDALEN</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64144-2023</t>
        </is>
      </c>
      <c r="B1237" s="1" t="n">
        <v>45279</v>
      </c>
      <c r="C1237" s="1" t="n">
        <v>45668</v>
      </c>
      <c r="D1237" t="inlineStr">
        <is>
          <t>JÄMTLANDS LÄN</t>
        </is>
      </c>
      <c r="E1237" t="inlineStr">
        <is>
          <t>HÄRJEDALEN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64157-2023</t>
        </is>
      </c>
      <c r="B1238" s="1" t="n">
        <v>45279</v>
      </c>
      <c r="C1238" s="1" t="n">
        <v>45668</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64165-2023</t>
        </is>
      </c>
      <c r="B1239" s="1" t="n">
        <v>45279</v>
      </c>
      <c r="C1239" s="1" t="n">
        <v>45668</v>
      </c>
      <c r="D1239" t="inlineStr">
        <is>
          <t>JÄMTLANDS LÄN</t>
        </is>
      </c>
      <c r="E1239" t="inlineStr">
        <is>
          <t>HÄRJEDALEN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64484-2023</t>
        </is>
      </c>
      <c r="B1240" s="1" t="n">
        <v>45280</v>
      </c>
      <c r="C1240" s="1" t="n">
        <v>45668</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64371-2023</t>
        </is>
      </c>
      <c r="B1241" s="1" t="n">
        <v>45280</v>
      </c>
      <c r="C1241" s="1" t="n">
        <v>45668</v>
      </c>
      <c r="D1241" t="inlineStr">
        <is>
          <t>JÄMTLANDS LÄN</t>
        </is>
      </c>
      <c r="E1241" t="inlineStr">
        <is>
          <t>HÄRJEDALEN</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64485-2023</t>
        </is>
      </c>
      <c r="B1242" s="1" t="n">
        <v>45280</v>
      </c>
      <c r="C1242" s="1" t="n">
        <v>45668</v>
      </c>
      <c r="D1242" t="inlineStr">
        <is>
          <t>JÄMTLANDS LÄN</t>
        </is>
      </c>
      <c r="E1242" t="inlineStr">
        <is>
          <t>HÄRJEDALEN</t>
        </is>
      </c>
      <c r="G1242" t="n">
        <v>21.3</v>
      </c>
      <c r="H1242" t="n">
        <v>0</v>
      </c>
      <c r="I1242" t="n">
        <v>0</v>
      </c>
      <c r="J1242" t="n">
        <v>0</v>
      </c>
      <c r="K1242" t="n">
        <v>0</v>
      </c>
      <c r="L1242" t="n">
        <v>0</v>
      </c>
      <c r="M1242" t="n">
        <v>0</v>
      </c>
      <c r="N1242" t="n">
        <v>0</v>
      </c>
      <c r="O1242" t="n">
        <v>0</v>
      </c>
      <c r="P1242" t="n">
        <v>0</v>
      </c>
      <c r="Q1242" t="n">
        <v>0</v>
      </c>
      <c r="R1242" s="2" t="inlineStr"/>
    </row>
    <row r="1243" ht="15" customHeight="1">
      <c r="A1243" t="inlineStr">
        <is>
          <t>A 64630-2023</t>
        </is>
      </c>
      <c r="B1243" s="1" t="n">
        <v>45281</v>
      </c>
      <c r="C1243" s="1" t="n">
        <v>45668</v>
      </c>
      <c r="D1243" t="inlineStr">
        <is>
          <t>JÄMTLANDS LÄN</t>
        </is>
      </c>
      <c r="E1243" t="inlineStr">
        <is>
          <t>HÄRJEDALEN</t>
        </is>
      </c>
      <c r="G1243" t="n">
        <v>82.2</v>
      </c>
      <c r="H1243" t="n">
        <v>0</v>
      </c>
      <c r="I1243" t="n">
        <v>0</v>
      </c>
      <c r="J1243" t="n">
        <v>0</v>
      </c>
      <c r="K1243" t="n">
        <v>0</v>
      </c>
      <c r="L1243" t="n">
        <v>0</v>
      </c>
      <c r="M1243" t="n">
        <v>0</v>
      </c>
      <c r="N1243" t="n">
        <v>0</v>
      </c>
      <c r="O1243" t="n">
        <v>0</v>
      </c>
      <c r="P1243" t="n">
        <v>0</v>
      </c>
      <c r="Q1243" t="n">
        <v>0</v>
      </c>
      <c r="R1243" s="2" t="inlineStr"/>
    </row>
    <row r="1244" ht="15" customHeight="1">
      <c r="A1244" t="inlineStr">
        <is>
          <t>A 64648-2023</t>
        </is>
      </c>
      <c r="B1244" s="1" t="n">
        <v>45281</v>
      </c>
      <c r="C1244" s="1" t="n">
        <v>45668</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64645-2023</t>
        </is>
      </c>
      <c r="B1245" s="1" t="n">
        <v>45281</v>
      </c>
      <c r="C1245" s="1" t="n">
        <v>45668</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64647-2023</t>
        </is>
      </c>
      <c r="B1246" s="1" t="n">
        <v>45281</v>
      </c>
      <c r="C1246" s="1" t="n">
        <v>45668</v>
      </c>
      <c r="D1246" t="inlineStr">
        <is>
          <t>JÄMTLANDS LÄN</t>
        </is>
      </c>
      <c r="E1246" t="inlineStr">
        <is>
          <t>HÄRJEDALEN</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64909-2023</t>
        </is>
      </c>
      <c r="B1247" s="1" t="n">
        <v>45282</v>
      </c>
      <c r="C1247" s="1" t="n">
        <v>45668</v>
      </c>
      <c r="D1247" t="inlineStr">
        <is>
          <t>JÄMTLANDS LÄN</t>
        </is>
      </c>
      <c r="E1247" t="inlineStr">
        <is>
          <t>HÄRJEDALEN</t>
        </is>
      </c>
      <c r="F1247" t="inlineStr">
        <is>
          <t>Holmen skog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65032-2023</t>
        </is>
      </c>
      <c r="B1248" s="1" t="n">
        <v>45287</v>
      </c>
      <c r="C1248" s="1" t="n">
        <v>45668</v>
      </c>
      <c r="D1248" t="inlineStr">
        <is>
          <t>JÄMTLANDS LÄN</t>
        </is>
      </c>
      <c r="E1248" t="inlineStr">
        <is>
          <t>HÄRJEDALEN</t>
        </is>
      </c>
      <c r="F1248" t="inlineStr">
        <is>
          <t>Holmen skog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65152-2023</t>
        </is>
      </c>
      <c r="B1249" s="1" t="n">
        <v>45288</v>
      </c>
      <c r="C1249" s="1" t="n">
        <v>45668</v>
      </c>
      <c r="D1249" t="inlineStr">
        <is>
          <t>JÄMTLANDS LÄN</t>
        </is>
      </c>
      <c r="E1249" t="inlineStr">
        <is>
          <t>HÄRJEDALEN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65150-2023</t>
        </is>
      </c>
      <c r="B1250" s="1" t="n">
        <v>45288</v>
      </c>
      <c r="C1250" s="1" t="n">
        <v>45668</v>
      </c>
      <c r="D1250" t="inlineStr">
        <is>
          <t>JÄMTLANDS LÄN</t>
        </is>
      </c>
      <c r="E1250" t="inlineStr">
        <is>
          <t>HÄRJEDALEN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65248-2023</t>
        </is>
      </c>
      <c r="B1251" s="1" t="n">
        <v>45290</v>
      </c>
      <c r="C1251" s="1" t="n">
        <v>45668</v>
      </c>
      <c r="D1251" t="inlineStr">
        <is>
          <t>JÄMTLANDS LÄN</t>
        </is>
      </c>
      <c r="E1251" t="inlineStr">
        <is>
          <t>HÄRJEDALEN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54-2024</t>
        </is>
      </c>
      <c r="B1252" s="1" t="n">
        <v>45293</v>
      </c>
      <c r="C1252" s="1" t="n">
        <v>45668</v>
      </c>
      <c r="D1252" t="inlineStr">
        <is>
          <t>JÄMTLANDS LÄN</t>
        </is>
      </c>
      <c r="E1252" t="inlineStr">
        <is>
          <t>HÄRJEDALEN</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40-2024</t>
        </is>
      </c>
      <c r="B1253" s="1" t="n">
        <v>45293</v>
      </c>
      <c r="C1253" s="1" t="n">
        <v>45668</v>
      </c>
      <c r="D1253" t="inlineStr">
        <is>
          <t>JÄMTLANDS LÄN</t>
        </is>
      </c>
      <c r="E1253" t="inlineStr">
        <is>
          <t>HÄRJEDALEN</t>
        </is>
      </c>
      <c r="G1253" t="n">
        <v>24.2</v>
      </c>
      <c r="H1253" t="n">
        <v>0</v>
      </c>
      <c r="I1253" t="n">
        <v>0</v>
      </c>
      <c r="J1253" t="n">
        <v>0</v>
      </c>
      <c r="K1253" t="n">
        <v>0</v>
      </c>
      <c r="L1253" t="n">
        <v>0</v>
      </c>
      <c r="M1253" t="n">
        <v>0</v>
      </c>
      <c r="N1253" t="n">
        <v>0</v>
      </c>
      <c r="O1253" t="n">
        <v>0</v>
      </c>
      <c r="P1253" t="n">
        <v>0</v>
      </c>
      <c r="Q1253" t="n">
        <v>0</v>
      </c>
      <c r="R1253" s="2" t="inlineStr"/>
    </row>
    <row r="1254" ht="15" customHeight="1">
      <c r="A1254" t="inlineStr">
        <is>
          <t>A 1211-2024</t>
        </is>
      </c>
      <c r="B1254" s="1" t="n">
        <v>45302</v>
      </c>
      <c r="C1254" s="1" t="n">
        <v>45668</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1366-2024</t>
        </is>
      </c>
      <c r="B1255" s="1" t="n">
        <v>45303</v>
      </c>
      <c r="C1255" s="1" t="n">
        <v>45668</v>
      </c>
      <c r="D1255" t="inlineStr">
        <is>
          <t>JÄMTLANDS LÄN</t>
        </is>
      </c>
      <c r="E1255" t="inlineStr">
        <is>
          <t>HÄRJEDALEN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1398-2024</t>
        </is>
      </c>
      <c r="B1256" s="1" t="n">
        <v>45303</v>
      </c>
      <c r="C1256" s="1" t="n">
        <v>45668</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1361-2024</t>
        </is>
      </c>
      <c r="B1257" s="1" t="n">
        <v>45303</v>
      </c>
      <c r="C1257" s="1" t="n">
        <v>45668</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1364-2024</t>
        </is>
      </c>
      <c r="B1258" s="1" t="n">
        <v>45303</v>
      </c>
      <c r="C1258" s="1" t="n">
        <v>45668</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1587-2024</t>
        </is>
      </c>
      <c r="B1259" s="1" t="n">
        <v>45306</v>
      </c>
      <c r="C1259" s="1" t="n">
        <v>45668</v>
      </c>
      <c r="D1259" t="inlineStr">
        <is>
          <t>JÄMTLANDS LÄN</t>
        </is>
      </c>
      <c r="E1259" t="inlineStr">
        <is>
          <t>HÄRJEDALEN</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1952-2024</t>
        </is>
      </c>
      <c r="B1260" s="1" t="n">
        <v>45308</v>
      </c>
      <c r="C1260" s="1" t="n">
        <v>45668</v>
      </c>
      <c r="D1260" t="inlineStr">
        <is>
          <t>JÄMTLANDS LÄN</t>
        </is>
      </c>
      <c r="E1260" t="inlineStr">
        <is>
          <t>HÄRJEDALEN</t>
        </is>
      </c>
      <c r="F1260" t="inlineStr">
        <is>
          <t>Kyrkan</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2066-2024</t>
        </is>
      </c>
      <c r="B1261" s="1" t="n">
        <v>45308</v>
      </c>
      <c r="C1261" s="1" t="n">
        <v>45668</v>
      </c>
      <c r="D1261" t="inlineStr">
        <is>
          <t>JÄMTLANDS LÄN</t>
        </is>
      </c>
      <c r="E1261" t="inlineStr">
        <is>
          <t>HÄRJEDALEN</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2185-2024</t>
        </is>
      </c>
      <c r="B1262" s="1" t="n">
        <v>45309</v>
      </c>
      <c r="C1262" s="1" t="n">
        <v>45668</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4533-2024</t>
        </is>
      </c>
      <c r="B1263" s="1" t="n">
        <v>45327</v>
      </c>
      <c r="C1263" s="1" t="n">
        <v>45668</v>
      </c>
      <c r="D1263" t="inlineStr">
        <is>
          <t>JÄMTLANDS LÄN</t>
        </is>
      </c>
      <c r="E1263" t="inlineStr">
        <is>
          <t>HÄRJEDALEN</t>
        </is>
      </c>
      <c r="F1263" t="inlineStr">
        <is>
          <t>Övriga statliga verk och myndigheter</t>
        </is>
      </c>
      <c r="G1263" t="n">
        <v>21.1</v>
      </c>
      <c r="H1263" t="n">
        <v>0</v>
      </c>
      <c r="I1263" t="n">
        <v>0</v>
      </c>
      <c r="J1263" t="n">
        <v>0</v>
      </c>
      <c r="K1263" t="n">
        <v>0</v>
      </c>
      <c r="L1263" t="n">
        <v>0</v>
      </c>
      <c r="M1263" t="n">
        <v>0</v>
      </c>
      <c r="N1263" t="n">
        <v>0</v>
      </c>
      <c r="O1263" t="n">
        <v>0</v>
      </c>
      <c r="P1263" t="n">
        <v>0</v>
      </c>
      <c r="Q1263" t="n">
        <v>0</v>
      </c>
      <c r="R1263" s="2" t="inlineStr"/>
    </row>
    <row r="1264" ht="15" customHeight="1">
      <c r="A1264" t="inlineStr">
        <is>
          <t>A 5630-2024</t>
        </is>
      </c>
      <c r="B1264" s="1" t="n">
        <v>45334</v>
      </c>
      <c r="C1264" s="1" t="n">
        <v>45668</v>
      </c>
      <c r="D1264" t="inlineStr">
        <is>
          <t>JÄMTLANDS LÄN</t>
        </is>
      </c>
      <c r="E1264" t="inlineStr">
        <is>
          <t>HÄRJEDALEN</t>
        </is>
      </c>
      <c r="F1264" t="inlineStr">
        <is>
          <t>Övriga statliga verk och myndigheter</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5912-2024</t>
        </is>
      </c>
      <c r="B1265" s="1" t="n">
        <v>45335</v>
      </c>
      <c r="C1265" s="1" t="n">
        <v>45668</v>
      </c>
      <c r="D1265" t="inlineStr">
        <is>
          <t>JÄMTLANDS LÄN</t>
        </is>
      </c>
      <c r="E1265" t="inlineStr">
        <is>
          <t>HÄRJEDALEN</t>
        </is>
      </c>
      <c r="G1265" t="n">
        <v>39.3</v>
      </c>
      <c r="H1265" t="n">
        <v>0</v>
      </c>
      <c r="I1265" t="n">
        <v>0</v>
      </c>
      <c r="J1265" t="n">
        <v>0</v>
      </c>
      <c r="K1265" t="n">
        <v>0</v>
      </c>
      <c r="L1265" t="n">
        <v>0</v>
      </c>
      <c r="M1265" t="n">
        <v>0</v>
      </c>
      <c r="N1265" t="n">
        <v>0</v>
      </c>
      <c r="O1265" t="n">
        <v>0</v>
      </c>
      <c r="P1265" t="n">
        <v>0</v>
      </c>
      <c r="Q1265" t="n">
        <v>0</v>
      </c>
      <c r="R1265" s="2" t="inlineStr"/>
    </row>
    <row r="1266" ht="15" customHeight="1">
      <c r="A1266" t="inlineStr">
        <is>
          <t>A 5913-2024</t>
        </is>
      </c>
      <c r="B1266" s="1" t="n">
        <v>45335</v>
      </c>
      <c r="C1266" s="1" t="n">
        <v>45668</v>
      </c>
      <c r="D1266" t="inlineStr">
        <is>
          <t>JÄMTLANDS LÄN</t>
        </is>
      </c>
      <c r="E1266" t="inlineStr">
        <is>
          <t>HÄRJEDALEN</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6218-2024</t>
        </is>
      </c>
      <c r="B1267" s="1" t="n">
        <v>45337</v>
      </c>
      <c r="C1267" s="1" t="n">
        <v>45668</v>
      </c>
      <c r="D1267" t="inlineStr">
        <is>
          <t>JÄMTLANDS LÄN</t>
        </is>
      </c>
      <c r="E1267" t="inlineStr">
        <is>
          <t>HÄRJEDALEN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6286-2024</t>
        </is>
      </c>
      <c r="B1268" s="1" t="n">
        <v>45337</v>
      </c>
      <c r="C1268" s="1" t="n">
        <v>45668</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6313-2024</t>
        </is>
      </c>
      <c r="B1269" s="1" t="n">
        <v>45338</v>
      </c>
      <c r="C1269" s="1" t="n">
        <v>45668</v>
      </c>
      <c r="D1269" t="inlineStr">
        <is>
          <t>JÄMTLANDS LÄN</t>
        </is>
      </c>
      <c r="E1269" t="inlineStr">
        <is>
          <t>HÄRJEDALEN</t>
        </is>
      </c>
      <c r="F1269" t="inlineStr">
        <is>
          <t>Bergvik skog väst AB</t>
        </is>
      </c>
      <c r="G1269" t="n">
        <v>60.7</v>
      </c>
      <c r="H1269" t="n">
        <v>0</v>
      </c>
      <c r="I1269" t="n">
        <v>0</v>
      </c>
      <c r="J1269" t="n">
        <v>0</v>
      </c>
      <c r="K1269" t="n">
        <v>0</v>
      </c>
      <c r="L1269" t="n">
        <v>0</v>
      </c>
      <c r="M1269" t="n">
        <v>0</v>
      </c>
      <c r="N1269" t="n">
        <v>0</v>
      </c>
      <c r="O1269" t="n">
        <v>0</v>
      </c>
      <c r="P1269" t="n">
        <v>0</v>
      </c>
      <c r="Q1269" t="n">
        <v>0</v>
      </c>
      <c r="R1269" s="2" t="inlineStr"/>
    </row>
    <row r="1270" ht="15" customHeight="1">
      <c r="A1270" t="inlineStr">
        <is>
          <t>A 6304-2024</t>
        </is>
      </c>
      <c r="B1270" s="1" t="n">
        <v>45338</v>
      </c>
      <c r="C1270" s="1" t="n">
        <v>45668</v>
      </c>
      <c r="D1270" t="inlineStr">
        <is>
          <t>JÄMTLANDS LÄN</t>
        </is>
      </c>
      <c r="E1270" t="inlineStr">
        <is>
          <t>HÄRJEDALEN</t>
        </is>
      </c>
      <c r="F1270" t="inlineStr">
        <is>
          <t>Bergvik skog väst AB</t>
        </is>
      </c>
      <c r="G1270" t="n">
        <v>23.5</v>
      </c>
      <c r="H1270" t="n">
        <v>0</v>
      </c>
      <c r="I1270" t="n">
        <v>0</v>
      </c>
      <c r="J1270" t="n">
        <v>0</v>
      </c>
      <c r="K1270" t="n">
        <v>0</v>
      </c>
      <c r="L1270" t="n">
        <v>0</v>
      </c>
      <c r="M1270" t="n">
        <v>0</v>
      </c>
      <c r="N1270" t="n">
        <v>0</v>
      </c>
      <c r="O1270" t="n">
        <v>0</v>
      </c>
      <c r="P1270" t="n">
        <v>0</v>
      </c>
      <c r="Q1270" t="n">
        <v>0</v>
      </c>
      <c r="R1270" s="2" t="inlineStr"/>
    </row>
    <row r="1271" ht="15" customHeight="1">
      <c r="A1271" t="inlineStr">
        <is>
          <t>A 6756-2024</t>
        </is>
      </c>
      <c r="B1271" s="1" t="n">
        <v>45342</v>
      </c>
      <c r="C1271" s="1" t="n">
        <v>45668</v>
      </c>
      <c r="D1271" t="inlineStr">
        <is>
          <t>JÄMTLANDS LÄN</t>
        </is>
      </c>
      <c r="E1271" t="inlineStr">
        <is>
          <t>HÄRJEDALEN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7205-2024</t>
        </is>
      </c>
      <c r="B1272" s="1" t="n">
        <v>45344</v>
      </c>
      <c r="C1272" s="1" t="n">
        <v>45668</v>
      </c>
      <c r="D1272" t="inlineStr">
        <is>
          <t>JÄMTLANDS LÄN</t>
        </is>
      </c>
      <c r="E1272" t="inlineStr">
        <is>
          <t>HÄRJEDALEN</t>
        </is>
      </c>
      <c r="F1272" t="inlineStr">
        <is>
          <t>Holmen skog AB</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7199-2024</t>
        </is>
      </c>
      <c r="B1273" s="1" t="n">
        <v>45344</v>
      </c>
      <c r="C1273" s="1" t="n">
        <v>45668</v>
      </c>
      <c r="D1273" t="inlineStr">
        <is>
          <t>JÄMTLANDS LÄN</t>
        </is>
      </c>
      <c r="E1273" t="inlineStr">
        <is>
          <t>HÄRJEDALEN</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7235-2024</t>
        </is>
      </c>
      <c r="B1274" s="1" t="n">
        <v>45344</v>
      </c>
      <c r="C1274" s="1" t="n">
        <v>45668</v>
      </c>
      <c r="D1274" t="inlineStr">
        <is>
          <t>JÄMTLANDS LÄN</t>
        </is>
      </c>
      <c r="E1274" t="inlineStr">
        <is>
          <t>HÄRJEDALEN</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7239-2024</t>
        </is>
      </c>
      <c r="B1275" s="1" t="n">
        <v>45344</v>
      </c>
      <c r="C1275" s="1" t="n">
        <v>45668</v>
      </c>
      <c r="D1275" t="inlineStr">
        <is>
          <t>JÄMTLANDS LÄN</t>
        </is>
      </c>
      <c r="E1275" t="inlineStr">
        <is>
          <t>HÄRJEDALEN</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7243-2024</t>
        </is>
      </c>
      <c r="B1276" s="1" t="n">
        <v>45344</v>
      </c>
      <c r="C1276" s="1" t="n">
        <v>45668</v>
      </c>
      <c r="D1276" t="inlineStr">
        <is>
          <t>JÄMTLANDS LÄN</t>
        </is>
      </c>
      <c r="E1276" t="inlineStr">
        <is>
          <t>HÄRJEDALEN</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7200-2024</t>
        </is>
      </c>
      <c r="B1277" s="1" t="n">
        <v>45344</v>
      </c>
      <c r="C1277" s="1" t="n">
        <v>45668</v>
      </c>
      <c r="D1277" t="inlineStr">
        <is>
          <t>JÄMTLANDS LÄN</t>
        </is>
      </c>
      <c r="E1277" t="inlineStr">
        <is>
          <t>HÄRJEDALEN</t>
        </is>
      </c>
      <c r="F1277" t="inlineStr">
        <is>
          <t>Holmen skog AB</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7313-2024</t>
        </is>
      </c>
      <c r="B1278" s="1" t="n">
        <v>45345</v>
      </c>
      <c r="C1278" s="1" t="n">
        <v>45668</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7311-2024</t>
        </is>
      </c>
      <c r="B1279" s="1" t="n">
        <v>45345</v>
      </c>
      <c r="C1279" s="1" t="n">
        <v>45668</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7392-2024</t>
        </is>
      </c>
      <c r="B1280" s="1" t="n">
        <v>45345</v>
      </c>
      <c r="C1280" s="1" t="n">
        <v>45668</v>
      </c>
      <c r="D1280" t="inlineStr">
        <is>
          <t>JÄMTLANDS LÄN</t>
        </is>
      </c>
      <c r="E1280" t="inlineStr">
        <is>
          <t>HÄRJEDALEN</t>
        </is>
      </c>
      <c r="F1280" t="inlineStr">
        <is>
          <t>Holmen skog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7396-2024</t>
        </is>
      </c>
      <c r="B1281" s="1" t="n">
        <v>45345</v>
      </c>
      <c r="C1281" s="1" t="n">
        <v>45668</v>
      </c>
      <c r="D1281" t="inlineStr">
        <is>
          <t>JÄMTLANDS LÄN</t>
        </is>
      </c>
      <c r="E1281" t="inlineStr">
        <is>
          <t>HÄRJEDALEN</t>
        </is>
      </c>
      <c r="F1281" t="inlineStr">
        <is>
          <t>Holmen skog AB</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7368-2024</t>
        </is>
      </c>
      <c r="B1282" s="1" t="n">
        <v>45345</v>
      </c>
      <c r="C1282" s="1" t="n">
        <v>45668</v>
      </c>
      <c r="D1282" t="inlineStr">
        <is>
          <t>JÄMTLANDS LÄN</t>
        </is>
      </c>
      <c r="E1282" t="inlineStr">
        <is>
          <t>HÄRJEDALEN</t>
        </is>
      </c>
      <c r="F1282" t="inlineStr">
        <is>
          <t>Holmen skog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7433-2024</t>
        </is>
      </c>
      <c r="B1283" s="1" t="n">
        <v>45345</v>
      </c>
      <c r="C1283" s="1" t="n">
        <v>45668</v>
      </c>
      <c r="D1283" t="inlineStr">
        <is>
          <t>JÄMTLANDS LÄN</t>
        </is>
      </c>
      <c r="E1283" t="inlineStr">
        <is>
          <t>HÄRJEDALEN</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7424-2024</t>
        </is>
      </c>
      <c r="B1284" s="1" t="n">
        <v>45345</v>
      </c>
      <c r="C1284" s="1" t="n">
        <v>45668</v>
      </c>
      <c r="D1284" t="inlineStr">
        <is>
          <t>JÄMTLANDS LÄN</t>
        </is>
      </c>
      <c r="E1284" t="inlineStr">
        <is>
          <t>HÄRJEDALEN</t>
        </is>
      </c>
      <c r="F1284" t="inlineStr">
        <is>
          <t>Holmen skog AB</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7328-2024</t>
        </is>
      </c>
      <c r="B1285" s="1" t="n">
        <v>45345</v>
      </c>
      <c r="C1285" s="1" t="n">
        <v>45668</v>
      </c>
      <c r="D1285" t="inlineStr">
        <is>
          <t>JÄMTLANDS LÄN</t>
        </is>
      </c>
      <c r="E1285" t="inlineStr">
        <is>
          <t>HÄRJEDALEN</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7320-2024</t>
        </is>
      </c>
      <c r="B1286" s="1" t="n">
        <v>45345</v>
      </c>
      <c r="C1286" s="1" t="n">
        <v>45668</v>
      </c>
      <c r="D1286" t="inlineStr">
        <is>
          <t>JÄMTLANDS LÄN</t>
        </is>
      </c>
      <c r="E1286" t="inlineStr">
        <is>
          <t>HÄRJEDALEN</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7402-2024</t>
        </is>
      </c>
      <c r="B1287" s="1" t="n">
        <v>45345</v>
      </c>
      <c r="C1287" s="1" t="n">
        <v>45668</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7370-2024</t>
        </is>
      </c>
      <c r="B1288" s="1" t="n">
        <v>45345</v>
      </c>
      <c r="C1288" s="1" t="n">
        <v>45668</v>
      </c>
      <c r="D1288" t="inlineStr">
        <is>
          <t>JÄMTLANDS LÄN</t>
        </is>
      </c>
      <c r="E1288" t="inlineStr">
        <is>
          <t>HÄRJEDALEN</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7362-2024</t>
        </is>
      </c>
      <c r="B1289" s="1" t="n">
        <v>45345</v>
      </c>
      <c r="C1289" s="1" t="n">
        <v>45668</v>
      </c>
      <c r="D1289" t="inlineStr">
        <is>
          <t>JÄMTLANDS LÄN</t>
        </is>
      </c>
      <c r="E1289" t="inlineStr">
        <is>
          <t>HÄRJEDALEN</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7358-2024</t>
        </is>
      </c>
      <c r="B1290" s="1" t="n">
        <v>45345</v>
      </c>
      <c r="C1290" s="1" t="n">
        <v>45668</v>
      </c>
      <c r="D1290" t="inlineStr">
        <is>
          <t>JÄMTLANDS LÄN</t>
        </is>
      </c>
      <c r="E1290" t="inlineStr">
        <is>
          <t>HÄRJEDALEN</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7318-2024</t>
        </is>
      </c>
      <c r="B1291" s="1" t="n">
        <v>45345</v>
      </c>
      <c r="C1291" s="1" t="n">
        <v>45668</v>
      </c>
      <c r="D1291" t="inlineStr">
        <is>
          <t>JÄMTLANDS LÄN</t>
        </is>
      </c>
      <c r="E1291" t="inlineStr">
        <is>
          <t>HÄRJEDALEN</t>
        </is>
      </c>
      <c r="F1291" t="inlineStr">
        <is>
          <t>Holmen skog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7430-2024</t>
        </is>
      </c>
      <c r="B1292" s="1" t="n">
        <v>45345</v>
      </c>
      <c r="C1292" s="1" t="n">
        <v>45668</v>
      </c>
      <c r="D1292" t="inlineStr">
        <is>
          <t>JÄMTLANDS LÄN</t>
        </is>
      </c>
      <c r="E1292" t="inlineStr">
        <is>
          <t>HÄRJEDALEN</t>
        </is>
      </c>
      <c r="F1292" t="inlineStr">
        <is>
          <t>Holmen skog AB</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7371-2024</t>
        </is>
      </c>
      <c r="B1293" s="1" t="n">
        <v>45345</v>
      </c>
      <c r="C1293" s="1" t="n">
        <v>45668</v>
      </c>
      <c r="D1293" t="inlineStr">
        <is>
          <t>JÄMTLANDS LÄN</t>
        </is>
      </c>
      <c r="E1293" t="inlineStr">
        <is>
          <t>HÄRJEDALEN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7405-2024</t>
        </is>
      </c>
      <c r="B1294" s="1" t="n">
        <v>45345</v>
      </c>
      <c r="C1294" s="1" t="n">
        <v>45668</v>
      </c>
      <c r="D1294" t="inlineStr">
        <is>
          <t>JÄMTLANDS LÄN</t>
        </is>
      </c>
      <c r="E1294" t="inlineStr">
        <is>
          <t>HÄRJEDALEN</t>
        </is>
      </c>
      <c r="F1294" t="inlineStr">
        <is>
          <t>Holmen skog AB</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7349-2024</t>
        </is>
      </c>
      <c r="B1295" s="1" t="n">
        <v>45345</v>
      </c>
      <c r="C1295" s="1" t="n">
        <v>45668</v>
      </c>
      <c r="D1295" t="inlineStr">
        <is>
          <t>JÄMTLANDS LÄN</t>
        </is>
      </c>
      <c r="E1295" t="inlineStr">
        <is>
          <t>HÄRJEDALEN</t>
        </is>
      </c>
      <c r="F1295" t="inlineStr">
        <is>
          <t>Holmen skog AB</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7341-2024</t>
        </is>
      </c>
      <c r="B1296" s="1" t="n">
        <v>45345</v>
      </c>
      <c r="C1296" s="1" t="n">
        <v>45668</v>
      </c>
      <c r="D1296" t="inlineStr">
        <is>
          <t>JÄMTLANDS LÄN</t>
        </is>
      </c>
      <c r="E1296" t="inlineStr">
        <is>
          <t>HÄRJEDALEN</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7647-2024</t>
        </is>
      </c>
      <c r="B1297" s="1" t="n">
        <v>45348</v>
      </c>
      <c r="C1297" s="1" t="n">
        <v>45668</v>
      </c>
      <c r="D1297" t="inlineStr">
        <is>
          <t>JÄMTLANDS LÄN</t>
        </is>
      </c>
      <c r="E1297" t="inlineStr">
        <is>
          <t>HÄRJEDALEN</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7528-2024</t>
        </is>
      </c>
      <c r="B1298" s="1" t="n">
        <v>45348</v>
      </c>
      <c r="C1298" s="1" t="n">
        <v>45668</v>
      </c>
      <c r="D1298" t="inlineStr">
        <is>
          <t>JÄMTLANDS LÄN</t>
        </is>
      </c>
      <c r="E1298" t="inlineStr">
        <is>
          <t>HÄRJEDALEN</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7530-2024</t>
        </is>
      </c>
      <c r="B1299" s="1" t="n">
        <v>45348</v>
      </c>
      <c r="C1299" s="1" t="n">
        <v>45668</v>
      </c>
      <c r="D1299" t="inlineStr">
        <is>
          <t>JÄMTLANDS LÄN</t>
        </is>
      </c>
      <c r="E1299" t="inlineStr">
        <is>
          <t>HÄRJEDALEN</t>
        </is>
      </c>
      <c r="F1299" t="inlineStr">
        <is>
          <t>Holmen skog AB</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7639-2024</t>
        </is>
      </c>
      <c r="B1300" s="1" t="n">
        <v>45348</v>
      </c>
      <c r="C1300" s="1" t="n">
        <v>45668</v>
      </c>
      <c r="D1300" t="inlineStr">
        <is>
          <t>JÄMTLANDS LÄN</t>
        </is>
      </c>
      <c r="E1300" t="inlineStr">
        <is>
          <t>HÄRJEDALEN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7684-2024</t>
        </is>
      </c>
      <c r="B1301" s="1" t="n">
        <v>45348</v>
      </c>
      <c r="C1301" s="1" t="n">
        <v>45668</v>
      </c>
      <c r="D1301" t="inlineStr">
        <is>
          <t>JÄMTLANDS LÄN</t>
        </is>
      </c>
      <c r="E1301" t="inlineStr">
        <is>
          <t>HÄRJEDALEN</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7896-2024</t>
        </is>
      </c>
      <c r="B1302" s="1" t="n">
        <v>45350</v>
      </c>
      <c r="C1302" s="1" t="n">
        <v>45668</v>
      </c>
      <c r="D1302" t="inlineStr">
        <is>
          <t>JÄMTLANDS LÄN</t>
        </is>
      </c>
      <c r="E1302" t="inlineStr">
        <is>
          <t>HÄRJEDALEN</t>
        </is>
      </c>
      <c r="F1302" t="inlineStr">
        <is>
          <t>Holmen skog AB</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7880-2024</t>
        </is>
      </c>
      <c r="B1303" s="1" t="n">
        <v>45350</v>
      </c>
      <c r="C1303" s="1" t="n">
        <v>45668</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7995-2024</t>
        </is>
      </c>
      <c r="B1304" s="1" t="n">
        <v>45350</v>
      </c>
      <c r="C1304" s="1" t="n">
        <v>45668</v>
      </c>
      <c r="D1304" t="inlineStr">
        <is>
          <t>JÄMTLANDS LÄN</t>
        </is>
      </c>
      <c r="E1304" t="inlineStr">
        <is>
          <t>HÄRJEDALEN</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8178-2024</t>
        </is>
      </c>
      <c r="B1305" s="1" t="n">
        <v>45350</v>
      </c>
      <c r="C1305" s="1" t="n">
        <v>45668</v>
      </c>
      <c r="D1305" t="inlineStr">
        <is>
          <t>JÄMTLANDS LÄN</t>
        </is>
      </c>
      <c r="E1305" t="inlineStr">
        <is>
          <t>HÄRJEDALEN</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8158-2024</t>
        </is>
      </c>
      <c r="B1306" s="1" t="n">
        <v>45351</v>
      </c>
      <c r="C1306" s="1" t="n">
        <v>45668</v>
      </c>
      <c r="D1306" t="inlineStr">
        <is>
          <t>JÄMTLANDS LÄN</t>
        </is>
      </c>
      <c r="E1306" t="inlineStr">
        <is>
          <t>HÄRJEDALEN</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8215-2024</t>
        </is>
      </c>
      <c r="B1307" s="1" t="n">
        <v>45351</v>
      </c>
      <c r="C1307" s="1" t="n">
        <v>45668</v>
      </c>
      <c r="D1307" t="inlineStr">
        <is>
          <t>JÄMTLANDS LÄN</t>
        </is>
      </c>
      <c r="E1307" t="inlineStr">
        <is>
          <t>HÄRJEDALEN</t>
        </is>
      </c>
      <c r="G1307" t="n">
        <v>49.2</v>
      </c>
      <c r="H1307" t="n">
        <v>0</v>
      </c>
      <c r="I1307" t="n">
        <v>0</v>
      </c>
      <c r="J1307" t="n">
        <v>0</v>
      </c>
      <c r="K1307" t="n">
        <v>0</v>
      </c>
      <c r="L1307" t="n">
        <v>0</v>
      </c>
      <c r="M1307" t="n">
        <v>0</v>
      </c>
      <c r="N1307" t="n">
        <v>0</v>
      </c>
      <c r="O1307" t="n">
        <v>0</v>
      </c>
      <c r="P1307" t="n">
        <v>0</v>
      </c>
      <c r="Q1307" t="n">
        <v>0</v>
      </c>
      <c r="R1307" s="2" t="inlineStr"/>
    </row>
    <row r="1308" ht="15" customHeight="1">
      <c r="A1308" t="inlineStr">
        <is>
          <t>A 8136-2024</t>
        </is>
      </c>
      <c r="B1308" s="1" t="n">
        <v>45351</v>
      </c>
      <c r="C1308" s="1" t="n">
        <v>45668</v>
      </c>
      <c r="D1308" t="inlineStr">
        <is>
          <t>JÄMTLANDS LÄN</t>
        </is>
      </c>
      <c r="E1308" t="inlineStr">
        <is>
          <t>HÄRJEDALEN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8376-2024</t>
        </is>
      </c>
      <c r="B1309" s="1" t="n">
        <v>45352</v>
      </c>
      <c r="C1309" s="1" t="n">
        <v>45668</v>
      </c>
      <c r="D1309" t="inlineStr">
        <is>
          <t>JÄMTLANDS LÄN</t>
        </is>
      </c>
      <c r="E1309" t="inlineStr">
        <is>
          <t>HÄRJEDALEN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9013-2024</t>
        </is>
      </c>
      <c r="B1310" s="1" t="n">
        <v>45357</v>
      </c>
      <c r="C1310" s="1" t="n">
        <v>45668</v>
      </c>
      <c r="D1310" t="inlineStr">
        <is>
          <t>JÄMTLANDS LÄN</t>
        </is>
      </c>
      <c r="E1310" t="inlineStr">
        <is>
          <t>HÄRJEDALEN</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9778-2024</t>
        </is>
      </c>
      <c r="B1311" s="1" t="n">
        <v>45362</v>
      </c>
      <c r="C1311" s="1" t="n">
        <v>45668</v>
      </c>
      <c r="D1311" t="inlineStr">
        <is>
          <t>JÄMTLANDS LÄN</t>
        </is>
      </c>
      <c r="E1311" t="inlineStr">
        <is>
          <t>HÄRJEDALEN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9782-2024</t>
        </is>
      </c>
      <c r="B1312" s="1" t="n">
        <v>45362</v>
      </c>
      <c r="C1312" s="1" t="n">
        <v>45668</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9767-2024</t>
        </is>
      </c>
      <c r="B1313" s="1" t="n">
        <v>45362</v>
      </c>
      <c r="C1313" s="1" t="n">
        <v>45668</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9780-2024</t>
        </is>
      </c>
      <c r="B1314" s="1" t="n">
        <v>45362</v>
      </c>
      <c r="C1314" s="1" t="n">
        <v>45668</v>
      </c>
      <c r="D1314" t="inlineStr">
        <is>
          <t>JÄMTLANDS LÄN</t>
        </is>
      </c>
      <c r="E1314" t="inlineStr">
        <is>
          <t>HÄRJEDALEN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9784-2024</t>
        </is>
      </c>
      <c r="B1315" s="1" t="n">
        <v>45362</v>
      </c>
      <c r="C1315" s="1" t="n">
        <v>45668</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9788-2024</t>
        </is>
      </c>
      <c r="B1316" s="1" t="n">
        <v>45362</v>
      </c>
      <c r="C1316" s="1" t="n">
        <v>45668</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9775-2024</t>
        </is>
      </c>
      <c r="B1317" s="1" t="n">
        <v>45362</v>
      </c>
      <c r="C1317" s="1" t="n">
        <v>45668</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10566-2024</t>
        </is>
      </c>
      <c r="B1318" s="1" t="n">
        <v>45366</v>
      </c>
      <c r="C1318" s="1" t="n">
        <v>45668</v>
      </c>
      <c r="D1318" t="inlineStr">
        <is>
          <t>JÄMTLANDS LÄN</t>
        </is>
      </c>
      <c r="E1318" t="inlineStr">
        <is>
          <t>HÄRJEDALEN</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10564-2024</t>
        </is>
      </c>
      <c r="B1319" s="1" t="n">
        <v>45366</v>
      </c>
      <c r="C1319" s="1" t="n">
        <v>45668</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10563-2024</t>
        </is>
      </c>
      <c r="B1320" s="1" t="n">
        <v>45366</v>
      </c>
      <c r="C1320" s="1" t="n">
        <v>45668</v>
      </c>
      <c r="D1320" t="inlineStr">
        <is>
          <t>JÄMTLANDS LÄN</t>
        </is>
      </c>
      <c r="E1320" t="inlineStr">
        <is>
          <t>HÄRJEDALEN</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11257-2024</t>
        </is>
      </c>
      <c r="B1321" s="1" t="n">
        <v>45371</v>
      </c>
      <c r="C1321" s="1" t="n">
        <v>45668</v>
      </c>
      <c r="D1321" t="inlineStr">
        <is>
          <t>JÄMTLANDS LÄN</t>
        </is>
      </c>
      <c r="E1321" t="inlineStr">
        <is>
          <t>HÄRJEDALEN</t>
        </is>
      </c>
      <c r="F1321" t="inlineStr">
        <is>
          <t>Holmen skog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11255-2024</t>
        </is>
      </c>
      <c r="B1322" s="1" t="n">
        <v>45371</v>
      </c>
      <c r="C1322" s="1" t="n">
        <v>45668</v>
      </c>
      <c r="D1322" t="inlineStr">
        <is>
          <t>JÄMTLANDS LÄN</t>
        </is>
      </c>
      <c r="E1322" t="inlineStr">
        <is>
          <t>HÄRJEDALEN</t>
        </is>
      </c>
      <c r="F1322" t="inlineStr">
        <is>
          <t>Holmen skog AB</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11494-2024</t>
        </is>
      </c>
      <c r="B1323" s="1" t="n">
        <v>45372</v>
      </c>
      <c r="C1323" s="1" t="n">
        <v>45668</v>
      </c>
      <c r="D1323" t="inlineStr">
        <is>
          <t>JÄMTLANDS LÄN</t>
        </is>
      </c>
      <c r="E1323" t="inlineStr">
        <is>
          <t>HÄRJEDALEN</t>
        </is>
      </c>
      <c r="G1323" t="n">
        <v>28.8</v>
      </c>
      <c r="H1323" t="n">
        <v>0</v>
      </c>
      <c r="I1323" t="n">
        <v>0</v>
      </c>
      <c r="J1323" t="n">
        <v>0</v>
      </c>
      <c r="K1323" t="n">
        <v>0</v>
      </c>
      <c r="L1323" t="n">
        <v>0</v>
      </c>
      <c r="M1323" t="n">
        <v>0</v>
      </c>
      <c r="N1323" t="n">
        <v>0</v>
      </c>
      <c r="O1323" t="n">
        <v>0</v>
      </c>
      <c r="P1323" t="n">
        <v>0</v>
      </c>
      <c r="Q1323" t="n">
        <v>0</v>
      </c>
      <c r="R1323" s="2" t="inlineStr"/>
    </row>
    <row r="1324" ht="15" customHeight="1">
      <c r="A1324" t="inlineStr">
        <is>
          <t>A 11624-2024</t>
        </is>
      </c>
      <c r="B1324" s="1" t="n">
        <v>45373</v>
      </c>
      <c r="C1324" s="1" t="n">
        <v>45668</v>
      </c>
      <c r="D1324" t="inlineStr">
        <is>
          <t>JÄMTLANDS LÄN</t>
        </is>
      </c>
      <c r="E1324" t="inlineStr">
        <is>
          <t>HÄRJEDALEN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11612-2024</t>
        </is>
      </c>
      <c r="B1325" s="1" t="n">
        <v>45373</v>
      </c>
      <c r="C1325" s="1" t="n">
        <v>45668</v>
      </c>
      <c r="D1325" t="inlineStr">
        <is>
          <t>JÄMTLANDS LÄN</t>
        </is>
      </c>
      <c r="E1325" t="inlineStr">
        <is>
          <t>HÄRJEDALEN</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12043-2024</t>
        </is>
      </c>
      <c r="B1326" s="1" t="n">
        <v>45377</v>
      </c>
      <c r="C1326" s="1" t="n">
        <v>45668</v>
      </c>
      <c r="D1326" t="inlineStr">
        <is>
          <t>JÄMTLANDS LÄN</t>
        </is>
      </c>
      <c r="E1326" t="inlineStr">
        <is>
          <t>HÄRJEDALEN</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12929-2024</t>
        </is>
      </c>
      <c r="B1327" s="1" t="n">
        <v>45385</v>
      </c>
      <c r="C1327" s="1" t="n">
        <v>45668</v>
      </c>
      <c r="D1327" t="inlineStr">
        <is>
          <t>JÄMTLANDS LÄN</t>
        </is>
      </c>
      <c r="E1327" t="inlineStr">
        <is>
          <t>HÄRJEDALEN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13542-2024</t>
        </is>
      </c>
      <c r="B1328" s="1" t="n">
        <v>45387</v>
      </c>
      <c r="C1328" s="1" t="n">
        <v>45668</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13543-2024</t>
        </is>
      </c>
      <c r="B1329" s="1" t="n">
        <v>45387</v>
      </c>
      <c r="C1329" s="1" t="n">
        <v>45668</v>
      </c>
      <c r="D1329" t="inlineStr">
        <is>
          <t>JÄMTLANDS LÄN</t>
        </is>
      </c>
      <c r="E1329" t="inlineStr">
        <is>
          <t>HÄRJEDALEN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13544-2024</t>
        </is>
      </c>
      <c r="B1330" s="1" t="n">
        <v>45387</v>
      </c>
      <c r="C1330" s="1" t="n">
        <v>45668</v>
      </c>
      <c r="D1330" t="inlineStr">
        <is>
          <t>JÄMTLANDS LÄN</t>
        </is>
      </c>
      <c r="E1330" t="inlineStr">
        <is>
          <t>HÄRJEDALEN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13545-2024</t>
        </is>
      </c>
      <c r="B1331" s="1" t="n">
        <v>45387</v>
      </c>
      <c r="C1331" s="1" t="n">
        <v>45668</v>
      </c>
      <c r="D1331" t="inlineStr">
        <is>
          <t>JÄMTLANDS LÄN</t>
        </is>
      </c>
      <c r="E1331" t="inlineStr">
        <is>
          <t>HÄRJEDALEN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13541-2024</t>
        </is>
      </c>
      <c r="B1332" s="1" t="n">
        <v>45387</v>
      </c>
      <c r="C1332" s="1" t="n">
        <v>45668</v>
      </c>
      <c r="D1332" t="inlineStr">
        <is>
          <t>JÄMTLANDS LÄN</t>
        </is>
      </c>
      <c r="E1332" t="inlineStr">
        <is>
          <t>HÄRJEDALEN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13723-2024</t>
        </is>
      </c>
      <c r="B1333" s="1" t="n">
        <v>45390</v>
      </c>
      <c r="C1333" s="1" t="n">
        <v>45668</v>
      </c>
      <c r="D1333" t="inlineStr">
        <is>
          <t>JÄMTLANDS LÄN</t>
        </is>
      </c>
      <c r="E1333" t="inlineStr">
        <is>
          <t>HÄRJEDALEN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14301-2024</t>
        </is>
      </c>
      <c r="B1334" s="1" t="n">
        <v>45393</v>
      </c>
      <c r="C1334" s="1" t="n">
        <v>45668</v>
      </c>
      <c r="D1334" t="inlineStr">
        <is>
          <t>JÄMTLANDS LÄN</t>
        </is>
      </c>
      <c r="E1334" t="inlineStr">
        <is>
          <t>HÄRJEDALEN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14306-2024</t>
        </is>
      </c>
      <c r="B1335" s="1" t="n">
        <v>45393</v>
      </c>
      <c r="C1335" s="1" t="n">
        <v>45668</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14752-2024</t>
        </is>
      </c>
      <c r="B1336" s="1" t="n">
        <v>45397</v>
      </c>
      <c r="C1336" s="1" t="n">
        <v>45668</v>
      </c>
      <c r="D1336" t="inlineStr">
        <is>
          <t>JÄMTLANDS LÄN</t>
        </is>
      </c>
      <c r="E1336" t="inlineStr">
        <is>
          <t>HÄRJEDALEN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15525-2024</t>
        </is>
      </c>
      <c r="B1337" s="1" t="n">
        <v>45401</v>
      </c>
      <c r="C1337" s="1" t="n">
        <v>45668</v>
      </c>
      <c r="D1337" t="inlineStr">
        <is>
          <t>JÄMTLANDS LÄN</t>
        </is>
      </c>
      <c r="E1337" t="inlineStr">
        <is>
          <t>HÄRJEDALEN</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16185-2024</t>
        </is>
      </c>
      <c r="B1338" s="1" t="n">
        <v>45406</v>
      </c>
      <c r="C1338" s="1" t="n">
        <v>45668</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16151-2024</t>
        </is>
      </c>
      <c r="B1339" s="1" t="n">
        <v>45406</v>
      </c>
      <c r="C1339" s="1" t="n">
        <v>45668</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16175-2024</t>
        </is>
      </c>
      <c r="B1340" s="1" t="n">
        <v>45406</v>
      </c>
      <c r="C1340" s="1" t="n">
        <v>45668</v>
      </c>
      <c r="D1340" t="inlineStr">
        <is>
          <t>JÄMTLANDS LÄN</t>
        </is>
      </c>
      <c r="E1340" t="inlineStr">
        <is>
          <t>HÄRJEDALEN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16176-2024</t>
        </is>
      </c>
      <c r="B1341" s="1" t="n">
        <v>45406</v>
      </c>
      <c r="C1341" s="1" t="n">
        <v>45668</v>
      </c>
      <c r="D1341" t="inlineStr">
        <is>
          <t>JÄMTLANDS LÄN</t>
        </is>
      </c>
      <c r="E1341" t="inlineStr">
        <is>
          <t>HÄRJEDALEN</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16283-2024</t>
        </is>
      </c>
      <c r="B1342" s="1" t="n">
        <v>45407</v>
      </c>
      <c r="C1342" s="1" t="n">
        <v>45668</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16511-2024</t>
        </is>
      </c>
      <c r="B1343" s="1" t="n">
        <v>45408</v>
      </c>
      <c r="C1343" s="1" t="n">
        <v>45668</v>
      </c>
      <c r="D1343" t="inlineStr">
        <is>
          <t>JÄMTLANDS LÄN</t>
        </is>
      </c>
      <c r="E1343" t="inlineStr">
        <is>
          <t>HÄRJEDALEN</t>
        </is>
      </c>
      <c r="G1343" t="n">
        <v>54.2</v>
      </c>
      <c r="H1343" t="n">
        <v>0</v>
      </c>
      <c r="I1343" t="n">
        <v>0</v>
      </c>
      <c r="J1343" t="n">
        <v>0</v>
      </c>
      <c r="K1343" t="n">
        <v>0</v>
      </c>
      <c r="L1343" t="n">
        <v>0</v>
      </c>
      <c r="M1343" t="n">
        <v>0</v>
      </c>
      <c r="N1343" t="n">
        <v>0</v>
      </c>
      <c r="O1343" t="n">
        <v>0</v>
      </c>
      <c r="P1343" t="n">
        <v>0</v>
      </c>
      <c r="Q1343" t="n">
        <v>0</v>
      </c>
      <c r="R1343" s="2" t="inlineStr"/>
    </row>
    <row r="1344" ht="15" customHeight="1">
      <c r="A1344" t="inlineStr">
        <is>
          <t>A 16535-2024</t>
        </is>
      </c>
      <c r="B1344" s="1" t="n">
        <v>45408</v>
      </c>
      <c r="C1344" s="1" t="n">
        <v>45668</v>
      </c>
      <c r="D1344" t="inlineStr">
        <is>
          <t>JÄMTLANDS LÄN</t>
        </is>
      </c>
      <c r="E1344" t="inlineStr">
        <is>
          <t>HÄRJEDALEN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16801-2024</t>
        </is>
      </c>
      <c r="B1345" s="1" t="n">
        <v>45411</v>
      </c>
      <c r="C1345" s="1" t="n">
        <v>45668</v>
      </c>
      <c r="D1345" t="inlineStr">
        <is>
          <t>JÄMTLANDS LÄN</t>
        </is>
      </c>
      <c r="E1345" t="inlineStr">
        <is>
          <t>HÄRJEDALEN</t>
        </is>
      </c>
      <c r="F1345" t="inlineStr">
        <is>
          <t>Bergvik skog väst AB</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17416-2024</t>
        </is>
      </c>
      <c r="B1346" s="1" t="n">
        <v>45415</v>
      </c>
      <c r="C1346" s="1" t="n">
        <v>45668</v>
      </c>
      <c r="D1346" t="inlineStr">
        <is>
          <t>JÄMTLANDS LÄN</t>
        </is>
      </c>
      <c r="E1346" t="inlineStr">
        <is>
          <t>HÄRJEDALEN</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17773-2024</t>
        </is>
      </c>
      <c r="B1347" s="1" t="n">
        <v>45418</v>
      </c>
      <c r="C1347" s="1" t="n">
        <v>45668</v>
      </c>
      <c r="D1347" t="inlineStr">
        <is>
          <t>JÄMTLANDS LÄN</t>
        </is>
      </c>
      <c r="E1347" t="inlineStr">
        <is>
          <t>HÄRJEDALEN</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17865-2024</t>
        </is>
      </c>
      <c r="B1348" s="1" t="n">
        <v>45419</v>
      </c>
      <c r="C1348" s="1" t="n">
        <v>45668</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18036-2024</t>
        </is>
      </c>
      <c r="B1349" s="1" t="n">
        <v>45420</v>
      </c>
      <c r="C1349" s="1" t="n">
        <v>45668</v>
      </c>
      <c r="D1349" t="inlineStr">
        <is>
          <t>JÄMTLANDS LÄN</t>
        </is>
      </c>
      <c r="E1349" t="inlineStr">
        <is>
          <t>HÄRJEDALEN</t>
        </is>
      </c>
      <c r="F1349" t="inlineStr">
        <is>
          <t>Holmen skog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18068-2024</t>
        </is>
      </c>
      <c r="B1350" s="1" t="n">
        <v>45420</v>
      </c>
      <c r="C1350" s="1" t="n">
        <v>45668</v>
      </c>
      <c r="D1350" t="inlineStr">
        <is>
          <t>JÄMTLANDS LÄN</t>
        </is>
      </c>
      <c r="E1350" t="inlineStr">
        <is>
          <t>HÄRJEDALEN</t>
        </is>
      </c>
      <c r="F1350" t="inlineStr">
        <is>
          <t>Bergvik skog väst AB</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18076-2024</t>
        </is>
      </c>
      <c r="B1351" s="1" t="n">
        <v>45420</v>
      </c>
      <c r="C1351" s="1" t="n">
        <v>45668</v>
      </c>
      <c r="D1351" t="inlineStr">
        <is>
          <t>JÄMTLANDS LÄN</t>
        </is>
      </c>
      <c r="E1351" t="inlineStr">
        <is>
          <t>HÄRJEDALEN</t>
        </is>
      </c>
      <c r="F1351" t="inlineStr">
        <is>
          <t>Holmen skog AB</t>
        </is>
      </c>
      <c r="G1351" t="n">
        <v>18.2</v>
      </c>
      <c r="H1351" t="n">
        <v>0</v>
      </c>
      <c r="I1351" t="n">
        <v>0</v>
      </c>
      <c r="J1351" t="n">
        <v>0</v>
      </c>
      <c r="K1351" t="n">
        <v>0</v>
      </c>
      <c r="L1351" t="n">
        <v>0</v>
      </c>
      <c r="M1351" t="n">
        <v>0</v>
      </c>
      <c r="N1351" t="n">
        <v>0</v>
      </c>
      <c r="O1351" t="n">
        <v>0</v>
      </c>
      <c r="P1351" t="n">
        <v>0</v>
      </c>
      <c r="Q1351" t="n">
        <v>0</v>
      </c>
      <c r="R1351" s="2" t="inlineStr"/>
    </row>
    <row r="1352" ht="15" customHeight="1">
      <c r="A1352" t="inlineStr">
        <is>
          <t>A 18080-2024</t>
        </is>
      </c>
      <c r="B1352" s="1" t="n">
        <v>45420</v>
      </c>
      <c r="C1352" s="1" t="n">
        <v>45668</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18107-2024</t>
        </is>
      </c>
      <c r="B1353" s="1" t="n">
        <v>45420</v>
      </c>
      <c r="C1353" s="1" t="n">
        <v>45668</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18554-2024</t>
        </is>
      </c>
      <c r="B1354" s="1" t="n">
        <v>45425</v>
      </c>
      <c r="C1354" s="1" t="n">
        <v>45668</v>
      </c>
      <c r="D1354" t="inlineStr">
        <is>
          <t>JÄMTLANDS LÄN</t>
        </is>
      </c>
      <c r="E1354" t="inlineStr">
        <is>
          <t>HÄRJEDALEN</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18550-2024</t>
        </is>
      </c>
      <c r="B1355" s="1" t="n">
        <v>45425</v>
      </c>
      <c r="C1355" s="1" t="n">
        <v>45668</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18644-2024</t>
        </is>
      </c>
      <c r="B1356" s="1" t="n">
        <v>45426</v>
      </c>
      <c r="C1356" s="1" t="n">
        <v>45668</v>
      </c>
      <c r="D1356" t="inlineStr">
        <is>
          <t>JÄMTLANDS LÄN</t>
        </is>
      </c>
      <c r="E1356" t="inlineStr">
        <is>
          <t>HÄRJEDALEN</t>
        </is>
      </c>
      <c r="F1356" t="inlineStr">
        <is>
          <t>SCA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18903-2024</t>
        </is>
      </c>
      <c r="B1357" s="1" t="n">
        <v>45427</v>
      </c>
      <c r="C1357" s="1" t="n">
        <v>45668</v>
      </c>
      <c r="D1357" t="inlineStr">
        <is>
          <t>JÄMTLANDS LÄN</t>
        </is>
      </c>
      <c r="E1357" t="inlineStr">
        <is>
          <t>HÄRJEDALEN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19001-2024</t>
        </is>
      </c>
      <c r="B1358" s="1" t="n">
        <v>45427</v>
      </c>
      <c r="C1358" s="1" t="n">
        <v>45668</v>
      </c>
      <c r="D1358" t="inlineStr">
        <is>
          <t>JÄMTLANDS LÄN</t>
        </is>
      </c>
      <c r="E1358" t="inlineStr">
        <is>
          <t>HÄRJEDALEN</t>
        </is>
      </c>
      <c r="G1358" t="n">
        <v>22.6</v>
      </c>
      <c r="H1358" t="n">
        <v>0</v>
      </c>
      <c r="I1358" t="n">
        <v>0</v>
      </c>
      <c r="J1358" t="n">
        <v>0</v>
      </c>
      <c r="K1358" t="n">
        <v>0</v>
      </c>
      <c r="L1358" t="n">
        <v>0</v>
      </c>
      <c r="M1358" t="n">
        <v>0</v>
      </c>
      <c r="N1358" t="n">
        <v>0</v>
      </c>
      <c r="O1358" t="n">
        <v>0</v>
      </c>
      <c r="P1358" t="n">
        <v>0</v>
      </c>
      <c r="Q1358" t="n">
        <v>0</v>
      </c>
      <c r="R1358" s="2" t="inlineStr"/>
    </row>
    <row r="1359" ht="15" customHeight="1">
      <c r="A1359" t="inlineStr">
        <is>
          <t>A 19453-2024</t>
        </is>
      </c>
      <c r="B1359" s="1" t="n">
        <v>45429</v>
      </c>
      <c r="C1359" s="1" t="n">
        <v>45668</v>
      </c>
      <c r="D1359" t="inlineStr">
        <is>
          <t>JÄMTLANDS LÄN</t>
        </is>
      </c>
      <c r="E1359" t="inlineStr">
        <is>
          <t>HÄRJEDALEN</t>
        </is>
      </c>
      <c r="G1359" t="n">
        <v>31.6</v>
      </c>
      <c r="H1359" t="n">
        <v>0</v>
      </c>
      <c r="I1359" t="n">
        <v>0</v>
      </c>
      <c r="J1359" t="n">
        <v>0</v>
      </c>
      <c r="K1359" t="n">
        <v>0</v>
      </c>
      <c r="L1359" t="n">
        <v>0</v>
      </c>
      <c r="M1359" t="n">
        <v>0</v>
      </c>
      <c r="N1359" t="n">
        <v>0</v>
      </c>
      <c r="O1359" t="n">
        <v>0</v>
      </c>
      <c r="P1359" t="n">
        <v>0</v>
      </c>
      <c r="Q1359" t="n">
        <v>0</v>
      </c>
      <c r="R1359" s="2" t="inlineStr"/>
    </row>
    <row r="1360" ht="15" customHeight="1">
      <c r="A1360" t="inlineStr">
        <is>
          <t>A 19488-2024</t>
        </is>
      </c>
      <c r="B1360" s="1" t="n">
        <v>45429</v>
      </c>
      <c r="C1360" s="1" t="n">
        <v>45668</v>
      </c>
      <c r="D1360" t="inlineStr">
        <is>
          <t>JÄMTLANDS LÄN</t>
        </is>
      </c>
      <c r="E1360" t="inlineStr">
        <is>
          <t>HÄRJEDALEN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19492-2024</t>
        </is>
      </c>
      <c r="B1361" s="1" t="n">
        <v>45429</v>
      </c>
      <c r="C1361" s="1" t="n">
        <v>45668</v>
      </c>
      <c r="D1361" t="inlineStr">
        <is>
          <t>JÄMTLANDS LÄN</t>
        </is>
      </c>
      <c r="E1361" t="inlineStr">
        <is>
          <t>HÄRJEDALEN</t>
        </is>
      </c>
      <c r="G1361" t="n">
        <v>58.7</v>
      </c>
      <c r="H1361" t="n">
        <v>0</v>
      </c>
      <c r="I1361" t="n">
        <v>0</v>
      </c>
      <c r="J1361" t="n">
        <v>0</v>
      </c>
      <c r="K1361" t="n">
        <v>0</v>
      </c>
      <c r="L1361" t="n">
        <v>0</v>
      </c>
      <c r="M1361" t="n">
        <v>0</v>
      </c>
      <c r="N1361" t="n">
        <v>0</v>
      </c>
      <c r="O1361" t="n">
        <v>0</v>
      </c>
      <c r="P1361" t="n">
        <v>0</v>
      </c>
      <c r="Q1361" t="n">
        <v>0</v>
      </c>
      <c r="R1361" s="2" t="inlineStr"/>
    </row>
    <row r="1362" ht="15" customHeight="1">
      <c r="A1362" t="inlineStr">
        <is>
          <t>A 19402-2024</t>
        </is>
      </c>
      <c r="B1362" s="1" t="n">
        <v>45429</v>
      </c>
      <c r="C1362" s="1" t="n">
        <v>45668</v>
      </c>
      <c r="D1362" t="inlineStr">
        <is>
          <t>JÄMTLANDS LÄN</t>
        </is>
      </c>
      <c r="E1362" t="inlineStr">
        <is>
          <t>HÄRJEDALEN</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19426-2024</t>
        </is>
      </c>
      <c r="B1363" s="1" t="n">
        <v>45429</v>
      </c>
      <c r="C1363" s="1" t="n">
        <v>45668</v>
      </c>
      <c r="D1363" t="inlineStr">
        <is>
          <t>JÄMTLANDS LÄN</t>
        </is>
      </c>
      <c r="E1363" t="inlineStr">
        <is>
          <t>HÄRJEDALEN</t>
        </is>
      </c>
      <c r="G1363" t="n">
        <v>30.6</v>
      </c>
      <c r="H1363" t="n">
        <v>0</v>
      </c>
      <c r="I1363" t="n">
        <v>0</v>
      </c>
      <c r="J1363" t="n">
        <v>0</v>
      </c>
      <c r="K1363" t="n">
        <v>0</v>
      </c>
      <c r="L1363" t="n">
        <v>0</v>
      </c>
      <c r="M1363" t="n">
        <v>0</v>
      </c>
      <c r="N1363" t="n">
        <v>0</v>
      </c>
      <c r="O1363" t="n">
        <v>0</v>
      </c>
      <c r="P1363" t="n">
        <v>0</v>
      </c>
      <c r="Q1363" t="n">
        <v>0</v>
      </c>
      <c r="R1363" s="2" t="inlineStr"/>
    </row>
    <row r="1364" ht="15" customHeight="1">
      <c r="A1364" t="inlineStr">
        <is>
          <t>A 19661-2024</t>
        </is>
      </c>
      <c r="B1364" s="1" t="n">
        <v>45432</v>
      </c>
      <c r="C1364" s="1" t="n">
        <v>45668</v>
      </c>
      <c r="D1364" t="inlineStr">
        <is>
          <t>JÄMTLANDS LÄN</t>
        </is>
      </c>
      <c r="E1364" t="inlineStr">
        <is>
          <t>HÄRJEDALEN</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19677-2024</t>
        </is>
      </c>
      <c r="B1365" s="1" t="n">
        <v>45432</v>
      </c>
      <c r="C1365" s="1" t="n">
        <v>45668</v>
      </c>
      <c r="D1365" t="inlineStr">
        <is>
          <t>JÄMTLANDS LÄN</t>
        </is>
      </c>
      <c r="E1365" t="inlineStr">
        <is>
          <t>HÄRJEDALEN</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20005-2024</t>
        </is>
      </c>
      <c r="B1366" s="1" t="n">
        <v>45434</v>
      </c>
      <c r="C1366" s="1" t="n">
        <v>45668</v>
      </c>
      <c r="D1366" t="inlineStr">
        <is>
          <t>JÄMTLANDS LÄN</t>
        </is>
      </c>
      <c r="E1366" t="inlineStr">
        <is>
          <t>HÄRJEDALEN</t>
        </is>
      </c>
      <c r="F1366" t="inlineStr">
        <is>
          <t>SCA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20701-2024</t>
        </is>
      </c>
      <c r="B1367" s="1" t="n">
        <v>45436</v>
      </c>
      <c r="C1367" s="1" t="n">
        <v>45668</v>
      </c>
      <c r="D1367" t="inlineStr">
        <is>
          <t>JÄMTLANDS LÄN</t>
        </is>
      </c>
      <c r="E1367" t="inlineStr">
        <is>
          <t>HÄRJEDALEN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20865-2024</t>
        </is>
      </c>
      <c r="B1368" s="1" t="n">
        <v>45439</v>
      </c>
      <c r="C1368" s="1" t="n">
        <v>45668</v>
      </c>
      <c r="D1368" t="inlineStr">
        <is>
          <t>JÄMTLANDS LÄN</t>
        </is>
      </c>
      <c r="E1368" t="inlineStr">
        <is>
          <t>HÄRJEDALEN</t>
        </is>
      </c>
      <c r="F1368" t="inlineStr">
        <is>
          <t>Holmen skog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21011-2024</t>
        </is>
      </c>
      <c r="B1369" s="1" t="n">
        <v>45439</v>
      </c>
      <c r="C1369" s="1" t="n">
        <v>45668</v>
      </c>
      <c r="D1369" t="inlineStr">
        <is>
          <t>JÄMTLANDS LÄN</t>
        </is>
      </c>
      <c r="E1369" t="inlineStr">
        <is>
          <t>HÄRJEDALEN</t>
        </is>
      </c>
      <c r="G1369" t="n">
        <v>92.40000000000001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20853-2024</t>
        </is>
      </c>
      <c r="B1370" s="1" t="n">
        <v>45439</v>
      </c>
      <c r="C1370" s="1" t="n">
        <v>45668</v>
      </c>
      <c r="D1370" t="inlineStr">
        <is>
          <t>JÄMTLANDS LÄN</t>
        </is>
      </c>
      <c r="E1370" t="inlineStr">
        <is>
          <t>HÄRJEDALEN</t>
        </is>
      </c>
      <c r="F1370" t="inlineStr">
        <is>
          <t>Holmen skog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21478-2024</t>
        </is>
      </c>
      <c r="B1371" s="1" t="n">
        <v>45441</v>
      </c>
      <c r="C1371" s="1" t="n">
        <v>45668</v>
      </c>
      <c r="D1371" t="inlineStr">
        <is>
          <t>JÄMTLANDS LÄN</t>
        </is>
      </c>
      <c r="E1371" t="inlineStr">
        <is>
          <t>HÄRJEDALEN</t>
        </is>
      </c>
      <c r="G1371" t="n">
        <v>44.9</v>
      </c>
      <c r="H1371" t="n">
        <v>0</v>
      </c>
      <c r="I1371" t="n">
        <v>0</v>
      </c>
      <c r="J1371" t="n">
        <v>0</v>
      </c>
      <c r="K1371" t="n">
        <v>0</v>
      </c>
      <c r="L1371" t="n">
        <v>0</v>
      </c>
      <c r="M1371" t="n">
        <v>0</v>
      </c>
      <c r="N1371" t="n">
        <v>0</v>
      </c>
      <c r="O1371" t="n">
        <v>0</v>
      </c>
      <c r="P1371" t="n">
        <v>0</v>
      </c>
      <c r="Q1371" t="n">
        <v>0</v>
      </c>
      <c r="R1371" s="2" t="inlineStr"/>
    </row>
    <row r="1372" ht="15" customHeight="1">
      <c r="A1372" t="inlineStr">
        <is>
          <t>A 21621-2024</t>
        </is>
      </c>
      <c r="B1372" s="1" t="n">
        <v>45442</v>
      </c>
      <c r="C1372" s="1" t="n">
        <v>45668</v>
      </c>
      <c r="D1372" t="inlineStr">
        <is>
          <t>JÄMTLANDS LÄN</t>
        </is>
      </c>
      <c r="E1372" t="inlineStr">
        <is>
          <t>HÄRJEDALEN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21624-2024</t>
        </is>
      </c>
      <c r="B1373" s="1" t="n">
        <v>45442</v>
      </c>
      <c r="C1373" s="1" t="n">
        <v>45668</v>
      </c>
      <c r="D1373" t="inlineStr">
        <is>
          <t>JÄMTLANDS LÄN</t>
        </is>
      </c>
      <c r="E1373" t="inlineStr">
        <is>
          <t>HÄRJEDALEN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21816-2024</t>
        </is>
      </c>
      <c r="B1374" s="1" t="n">
        <v>45442</v>
      </c>
      <c r="C1374" s="1" t="n">
        <v>45668</v>
      </c>
      <c r="D1374" t="inlineStr">
        <is>
          <t>JÄMTLANDS LÄN</t>
        </is>
      </c>
      <c r="E1374" t="inlineStr">
        <is>
          <t>HÄRJEDALEN</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22499-2024</t>
        </is>
      </c>
      <c r="B1375" s="1" t="n">
        <v>45447</v>
      </c>
      <c r="C1375" s="1" t="n">
        <v>45668</v>
      </c>
      <c r="D1375" t="inlineStr">
        <is>
          <t>JÄMTLANDS LÄN</t>
        </is>
      </c>
      <c r="E1375" t="inlineStr">
        <is>
          <t>HÄRJEDALEN</t>
        </is>
      </c>
      <c r="G1375" t="n">
        <v>14.1</v>
      </c>
      <c r="H1375" t="n">
        <v>0</v>
      </c>
      <c r="I1375" t="n">
        <v>0</v>
      </c>
      <c r="J1375" t="n">
        <v>0</v>
      </c>
      <c r="K1375" t="n">
        <v>0</v>
      </c>
      <c r="L1375" t="n">
        <v>0</v>
      </c>
      <c r="M1375" t="n">
        <v>0</v>
      </c>
      <c r="N1375" t="n">
        <v>0</v>
      </c>
      <c r="O1375" t="n">
        <v>0</v>
      </c>
      <c r="P1375" t="n">
        <v>0</v>
      </c>
      <c r="Q1375" t="n">
        <v>0</v>
      </c>
      <c r="R1375" s="2" t="inlineStr"/>
    </row>
    <row r="1376" ht="15" customHeight="1">
      <c r="A1376" t="inlineStr">
        <is>
          <t>A 22685-2024</t>
        </is>
      </c>
      <c r="B1376" s="1" t="n">
        <v>45448</v>
      </c>
      <c r="C1376" s="1" t="n">
        <v>45668</v>
      </c>
      <c r="D1376" t="inlineStr">
        <is>
          <t>JÄMTLANDS LÄN</t>
        </is>
      </c>
      <c r="E1376" t="inlineStr">
        <is>
          <t>HÄRJEDALEN</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22706-2024</t>
        </is>
      </c>
      <c r="B1377" s="1" t="n">
        <v>45448</v>
      </c>
      <c r="C1377" s="1" t="n">
        <v>45668</v>
      </c>
      <c r="D1377" t="inlineStr">
        <is>
          <t>JÄMTLANDS LÄN</t>
        </is>
      </c>
      <c r="E1377" t="inlineStr">
        <is>
          <t>HÄRJEDALEN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22838-2024</t>
        </is>
      </c>
      <c r="B1378" s="1" t="n">
        <v>45448</v>
      </c>
      <c r="C1378" s="1" t="n">
        <v>45668</v>
      </c>
      <c r="D1378" t="inlineStr">
        <is>
          <t>JÄMTLANDS LÄN</t>
        </is>
      </c>
      <c r="E1378" t="inlineStr">
        <is>
          <t>HÄRJEDALEN</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23474-2024</t>
        </is>
      </c>
      <c r="B1379" s="1" t="n">
        <v>45453</v>
      </c>
      <c r="C1379" s="1" t="n">
        <v>45668</v>
      </c>
      <c r="D1379" t="inlineStr">
        <is>
          <t>JÄMTLANDS LÄN</t>
        </is>
      </c>
      <c r="E1379" t="inlineStr">
        <is>
          <t>HÄRJEDALEN</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23467-2024</t>
        </is>
      </c>
      <c r="B1380" s="1" t="n">
        <v>45453</v>
      </c>
      <c r="C1380" s="1" t="n">
        <v>45668</v>
      </c>
      <c r="D1380" t="inlineStr">
        <is>
          <t>JÄMTLANDS LÄN</t>
        </is>
      </c>
      <c r="E1380" t="inlineStr">
        <is>
          <t>HÄRJEDALEN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23965-2024</t>
        </is>
      </c>
      <c r="B1381" s="1" t="n">
        <v>45456</v>
      </c>
      <c r="C1381" s="1" t="n">
        <v>45668</v>
      </c>
      <c r="D1381" t="inlineStr">
        <is>
          <t>JÄMTLANDS LÄN</t>
        </is>
      </c>
      <c r="E1381" t="inlineStr">
        <is>
          <t>HÄRJEDALEN</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23964-2024</t>
        </is>
      </c>
      <c r="B1382" s="1" t="n">
        <v>45456</v>
      </c>
      <c r="C1382" s="1" t="n">
        <v>45668</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24250-2024</t>
        </is>
      </c>
      <c r="B1383" s="1" t="n">
        <v>45457</v>
      </c>
      <c r="C1383" s="1" t="n">
        <v>45668</v>
      </c>
      <c r="D1383" t="inlineStr">
        <is>
          <t>JÄMTLANDS LÄN</t>
        </is>
      </c>
      <c r="E1383" t="inlineStr">
        <is>
          <t>HÄRJEDALEN</t>
        </is>
      </c>
      <c r="F1383" t="inlineStr">
        <is>
          <t>Sveaskog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24423-2024</t>
        </is>
      </c>
      <c r="B1384" s="1" t="n">
        <v>45458</v>
      </c>
      <c r="C1384" s="1" t="n">
        <v>45668</v>
      </c>
      <c r="D1384" t="inlineStr">
        <is>
          <t>JÄMTLANDS LÄN</t>
        </is>
      </c>
      <c r="E1384" t="inlineStr">
        <is>
          <t>HÄRJEDALEN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24453-2024</t>
        </is>
      </c>
      <c r="B1385" s="1" t="n">
        <v>45458</v>
      </c>
      <c r="C1385" s="1" t="n">
        <v>45668</v>
      </c>
      <c r="D1385" t="inlineStr">
        <is>
          <t>JÄMTLANDS LÄN</t>
        </is>
      </c>
      <c r="E1385" t="inlineStr">
        <is>
          <t>HÄRJEDALEN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24240-2024</t>
        </is>
      </c>
      <c r="B1386" s="1" t="n">
        <v>45457</v>
      </c>
      <c r="C1386" s="1" t="n">
        <v>45668</v>
      </c>
      <c r="D1386" t="inlineStr">
        <is>
          <t>JÄMTLANDS LÄN</t>
        </is>
      </c>
      <c r="E1386" t="inlineStr">
        <is>
          <t>HÄRJEDALEN</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24421-2024</t>
        </is>
      </c>
      <c r="B1387" s="1" t="n">
        <v>45458</v>
      </c>
      <c r="C1387" s="1" t="n">
        <v>45668</v>
      </c>
      <c r="D1387" t="inlineStr">
        <is>
          <t>JÄMTLANDS LÄN</t>
        </is>
      </c>
      <c r="E1387" t="inlineStr">
        <is>
          <t>HÄRJEDALEN</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24452-2024</t>
        </is>
      </c>
      <c r="B1388" s="1" t="n">
        <v>45458</v>
      </c>
      <c r="C1388" s="1" t="n">
        <v>45668</v>
      </c>
      <c r="D1388" t="inlineStr">
        <is>
          <t>JÄMTLANDS LÄN</t>
        </is>
      </c>
      <c r="E1388" t="inlineStr">
        <is>
          <t>HÄRJEDALEN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24275-2024</t>
        </is>
      </c>
      <c r="B1389" s="1" t="n">
        <v>45457</v>
      </c>
      <c r="C1389" s="1" t="n">
        <v>45668</v>
      </c>
      <c r="D1389" t="inlineStr">
        <is>
          <t>JÄMTLANDS LÄN</t>
        </is>
      </c>
      <c r="E1389" t="inlineStr">
        <is>
          <t>HÄRJEDALEN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24295-2024</t>
        </is>
      </c>
      <c r="B1390" s="1" t="n">
        <v>45457</v>
      </c>
      <c r="C1390" s="1" t="n">
        <v>45668</v>
      </c>
      <c r="D1390" t="inlineStr">
        <is>
          <t>JÄMTLANDS LÄN</t>
        </is>
      </c>
      <c r="E1390" t="inlineStr">
        <is>
          <t>HÄRJEDALEN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24335-2024</t>
        </is>
      </c>
      <c r="B1391" s="1" t="n">
        <v>45457</v>
      </c>
      <c r="C1391" s="1" t="n">
        <v>45668</v>
      </c>
      <c r="D1391" t="inlineStr">
        <is>
          <t>JÄMTLANDS LÄN</t>
        </is>
      </c>
      <c r="E1391" t="inlineStr">
        <is>
          <t>HÄRJEDALEN</t>
        </is>
      </c>
      <c r="F1391" t="inlineStr">
        <is>
          <t>Naturvårdsverket</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24425-2024</t>
        </is>
      </c>
      <c r="B1392" s="1" t="n">
        <v>45458</v>
      </c>
      <c r="C1392" s="1" t="n">
        <v>45668</v>
      </c>
      <c r="D1392" t="inlineStr">
        <is>
          <t>JÄMTLANDS LÄN</t>
        </is>
      </c>
      <c r="E1392" t="inlineStr">
        <is>
          <t>HÄRJEDALEN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24494-2024</t>
        </is>
      </c>
      <c r="B1393" s="1" t="n">
        <v>45459</v>
      </c>
      <c r="C1393" s="1" t="n">
        <v>45668</v>
      </c>
      <c r="D1393" t="inlineStr">
        <is>
          <t>JÄMTLANDS LÄN</t>
        </is>
      </c>
      <c r="E1393" t="inlineStr">
        <is>
          <t>HÄRJEDALEN</t>
        </is>
      </c>
      <c r="G1393" t="n">
        <v>20.1</v>
      </c>
      <c r="H1393" t="n">
        <v>0</v>
      </c>
      <c r="I1393" t="n">
        <v>0</v>
      </c>
      <c r="J1393" t="n">
        <v>0</v>
      </c>
      <c r="K1393" t="n">
        <v>0</v>
      </c>
      <c r="L1393" t="n">
        <v>0</v>
      </c>
      <c r="M1393" t="n">
        <v>0</v>
      </c>
      <c r="N1393" t="n">
        <v>0</v>
      </c>
      <c r="O1393" t="n">
        <v>0</v>
      </c>
      <c r="P1393" t="n">
        <v>0</v>
      </c>
      <c r="Q1393" t="n">
        <v>0</v>
      </c>
      <c r="R1393" s="2" t="inlineStr"/>
    </row>
    <row r="1394" ht="15" customHeight="1">
      <c r="A1394" t="inlineStr">
        <is>
          <t>A 24711-2024</t>
        </is>
      </c>
      <c r="B1394" s="1" t="n">
        <v>45460</v>
      </c>
      <c r="C1394" s="1" t="n">
        <v>45668</v>
      </c>
      <c r="D1394" t="inlineStr">
        <is>
          <t>JÄMTLANDS LÄN</t>
        </is>
      </c>
      <c r="E1394" t="inlineStr">
        <is>
          <t>HÄRJEDALEN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24608-2024</t>
        </is>
      </c>
      <c r="B1395" s="1" t="n">
        <v>45460</v>
      </c>
      <c r="C1395" s="1" t="n">
        <v>45668</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24526-2024</t>
        </is>
      </c>
      <c r="B1396" s="1" t="n">
        <v>45460</v>
      </c>
      <c r="C1396" s="1" t="n">
        <v>45668</v>
      </c>
      <c r="D1396" t="inlineStr">
        <is>
          <t>JÄMTLANDS LÄN</t>
        </is>
      </c>
      <c r="E1396" t="inlineStr">
        <is>
          <t>HÄRJEDALEN</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24613-2024</t>
        </is>
      </c>
      <c r="B1397" s="1" t="n">
        <v>45460</v>
      </c>
      <c r="C1397" s="1" t="n">
        <v>45668</v>
      </c>
      <c r="D1397" t="inlineStr">
        <is>
          <t>JÄMTLANDS LÄN</t>
        </is>
      </c>
      <c r="E1397" t="inlineStr">
        <is>
          <t>HÄRJEDALEN</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25049-2024</t>
        </is>
      </c>
      <c r="B1398" s="1" t="n">
        <v>45462</v>
      </c>
      <c r="C1398" s="1" t="n">
        <v>45668</v>
      </c>
      <c r="D1398" t="inlineStr">
        <is>
          <t>JÄMTLANDS LÄN</t>
        </is>
      </c>
      <c r="E1398" t="inlineStr">
        <is>
          <t>HÄRJEDALEN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25502-2024</t>
        </is>
      </c>
      <c r="B1399" s="1" t="n">
        <v>45463</v>
      </c>
      <c r="C1399" s="1" t="n">
        <v>45668</v>
      </c>
      <c r="D1399" t="inlineStr">
        <is>
          <t>JÄMTLANDS LÄN</t>
        </is>
      </c>
      <c r="E1399" t="inlineStr">
        <is>
          <t>HÄRJEDALEN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25893-2024</t>
        </is>
      </c>
      <c r="B1400" s="1" t="n">
        <v>45467</v>
      </c>
      <c r="C1400" s="1" t="n">
        <v>45668</v>
      </c>
      <c r="D1400" t="inlineStr">
        <is>
          <t>JÄMTLANDS LÄN</t>
        </is>
      </c>
      <c r="E1400" t="inlineStr">
        <is>
          <t>HÄRJEDALEN</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26001-2024</t>
        </is>
      </c>
      <c r="B1401" s="1" t="n">
        <v>45468</v>
      </c>
      <c r="C1401" s="1" t="n">
        <v>45668</v>
      </c>
      <c r="D1401" t="inlineStr">
        <is>
          <t>JÄMTLANDS LÄN</t>
        </is>
      </c>
      <c r="E1401" t="inlineStr">
        <is>
          <t>HÄRJEDALEN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27068-2024</t>
        </is>
      </c>
      <c r="B1402" s="1" t="n">
        <v>45471</v>
      </c>
      <c r="C1402" s="1" t="n">
        <v>45668</v>
      </c>
      <c r="D1402" t="inlineStr">
        <is>
          <t>JÄMTLANDS LÄN</t>
        </is>
      </c>
      <c r="E1402" t="inlineStr">
        <is>
          <t>HÄRJEDALEN</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27075-2024</t>
        </is>
      </c>
      <c r="B1403" s="1" t="n">
        <v>45471</v>
      </c>
      <c r="C1403" s="1" t="n">
        <v>45668</v>
      </c>
      <c r="D1403" t="inlineStr">
        <is>
          <t>JÄMTLANDS LÄN</t>
        </is>
      </c>
      <c r="E1403" t="inlineStr">
        <is>
          <t>HÄRJEDALEN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27245-2024</t>
        </is>
      </c>
      <c r="B1404" s="1" t="n">
        <v>45471</v>
      </c>
      <c r="C1404" s="1" t="n">
        <v>45668</v>
      </c>
      <c r="D1404" t="inlineStr">
        <is>
          <t>JÄMTLANDS LÄN</t>
        </is>
      </c>
      <c r="E1404" t="inlineStr">
        <is>
          <t>HÄRJEDALEN</t>
        </is>
      </c>
      <c r="F1404" t="inlineStr">
        <is>
          <t>Bergvik skog väst AB</t>
        </is>
      </c>
      <c r="G1404" t="n">
        <v>31.2</v>
      </c>
      <c r="H1404" t="n">
        <v>0</v>
      </c>
      <c r="I1404" t="n">
        <v>0</v>
      </c>
      <c r="J1404" t="n">
        <v>0</v>
      </c>
      <c r="K1404" t="n">
        <v>0</v>
      </c>
      <c r="L1404" t="n">
        <v>0</v>
      </c>
      <c r="M1404" t="n">
        <v>0</v>
      </c>
      <c r="N1404" t="n">
        <v>0</v>
      </c>
      <c r="O1404" t="n">
        <v>0</v>
      </c>
      <c r="P1404" t="n">
        <v>0</v>
      </c>
      <c r="Q1404" t="n">
        <v>0</v>
      </c>
      <c r="R1404" s="2" t="inlineStr"/>
    </row>
    <row r="1405" ht="15" customHeight="1">
      <c r="A1405" t="inlineStr">
        <is>
          <t>A 27065-2024</t>
        </is>
      </c>
      <c r="B1405" s="1" t="n">
        <v>45471</v>
      </c>
      <c r="C1405" s="1" t="n">
        <v>45668</v>
      </c>
      <c r="D1405" t="inlineStr">
        <is>
          <t>JÄMTLANDS LÄN</t>
        </is>
      </c>
      <c r="E1405" t="inlineStr">
        <is>
          <t>HÄRJEDALEN</t>
        </is>
      </c>
      <c r="F1405" t="inlineStr">
        <is>
          <t>Bergvik skog väst AB</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27066-2024</t>
        </is>
      </c>
      <c r="B1406" s="1" t="n">
        <v>45471</v>
      </c>
      <c r="C1406" s="1" t="n">
        <v>45668</v>
      </c>
      <c r="D1406" t="inlineStr">
        <is>
          <t>JÄMTLANDS LÄN</t>
        </is>
      </c>
      <c r="E1406" t="inlineStr">
        <is>
          <t>HÄRJEDALEN</t>
        </is>
      </c>
      <c r="F1406" t="inlineStr">
        <is>
          <t>Bergvik skog väst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27235-2024</t>
        </is>
      </c>
      <c r="B1407" s="1" t="n">
        <v>45471</v>
      </c>
      <c r="C1407" s="1" t="n">
        <v>45668</v>
      </c>
      <c r="D1407" t="inlineStr">
        <is>
          <t>JÄMTLANDS LÄN</t>
        </is>
      </c>
      <c r="E1407" t="inlineStr">
        <is>
          <t>HÄRJEDALEN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27076-2024</t>
        </is>
      </c>
      <c r="B1408" s="1" t="n">
        <v>45471</v>
      </c>
      <c r="C1408" s="1" t="n">
        <v>45668</v>
      </c>
      <c r="D1408" t="inlineStr">
        <is>
          <t>JÄMTLANDS LÄN</t>
        </is>
      </c>
      <c r="E1408" t="inlineStr">
        <is>
          <t>HÄRJEDALEN</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27512-2024</t>
        </is>
      </c>
      <c r="B1409" s="1" t="n">
        <v>45474</v>
      </c>
      <c r="C1409" s="1" t="n">
        <v>45668</v>
      </c>
      <c r="D1409" t="inlineStr">
        <is>
          <t>JÄMTLANDS LÄN</t>
        </is>
      </c>
      <c r="E1409" t="inlineStr">
        <is>
          <t>HÄRJEDALEN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28406-2024</t>
        </is>
      </c>
      <c r="B1410" s="1" t="n">
        <v>45477</v>
      </c>
      <c r="C1410" s="1" t="n">
        <v>45668</v>
      </c>
      <c r="D1410" t="inlineStr">
        <is>
          <t>JÄMTLANDS LÄN</t>
        </is>
      </c>
      <c r="E1410" t="inlineStr">
        <is>
          <t>HÄRJEDALEN</t>
        </is>
      </c>
      <c r="F1410" t="inlineStr">
        <is>
          <t>Holmen skog AB</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28444-2024</t>
        </is>
      </c>
      <c r="B1411" s="1" t="n">
        <v>45477</v>
      </c>
      <c r="C1411" s="1" t="n">
        <v>45668</v>
      </c>
      <c r="D1411" t="inlineStr">
        <is>
          <t>JÄMTLANDS LÄN</t>
        </is>
      </c>
      <c r="E1411" t="inlineStr">
        <is>
          <t>HÄRJEDALEN</t>
        </is>
      </c>
      <c r="F1411" t="inlineStr">
        <is>
          <t>Holmen skog AB</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28408-2024</t>
        </is>
      </c>
      <c r="B1412" s="1" t="n">
        <v>45477</v>
      </c>
      <c r="C1412" s="1" t="n">
        <v>45668</v>
      </c>
      <c r="D1412" t="inlineStr">
        <is>
          <t>JÄMTLANDS LÄN</t>
        </is>
      </c>
      <c r="E1412" t="inlineStr">
        <is>
          <t>HÄRJEDALEN</t>
        </is>
      </c>
      <c r="F1412" t="inlineStr">
        <is>
          <t>Holmen skog AB</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28400-2024</t>
        </is>
      </c>
      <c r="B1413" s="1" t="n">
        <v>45477</v>
      </c>
      <c r="C1413" s="1" t="n">
        <v>45668</v>
      </c>
      <c r="D1413" t="inlineStr">
        <is>
          <t>JÄMTLANDS LÄN</t>
        </is>
      </c>
      <c r="E1413" t="inlineStr">
        <is>
          <t>HÄRJEDALEN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28403-2024</t>
        </is>
      </c>
      <c r="B1414" s="1" t="n">
        <v>45477</v>
      </c>
      <c r="C1414" s="1" t="n">
        <v>45668</v>
      </c>
      <c r="D1414" t="inlineStr">
        <is>
          <t>JÄMTLANDS LÄN</t>
        </is>
      </c>
      <c r="E1414" t="inlineStr">
        <is>
          <t>HÄRJEDALEN</t>
        </is>
      </c>
      <c r="F1414" t="inlineStr">
        <is>
          <t>Holmen skog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28426-2024</t>
        </is>
      </c>
      <c r="B1415" s="1" t="n">
        <v>45477</v>
      </c>
      <c r="C1415" s="1" t="n">
        <v>45668</v>
      </c>
      <c r="D1415" t="inlineStr">
        <is>
          <t>JÄMTLANDS LÄN</t>
        </is>
      </c>
      <c r="E1415" t="inlineStr">
        <is>
          <t>HÄRJEDALEN</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28627-2024</t>
        </is>
      </c>
      <c r="B1416" s="1" t="n">
        <v>45478</v>
      </c>
      <c r="C1416" s="1" t="n">
        <v>45668</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28686-2024</t>
        </is>
      </c>
      <c r="B1417" s="1" t="n">
        <v>45478</v>
      </c>
      <c r="C1417" s="1" t="n">
        <v>45668</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28930-2024</t>
        </is>
      </c>
      <c r="B1418" s="1" t="n">
        <v>45481</v>
      </c>
      <c r="C1418" s="1" t="n">
        <v>45668</v>
      </c>
      <c r="D1418" t="inlineStr">
        <is>
          <t>JÄMTLANDS LÄN</t>
        </is>
      </c>
      <c r="E1418" t="inlineStr">
        <is>
          <t>HÄRJEDALEN</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29330-2024</t>
        </is>
      </c>
      <c r="B1419" s="1" t="n">
        <v>45483</v>
      </c>
      <c r="C1419" s="1" t="n">
        <v>45668</v>
      </c>
      <c r="D1419" t="inlineStr">
        <is>
          <t>JÄMTLANDS LÄN</t>
        </is>
      </c>
      <c r="E1419" t="inlineStr">
        <is>
          <t>HÄRJEDALEN</t>
        </is>
      </c>
      <c r="G1419" t="n">
        <v>21.4</v>
      </c>
      <c r="H1419" t="n">
        <v>0</v>
      </c>
      <c r="I1419" t="n">
        <v>0</v>
      </c>
      <c r="J1419" t="n">
        <v>0</v>
      </c>
      <c r="K1419" t="n">
        <v>0</v>
      </c>
      <c r="L1419" t="n">
        <v>0</v>
      </c>
      <c r="M1419" t="n">
        <v>0</v>
      </c>
      <c r="N1419" t="n">
        <v>0</v>
      </c>
      <c r="O1419" t="n">
        <v>0</v>
      </c>
      <c r="P1419" t="n">
        <v>0</v>
      </c>
      <c r="Q1419" t="n">
        <v>0</v>
      </c>
      <c r="R1419" s="2" t="inlineStr"/>
    </row>
    <row r="1420" ht="15" customHeight="1">
      <c r="A1420" t="inlineStr">
        <is>
          <t>A 29334-2024</t>
        </is>
      </c>
      <c r="B1420" s="1" t="n">
        <v>45483</v>
      </c>
      <c r="C1420" s="1" t="n">
        <v>45668</v>
      </c>
      <c r="D1420" t="inlineStr">
        <is>
          <t>JÄMTLANDS LÄN</t>
        </is>
      </c>
      <c r="E1420" t="inlineStr">
        <is>
          <t>HÄRJEDALEN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29343-2024</t>
        </is>
      </c>
      <c r="B1421" s="1" t="n">
        <v>45483</v>
      </c>
      <c r="C1421" s="1" t="n">
        <v>45668</v>
      </c>
      <c r="D1421" t="inlineStr">
        <is>
          <t>JÄMTLANDS LÄN</t>
        </is>
      </c>
      <c r="E1421" t="inlineStr">
        <is>
          <t>HÄRJEDALEN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29304-2024</t>
        </is>
      </c>
      <c r="B1422" s="1" t="n">
        <v>45483</v>
      </c>
      <c r="C1422" s="1" t="n">
        <v>45668</v>
      </c>
      <c r="D1422" t="inlineStr">
        <is>
          <t>JÄMTLANDS LÄN</t>
        </is>
      </c>
      <c r="E1422" t="inlineStr">
        <is>
          <t>HÄRJEDALEN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29347-2024</t>
        </is>
      </c>
      <c r="B1423" s="1" t="n">
        <v>45483</v>
      </c>
      <c r="C1423" s="1" t="n">
        <v>45668</v>
      </c>
      <c r="D1423" t="inlineStr">
        <is>
          <t>JÄMTLANDS LÄN</t>
        </is>
      </c>
      <c r="E1423" t="inlineStr">
        <is>
          <t>HÄRJEDALEN</t>
        </is>
      </c>
      <c r="G1423" t="n">
        <v>35.8</v>
      </c>
      <c r="H1423" t="n">
        <v>0</v>
      </c>
      <c r="I1423" t="n">
        <v>0</v>
      </c>
      <c r="J1423" t="n">
        <v>0</v>
      </c>
      <c r="K1423" t="n">
        <v>0</v>
      </c>
      <c r="L1423" t="n">
        <v>0</v>
      </c>
      <c r="M1423" t="n">
        <v>0</v>
      </c>
      <c r="N1423" t="n">
        <v>0</v>
      </c>
      <c r="O1423" t="n">
        <v>0</v>
      </c>
      <c r="P1423" t="n">
        <v>0</v>
      </c>
      <c r="Q1423" t="n">
        <v>0</v>
      </c>
      <c r="R1423" s="2" t="inlineStr"/>
    </row>
    <row r="1424" ht="15" customHeight="1">
      <c r="A1424" t="inlineStr">
        <is>
          <t>A 29536-2024</t>
        </is>
      </c>
      <c r="B1424" s="1" t="n">
        <v>45484</v>
      </c>
      <c r="C1424" s="1" t="n">
        <v>45668</v>
      </c>
      <c r="D1424" t="inlineStr">
        <is>
          <t>JÄMTLANDS LÄN</t>
        </is>
      </c>
      <c r="E1424" t="inlineStr">
        <is>
          <t>HÄRJEDALEN</t>
        </is>
      </c>
      <c r="F1424" t="inlineStr">
        <is>
          <t>Holmen skog AB</t>
        </is>
      </c>
      <c r="G1424" t="n">
        <v>25.2</v>
      </c>
      <c r="H1424" t="n">
        <v>0</v>
      </c>
      <c r="I1424" t="n">
        <v>0</v>
      </c>
      <c r="J1424" t="n">
        <v>0</v>
      </c>
      <c r="K1424" t="n">
        <v>0</v>
      </c>
      <c r="L1424" t="n">
        <v>0</v>
      </c>
      <c r="M1424" t="n">
        <v>0</v>
      </c>
      <c r="N1424" t="n">
        <v>0</v>
      </c>
      <c r="O1424" t="n">
        <v>0</v>
      </c>
      <c r="P1424" t="n">
        <v>0</v>
      </c>
      <c r="Q1424" t="n">
        <v>0</v>
      </c>
      <c r="R1424" s="2" t="inlineStr"/>
    </row>
    <row r="1425" ht="15" customHeight="1">
      <c r="A1425" t="inlineStr">
        <is>
          <t>A 29624-2024</t>
        </is>
      </c>
      <c r="B1425" s="1" t="n">
        <v>45484</v>
      </c>
      <c r="C1425" s="1" t="n">
        <v>45668</v>
      </c>
      <c r="D1425" t="inlineStr">
        <is>
          <t>JÄMTLANDS LÄN</t>
        </is>
      </c>
      <c r="E1425" t="inlineStr">
        <is>
          <t>HÄRJEDALEN</t>
        </is>
      </c>
      <c r="F1425" t="inlineStr">
        <is>
          <t>Holmen skog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29584-2024</t>
        </is>
      </c>
      <c r="B1426" s="1" t="n">
        <v>45484</v>
      </c>
      <c r="C1426" s="1" t="n">
        <v>45668</v>
      </c>
      <c r="D1426" t="inlineStr">
        <is>
          <t>JÄMTLANDS LÄN</t>
        </is>
      </c>
      <c r="E1426" t="inlineStr">
        <is>
          <t>HÄRJEDALEN</t>
        </is>
      </c>
      <c r="F1426" t="inlineStr">
        <is>
          <t>Holmen skog AB</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29580-2024</t>
        </is>
      </c>
      <c r="B1427" s="1" t="n">
        <v>45484</v>
      </c>
      <c r="C1427" s="1" t="n">
        <v>45668</v>
      </c>
      <c r="D1427" t="inlineStr">
        <is>
          <t>JÄMTLANDS LÄN</t>
        </is>
      </c>
      <c r="E1427" t="inlineStr">
        <is>
          <t>HÄRJEDALEN</t>
        </is>
      </c>
      <c r="F1427" t="inlineStr">
        <is>
          <t>Holmen skog AB</t>
        </is>
      </c>
      <c r="G1427" t="n">
        <v>38.1</v>
      </c>
      <c r="H1427" t="n">
        <v>0</v>
      </c>
      <c r="I1427" t="n">
        <v>0</v>
      </c>
      <c r="J1427" t="n">
        <v>0</v>
      </c>
      <c r="K1427" t="n">
        <v>0</v>
      </c>
      <c r="L1427" t="n">
        <v>0</v>
      </c>
      <c r="M1427" t="n">
        <v>0</v>
      </c>
      <c r="N1427" t="n">
        <v>0</v>
      </c>
      <c r="O1427" t="n">
        <v>0</v>
      </c>
      <c r="P1427" t="n">
        <v>0</v>
      </c>
      <c r="Q1427" t="n">
        <v>0</v>
      </c>
      <c r="R1427" s="2" t="inlineStr"/>
    </row>
    <row r="1428" ht="15" customHeight="1">
      <c r="A1428" t="inlineStr">
        <is>
          <t>A 29631-2024</t>
        </is>
      </c>
      <c r="B1428" s="1" t="n">
        <v>45484</v>
      </c>
      <c r="C1428" s="1" t="n">
        <v>45668</v>
      </c>
      <c r="D1428" t="inlineStr">
        <is>
          <t>JÄMTLANDS LÄN</t>
        </is>
      </c>
      <c r="E1428" t="inlineStr">
        <is>
          <t>HÄRJEDALEN</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29538-2024</t>
        </is>
      </c>
      <c r="B1429" s="1" t="n">
        <v>45484</v>
      </c>
      <c r="C1429" s="1" t="n">
        <v>45668</v>
      </c>
      <c r="D1429" t="inlineStr">
        <is>
          <t>JÄMTLANDS LÄN</t>
        </is>
      </c>
      <c r="E1429" t="inlineStr">
        <is>
          <t>HÄRJEDALEN</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29626-2024</t>
        </is>
      </c>
      <c r="B1430" s="1" t="n">
        <v>45484</v>
      </c>
      <c r="C1430" s="1" t="n">
        <v>45668</v>
      </c>
      <c r="D1430" t="inlineStr">
        <is>
          <t>JÄMTLANDS LÄN</t>
        </is>
      </c>
      <c r="E1430" t="inlineStr">
        <is>
          <t>HÄRJEDALEN</t>
        </is>
      </c>
      <c r="F1430" t="inlineStr">
        <is>
          <t>Holmen skog AB</t>
        </is>
      </c>
      <c r="G1430" t="n">
        <v>15.4</v>
      </c>
      <c r="H1430" t="n">
        <v>0</v>
      </c>
      <c r="I1430" t="n">
        <v>0</v>
      </c>
      <c r="J1430" t="n">
        <v>0</v>
      </c>
      <c r="K1430" t="n">
        <v>0</v>
      </c>
      <c r="L1430" t="n">
        <v>0</v>
      </c>
      <c r="M1430" t="n">
        <v>0</v>
      </c>
      <c r="N1430" t="n">
        <v>0</v>
      </c>
      <c r="O1430" t="n">
        <v>0</v>
      </c>
      <c r="P1430" t="n">
        <v>0</v>
      </c>
      <c r="Q1430" t="n">
        <v>0</v>
      </c>
      <c r="R1430" s="2" t="inlineStr"/>
    </row>
    <row r="1431" ht="15" customHeight="1">
      <c r="A1431" t="inlineStr">
        <is>
          <t>A 29602-2024</t>
        </is>
      </c>
      <c r="B1431" s="1" t="n">
        <v>45484</v>
      </c>
      <c r="C1431" s="1" t="n">
        <v>45668</v>
      </c>
      <c r="D1431" t="inlineStr">
        <is>
          <t>JÄMTLANDS LÄN</t>
        </is>
      </c>
      <c r="E1431" t="inlineStr">
        <is>
          <t>HÄRJEDALEN</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29594-2024</t>
        </is>
      </c>
      <c r="B1432" s="1" t="n">
        <v>45484</v>
      </c>
      <c r="C1432" s="1" t="n">
        <v>45668</v>
      </c>
      <c r="D1432" t="inlineStr">
        <is>
          <t>JÄMTLANDS LÄN</t>
        </is>
      </c>
      <c r="E1432" t="inlineStr">
        <is>
          <t>HÄRJEDALEN</t>
        </is>
      </c>
      <c r="F1432" t="inlineStr">
        <is>
          <t>Holmen skog AB</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29803-2024</t>
        </is>
      </c>
      <c r="B1433" s="1" t="n">
        <v>45485</v>
      </c>
      <c r="C1433" s="1" t="n">
        <v>45668</v>
      </c>
      <c r="D1433" t="inlineStr">
        <is>
          <t>JÄMTLANDS LÄN</t>
        </is>
      </c>
      <c r="E1433" t="inlineStr">
        <is>
          <t>HÄRJEDALEN</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29791-2024</t>
        </is>
      </c>
      <c r="B1434" s="1" t="n">
        <v>45485</v>
      </c>
      <c r="C1434" s="1" t="n">
        <v>45668</v>
      </c>
      <c r="D1434" t="inlineStr">
        <is>
          <t>JÄMTLANDS LÄN</t>
        </is>
      </c>
      <c r="E1434" t="inlineStr">
        <is>
          <t>HÄRJEDALEN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29706-2024</t>
        </is>
      </c>
      <c r="B1435" s="1" t="n">
        <v>45485</v>
      </c>
      <c r="C1435" s="1" t="n">
        <v>45668</v>
      </c>
      <c r="D1435" t="inlineStr">
        <is>
          <t>JÄMTLANDS LÄN</t>
        </is>
      </c>
      <c r="E1435" t="inlineStr">
        <is>
          <t>HÄRJEDALEN</t>
        </is>
      </c>
      <c r="F1435" t="inlineStr">
        <is>
          <t>Holmen skog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29710-2024</t>
        </is>
      </c>
      <c r="B1436" s="1" t="n">
        <v>45485</v>
      </c>
      <c r="C1436" s="1" t="n">
        <v>45668</v>
      </c>
      <c r="D1436" t="inlineStr">
        <is>
          <t>JÄMTLANDS LÄN</t>
        </is>
      </c>
      <c r="E1436" t="inlineStr">
        <is>
          <t>HÄRJEDALEN</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29766-2024</t>
        </is>
      </c>
      <c r="B1437" s="1" t="n">
        <v>45485</v>
      </c>
      <c r="C1437" s="1" t="n">
        <v>45668</v>
      </c>
      <c r="D1437" t="inlineStr">
        <is>
          <t>JÄMTLANDS LÄN</t>
        </is>
      </c>
      <c r="E1437" t="inlineStr">
        <is>
          <t>HÄRJEDALEN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29774-2024</t>
        </is>
      </c>
      <c r="B1438" s="1" t="n">
        <v>45485</v>
      </c>
      <c r="C1438" s="1" t="n">
        <v>45668</v>
      </c>
      <c r="D1438" t="inlineStr">
        <is>
          <t>JÄMTLANDS LÄN</t>
        </is>
      </c>
      <c r="E1438" t="inlineStr">
        <is>
          <t>HÄRJEDALEN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29712-2024</t>
        </is>
      </c>
      <c r="B1439" s="1" t="n">
        <v>45485</v>
      </c>
      <c r="C1439" s="1" t="n">
        <v>45668</v>
      </c>
      <c r="D1439" t="inlineStr">
        <is>
          <t>JÄMTLANDS LÄN</t>
        </is>
      </c>
      <c r="E1439" t="inlineStr">
        <is>
          <t>HÄRJEDALEN</t>
        </is>
      </c>
      <c r="F1439" t="inlineStr">
        <is>
          <t>Holmen skog AB</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29768-2024</t>
        </is>
      </c>
      <c r="B1440" s="1" t="n">
        <v>45485</v>
      </c>
      <c r="C1440" s="1" t="n">
        <v>45668</v>
      </c>
      <c r="D1440" t="inlineStr">
        <is>
          <t>JÄMTLANDS LÄN</t>
        </is>
      </c>
      <c r="E1440" t="inlineStr">
        <is>
          <t>HÄRJEDALEN</t>
        </is>
      </c>
      <c r="F1440" t="inlineStr">
        <is>
          <t>Holmen skog AB</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29717-2024</t>
        </is>
      </c>
      <c r="B1441" s="1" t="n">
        <v>45485</v>
      </c>
      <c r="C1441" s="1" t="n">
        <v>45668</v>
      </c>
      <c r="D1441" t="inlineStr">
        <is>
          <t>JÄMTLANDS LÄN</t>
        </is>
      </c>
      <c r="E1441" t="inlineStr">
        <is>
          <t>HÄRJEDALEN</t>
        </is>
      </c>
      <c r="F1441" t="inlineStr">
        <is>
          <t>Holmen skog AB</t>
        </is>
      </c>
      <c r="G1441" t="n">
        <v>25.7</v>
      </c>
      <c r="H1441" t="n">
        <v>0</v>
      </c>
      <c r="I1441" t="n">
        <v>0</v>
      </c>
      <c r="J1441" t="n">
        <v>0</v>
      </c>
      <c r="K1441" t="n">
        <v>0</v>
      </c>
      <c r="L1441" t="n">
        <v>0</v>
      </c>
      <c r="M1441" t="n">
        <v>0</v>
      </c>
      <c r="N1441" t="n">
        <v>0</v>
      </c>
      <c r="O1441" t="n">
        <v>0</v>
      </c>
      <c r="P1441" t="n">
        <v>0</v>
      </c>
      <c r="Q1441" t="n">
        <v>0</v>
      </c>
      <c r="R1441" s="2" t="inlineStr"/>
    </row>
    <row r="1442" ht="15" customHeight="1">
      <c r="A1442" t="inlineStr">
        <is>
          <t>A 29729-2024</t>
        </is>
      </c>
      <c r="B1442" s="1" t="n">
        <v>45485</v>
      </c>
      <c r="C1442" s="1" t="n">
        <v>45668</v>
      </c>
      <c r="D1442" t="inlineStr">
        <is>
          <t>JÄMTLANDS LÄN</t>
        </is>
      </c>
      <c r="E1442" t="inlineStr">
        <is>
          <t>HÄRJEDALEN</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29749-2024</t>
        </is>
      </c>
      <c r="B1443" s="1" t="n">
        <v>45485</v>
      </c>
      <c r="C1443" s="1" t="n">
        <v>45668</v>
      </c>
      <c r="D1443" t="inlineStr">
        <is>
          <t>JÄMTLANDS LÄN</t>
        </is>
      </c>
      <c r="E1443" t="inlineStr">
        <is>
          <t>HÄRJEDALEN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29935-2024</t>
        </is>
      </c>
      <c r="B1444" s="1" t="n">
        <v>45488</v>
      </c>
      <c r="C1444" s="1" t="n">
        <v>45668</v>
      </c>
      <c r="D1444" t="inlineStr">
        <is>
          <t>JÄMTLANDS LÄN</t>
        </is>
      </c>
      <c r="E1444" t="inlineStr">
        <is>
          <t>HÄRJEDALEN</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30404-2024</t>
        </is>
      </c>
      <c r="B1445" s="1" t="n">
        <v>45491</v>
      </c>
      <c r="C1445" s="1" t="n">
        <v>45668</v>
      </c>
      <c r="D1445" t="inlineStr">
        <is>
          <t>JÄMTLANDS LÄN</t>
        </is>
      </c>
      <c r="E1445" t="inlineStr">
        <is>
          <t>HÄRJEDALEN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30626-2024</t>
        </is>
      </c>
      <c r="B1446" s="1" t="n">
        <v>45495</v>
      </c>
      <c r="C1446" s="1" t="n">
        <v>45668</v>
      </c>
      <c r="D1446" t="inlineStr">
        <is>
          <t>JÄMTLANDS LÄN</t>
        </is>
      </c>
      <c r="E1446" t="inlineStr">
        <is>
          <t>HÄRJEDALEN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30742-2024</t>
        </is>
      </c>
      <c r="B1447" s="1" t="n">
        <v>45496</v>
      </c>
      <c r="C1447" s="1" t="n">
        <v>45668</v>
      </c>
      <c r="D1447" t="inlineStr">
        <is>
          <t>JÄMTLANDS LÄN</t>
        </is>
      </c>
      <c r="E1447" t="inlineStr">
        <is>
          <t>HÄRJEDALEN</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30776-2024</t>
        </is>
      </c>
      <c r="B1448" s="1" t="n">
        <v>45497</v>
      </c>
      <c r="C1448" s="1" t="n">
        <v>45668</v>
      </c>
      <c r="D1448" t="inlineStr">
        <is>
          <t>JÄMTLANDS LÄN</t>
        </is>
      </c>
      <c r="E1448" t="inlineStr">
        <is>
          <t>HÄRJEDALEN</t>
        </is>
      </c>
      <c r="F1448" t="inlineStr">
        <is>
          <t>SCA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30744-2024</t>
        </is>
      </c>
      <c r="B1449" s="1" t="n">
        <v>45496</v>
      </c>
      <c r="C1449" s="1" t="n">
        <v>45668</v>
      </c>
      <c r="D1449" t="inlineStr">
        <is>
          <t>JÄMTLANDS LÄN</t>
        </is>
      </c>
      <c r="E1449" t="inlineStr">
        <is>
          <t>HÄRJEDALEN</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30781-2024</t>
        </is>
      </c>
      <c r="B1450" s="1" t="n">
        <v>45497</v>
      </c>
      <c r="C1450" s="1" t="n">
        <v>45668</v>
      </c>
      <c r="D1450" t="inlineStr">
        <is>
          <t>JÄMTLANDS LÄN</t>
        </is>
      </c>
      <c r="E1450" t="inlineStr">
        <is>
          <t>HÄRJEDALEN</t>
        </is>
      </c>
      <c r="F1450" t="inlineStr">
        <is>
          <t>SCA</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30777-2024</t>
        </is>
      </c>
      <c r="B1451" s="1" t="n">
        <v>45497</v>
      </c>
      <c r="C1451" s="1" t="n">
        <v>45668</v>
      </c>
      <c r="D1451" t="inlineStr">
        <is>
          <t>JÄMTLANDS LÄN</t>
        </is>
      </c>
      <c r="E1451" t="inlineStr">
        <is>
          <t>HÄRJEDALEN</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30743-2024</t>
        </is>
      </c>
      <c r="B1452" s="1" t="n">
        <v>45496</v>
      </c>
      <c r="C1452" s="1" t="n">
        <v>45668</v>
      </c>
      <c r="D1452" t="inlineStr">
        <is>
          <t>JÄMTLANDS LÄN</t>
        </is>
      </c>
      <c r="E1452" t="inlineStr">
        <is>
          <t>HÄRJEDALEN</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30775-2024</t>
        </is>
      </c>
      <c r="B1453" s="1" t="n">
        <v>45497</v>
      </c>
      <c r="C1453" s="1" t="n">
        <v>45668</v>
      </c>
      <c r="D1453" t="inlineStr">
        <is>
          <t>JÄMTLANDS LÄN</t>
        </is>
      </c>
      <c r="E1453" t="inlineStr">
        <is>
          <t>HÄRJEDALEN</t>
        </is>
      </c>
      <c r="F1453" t="inlineStr">
        <is>
          <t>SCA</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30729-2024</t>
        </is>
      </c>
      <c r="B1454" s="1" t="n">
        <v>45496</v>
      </c>
      <c r="C1454" s="1" t="n">
        <v>45668</v>
      </c>
      <c r="D1454" t="inlineStr">
        <is>
          <t>JÄMTLANDS LÄN</t>
        </is>
      </c>
      <c r="E1454" t="inlineStr">
        <is>
          <t>HÄRJEDALEN</t>
        </is>
      </c>
      <c r="F1454" t="inlineStr">
        <is>
          <t>Bergvik skog väst AB</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31116-2024</t>
        </is>
      </c>
      <c r="B1455" s="1" t="n">
        <v>45502</v>
      </c>
      <c r="C1455" s="1" t="n">
        <v>45668</v>
      </c>
      <c r="D1455" t="inlineStr">
        <is>
          <t>JÄMTLANDS LÄN</t>
        </is>
      </c>
      <c r="E1455" t="inlineStr">
        <is>
          <t>HÄRJEDALEN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31205-2024</t>
        </is>
      </c>
      <c r="B1456" s="1" t="n">
        <v>45503</v>
      </c>
      <c r="C1456" s="1" t="n">
        <v>45668</v>
      </c>
      <c r="D1456" t="inlineStr">
        <is>
          <t>JÄMTLANDS LÄN</t>
        </is>
      </c>
      <c r="E1456" t="inlineStr">
        <is>
          <t>HÄRJEDALEN</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31301-2024</t>
        </is>
      </c>
      <c r="B1457" s="1" t="n">
        <v>45504</v>
      </c>
      <c r="C1457" s="1" t="n">
        <v>45668</v>
      </c>
      <c r="D1457" t="inlineStr">
        <is>
          <t>JÄMTLANDS LÄN</t>
        </is>
      </c>
      <c r="E1457" t="inlineStr">
        <is>
          <t>HÄRJEDALEN</t>
        </is>
      </c>
      <c r="G1457" t="n">
        <v>32.9</v>
      </c>
      <c r="H1457" t="n">
        <v>0</v>
      </c>
      <c r="I1457" t="n">
        <v>0</v>
      </c>
      <c r="J1457" t="n">
        <v>0</v>
      </c>
      <c r="K1457" t="n">
        <v>0</v>
      </c>
      <c r="L1457" t="n">
        <v>0</v>
      </c>
      <c r="M1457" t="n">
        <v>0</v>
      </c>
      <c r="N1457" t="n">
        <v>0</v>
      </c>
      <c r="O1457" t="n">
        <v>0</v>
      </c>
      <c r="P1457" t="n">
        <v>0</v>
      </c>
      <c r="Q1457" t="n">
        <v>0</v>
      </c>
      <c r="R1457" s="2" t="inlineStr"/>
    </row>
    <row r="1458" ht="15" customHeight="1">
      <c r="A1458" t="inlineStr">
        <is>
          <t>A 31460-2024</t>
        </is>
      </c>
      <c r="B1458" s="1" t="n">
        <v>45505</v>
      </c>
      <c r="C1458" s="1" t="n">
        <v>45668</v>
      </c>
      <c r="D1458" t="inlineStr">
        <is>
          <t>JÄMTLANDS LÄN</t>
        </is>
      </c>
      <c r="E1458" t="inlineStr">
        <is>
          <t>HÄRJEDALEN</t>
        </is>
      </c>
      <c r="F1458" t="inlineStr">
        <is>
          <t>SCA</t>
        </is>
      </c>
      <c r="G1458" t="n">
        <v>30.3</v>
      </c>
      <c r="H1458" t="n">
        <v>0</v>
      </c>
      <c r="I1458" t="n">
        <v>0</v>
      </c>
      <c r="J1458" t="n">
        <v>0</v>
      </c>
      <c r="K1458" t="n">
        <v>0</v>
      </c>
      <c r="L1458" t="n">
        <v>0</v>
      </c>
      <c r="M1458" t="n">
        <v>0</v>
      </c>
      <c r="N1458" t="n">
        <v>0</v>
      </c>
      <c r="O1458" t="n">
        <v>0</v>
      </c>
      <c r="P1458" t="n">
        <v>0</v>
      </c>
      <c r="Q1458" t="n">
        <v>0</v>
      </c>
      <c r="R1458" s="2" t="inlineStr"/>
    </row>
    <row r="1459" ht="15" customHeight="1">
      <c r="A1459" t="inlineStr">
        <is>
          <t>A 31527-2024</t>
        </is>
      </c>
      <c r="B1459" s="1" t="n">
        <v>45505</v>
      </c>
      <c r="C1459" s="1" t="n">
        <v>45668</v>
      </c>
      <c r="D1459" t="inlineStr">
        <is>
          <t>JÄMTLANDS LÄN</t>
        </is>
      </c>
      <c r="E1459" t="inlineStr">
        <is>
          <t>HÄRJEDALEN</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31462-2024</t>
        </is>
      </c>
      <c r="B1460" s="1" t="n">
        <v>45505</v>
      </c>
      <c r="C1460" s="1" t="n">
        <v>45668</v>
      </c>
      <c r="D1460" t="inlineStr">
        <is>
          <t>JÄMTLANDS LÄN</t>
        </is>
      </c>
      <c r="E1460" t="inlineStr">
        <is>
          <t>HÄRJEDALEN</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31473-2024</t>
        </is>
      </c>
      <c r="B1461" s="1" t="n">
        <v>45505</v>
      </c>
      <c r="C1461" s="1" t="n">
        <v>45668</v>
      </c>
      <c r="D1461" t="inlineStr">
        <is>
          <t>JÄMTLANDS LÄN</t>
        </is>
      </c>
      <c r="E1461" t="inlineStr">
        <is>
          <t>HÄRJEDALEN</t>
        </is>
      </c>
      <c r="F1461" t="inlineStr">
        <is>
          <t>SCA</t>
        </is>
      </c>
      <c r="G1461" t="n">
        <v>30.4</v>
      </c>
      <c r="H1461" t="n">
        <v>0</v>
      </c>
      <c r="I1461" t="n">
        <v>0</v>
      </c>
      <c r="J1461" t="n">
        <v>0</v>
      </c>
      <c r="K1461" t="n">
        <v>0</v>
      </c>
      <c r="L1461" t="n">
        <v>0</v>
      </c>
      <c r="M1461" t="n">
        <v>0</v>
      </c>
      <c r="N1461" t="n">
        <v>0</v>
      </c>
      <c r="O1461" t="n">
        <v>0</v>
      </c>
      <c r="P1461" t="n">
        <v>0</v>
      </c>
      <c r="Q1461" t="n">
        <v>0</v>
      </c>
      <c r="R1461" s="2" t="inlineStr"/>
    </row>
    <row r="1462" ht="15" customHeight="1">
      <c r="A1462" t="inlineStr">
        <is>
          <t>A 31459-2024</t>
        </is>
      </c>
      <c r="B1462" s="1" t="n">
        <v>45505</v>
      </c>
      <c r="C1462" s="1" t="n">
        <v>45668</v>
      </c>
      <c r="D1462" t="inlineStr">
        <is>
          <t>JÄMTLANDS LÄN</t>
        </is>
      </c>
      <c r="E1462" t="inlineStr">
        <is>
          <t>HÄRJEDALEN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31672-2024</t>
        </is>
      </c>
      <c r="B1463" s="1" t="n">
        <v>45506</v>
      </c>
      <c r="C1463" s="1" t="n">
        <v>45668</v>
      </c>
      <c r="D1463" t="inlineStr">
        <is>
          <t>JÄMTLANDS LÄN</t>
        </is>
      </c>
      <c r="E1463" t="inlineStr">
        <is>
          <t>HÄRJEDALEN</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31581-2024</t>
        </is>
      </c>
      <c r="B1464" s="1" t="n">
        <v>45506</v>
      </c>
      <c r="C1464" s="1" t="n">
        <v>45668</v>
      </c>
      <c r="D1464" t="inlineStr">
        <is>
          <t>JÄMTLANDS LÄN</t>
        </is>
      </c>
      <c r="E1464" t="inlineStr">
        <is>
          <t>HÄRJEDALEN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31584-2024</t>
        </is>
      </c>
      <c r="B1465" s="1" t="n">
        <v>45506</v>
      </c>
      <c r="C1465" s="1" t="n">
        <v>45668</v>
      </c>
      <c r="D1465" t="inlineStr">
        <is>
          <t>JÄMTLANDS LÄN</t>
        </is>
      </c>
      <c r="E1465" t="inlineStr">
        <is>
          <t>HÄRJEDALEN</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31683-2024</t>
        </is>
      </c>
      <c r="B1466" s="1" t="n">
        <v>45506</v>
      </c>
      <c r="C1466" s="1" t="n">
        <v>45668</v>
      </c>
      <c r="D1466" t="inlineStr">
        <is>
          <t>JÄMTLANDS LÄN</t>
        </is>
      </c>
      <c r="E1466" t="inlineStr">
        <is>
          <t>HÄRJEDALEN</t>
        </is>
      </c>
      <c r="F1466" t="inlineStr">
        <is>
          <t>SCA</t>
        </is>
      </c>
      <c r="G1466" t="n">
        <v>37.4</v>
      </c>
      <c r="H1466" t="n">
        <v>0</v>
      </c>
      <c r="I1466" t="n">
        <v>0</v>
      </c>
      <c r="J1466" t="n">
        <v>0</v>
      </c>
      <c r="K1466" t="n">
        <v>0</v>
      </c>
      <c r="L1466" t="n">
        <v>0</v>
      </c>
      <c r="M1466" t="n">
        <v>0</v>
      </c>
      <c r="N1466" t="n">
        <v>0</v>
      </c>
      <c r="O1466" t="n">
        <v>0</v>
      </c>
      <c r="P1466" t="n">
        <v>0</v>
      </c>
      <c r="Q1466" t="n">
        <v>0</v>
      </c>
      <c r="R1466" s="2" t="inlineStr"/>
    </row>
    <row r="1467" ht="15" customHeight="1">
      <c r="A1467" t="inlineStr">
        <is>
          <t>A 31588-2024</t>
        </is>
      </c>
      <c r="B1467" s="1" t="n">
        <v>45506</v>
      </c>
      <c r="C1467" s="1" t="n">
        <v>45668</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31587-2024</t>
        </is>
      </c>
      <c r="B1468" s="1" t="n">
        <v>45506</v>
      </c>
      <c r="C1468" s="1" t="n">
        <v>45668</v>
      </c>
      <c r="D1468" t="inlineStr">
        <is>
          <t>JÄMTLANDS LÄN</t>
        </is>
      </c>
      <c r="E1468" t="inlineStr">
        <is>
          <t>HÄRJEDALEN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31586-2024</t>
        </is>
      </c>
      <c r="B1469" s="1" t="n">
        <v>45506</v>
      </c>
      <c r="C1469" s="1" t="n">
        <v>45668</v>
      </c>
      <c r="D1469" t="inlineStr">
        <is>
          <t>JÄMTLANDS LÄN</t>
        </is>
      </c>
      <c r="E1469" t="inlineStr">
        <is>
          <t>HÄRJEDALEN</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31682-2024</t>
        </is>
      </c>
      <c r="B1470" s="1" t="n">
        <v>45506</v>
      </c>
      <c r="C1470" s="1" t="n">
        <v>45668</v>
      </c>
      <c r="D1470" t="inlineStr">
        <is>
          <t>JÄMTLANDS LÄN</t>
        </is>
      </c>
      <c r="E1470" t="inlineStr">
        <is>
          <t>HÄRJEDALEN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31777-2024</t>
        </is>
      </c>
      <c r="B1471" s="1" t="n">
        <v>45509</v>
      </c>
      <c r="C1471" s="1" t="n">
        <v>45668</v>
      </c>
      <c r="D1471" t="inlineStr">
        <is>
          <t>JÄMTLANDS LÄN</t>
        </is>
      </c>
      <c r="E1471" t="inlineStr">
        <is>
          <t>HÄRJEDALEN</t>
        </is>
      </c>
      <c r="F1471" t="inlineStr">
        <is>
          <t>Övriga statliga verk och myndigheter</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31743-2024</t>
        </is>
      </c>
      <c r="B1472" s="1" t="n">
        <v>45509</v>
      </c>
      <c r="C1472" s="1" t="n">
        <v>45668</v>
      </c>
      <c r="D1472" t="inlineStr">
        <is>
          <t>JÄMTLANDS LÄN</t>
        </is>
      </c>
      <c r="E1472" t="inlineStr">
        <is>
          <t>HÄRJEDALEN</t>
        </is>
      </c>
      <c r="F1472" t="inlineStr">
        <is>
          <t>Bergvik skog väst AB</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31747-2024</t>
        </is>
      </c>
      <c r="B1473" s="1" t="n">
        <v>45509</v>
      </c>
      <c r="C1473" s="1" t="n">
        <v>45668</v>
      </c>
      <c r="D1473" t="inlineStr">
        <is>
          <t>JÄMTLANDS LÄN</t>
        </is>
      </c>
      <c r="E1473" t="inlineStr">
        <is>
          <t>HÄRJEDALEN</t>
        </is>
      </c>
      <c r="F1473" t="inlineStr">
        <is>
          <t>Övriga statliga verk och myndigheter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31759-2024</t>
        </is>
      </c>
      <c r="B1474" s="1" t="n">
        <v>45509</v>
      </c>
      <c r="C1474" s="1" t="n">
        <v>45668</v>
      </c>
      <c r="D1474" t="inlineStr">
        <is>
          <t>JÄMTLANDS LÄN</t>
        </is>
      </c>
      <c r="E1474" t="inlineStr">
        <is>
          <t>HÄRJEDALEN</t>
        </is>
      </c>
      <c r="F1474" t="inlineStr">
        <is>
          <t>Övriga statliga verk och myndigheter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31783-2024</t>
        </is>
      </c>
      <c r="B1475" s="1" t="n">
        <v>45509</v>
      </c>
      <c r="C1475" s="1" t="n">
        <v>45668</v>
      </c>
      <c r="D1475" t="inlineStr">
        <is>
          <t>JÄMTLANDS LÄN</t>
        </is>
      </c>
      <c r="E1475" t="inlineStr">
        <is>
          <t>HÄRJEDALEN</t>
        </is>
      </c>
      <c r="F1475" t="inlineStr">
        <is>
          <t>Övriga statliga verk och myndigheter</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31791-2024</t>
        </is>
      </c>
      <c r="B1476" s="1" t="n">
        <v>45509</v>
      </c>
      <c r="C1476" s="1" t="n">
        <v>45668</v>
      </c>
      <c r="D1476" t="inlineStr">
        <is>
          <t>JÄMTLANDS LÄN</t>
        </is>
      </c>
      <c r="E1476" t="inlineStr">
        <is>
          <t>HÄRJEDALEN</t>
        </is>
      </c>
      <c r="F1476" t="inlineStr">
        <is>
          <t>Övriga statliga verk och myndigheter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31819-2024</t>
        </is>
      </c>
      <c r="B1477" s="1" t="n">
        <v>45509</v>
      </c>
      <c r="C1477" s="1" t="n">
        <v>45668</v>
      </c>
      <c r="D1477" t="inlineStr">
        <is>
          <t>JÄMTLANDS LÄN</t>
        </is>
      </c>
      <c r="E1477" t="inlineStr">
        <is>
          <t>HÄRJEDALEN</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31816-2024</t>
        </is>
      </c>
      <c r="B1478" s="1" t="n">
        <v>45509</v>
      </c>
      <c r="C1478" s="1" t="n">
        <v>45668</v>
      </c>
      <c r="D1478" t="inlineStr">
        <is>
          <t>JÄMTLANDS LÄN</t>
        </is>
      </c>
      <c r="E1478" t="inlineStr">
        <is>
          <t>HÄRJEDALEN</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31764-2024</t>
        </is>
      </c>
      <c r="B1479" s="1" t="n">
        <v>45509</v>
      </c>
      <c r="C1479" s="1" t="n">
        <v>45668</v>
      </c>
      <c r="D1479" t="inlineStr">
        <is>
          <t>JÄMTLANDS LÄN</t>
        </is>
      </c>
      <c r="E1479" t="inlineStr">
        <is>
          <t>HÄRJEDALEN</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31732-2024</t>
        </is>
      </c>
      <c r="B1480" s="1" t="n">
        <v>45509</v>
      </c>
      <c r="C1480" s="1" t="n">
        <v>45668</v>
      </c>
      <c r="D1480" t="inlineStr">
        <is>
          <t>JÄMTLANDS LÄN</t>
        </is>
      </c>
      <c r="E1480" t="inlineStr">
        <is>
          <t>HÄRJEDALEN</t>
        </is>
      </c>
      <c r="F1480" t="inlineStr">
        <is>
          <t>Bergvik skog väst AB</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31834-2024</t>
        </is>
      </c>
      <c r="B1481" s="1" t="n">
        <v>45509</v>
      </c>
      <c r="C1481" s="1" t="n">
        <v>45668</v>
      </c>
      <c r="D1481" t="inlineStr">
        <is>
          <t>JÄMTLANDS LÄN</t>
        </is>
      </c>
      <c r="E1481" t="inlineStr">
        <is>
          <t>HÄRJEDALEN</t>
        </is>
      </c>
      <c r="F1481" t="inlineStr">
        <is>
          <t>Kommuner</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31806-2024</t>
        </is>
      </c>
      <c r="B1482" s="1" t="n">
        <v>45509</v>
      </c>
      <c r="C1482" s="1" t="n">
        <v>45668</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31891-2024</t>
        </is>
      </c>
      <c r="B1483" s="1" t="n">
        <v>45509</v>
      </c>
      <c r="C1483" s="1" t="n">
        <v>45668</v>
      </c>
      <c r="D1483" t="inlineStr">
        <is>
          <t>JÄMTLANDS LÄN</t>
        </is>
      </c>
      <c r="E1483" t="inlineStr">
        <is>
          <t>HÄRJEDALEN</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32064-2024</t>
        </is>
      </c>
      <c r="B1484" s="1" t="n">
        <v>45510</v>
      </c>
      <c r="C1484" s="1" t="n">
        <v>45668</v>
      </c>
      <c r="D1484" t="inlineStr">
        <is>
          <t>JÄMTLANDS LÄN</t>
        </is>
      </c>
      <c r="E1484" t="inlineStr">
        <is>
          <t>HÄRJEDALEN</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31920-2024</t>
        </is>
      </c>
      <c r="B1485" s="1" t="n">
        <v>45510</v>
      </c>
      <c r="C1485" s="1" t="n">
        <v>45668</v>
      </c>
      <c r="D1485" t="inlineStr">
        <is>
          <t>JÄMTLANDS LÄN</t>
        </is>
      </c>
      <c r="E1485" t="inlineStr">
        <is>
          <t>HÄRJEDALEN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32135-2024</t>
        </is>
      </c>
      <c r="B1486" s="1" t="n">
        <v>45511</v>
      </c>
      <c r="C1486" s="1" t="n">
        <v>45668</v>
      </c>
      <c r="D1486" t="inlineStr">
        <is>
          <t>JÄMTLANDS LÄN</t>
        </is>
      </c>
      <c r="E1486" t="inlineStr">
        <is>
          <t>HÄRJEDALEN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32122-2024</t>
        </is>
      </c>
      <c r="B1487" s="1" t="n">
        <v>45511</v>
      </c>
      <c r="C1487" s="1" t="n">
        <v>45668</v>
      </c>
      <c r="D1487" t="inlineStr">
        <is>
          <t>JÄMTLANDS LÄN</t>
        </is>
      </c>
      <c r="E1487" t="inlineStr">
        <is>
          <t>HÄRJEDALEN</t>
        </is>
      </c>
      <c r="F1487" t="inlineStr">
        <is>
          <t>Bergvik skog väst AB</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32233-2024</t>
        </is>
      </c>
      <c r="B1488" s="1" t="n">
        <v>45512</v>
      </c>
      <c r="C1488" s="1" t="n">
        <v>45668</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32382-2024</t>
        </is>
      </c>
      <c r="B1489" s="1" t="n">
        <v>45512</v>
      </c>
      <c r="C1489" s="1" t="n">
        <v>45668</v>
      </c>
      <c r="D1489" t="inlineStr">
        <is>
          <t>JÄMTLANDS LÄN</t>
        </is>
      </c>
      <c r="E1489" t="inlineStr">
        <is>
          <t>HÄRJEDALEN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32403-2024</t>
        </is>
      </c>
      <c r="B1490" s="1" t="n">
        <v>45512</v>
      </c>
      <c r="C1490" s="1" t="n">
        <v>45668</v>
      </c>
      <c r="D1490" t="inlineStr">
        <is>
          <t>JÄMTLANDS LÄN</t>
        </is>
      </c>
      <c r="E1490" t="inlineStr">
        <is>
          <t>HÄRJEDALEN</t>
        </is>
      </c>
      <c r="F1490" t="inlineStr">
        <is>
          <t>Bergvik skog väst AB</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32765-2024</t>
        </is>
      </c>
      <c r="B1491" s="1" t="n">
        <v>45516</v>
      </c>
      <c r="C1491" s="1" t="n">
        <v>45668</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32735-2024</t>
        </is>
      </c>
      <c r="B1492" s="1" t="n">
        <v>45516</v>
      </c>
      <c r="C1492" s="1" t="n">
        <v>45668</v>
      </c>
      <c r="D1492" t="inlineStr">
        <is>
          <t>JÄMTLANDS LÄN</t>
        </is>
      </c>
      <c r="E1492" t="inlineStr">
        <is>
          <t>HÄRJEDALEN</t>
        </is>
      </c>
      <c r="F1492" t="inlineStr">
        <is>
          <t>Bergvik skog väst AB</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33096-2024</t>
        </is>
      </c>
      <c r="B1493" s="1" t="n">
        <v>45517</v>
      </c>
      <c r="C1493" s="1" t="n">
        <v>45668</v>
      </c>
      <c r="D1493" t="inlineStr">
        <is>
          <t>JÄMTLANDS LÄN</t>
        </is>
      </c>
      <c r="E1493" t="inlineStr">
        <is>
          <t>HÄRJEDALEN</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33123-2024</t>
        </is>
      </c>
      <c r="B1494" s="1" t="n">
        <v>45518</v>
      </c>
      <c r="C1494" s="1" t="n">
        <v>45668</v>
      </c>
      <c r="D1494" t="inlineStr">
        <is>
          <t>JÄMTLANDS LÄN</t>
        </is>
      </c>
      <c r="E1494" t="inlineStr">
        <is>
          <t>HÄRJEDALEN</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33125-2024</t>
        </is>
      </c>
      <c r="B1495" s="1" t="n">
        <v>45518</v>
      </c>
      <c r="C1495" s="1" t="n">
        <v>45668</v>
      </c>
      <c r="D1495" t="inlineStr">
        <is>
          <t>JÄMTLANDS LÄN</t>
        </is>
      </c>
      <c r="E1495" t="inlineStr">
        <is>
          <t>HÄRJEDALEN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32962-2024</t>
        </is>
      </c>
      <c r="B1496" s="1" t="n">
        <v>45517</v>
      </c>
      <c r="C1496" s="1" t="n">
        <v>45668</v>
      </c>
      <c r="D1496" t="inlineStr">
        <is>
          <t>JÄMTLANDS LÄN</t>
        </is>
      </c>
      <c r="E1496" t="inlineStr">
        <is>
          <t>HÄRJEDALEN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32964-2024</t>
        </is>
      </c>
      <c r="B1497" s="1" t="n">
        <v>45517</v>
      </c>
      <c r="C1497" s="1" t="n">
        <v>45668</v>
      </c>
      <c r="D1497" t="inlineStr">
        <is>
          <t>JÄMTLANDS LÄN</t>
        </is>
      </c>
      <c r="E1497" t="inlineStr">
        <is>
          <t>HÄRJEDALEN</t>
        </is>
      </c>
      <c r="F1497" t="inlineStr">
        <is>
          <t>Kommuner</t>
        </is>
      </c>
      <c r="G1497" t="n">
        <v>30.3</v>
      </c>
      <c r="H1497" t="n">
        <v>0</v>
      </c>
      <c r="I1497" t="n">
        <v>0</v>
      </c>
      <c r="J1497" t="n">
        <v>0</v>
      </c>
      <c r="K1497" t="n">
        <v>0</v>
      </c>
      <c r="L1497" t="n">
        <v>0</v>
      </c>
      <c r="M1497" t="n">
        <v>0</v>
      </c>
      <c r="N1497" t="n">
        <v>0</v>
      </c>
      <c r="O1497" t="n">
        <v>0</v>
      </c>
      <c r="P1497" t="n">
        <v>0</v>
      </c>
      <c r="Q1497" t="n">
        <v>0</v>
      </c>
      <c r="R1497" s="2" t="inlineStr"/>
    </row>
    <row r="1498" ht="15" customHeight="1">
      <c r="A1498" t="inlineStr">
        <is>
          <t>A 33124-2024</t>
        </is>
      </c>
      <c r="B1498" s="1" t="n">
        <v>45518</v>
      </c>
      <c r="C1498" s="1" t="n">
        <v>45668</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33307-2024</t>
        </is>
      </c>
      <c r="B1499" s="1" t="n">
        <v>45519</v>
      </c>
      <c r="C1499" s="1" t="n">
        <v>45668</v>
      </c>
      <c r="D1499" t="inlineStr">
        <is>
          <t>JÄMTLANDS LÄN</t>
        </is>
      </c>
      <c r="E1499" t="inlineStr">
        <is>
          <t>HÄRJEDALEN</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33308-2024</t>
        </is>
      </c>
      <c r="B1500" s="1" t="n">
        <v>45519</v>
      </c>
      <c r="C1500" s="1" t="n">
        <v>45668</v>
      </c>
      <c r="D1500" t="inlineStr">
        <is>
          <t>JÄMTLANDS LÄN</t>
        </is>
      </c>
      <c r="E1500" t="inlineStr">
        <is>
          <t>HÄRJEDALEN</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33502-2024</t>
        </is>
      </c>
      <c r="B1501" s="1" t="n">
        <v>45519</v>
      </c>
      <c r="C1501" s="1" t="n">
        <v>45668</v>
      </c>
      <c r="D1501" t="inlineStr">
        <is>
          <t>JÄMTLANDS LÄN</t>
        </is>
      </c>
      <c r="E1501" t="inlineStr">
        <is>
          <t>HÄRJEDALEN</t>
        </is>
      </c>
      <c r="F1501" t="inlineStr">
        <is>
          <t>SCA</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33523-2024</t>
        </is>
      </c>
      <c r="B1502" s="1" t="n">
        <v>45519</v>
      </c>
      <c r="C1502" s="1" t="n">
        <v>45668</v>
      </c>
      <c r="D1502" t="inlineStr">
        <is>
          <t>JÄMTLANDS LÄN</t>
        </is>
      </c>
      <c r="E1502" t="inlineStr">
        <is>
          <t>HÄRJEDALEN</t>
        </is>
      </c>
      <c r="F1502" t="inlineStr">
        <is>
          <t>SCA</t>
        </is>
      </c>
      <c r="G1502" t="n">
        <v>19.4</v>
      </c>
      <c r="H1502" t="n">
        <v>0</v>
      </c>
      <c r="I1502" t="n">
        <v>0</v>
      </c>
      <c r="J1502" t="n">
        <v>0</v>
      </c>
      <c r="K1502" t="n">
        <v>0</v>
      </c>
      <c r="L1502" t="n">
        <v>0</v>
      </c>
      <c r="M1502" t="n">
        <v>0</v>
      </c>
      <c r="N1502" t="n">
        <v>0</v>
      </c>
      <c r="O1502" t="n">
        <v>0</v>
      </c>
      <c r="P1502" t="n">
        <v>0</v>
      </c>
      <c r="Q1502" t="n">
        <v>0</v>
      </c>
      <c r="R1502" s="2" t="inlineStr"/>
    </row>
    <row r="1503" ht="15" customHeight="1">
      <c r="A1503" t="inlineStr">
        <is>
          <t>A 34291-2024</t>
        </is>
      </c>
      <c r="B1503" s="1" t="n">
        <v>45524</v>
      </c>
      <c r="C1503" s="1" t="n">
        <v>45668</v>
      </c>
      <c r="D1503" t="inlineStr">
        <is>
          <t>JÄMTLANDS LÄN</t>
        </is>
      </c>
      <c r="E1503" t="inlineStr">
        <is>
          <t>HÄRJEDALEN</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34523-2024</t>
        </is>
      </c>
      <c r="B1504" s="1" t="n">
        <v>45525</v>
      </c>
      <c r="C1504" s="1" t="n">
        <v>45668</v>
      </c>
      <c r="D1504" t="inlineStr">
        <is>
          <t>JÄMTLANDS LÄN</t>
        </is>
      </c>
      <c r="E1504" t="inlineStr">
        <is>
          <t>HÄRJEDALEN</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34660-2024</t>
        </is>
      </c>
      <c r="B1505" s="1" t="n">
        <v>45526</v>
      </c>
      <c r="C1505" s="1" t="n">
        <v>45668</v>
      </c>
      <c r="D1505" t="inlineStr">
        <is>
          <t>JÄMTLANDS LÄN</t>
        </is>
      </c>
      <c r="E1505" t="inlineStr">
        <is>
          <t>HÄRJEDALEN</t>
        </is>
      </c>
      <c r="F1505" t="inlineStr">
        <is>
          <t>Bergvik skog väst AB</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34775-2024</t>
        </is>
      </c>
      <c r="B1506" s="1" t="n">
        <v>45526</v>
      </c>
      <c r="C1506" s="1" t="n">
        <v>45668</v>
      </c>
      <c r="D1506" t="inlineStr">
        <is>
          <t>JÄMTLANDS LÄN</t>
        </is>
      </c>
      <c r="E1506" t="inlineStr">
        <is>
          <t>HÄRJEDALEN</t>
        </is>
      </c>
      <c r="F1506" t="inlineStr">
        <is>
          <t>Bergvik skog väst AB</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35015-2024</t>
        </is>
      </c>
      <c r="B1507" s="1" t="n">
        <v>45527</v>
      </c>
      <c r="C1507" s="1" t="n">
        <v>45668</v>
      </c>
      <c r="D1507" t="inlineStr">
        <is>
          <t>JÄMTLANDS LÄN</t>
        </is>
      </c>
      <c r="E1507" t="inlineStr">
        <is>
          <t>HÄRJEDALEN</t>
        </is>
      </c>
      <c r="G1507" t="n">
        <v>23.2</v>
      </c>
      <c r="H1507" t="n">
        <v>0</v>
      </c>
      <c r="I1507" t="n">
        <v>0</v>
      </c>
      <c r="J1507" t="n">
        <v>0</v>
      </c>
      <c r="K1507" t="n">
        <v>0</v>
      </c>
      <c r="L1507" t="n">
        <v>0</v>
      </c>
      <c r="M1507" t="n">
        <v>0</v>
      </c>
      <c r="N1507" t="n">
        <v>0</v>
      </c>
      <c r="O1507" t="n">
        <v>0</v>
      </c>
      <c r="P1507" t="n">
        <v>0</v>
      </c>
      <c r="Q1507" t="n">
        <v>0</v>
      </c>
      <c r="R1507" s="2" t="inlineStr"/>
    </row>
    <row r="1508" ht="15" customHeight="1">
      <c r="A1508" t="inlineStr">
        <is>
          <t>A 35046-2024</t>
        </is>
      </c>
      <c r="B1508" s="1" t="n">
        <v>45527</v>
      </c>
      <c r="C1508" s="1" t="n">
        <v>45668</v>
      </c>
      <c r="D1508" t="inlineStr">
        <is>
          <t>JÄMTLANDS LÄN</t>
        </is>
      </c>
      <c r="E1508" t="inlineStr">
        <is>
          <t>HÄRJEDALEN</t>
        </is>
      </c>
      <c r="F1508" t="inlineStr">
        <is>
          <t>Bergvik skog väst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35454-2024</t>
        </is>
      </c>
      <c r="B1509" s="1" t="n">
        <v>45531</v>
      </c>
      <c r="C1509" s="1" t="n">
        <v>45668</v>
      </c>
      <c r="D1509" t="inlineStr">
        <is>
          <t>JÄMTLANDS LÄN</t>
        </is>
      </c>
      <c r="E1509" t="inlineStr">
        <is>
          <t>HÄRJEDALEN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35457-2024</t>
        </is>
      </c>
      <c r="B1510" s="1" t="n">
        <v>45531</v>
      </c>
      <c r="C1510" s="1" t="n">
        <v>45668</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35599-2024</t>
        </is>
      </c>
      <c r="B1511" s="1" t="n">
        <v>45531</v>
      </c>
      <c r="C1511" s="1" t="n">
        <v>45668</v>
      </c>
      <c r="D1511" t="inlineStr">
        <is>
          <t>JÄMTLANDS LÄN</t>
        </is>
      </c>
      <c r="E1511" t="inlineStr">
        <is>
          <t>HÄRJEDALEN</t>
        </is>
      </c>
      <c r="F1511" t="inlineStr">
        <is>
          <t>Bergvik skog väst AB</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35635-2024</t>
        </is>
      </c>
      <c r="B1512" s="1" t="n">
        <v>45531</v>
      </c>
      <c r="C1512" s="1" t="n">
        <v>45668</v>
      </c>
      <c r="D1512" t="inlineStr">
        <is>
          <t>JÄMTLANDS LÄN</t>
        </is>
      </c>
      <c r="E1512" t="inlineStr">
        <is>
          <t>HÄRJEDALEN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35726-2024</t>
        </is>
      </c>
      <c r="B1513" s="1" t="n">
        <v>45532</v>
      </c>
      <c r="C1513" s="1" t="n">
        <v>45668</v>
      </c>
      <c r="D1513" t="inlineStr">
        <is>
          <t>JÄMTLANDS LÄN</t>
        </is>
      </c>
      <c r="E1513" t="inlineStr">
        <is>
          <t>HÄRJEDALEN</t>
        </is>
      </c>
      <c r="G1513" t="n">
        <v>14.3</v>
      </c>
      <c r="H1513" t="n">
        <v>0</v>
      </c>
      <c r="I1513" t="n">
        <v>0</v>
      </c>
      <c r="J1513" t="n">
        <v>0</v>
      </c>
      <c r="K1513" t="n">
        <v>0</v>
      </c>
      <c r="L1513" t="n">
        <v>0</v>
      </c>
      <c r="M1513" t="n">
        <v>0</v>
      </c>
      <c r="N1513" t="n">
        <v>0</v>
      </c>
      <c r="O1513" t="n">
        <v>0</v>
      </c>
      <c r="P1513" t="n">
        <v>0</v>
      </c>
      <c r="Q1513" t="n">
        <v>0</v>
      </c>
      <c r="R1513" s="2" t="inlineStr"/>
    </row>
    <row r="1514" ht="15" customHeight="1">
      <c r="A1514" t="inlineStr">
        <is>
          <t>A 35947-2024</t>
        </is>
      </c>
      <c r="B1514" s="1" t="n">
        <v>45533</v>
      </c>
      <c r="C1514" s="1" t="n">
        <v>45668</v>
      </c>
      <c r="D1514" t="inlineStr">
        <is>
          <t>JÄMTLANDS LÄN</t>
        </is>
      </c>
      <c r="E1514" t="inlineStr">
        <is>
          <t>HÄRJEDALEN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35971-2024</t>
        </is>
      </c>
      <c r="B1515" s="1" t="n">
        <v>45533</v>
      </c>
      <c r="C1515" s="1" t="n">
        <v>45668</v>
      </c>
      <c r="D1515" t="inlineStr">
        <is>
          <t>JÄMTLANDS LÄN</t>
        </is>
      </c>
      <c r="E1515" t="inlineStr">
        <is>
          <t>HÄRJEDALEN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36083-2024</t>
        </is>
      </c>
      <c r="B1516" s="1" t="n">
        <v>45533</v>
      </c>
      <c r="C1516" s="1" t="n">
        <v>45668</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36097-2024</t>
        </is>
      </c>
      <c r="B1517" s="1" t="n">
        <v>45533</v>
      </c>
      <c r="C1517" s="1" t="n">
        <v>45668</v>
      </c>
      <c r="D1517" t="inlineStr">
        <is>
          <t>JÄMTLANDS LÄN</t>
        </is>
      </c>
      <c r="E1517" t="inlineStr">
        <is>
          <t>HÄRJEDALEN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36123-2024</t>
        </is>
      </c>
      <c r="B1518" s="1" t="n">
        <v>45534</v>
      </c>
      <c r="C1518" s="1" t="n">
        <v>45668</v>
      </c>
      <c r="D1518" t="inlineStr">
        <is>
          <t>JÄMTLANDS LÄN</t>
        </is>
      </c>
      <c r="E1518" t="inlineStr">
        <is>
          <t>HÄRJEDALEN</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36239-2024</t>
        </is>
      </c>
      <c r="B1519" s="1" t="n">
        <v>45534</v>
      </c>
      <c r="C1519" s="1" t="n">
        <v>45668</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36645-2024</t>
        </is>
      </c>
      <c r="B1520" s="1" t="n">
        <v>45537</v>
      </c>
      <c r="C1520" s="1" t="n">
        <v>45668</v>
      </c>
      <c r="D1520" t="inlineStr">
        <is>
          <t>JÄMTLANDS LÄN</t>
        </is>
      </c>
      <c r="E1520" t="inlineStr">
        <is>
          <t>HÄRJEDALEN</t>
        </is>
      </c>
      <c r="F1520" t="inlineStr">
        <is>
          <t>Holmen skog AB</t>
        </is>
      </c>
      <c r="G1520" t="n">
        <v>16.8</v>
      </c>
      <c r="H1520" t="n">
        <v>0</v>
      </c>
      <c r="I1520" t="n">
        <v>0</v>
      </c>
      <c r="J1520" t="n">
        <v>0</v>
      </c>
      <c r="K1520" t="n">
        <v>0</v>
      </c>
      <c r="L1520" t="n">
        <v>0</v>
      </c>
      <c r="M1520" t="n">
        <v>0</v>
      </c>
      <c r="N1520" t="n">
        <v>0</v>
      </c>
      <c r="O1520" t="n">
        <v>0</v>
      </c>
      <c r="P1520" t="n">
        <v>0</v>
      </c>
      <c r="Q1520" t="n">
        <v>0</v>
      </c>
      <c r="R1520" s="2" t="inlineStr"/>
    </row>
    <row r="1521" ht="15" customHeight="1">
      <c r="A1521" t="inlineStr">
        <is>
          <t>A 36911-2024</t>
        </is>
      </c>
      <c r="B1521" s="1" t="n">
        <v>45538</v>
      </c>
      <c r="C1521" s="1" t="n">
        <v>45668</v>
      </c>
      <c r="D1521" t="inlineStr">
        <is>
          <t>JÄMTLANDS LÄN</t>
        </is>
      </c>
      <c r="E1521" t="inlineStr">
        <is>
          <t>HÄRJEDALEN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36941-2024</t>
        </is>
      </c>
      <c r="B1522" s="1" t="n">
        <v>45538</v>
      </c>
      <c r="C1522" s="1" t="n">
        <v>45668</v>
      </c>
      <c r="D1522" t="inlineStr">
        <is>
          <t>JÄMTLANDS LÄN</t>
        </is>
      </c>
      <c r="E1522" t="inlineStr">
        <is>
          <t>HÄRJEDALEN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37054-2024</t>
        </is>
      </c>
      <c r="B1523" s="1" t="n">
        <v>45539</v>
      </c>
      <c r="C1523" s="1" t="n">
        <v>45668</v>
      </c>
      <c r="D1523" t="inlineStr">
        <is>
          <t>JÄMTLANDS LÄN</t>
        </is>
      </c>
      <c r="E1523" t="inlineStr">
        <is>
          <t>HÄRJEDALEN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37281-2024</t>
        </is>
      </c>
      <c r="B1524" s="1" t="n">
        <v>45540</v>
      </c>
      <c r="C1524" s="1" t="n">
        <v>45668</v>
      </c>
      <c r="D1524" t="inlineStr">
        <is>
          <t>JÄMTLANDS LÄN</t>
        </is>
      </c>
      <c r="E1524" t="inlineStr">
        <is>
          <t>HÄRJEDALEN</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38507-2024</t>
        </is>
      </c>
      <c r="B1525" s="1" t="n">
        <v>45546</v>
      </c>
      <c r="C1525" s="1" t="n">
        <v>45668</v>
      </c>
      <c r="D1525" t="inlineStr">
        <is>
          <t>JÄMTLANDS LÄN</t>
        </is>
      </c>
      <c r="E1525" t="inlineStr">
        <is>
          <t>HÄRJEDALEN</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38609-2024</t>
        </is>
      </c>
      <c r="B1526" s="1" t="n">
        <v>45546</v>
      </c>
      <c r="C1526" s="1" t="n">
        <v>45668</v>
      </c>
      <c r="D1526" t="inlineStr">
        <is>
          <t>JÄMTLANDS LÄN</t>
        </is>
      </c>
      <c r="E1526" t="inlineStr">
        <is>
          <t>HÄRJEDALEN</t>
        </is>
      </c>
      <c r="F1526" t="inlineStr">
        <is>
          <t>Bergvik skog väst AB</t>
        </is>
      </c>
      <c r="G1526" t="n">
        <v>32.4</v>
      </c>
      <c r="H1526" t="n">
        <v>0</v>
      </c>
      <c r="I1526" t="n">
        <v>0</v>
      </c>
      <c r="J1526" t="n">
        <v>0</v>
      </c>
      <c r="K1526" t="n">
        <v>0</v>
      </c>
      <c r="L1526" t="n">
        <v>0</v>
      </c>
      <c r="M1526" t="n">
        <v>0</v>
      </c>
      <c r="N1526" t="n">
        <v>0</v>
      </c>
      <c r="O1526" t="n">
        <v>0</v>
      </c>
      <c r="P1526" t="n">
        <v>0</v>
      </c>
      <c r="Q1526" t="n">
        <v>0</v>
      </c>
      <c r="R1526" s="2" t="inlineStr"/>
    </row>
    <row r="1527" ht="15" customHeight="1">
      <c r="A1527" t="inlineStr">
        <is>
          <t>A 38841-2024</t>
        </is>
      </c>
      <c r="B1527" s="1" t="n">
        <v>45547</v>
      </c>
      <c r="C1527" s="1" t="n">
        <v>45668</v>
      </c>
      <c r="D1527" t="inlineStr">
        <is>
          <t>JÄMTLANDS LÄN</t>
        </is>
      </c>
      <c r="E1527" t="inlineStr">
        <is>
          <t>HÄRJEDALEN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38827-2024</t>
        </is>
      </c>
      <c r="B1528" s="1" t="n">
        <v>45547</v>
      </c>
      <c r="C1528" s="1" t="n">
        <v>45668</v>
      </c>
      <c r="D1528" t="inlineStr">
        <is>
          <t>JÄMTLANDS LÄN</t>
        </is>
      </c>
      <c r="E1528" t="inlineStr">
        <is>
          <t>HÄRJEDALEN</t>
        </is>
      </c>
      <c r="F1528" t="inlineStr">
        <is>
          <t>Bergvik skog väst AB</t>
        </is>
      </c>
      <c r="G1528" t="n">
        <v>30</v>
      </c>
      <c r="H1528" t="n">
        <v>0</v>
      </c>
      <c r="I1528" t="n">
        <v>0</v>
      </c>
      <c r="J1528" t="n">
        <v>0</v>
      </c>
      <c r="K1528" t="n">
        <v>0</v>
      </c>
      <c r="L1528" t="n">
        <v>0</v>
      </c>
      <c r="M1528" t="n">
        <v>0</v>
      </c>
      <c r="N1528" t="n">
        <v>0</v>
      </c>
      <c r="O1528" t="n">
        <v>0</v>
      </c>
      <c r="P1528" t="n">
        <v>0</v>
      </c>
      <c r="Q1528" t="n">
        <v>0</v>
      </c>
      <c r="R1528" s="2" t="inlineStr"/>
    </row>
    <row r="1529" ht="15" customHeight="1">
      <c r="A1529" t="inlineStr">
        <is>
          <t>A 38851-2024</t>
        </is>
      </c>
      <c r="B1529" s="1" t="n">
        <v>45547</v>
      </c>
      <c r="C1529" s="1" t="n">
        <v>45668</v>
      </c>
      <c r="D1529" t="inlineStr">
        <is>
          <t>JÄMTLANDS LÄN</t>
        </is>
      </c>
      <c r="E1529" t="inlineStr">
        <is>
          <t>HÄRJEDALEN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38840-2024</t>
        </is>
      </c>
      <c r="B1530" s="1" t="n">
        <v>45547</v>
      </c>
      <c r="C1530" s="1" t="n">
        <v>45668</v>
      </c>
      <c r="D1530" t="inlineStr">
        <is>
          <t>JÄMTLANDS LÄN</t>
        </is>
      </c>
      <c r="E1530" t="inlineStr">
        <is>
          <t>HÄRJEDALEN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40037-2024</t>
        </is>
      </c>
      <c r="B1531" s="1" t="n">
        <v>45553</v>
      </c>
      <c r="C1531" s="1" t="n">
        <v>45668</v>
      </c>
      <c r="D1531" t="inlineStr">
        <is>
          <t>JÄMTLANDS LÄN</t>
        </is>
      </c>
      <c r="E1531" t="inlineStr">
        <is>
          <t>HÄRJEDALEN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40114-2024</t>
        </is>
      </c>
      <c r="B1532" s="1" t="n">
        <v>45554</v>
      </c>
      <c r="C1532" s="1" t="n">
        <v>45668</v>
      </c>
      <c r="D1532" t="inlineStr">
        <is>
          <t>JÄMTLANDS LÄN</t>
        </is>
      </c>
      <c r="E1532" t="inlineStr">
        <is>
          <t>HÄRJEDALEN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41259-2024</t>
        </is>
      </c>
      <c r="B1533" s="1" t="n">
        <v>45559</v>
      </c>
      <c r="C1533" s="1" t="n">
        <v>45668</v>
      </c>
      <c r="D1533" t="inlineStr">
        <is>
          <t>JÄMTLANDS LÄN</t>
        </is>
      </c>
      <c r="E1533" t="inlineStr">
        <is>
          <t>HÄRJEDALEN</t>
        </is>
      </c>
      <c r="F1533" t="inlineStr">
        <is>
          <t>Bergvik skog väst AB</t>
        </is>
      </c>
      <c r="G1533" t="n">
        <v>30.7</v>
      </c>
      <c r="H1533" t="n">
        <v>0</v>
      </c>
      <c r="I1533" t="n">
        <v>0</v>
      </c>
      <c r="J1533" t="n">
        <v>0</v>
      </c>
      <c r="K1533" t="n">
        <v>0</v>
      </c>
      <c r="L1533" t="n">
        <v>0</v>
      </c>
      <c r="M1533" t="n">
        <v>0</v>
      </c>
      <c r="N1533" t="n">
        <v>0</v>
      </c>
      <c r="O1533" t="n">
        <v>0</v>
      </c>
      <c r="P1533" t="n">
        <v>0</v>
      </c>
      <c r="Q1533" t="n">
        <v>0</v>
      </c>
      <c r="R1533" s="2" t="inlineStr"/>
    </row>
    <row r="1534" ht="15" customHeight="1">
      <c r="A1534" t="inlineStr">
        <is>
          <t>A 41329-2024</t>
        </is>
      </c>
      <c r="B1534" s="1" t="n">
        <v>45559</v>
      </c>
      <c r="C1534" s="1" t="n">
        <v>45668</v>
      </c>
      <c r="D1534" t="inlineStr">
        <is>
          <t>JÄMTLANDS LÄN</t>
        </is>
      </c>
      <c r="E1534" t="inlineStr">
        <is>
          <t>HÄRJEDALEN</t>
        </is>
      </c>
      <c r="G1534" t="n">
        <v>47.1</v>
      </c>
      <c r="H1534" t="n">
        <v>0</v>
      </c>
      <c r="I1534" t="n">
        <v>0</v>
      </c>
      <c r="J1534" t="n">
        <v>0</v>
      </c>
      <c r="K1534" t="n">
        <v>0</v>
      </c>
      <c r="L1534" t="n">
        <v>0</v>
      </c>
      <c r="M1534" t="n">
        <v>0</v>
      </c>
      <c r="N1534" t="n">
        <v>0</v>
      </c>
      <c r="O1534" t="n">
        <v>0</v>
      </c>
      <c r="P1534" t="n">
        <v>0</v>
      </c>
      <c r="Q1534" t="n">
        <v>0</v>
      </c>
      <c r="R1534" s="2" t="inlineStr"/>
    </row>
    <row r="1535" ht="15" customHeight="1">
      <c r="A1535" t="inlineStr">
        <is>
          <t>A 41101-2024</t>
        </is>
      </c>
      <c r="B1535" s="1" t="n">
        <v>45559</v>
      </c>
      <c r="C1535" s="1" t="n">
        <v>45668</v>
      </c>
      <c r="D1535" t="inlineStr">
        <is>
          <t>JÄMTLANDS LÄN</t>
        </is>
      </c>
      <c r="E1535" t="inlineStr">
        <is>
          <t>HÄRJEDALEN</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41604-2024</t>
        </is>
      </c>
      <c r="B1536" s="1" t="n">
        <v>45560</v>
      </c>
      <c r="C1536" s="1" t="n">
        <v>45668</v>
      </c>
      <c r="D1536" t="inlineStr">
        <is>
          <t>JÄMTLANDS LÄN</t>
        </is>
      </c>
      <c r="E1536" t="inlineStr">
        <is>
          <t>HÄRJEDALEN</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41401-2024</t>
        </is>
      </c>
      <c r="B1537" s="1" t="n">
        <v>45560</v>
      </c>
      <c r="C1537" s="1" t="n">
        <v>45668</v>
      </c>
      <c r="D1537" t="inlineStr">
        <is>
          <t>JÄMTLANDS LÄN</t>
        </is>
      </c>
      <c r="E1537" t="inlineStr">
        <is>
          <t>HÄRJEDALEN</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41615-2024</t>
        </is>
      </c>
      <c r="B1538" s="1" t="n">
        <v>45560</v>
      </c>
      <c r="C1538" s="1" t="n">
        <v>45668</v>
      </c>
      <c r="D1538" t="inlineStr">
        <is>
          <t>JÄMTLANDS LÄN</t>
        </is>
      </c>
      <c r="E1538" t="inlineStr">
        <is>
          <t>HÄRJEDALEN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41647-2024</t>
        </is>
      </c>
      <c r="B1539" s="1" t="n">
        <v>45560</v>
      </c>
      <c r="C1539" s="1" t="n">
        <v>45668</v>
      </c>
      <c r="D1539" t="inlineStr">
        <is>
          <t>JÄMTLANDS LÄN</t>
        </is>
      </c>
      <c r="E1539" t="inlineStr">
        <is>
          <t>HÄRJEDALEN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41761-2024</t>
        </is>
      </c>
      <c r="B1540" s="1" t="n">
        <v>45561</v>
      </c>
      <c r="C1540" s="1" t="n">
        <v>45668</v>
      </c>
      <c r="D1540" t="inlineStr">
        <is>
          <t>JÄMTLANDS LÄN</t>
        </is>
      </c>
      <c r="E1540" t="inlineStr">
        <is>
          <t>HÄRJEDALEN</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41887-2024</t>
        </is>
      </c>
      <c r="B1541" s="1" t="n">
        <v>45561</v>
      </c>
      <c r="C1541" s="1" t="n">
        <v>45668</v>
      </c>
      <c r="D1541" t="inlineStr">
        <is>
          <t>JÄMTLANDS LÄN</t>
        </is>
      </c>
      <c r="E1541" t="inlineStr">
        <is>
          <t>HÄRJEDALEN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41895-2024</t>
        </is>
      </c>
      <c r="B1542" s="1" t="n">
        <v>45561</v>
      </c>
      <c r="C1542" s="1" t="n">
        <v>45668</v>
      </c>
      <c r="D1542" t="inlineStr">
        <is>
          <t>JÄMTLANDS LÄN</t>
        </is>
      </c>
      <c r="E1542" t="inlineStr">
        <is>
          <t>HÄRJEDALEN</t>
        </is>
      </c>
      <c r="G1542" t="n">
        <v>39.3</v>
      </c>
      <c r="H1542" t="n">
        <v>0</v>
      </c>
      <c r="I1542" t="n">
        <v>0</v>
      </c>
      <c r="J1542" t="n">
        <v>0</v>
      </c>
      <c r="K1542" t="n">
        <v>0</v>
      </c>
      <c r="L1542" t="n">
        <v>0</v>
      </c>
      <c r="M1542" t="n">
        <v>0</v>
      </c>
      <c r="N1542" t="n">
        <v>0</v>
      </c>
      <c r="O1542" t="n">
        <v>0</v>
      </c>
      <c r="P1542" t="n">
        <v>0</v>
      </c>
      <c r="Q1542" t="n">
        <v>0</v>
      </c>
      <c r="R1542" s="2" t="inlineStr"/>
    </row>
    <row r="1543" ht="15" customHeight="1">
      <c r="A1543" t="inlineStr">
        <is>
          <t>A 41885-2024</t>
        </is>
      </c>
      <c r="B1543" s="1" t="n">
        <v>45561</v>
      </c>
      <c r="C1543" s="1" t="n">
        <v>45668</v>
      </c>
      <c r="D1543" t="inlineStr">
        <is>
          <t>JÄMTLANDS LÄN</t>
        </is>
      </c>
      <c r="E1543" t="inlineStr">
        <is>
          <t>HÄRJEDALEN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41785-2024</t>
        </is>
      </c>
      <c r="B1544" s="1" t="n">
        <v>45561</v>
      </c>
      <c r="C1544" s="1" t="n">
        <v>45668</v>
      </c>
      <c r="D1544" t="inlineStr">
        <is>
          <t>JÄMTLANDS LÄN</t>
        </is>
      </c>
      <c r="E1544" t="inlineStr">
        <is>
          <t>HÄRJEDALEN</t>
        </is>
      </c>
      <c r="F1544" t="inlineStr">
        <is>
          <t>SCA</t>
        </is>
      </c>
      <c r="G1544" t="n">
        <v>45.1</v>
      </c>
      <c r="H1544" t="n">
        <v>0</v>
      </c>
      <c r="I1544" t="n">
        <v>0</v>
      </c>
      <c r="J1544" t="n">
        <v>0</v>
      </c>
      <c r="K1544" t="n">
        <v>0</v>
      </c>
      <c r="L1544" t="n">
        <v>0</v>
      </c>
      <c r="M1544" t="n">
        <v>0</v>
      </c>
      <c r="N1544" t="n">
        <v>0</v>
      </c>
      <c r="O1544" t="n">
        <v>0</v>
      </c>
      <c r="P1544" t="n">
        <v>0</v>
      </c>
      <c r="Q1544" t="n">
        <v>0</v>
      </c>
      <c r="R1544" s="2" t="inlineStr"/>
    </row>
    <row r="1545" ht="15" customHeight="1">
      <c r="A1545" t="inlineStr">
        <is>
          <t>A 42332-2024</t>
        </is>
      </c>
      <c r="B1545" s="1" t="n">
        <v>45562</v>
      </c>
      <c r="C1545" s="1" t="n">
        <v>45668</v>
      </c>
      <c r="D1545" t="inlineStr">
        <is>
          <t>JÄMTLANDS LÄN</t>
        </is>
      </c>
      <c r="E1545" t="inlineStr">
        <is>
          <t>HÄRJEDALEN</t>
        </is>
      </c>
      <c r="F1545" t="inlineStr">
        <is>
          <t>Sveaskog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42333-2024</t>
        </is>
      </c>
      <c r="B1546" s="1" t="n">
        <v>45562</v>
      </c>
      <c r="C1546" s="1" t="n">
        <v>45668</v>
      </c>
      <c r="D1546" t="inlineStr">
        <is>
          <t>JÄMTLANDS LÄN</t>
        </is>
      </c>
      <c r="E1546" t="inlineStr">
        <is>
          <t>HÄRJEDALEN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42789-2024</t>
        </is>
      </c>
      <c r="B1547" s="1" t="n">
        <v>45566</v>
      </c>
      <c r="C1547" s="1" t="n">
        <v>45668</v>
      </c>
      <c r="D1547" t="inlineStr">
        <is>
          <t>JÄMTLANDS LÄN</t>
        </is>
      </c>
      <c r="E1547" t="inlineStr">
        <is>
          <t>HÄRJEDALEN</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42803-2024</t>
        </is>
      </c>
      <c r="B1548" s="1" t="n">
        <v>45566</v>
      </c>
      <c r="C1548" s="1" t="n">
        <v>45668</v>
      </c>
      <c r="D1548" t="inlineStr">
        <is>
          <t>JÄMTLANDS LÄN</t>
        </is>
      </c>
      <c r="E1548" t="inlineStr">
        <is>
          <t>HÄRJEDALEN</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43036-2024</t>
        </is>
      </c>
      <c r="B1549" s="1" t="n">
        <v>45567</v>
      </c>
      <c r="C1549" s="1" t="n">
        <v>45668</v>
      </c>
      <c r="D1549" t="inlineStr">
        <is>
          <t>JÄMTLANDS LÄN</t>
        </is>
      </c>
      <c r="E1549" t="inlineStr">
        <is>
          <t>HÄRJEDALEN</t>
        </is>
      </c>
      <c r="F1549" t="inlineStr">
        <is>
          <t>Bergvik skog väst AB</t>
        </is>
      </c>
      <c r="G1549" t="n">
        <v>28.4</v>
      </c>
      <c r="H1549" t="n">
        <v>0</v>
      </c>
      <c r="I1549" t="n">
        <v>0</v>
      </c>
      <c r="J1549" t="n">
        <v>0</v>
      </c>
      <c r="K1549" t="n">
        <v>0</v>
      </c>
      <c r="L1549" t="n">
        <v>0</v>
      </c>
      <c r="M1549" t="n">
        <v>0</v>
      </c>
      <c r="N1549" t="n">
        <v>0</v>
      </c>
      <c r="O1549" t="n">
        <v>0</v>
      </c>
      <c r="P1549" t="n">
        <v>0</v>
      </c>
      <c r="Q1549" t="n">
        <v>0</v>
      </c>
      <c r="R1549" s="2" t="inlineStr"/>
    </row>
    <row r="1550" ht="15" customHeight="1">
      <c r="A1550" t="inlineStr">
        <is>
          <t>A 43287-2024</t>
        </is>
      </c>
      <c r="B1550" s="1" t="n">
        <v>45568</v>
      </c>
      <c r="C1550" s="1" t="n">
        <v>45668</v>
      </c>
      <c r="D1550" t="inlineStr">
        <is>
          <t>JÄMTLANDS LÄN</t>
        </is>
      </c>
      <c r="E1550" t="inlineStr">
        <is>
          <t>HÄRJEDALEN</t>
        </is>
      </c>
      <c r="F1550" t="inlineStr">
        <is>
          <t>SCA</t>
        </is>
      </c>
      <c r="G1550" t="n">
        <v>19.7</v>
      </c>
      <c r="H1550" t="n">
        <v>0</v>
      </c>
      <c r="I1550" t="n">
        <v>0</v>
      </c>
      <c r="J1550" t="n">
        <v>0</v>
      </c>
      <c r="K1550" t="n">
        <v>0</v>
      </c>
      <c r="L1550" t="n">
        <v>0</v>
      </c>
      <c r="M1550" t="n">
        <v>0</v>
      </c>
      <c r="N1550" t="n">
        <v>0</v>
      </c>
      <c r="O1550" t="n">
        <v>0</v>
      </c>
      <c r="P1550" t="n">
        <v>0</v>
      </c>
      <c r="Q1550" t="n">
        <v>0</v>
      </c>
      <c r="R1550" s="2" t="inlineStr"/>
    </row>
    <row r="1551" ht="15" customHeight="1">
      <c r="A1551" t="inlineStr">
        <is>
          <t>A 43297-2024</t>
        </is>
      </c>
      <c r="B1551" s="1" t="n">
        <v>45568</v>
      </c>
      <c r="C1551" s="1" t="n">
        <v>45668</v>
      </c>
      <c r="D1551" t="inlineStr">
        <is>
          <t>JÄMTLANDS LÄN</t>
        </is>
      </c>
      <c r="E1551" t="inlineStr">
        <is>
          <t>HÄRJEDALEN</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43309-2024</t>
        </is>
      </c>
      <c r="B1552" s="1" t="n">
        <v>45568</v>
      </c>
      <c r="C1552" s="1" t="n">
        <v>45668</v>
      </c>
      <c r="D1552" t="inlineStr">
        <is>
          <t>JÄMTLANDS LÄN</t>
        </is>
      </c>
      <c r="E1552" t="inlineStr">
        <is>
          <t>HÄRJEDALEN</t>
        </is>
      </c>
      <c r="F1552" t="inlineStr">
        <is>
          <t>Bergvik skog väst AB</t>
        </is>
      </c>
      <c r="G1552" t="n">
        <v>79.8</v>
      </c>
      <c r="H1552" t="n">
        <v>0</v>
      </c>
      <c r="I1552" t="n">
        <v>0</v>
      </c>
      <c r="J1552" t="n">
        <v>0</v>
      </c>
      <c r="K1552" t="n">
        <v>0</v>
      </c>
      <c r="L1552" t="n">
        <v>0</v>
      </c>
      <c r="M1552" t="n">
        <v>0</v>
      </c>
      <c r="N1552" t="n">
        <v>0</v>
      </c>
      <c r="O1552" t="n">
        <v>0</v>
      </c>
      <c r="P1552" t="n">
        <v>0</v>
      </c>
      <c r="Q1552" t="n">
        <v>0</v>
      </c>
      <c r="R1552" s="2" t="inlineStr"/>
    </row>
    <row r="1553" ht="15" customHeight="1">
      <c r="A1553" t="inlineStr">
        <is>
          <t>A 43390-2024</t>
        </is>
      </c>
      <c r="B1553" s="1" t="n">
        <v>45568</v>
      </c>
      <c r="C1553" s="1" t="n">
        <v>45668</v>
      </c>
      <c r="D1553" t="inlineStr">
        <is>
          <t>JÄMTLANDS LÄN</t>
        </is>
      </c>
      <c r="E1553" t="inlineStr">
        <is>
          <t>HÄRJEDALEN</t>
        </is>
      </c>
      <c r="F1553" t="inlineStr">
        <is>
          <t>Bergvik skog väst AB</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43294-2024</t>
        </is>
      </c>
      <c r="B1554" s="1" t="n">
        <v>45568</v>
      </c>
      <c r="C1554" s="1" t="n">
        <v>45668</v>
      </c>
      <c r="D1554" t="inlineStr">
        <is>
          <t>JÄMTLANDS LÄN</t>
        </is>
      </c>
      <c r="E1554" t="inlineStr">
        <is>
          <t>HÄRJEDALEN</t>
        </is>
      </c>
      <c r="F1554" t="inlineStr">
        <is>
          <t>SCA</t>
        </is>
      </c>
      <c r="G1554" t="n">
        <v>18.5</v>
      </c>
      <c r="H1554" t="n">
        <v>0</v>
      </c>
      <c r="I1554" t="n">
        <v>0</v>
      </c>
      <c r="J1554" t="n">
        <v>0</v>
      </c>
      <c r="K1554" t="n">
        <v>0</v>
      </c>
      <c r="L1554" t="n">
        <v>0</v>
      </c>
      <c r="M1554" t="n">
        <v>0</v>
      </c>
      <c r="N1554" t="n">
        <v>0</v>
      </c>
      <c r="O1554" t="n">
        <v>0</v>
      </c>
      <c r="P1554" t="n">
        <v>0</v>
      </c>
      <c r="Q1554" t="n">
        <v>0</v>
      </c>
      <c r="R1554" s="2" t="inlineStr"/>
    </row>
    <row r="1555" ht="15" customHeight="1">
      <c r="A1555" t="inlineStr">
        <is>
          <t>A 43316-2024</t>
        </is>
      </c>
      <c r="B1555" s="1" t="n">
        <v>45568</v>
      </c>
      <c r="C1555" s="1" t="n">
        <v>45668</v>
      </c>
      <c r="D1555" t="inlineStr">
        <is>
          <t>JÄMTLANDS LÄN</t>
        </is>
      </c>
      <c r="E1555" t="inlineStr">
        <is>
          <t>HÄRJEDALEN</t>
        </is>
      </c>
      <c r="F1555" t="inlineStr">
        <is>
          <t>Bergvik skog väst AB</t>
        </is>
      </c>
      <c r="G1555" t="n">
        <v>79.90000000000001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43623-2024</t>
        </is>
      </c>
      <c r="B1556" s="1" t="n">
        <v>45569</v>
      </c>
      <c r="C1556" s="1" t="n">
        <v>45668</v>
      </c>
      <c r="D1556" t="inlineStr">
        <is>
          <t>JÄMTLANDS LÄN</t>
        </is>
      </c>
      <c r="E1556" t="inlineStr">
        <is>
          <t>HÄRJEDALEN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43555-2024</t>
        </is>
      </c>
      <c r="B1557" s="1" t="n">
        <v>45569</v>
      </c>
      <c r="C1557" s="1" t="n">
        <v>45668</v>
      </c>
      <c r="D1557" t="inlineStr">
        <is>
          <t>JÄMTLANDS LÄN</t>
        </is>
      </c>
      <c r="E1557" t="inlineStr">
        <is>
          <t>HÄRJEDALEN</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43574-2024</t>
        </is>
      </c>
      <c r="B1558" s="1" t="n">
        <v>45569</v>
      </c>
      <c r="C1558" s="1" t="n">
        <v>45668</v>
      </c>
      <c r="D1558" t="inlineStr">
        <is>
          <t>JÄMTLANDS LÄN</t>
        </is>
      </c>
      <c r="E1558" t="inlineStr">
        <is>
          <t>HÄRJEDALEN</t>
        </is>
      </c>
      <c r="F1558" t="inlineStr">
        <is>
          <t>Bergvik skog väst AB</t>
        </is>
      </c>
      <c r="G1558" t="n">
        <v>258.3</v>
      </c>
      <c r="H1558" t="n">
        <v>0</v>
      </c>
      <c r="I1558" t="n">
        <v>0</v>
      </c>
      <c r="J1558" t="n">
        <v>0</v>
      </c>
      <c r="K1558" t="n">
        <v>0</v>
      </c>
      <c r="L1558" t="n">
        <v>0</v>
      </c>
      <c r="M1558" t="n">
        <v>0</v>
      </c>
      <c r="N1558" t="n">
        <v>0</v>
      </c>
      <c r="O1558" t="n">
        <v>0</v>
      </c>
      <c r="P1558" t="n">
        <v>0</v>
      </c>
      <c r="Q1558" t="n">
        <v>0</v>
      </c>
      <c r="R1558" s="2" t="inlineStr"/>
    </row>
    <row r="1559" ht="15" customHeight="1">
      <c r="A1559" t="inlineStr">
        <is>
          <t>A 43586-2024</t>
        </is>
      </c>
      <c r="B1559" s="1" t="n">
        <v>45569</v>
      </c>
      <c r="C1559" s="1" t="n">
        <v>45668</v>
      </c>
      <c r="D1559" t="inlineStr">
        <is>
          <t>JÄMTLANDS LÄN</t>
        </is>
      </c>
      <c r="E1559" t="inlineStr">
        <is>
          <t>HÄRJEDALEN</t>
        </is>
      </c>
      <c r="F1559" t="inlineStr">
        <is>
          <t>Bergvik skog väst AB</t>
        </is>
      </c>
      <c r="G1559" t="n">
        <v>96.2</v>
      </c>
      <c r="H1559" t="n">
        <v>0</v>
      </c>
      <c r="I1559" t="n">
        <v>0</v>
      </c>
      <c r="J1559" t="n">
        <v>0</v>
      </c>
      <c r="K1559" t="n">
        <v>0</v>
      </c>
      <c r="L1559" t="n">
        <v>0</v>
      </c>
      <c r="M1559" t="n">
        <v>0</v>
      </c>
      <c r="N1559" t="n">
        <v>0</v>
      </c>
      <c r="O1559" t="n">
        <v>0</v>
      </c>
      <c r="P1559" t="n">
        <v>0</v>
      </c>
      <c r="Q1559" t="n">
        <v>0</v>
      </c>
      <c r="R1559" s="2" t="inlineStr"/>
    </row>
    <row r="1560" ht="15" customHeight="1">
      <c r="A1560" t="inlineStr">
        <is>
          <t>A 43760-2024</t>
        </is>
      </c>
      <c r="B1560" s="1" t="n">
        <v>45569</v>
      </c>
      <c r="C1560" s="1" t="n">
        <v>45668</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43758-2024</t>
        </is>
      </c>
      <c r="B1561" s="1" t="n">
        <v>45569</v>
      </c>
      <c r="C1561" s="1" t="n">
        <v>45668</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43591-2024</t>
        </is>
      </c>
      <c r="B1562" s="1" t="n">
        <v>45569</v>
      </c>
      <c r="C1562" s="1" t="n">
        <v>45668</v>
      </c>
      <c r="D1562" t="inlineStr">
        <is>
          <t>JÄMTLANDS LÄN</t>
        </is>
      </c>
      <c r="E1562" t="inlineStr">
        <is>
          <t>HÄRJEDALEN</t>
        </is>
      </c>
      <c r="F1562" t="inlineStr">
        <is>
          <t>Bergvik skog väst AB</t>
        </is>
      </c>
      <c r="G1562" t="n">
        <v>50.5</v>
      </c>
      <c r="H1562" t="n">
        <v>0</v>
      </c>
      <c r="I1562" t="n">
        <v>0</v>
      </c>
      <c r="J1562" t="n">
        <v>0</v>
      </c>
      <c r="K1562" t="n">
        <v>0</v>
      </c>
      <c r="L1562" t="n">
        <v>0</v>
      </c>
      <c r="M1562" t="n">
        <v>0</v>
      </c>
      <c r="N1562" t="n">
        <v>0</v>
      </c>
      <c r="O1562" t="n">
        <v>0</v>
      </c>
      <c r="P1562" t="n">
        <v>0</v>
      </c>
      <c r="Q1562" t="n">
        <v>0</v>
      </c>
      <c r="R1562" s="2" t="inlineStr"/>
    </row>
    <row r="1563" ht="15" customHeight="1">
      <c r="A1563" t="inlineStr">
        <is>
          <t>A 43607-2024</t>
        </is>
      </c>
      <c r="B1563" s="1" t="n">
        <v>45569</v>
      </c>
      <c r="C1563" s="1" t="n">
        <v>45668</v>
      </c>
      <c r="D1563" t="inlineStr">
        <is>
          <t>JÄMTLANDS LÄN</t>
        </is>
      </c>
      <c r="E1563" t="inlineStr">
        <is>
          <t>HÄRJEDALEN</t>
        </is>
      </c>
      <c r="F1563" t="inlineStr">
        <is>
          <t>Bergvik skog väst AB</t>
        </is>
      </c>
      <c r="G1563" t="n">
        <v>189.8</v>
      </c>
      <c r="H1563" t="n">
        <v>0</v>
      </c>
      <c r="I1563" t="n">
        <v>0</v>
      </c>
      <c r="J1563" t="n">
        <v>0</v>
      </c>
      <c r="K1563" t="n">
        <v>0</v>
      </c>
      <c r="L1563" t="n">
        <v>0</v>
      </c>
      <c r="M1563" t="n">
        <v>0</v>
      </c>
      <c r="N1563" t="n">
        <v>0</v>
      </c>
      <c r="O1563" t="n">
        <v>0</v>
      </c>
      <c r="P1563" t="n">
        <v>0</v>
      </c>
      <c r="Q1563" t="n">
        <v>0</v>
      </c>
      <c r="R1563" s="2" t="inlineStr"/>
    </row>
    <row r="1564" ht="15" customHeight="1">
      <c r="A1564" t="inlineStr">
        <is>
          <t>A 44056-2024</t>
        </is>
      </c>
      <c r="B1564" s="1" t="n">
        <v>45572</v>
      </c>
      <c r="C1564" s="1" t="n">
        <v>45668</v>
      </c>
      <c r="D1564" t="inlineStr">
        <is>
          <t>JÄMTLANDS LÄN</t>
        </is>
      </c>
      <c r="E1564" t="inlineStr">
        <is>
          <t>HÄRJEDALEN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44060-2024</t>
        </is>
      </c>
      <c r="B1565" s="1" t="n">
        <v>45572</v>
      </c>
      <c r="C1565" s="1" t="n">
        <v>45668</v>
      </c>
      <c r="D1565" t="inlineStr">
        <is>
          <t>JÄMTLANDS LÄN</t>
        </is>
      </c>
      <c r="E1565" t="inlineStr">
        <is>
          <t>HÄRJEDALEN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44222-2024</t>
        </is>
      </c>
      <c r="B1566" s="1" t="n">
        <v>45573</v>
      </c>
      <c r="C1566" s="1" t="n">
        <v>45668</v>
      </c>
      <c r="D1566" t="inlineStr">
        <is>
          <t>JÄMTLANDS LÄN</t>
        </is>
      </c>
      <c r="E1566" t="inlineStr">
        <is>
          <t>HÄRJEDALEN</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44332-2024</t>
        </is>
      </c>
      <c r="B1567" s="1" t="n">
        <v>45573</v>
      </c>
      <c r="C1567" s="1" t="n">
        <v>45668</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44583-2024</t>
        </is>
      </c>
      <c r="B1568" s="1" t="n">
        <v>45574</v>
      </c>
      <c r="C1568" s="1" t="n">
        <v>45668</v>
      </c>
      <c r="D1568" t="inlineStr">
        <is>
          <t>JÄMTLANDS LÄN</t>
        </is>
      </c>
      <c r="E1568" t="inlineStr">
        <is>
          <t>HÄRJEDALEN</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44705-2024</t>
        </is>
      </c>
      <c r="B1569" s="1" t="n">
        <v>45574</v>
      </c>
      <c r="C1569" s="1" t="n">
        <v>45668</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44819-2024</t>
        </is>
      </c>
      <c r="B1570" s="1" t="n">
        <v>45574</v>
      </c>
      <c r="C1570" s="1" t="n">
        <v>45668</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44745-2024</t>
        </is>
      </c>
      <c r="B1571" s="1" t="n">
        <v>45574</v>
      </c>
      <c r="C1571" s="1" t="n">
        <v>45668</v>
      </c>
      <c r="D1571" t="inlineStr">
        <is>
          <t>JÄMTLANDS LÄN</t>
        </is>
      </c>
      <c r="E1571" t="inlineStr">
        <is>
          <t>HÄRJEDALEN</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44757-2024</t>
        </is>
      </c>
      <c r="B1572" s="1" t="n">
        <v>45574</v>
      </c>
      <c r="C1572" s="1" t="n">
        <v>45668</v>
      </c>
      <c r="D1572" t="inlineStr">
        <is>
          <t>JÄMTLANDS LÄN</t>
        </is>
      </c>
      <c r="E1572" t="inlineStr">
        <is>
          <t>HÄRJEDALEN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44641-2024</t>
        </is>
      </c>
      <c r="B1573" s="1" t="n">
        <v>45574</v>
      </c>
      <c r="C1573" s="1" t="n">
        <v>45668</v>
      </c>
      <c r="D1573" t="inlineStr">
        <is>
          <t>JÄMTLANDS LÄN</t>
        </is>
      </c>
      <c r="E1573" t="inlineStr">
        <is>
          <t>HÄRJEDALEN</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44967-2024</t>
        </is>
      </c>
      <c r="B1574" s="1" t="n">
        <v>45575</v>
      </c>
      <c r="C1574" s="1" t="n">
        <v>45668</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44955-2024</t>
        </is>
      </c>
      <c r="B1575" s="1" t="n">
        <v>45575</v>
      </c>
      <c r="C1575" s="1" t="n">
        <v>45668</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45120-2024</t>
        </is>
      </c>
      <c r="B1576" s="1" t="n">
        <v>45575</v>
      </c>
      <c r="C1576" s="1" t="n">
        <v>45668</v>
      </c>
      <c r="D1576" t="inlineStr">
        <is>
          <t>JÄMTLANDS LÄN</t>
        </is>
      </c>
      <c r="E1576" t="inlineStr">
        <is>
          <t>HÄRJEDALEN</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45119-2024</t>
        </is>
      </c>
      <c r="B1577" s="1" t="n">
        <v>45575</v>
      </c>
      <c r="C1577" s="1" t="n">
        <v>45668</v>
      </c>
      <c r="D1577" t="inlineStr">
        <is>
          <t>JÄMTLANDS LÄN</t>
        </is>
      </c>
      <c r="E1577" t="inlineStr">
        <is>
          <t>HÄRJEDALEN</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45123-2024</t>
        </is>
      </c>
      <c r="B1578" s="1" t="n">
        <v>45575</v>
      </c>
      <c r="C1578" s="1" t="n">
        <v>45668</v>
      </c>
      <c r="D1578" t="inlineStr">
        <is>
          <t>JÄMTLANDS LÄN</t>
        </is>
      </c>
      <c r="E1578" t="inlineStr">
        <is>
          <t>HÄRJEDALEN</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44903-2024</t>
        </is>
      </c>
      <c r="B1579" s="1" t="n">
        <v>45575</v>
      </c>
      <c r="C1579" s="1" t="n">
        <v>45668</v>
      </c>
      <c r="D1579" t="inlineStr">
        <is>
          <t>JÄMTLANDS LÄN</t>
        </is>
      </c>
      <c r="E1579" t="inlineStr">
        <is>
          <t>HÄRJEDALEN</t>
        </is>
      </c>
      <c r="F1579" t="inlineStr">
        <is>
          <t>Sveaskog</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44964-2024</t>
        </is>
      </c>
      <c r="B1580" s="1" t="n">
        <v>45575</v>
      </c>
      <c r="C1580" s="1" t="n">
        <v>45668</v>
      </c>
      <c r="D1580" t="inlineStr">
        <is>
          <t>JÄMTLANDS LÄN</t>
        </is>
      </c>
      <c r="E1580" t="inlineStr">
        <is>
          <t>HÄRJEDALEN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45363-2024</t>
        </is>
      </c>
      <c r="B1581" s="1" t="n">
        <v>45576</v>
      </c>
      <c r="C1581" s="1" t="n">
        <v>45668</v>
      </c>
      <c r="D1581" t="inlineStr">
        <is>
          <t>JÄMTLANDS LÄN</t>
        </is>
      </c>
      <c r="E1581" t="inlineStr">
        <is>
          <t>HÄRJEDALEN</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45731-2024</t>
        </is>
      </c>
      <c r="B1582" s="1" t="n">
        <v>45579</v>
      </c>
      <c r="C1582" s="1" t="n">
        <v>45668</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45705-2024</t>
        </is>
      </c>
      <c r="B1583" s="1" t="n">
        <v>45579</v>
      </c>
      <c r="C1583" s="1" t="n">
        <v>45668</v>
      </c>
      <c r="D1583" t="inlineStr">
        <is>
          <t>JÄMTLANDS LÄN</t>
        </is>
      </c>
      <c r="E1583" t="inlineStr">
        <is>
          <t>HÄRJEDALEN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45570-2024</t>
        </is>
      </c>
      <c r="B1584" s="1" t="n">
        <v>45579</v>
      </c>
      <c r="C1584" s="1" t="n">
        <v>45668</v>
      </c>
      <c r="D1584" t="inlineStr">
        <is>
          <t>JÄMTLANDS LÄN</t>
        </is>
      </c>
      <c r="E1584" t="inlineStr">
        <is>
          <t>HÄRJEDALEN</t>
        </is>
      </c>
      <c r="F1584" t="inlineStr">
        <is>
          <t>Kommuner</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46058-2024</t>
        </is>
      </c>
      <c r="B1585" s="1" t="n">
        <v>45581</v>
      </c>
      <c r="C1585" s="1" t="n">
        <v>45668</v>
      </c>
      <c r="D1585" t="inlineStr">
        <is>
          <t>JÄMTLANDS LÄN</t>
        </is>
      </c>
      <c r="E1585" t="inlineStr">
        <is>
          <t>HÄRJEDALEN</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46245-2024</t>
        </is>
      </c>
      <c r="B1586" s="1" t="n">
        <v>45581</v>
      </c>
      <c r="C1586" s="1" t="n">
        <v>45668</v>
      </c>
      <c r="D1586" t="inlineStr">
        <is>
          <t>JÄMTLANDS LÄN</t>
        </is>
      </c>
      <c r="E1586" t="inlineStr">
        <is>
          <t>HÄRJEDALEN</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46447-2024</t>
        </is>
      </c>
      <c r="B1587" s="1" t="n">
        <v>45582</v>
      </c>
      <c r="C1587" s="1" t="n">
        <v>45668</v>
      </c>
      <c r="D1587" t="inlineStr">
        <is>
          <t>JÄMTLANDS LÄN</t>
        </is>
      </c>
      <c r="E1587" t="inlineStr">
        <is>
          <t>HÄRJEDALEN</t>
        </is>
      </c>
      <c r="F1587" t="inlineStr">
        <is>
          <t>Bergvik skog väst AB</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46499-2024</t>
        </is>
      </c>
      <c r="B1588" s="1" t="n">
        <v>45582</v>
      </c>
      <c r="C1588" s="1" t="n">
        <v>45668</v>
      </c>
      <c r="D1588" t="inlineStr">
        <is>
          <t>JÄMTLANDS LÄN</t>
        </is>
      </c>
      <c r="E1588" t="inlineStr">
        <is>
          <t>HÄRJEDALEN</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47353-2024</t>
        </is>
      </c>
      <c r="B1589" s="1" t="n">
        <v>45587</v>
      </c>
      <c r="C1589" s="1" t="n">
        <v>45668</v>
      </c>
      <c r="D1589" t="inlineStr">
        <is>
          <t>JÄMTLANDS LÄN</t>
        </is>
      </c>
      <c r="E1589" t="inlineStr">
        <is>
          <t>HÄRJEDALEN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47368-2024</t>
        </is>
      </c>
      <c r="B1590" s="1" t="n">
        <v>45587</v>
      </c>
      <c r="C1590" s="1" t="n">
        <v>45668</v>
      </c>
      <c r="D1590" t="inlineStr">
        <is>
          <t>JÄMTLANDS LÄN</t>
        </is>
      </c>
      <c r="E1590" t="inlineStr">
        <is>
          <t>HÄRJEDALEN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47765-2024</t>
        </is>
      </c>
      <c r="B1591" s="1" t="n">
        <v>45588</v>
      </c>
      <c r="C1591" s="1" t="n">
        <v>45668</v>
      </c>
      <c r="D1591" t="inlineStr">
        <is>
          <t>JÄMTLANDS LÄN</t>
        </is>
      </c>
      <c r="E1591" t="inlineStr">
        <is>
          <t>HÄRJEDALEN</t>
        </is>
      </c>
      <c r="G1591" t="n">
        <v>57.2</v>
      </c>
      <c r="H1591" t="n">
        <v>0</v>
      </c>
      <c r="I1591" t="n">
        <v>0</v>
      </c>
      <c r="J1591" t="n">
        <v>0</v>
      </c>
      <c r="K1591" t="n">
        <v>0</v>
      </c>
      <c r="L1591" t="n">
        <v>0</v>
      </c>
      <c r="M1591" t="n">
        <v>0</v>
      </c>
      <c r="N1591" t="n">
        <v>0</v>
      </c>
      <c r="O1591" t="n">
        <v>0</v>
      </c>
      <c r="P1591" t="n">
        <v>0</v>
      </c>
      <c r="Q1591" t="n">
        <v>0</v>
      </c>
      <c r="R1591" s="2" t="inlineStr"/>
    </row>
    <row r="1592" ht="15" customHeight="1">
      <c r="A1592" t="inlineStr">
        <is>
          <t>A 48162-2024</t>
        </is>
      </c>
      <c r="B1592" s="1" t="n">
        <v>45589</v>
      </c>
      <c r="C1592" s="1" t="n">
        <v>45668</v>
      </c>
      <c r="D1592" t="inlineStr">
        <is>
          <t>JÄMTLANDS LÄN</t>
        </is>
      </c>
      <c r="E1592" t="inlineStr">
        <is>
          <t>HÄRJEDALEN</t>
        </is>
      </c>
      <c r="F1592" t="inlineStr">
        <is>
          <t>Kyrkan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48092-2024</t>
        </is>
      </c>
      <c r="B1593" s="1" t="n">
        <v>45589</v>
      </c>
      <c r="C1593" s="1" t="n">
        <v>45668</v>
      </c>
      <c r="D1593" t="inlineStr">
        <is>
          <t>JÄMTLANDS LÄN</t>
        </is>
      </c>
      <c r="E1593" t="inlineStr">
        <is>
          <t>HÄRJEDALEN</t>
        </is>
      </c>
      <c r="G1593" t="n">
        <v>28.7</v>
      </c>
      <c r="H1593" t="n">
        <v>0</v>
      </c>
      <c r="I1593" t="n">
        <v>0</v>
      </c>
      <c r="J1593" t="n">
        <v>0</v>
      </c>
      <c r="K1593" t="n">
        <v>0</v>
      </c>
      <c r="L1593" t="n">
        <v>0</v>
      </c>
      <c r="M1593" t="n">
        <v>0</v>
      </c>
      <c r="N1593" t="n">
        <v>0</v>
      </c>
      <c r="O1593" t="n">
        <v>0</v>
      </c>
      <c r="P1593" t="n">
        <v>0</v>
      </c>
      <c r="Q1593" t="n">
        <v>0</v>
      </c>
      <c r="R1593" s="2" t="inlineStr"/>
    </row>
    <row r="1594" ht="15" customHeight="1">
      <c r="A1594" t="inlineStr">
        <is>
          <t>A 48108-2024</t>
        </is>
      </c>
      <c r="B1594" s="1" t="n">
        <v>45589</v>
      </c>
      <c r="C1594" s="1" t="n">
        <v>45668</v>
      </c>
      <c r="D1594" t="inlineStr">
        <is>
          <t>JÄMTLANDS LÄN</t>
        </is>
      </c>
      <c r="E1594" t="inlineStr">
        <is>
          <t>HÄRJEDALEN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48102-2024</t>
        </is>
      </c>
      <c r="B1595" s="1" t="n">
        <v>45589</v>
      </c>
      <c r="C1595" s="1" t="n">
        <v>45668</v>
      </c>
      <c r="D1595" t="inlineStr">
        <is>
          <t>JÄMTLANDS LÄN</t>
        </is>
      </c>
      <c r="E1595" t="inlineStr">
        <is>
          <t>HÄRJEDALEN</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48284-2024</t>
        </is>
      </c>
      <c r="B1596" s="1" t="n">
        <v>45590</v>
      </c>
      <c r="C1596" s="1" t="n">
        <v>45668</v>
      </c>
      <c r="D1596" t="inlineStr">
        <is>
          <t>JÄMTLANDS LÄN</t>
        </is>
      </c>
      <c r="E1596" t="inlineStr">
        <is>
          <t>HÄRJEDALEN</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48285-2024</t>
        </is>
      </c>
      <c r="B1597" s="1" t="n">
        <v>45590</v>
      </c>
      <c r="C1597" s="1" t="n">
        <v>45668</v>
      </c>
      <c r="D1597" t="inlineStr">
        <is>
          <t>JÄMTLANDS LÄN</t>
        </is>
      </c>
      <c r="E1597" t="inlineStr">
        <is>
          <t>HÄRJEDALEN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48286-2024</t>
        </is>
      </c>
      <c r="B1598" s="1" t="n">
        <v>45590</v>
      </c>
      <c r="C1598" s="1" t="n">
        <v>45668</v>
      </c>
      <c r="D1598" t="inlineStr">
        <is>
          <t>JÄMTLANDS LÄN</t>
        </is>
      </c>
      <c r="E1598" t="inlineStr">
        <is>
          <t>HÄRJEDALEN</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48287-2024</t>
        </is>
      </c>
      <c r="B1599" s="1" t="n">
        <v>45590</v>
      </c>
      <c r="C1599" s="1" t="n">
        <v>45668</v>
      </c>
      <c r="D1599" t="inlineStr">
        <is>
          <t>JÄMTLANDS LÄN</t>
        </is>
      </c>
      <c r="E1599" t="inlineStr">
        <is>
          <t>HÄRJEDALEN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48198-2024</t>
        </is>
      </c>
      <c r="B1600" s="1" t="n">
        <v>45590</v>
      </c>
      <c r="C1600" s="1" t="n">
        <v>45668</v>
      </c>
      <c r="D1600" t="inlineStr">
        <is>
          <t>JÄMTLANDS LÄN</t>
        </is>
      </c>
      <c r="E1600" t="inlineStr">
        <is>
          <t>HÄRJEDALEN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48822-2024</t>
        </is>
      </c>
      <c r="B1601" s="1" t="n">
        <v>45593</v>
      </c>
      <c r="C1601" s="1" t="n">
        <v>45668</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48818-2024</t>
        </is>
      </c>
      <c r="B1602" s="1" t="n">
        <v>45593</v>
      </c>
      <c r="C1602" s="1" t="n">
        <v>45668</v>
      </c>
      <c r="D1602" t="inlineStr">
        <is>
          <t>JÄMTLANDS LÄN</t>
        </is>
      </c>
      <c r="E1602" t="inlineStr">
        <is>
          <t>HÄRJEDALEN</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48823-2024</t>
        </is>
      </c>
      <c r="B1603" s="1" t="n">
        <v>45593</v>
      </c>
      <c r="C1603" s="1" t="n">
        <v>45668</v>
      </c>
      <c r="D1603" t="inlineStr">
        <is>
          <t>JÄMTLANDS LÄN</t>
        </is>
      </c>
      <c r="E1603" t="inlineStr">
        <is>
          <t>HÄRJEDALEN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48935-2024</t>
        </is>
      </c>
      <c r="B1604" s="1" t="n">
        <v>45594</v>
      </c>
      <c r="C1604" s="1" t="n">
        <v>45668</v>
      </c>
      <c r="D1604" t="inlineStr">
        <is>
          <t>JÄMTLANDS LÄN</t>
        </is>
      </c>
      <c r="E1604" t="inlineStr">
        <is>
          <t>HÄRJEDALEN</t>
        </is>
      </c>
      <c r="G1604" t="n">
        <v>19.8</v>
      </c>
      <c r="H1604" t="n">
        <v>0</v>
      </c>
      <c r="I1604" t="n">
        <v>0</v>
      </c>
      <c r="J1604" t="n">
        <v>0</v>
      </c>
      <c r="K1604" t="n">
        <v>0</v>
      </c>
      <c r="L1604" t="n">
        <v>0</v>
      </c>
      <c r="M1604" t="n">
        <v>0</v>
      </c>
      <c r="N1604" t="n">
        <v>0</v>
      </c>
      <c r="O1604" t="n">
        <v>0</v>
      </c>
      <c r="P1604" t="n">
        <v>0</v>
      </c>
      <c r="Q1604" t="n">
        <v>0</v>
      </c>
      <c r="R1604" s="2" t="inlineStr"/>
    </row>
    <row r="1605" ht="15" customHeight="1">
      <c r="A1605" t="inlineStr">
        <is>
          <t>A 49119-2024</t>
        </is>
      </c>
      <c r="B1605" s="1" t="n">
        <v>45594</v>
      </c>
      <c r="C1605" s="1" t="n">
        <v>45668</v>
      </c>
      <c r="D1605" t="inlineStr">
        <is>
          <t>JÄMTLANDS LÄN</t>
        </is>
      </c>
      <c r="E1605" t="inlineStr">
        <is>
          <t>HÄRJEDALEN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49333-2024</t>
        </is>
      </c>
      <c r="B1606" s="1" t="n">
        <v>45595</v>
      </c>
      <c r="C1606" s="1" t="n">
        <v>45668</v>
      </c>
      <c r="D1606" t="inlineStr">
        <is>
          <t>JÄMTLANDS LÄN</t>
        </is>
      </c>
      <c r="E1606" t="inlineStr">
        <is>
          <t>HÄRJEDALEN</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49260-2024</t>
        </is>
      </c>
      <c r="B1607" s="1" t="n">
        <v>45595</v>
      </c>
      <c r="C1607" s="1" t="n">
        <v>45668</v>
      </c>
      <c r="D1607" t="inlineStr">
        <is>
          <t>JÄMTLANDS LÄN</t>
        </is>
      </c>
      <c r="E1607" t="inlineStr">
        <is>
          <t>HÄRJEDALEN</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49263-2024</t>
        </is>
      </c>
      <c r="B1608" s="1" t="n">
        <v>45595</v>
      </c>
      <c r="C1608" s="1" t="n">
        <v>45668</v>
      </c>
      <c r="D1608" t="inlineStr">
        <is>
          <t>JÄMTLANDS LÄN</t>
        </is>
      </c>
      <c r="E1608" t="inlineStr">
        <is>
          <t>HÄRJEDALEN</t>
        </is>
      </c>
      <c r="F1608" t="inlineStr">
        <is>
          <t>Bergvik skog väst AB</t>
        </is>
      </c>
      <c r="G1608" t="n">
        <v>17.4</v>
      </c>
      <c r="H1608" t="n">
        <v>0</v>
      </c>
      <c r="I1608" t="n">
        <v>0</v>
      </c>
      <c r="J1608" t="n">
        <v>0</v>
      </c>
      <c r="K1608" t="n">
        <v>0</v>
      </c>
      <c r="L1608" t="n">
        <v>0</v>
      </c>
      <c r="M1608" t="n">
        <v>0</v>
      </c>
      <c r="N1608" t="n">
        <v>0</v>
      </c>
      <c r="O1608" t="n">
        <v>0</v>
      </c>
      <c r="P1608" t="n">
        <v>0</v>
      </c>
      <c r="Q1608" t="n">
        <v>0</v>
      </c>
      <c r="R1608" s="2" t="inlineStr"/>
    </row>
    <row r="1609" ht="15" customHeight="1">
      <c r="A1609" t="inlineStr">
        <is>
          <t>A 49319-2024</t>
        </is>
      </c>
      <c r="B1609" s="1" t="n">
        <v>45595</v>
      </c>
      <c r="C1609" s="1" t="n">
        <v>45668</v>
      </c>
      <c r="D1609" t="inlineStr">
        <is>
          <t>JÄMTLANDS LÄN</t>
        </is>
      </c>
      <c r="E1609" t="inlineStr">
        <is>
          <t>HÄRJEDALEN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49490-2024</t>
        </is>
      </c>
      <c r="B1610" s="1" t="n">
        <v>45596</v>
      </c>
      <c r="C1610" s="1" t="n">
        <v>45668</v>
      </c>
      <c r="D1610" t="inlineStr">
        <is>
          <t>JÄMTLANDS LÄN</t>
        </is>
      </c>
      <c r="E1610" t="inlineStr">
        <is>
          <t>HÄRJEDALEN</t>
        </is>
      </c>
      <c r="F1610" t="inlineStr">
        <is>
          <t>Kommuner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50544-2024</t>
        </is>
      </c>
      <c r="B1611" s="1" t="n">
        <v>45601</v>
      </c>
      <c r="C1611" s="1" t="n">
        <v>45668</v>
      </c>
      <c r="D1611" t="inlineStr">
        <is>
          <t>JÄMTLANDS LÄN</t>
        </is>
      </c>
      <c r="E1611" t="inlineStr">
        <is>
          <t>HÄRJEDALEN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50437-2024</t>
        </is>
      </c>
      <c r="B1612" s="1" t="n">
        <v>45601</v>
      </c>
      <c r="C1612" s="1" t="n">
        <v>45668</v>
      </c>
      <c r="D1612" t="inlineStr">
        <is>
          <t>JÄMTLANDS LÄN</t>
        </is>
      </c>
      <c r="E1612" t="inlineStr">
        <is>
          <t>HÄRJEDALEN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50537-2024</t>
        </is>
      </c>
      <c r="B1613" s="1" t="n">
        <v>45601</v>
      </c>
      <c r="C1613" s="1" t="n">
        <v>45668</v>
      </c>
      <c r="D1613" t="inlineStr">
        <is>
          <t>JÄMTLANDS LÄN</t>
        </is>
      </c>
      <c r="E1613" t="inlineStr">
        <is>
          <t>HÄRJEDALEN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50835-2024</t>
        </is>
      </c>
      <c r="B1614" s="1" t="n">
        <v>45602</v>
      </c>
      <c r="C1614" s="1" t="n">
        <v>45668</v>
      </c>
      <c r="D1614" t="inlineStr">
        <is>
          <t>JÄMTLANDS LÄN</t>
        </is>
      </c>
      <c r="E1614" t="inlineStr">
        <is>
          <t>HÄRJEDALEN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51198-2024</t>
        </is>
      </c>
      <c r="B1615" s="1" t="n">
        <v>45603</v>
      </c>
      <c r="C1615" s="1" t="n">
        <v>45668</v>
      </c>
      <c r="D1615" t="inlineStr">
        <is>
          <t>JÄMTLANDS LÄN</t>
        </is>
      </c>
      <c r="E1615" t="inlineStr">
        <is>
          <t>HÄRJEDALEN</t>
        </is>
      </c>
      <c r="F1615" t="inlineStr">
        <is>
          <t>Holmen skog AB</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51191-2024</t>
        </is>
      </c>
      <c r="B1616" s="1" t="n">
        <v>45603</v>
      </c>
      <c r="C1616" s="1" t="n">
        <v>45668</v>
      </c>
      <c r="D1616" t="inlineStr">
        <is>
          <t>JÄMTLANDS LÄN</t>
        </is>
      </c>
      <c r="E1616" t="inlineStr">
        <is>
          <t>HÄRJEDALEN</t>
        </is>
      </c>
      <c r="F1616" t="inlineStr">
        <is>
          <t>Holmen skog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51211-2024</t>
        </is>
      </c>
      <c r="B1617" s="1" t="n">
        <v>45603</v>
      </c>
      <c r="C1617" s="1" t="n">
        <v>45668</v>
      </c>
      <c r="D1617" t="inlineStr">
        <is>
          <t>JÄMTLANDS LÄN</t>
        </is>
      </c>
      <c r="E1617" t="inlineStr">
        <is>
          <t>HÄRJEDALEN</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51188-2024</t>
        </is>
      </c>
      <c r="B1618" s="1" t="n">
        <v>45603</v>
      </c>
      <c r="C1618" s="1" t="n">
        <v>45668</v>
      </c>
      <c r="D1618" t="inlineStr">
        <is>
          <t>JÄMTLANDS LÄN</t>
        </is>
      </c>
      <c r="E1618" t="inlineStr">
        <is>
          <t>HÄRJEDALEN</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51204-2024</t>
        </is>
      </c>
      <c r="B1619" s="1" t="n">
        <v>45603</v>
      </c>
      <c r="C1619" s="1" t="n">
        <v>45668</v>
      </c>
      <c r="D1619" t="inlineStr">
        <is>
          <t>JÄMTLANDS LÄN</t>
        </is>
      </c>
      <c r="E1619" t="inlineStr">
        <is>
          <t>HÄRJEDALEN</t>
        </is>
      </c>
      <c r="F1619" t="inlineStr">
        <is>
          <t>Holmen skog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51221-2024</t>
        </is>
      </c>
      <c r="B1620" s="1" t="n">
        <v>45603</v>
      </c>
      <c r="C1620" s="1" t="n">
        <v>45668</v>
      </c>
      <c r="D1620" t="inlineStr">
        <is>
          <t>JÄMTLANDS LÄN</t>
        </is>
      </c>
      <c r="E1620" t="inlineStr">
        <is>
          <t>HÄRJEDALEN</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51223-2024</t>
        </is>
      </c>
      <c r="B1621" s="1" t="n">
        <v>45603</v>
      </c>
      <c r="C1621" s="1" t="n">
        <v>45668</v>
      </c>
      <c r="D1621" t="inlineStr">
        <is>
          <t>JÄMTLANDS LÄN</t>
        </is>
      </c>
      <c r="E1621" t="inlineStr">
        <is>
          <t>HÄRJEDALEN</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51133-2024</t>
        </is>
      </c>
      <c r="B1622" s="1" t="n">
        <v>45603</v>
      </c>
      <c r="C1622" s="1" t="n">
        <v>45668</v>
      </c>
      <c r="D1622" t="inlineStr">
        <is>
          <t>JÄMTLANDS LÄN</t>
        </is>
      </c>
      <c r="E1622" t="inlineStr">
        <is>
          <t>HÄRJEDALEN</t>
        </is>
      </c>
      <c r="F1622" t="inlineStr">
        <is>
          <t>SCA</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51311-2024</t>
        </is>
      </c>
      <c r="B1623" s="1" t="n">
        <v>45604</v>
      </c>
      <c r="C1623" s="1" t="n">
        <v>45668</v>
      </c>
      <c r="D1623" t="inlineStr">
        <is>
          <t>JÄMTLANDS LÄN</t>
        </is>
      </c>
      <c r="E1623" t="inlineStr">
        <is>
          <t>HÄRJEDALEN</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51315-2024</t>
        </is>
      </c>
      <c r="B1624" s="1" t="n">
        <v>45604</v>
      </c>
      <c r="C1624" s="1" t="n">
        <v>45668</v>
      </c>
      <c r="D1624" t="inlineStr">
        <is>
          <t>JÄMTLANDS LÄN</t>
        </is>
      </c>
      <c r="E1624" t="inlineStr">
        <is>
          <t>HÄRJEDALEN</t>
        </is>
      </c>
      <c r="F1624" t="inlineStr">
        <is>
          <t>Holmen skog AB</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51322-2024</t>
        </is>
      </c>
      <c r="B1625" s="1" t="n">
        <v>45604</v>
      </c>
      <c r="C1625" s="1" t="n">
        <v>45668</v>
      </c>
      <c r="D1625" t="inlineStr">
        <is>
          <t>JÄMTLANDS LÄN</t>
        </is>
      </c>
      <c r="E1625" t="inlineStr">
        <is>
          <t>HÄRJEDALEN</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51601-2024</t>
        </is>
      </c>
      <c r="B1626" s="1" t="n">
        <v>45604</v>
      </c>
      <c r="C1626" s="1" t="n">
        <v>45668</v>
      </c>
      <c r="D1626" t="inlineStr">
        <is>
          <t>JÄMTLANDS LÄN</t>
        </is>
      </c>
      <c r="E1626" t="inlineStr">
        <is>
          <t>HÄRJEDALEN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51645-2024</t>
        </is>
      </c>
      <c r="B1627" s="1" t="n">
        <v>45605</v>
      </c>
      <c r="C1627" s="1" t="n">
        <v>45668</v>
      </c>
      <c r="D1627" t="inlineStr">
        <is>
          <t>JÄMTLANDS LÄN</t>
        </is>
      </c>
      <c r="E1627" t="inlineStr">
        <is>
          <t>HÄRJEDALEN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51964-2024</t>
        </is>
      </c>
      <c r="B1628" s="1" t="n">
        <v>45607</v>
      </c>
      <c r="C1628" s="1" t="n">
        <v>45668</v>
      </c>
      <c r="D1628" t="inlineStr">
        <is>
          <t>JÄMTLANDS LÄN</t>
        </is>
      </c>
      <c r="E1628" t="inlineStr">
        <is>
          <t>HÄRJEDALEN</t>
        </is>
      </c>
      <c r="F1628" t="inlineStr">
        <is>
          <t>Holmen skog AB</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51957-2024</t>
        </is>
      </c>
      <c r="B1629" s="1" t="n">
        <v>45607</v>
      </c>
      <c r="C1629" s="1" t="n">
        <v>45668</v>
      </c>
      <c r="D1629" t="inlineStr">
        <is>
          <t>JÄMTLANDS LÄN</t>
        </is>
      </c>
      <c r="E1629" t="inlineStr">
        <is>
          <t>HÄRJEDALEN</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51994-2024</t>
        </is>
      </c>
      <c r="B1630" s="1" t="n">
        <v>45607</v>
      </c>
      <c r="C1630" s="1" t="n">
        <v>45668</v>
      </c>
      <c r="D1630" t="inlineStr">
        <is>
          <t>JÄMTLANDS LÄN</t>
        </is>
      </c>
      <c r="E1630" t="inlineStr">
        <is>
          <t>HÄRJEDALEN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51769-2024</t>
        </is>
      </c>
      <c r="B1631" s="1" t="n">
        <v>45607</v>
      </c>
      <c r="C1631" s="1" t="n">
        <v>45668</v>
      </c>
      <c r="D1631" t="inlineStr">
        <is>
          <t>JÄMTLANDS LÄN</t>
        </is>
      </c>
      <c r="E1631" t="inlineStr">
        <is>
          <t>HÄRJEDALEN</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51770-2024</t>
        </is>
      </c>
      <c r="B1632" s="1" t="n">
        <v>45607</v>
      </c>
      <c r="C1632" s="1" t="n">
        <v>45668</v>
      </c>
      <c r="D1632" t="inlineStr">
        <is>
          <t>JÄMTLANDS LÄN</t>
        </is>
      </c>
      <c r="E1632" t="inlineStr">
        <is>
          <t>HÄRJEDALEN</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52075-2024</t>
        </is>
      </c>
      <c r="B1633" s="1" t="n">
        <v>45608</v>
      </c>
      <c r="C1633" s="1" t="n">
        <v>45668</v>
      </c>
      <c r="D1633" t="inlineStr">
        <is>
          <t>JÄMTLANDS LÄN</t>
        </is>
      </c>
      <c r="E1633" t="inlineStr">
        <is>
          <t>HÄRJEDALEN</t>
        </is>
      </c>
      <c r="F1633" t="inlineStr">
        <is>
          <t>Bergvik skog väst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52343-2024</t>
        </is>
      </c>
      <c r="B1634" s="1" t="n">
        <v>45609</v>
      </c>
      <c r="C1634" s="1" t="n">
        <v>45668</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52565-2024</t>
        </is>
      </c>
      <c r="B1635" s="1" t="n">
        <v>45609</v>
      </c>
      <c r="C1635" s="1" t="n">
        <v>45668</v>
      </c>
      <c r="D1635" t="inlineStr">
        <is>
          <t>JÄMTLANDS LÄN</t>
        </is>
      </c>
      <c r="E1635" t="inlineStr">
        <is>
          <t>HÄRJEDALEN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52573-2024</t>
        </is>
      </c>
      <c r="B1636" s="1" t="n">
        <v>45609</v>
      </c>
      <c r="C1636" s="1" t="n">
        <v>45668</v>
      </c>
      <c r="D1636" t="inlineStr">
        <is>
          <t>JÄMTLANDS LÄN</t>
        </is>
      </c>
      <c r="E1636" t="inlineStr">
        <is>
          <t>HÄRJEDALEN</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52856-2024</t>
        </is>
      </c>
      <c r="B1637" s="1" t="n">
        <v>45610</v>
      </c>
      <c r="C1637" s="1" t="n">
        <v>45668</v>
      </c>
      <c r="D1637" t="inlineStr">
        <is>
          <t>JÄMTLANDS LÄN</t>
        </is>
      </c>
      <c r="E1637" t="inlineStr">
        <is>
          <t>HÄRJEDALEN</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52863-2024</t>
        </is>
      </c>
      <c r="B1638" s="1" t="n">
        <v>45610</v>
      </c>
      <c r="C1638" s="1" t="n">
        <v>45668</v>
      </c>
      <c r="D1638" t="inlineStr">
        <is>
          <t>JÄMTLANDS LÄN</t>
        </is>
      </c>
      <c r="E1638" t="inlineStr">
        <is>
          <t>HÄRJEDALEN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52875-2024</t>
        </is>
      </c>
      <c r="B1639" s="1" t="n">
        <v>45610</v>
      </c>
      <c r="C1639" s="1" t="n">
        <v>45668</v>
      </c>
      <c r="D1639" t="inlineStr">
        <is>
          <t>JÄMTLANDS LÄN</t>
        </is>
      </c>
      <c r="E1639" t="inlineStr">
        <is>
          <t>HÄRJEDALEN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52794-2024</t>
        </is>
      </c>
      <c r="B1640" s="1" t="n">
        <v>45610</v>
      </c>
      <c r="C1640" s="1" t="n">
        <v>45668</v>
      </c>
      <c r="D1640" t="inlineStr">
        <is>
          <t>JÄMTLANDS LÄN</t>
        </is>
      </c>
      <c r="E1640" t="inlineStr">
        <is>
          <t>HÄRJEDALEN</t>
        </is>
      </c>
      <c r="F1640" t="inlineStr">
        <is>
          <t>Holmen skog AB</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52798-2024</t>
        </is>
      </c>
      <c r="B1641" s="1" t="n">
        <v>45610</v>
      </c>
      <c r="C1641" s="1" t="n">
        <v>45668</v>
      </c>
      <c r="D1641" t="inlineStr">
        <is>
          <t>JÄMTLANDS LÄN</t>
        </is>
      </c>
      <c r="E1641" t="inlineStr">
        <is>
          <t>HÄRJEDALEN</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53010-2024</t>
        </is>
      </c>
      <c r="B1642" s="1" t="n">
        <v>45611</v>
      </c>
      <c r="C1642" s="1" t="n">
        <v>45668</v>
      </c>
      <c r="D1642" t="inlineStr">
        <is>
          <t>JÄMTLANDS LÄN</t>
        </is>
      </c>
      <c r="E1642" t="inlineStr">
        <is>
          <t>HÄRJEDALEN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53002-2024</t>
        </is>
      </c>
      <c r="B1643" s="1" t="n">
        <v>45611</v>
      </c>
      <c r="C1643" s="1" t="n">
        <v>45668</v>
      </c>
      <c r="D1643" t="inlineStr">
        <is>
          <t>JÄMTLANDS LÄN</t>
        </is>
      </c>
      <c r="E1643" t="inlineStr">
        <is>
          <t>HÄRJEDALEN</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53231-2024</t>
        </is>
      </c>
      <c r="B1644" s="1" t="n">
        <v>45613</v>
      </c>
      <c r="C1644" s="1" t="n">
        <v>45668</v>
      </c>
      <c r="D1644" t="inlineStr">
        <is>
          <t>JÄMTLANDS LÄN</t>
        </is>
      </c>
      <c r="E1644" t="inlineStr">
        <is>
          <t>HÄRJEDALEN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45668</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53249-2024</t>
        </is>
      </c>
      <c r="B1646" s="1" t="n">
        <v>45614</v>
      </c>
      <c r="C1646" s="1" t="n">
        <v>45668</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53451-2024</t>
        </is>
      </c>
      <c r="B1647" s="1" t="n">
        <v>45614</v>
      </c>
      <c r="C1647" s="1" t="n">
        <v>45668</v>
      </c>
      <c r="D1647" t="inlineStr">
        <is>
          <t>JÄMTLANDS LÄN</t>
        </is>
      </c>
      <c r="E1647" t="inlineStr">
        <is>
          <t>HÄRJEDALEN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53386-2024</t>
        </is>
      </c>
      <c r="B1648" s="1" t="n">
        <v>45614</v>
      </c>
      <c r="C1648" s="1" t="n">
        <v>45668</v>
      </c>
      <c r="D1648" t="inlineStr">
        <is>
          <t>JÄMTLANDS LÄN</t>
        </is>
      </c>
      <c r="E1648" t="inlineStr">
        <is>
          <t>HÄRJEDALEN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53354-2024</t>
        </is>
      </c>
      <c r="B1649" s="1" t="n">
        <v>45614</v>
      </c>
      <c r="C1649" s="1" t="n">
        <v>45668</v>
      </c>
      <c r="D1649" t="inlineStr">
        <is>
          <t>JÄMTLANDS LÄN</t>
        </is>
      </c>
      <c r="E1649" t="inlineStr">
        <is>
          <t>HÄRJEDALEN</t>
        </is>
      </c>
      <c r="F1649" t="inlineStr">
        <is>
          <t>Sveaskog</t>
        </is>
      </c>
      <c r="G1649" t="n">
        <v>15.3</v>
      </c>
      <c r="H1649" t="n">
        <v>0</v>
      </c>
      <c r="I1649" t="n">
        <v>0</v>
      </c>
      <c r="J1649" t="n">
        <v>0</v>
      </c>
      <c r="K1649" t="n">
        <v>0</v>
      </c>
      <c r="L1649" t="n">
        <v>0</v>
      </c>
      <c r="M1649" t="n">
        <v>0</v>
      </c>
      <c r="N1649" t="n">
        <v>0</v>
      </c>
      <c r="O1649" t="n">
        <v>0</v>
      </c>
      <c r="P1649" t="n">
        <v>0</v>
      </c>
      <c r="Q1649" t="n">
        <v>0</v>
      </c>
      <c r="R1649" s="2" t="inlineStr"/>
    </row>
    <row r="1650" ht="15" customHeight="1">
      <c r="A1650" t="inlineStr">
        <is>
          <t>A 53537-2024</t>
        </is>
      </c>
      <c r="B1650" s="1" t="n">
        <v>45614</v>
      </c>
      <c r="C1650" s="1" t="n">
        <v>45668</v>
      </c>
      <c r="D1650" t="inlineStr">
        <is>
          <t>JÄMTLANDS LÄN</t>
        </is>
      </c>
      <c r="E1650" t="inlineStr">
        <is>
          <t>HÄRJEDALEN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54079-2024</t>
        </is>
      </c>
      <c r="B1651" s="1" t="n">
        <v>45616</v>
      </c>
      <c r="C1651" s="1" t="n">
        <v>45668</v>
      </c>
      <c r="D1651" t="inlineStr">
        <is>
          <t>JÄMTLANDS LÄN</t>
        </is>
      </c>
      <c r="E1651" t="inlineStr">
        <is>
          <t>HÄRJEDALEN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54294-2024</t>
        </is>
      </c>
      <c r="B1652" s="1" t="n">
        <v>45617</v>
      </c>
      <c r="C1652" s="1" t="n">
        <v>45668</v>
      </c>
      <c r="D1652" t="inlineStr">
        <is>
          <t>JÄMTLANDS LÄN</t>
        </is>
      </c>
      <c r="E1652" t="inlineStr">
        <is>
          <t>HÄRJEDALEN</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45668</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54527-2024</t>
        </is>
      </c>
      <c r="B1654" s="1" t="n">
        <v>45617</v>
      </c>
      <c r="C1654" s="1" t="n">
        <v>45668</v>
      </c>
      <c r="D1654" t="inlineStr">
        <is>
          <t>JÄMTLANDS LÄN</t>
        </is>
      </c>
      <c r="E1654" t="inlineStr">
        <is>
          <t>HÄRJEDALEN</t>
        </is>
      </c>
      <c r="F1654" t="inlineStr">
        <is>
          <t>Holmen skog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54364-2024</t>
        </is>
      </c>
      <c r="B1655" s="1" t="n">
        <v>45617</v>
      </c>
      <c r="C1655" s="1" t="n">
        <v>45668</v>
      </c>
      <c r="D1655" t="inlineStr">
        <is>
          <t>JÄMTLANDS LÄN</t>
        </is>
      </c>
      <c r="E1655" t="inlineStr">
        <is>
          <t>HÄRJEDALEN</t>
        </is>
      </c>
      <c r="F1655" t="inlineStr">
        <is>
          <t>Holmen skog AB</t>
        </is>
      </c>
      <c r="G1655" t="n">
        <v>41.1</v>
      </c>
      <c r="H1655" t="n">
        <v>0</v>
      </c>
      <c r="I1655" t="n">
        <v>0</v>
      </c>
      <c r="J1655" t="n">
        <v>0</v>
      </c>
      <c r="K1655" t="n">
        <v>0</v>
      </c>
      <c r="L1655" t="n">
        <v>0</v>
      </c>
      <c r="M1655" t="n">
        <v>0</v>
      </c>
      <c r="N1655" t="n">
        <v>0</v>
      </c>
      <c r="O1655" t="n">
        <v>0</v>
      </c>
      <c r="P1655" t="n">
        <v>0</v>
      </c>
      <c r="Q1655" t="n">
        <v>0</v>
      </c>
      <c r="R1655" s="2" t="inlineStr"/>
    </row>
    <row r="1656" ht="15" customHeight="1">
      <c r="A1656" t="inlineStr">
        <is>
          <t>A 54640-2024</t>
        </is>
      </c>
      <c r="B1656" s="1" t="n">
        <v>45617</v>
      </c>
      <c r="C1656" s="1" t="n">
        <v>45668</v>
      </c>
      <c r="D1656" t="inlineStr">
        <is>
          <t>JÄMTLANDS LÄN</t>
        </is>
      </c>
      <c r="E1656" t="inlineStr">
        <is>
          <t>HÄRJEDALEN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45668</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54678-2024</t>
        </is>
      </c>
      <c r="B1658" s="1" t="n">
        <v>45618</v>
      </c>
      <c r="C1658" s="1" t="n">
        <v>45668</v>
      </c>
      <c r="D1658" t="inlineStr">
        <is>
          <t>JÄMTLANDS LÄN</t>
        </is>
      </c>
      <c r="E1658" t="inlineStr">
        <is>
          <t>HÄRJEDALEN</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54684-2024</t>
        </is>
      </c>
      <c r="B1659" s="1" t="n">
        <v>45618</v>
      </c>
      <c r="C1659" s="1" t="n">
        <v>45668</v>
      </c>
      <c r="D1659" t="inlineStr">
        <is>
          <t>JÄMTLANDS LÄN</t>
        </is>
      </c>
      <c r="E1659" t="inlineStr">
        <is>
          <t>HÄRJEDALEN</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45668</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55228-2024</t>
        </is>
      </c>
      <c r="B1661" s="1" t="n">
        <v>45621</v>
      </c>
      <c r="C1661" s="1" t="n">
        <v>45668</v>
      </c>
      <c r="D1661" t="inlineStr">
        <is>
          <t>JÄMTLANDS LÄN</t>
        </is>
      </c>
      <c r="E1661" t="inlineStr">
        <is>
          <t>HÄRJEDALEN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45668</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45668</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45668</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45668</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45668</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45668</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45668</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45668</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45668</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45668</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45668</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45668</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45668</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45668</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45668</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45668</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45668</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45668</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45668</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45668</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45668</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45668</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45668</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45668</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45668</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45668</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45668</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45668</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45668</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45668</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45668</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45668</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45668</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45668</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45668</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45668</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45668</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45668</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45668</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45668</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45668</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45668</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45668</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45668</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45668</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45668</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45668</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45668</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45668</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45668</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45668</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45668</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45668</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45668</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45668</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45668</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45668</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59555-2024</t>
        </is>
      </c>
      <c r="B1719" s="1" t="n">
        <v>45638</v>
      </c>
      <c r="C1719" s="1" t="n">
        <v>45668</v>
      </c>
      <c r="D1719" t="inlineStr">
        <is>
          <t>JÄMTLANDS LÄN</t>
        </is>
      </c>
      <c r="E1719" t="inlineStr">
        <is>
          <t>HÄRJEDALEN</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45668</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59403-2024</t>
        </is>
      </c>
      <c r="B1721" s="1" t="n">
        <v>45638</v>
      </c>
      <c r="C1721" s="1" t="n">
        <v>45668</v>
      </c>
      <c r="D1721" t="inlineStr">
        <is>
          <t>JÄMTLANDS LÄN</t>
        </is>
      </c>
      <c r="E1721" t="inlineStr">
        <is>
          <t>HÄRJEDALEN</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45668</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59510-2024</t>
        </is>
      </c>
      <c r="B1723" s="1" t="n">
        <v>45638</v>
      </c>
      <c r="C1723" s="1" t="n">
        <v>45668</v>
      </c>
      <c r="D1723" t="inlineStr">
        <is>
          <t>JÄMTLANDS LÄN</t>
        </is>
      </c>
      <c r="E1723" t="inlineStr">
        <is>
          <t>HÄRJEDALEN</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45668</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59462-2024</t>
        </is>
      </c>
      <c r="B1725" s="1" t="n">
        <v>45638</v>
      </c>
      <c r="C1725" s="1" t="n">
        <v>45668</v>
      </c>
      <c r="D1725" t="inlineStr">
        <is>
          <t>JÄMTLANDS LÄN</t>
        </is>
      </c>
      <c r="E1725" t="inlineStr">
        <is>
          <t>HÄRJEDALEN</t>
        </is>
      </c>
      <c r="F1725" t="inlineStr">
        <is>
          <t>Holmen skog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45668</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59962-2024</t>
        </is>
      </c>
      <c r="B1727" s="1" t="n">
        <v>45642</v>
      </c>
      <c r="C1727" s="1" t="n">
        <v>45668</v>
      </c>
      <c r="D1727" t="inlineStr">
        <is>
          <t>JÄMTLANDS LÄN</t>
        </is>
      </c>
      <c r="E1727" t="inlineStr">
        <is>
          <t>HÄRJEDALEN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59946-2024</t>
        </is>
      </c>
      <c r="B1728" s="1" t="n">
        <v>45642</v>
      </c>
      <c r="C1728" s="1" t="n">
        <v>45668</v>
      </c>
      <c r="D1728" t="inlineStr">
        <is>
          <t>JÄMTLANDS LÄN</t>
        </is>
      </c>
      <c r="E1728" t="inlineStr">
        <is>
          <t>HÄRJEDALEN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60006-2024</t>
        </is>
      </c>
      <c r="B1729" s="1" t="n">
        <v>45642</v>
      </c>
      <c r="C1729" s="1" t="n">
        <v>45668</v>
      </c>
      <c r="D1729" t="inlineStr">
        <is>
          <t>JÄMTLANDS LÄN</t>
        </is>
      </c>
      <c r="E1729" t="inlineStr">
        <is>
          <t>HÄRJEDALEN</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60050-2024</t>
        </is>
      </c>
      <c r="B1730" s="1" t="n">
        <v>45642</v>
      </c>
      <c r="C1730" s="1" t="n">
        <v>45668</v>
      </c>
      <c r="D1730" t="inlineStr">
        <is>
          <t>JÄMTLANDS LÄN</t>
        </is>
      </c>
      <c r="E1730" t="inlineStr">
        <is>
          <t>HÄRJEDALEN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60054-2024</t>
        </is>
      </c>
      <c r="B1731" s="1" t="n">
        <v>45642</v>
      </c>
      <c r="C1731" s="1" t="n">
        <v>45668</v>
      </c>
      <c r="D1731" t="inlineStr">
        <is>
          <t>JÄMTLANDS LÄN</t>
        </is>
      </c>
      <c r="E1731" t="inlineStr">
        <is>
          <t>HÄRJEDALEN</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45668</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45668</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60013-2024</t>
        </is>
      </c>
      <c r="B1734" s="1" t="n">
        <v>45642</v>
      </c>
      <c r="C1734" s="1" t="n">
        <v>45668</v>
      </c>
      <c r="D1734" t="inlineStr">
        <is>
          <t>JÄMTLANDS LÄN</t>
        </is>
      </c>
      <c r="E1734" t="inlineStr">
        <is>
          <t>HÄRJEDALEN</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45668</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60432-2024</t>
        </is>
      </c>
      <c r="B1736" s="1" t="n">
        <v>45643</v>
      </c>
      <c r="C1736" s="1" t="n">
        <v>45668</v>
      </c>
      <c r="D1736" t="inlineStr">
        <is>
          <t>JÄMTLANDS LÄN</t>
        </is>
      </c>
      <c r="E1736" t="inlineStr">
        <is>
          <t>HÄRJEDALEN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45668</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60704-2024</t>
        </is>
      </c>
      <c r="B1738" s="1" t="n">
        <v>45644</v>
      </c>
      <c r="C1738" s="1" t="n">
        <v>45668</v>
      </c>
      <c r="D1738" t="inlineStr">
        <is>
          <t>JÄMTLANDS LÄN</t>
        </is>
      </c>
      <c r="E1738" t="inlineStr">
        <is>
          <t>HÄRJEDALEN</t>
        </is>
      </c>
      <c r="F1738" t="inlineStr">
        <is>
          <t>Bergvik skog väst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60709-2024</t>
        </is>
      </c>
      <c r="B1739" s="1" t="n">
        <v>45644</v>
      </c>
      <c r="C1739" s="1" t="n">
        <v>45668</v>
      </c>
      <c r="D1739" t="inlineStr">
        <is>
          <t>JÄMTLANDS LÄN</t>
        </is>
      </c>
      <c r="E1739" t="inlineStr">
        <is>
          <t>HÄRJEDALEN</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60752-2024</t>
        </is>
      </c>
      <c r="B1740" s="1" t="n">
        <v>45644</v>
      </c>
      <c r="C1740" s="1" t="n">
        <v>45668</v>
      </c>
      <c r="D1740" t="inlineStr">
        <is>
          <t>JÄMTLANDS LÄN</t>
        </is>
      </c>
      <c r="E1740" t="inlineStr">
        <is>
          <t>HÄRJEDALEN</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45668</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45668</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61048-2024</t>
        </is>
      </c>
      <c r="B1743" s="1" t="n">
        <v>45645</v>
      </c>
      <c r="C1743" s="1" t="n">
        <v>45668</v>
      </c>
      <c r="D1743" t="inlineStr">
        <is>
          <t>JÄMTLANDS LÄN</t>
        </is>
      </c>
      <c r="E1743" t="inlineStr">
        <is>
          <t>HÄRJEDALEN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45668</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45668</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61341-2024</t>
        </is>
      </c>
      <c r="B1746" s="1" t="n">
        <v>45646</v>
      </c>
      <c r="C1746" s="1" t="n">
        <v>45668</v>
      </c>
      <c r="D1746" t="inlineStr">
        <is>
          <t>JÄMTLANDS LÄN</t>
        </is>
      </c>
      <c r="E1746" t="inlineStr">
        <is>
          <t>HÄRJEDALEN</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45668</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62134-2024</t>
        </is>
      </c>
      <c r="B1748" s="1" t="n">
        <v>45646</v>
      </c>
      <c r="C1748" s="1" t="n">
        <v>45668</v>
      </c>
      <c r="D1748" t="inlineStr">
        <is>
          <t>JÄMTLANDS LÄN</t>
        </is>
      </c>
      <c r="E1748" t="inlineStr">
        <is>
          <t>HÄRJEDALEN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62104-2024</t>
        </is>
      </c>
      <c r="B1749" s="1" t="n">
        <v>45656</v>
      </c>
      <c r="C1749" s="1" t="n">
        <v>45668</v>
      </c>
      <c r="D1749" t="inlineStr">
        <is>
          <t>JÄMTLANDS LÄN</t>
        </is>
      </c>
      <c r="E1749" t="inlineStr">
        <is>
          <t>HÄRJEDALEN</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136-2025</t>
        </is>
      </c>
      <c r="B1750" s="1" t="n">
        <v>45659</v>
      </c>
      <c r="C1750" s="1" t="n">
        <v>45668</v>
      </c>
      <c r="D1750" t="inlineStr">
        <is>
          <t>JÄMTLANDS LÄN</t>
        </is>
      </c>
      <c r="E1750" t="inlineStr">
        <is>
          <t>HÄRJEDALEN</t>
        </is>
      </c>
      <c r="F1750" t="inlineStr">
        <is>
          <t>Holmen skog AB</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445-2025</t>
        </is>
      </c>
      <c r="B1751" s="1" t="n">
        <v>45664</v>
      </c>
      <c r="C1751" s="1" t="n">
        <v>45668</v>
      </c>
      <c r="D1751" t="inlineStr">
        <is>
          <t>JÄMTLANDS LÄN</t>
        </is>
      </c>
      <c r="E1751" t="inlineStr">
        <is>
          <t>HÄRJEDALEN</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523-2025</t>
        </is>
      </c>
      <c r="B1752" s="1" t="n">
        <v>45664</v>
      </c>
      <c r="C1752" s="1" t="n">
        <v>45668</v>
      </c>
      <c r="D1752" t="inlineStr">
        <is>
          <t>JÄMTLANDS LÄN</t>
        </is>
      </c>
      <c r="E1752" t="inlineStr">
        <is>
          <t>HÄRJEDALEN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576-2025</t>
        </is>
      </c>
      <c r="B1753" s="1" t="n">
        <v>45664</v>
      </c>
      <c r="C1753" s="1" t="n">
        <v>45668</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515-2025</t>
        </is>
      </c>
      <c r="B1754" s="1" t="n">
        <v>45664</v>
      </c>
      <c r="C1754" s="1" t="n">
        <v>45668</v>
      </c>
      <c r="D1754" t="inlineStr">
        <is>
          <t>JÄMTLANDS LÄN</t>
        </is>
      </c>
      <c r="E1754" t="inlineStr">
        <is>
          <t>HÄRJEDALEN</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837-2025</t>
        </is>
      </c>
      <c r="B1755" s="1" t="n">
        <v>45665</v>
      </c>
      <c r="C1755" s="1" t="n">
        <v>45668</v>
      </c>
      <c r="D1755" t="inlineStr">
        <is>
          <t>JÄMTLANDS LÄN</t>
        </is>
      </c>
      <c r="E1755" t="inlineStr">
        <is>
          <t>HÄRJEDALEN</t>
        </is>
      </c>
      <c r="F1755" t="inlineStr">
        <is>
          <t>Bergvik skog väst AB</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816-2025</t>
        </is>
      </c>
      <c r="B1756" s="1" t="n">
        <v>45665</v>
      </c>
      <c r="C1756" s="1" t="n">
        <v>45668</v>
      </c>
      <c r="D1756" t="inlineStr">
        <is>
          <t>JÄMTLANDS LÄN</t>
        </is>
      </c>
      <c r="E1756" t="inlineStr">
        <is>
          <t>HÄRJEDALEN</t>
        </is>
      </c>
      <c r="F1756" t="inlineStr">
        <is>
          <t>Bergvik skog väst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45668</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848-2025</t>
        </is>
      </c>
      <c r="B1758" s="1" t="n">
        <v>45665</v>
      </c>
      <c r="C1758" s="1" t="n">
        <v>45668</v>
      </c>
      <c r="D1758" t="inlineStr">
        <is>
          <t>JÄMTLANDS LÄN</t>
        </is>
      </c>
      <c r="E1758" t="inlineStr">
        <is>
          <t>HÄRJEDALEN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999-2025</t>
        </is>
      </c>
      <c r="B1759" s="1" t="n">
        <v>45666</v>
      </c>
      <c r="C1759" s="1" t="n">
        <v>45668</v>
      </c>
      <c r="D1759" t="inlineStr">
        <is>
          <t>JÄMTLANDS LÄN</t>
        </is>
      </c>
      <c r="E1759" t="inlineStr">
        <is>
          <t>HÄRJEDALEN</t>
        </is>
      </c>
      <c r="F1759" t="inlineStr">
        <is>
          <t>Holmen skog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1242-2025</t>
        </is>
      </c>
      <c r="B1760" s="1" t="n">
        <v>45667</v>
      </c>
      <c r="C1760" s="1" t="n">
        <v>45668</v>
      </c>
      <c r="D1760" t="inlineStr">
        <is>
          <t>JÄMTLANDS LÄN</t>
        </is>
      </c>
      <c r="E1760" t="inlineStr">
        <is>
          <t>HÄRJEDALEN</t>
        </is>
      </c>
      <c r="F1760" t="inlineStr">
        <is>
          <t>Bergvik skog väst AB</t>
        </is>
      </c>
      <c r="G1760" t="n">
        <v>80.5</v>
      </c>
      <c r="H1760" t="n">
        <v>0</v>
      </c>
      <c r="I1760" t="n">
        <v>0</v>
      </c>
      <c r="J1760" t="n">
        <v>0</v>
      </c>
      <c r="K1760" t="n">
        <v>0</v>
      </c>
      <c r="L1760" t="n">
        <v>0</v>
      </c>
      <c r="M1760" t="n">
        <v>0</v>
      </c>
      <c r="N1760" t="n">
        <v>0</v>
      </c>
      <c r="O1760" t="n">
        <v>0</v>
      </c>
      <c r="P1760" t="n">
        <v>0</v>
      </c>
      <c r="Q1760" t="n">
        <v>0</v>
      </c>
      <c r="R1760" s="2" t="inlineStr"/>
    </row>
    <row r="1761" ht="15" customHeight="1">
      <c r="A1761" t="inlineStr">
        <is>
          <t>A 1394-2025</t>
        </is>
      </c>
      <c r="B1761" s="1" t="n">
        <v>45667</v>
      </c>
      <c r="C1761" s="1" t="n">
        <v>45668</v>
      </c>
      <c r="D1761" t="inlineStr">
        <is>
          <t>JÄMTLANDS LÄN</t>
        </is>
      </c>
      <c r="E1761" t="inlineStr">
        <is>
          <t>HÄRJEDALEN</t>
        </is>
      </c>
      <c r="G1761" t="n">
        <v>1</v>
      </c>
      <c r="H1761" t="n">
        <v>0</v>
      </c>
      <c r="I1761" t="n">
        <v>0</v>
      </c>
      <c r="J1761" t="n">
        <v>0</v>
      </c>
      <c r="K1761" t="n">
        <v>0</v>
      </c>
      <c r="L1761" t="n">
        <v>0</v>
      </c>
      <c r="M1761" t="n">
        <v>0</v>
      </c>
      <c r="N1761" t="n">
        <v>0</v>
      </c>
      <c r="O1761" t="n">
        <v>0</v>
      </c>
      <c r="P1761" t="n">
        <v>0</v>
      </c>
      <c r="Q1761" t="n">
        <v>0</v>
      </c>
      <c r="R1761" s="2" t="inlineStr"/>
    </row>
    <row r="1762">
      <c r="A1762" t="inlineStr">
        <is>
          <t>A 1172-2025</t>
        </is>
      </c>
      <c r="B1762" s="1" t="n">
        <v>45667</v>
      </c>
      <c r="C1762" s="1" t="n">
        <v>45668</v>
      </c>
      <c r="D1762" t="inlineStr">
        <is>
          <t>JÄMTLANDS LÄN</t>
        </is>
      </c>
      <c r="E1762" t="inlineStr">
        <is>
          <t>HÄRJEDALEN</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2025-01-11T15:56:09Z</dcterms:created>
  <dcterms:modified xmlns:dcterms="http://purl.org/dc/terms/" xmlns:xsi="http://www.w3.org/2001/XMLSchema-instance" xsi:type="dcterms:W3CDTF">2025-01-11T15:56:10Z</dcterms:modified>
</cp:coreProperties>
</file>