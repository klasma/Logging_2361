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46082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46082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46082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46082</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46082</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46082</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46082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46082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46082</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46082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46082</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46082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46082</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46082</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46082</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18916-2022</t>
        </is>
      </c>
      <c r="B30" s="1" t="n">
        <v>44690</v>
      </c>
      <c r="C30" s="1" t="n">
        <v>46082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46082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46082</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46082</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46082</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46082</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46082</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46082</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46082</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46082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46082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46082</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46082</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46082</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46082</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46082</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46082</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46082</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46082</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46082</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46082</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46082</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46082</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46082</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46082</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46082</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5780-2025</t>
        </is>
      </c>
      <c r="B57" s="1" t="n">
        <v>45694</v>
      </c>
      <c r="C57" s="1" t="n">
        <v>46082</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46082</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46082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46082</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46082</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46082</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46082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46082</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46082</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46082</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46082</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46082</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46082</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46082</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46082</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46082</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46082</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46082</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46082</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46082</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46082</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54196-2024</t>
        </is>
      </c>
      <c r="B78" s="1" t="n">
        <v>45616.6450462963</v>
      </c>
      <c r="C78" s="1" t="n">
        <v>46082</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36522-2025</t>
        </is>
      </c>
      <c r="B79" s="1" t="n">
        <v>45869</v>
      </c>
      <c r="C79" s="1" t="n">
        <v>46082</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46082</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31853-2025</t>
        </is>
      </c>
      <c r="B81" s="1" t="n">
        <v>45834</v>
      </c>
      <c r="C81" s="1" t="n">
        <v>46082</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41185-2024</t>
        </is>
      </c>
      <c r="B82" s="1" t="n">
        <v>45559</v>
      </c>
      <c r="C82" s="1" t="n">
        <v>46082</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46082</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46082</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55383-2022</t>
        </is>
      </c>
      <c r="B85" s="1" t="n">
        <v>44882</v>
      </c>
      <c r="C85" s="1" t="n">
        <v>46082</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46082</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46082</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46082</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46082</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46082</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46082</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46082</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46082</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46082</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46082</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46082</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41068-2024</t>
        </is>
      </c>
      <c r="B97" s="1" t="n">
        <v>45559.38894675926</v>
      </c>
      <c r="C97" s="1" t="n">
        <v>46082</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41549-2025</t>
        </is>
      </c>
      <c r="B98" s="1" t="n">
        <v>45901.58591435185</v>
      </c>
      <c r="C98" s="1" t="n">
        <v>46082</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46082</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999-2025</t>
        </is>
      </c>
      <c r="B100" s="1" t="n">
        <v>45666</v>
      </c>
      <c r="C100" s="1" t="n">
        <v>46082</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43906-2025</t>
        </is>
      </c>
      <c r="B101" s="1" t="n">
        <v>45913.82180555556</v>
      </c>
      <c r="C101" s="1" t="n">
        <v>46082</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5795-2025</t>
        </is>
      </c>
      <c r="B102" s="1" t="n">
        <v>45694</v>
      </c>
      <c r="C102" s="1" t="n">
        <v>46082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46082</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46082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46082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52017-2025</t>
        </is>
      </c>
      <c r="B106" s="1" t="n">
        <v>45952.59800925926</v>
      </c>
      <c r="C106" s="1" t="n">
        <v>46082</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46082</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7179-2026</t>
        </is>
      </c>
      <c r="B108" s="1" t="n">
        <v>46058.48107638889</v>
      </c>
      <c r="C108" s="1" t="n">
        <v>46082</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4757-2023</t>
        </is>
      </c>
      <c r="B109" s="1" t="n">
        <v>44957</v>
      </c>
      <c r="C109" s="1" t="n">
        <v>46082</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46082</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46082</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46082</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46082</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46082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46082</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46082</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46082</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46082</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29098-2025</t>
        </is>
      </c>
      <c r="B120" s="1" t="n">
        <v>45821.56523148148</v>
      </c>
      <c r="C120" s="1" t="n">
        <v>46082</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46082</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46082</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46082</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46082</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46082</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23337-2025</t>
        </is>
      </c>
      <c r="B126" s="1" t="n">
        <v>45791</v>
      </c>
      <c r="C126" s="1" t="n">
        <v>46082</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46082</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46082</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46082</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46082</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46082</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46082</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46082</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55228-2021</t>
        </is>
      </c>
      <c r="B134" s="1" t="n">
        <v>44475</v>
      </c>
      <c r="C134" s="1" t="n">
        <v>46082</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40789-2025</t>
        </is>
      </c>
      <c r="B135" s="1" t="n">
        <v>45897.44645833333</v>
      </c>
      <c r="C135" s="1" t="n">
        <v>46082</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46082</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55298-2024</t>
        </is>
      </c>
      <c r="B137" s="1" t="n">
        <v>45621</v>
      </c>
      <c r="C137" s="1" t="n">
        <v>46082</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5781-2025</t>
        </is>
      </c>
      <c r="B138" s="1" t="n">
        <v>45694</v>
      </c>
      <c r="C138" s="1" t="n">
        <v>46082</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46082</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48303-2025</t>
        </is>
      </c>
      <c r="B140" s="1" t="n">
        <v>45933.61240740741</v>
      </c>
      <c r="C140" s="1" t="n">
        <v>46082</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29710-2024</t>
        </is>
      </c>
      <c r="B141" s="1" t="n">
        <v>45485</v>
      </c>
      <c r="C141" s="1" t="n">
        <v>46082</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46082</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50438-2022</t>
        </is>
      </c>
      <c r="B143" s="1" t="n">
        <v>44866.46503472222</v>
      </c>
      <c r="C143" s="1" t="n">
        <v>46082</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46082</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46082</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20132-2025</t>
        </is>
      </c>
      <c r="B146" s="1" t="n">
        <v>45772.51070601852</v>
      </c>
      <c r="C146" s="1" t="n">
        <v>46082</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46082</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56616-2025</t>
        </is>
      </c>
      <c r="B148" s="1" t="n">
        <v>45975.59357638889</v>
      </c>
      <c r="C148" s="1" t="n">
        <v>46082</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10344-2023</t>
        </is>
      </c>
      <c r="B149" s="1" t="n">
        <v>44987</v>
      </c>
      <c r="C149" s="1" t="n">
        <v>46082</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59119-2025</t>
        </is>
      </c>
      <c r="B150" s="1" t="n">
        <v>45988.49024305555</v>
      </c>
      <c r="C150" s="1" t="n">
        <v>46082</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60750-2024</t>
        </is>
      </c>
      <c r="B151" s="1" t="n">
        <v>45644.56555555556</v>
      </c>
      <c r="C151" s="1" t="n">
        <v>46082</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64110-2025</t>
        </is>
      </c>
      <c r="B152" s="1" t="n">
        <v>46013</v>
      </c>
      <c r="C152" s="1" t="n">
        <v>46082</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45191-2023</t>
        </is>
      </c>
      <c r="B153" s="1" t="n">
        <v>45191</v>
      </c>
      <c r="C153" s="1" t="n">
        <v>46082</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31414-2025</t>
        </is>
      </c>
      <c r="B154" s="1" t="n">
        <v>45833</v>
      </c>
      <c r="C154" s="1" t="n">
        <v>46082</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20035-2025</t>
        </is>
      </c>
      <c r="B155" s="1" t="n">
        <v>45772.36488425926</v>
      </c>
      <c r="C155" s="1" t="n">
        <v>46082</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46082</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313-2026</t>
        </is>
      </c>
      <c r="B157" s="1" t="n">
        <v>46027.55914351852</v>
      </c>
      <c r="C157" s="1" t="n">
        <v>46082</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47348-2022</t>
        </is>
      </c>
      <c r="B158" s="1" t="n">
        <v>44853</v>
      </c>
      <c r="C158" s="1" t="n">
        <v>46082</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36750-2023</t>
        </is>
      </c>
      <c r="B159" s="1" t="n">
        <v>45153</v>
      </c>
      <c r="C159" s="1" t="n">
        <v>46082</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46082</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22501-2025</t>
        </is>
      </c>
      <c r="B161" s="1" t="n">
        <v>45786.6590625</v>
      </c>
      <c r="C161" s="1" t="n">
        <v>46082</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22508-2025</t>
        </is>
      </c>
      <c r="B162" s="1" t="n">
        <v>45786.66594907407</v>
      </c>
      <c r="C162" s="1" t="n">
        <v>46082</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22494-2025</t>
        </is>
      </c>
      <c r="B163" s="1" t="n">
        <v>45786.65452546296</v>
      </c>
      <c r="C163" s="1" t="n">
        <v>46082</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22513-2025</t>
        </is>
      </c>
      <c r="B164" s="1" t="n">
        <v>45786.6768287037</v>
      </c>
      <c r="C164" s="1" t="n">
        <v>46082</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45786.67261574074</v>
      </c>
      <c r="C165" s="1" t="n">
        <v>46082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45786.67016203704</v>
      </c>
      <c r="C166" s="1" t="n">
        <v>46082</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55221-2021</t>
        </is>
      </c>
      <c r="B167" s="1" t="n">
        <v>44475</v>
      </c>
      <c r="C167" s="1" t="n">
        <v>46082</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46082</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46082</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46082</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46082</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24251-2024</t>
        </is>
      </c>
      <c r="B172" s="1" t="n">
        <v>45457.38677083333</v>
      </c>
      <c r="C172" s="1" t="n">
        <v>46082</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3593-2024</t>
        </is>
      </c>
      <c r="B173" s="1" t="n">
        <v>45320</v>
      </c>
      <c r="C173" s="1" t="n">
        <v>46082</v>
      </c>
      <c r="D173" t="inlineStr">
        <is>
          <t>JÄMTLANDS LÄN</t>
        </is>
      </c>
      <c r="E173" t="inlineStr">
        <is>
          <t>HÄRJEDALEN</t>
        </is>
      </c>
      <c r="G173" t="n">
        <v>15.1</v>
      </c>
      <c r="H173" t="n">
        <v>0</v>
      </c>
      <c r="I173" t="n">
        <v>0</v>
      </c>
      <c r="J173" t="n">
        <v>1</v>
      </c>
      <c r="K173" t="n">
        <v>0</v>
      </c>
      <c r="L173" t="n">
        <v>0</v>
      </c>
      <c r="M173" t="n">
        <v>0</v>
      </c>
      <c r="N173" t="n">
        <v>0</v>
      </c>
      <c r="O173" t="n">
        <v>1</v>
      </c>
      <c r="P173" t="n">
        <v>0</v>
      </c>
      <c r="Q173" t="n">
        <v>1</v>
      </c>
      <c r="R173" s="2" t="inlineStr">
        <is>
          <t>Nordtagging</t>
        </is>
      </c>
      <c r="S173">
        <f>HYPERLINK("https://klasma.github.io/Logging_2361/artfynd/A 3593-2024 artfynd.xlsx", "A 3593-2024")</f>
        <v/>
      </c>
      <c r="T173">
        <f>HYPERLINK("https://klasma.github.io/Logging_2361/kartor/A 3593-2024 karta.png", "A 3593-2024")</f>
        <v/>
      </c>
      <c r="V173">
        <f>HYPERLINK("https://klasma.github.io/Logging_2361/klagomål/A 3593-2024 FSC-klagomål.docx", "A 3593-2024")</f>
        <v/>
      </c>
      <c r="W173">
        <f>HYPERLINK("https://klasma.github.io/Logging_2361/klagomålsmail/A 3593-2024 FSC-klagomål mail.docx", "A 3593-2024")</f>
        <v/>
      </c>
      <c r="X173">
        <f>HYPERLINK("https://klasma.github.io/Logging_2361/tillsyn/A 3593-2024 tillsynsbegäran.docx", "A 3593-2024")</f>
        <v/>
      </c>
      <c r="Y173">
        <f>HYPERLINK("https://klasma.github.io/Logging_2361/tillsynsmail/A 3593-2024 tillsynsbegäran mail.docx", "A 3593-2024")</f>
        <v/>
      </c>
    </row>
    <row r="174" ht="15" customHeight="1">
      <c r="A174" t="inlineStr">
        <is>
          <t>A 29706-2024</t>
        </is>
      </c>
      <c r="B174" s="1" t="n">
        <v>45485</v>
      </c>
      <c r="C174" s="1" t="n">
        <v>46082</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36941-2024</t>
        </is>
      </c>
      <c r="B175" s="1" t="n">
        <v>45538.57630787037</v>
      </c>
      <c r="C175" s="1" t="n">
        <v>46082</v>
      </c>
      <c r="D175" t="inlineStr">
        <is>
          <t>JÄMTLANDS LÄN</t>
        </is>
      </c>
      <c r="E175" t="inlineStr">
        <is>
          <t>HÄRJEDALEN</t>
        </is>
      </c>
      <c r="G175" t="n">
        <v>2.2</v>
      </c>
      <c r="H175" t="n">
        <v>1</v>
      </c>
      <c r="I175" t="n">
        <v>0</v>
      </c>
      <c r="J175" t="n">
        <v>0</v>
      </c>
      <c r="K175" t="n">
        <v>0</v>
      </c>
      <c r="L175" t="n">
        <v>0</v>
      </c>
      <c r="M175" t="n">
        <v>0</v>
      </c>
      <c r="N175" t="n">
        <v>0</v>
      </c>
      <c r="O175" t="n">
        <v>0</v>
      </c>
      <c r="P175" t="n">
        <v>0</v>
      </c>
      <c r="Q175" t="n">
        <v>1</v>
      </c>
      <c r="R175" s="2" t="inlineStr">
        <is>
          <t>Orre</t>
        </is>
      </c>
      <c r="S175">
        <f>HYPERLINK("https://klasma.github.io/Logging_2361/artfynd/A 36941-2024 artfynd.xlsx", "A 36941-2024")</f>
        <v/>
      </c>
      <c r="T175">
        <f>HYPERLINK("https://klasma.github.io/Logging_2361/kartor/A 36941-2024 karta.png", "A 36941-2024")</f>
        <v/>
      </c>
      <c r="V175">
        <f>HYPERLINK("https://klasma.github.io/Logging_2361/klagomål/A 36941-2024 FSC-klagomål.docx", "A 36941-2024")</f>
        <v/>
      </c>
      <c r="W175">
        <f>HYPERLINK("https://klasma.github.io/Logging_2361/klagomålsmail/A 36941-2024 FSC-klagomål mail.docx", "A 36941-2024")</f>
        <v/>
      </c>
      <c r="X175">
        <f>HYPERLINK("https://klasma.github.io/Logging_2361/tillsyn/A 36941-2024 tillsynsbegäran.docx", "A 36941-2024")</f>
        <v/>
      </c>
      <c r="Y175">
        <f>HYPERLINK("https://klasma.github.io/Logging_2361/tillsynsmail/A 36941-2024 tillsynsbegäran mail.docx", "A 36941-2024")</f>
        <v/>
      </c>
      <c r="Z175">
        <f>HYPERLINK("https://klasma.github.io/Logging_2361/fåglar/A 36941-2024 prioriterade fågelarter.docx", "A 36941-2024")</f>
        <v/>
      </c>
    </row>
    <row r="176" ht="15" customHeight="1">
      <c r="A176" t="inlineStr">
        <is>
          <t>A 26325-2025</t>
        </is>
      </c>
      <c r="B176" s="1" t="n">
        <v>45805.66601851852</v>
      </c>
      <c r="C176" s="1" t="n">
        <v>46082</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46082</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46082</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46082</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39362-2025</t>
        </is>
      </c>
      <c r="B180" s="1" t="n">
        <v>45889.56214120371</v>
      </c>
      <c r="C180" s="1" t="n">
        <v>46082</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55223-2021</t>
        </is>
      </c>
      <c r="B181" s="1" t="n">
        <v>44475</v>
      </c>
      <c r="C181" s="1" t="n">
        <v>46082</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32310-2025</t>
        </is>
      </c>
      <c r="B182" s="1" t="n">
        <v>45835.7499537037</v>
      </c>
      <c r="C182" s="1" t="n">
        <v>46082</v>
      </c>
      <c r="D182" t="inlineStr">
        <is>
          <t>JÄMTLANDS LÄN</t>
        </is>
      </c>
      <c r="E182" t="inlineStr">
        <is>
          <t>HÄRJEDALEN</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HYPERLINK("https://klasma.github.io/Logging_2361/artfynd/A 32310-2025 artfynd.xlsx", "A 32310-2025")</f>
        <v/>
      </c>
      <c r="T182">
        <f>HYPERLINK("https://klasma.github.io/Logging_2361/kartor/A 32310-2025 karta.png", "A 32310-2025")</f>
        <v/>
      </c>
      <c r="V182">
        <f>HYPERLINK("https://klasma.github.io/Logging_2361/klagomål/A 32310-2025 FSC-klagomål.docx", "A 32310-2025")</f>
        <v/>
      </c>
      <c r="W182">
        <f>HYPERLINK("https://klasma.github.io/Logging_2361/klagomålsmail/A 32310-2025 FSC-klagomål mail.docx", "A 32310-2025")</f>
        <v/>
      </c>
      <c r="X182">
        <f>HYPERLINK("https://klasma.github.io/Logging_2361/tillsyn/A 32310-2025 tillsynsbegäran.docx", "A 32310-2025")</f>
        <v/>
      </c>
      <c r="Y182">
        <f>HYPERLINK("https://klasma.github.io/Logging_2361/tillsynsmail/A 32310-2025 tillsynsbegäran mail.docx", "A 32310-2025")</f>
        <v/>
      </c>
    </row>
    <row r="183" ht="15" customHeight="1">
      <c r="A183" t="inlineStr">
        <is>
          <t>A 32678-2025</t>
        </is>
      </c>
      <c r="B183" s="1" t="n">
        <v>45838.773125</v>
      </c>
      <c r="C183" s="1" t="n">
        <v>46082</v>
      </c>
      <c r="D183" t="inlineStr">
        <is>
          <t>JÄMTLANDS LÄN</t>
        </is>
      </c>
      <c r="E183" t="inlineStr">
        <is>
          <t>HÄRJEDALEN</t>
        </is>
      </c>
      <c r="F183" t="inlineStr">
        <is>
          <t>Sveaskog</t>
        </is>
      </c>
      <c r="G183" t="n">
        <v>12.8</v>
      </c>
      <c r="H183" t="n">
        <v>0</v>
      </c>
      <c r="I183" t="n">
        <v>0</v>
      </c>
      <c r="J183" t="n">
        <v>1</v>
      </c>
      <c r="K183" t="n">
        <v>0</v>
      </c>
      <c r="L183" t="n">
        <v>0</v>
      </c>
      <c r="M183" t="n">
        <v>0</v>
      </c>
      <c r="N183" t="n">
        <v>0</v>
      </c>
      <c r="O183" t="n">
        <v>1</v>
      </c>
      <c r="P183" t="n">
        <v>0</v>
      </c>
      <c r="Q183" t="n">
        <v>1</v>
      </c>
      <c r="R183" s="2" t="inlineStr">
        <is>
          <t>Kolflarnlav</t>
        </is>
      </c>
      <c r="S183">
        <f>HYPERLINK("https://klasma.github.io/Logging_2361/artfynd/A 32678-2025 artfynd.xlsx", "A 32678-2025")</f>
        <v/>
      </c>
      <c r="T183">
        <f>HYPERLINK("https://klasma.github.io/Logging_2361/kartor/A 32678-2025 karta.png", "A 32678-2025")</f>
        <v/>
      </c>
      <c r="V183">
        <f>HYPERLINK("https://klasma.github.io/Logging_2361/klagomål/A 32678-2025 FSC-klagomål.docx", "A 32678-2025")</f>
        <v/>
      </c>
      <c r="W183">
        <f>HYPERLINK("https://klasma.github.io/Logging_2361/klagomålsmail/A 32678-2025 FSC-klagomål mail.docx", "A 32678-2025")</f>
        <v/>
      </c>
      <c r="X183">
        <f>HYPERLINK("https://klasma.github.io/Logging_2361/tillsyn/A 32678-2025 tillsynsbegäran.docx", "A 32678-2025")</f>
        <v/>
      </c>
      <c r="Y183">
        <f>HYPERLINK("https://klasma.github.io/Logging_2361/tillsynsmail/A 32678-2025 tillsynsbegäran mail.docx", "A 32678-2025")</f>
        <v/>
      </c>
    </row>
    <row r="184" ht="15" customHeight="1">
      <c r="A184" t="inlineStr">
        <is>
          <t>A 43322-2025</t>
        </is>
      </c>
      <c r="B184" s="1" t="n">
        <v>45910.66347222222</v>
      </c>
      <c r="C184" s="1" t="n">
        <v>46082</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46082</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48281-2025</t>
        </is>
      </c>
      <c r="B186" s="1" t="n">
        <v>45933.58802083333</v>
      </c>
      <c r="C186" s="1" t="n">
        <v>46082</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17902-2025</t>
        </is>
      </c>
      <c r="B187" s="1" t="n">
        <v>45758.70164351852</v>
      </c>
      <c r="C187" s="1" t="n">
        <v>46082</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2066-2024</t>
        </is>
      </c>
      <c r="B188" s="1" t="n">
        <v>45308</v>
      </c>
      <c r="C188" s="1" t="n">
        <v>46082</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46082</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52307-2025</t>
        </is>
      </c>
      <c r="B190" s="1" t="n">
        <v>45953.63997685185</v>
      </c>
      <c r="C190" s="1" t="n">
        <v>46082</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7327-2024</t>
        </is>
      </c>
      <c r="B191" s="1" t="n">
        <v>45345</v>
      </c>
      <c r="C191" s="1" t="n">
        <v>46082</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56521-2025</t>
        </is>
      </c>
      <c r="B192" s="1" t="n">
        <v>45975.46076388889</v>
      </c>
      <c r="C192" s="1" t="n">
        <v>46082</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55135-2024</t>
        </is>
      </c>
      <c r="B193" s="1" t="n">
        <v>45621.47555555555</v>
      </c>
      <c r="C193" s="1" t="n">
        <v>46082</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54520-2024</t>
        </is>
      </c>
      <c r="B194" s="1" t="n">
        <v>45617</v>
      </c>
      <c r="C194" s="1" t="n">
        <v>46082</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9233-2025</t>
        </is>
      </c>
      <c r="B195" s="1" t="n">
        <v>45714.55248842593</v>
      </c>
      <c r="C195" s="1" t="n">
        <v>46082</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46082</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46082</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46082</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46082</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6307-2026</t>
        </is>
      </c>
      <c r="B200" s="1" t="n">
        <v>46055.57189814815</v>
      </c>
      <c r="C200" s="1" t="n">
        <v>46082</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6614-2026</t>
        </is>
      </c>
      <c r="B201" s="1" t="n">
        <v>46056.49030092593</v>
      </c>
      <c r="C201" s="1" t="n">
        <v>46082</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23331-2025</t>
        </is>
      </c>
      <c r="B202" s="1" t="n">
        <v>45791</v>
      </c>
      <c r="C202" s="1" t="n">
        <v>46082</v>
      </c>
      <c r="D202" t="inlineStr">
        <is>
          <t>JÄMTLANDS LÄN</t>
        </is>
      </c>
      <c r="E202" t="inlineStr">
        <is>
          <t>HÄRJEDALEN</t>
        </is>
      </c>
      <c r="G202" t="n">
        <v>1.6</v>
      </c>
      <c r="H202" t="n">
        <v>0</v>
      </c>
      <c r="I202" t="n">
        <v>0</v>
      </c>
      <c r="J202" t="n">
        <v>1</v>
      </c>
      <c r="K202" t="n">
        <v>0</v>
      </c>
      <c r="L202" t="n">
        <v>0</v>
      </c>
      <c r="M202" t="n">
        <v>0</v>
      </c>
      <c r="N202" t="n">
        <v>0</v>
      </c>
      <c r="O202" t="n">
        <v>1</v>
      </c>
      <c r="P202" t="n">
        <v>0</v>
      </c>
      <c r="Q202" t="n">
        <v>1</v>
      </c>
      <c r="R202" s="2" t="inlineStr">
        <is>
          <t>Lunglav</t>
        </is>
      </c>
      <c r="S202">
        <f>HYPERLINK("https://klasma.github.io/Logging_2361/artfynd/A 23331-2025 artfynd.xlsx", "A 23331-2025")</f>
        <v/>
      </c>
      <c r="T202">
        <f>HYPERLINK("https://klasma.github.io/Logging_2361/kartor/A 23331-2025 karta.png", "A 23331-2025")</f>
        <v/>
      </c>
      <c r="V202">
        <f>HYPERLINK("https://klasma.github.io/Logging_2361/klagomål/A 23331-2025 FSC-klagomål.docx", "A 23331-2025")</f>
        <v/>
      </c>
      <c r="W202">
        <f>HYPERLINK("https://klasma.github.io/Logging_2361/klagomålsmail/A 23331-2025 FSC-klagomål mail.docx", "A 23331-2025")</f>
        <v/>
      </c>
      <c r="X202">
        <f>HYPERLINK("https://klasma.github.io/Logging_2361/tillsyn/A 23331-2025 tillsynsbegäran.docx", "A 23331-2025")</f>
        <v/>
      </c>
      <c r="Y202">
        <f>HYPERLINK("https://klasma.github.io/Logging_2361/tillsynsmail/A 23331-2025 tillsynsbegäran mail.docx", "A 23331-2025")</f>
        <v/>
      </c>
    </row>
    <row r="203" ht="15" customHeight="1">
      <c r="A203" t="inlineStr">
        <is>
          <t>A 36533-2025</t>
        </is>
      </c>
      <c r="B203" s="1" t="n">
        <v>45869</v>
      </c>
      <c r="C203" s="1" t="n">
        <v>46082</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8864-2026</t>
        </is>
      </c>
      <c r="B204" s="1" t="n">
        <v>46066</v>
      </c>
      <c r="C204" s="1" t="n">
        <v>46082</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12274-2025</t>
        </is>
      </c>
      <c r="B205" s="1" t="n">
        <v>45729.64623842593</v>
      </c>
      <c r="C205" s="1" t="n">
        <v>46082</v>
      </c>
      <c r="D205" t="inlineStr">
        <is>
          <t>JÄMTLANDS LÄN</t>
        </is>
      </c>
      <c r="E205" t="inlineStr">
        <is>
          <t>HÄRJEDALEN</t>
        </is>
      </c>
      <c r="F205" t="inlineStr">
        <is>
          <t>Holmen skog AB</t>
        </is>
      </c>
      <c r="G205" t="n">
        <v>1</v>
      </c>
      <c r="H205" t="n">
        <v>0</v>
      </c>
      <c r="I205" t="n">
        <v>0</v>
      </c>
      <c r="J205" t="n">
        <v>1</v>
      </c>
      <c r="K205" t="n">
        <v>0</v>
      </c>
      <c r="L205" t="n">
        <v>0</v>
      </c>
      <c r="M205" t="n">
        <v>0</v>
      </c>
      <c r="N205" t="n">
        <v>0</v>
      </c>
      <c r="O205" t="n">
        <v>1</v>
      </c>
      <c r="P205" t="n">
        <v>0</v>
      </c>
      <c r="Q205" t="n">
        <v>1</v>
      </c>
      <c r="R205" s="2" t="inlineStr">
        <is>
          <t>Garnlav</t>
        </is>
      </c>
      <c r="S205">
        <f>HYPERLINK("https://klasma.github.io/Logging_2361/artfynd/A 12274-2025 artfynd.xlsx", "A 12274-2025")</f>
        <v/>
      </c>
      <c r="T205">
        <f>HYPERLINK("https://klasma.github.io/Logging_2361/kartor/A 12274-2025 karta.png", "A 12274-2025")</f>
        <v/>
      </c>
      <c r="V205">
        <f>HYPERLINK("https://klasma.github.io/Logging_2361/klagomål/A 12274-2025 FSC-klagomål.docx", "A 12274-2025")</f>
        <v/>
      </c>
      <c r="W205">
        <f>HYPERLINK("https://klasma.github.io/Logging_2361/klagomålsmail/A 12274-2025 FSC-klagomål mail.docx", "A 12274-2025")</f>
        <v/>
      </c>
      <c r="X205">
        <f>HYPERLINK("https://klasma.github.io/Logging_2361/tillsyn/A 12274-2025 tillsynsbegäran.docx", "A 12274-2025")</f>
        <v/>
      </c>
      <c r="Y205">
        <f>HYPERLINK("https://klasma.github.io/Logging_2361/tillsynsmail/A 12274-2025 tillsynsbegäran mail.docx", "A 12274-2025")</f>
        <v/>
      </c>
    </row>
    <row r="206" ht="15" customHeight="1">
      <c r="A206" t="inlineStr">
        <is>
          <t>A 25368-2025</t>
        </is>
      </c>
      <c r="B206" s="1" t="n">
        <v>45800.63043981481</v>
      </c>
      <c r="C206" s="1" t="n">
        <v>46082</v>
      </c>
      <c r="D206" t="inlineStr">
        <is>
          <t>JÄMTLANDS LÄN</t>
        </is>
      </c>
      <c r="E206" t="inlineStr">
        <is>
          <t>HÄRJEDALEN</t>
        </is>
      </c>
      <c r="F206" t="inlineStr">
        <is>
          <t>Sveaskog</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HYPERLINK("https://klasma.github.io/Logging_2361/artfynd/A 25368-2025 artfynd.xlsx", "A 25368-2025")</f>
        <v/>
      </c>
      <c r="T206">
        <f>HYPERLINK("https://klasma.github.io/Logging_2361/kartor/A 25368-2025 karta.png", "A 25368-2025")</f>
        <v/>
      </c>
      <c r="U206">
        <f>HYPERLINK("https://klasma.github.io/Logging_2361/knärot/A 25368-2025 karta knärot.png", "A 25368-2025")</f>
        <v/>
      </c>
      <c r="V206">
        <f>HYPERLINK("https://klasma.github.io/Logging_2361/klagomål/A 25368-2025 FSC-klagomål.docx", "A 25368-2025")</f>
        <v/>
      </c>
      <c r="W206">
        <f>HYPERLINK("https://klasma.github.io/Logging_2361/klagomålsmail/A 25368-2025 FSC-klagomål mail.docx", "A 25368-2025")</f>
        <v/>
      </c>
      <c r="X206">
        <f>HYPERLINK("https://klasma.github.io/Logging_2361/tillsyn/A 25368-2025 tillsynsbegäran.docx", "A 25368-2025")</f>
        <v/>
      </c>
      <c r="Y206">
        <f>HYPERLINK("https://klasma.github.io/Logging_2361/tillsynsmail/A 25368-2025 tillsynsbegäran mail.docx", "A 25368-2025")</f>
        <v/>
      </c>
    </row>
    <row r="207" ht="15" customHeight="1">
      <c r="A207" t="inlineStr">
        <is>
          <t>A 21334-2021</t>
        </is>
      </c>
      <c r="B207" s="1" t="n">
        <v>44320</v>
      </c>
      <c r="C207" s="1" t="n">
        <v>46082</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46082</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46082</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46082</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46082</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46082</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46082</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46082</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46082</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46082</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46082</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46082</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46082</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46082</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46082</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46082</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46082</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46082</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35572-2021</t>
        </is>
      </c>
      <c r="B225" s="1" t="n">
        <v>44385.93652777778</v>
      </c>
      <c r="C225" s="1" t="n">
        <v>46082</v>
      </c>
      <c r="D225" t="inlineStr">
        <is>
          <t>JÄMTLANDS LÄN</t>
        </is>
      </c>
      <c r="E225" t="inlineStr">
        <is>
          <t>HÄRJEDALEN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46082</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40578-2022</t>
        </is>
      </c>
      <c r="B227" s="1" t="n">
        <v>44823</v>
      </c>
      <c r="C227" s="1" t="n">
        <v>46082</v>
      </c>
      <c r="D227" t="inlineStr">
        <is>
          <t>JÄMTLANDS LÄN</t>
        </is>
      </c>
      <c r="E227" t="inlineStr">
        <is>
          <t>HÄRJEDALEN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55393-2021</t>
        </is>
      </c>
      <c r="B228" s="1" t="n">
        <v>44475</v>
      </c>
      <c r="C228" s="1" t="n">
        <v>46082</v>
      </c>
      <c r="D228" t="inlineStr">
        <is>
          <t>JÄMTLANDS LÄN</t>
        </is>
      </c>
      <c r="E228" t="inlineStr">
        <is>
          <t>HÄRJEDALEN</t>
        </is>
      </c>
      <c r="G228" t="n">
        <v>3</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46082</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46082</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46082</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46082</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46082</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46082</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46082</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46082</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46082</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46082</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46082</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46082</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46082</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46082</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46082</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46082</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46082</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46082</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46082</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46082</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46082</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46082</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46082</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46082</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46082</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46082</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46082</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46082</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46082</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46082</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46082</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46082</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46082</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46082</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46082</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46082</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46082</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46082</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46082</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46082</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46082</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46082</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46082</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46082</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46082</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46082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46082</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46082</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46082</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46082</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46082</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46082</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46082</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46082</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46082</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46082</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46082</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46082</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46082</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46082</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46082</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46082</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46082</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46082</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46082</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46082</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46082</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46082</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46082</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46082</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46082</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46082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46082</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46082</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46082</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46082</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46082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46082</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46082</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46082</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46082</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46082</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46082</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46082</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46082</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46082</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46082</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46082</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46082</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46082</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46082</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46082</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46082</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46082</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46082</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46082</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64484-2023</t>
        </is>
      </c>
      <c r="B325" s="1" t="n">
        <v>45280</v>
      </c>
      <c r="C325" s="1" t="n">
        <v>46082</v>
      </c>
      <c r="D325" t="inlineStr">
        <is>
          <t>JÄMTLANDS LÄN</t>
        </is>
      </c>
      <c r="E325" t="inlineStr">
        <is>
          <t>HÄRJEDALEN</t>
        </is>
      </c>
      <c r="G325" t="n">
        <v>7.1</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46082</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20104-2025</t>
        </is>
      </c>
      <c r="B327" s="1" t="n">
        <v>45772.46965277778</v>
      </c>
      <c r="C327" s="1" t="n">
        <v>46082</v>
      </c>
      <c r="D327" t="inlineStr">
        <is>
          <t>JÄMTLANDS LÄN</t>
        </is>
      </c>
      <c r="E327" t="inlineStr">
        <is>
          <t>HÄRJEDALEN</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20033-2025</t>
        </is>
      </c>
      <c r="B328" s="1" t="n">
        <v>45772.36106481482</v>
      </c>
      <c r="C328" s="1" t="n">
        <v>46082</v>
      </c>
      <c r="D328" t="inlineStr">
        <is>
          <t>JÄMTLANDS LÄN</t>
        </is>
      </c>
      <c r="E328" t="inlineStr">
        <is>
          <t>HÄRJEDALEN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46082</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46082</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46082</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22728-2023</t>
        </is>
      </c>
      <c r="B332" s="1" t="n">
        <v>45071.92488425926</v>
      </c>
      <c r="C332" s="1" t="n">
        <v>46082</v>
      </c>
      <c r="D332" t="inlineStr">
        <is>
          <t>JÄMTLANDS LÄN</t>
        </is>
      </c>
      <c r="E332" t="inlineStr">
        <is>
          <t>HÄRJEDALEN</t>
        </is>
      </c>
      <c r="G332" t="n">
        <v>2.8</v>
      </c>
      <c r="H332" t="n">
        <v>0</v>
      </c>
      <c r="I332" t="n">
        <v>0</v>
      </c>
      <c r="J332" t="n">
        <v>0</v>
      </c>
      <c r="K332" t="n">
        <v>0</v>
      </c>
      <c r="L332" t="n">
        <v>0</v>
      </c>
      <c r="M332" t="n">
        <v>0</v>
      </c>
      <c r="N332" t="n">
        <v>0</v>
      </c>
      <c r="O332" t="n">
        <v>0</v>
      </c>
      <c r="P332" t="n">
        <v>0</v>
      </c>
      <c r="Q332" t="n">
        <v>0</v>
      </c>
      <c r="R332" s="2" t="inlineStr"/>
    </row>
    <row r="333" ht="15" customHeight="1">
      <c r="A333" t="inlineStr">
        <is>
          <t>A 7385-2025</t>
        </is>
      </c>
      <c r="B333" s="1" t="n">
        <v>45705.32643518518</v>
      </c>
      <c r="C333" s="1" t="n">
        <v>46082</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46082</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16151-2024</t>
        </is>
      </c>
      <c r="B335" s="1" t="n">
        <v>45406</v>
      </c>
      <c r="C335" s="1" t="n">
        <v>46082</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16185-2024</t>
        </is>
      </c>
      <c r="B336" s="1" t="n">
        <v>45406</v>
      </c>
      <c r="C336" s="1" t="n">
        <v>46082</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40596-2022</t>
        </is>
      </c>
      <c r="B337" s="1" t="n">
        <v>44823.84673611111</v>
      </c>
      <c r="C337" s="1" t="n">
        <v>46082</v>
      </c>
      <c r="D337" t="inlineStr">
        <is>
          <t>JÄMTLANDS LÄN</t>
        </is>
      </c>
      <c r="E337" t="inlineStr">
        <is>
          <t>HÄRJEDALEN</t>
        </is>
      </c>
      <c r="G337" t="n">
        <v>2.9</v>
      </c>
      <c r="H337" t="n">
        <v>0</v>
      </c>
      <c r="I337" t="n">
        <v>0</v>
      </c>
      <c r="J337" t="n">
        <v>0</v>
      </c>
      <c r="K337" t="n">
        <v>0</v>
      </c>
      <c r="L337" t="n">
        <v>0</v>
      </c>
      <c r="M337" t="n">
        <v>0</v>
      </c>
      <c r="N337" t="n">
        <v>0</v>
      </c>
      <c r="O337" t="n">
        <v>0</v>
      </c>
      <c r="P337" t="n">
        <v>0</v>
      </c>
      <c r="Q337" t="n">
        <v>0</v>
      </c>
      <c r="R337" s="2" t="inlineStr"/>
    </row>
    <row r="338" ht="15" customHeight="1">
      <c r="A338" t="inlineStr">
        <is>
          <t>A 4837-2025</t>
        </is>
      </c>
      <c r="B338" s="1" t="n">
        <v>45688.67145833333</v>
      </c>
      <c r="C338" s="1" t="n">
        <v>46082</v>
      </c>
      <c r="D338" t="inlineStr">
        <is>
          <t>JÄMTLANDS LÄN</t>
        </is>
      </c>
      <c r="E338" t="inlineStr">
        <is>
          <t>HÄRJEDALEN</t>
        </is>
      </c>
      <c r="F338" t="inlineStr">
        <is>
          <t>SCA</t>
        </is>
      </c>
      <c r="G338" t="n">
        <v>21.9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46082</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46082</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4899-2025</t>
        </is>
      </c>
      <c r="B341" s="1" t="n">
        <v>45688.67935185185</v>
      </c>
      <c r="C341" s="1" t="n">
        <v>46082</v>
      </c>
      <c r="D341" t="inlineStr">
        <is>
          <t>JÄMTLANDS LÄN</t>
        </is>
      </c>
      <c r="E341" t="inlineStr">
        <is>
          <t>HÄRJEDALEN</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46082</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46082</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46082</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49689-2022</t>
        </is>
      </c>
      <c r="B345" s="1" t="n">
        <v>44862</v>
      </c>
      <c r="C345" s="1" t="n">
        <v>46082</v>
      </c>
      <c r="D345" t="inlineStr">
        <is>
          <t>JÄMTLANDS LÄN</t>
        </is>
      </c>
      <c r="E345" t="inlineStr">
        <is>
          <t>HÄRJEDALEN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24608-2024</t>
        </is>
      </c>
      <c r="B346" s="1" t="n">
        <v>45460.47969907407</v>
      </c>
      <c r="C346" s="1" t="n">
        <v>46082</v>
      </c>
      <c r="D346" t="inlineStr">
        <is>
          <t>JÄMTLANDS LÄN</t>
        </is>
      </c>
      <c r="E346" t="inlineStr">
        <is>
          <t>HÄRJEDALEN</t>
        </is>
      </c>
      <c r="G346" t="n">
        <v>15.7</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46082</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16283-2024</t>
        </is>
      </c>
      <c r="B348" s="1" t="n">
        <v>45407.36894675926</v>
      </c>
      <c r="C348" s="1" t="n">
        <v>46082</v>
      </c>
      <c r="D348" t="inlineStr">
        <is>
          <t>JÄMTLANDS LÄN</t>
        </is>
      </c>
      <c r="E348" t="inlineStr">
        <is>
          <t>HÄRJEDALEN</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46082</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39453-2021</t>
        </is>
      </c>
      <c r="B350" s="1" t="n">
        <v>44414.58354166667</v>
      </c>
      <c r="C350" s="1" t="n">
        <v>46082</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18541-2025</t>
        </is>
      </c>
      <c r="B351" s="1" t="n">
        <v>45763.41402777778</v>
      </c>
      <c r="C351" s="1" t="n">
        <v>46082</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60611-2023</t>
        </is>
      </c>
      <c r="B352" s="1" t="n">
        <v>45260.35777777778</v>
      </c>
      <c r="C352" s="1" t="n">
        <v>46082</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47765-2024</t>
        </is>
      </c>
      <c r="B353" s="1" t="n">
        <v>45588.56039351852</v>
      </c>
      <c r="C353" s="1" t="n">
        <v>46082</v>
      </c>
      <c r="D353" t="inlineStr">
        <is>
          <t>JÄMTLANDS LÄN</t>
        </is>
      </c>
      <c r="E353" t="inlineStr">
        <is>
          <t>HÄRJEDALEN</t>
        </is>
      </c>
      <c r="G353" t="n">
        <v>53.6</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46082</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64144-2023</t>
        </is>
      </c>
      <c r="B355" s="1" t="n">
        <v>45279.57732638889</v>
      </c>
      <c r="C355" s="1" t="n">
        <v>46082</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46082</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62721-2022</t>
        </is>
      </c>
      <c r="B357" s="1" t="n">
        <v>44925.64049768518</v>
      </c>
      <c r="C357" s="1" t="n">
        <v>46082</v>
      </c>
      <c r="D357" t="inlineStr">
        <is>
          <t>JÄMTLANDS LÄN</t>
        </is>
      </c>
      <c r="E357" t="inlineStr">
        <is>
          <t>HÄRJEDALEN</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46082</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54762-2022</t>
        </is>
      </c>
      <c r="B359" s="1" t="n">
        <v>44883</v>
      </c>
      <c r="C359" s="1" t="n">
        <v>46082</v>
      </c>
      <c r="D359" t="inlineStr">
        <is>
          <t>JÄMTLANDS LÄN</t>
        </is>
      </c>
      <c r="E359" t="inlineStr">
        <is>
          <t>HÄRJEDALEN</t>
        </is>
      </c>
      <c r="G359" t="n">
        <v>1.8</v>
      </c>
      <c r="H359" t="n">
        <v>0</v>
      </c>
      <c r="I359" t="n">
        <v>0</v>
      </c>
      <c r="J359" t="n">
        <v>0</v>
      </c>
      <c r="K359" t="n">
        <v>0</v>
      </c>
      <c r="L359" t="n">
        <v>0</v>
      </c>
      <c r="M359" t="n">
        <v>0</v>
      </c>
      <c r="N359" t="n">
        <v>0</v>
      </c>
      <c r="O359" t="n">
        <v>0</v>
      </c>
      <c r="P359" t="n">
        <v>0</v>
      </c>
      <c r="Q359" t="n">
        <v>0</v>
      </c>
      <c r="R359" s="2" t="inlineStr"/>
    </row>
    <row r="360" ht="15" customHeight="1">
      <c r="A360" t="inlineStr">
        <is>
          <t>A 31759-2024</t>
        </is>
      </c>
      <c r="B360" s="1" t="n">
        <v>45509</v>
      </c>
      <c r="C360" s="1" t="n">
        <v>46082</v>
      </c>
      <c r="D360" t="inlineStr">
        <is>
          <t>JÄMTLANDS LÄN</t>
        </is>
      </c>
      <c r="E360" t="inlineStr">
        <is>
          <t>HÄRJEDALEN</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4711-2023</t>
        </is>
      </c>
      <c r="B361" s="1" t="n">
        <v>44957</v>
      </c>
      <c r="C361" s="1" t="n">
        <v>46082</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55388-2021</t>
        </is>
      </c>
      <c r="B362" s="1" t="n">
        <v>44475</v>
      </c>
      <c r="C362" s="1" t="n">
        <v>46082</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27261-2023</t>
        </is>
      </c>
      <c r="B363" s="1" t="n">
        <v>45096.62344907408</v>
      </c>
      <c r="C363" s="1" t="n">
        <v>46082</v>
      </c>
      <c r="D363" t="inlineStr">
        <is>
          <t>JÄMTLANDS LÄN</t>
        </is>
      </c>
      <c r="E363" t="inlineStr">
        <is>
          <t>HÄRJEDALEN</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29602-2024</t>
        </is>
      </c>
      <c r="B364" s="1" t="n">
        <v>45484</v>
      </c>
      <c r="C364" s="1" t="n">
        <v>46082</v>
      </c>
      <c r="D364" t="inlineStr">
        <is>
          <t>JÄMTLANDS LÄN</t>
        </is>
      </c>
      <c r="E364" t="inlineStr">
        <is>
          <t>HÄRJEDALEN</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25893-2024</t>
        </is>
      </c>
      <c r="B365" s="1" t="n">
        <v>45467</v>
      </c>
      <c r="C365" s="1" t="n">
        <v>46082</v>
      </c>
      <c r="D365" t="inlineStr">
        <is>
          <t>JÄMTLANDS LÄN</t>
        </is>
      </c>
      <c r="E365" t="inlineStr">
        <is>
          <t>HÄRJEDALEN</t>
        </is>
      </c>
      <c r="G365" t="n">
        <v>12.8</v>
      </c>
      <c r="H365" t="n">
        <v>0</v>
      </c>
      <c r="I365" t="n">
        <v>0</v>
      </c>
      <c r="J365" t="n">
        <v>0</v>
      </c>
      <c r="K365" t="n">
        <v>0</v>
      </c>
      <c r="L365" t="n">
        <v>0</v>
      </c>
      <c r="M365" t="n">
        <v>0</v>
      </c>
      <c r="N365" t="n">
        <v>0</v>
      </c>
      <c r="O365" t="n">
        <v>0</v>
      </c>
      <c r="P365" t="n">
        <v>0</v>
      </c>
      <c r="Q365" t="n">
        <v>0</v>
      </c>
      <c r="R365" s="2" t="inlineStr"/>
    </row>
    <row r="366" ht="15" customHeight="1">
      <c r="A366" t="inlineStr">
        <is>
          <t>A 31587-2024</t>
        </is>
      </c>
      <c r="B366" s="1" t="n">
        <v>45506.36534722222</v>
      </c>
      <c r="C366" s="1" t="n">
        <v>46082</v>
      </c>
      <c r="D366" t="inlineStr">
        <is>
          <t>JÄMTLANDS LÄN</t>
        </is>
      </c>
      <c r="E366" t="inlineStr">
        <is>
          <t>HÄRJEDALEN</t>
        </is>
      </c>
      <c r="G366" t="n">
        <v>3.3</v>
      </c>
      <c r="H366" t="n">
        <v>0</v>
      </c>
      <c r="I366" t="n">
        <v>0</v>
      </c>
      <c r="J366" t="n">
        <v>0</v>
      </c>
      <c r="K366" t="n">
        <v>0</v>
      </c>
      <c r="L366" t="n">
        <v>0</v>
      </c>
      <c r="M366" t="n">
        <v>0</v>
      </c>
      <c r="N366" t="n">
        <v>0</v>
      </c>
      <c r="O366" t="n">
        <v>0</v>
      </c>
      <c r="P366" t="n">
        <v>0</v>
      </c>
      <c r="Q366" t="n">
        <v>0</v>
      </c>
      <c r="R366" s="2" t="inlineStr"/>
    </row>
    <row r="367" ht="15" customHeight="1">
      <c r="A367" t="inlineStr">
        <is>
          <t>A 28686-2024</t>
        </is>
      </c>
      <c r="B367" s="1" t="n">
        <v>45478.48700231482</v>
      </c>
      <c r="C367" s="1" t="n">
        <v>46082</v>
      </c>
      <c r="D367" t="inlineStr">
        <is>
          <t>JÄMTLANDS LÄN</t>
        </is>
      </c>
      <c r="E367" t="inlineStr">
        <is>
          <t>HÄRJEDALEN</t>
        </is>
      </c>
      <c r="F367" t="inlineStr">
        <is>
          <t>Bergvik skog väst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58446-2024</t>
        </is>
      </c>
      <c r="B368" s="1" t="n">
        <v>45635.33439814814</v>
      </c>
      <c r="C368" s="1" t="n">
        <v>46082</v>
      </c>
      <c r="D368" t="inlineStr">
        <is>
          <t>JÄMTLANDS LÄN</t>
        </is>
      </c>
      <c r="E368" t="inlineStr">
        <is>
          <t>HÄRJEDALEN</t>
        </is>
      </c>
      <c r="F368" t="inlineStr">
        <is>
          <t>Bergvik skog väst AB</t>
        </is>
      </c>
      <c r="G368" t="n">
        <v>7.8</v>
      </c>
      <c r="H368" t="n">
        <v>0</v>
      </c>
      <c r="I368" t="n">
        <v>0</v>
      </c>
      <c r="J368" t="n">
        <v>0</v>
      </c>
      <c r="K368" t="n">
        <v>0</v>
      </c>
      <c r="L368" t="n">
        <v>0</v>
      </c>
      <c r="M368" t="n">
        <v>0</v>
      </c>
      <c r="N368" t="n">
        <v>0</v>
      </c>
      <c r="O368" t="n">
        <v>0</v>
      </c>
      <c r="P368" t="n">
        <v>0</v>
      </c>
      <c r="Q368" t="n">
        <v>0</v>
      </c>
      <c r="R368" s="2" t="inlineStr"/>
    </row>
    <row r="369" ht="15" customHeight="1">
      <c r="A369" t="inlineStr">
        <is>
          <t>A 51322-2024</t>
        </is>
      </c>
      <c r="B369" s="1" t="n">
        <v>45604.33195601852</v>
      </c>
      <c r="C369" s="1" t="n">
        <v>46082</v>
      </c>
      <c r="D369" t="inlineStr">
        <is>
          <t>JÄMTLANDS LÄN</t>
        </is>
      </c>
      <c r="E369" t="inlineStr">
        <is>
          <t>HÄRJEDALEN</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59279-2023</t>
        </is>
      </c>
      <c r="B370" s="1" t="n">
        <v>45253.55737268519</v>
      </c>
      <c r="C370" s="1" t="n">
        <v>46082</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46082</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239-2022</t>
        </is>
      </c>
      <c r="B372" s="1" t="n">
        <v>44565.31975694445</v>
      </c>
      <c r="C372" s="1" t="n">
        <v>46082</v>
      </c>
      <c r="D372" t="inlineStr">
        <is>
          <t>JÄMTLANDS LÄN</t>
        </is>
      </c>
      <c r="E372" t="inlineStr">
        <is>
          <t>HÄRJEDALEN</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241-2022</t>
        </is>
      </c>
      <c r="B373" s="1" t="n">
        <v>44565</v>
      </c>
      <c r="C373" s="1" t="n">
        <v>46082</v>
      </c>
      <c r="D373" t="inlineStr">
        <is>
          <t>JÄMTLANDS LÄN</t>
        </is>
      </c>
      <c r="E373" t="inlineStr">
        <is>
          <t>HÄRJEDALEN</t>
        </is>
      </c>
      <c r="F373" t="inlineStr">
        <is>
          <t>Övriga Aktiebolag</t>
        </is>
      </c>
      <c r="G373" t="n">
        <v>16.5</v>
      </c>
      <c r="H373" t="n">
        <v>0</v>
      </c>
      <c r="I373" t="n">
        <v>0</v>
      </c>
      <c r="J373" t="n">
        <v>0</v>
      </c>
      <c r="K373" t="n">
        <v>0</v>
      </c>
      <c r="L373" t="n">
        <v>0</v>
      </c>
      <c r="M373" t="n">
        <v>0</v>
      </c>
      <c r="N373" t="n">
        <v>0</v>
      </c>
      <c r="O373" t="n">
        <v>0</v>
      </c>
      <c r="P373" t="n">
        <v>0</v>
      </c>
      <c r="Q373" t="n">
        <v>0</v>
      </c>
      <c r="R373" s="2" t="inlineStr"/>
    </row>
    <row r="374" ht="15" customHeight="1">
      <c r="A374" t="inlineStr">
        <is>
          <t>A 62513-2022</t>
        </is>
      </c>
      <c r="B374" s="1" t="n">
        <v>44924.61315972222</v>
      </c>
      <c r="C374" s="1" t="n">
        <v>46082</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21699-2021</t>
        </is>
      </c>
      <c r="B375" s="1" t="n">
        <v>44316</v>
      </c>
      <c r="C375" s="1" t="n">
        <v>46082</v>
      </c>
      <c r="D375" t="inlineStr">
        <is>
          <t>JÄMTLANDS LÄN</t>
        </is>
      </c>
      <c r="E375" t="inlineStr">
        <is>
          <t>HÄRJEDALEN</t>
        </is>
      </c>
      <c r="G375" t="n">
        <v>6.8</v>
      </c>
      <c r="H375" t="n">
        <v>0</v>
      </c>
      <c r="I375" t="n">
        <v>0</v>
      </c>
      <c r="J375" t="n">
        <v>0</v>
      </c>
      <c r="K375" t="n">
        <v>0</v>
      </c>
      <c r="L375" t="n">
        <v>0</v>
      </c>
      <c r="M375" t="n">
        <v>0</v>
      </c>
      <c r="N375" t="n">
        <v>0</v>
      </c>
      <c r="O375" t="n">
        <v>0</v>
      </c>
      <c r="P375" t="n">
        <v>0</v>
      </c>
      <c r="Q375" t="n">
        <v>0</v>
      </c>
      <c r="R375" s="2" t="inlineStr"/>
    </row>
    <row r="376" ht="15" customHeight="1">
      <c r="A376" t="inlineStr">
        <is>
          <t>A 59962-2024</t>
        </is>
      </c>
      <c r="B376" s="1" t="n">
        <v>45642.35256944445</v>
      </c>
      <c r="C376" s="1" t="n">
        <v>46082</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60897-2022</t>
        </is>
      </c>
      <c r="B377" s="1" t="n">
        <v>44914</v>
      </c>
      <c r="C377" s="1" t="n">
        <v>46082</v>
      </c>
      <c r="D377" t="inlineStr">
        <is>
          <t>JÄMTLANDS LÄN</t>
        </is>
      </c>
      <c r="E377" t="inlineStr">
        <is>
          <t>HÄRJEDALEN</t>
        </is>
      </c>
      <c r="F377" t="inlineStr">
        <is>
          <t>Holmen skog AB</t>
        </is>
      </c>
      <c r="G377" t="n">
        <v>0.3</v>
      </c>
      <c r="H377" t="n">
        <v>0</v>
      </c>
      <c r="I377" t="n">
        <v>0</v>
      </c>
      <c r="J377" t="n">
        <v>0</v>
      </c>
      <c r="K377" t="n">
        <v>0</v>
      </c>
      <c r="L377" t="n">
        <v>0</v>
      </c>
      <c r="M377" t="n">
        <v>0</v>
      </c>
      <c r="N377" t="n">
        <v>0</v>
      </c>
      <c r="O377" t="n">
        <v>0</v>
      </c>
      <c r="P377" t="n">
        <v>0</v>
      </c>
      <c r="Q377" t="n">
        <v>0</v>
      </c>
      <c r="R377" s="2" t="inlineStr"/>
      <c r="U377">
        <f>HYPERLINK("https://klasma.github.io/Logging_2361/knärot/A 60897-2022 karta knärot.png", "A 60897-2022")</f>
        <v/>
      </c>
      <c r="V377">
        <f>HYPERLINK("https://klasma.github.io/Logging_2361/klagomål/A 60897-2022 FSC-klagomål.docx", "A 60897-2022")</f>
        <v/>
      </c>
      <c r="W377">
        <f>HYPERLINK("https://klasma.github.io/Logging_2361/klagomålsmail/A 60897-2022 FSC-klagomål mail.docx", "A 60897-2022")</f>
        <v/>
      </c>
      <c r="X377">
        <f>HYPERLINK("https://klasma.github.io/Logging_2361/tillsyn/A 60897-2022 tillsynsbegäran.docx", "A 60897-2022")</f>
        <v/>
      </c>
      <c r="Y377">
        <f>HYPERLINK("https://klasma.github.io/Logging_2361/tillsynsmail/A 60897-2022 tillsynsbegäran mail.docx", "A 60897-2022")</f>
        <v/>
      </c>
    </row>
    <row r="378" ht="15" customHeight="1">
      <c r="A378" t="inlineStr">
        <is>
          <t>A 105-2023</t>
        </is>
      </c>
      <c r="B378" s="1" t="n">
        <v>44928.48072916667</v>
      </c>
      <c r="C378" s="1" t="n">
        <v>46082</v>
      </c>
      <c r="D378" t="inlineStr">
        <is>
          <t>JÄMTLANDS LÄN</t>
        </is>
      </c>
      <c r="E378" t="inlineStr">
        <is>
          <t>HÄRJEDALEN</t>
        </is>
      </c>
      <c r="F378" t="inlineStr">
        <is>
          <t>Holmen skog AB</t>
        </is>
      </c>
      <c r="G378" t="n">
        <v>17.5</v>
      </c>
      <c r="H378" t="n">
        <v>0</v>
      </c>
      <c r="I378" t="n">
        <v>0</v>
      </c>
      <c r="J378" t="n">
        <v>0</v>
      </c>
      <c r="K378" t="n">
        <v>0</v>
      </c>
      <c r="L378" t="n">
        <v>0</v>
      </c>
      <c r="M378" t="n">
        <v>0</v>
      </c>
      <c r="N378" t="n">
        <v>0</v>
      </c>
      <c r="O378" t="n">
        <v>0</v>
      </c>
      <c r="P378" t="n">
        <v>0</v>
      </c>
      <c r="Q378" t="n">
        <v>0</v>
      </c>
      <c r="R378" s="2" t="inlineStr"/>
    </row>
    <row r="379" ht="15" customHeight="1">
      <c r="A379" t="inlineStr">
        <is>
          <t>A 25933-2025</t>
        </is>
      </c>
      <c r="B379" s="1" t="n">
        <v>45804.589375</v>
      </c>
      <c r="C379" s="1" t="n">
        <v>46082</v>
      </c>
      <c r="D379" t="inlineStr">
        <is>
          <t>JÄMTLANDS LÄN</t>
        </is>
      </c>
      <c r="E379" t="inlineStr">
        <is>
          <t>HÄRJEDALEN</t>
        </is>
      </c>
      <c r="G379" t="n">
        <v>2.7</v>
      </c>
      <c r="H379" t="n">
        <v>0</v>
      </c>
      <c r="I379" t="n">
        <v>0</v>
      </c>
      <c r="J379" t="n">
        <v>0</v>
      </c>
      <c r="K379" t="n">
        <v>0</v>
      </c>
      <c r="L379" t="n">
        <v>0</v>
      </c>
      <c r="M379" t="n">
        <v>0</v>
      </c>
      <c r="N379" t="n">
        <v>0</v>
      </c>
      <c r="O379" t="n">
        <v>0</v>
      </c>
      <c r="P379" t="n">
        <v>0</v>
      </c>
      <c r="Q379" t="n">
        <v>0</v>
      </c>
      <c r="R379" s="2" t="inlineStr"/>
    </row>
    <row r="380" ht="15" customHeight="1">
      <c r="A380" t="inlineStr">
        <is>
          <t>A 35635-2024</t>
        </is>
      </c>
      <c r="B380" s="1" t="n">
        <v>45531.78386574074</v>
      </c>
      <c r="C380" s="1" t="n">
        <v>46082</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27541-2023</t>
        </is>
      </c>
      <c r="B381" s="1" t="n">
        <v>45097</v>
      </c>
      <c r="C381" s="1" t="n">
        <v>46082</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47244-2023</t>
        </is>
      </c>
      <c r="B382" s="1" t="n">
        <v>45202</v>
      </c>
      <c r="C382" s="1" t="n">
        <v>46082</v>
      </c>
      <c r="D382" t="inlineStr">
        <is>
          <t>JÄMTLANDS LÄN</t>
        </is>
      </c>
      <c r="E382" t="inlineStr">
        <is>
          <t>HÄRJEDALEN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9780-2024</t>
        </is>
      </c>
      <c r="B383" s="1" t="n">
        <v>45362.65903935185</v>
      </c>
      <c r="C383" s="1" t="n">
        <v>46082</v>
      </c>
      <c r="D383" t="inlineStr">
        <is>
          <t>JÄMTLANDS LÄN</t>
        </is>
      </c>
      <c r="E383" t="inlineStr">
        <is>
          <t>HÄRJEDALEN</t>
        </is>
      </c>
      <c r="G383" t="n">
        <v>0.4</v>
      </c>
      <c r="H383" t="n">
        <v>0</v>
      </c>
      <c r="I383" t="n">
        <v>0</v>
      </c>
      <c r="J383" t="n">
        <v>0</v>
      </c>
      <c r="K383" t="n">
        <v>0</v>
      </c>
      <c r="L383" t="n">
        <v>0</v>
      </c>
      <c r="M383" t="n">
        <v>0</v>
      </c>
      <c r="N383" t="n">
        <v>0</v>
      </c>
      <c r="O383" t="n">
        <v>0</v>
      </c>
      <c r="P383" t="n">
        <v>0</v>
      </c>
      <c r="Q383" t="n">
        <v>0</v>
      </c>
      <c r="R383" s="2" t="inlineStr"/>
    </row>
    <row r="384" ht="15" customHeight="1">
      <c r="A384" t="inlineStr">
        <is>
          <t>A 25516-2025</t>
        </is>
      </c>
      <c r="B384" s="1" t="n">
        <v>45803.37480324074</v>
      </c>
      <c r="C384" s="1" t="n">
        <v>46082</v>
      </c>
      <c r="D384" t="inlineStr">
        <is>
          <t>JÄMTLANDS LÄN</t>
        </is>
      </c>
      <c r="E384" t="inlineStr">
        <is>
          <t>HÄRJEDALEN</t>
        </is>
      </c>
      <c r="G384" t="n">
        <v>5</v>
      </c>
      <c r="H384" t="n">
        <v>0</v>
      </c>
      <c r="I384" t="n">
        <v>0</v>
      </c>
      <c r="J384" t="n">
        <v>0</v>
      </c>
      <c r="K384" t="n">
        <v>0</v>
      </c>
      <c r="L384" t="n">
        <v>0</v>
      </c>
      <c r="M384" t="n">
        <v>0</v>
      </c>
      <c r="N384" t="n">
        <v>0</v>
      </c>
      <c r="O384" t="n">
        <v>0</v>
      </c>
      <c r="P384" t="n">
        <v>0</v>
      </c>
      <c r="Q384" t="n">
        <v>0</v>
      </c>
      <c r="R384" s="2" t="inlineStr"/>
    </row>
    <row r="385" ht="15" customHeight="1">
      <c r="A385" t="inlineStr">
        <is>
          <t>A 38402-2025</t>
        </is>
      </c>
      <c r="B385" s="1" t="n">
        <v>45883.58944444444</v>
      </c>
      <c r="C385" s="1" t="n">
        <v>46082</v>
      </c>
      <c r="D385" t="inlineStr">
        <is>
          <t>JÄMTLANDS LÄN</t>
        </is>
      </c>
      <c r="E385" t="inlineStr">
        <is>
          <t>HÄRJEDALEN</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62500-2022</t>
        </is>
      </c>
      <c r="B386" s="1" t="n">
        <v>44924.59140046296</v>
      </c>
      <c r="C386" s="1" t="n">
        <v>46082</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38618-2025</t>
        </is>
      </c>
      <c r="B387" s="1" t="n">
        <v>45884.55263888889</v>
      </c>
      <c r="C387" s="1" t="n">
        <v>46082</v>
      </c>
      <c r="D387" t="inlineStr">
        <is>
          <t>JÄMTLANDS LÄN</t>
        </is>
      </c>
      <c r="E387" t="inlineStr">
        <is>
          <t>HÄRJEDALEN</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26209-2025</t>
        </is>
      </c>
      <c r="B388" s="1" t="n">
        <v>45805.53280092592</v>
      </c>
      <c r="C388" s="1" t="n">
        <v>46082</v>
      </c>
      <c r="D388" t="inlineStr">
        <is>
          <t>JÄMTLANDS LÄN</t>
        </is>
      </c>
      <c r="E388" t="inlineStr">
        <is>
          <t>HÄRJEDALEN</t>
        </is>
      </c>
      <c r="F388" t="inlineStr">
        <is>
          <t>Bergvik skog väst AB</t>
        </is>
      </c>
      <c r="G388" t="n">
        <v>27.3</v>
      </c>
      <c r="H388" t="n">
        <v>0</v>
      </c>
      <c r="I388" t="n">
        <v>0</v>
      </c>
      <c r="J388" t="n">
        <v>0</v>
      </c>
      <c r="K388" t="n">
        <v>0</v>
      </c>
      <c r="L388" t="n">
        <v>0</v>
      </c>
      <c r="M388" t="n">
        <v>0</v>
      </c>
      <c r="N388" t="n">
        <v>0</v>
      </c>
      <c r="O388" t="n">
        <v>0</v>
      </c>
      <c r="P388" t="n">
        <v>0</v>
      </c>
      <c r="Q388" t="n">
        <v>0</v>
      </c>
      <c r="R388" s="2" t="inlineStr"/>
    </row>
    <row r="389" ht="15" customHeight="1">
      <c r="A389" t="inlineStr">
        <is>
          <t>A 44438-2025</t>
        </is>
      </c>
      <c r="B389" s="1" t="n">
        <v>45916</v>
      </c>
      <c r="C389" s="1" t="n">
        <v>46082</v>
      </c>
      <c r="D389" t="inlineStr">
        <is>
          <t>JÄMTLANDS LÄN</t>
        </is>
      </c>
      <c r="E389" t="inlineStr">
        <is>
          <t>HÄRJEDALEN</t>
        </is>
      </c>
      <c r="F389" t="inlineStr">
        <is>
          <t>Bergvik skog väst AB</t>
        </is>
      </c>
      <c r="G389" t="n">
        <v>7.8</v>
      </c>
      <c r="H389" t="n">
        <v>0</v>
      </c>
      <c r="I389" t="n">
        <v>0</v>
      </c>
      <c r="J389" t="n">
        <v>0</v>
      </c>
      <c r="K389" t="n">
        <v>0</v>
      </c>
      <c r="L389" t="n">
        <v>0</v>
      </c>
      <c r="M389" t="n">
        <v>0</v>
      </c>
      <c r="N389" t="n">
        <v>0</v>
      </c>
      <c r="O389" t="n">
        <v>0</v>
      </c>
      <c r="P389" t="n">
        <v>0</v>
      </c>
      <c r="Q389" t="n">
        <v>0</v>
      </c>
      <c r="R389" s="2" t="inlineStr"/>
    </row>
    <row r="390" ht="15" customHeight="1">
      <c r="A390" t="inlineStr">
        <is>
          <t>A 11528-2022</t>
        </is>
      </c>
      <c r="B390" s="1" t="n">
        <v>44631.37701388889</v>
      </c>
      <c r="C390" s="1" t="n">
        <v>46082</v>
      </c>
      <c r="D390" t="inlineStr">
        <is>
          <t>JÄMTLANDS LÄN</t>
        </is>
      </c>
      <c r="E390" t="inlineStr">
        <is>
          <t>HÄRJEDALEN</t>
        </is>
      </c>
      <c r="F390" t="inlineStr">
        <is>
          <t>Holmen skog AB</t>
        </is>
      </c>
      <c r="G390" t="n">
        <v>6.1</v>
      </c>
      <c r="H390" t="n">
        <v>0</v>
      </c>
      <c r="I390" t="n">
        <v>0</v>
      </c>
      <c r="J390" t="n">
        <v>0</v>
      </c>
      <c r="K390" t="n">
        <v>0</v>
      </c>
      <c r="L390" t="n">
        <v>0</v>
      </c>
      <c r="M390" t="n">
        <v>0</v>
      </c>
      <c r="N390" t="n">
        <v>0</v>
      </c>
      <c r="O390" t="n">
        <v>0</v>
      </c>
      <c r="P390" t="n">
        <v>0</v>
      </c>
      <c r="Q390" t="n">
        <v>0</v>
      </c>
      <c r="R390" s="2" t="inlineStr"/>
    </row>
    <row r="391" ht="15" customHeight="1">
      <c r="A391" t="inlineStr">
        <is>
          <t>A 11545-2022</t>
        </is>
      </c>
      <c r="B391" s="1" t="n">
        <v>44631.42353009259</v>
      </c>
      <c r="C391" s="1" t="n">
        <v>46082</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60887-2022</t>
        </is>
      </c>
      <c r="B392" s="1" t="n">
        <v>44914</v>
      </c>
      <c r="C392" s="1" t="n">
        <v>46082</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26551-2025</t>
        </is>
      </c>
      <c r="B393" s="1" t="n">
        <v>45807.60333333333</v>
      </c>
      <c r="C393" s="1" t="n">
        <v>46082</v>
      </c>
      <c r="D393" t="inlineStr">
        <is>
          <t>JÄMTLANDS LÄN</t>
        </is>
      </c>
      <c r="E393" t="inlineStr">
        <is>
          <t>HÄRJEDALEN</t>
        </is>
      </c>
      <c r="F393" t="inlineStr">
        <is>
          <t>Holmen skog AB</t>
        </is>
      </c>
      <c r="G393" t="n">
        <v>12.3</v>
      </c>
      <c r="H393" t="n">
        <v>0</v>
      </c>
      <c r="I393" t="n">
        <v>0</v>
      </c>
      <c r="J393" t="n">
        <v>0</v>
      </c>
      <c r="K393" t="n">
        <v>0</v>
      </c>
      <c r="L393" t="n">
        <v>0</v>
      </c>
      <c r="M393" t="n">
        <v>0</v>
      </c>
      <c r="N393" t="n">
        <v>0</v>
      </c>
      <c r="O393" t="n">
        <v>0</v>
      </c>
      <c r="P393" t="n">
        <v>0</v>
      </c>
      <c r="Q393" t="n">
        <v>0</v>
      </c>
      <c r="R393" s="2" t="inlineStr"/>
    </row>
    <row r="394" ht="15" customHeight="1">
      <c r="A394" t="inlineStr">
        <is>
          <t>A 26543-2025</t>
        </is>
      </c>
      <c r="B394" s="1" t="n">
        <v>45807.58868055556</v>
      </c>
      <c r="C394" s="1" t="n">
        <v>46082</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37288-2025</t>
        </is>
      </c>
      <c r="B395" s="1" t="n">
        <v>45876</v>
      </c>
      <c r="C395" s="1" t="n">
        <v>46082</v>
      </c>
      <c r="D395" t="inlineStr">
        <is>
          <t>JÄMTLANDS LÄN</t>
        </is>
      </c>
      <c r="E395" t="inlineStr">
        <is>
          <t>HÄRJEDALEN</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51769-2024</t>
        </is>
      </c>
      <c r="B396" s="1" t="n">
        <v>45607.44832175926</v>
      </c>
      <c r="C396" s="1" t="n">
        <v>46082</v>
      </c>
      <c r="D396" t="inlineStr">
        <is>
          <t>JÄMTLANDS LÄN</t>
        </is>
      </c>
      <c r="E396" t="inlineStr">
        <is>
          <t>HÄRJEDALEN</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26548-2025</t>
        </is>
      </c>
      <c r="B397" s="1" t="n">
        <v>45807.59407407408</v>
      </c>
      <c r="C397" s="1" t="n">
        <v>46082</v>
      </c>
      <c r="D397" t="inlineStr">
        <is>
          <t>JÄMTLANDS LÄN</t>
        </is>
      </c>
      <c r="E397" t="inlineStr">
        <is>
          <t>HÄRJEDALEN</t>
        </is>
      </c>
      <c r="F397" t="inlineStr">
        <is>
          <t>Holmen skog AB</t>
        </is>
      </c>
      <c r="G397" t="n">
        <v>10.5</v>
      </c>
      <c r="H397" t="n">
        <v>0</v>
      </c>
      <c r="I397" t="n">
        <v>0</v>
      </c>
      <c r="J397" t="n">
        <v>0</v>
      </c>
      <c r="K397" t="n">
        <v>0</v>
      </c>
      <c r="L397" t="n">
        <v>0</v>
      </c>
      <c r="M397" t="n">
        <v>0</v>
      </c>
      <c r="N397" t="n">
        <v>0</v>
      </c>
      <c r="O397" t="n">
        <v>0</v>
      </c>
      <c r="P397" t="n">
        <v>0</v>
      </c>
      <c r="Q397" t="n">
        <v>0</v>
      </c>
      <c r="R397" s="2" t="inlineStr"/>
    </row>
    <row r="398" ht="15" customHeight="1">
      <c r="A398" t="inlineStr">
        <is>
          <t>A 26443-2025</t>
        </is>
      </c>
      <c r="B398" s="1" t="n">
        <v>45807.41287037037</v>
      </c>
      <c r="C398" s="1" t="n">
        <v>46082</v>
      </c>
      <c r="D398" t="inlineStr">
        <is>
          <t>JÄMTLANDS LÄN</t>
        </is>
      </c>
      <c r="E398" t="inlineStr">
        <is>
          <t>HÄRJEDALEN</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26451-2025</t>
        </is>
      </c>
      <c r="B399" s="1" t="n">
        <v>45807.42212962963</v>
      </c>
      <c r="C399" s="1" t="n">
        <v>46082</v>
      </c>
      <c r="D399" t="inlineStr">
        <is>
          <t>JÄMTLANDS LÄN</t>
        </is>
      </c>
      <c r="E399" t="inlineStr">
        <is>
          <t>HÄRJEDALEN</t>
        </is>
      </c>
      <c r="F399" t="inlineStr">
        <is>
          <t>Holmen skog AB</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26468-2025</t>
        </is>
      </c>
      <c r="B400" s="1" t="n">
        <v>45807.45288194445</v>
      </c>
      <c r="C400" s="1" t="n">
        <v>46082</v>
      </c>
      <c r="D400" t="inlineStr">
        <is>
          <t>JÄMTLANDS LÄN</t>
        </is>
      </c>
      <c r="E400" t="inlineStr">
        <is>
          <t>HÄRJEDALEN</t>
        </is>
      </c>
      <c r="F400" t="inlineStr">
        <is>
          <t>Holmen skog AB</t>
        </is>
      </c>
      <c r="G400" t="n">
        <v>11.7</v>
      </c>
      <c r="H400" t="n">
        <v>0</v>
      </c>
      <c r="I400" t="n">
        <v>0</v>
      </c>
      <c r="J400" t="n">
        <v>0</v>
      </c>
      <c r="K400" t="n">
        <v>0</v>
      </c>
      <c r="L400" t="n">
        <v>0</v>
      </c>
      <c r="M400" t="n">
        <v>0</v>
      </c>
      <c r="N400" t="n">
        <v>0</v>
      </c>
      <c r="O400" t="n">
        <v>0</v>
      </c>
      <c r="P400" t="n">
        <v>0</v>
      </c>
      <c r="Q400" t="n">
        <v>0</v>
      </c>
      <c r="R400" s="2" t="inlineStr"/>
    </row>
    <row r="401" ht="15" customHeight="1">
      <c r="A401" t="inlineStr">
        <is>
          <t>A 20206-2022</t>
        </is>
      </c>
      <c r="B401" s="1" t="n">
        <v>44698</v>
      </c>
      <c r="C401" s="1" t="n">
        <v>46082</v>
      </c>
      <c r="D401" t="inlineStr">
        <is>
          <t>JÄMTLANDS LÄN</t>
        </is>
      </c>
      <c r="E401" t="inlineStr">
        <is>
          <t>HÄRJEDALEN</t>
        </is>
      </c>
      <c r="F401" t="inlineStr">
        <is>
          <t>Bergvik skog väst AB</t>
        </is>
      </c>
      <c r="G401" t="n">
        <v>5.8</v>
      </c>
      <c r="H401" t="n">
        <v>0</v>
      </c>
      <c r="I401" t="n">
        <v>0</v>
      </c>
      <c r="J401" t="n">
        <v>0</v>
      </c>
      <c r="K401" t="n">
        <v>0</v>
      </c>
      <c r="L401" t="n">
        <v>0</v>
      </c>
      <c r="M401" t="n">
        <v>0</v>
      </c>
      <c r="N401" t="n">
        <v>0</v>
      </c>
      <c r="O401" t="n">
        <v>0</v>
      </c>
      <c r="P401" t="n">
        <v>0</v>
      </c>
      <c r="Q401" t="n">
        <v>0</v>
      </c>
      <c r="R401" s="2" t="inlineStr"/>
    </row>
    <row r="402" ht="15" customHeight="1">
      <c r="A402" t="inlineStr">
        <is>
          <t>A 26495-2025</t>
        </is>
      </c>
      <c r="B402" s="1" t="n">
        <v>45807.49436342593</v>
      </c>
      <c r="C402" s="1" t="n">
        <v>46082</v>
      </c>
      <c r="D402" t="inlineStr">
        <is>
          <t>JÄMTLANDS LÄN</t>
        </is>
      </c>
      <c r="E402" t="inlineStr">
        <is>
          <t>HÄRJEDALEN</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26496-2025</t>
        </is>
      </c>
      <c r="B403" s="1" t="n">
        <v>45807.49832175926</v>
      </c>
      <c r="C403" s="1" t="n">
        <v>46082</v>
      </c>
      <c r="D403" t="inlineStr">
        <is>
          <t>JÄMTLANDS LÄN</t>
        </is>
      </c>
      <c r="E403" t="inlineStr">
        <is>
          <t>HÄRJEDALEN</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54364-2024</t>
        </is>
      </c>
      <c r="B404" s="1" t="n">
        <v>45617</v>
      </c>
      <c r="C404" s="1" t="n">
        <v>46082</v>
      </c>
      <c r="D404" t="inlineStr">
        <is>
          <t>JÄMTLANDS LÄN</t>
        </is>
      </c>
      <c r="E404" t="inlineStr">
        <is>
          <t>HÄRJEDALEN</t>
        </is>
      </c>
      <c r="F404" t="inlineStr">
        <is>
          <t>Holmen skog AB</t>
        </is>
      </c>
      <c r="G404" t="n">
        <v>41.1</v>
      </c>
      <c r="H404" t="n">
        <v>0</v>
      </c>
      <c r="I404" t="n">
        <v>0</v>
      </c>
      <c r="J404" t="n">
        <v>0</v>
      </c>
      <c r="K404" t="n">
        <v>0</v>
      </c>
      <c r="L404" t="n">
        <v>0</v>
      </c>
      <c r="M404" t="n">
        <v>0</v>
      </c>
      <c r="N404" t="n">
        <v>0</v>
      </c>
      <c r="O404" t="n">
        <v>0</v>
      </c>
      <c r="P404" t="n">
        <v>0</v>
      </c>
      <c r="Q404" t="n">
        <v>0</v>
      </c>
      <c r="R404" s="2" t="inlineStr"/>
    </row>
    <row r="405" ht="15" customHeight="1">
      <c r="A405" t="inlineStr">
        <is>
          <t>A 26540-2025</t>
        </is>
      </c>
      <c r="B405" s="1" t="n">
        <v>45807.58393518518</v>
      </c>
      <c r="C405" s="1" t="n">
        <v>46082</v>
      </c>
      <c r="D405" t="inlineStr">
        <is>
          <t>JÄMTLANDS LÄN</t>
        </is>
      </c>
      <c r="E405" t="inlineStr">
        <is>
          <t>HÄRJEDALEN</t>
        </is>
      </c>
      <c r="F405" t="inlineStr">
        <is>
          <t>Holmen skog AB</t>
        </is>
      </c>
      <c r="G405" t="n">
        <v>6</v>
      </c>
      <c r="H405" t="n">
        <v>0</v>
      </c>
      <c r="I405" t="n">
        <v>0</v>
      </c>
      <c r="J405" t="n">
        <v>0</v>
      </c>
      <c r="K405" t="n">
        <v>0</v>
      </c>
      <c r="L405" t="n">
        <v>0</v>
      </c>
      <c r="M405" t="n">
        <v>0</v>
      </c>
      <c r="N405" t="n">
        <v>0</v>
      </c>
      <c r="O405" t="n">
        <v>0</v>
      </c>
      <c r="P405" t="n">
        <v>0</v>
      </c>
      <c r="Q405" t="n">
        <v>0</v>
      </c>
      <c r="R405" s="2" t="inlineStr"/>
    </row>
    <row r="406" ht="15" customHeight="1">
      <c r="A406" t="inlineStr">
        <is>
          <t>A 49792-2023</t>
        </is>
      </c>
      <c r="B406" s="1" t="n">
        <v>45212</v>
      </c>
      <c r="C406" s="1" t="n">
        <v>46082</v>
      </c>
      <c r="D406" t="inlineStr">
        <is>
          <t>JÄMTLANDS LÄN</t>
        </is>
      </c>
      <c r="E406" t="inlineStr">
        <is>
          <t>HÄRJEDALEN</t>
        </is>
      </c>
      <c r="G406" t="n">
        <v>5.6</v>
      </c>
      <c r="H406" t="n">
        <v>0</v>
      </c>
      <c r="I406" t="n">
        <v>0</v>
      </c>
      <c r="J406" t="n">
        <v>0</v>
      </c>
      <c r="K406" t="n">
        <v>0</v>
      </c>
      <c r="L406" t="n">
        <v>0</v>
      </c>
      <c r="M406" t="n">
        <v>0</v>
      </c>
      <c r="N406" t="n">
        <v>0</v>
      </c>
      <c r="O406" t="n">
        <v>0</v>
      </c>
      <c r="P406" t="n">
        <v>0</v>
      </c>
      <c r="Q406" t="n">
        <v>0</v>
      </c>
      <c r="R406" s="2" t="inlineStr"/>
    </row>
    <row r="407" ht="15" customHeight="1">
      <c r="A407" t="inlineStr">
        <is>
          <t>A 26417-2025</t>
        </is>
      </c>
      <c r="B407" s="1" t="n">
        <v>45807.36304398148</v>
      </c>
      <c r="C407" s="1" t="n">
        <v>46082</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26448-2025</t>
        </is>
      </c>
      <c r="B408" s="1" t="n">
        <v>45807.41717592593</v>
      </c>
      <c r="C408" s="1" t="n">
        <v>46082</v>
      </c>
      <c r="D408" t="inlineStr">
        <is>
          <t>JÄMTLANDS LÄN</t>
        </is>
      </c>
      <c r="E408" t="inlineStr">
        <is>
          <t>HÄRJEDALEN</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10340-2023</t>
        </is>
      </c>
      <c r="B409" s="1" t="n">
        <v>44987.34981481481</v>
      </c>
      <c r="C409" s="1" t="n">
        <v>46082</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26462-2025</t>
        </is>
      </c>
      <c r="B410" s="1" t="n">
        <v>45807.43461805556</v>
      </c>
      <c r="C410" s="1" t="n">
        <v>46082</v>
      </c>
      <c r="D410" t="inlineStr">
        <is>
          <t>JÄMTLANDS LÄN</t>
        </is>
      </c>
      <c r="E410" t="inlineStr">
        <is>
          <t>HÄRJEDALEN</t>
        </is>
      </c>
      <c r="F410" t="inlineStr">
        <is>
          <t>Holmen skog AB</t>
        </is>
      </c>
      <c r="G410" t="n">
        <v>4</v>
      </c>
      <c r="H410" t="n">
        <v>0</v>
      </c>
      <c r="I410" t="n">
        <v>0</v>
      </c>
      <c r="J410" t="n">
        <v>0</v>
      </c>
      <c r="K410" t="n">
        <v>0</v>
      </c>
      <c r="L410" t="n">
        <v>0</v>
      </c>
      <c r="M410" t="n">
        <v>0</v>
      </c>
      <c r="N410" t="n">
        <v>0</v>
      </c>
      <c r="O410" t="n">
        <v>0</v>
      </c>
      <c r="P410" t="n">
        <v>0</v>
      </c>
      <c r="Q410" t="n">
        <v>0</v>
      </c>
      <c r="R410" s="2" t="inlineStr"/>
    </row>
    <row r="411" ht="15" customHeight="1">
      <c r="A411" t="inlineStr">
        <is>
          <t>A 26464-2025</t>
        </is>
      </c>
      <c r="B411" s="1" t="n">
        <v>45807.44070601852</v>
      </c>
      <c r="C411" s="1" t="n">
        <v>46082</v>
      </c>
      <c r="D411" t="inlineStr">
        <is>
          <t>JÄMTLANDS LÄN</t>
        </is>
      </c>
      <c r="E411" t="inlineStr">
        <is>
          <t>HÄRJEDALEN</t>
        </is>
      </c>
      <c r="F411" t="inlineStr">
        <is>
          <t>Holmen skog AB</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26466-2025</t>
        </is>
      </c>
      <c r="B412" s="1" t="n">
        <v>45807.44608796296</v>
      </c>
      <c r="C412" s="1" t="n">
        <v>46082</v>
      </c>
      <c r="D412" t="inlineStr">
        <is>
          <t>JÄMTLANDS LÄN</t>
        </is>
      </c>
      <c r="E412" t="inlineStr">
        <is>
          <t>HÄRJEDALEN</t>
        </is>
      </c>
      <c r="F412" t="inlineStr">
        <is>
          <t>Holmen skog AB</t>
        </is>
      </c>
      <c r="G412" t="n">
        <v>4</v>
      </c>
      <c r="H412" t="n">
        <v>0</v>
      </c>
      <c r="I412" t="n">
        <v>0</v>
      </c>
      <c r="J412" t="n">
        <v>0</v>
      </c>
      <c r="K412" t="n">
        <v>0</v>
      </c>
      <c r="L412" t="n">
        <v>0</v>
      </c>
      <c r="M412" t="n">
        <v>0</v>
      </c>
      <c r="N412" t="n">
        <v>0</v>
      </c>
      <c r="O412" t="n">
        <v>0</v>
      </c>
      <c r="P412" t="n">
        <v>0</v>
      </c>
      <c r="Q412" t="n">
        <v>0</v>
      </c>
      <c r="R412" s="2" t="inlineStr"/>
    </row>
    <row r="413" ht="15" customHeight="1">
      <c r="A413" t="inlineStr">
        <is>
          <t>A 26486-2025</t>
        </is>
      </c>
      <c r="B413" s="1" t="n">
        <v>45807.47479166667</v>
      </c>
      <c r="C413" s="1" t="n">
        <v>46082</v>
      </c>
      <c r="D413" t="inlineStr">
        <is>
          <t>JÄMTLANDS LÄN</t>
        </is>
      </c>
      <c r="E413" t="inlineStr">
        <is>
          <t>HÄRJEDALEN</t>
        </is>
      </c>
      <c r="F413" t="inlineStr">
        <is>
          <t>Holmen skog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26493-2025</t>
        </is>
      </c>
      <c r="B414" s="1" t="n">
        <v>45807.49045138889</v>
      </c>
      <c r="C414" s="1" t="n">
        <v>46082</v>
      </c>
      <c r="D414" t="inlineStr">
        <is>
          <t>JÄMTLANDS LÄN</t>
        </is>
      </c>
      <c r="E414" t="inlineStr">
        <is>
          <t>HÄRJEDALEN</t>
        </is>
      </c>
      <c r="F414" t="inlineStr">
        <is>
          <t>Holmen skog AB</t>
        </is>
      </c>
      <c r="G414" t="n">
        <v>4.8</v>
      </c>
      <c r="H414" t="n">
        <v>0</v>
      </c>
      <c r="I414" t="n">
        <v>0</v>
      </c>
      <c r="J414" t="n">
        <v>0</v>
      </c>
      <c r="K414" t="n">
        <v>0</v>
      </c>
      <c r="L414" t="n">
        <v>0</v>
      </c>
      <c r="M414" t="n">
        <v>0</v>
      </c>
      <c r="N414" t="n">
        <v>0</v>
      </c>
      <c r="O414" t="n">
        <v>0</v>
      </c>
      <c r="P414" t="n">
        <v>0</v>
      </c>
      <c r="Q414" t="n">
        <v>0</v>
      </c>
      <c r="R414" s="2" t="inlineStr"/>
    </row>
    <row r="415" ht="15" customHeight="1">
      <c r="A415" t="inlineStr">
        <is>
          <t>A 62719-2022</t>
        </is>
      </c>
      <c r="B415" s="1" t="n">
        <v>44925</v>
      </c>
      <c r="C415" s="1" t="n">
        <v>46082</v>
      </c>
      <c r="D415" t="inlineStr">
        <is>
          <t>JÄMTLANDS LÄN</t>
        </is>
      </c>
      <c r="E415" t="inlineStr">
        <is>
          <t>HÄRJEDALEN</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39140-2025</t>
        </is>
      </c>
      <c r="B416" s="1" t="n">
        <v>45888.59509259259</v>
      </c>
      <c r="C416" s="1" t="n">
        <v>46082</v>
      </c>
      <c r="D416" t="inlineStr">
        <is>
          <t>JÄMTLANDS LÄN</t>
        </is>
      </c>
      <c r="E416" t="inlineStr">
        <is>
          <t>HÄRJEDALEN</t>
        </is>
      </c>
      <c r="G416" t="n">
        <v>14.8</v>
      </c>
      <c r="H416" t="n">
        <v>0</v>
      </c>
      <c r="I416" t="n">
        <v>0</v>
      </c>
      <c r="J416" t="n">
        <v>0</v>
      </c>
      <c r="K416" t="n">
        <v>0</v>
      </c>
      <c r="L416" t="n">
        <v>0</v>
      </c>
      <c r="M416" t="n">
        <v>0</v>
      </c>
      <c r="N416" t="n">
        <v>0</v>
      </c>
      <c r="O416" t="n">
        <v>0</v>
      </c>
      <c r="P416" t="n">
        <v>0</v>
      </c>
      <c r="Q416" t="n">
        <v>0</v>
      </c>
      <c r="R416" s="2" t="inlineStr"/>
    </row>
    <row r="417" ht="15" customHeight="1">
      <c r="A417" t="inlineStr">
        <is>
          <t>A 5098-2025</t>
        </is>
      </c>
      <c r="B417" s="1" t="n">
        <v>45691</v>
      </c>
      <c r="C417" s="1" t="n">
        <v>46082</v>
      </c>
      <c r="D417" t="inlineStr">
        <is>
          <t>JÄMTLANDS LÄN</t>
        </is>
      </c>
      <c r="E417" t="inlineStr">
        <is>
          <t>HÄRJEDALEN</t>
        </is>
      </c>
      <c r="F417" t="inlineStr">
        <is>
          <t>Holmen skog AB</t>
        </is>
      </c>
      <c r="G417" t="n">
        <v>15.2</v>
      </c>
      <c r="H417" t="n">
        <v>0</v>
      </c>
      <c r="I417" t="n">
        <v>0</v>
      </c>
      <c r="J417" t="n">
        <v>0</v>
      </c>
      <c r="K417" t="n">
        <v>0</v>
      </c>
      <c r="L417" t="n">
        <v>0</v>
      </c>
      <c r="M417" t="n">
        <v>0</v>
      </c>
      <c r="N417" t="n">
        <v>0</v>
      </c>
      <c r="O417" t="n">
        <v>0</v>
      </c>
      <c r="P417" t="n">
        <v>0</v>
      </c>
      <c r="Q417" t="n">
        <v>0</v>
      </c>
      <c r="R417" s="2" t="inlineStr"/>
    </row>
    <row r="418" ht="15" customHeight="1">
      <c r="A418" t="inlineStr">
        <is>
          <t>A 5102-2025</t>
        </is>
      </c>
      <c r="B418" s="1" t="n">
        <v>45691</v>
      </c>
      <c r="C418" s="1" t="n">
        <v>46082</v>
      </c>
      <c r="D418" t="inlineStr">
        <is>
          <t>JÄMTLANDS LÄN</t>
        </is>
      </c>
      <c r="E418" t="inlineStr">
        <is>
          <t>HÄRJEDALEN</t>
        </is>
      </c>
      <c r="F418" t="inlineStr">
        <is>
          <t>Holmen skog AB</t>
        </is>
      </c>
      <c r="G418" t="n">
        <v>19.3</v>
      </c>
      <c r="H418" t="n">
        <v>0</v>
      </c>
      <c r="I418" t="n">
        <v>0</v>
      </c>
      <c r="J418" t="n">
        <v>0</v>
      </c>
      <c r="K418" t="n">
        <v>0</v>
      </c>
      <c r="L418" t="n">
        <v>0</v>
      </c>
      <c r="M418" t="n">
        <v>0</v>
      </c>
      <c r="N418" t="n">
        <v>0</v>
      </c>
      <c r="O418" t="n">
        <v>0</v>
      </c>
      <c r="P418" t="n">
        <v>0</v>
      </c>
      <c r="Q418" t="n">
        <v>0</v>
      </c>
      <c r="R418" s="2" t="inlineStr"/>
    </row>
    <row r="419" ht="15" customHeight="1">
      <c r="A419" t="inlineStr">
        <is>
          <t>A 26561-2025</t>
        </is>
      </c>
      <c r="B419" s="1" t="n">
        <v>45807.65438657408</v>
      </c>
      <c r="C419" s="1" t="n">
        <v>46082</v>
      </c>
      <c r="D419" t="inlineStr">
        <is>
          <t>JÄMTLANDS LÄN</t>
        </is>
      </c>
      <c r="E419" t="inlineStr">
        <is>
          <t>HÄRJEDALEN</t>
        </is>
      </c>
      <c r="F419" t="inlineStr">
        <is>
          <t>Holmen skog AB</t>
        </is>
      </c>
      <c r="G419" t="n">
        <v>7.9</v>
      </c>
      <c r="H419" t="n">
        <v>0</v>
      </c>
      <c r="I419" t="n">
        <v>0</v>
      </c>
      <c r="J419" t="n">
        <v>0</v>
      </c>
      <c r="K419" t="n">
        <v>0</v>
      </c>
      <c r="L419" t="n">
        <v>0</v>
      </c>
      <c r="M419" t="n">
        <v>0</v>
      </c>
      <c r="N419" t="n">
        <v>0</v>
      </c>
      <c r="O419" t="n">
        <v>0</v>
      </c>
      <c r="P419" t="n">
        <v>0</v>
      </c>
      <c r="Q419" t="n">
        <v>0</v>
      </c>
      <c r="R419" s="2" t="inlineStr"/>
    </row>
    <row r="420" ht="15" customHeight="1">
      <c r="A420" t="inlineStr">
        <is>
          <t>A 26404-2025</t>
        </is>
      </c>
      <c r="B420" s="1" t="n">
        <v>45807.3409837963</v>
      </c>
      <c r="C420" s="1" t="n">
        <v>46082</v>
      </c>
      <c r="D420" t="inlineStr">
        <is>
          <t>JÄMTLANDS LÄN</t>
        </is>
      </c>
      <c r="E420" t="inlineStr">
        <is>
          <t>HÄRJEDALEN</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26411-2025</t>
        </is>
      </c>
      <c r="B421" s="1" t="n">
        <v>45807.35476851852</v>
      </c>
      <c r="C421" s="1" t="n">
        <v>46082</v>
      </c>
      <c r="D421" t="inlineStr">
        <is>
          <t>JÄMTLANDS LÄN</t>
        </is>
      </c>
      <c r="E421" t="inlineStr">
        <is>
          <t>HÄRJEDALEN</t>
        </is>
      </c>
      <c r="F421" t="inlineStr">
        <is>
          <t>Holmen skog AB</t>
        </is>
      </c>
      <c r="G421" t="n">
        <v>12.4</v>
      </c>
      <c r="H421" t="n">
        <v>0</v>
      </c>
      <c r="I421" t="n">
        <v>0</v>
      </c>
      <c r="J421" t="n">
        <v>0</v>
      </c>
      <c r="K421" t="n">
        <v>0</v>
      </c>
      <c r="L421" t="n">
        <v>0</v>
      </c>
      <c r="M421" t="n">
        <v>0</v>
      </c>
      <c r="N421" t="n">
        <v>0</v>
      </c>
      <c r="O421" t="n">
        <v>0</v>
      </c>
      <c r="P421" t="n">
        <v>0</v>
      </c>
      <c r="Q421" t="n">
        <v>0</v>
      </c>
      <c r="R421" s="2" t="inlineStr"/>
    </row>
    <row r="422" ht="15" customHeight="1">
      <c r="A422" t="inlineStr">
        <is>
          <t>A 26518-2025</t>
        </is>
      </c>
      <c r="B422" s="1" t="n">
        <v>45807.55893518519</v>
      </c>
      <c r="C422" s="1" t="n">
        <v>46082</v>
      </c>
      <c r="D422" t="inlineStr">
        <is>
          <t>JÄMTLANDS LÄN</t>
        </is>
      </c>
      <c r="E422" t="inlineStr">
        <is>
          <t>HÄRJEDALEN</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26528-2025</t>
        </is>
      </c>
      <c r="B423" s="1" t="n">
        <v>45807.5684375</v>
      </c>
      <c r="C423" s="1" t="n">
        <v>46082</v>
      </c>
      <c r="D423" t="inlineStr">
        <is>
          <t>JÄMTLANDS LÄN</t>
        </is>
      </c>
      <c r="E423" t="inlineStr">
        <is>
          <t>HÄRJEDALEN</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38898-2025</t>
        </is>
      </c>
      <c r="B424" s="1" t="n">
        <v>45887.59913194444</v>
      </c>
      <c r="C424" s="1" t="n">
        <v>46082</v>
      </c>
      <c r="D424" t="inlineStr">
        <is>
          <t>JÄMTLANDS LÄN</t>
        </is>
      </c>
      <c r="E424" t="inlineStr">
        <is>
          <t>HÄRJEDALEN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26523-2025</t>
        </is>
      </c>
      <c r="B425" s="1" t="n">
        <v>45807.56403935186</v>
      </c>
      <c r="C425" s="1" t="n">
        <v>46082</v>
      </c>
      <c r="D425" t="inlineStr">
        <is>
          <t>JÄMTLANDS LÄN</t>
        </is>
      </c>
      <c r="E425" t="inlineStr">
        <is>
          <t>HÄRJEDALEN</t>
        </is>
      </c>
      <c r="F425" t="inlineStr">
        <is>
          <t>Holmen skog AB</t>
        </is>
      </c>
      <c r="G425" t="n">
        <v>7.4</v>
      </c>
      <c r="H425" t="n">
        <v>0</v>
      </c>
      <c r="I425" t="n">
        <v>0</v>
      </c>
      <c r="J425" t="n">
        <v>0</v>
      </c>
      <c r="K425" t="n">
        <v>0</v>
      </c>
      <c r="L425" t="n">
        <v>0</v>
      </c>
      <c r="M425" t="n">
        <v>0</v>
      </c>
      <c r="N425" t="n">
        <v>0</v>
      </c>
      <c r="O425" t="n">
        <v>0</v>
      </c>
      <c r="P425" t="n">
        <v>0</v>
      </c>
      <c r="Q425" t="n">
        <v>0</v>
      </c>
      <c r="R425" s="2" t="inlineStr"/>
    </row>
    <row r="426" ht="15" customHeight="1">
      <c r="A426" t="inlineStr">
        <is>
          <t>A 5630-2024</t>
        </is>
      </c>
      <c r="B426" s="1" t="n">
        <v>45334</v>
      </c>
      <c r="C426" s="1" t="n">
        <v>46082</v>
      </c>
      <c r="D426" t="inlineStr">
        <is>
          <t>JÄMTLANDS LÄN</t>
        </is>
      </c>
      <c r="E426" t="inlineStr">
        <is>
          <t>HÄRJEDALEN</t>
        </is>
      </c>
      <c r="F426" t="inlineStr">
        <is>
          <t>Övriga statliga verk och myndigheter</t>
        </is>
      </c>
      <c r="G426" t="n">
        <v>5.4</v>
      </c>
      <c r="H426" t="n">
        <v>0</v>
      </c>
      <c r="I426" t="n">
        <v>0</v>
      </c>
      <c r="J426" t="n">
        <v>0</v>
      </c>
      <c r="K426" t="n">
        <v>0</v>
      </c>
      <c r="L426" t="n">
        <v>0</v>
      </c>
      <c r="M426" t="n">
        <v>0</v>
      </c>
      <c r="N426" t="n">
        <v>0</v>
      </c>
      <c r="O426" t="n">
        <v>0</v>
      </c>
      <c r="P426" t="n">
        <v>0</v>
      </c>
      <c r="Q426" t="n">
        <v>0</v>
      </c>
      <c r="R426" s="2" t="inlineStr"/>
    </row>
    <row r="427" ht="15" customHeight="1">
      <c r="A427" t="inlineStr">
        <is>
          <t>A 4128-2025</t>
        </is>
      </c>
      <c r="B427" s="1" t="n">
        <v>45685</v>
      </c>
      <c r="C427" s="1" t="n">
        <v>46082</v>
      </c>
      <c r="D427" t="inlineStr">
        <is>
          <t>JÄMTLANDS LÄN</t>
        </is>
      </c>
      <c r="E427" t="inlineStr">
        <is>
          <t>HÄRJEDALEN</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38507-2024</t>
        </is>
      </c>
      <c r="B428" s="1" t="n">
        <v>45546.54530092593</v>
      </c>
      <c r="C428" s="1" t="n">
        <v>46082</v>
      </c>
      <c r="D428" t="inlineStr">
        <is>
          <t>JÄMTLANDS LÄN</t>
        </is>
      </c>
      <c r="E428" t="inlineStr">
        <is>
          <t>HÄRJEDALEN</t>
        </is>
      </c>
      <c r="G428" t="n">
        <v>6.4</v>
      </c>
      <c r="H428" t="n">
        <v>0</v>
      </c>
      <c r="I428" t="n">
        <v>0</v>
      </c>
      <c r="J428" t="n">
        <v>0</v>
      </c>
      <c r="K428" t="n">
        <v>0</v>
      </c>
      <c r="L428" t="n">
        <v>0</v>
      </c>
      <c r="M428" t="n">
        <v>0</v>
      </c>
      <c r="N428" t="n">
        <v>0</v>
      </c>
      <c r="O428" t="n">
        <v>0</v>
      </c>
      <c r="P428" t="n">
        <v>0</v>
      </c>
      <c r="Q428" t="n">
        <v>0</v>
      </c>
      <c r="R428" s="2" t="inlineStr"/>
    </row>
    <row r="429" ht="15" customHeight="1">
      <c r="A429" t="inlineStr">
        <is>
          <t>A 64485-2023</t>
        </is>
      </c>
      <c r="B429" s="1" t="n">
        <v>45280</v>
      </c>
      <c r="C429" s="1" t="n">
        <v>46082</v>
      </c>
      <c r="D429" t="inlineStr">
        <is>
          <t>JÄMTLANDS LÄN</t>
        </is>
      </c>
      <c r="E429" t="inlineStr">
        <is>
          <t>HÄRJEDALEN</t>
        </is>
      </c>
      <c r="G429" t="n">
        <v>21.3</v>
      </c>
      <c r="H429" t="n">
        <v>0</v>
      </c>
      <c r="I429" t="n">
        <v>0</v>
      </c>
      <c r="J429" t="n">
        <v>0</v>
      </c>
      <c r="K429" t="n">
        <v>0</v>
      </c>
      <c r="L429" t="n">
        <v>0</v>
      </c>
      <c r="M429" t="n">
        <v>0</v>
      </c>
      <c r="N429" t="n">
        <v>0</v>
      </c>
      <c r="O429" t="n">
        <v>0</v>
      </c>
      <c r="P429" t="n">
        <v>0</v>
      </c>
      <c r="Q429" t="n">
        <v>0</v>
      </c>
      <c r="R429" s="2" t="inlineStr"/>
    </row>
    <row r="430" ht="15" customHeight="1">
      <c r="A430" t="inlineStr">
        <is>
          <t>A 26905-2025</t>
        </is>
      </c>
      <c r="B430" s="1" t="n">
        <v>45811.34540509259</v>
      </c>
      <c r="C430" s="1" t="n">
        <v>46082</v>
      </c>
      <c r="D430" t="inlineStr">
        <is>
          <t>JÄMTLANDS LÄN</t>
        </is>
      </c>
      <c r="E430" t="inlineStr">
        <is>
          <t>HÄRJEDALEN</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31920-2024</t>
        </is>
      </c>
      <c r="B431" s="1" t="n">
        <v>45510</v>
      </c>
      <c r="C431" s="1" t="n">
        <v>46082</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43287-2024</t>
        </is>
      </c>
      <c r="B432" s="1" t="n">
        <v>45568</v>
      </c>
      <c r="C432" s="1" t="n">
        <v>46082</v>
      </c>
      <c r="D432" t="inlineStr">
        <is>
          <t>JÄMTLANDS LÄN</t>
        </is>
      </c>
      <c r="E432" t="inlineStr">
        <is>
          <t>HÄRJEDALEN</t>
        </is>
      </c>
      <c r="F432" t="inlineStr">
        <is>
          <t>SCA</t>
        </is>
      </c>
      <c r="G432" t="n">
        <v>19.7</v>
      </c>
      <c r="H432" t="n">
        <v>0</v>
      </c>
      <c r="I432" t="n">
        <v>0</v>
      </c>
      <c r="J432" t="n">
        <v>0</v>
      </c>
      <c r="K432" t="n">
        <v>0</v>
      </c>
      <c r="L432" t="n">
        <v>0</v>
      </c>
      <c r="M432" t="n">
        <v>0</v>
      </c>
      <c r="N432" t="n">
        <v>0</v>
      </c>
      <c r="O432" t="n">
        <v>0</v>
      </c>
      <c r="P432" t="n">
        <v>0</v>
      </c>
      <c r="Q432" t="n">
        <v>0</v>
      </c>
      <c r="R432" s="2" t="inlineStr"/>
    </row>
    <row r="433" ht="15" customHeight="1">
      <c r="A433" t="inlineStr">
        <is>
          <t>A 56182-2024</t>
        </is>
      </c>
      <c r="B433" s="1" t="n">
        <v>45624.57098379629</v>
      </c>
      <c r="C433" s="1" t="n">
        <v>46082</v>
      </c>
      <c r="D433" t="inlineStr">
        <is>
          <t>JÄMTLANDS LÄN</t>
        </is>
      </c>
      <c r="E433" t="inlineStr">
        <is>
          <t>HÄRJEDALEN</t>
        </is>
      </c>
      <c r="G433" t="n">
        <v>9</v>
      </c>
      <c r="H433" t="n">
        <v>0</v>
      </c>
      <c r="I433" t="n">
        <v>0</v>
      </c>
      <c r="J433" t="n">
        <v>0</v>
      </c>
      <c r="K433" t="n">
        <v>0</v>
      </c>
      <c r="L433" t="n">
        <v>0</v>
      </c>
      <c r="M433" t="n">
        <v>0</v>
      </c>
      <c r="N433" t="n">
        <v>0</v>
      </c>
      <c r="O433" t="n">
        <v>0</v>
      </c>
      <c r="P433" t="n">
        <v>0</v>
      </c>
      <c r="Q433" t="n">
        <v>0</v>
      </c>
      <c r="R433" s="2" t="inlineStr"/>
    </row>
    <row r="434" ht="15" customHeight="1">
      <c r="A434" t="inlineStr">
        <is>
          <t>A 16842-2025</t>
        </is>
      </c>
      <c r="B434" s="1" t="n">
        <v>45754.67329861111</v>
      </c>
      <c r="C434" s="1" t="n">
        <v>46082</v>
      </c>
      <c r="D434" t="inlineStr">
        <is>
          <t>JÄMTLANDS LÄN</t>
        </is>
      </c>
      <c r="E434" t="inlineStr">
        <is>
          <t>HÄRJEDALEN</t>
        </is>
      </c>
      <c r="G434" t="n">
        <v>18.6</v>
      </c>
      <c r="H434" t="n">
        <v>0</v>
      </c>
      <c r="I434" t="n">
        <v>0</v>
      </c>
      <c r="J434" t="n">
        <v>0</v>
      </c>
      <c r="K434" t="n">
        <v>0</v>
      </c>
      <c r="L434" t="n">
        <v>0</v>
      </c>
      <c r="M434" t="n">
        <v>0</v>
      </c>
      <c r="N434" t="n">
        <v>0</v>
      </c>
      <c r="O434" t="n">
        <v>0</v>
      </c>
      <c r="P434" t="n">
        <v>0</v>
      </c>
      <c r="Q434" t="n">
        <v>0</v>
      </c>
      <c r="R434" s="2" t="inlineStr"/>
    </row>
    <row r="435" ht="15" customHeight="1">
      <c r="A435" t="inlineStr">
        <is>
          <t>A 55669-2024</t>
        </is>
      </c>
      <c r="B435" s="1" t="n">
        <v>45622.64627314815</v>
      </c>
      <c r="C435" s="1" t="n">
        <v>46082</v>
      </c>
      <c r="D435" t="inlineStr">
        <is>
          <t>JÄMTLANDS LÄN</t>
        </is>
      </c>
      <c r="E435" t="inlineStr">
        <is>
          <t>HÄRJEDALEN</t>
        </is>
      </c>
      <c r="G435" t="n">
        <v>1.7</v>
      </c>
      <c r="H435" t="n">
        <v>0</v>
      </c>
      <c r="I435" t="n">
        <v>0</v>
      </c>
      <c r="J435" t="n">
        <v>0</v>
      </c>
      <c r="K435" t="n">
        <v>0</v>
      </c>
      <c r="L435" t="n">
        <v>0</v>
      </c>
      <c r="M435" t="n">
        <v>0</v>
      </c>
      <c r="N435" t="n">
        <v>0</v>
      </c>
      <c r="O435" t="n">
        <v>0</v>
      </c>
      <c r="P435" t="n">
        <v>0</v>
      </c>
      <c r="Q435" t="n">
        <v>0</v>
      </c>
      <c r="R435" s="2" t="inlineStr"/>
    </row>
    <row r="436" ht="15" customHeight="1">
      <c r="A436" t="inlineStr">
        <is>
          <t>A 39211-2025</t>
        </is>
      </c>
      <c r="B436" s="1" t="n">
        <v>45888.78539351852</v>
      </c>
      <c r="C436" s="1" t="n">
        <v>46082</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30411-2023</t>
        </is>
      </c>
      <c r="B437" s="1" t="n">
        <v>45111</v>
      </c>
      <c r="C437" s="1" t="n">
        <v>46082</v>
      </c>
      <c r="D437" t="inlineStr">
        <is>
          <t>JÄMTLANDS LÄN</t>
        </is>
      </c>
      <c r="E437" t="inlineStr">
        <is>
          <t>HÄRJEDALEN</t>
        </is>
      </c>
      <c r="F437" t="inlineStr">
        <is>
          <t>Bergvik skog väst AB</t>
        </is>
      </c>
      <c r="G437" t="n">
        <v>28.3</v>
      </c>
      <c r="H437" t="n">
        <v>0</v>
      </c>
      <c r="I437" t="n">
        <v>0</v>
      </c>
      <c r="J437" t="n">
        <v>0</v>
      </c>
      <c r="K437" t="n">
        <v>0</v>
      </c>
      <c r="L437" t="n">
        <v>0</v>
      </c>
      <c r="M437" t="n">
        <v>0</v>
      </c>
      <c r="N437" t="n">
        <v>0</v>
      </c>
      <c r="O437" t="n">
        <v>0</v>
      </c>
      <c r="P437" t="n">
        <v>0</v>
      </c>
      <c r="Q437" t="n">
        <v>0</v>
      </c>
      <c r="R437" s="2" t="inlineStr"/>
    </row>
    <row r="438" ht="15" customHeight="1">
      <c r="A438" t="inlineStr">
        <is>
          <t>A 4590-2025</t>
        </is>
      </c>
      <c r="B438" s="1" t="n">
        <v>45687.53689814815</v>
      </c>
      <c r="C438" s="1" t="n">
        <v>46082</v>
      </c>
      <c r="D438" t="inlineStr">
        <is>
          <t>JÄMTLANDS LÄN</t>
        </is>
      </c>
      <c r="E438" t="inlineStr">
        <is>
          <t>HÄRJEDALEN</t>
        </is>
      </c>
      <c r="G438" t="n">
        <v>3.6</v>
      </c>
      <c r="H438" t="n">
        <v>0</v>
      </c>
      <c r="I438" t="n">
        <v>0</v>
      </c>
      <c r="J438" t="n">
        <v>0</v>
      </c>
      <c r="K438" t="n">
        <v>0</v>
      </c>
      <c r="L438" t="n">
        <v>0</v>
      </c>
      <c r="M438" t="n">
        <v>0</v>
      </c>
      <c r="N438" t="n">
        <v>0</v>
      </c>
      <c r="O438" t="n">
        <v>0</v>
      </c>
      <c r="P438" t="n">
        <v>0</v>
      </c>
      <c r="Q438" t="n">
        <v>0</v>
      </c>
      <c r="R438" s="2" t="inlineStr"/>
    </row>
    <row r="439" ht="15" customHeight="1">
      <c r="A439" t="inlineStr">
        <is>
          <t>A 27679-2025</t>
        </is>
      </c>
      <c r="B439" s="1" t="n">
        <v>45813.64590277777</v>
      </c>
      <c r="C439" s="1" t="n">
        <v>46082</v>
      </c>
      <c r="D439" t="inlineStr">
        <is>
          <t>JÄMTLANDS LÄN</t>
        </is>
      </c>
      <c r="E439" t="inlineStr">
        <is>
          <t>HÄRJEDALEN</t>
        </is>
      </c>
      <c r="G439" t="n">
        <v>13.9</v>
      </c>
      <c r="H439" t="n">
        <v>0</v>
      </c>
      <c r="I439" t="n">
        <v>0</v>
      </c>
      <c r="J439" t="n">
        <v>0</v>
      </c>
      <c r="K439" t="n">
        <v>0</v>
      </c>
      <c r="L439" t="n">
        <v>0</v>
      </c>
      <c r="M439" t="n">
        <v>0</v>
      </c>
      <c r="N439" t="n">
        <v>0</v>
      </c>
      <c r="O439" t="n">
        <v>0</v>
      </c>
      <c r="P439" t="n">
        <v>0</v>
      </c>
      <c r="Q439" t="n">
        <v>0</v>
      </c>
      <c r="R439" s="2" t="inlineStr"/>
    </row>
    <row r="440" ht="15" customHeight="1">
      <c r="A440" t="inlineStr">
        <is>
          <t>A 27553-2025</t>
        </is>
      </c>
      <c r="B440" s="1" t="n">
        <v>45813.47074074074</v>
      </c>
      <c r="C440" s="1" t="n">
        <v>46082</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19677-2024</t>
        </is>
      </c>
      <c r="B441" s="1" t="n">
        <v>45432</v>
      </c>
      <c r="C441" s="1" t="n">
        <v>46082</v>
      </c>
      <c r="D441" t="inlineStr">
        <is>
          <t>JÄMTLANDS LÄN</t>
        </is>
      </c>
      <c r="E441" t="inlineStr">
        <is>
          <t>HÄRJEDALEN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39290-2025</t>
        </is>
      </c>
      <c r="B442" s="1" t="n">
        <v>45889.40916666666</v>
      </c>
      <c r="C442" s="1" t="n">
        <v>46082</v>
      </c>
      <c r="D442" t="inlineStr">
        <is>
          <t>JÄMTLANDS LÄN</t>
        </is>
      </c>
      <c r="E442" t="inlineStr">
        <is>
          <t>HÄRJEDALEN</t>
        </is>
      </c>
      <c r="G442" t="n">
        <v>10.9</v>
      </c>
      <c r="H442" t="n">
        <v>0</v>
      </c>
      <c r="I442" t="n">
        <v>0</v>
      </c>
      <c r="J442" t="n">
        <v>0</v>
      </c>
      <c r="K442" t="n">
        <v>0</v>
      </c>
      <c r="L442" t="n">
        <v>0</v>
      </c>
      <c r="M442" t="n">
        <v>0</v>
      </c>
      <c r="N442" t="n">
        <v>0</v>
      </c>
      <c r="O442" t="n">
        <v>0</v>
      </c>
      <c r="P442" t="n">
        <v>0</v>
      </c>
      <c r="Q442" t="n">
        <v>0</v>
      </c>
      <c r="R442" s="2" t="inlineStr"/>
    </row>
    <row r="443" ht="15" customHeight="1">
      <c r="A443" t="inlineStr">
        <is>
          <t>A 39291-2025</t>
        </is>
      </c>
      <c r="B443" s="1" t="n">
        <v>45889.41715277778</v>
      </c>
      <c r="C443" s="1" t="n">
        <v>46082</v>
      </c>
      <c r="D443" t="inlineStr">
        <is>
          <t>JÄMTLANDS LÄN</t>
        </is>
      </c>
      <c r="E443" t="inlineStr">
        <is>
          <t>HÄRJEDALEN</t>
        </is>
      </c>
      <c r="G443" t="n">
        <v>2.7</v>
      </c>
      <c r="H443" t="n">
        <v>0</v>
      </c>
      <c r="I443" t="n">
        <v>0</v>
      </c>
      <c r="J443" t="n">
        <v>0</v>
      </c>
      <c r="K443" t="n">
        <v>0</v>
      </c>
      <c r="L443" t="n">
        <v>0</v>
      </c>
      <c r="M443" t="n">
        <v>0</v>
      </c>
      <c r="N443" t="n">
        <v>0</v>
      </c>
      <c r="O443" t="n">
        <v>0</v>
      </c>
      <c r="P443" t="n">
        <v>0</v>
      </c>
      <c r="Q443" t="n">
        <v>0</v>
      </c>
      <c r="R443" s="2" t="inlineStr"/>
    </row>
    <row r="444" ht="15" customHeight="1">
      <c r="A444" t="inlineStr">
        <is>
          <t>A 1954-2023</t>
        </is>
      </c>
      <c r="B444" s="1" t="n">
        <v>44939.45376157408</v>
      </c>
      <c r="C444" s="1" t="n">
        <v>46082</v>
      </c>
      <c r="D444" t="inlineStr">
        <is>
          <t>JÄMTLANDS LÄN</t>
        </is>
      </c>
      <c r="E444" t="inlineStr">
        <is>
          <t>HÄRJEDALEN</t>
        </is>
      </c>
      <c r="G444" t="n">
        <v>0.6</v>
      </c>
      <c r="H444" t="n">
        <v>0</v>
      </c>
      <c r="I444" t="n">
        <v>0</v>
      </c>
      <c r="J444" t="n">
        <v>0</v>
      </c>
      <c r="K444" t="n">
        <v>0</v>
      </c>
      <c r="L444" t="n">
        <v>0</v>
      </c>
      <c r="M444" t="n">
        <v>0</v>
      </c>
      <c r="N444" t="n">
        <v>0</v>
      </c>
      <c r="O444" t="n">
        <v>0</v>
      </c>
      <c r="P444" t="n">
        <v>0</v>
      </c>
      <c r="Q444" t="n">
        <v>0</v>
      </c>
      <c r="R444" s="2" t="inlineStr"/>
    </row>
    <row r="445" ht="15" customHeight="1">
      <c r="A445" t="inlineStr">
        <is>
          <t>A 27565-2025</t>
        </is>
      </c>
      <c r="B445" s="1" t="n">
        <v>45813.48734953703</v>
      </c>
      <c r="C445" s="1" t="n">
        <v>46082</v>
      </c>
      <c r="D445" t="inlineStr">
        <is>
          <t>JÄMTLANDS LÄN</t>
        </is>
      </c>
      <c r="E445" t="inlineStr">
        <is>
          <t>HÄRJEDALEN</t>
        </is>
      </c>
      <c r="G445" t="n">
        <v>2.1</v>
      </c>
      <c r="H445" t="n">
        <v>0</v>
      </c>
      <c r="I445" t="n">
        <v>0</v>
      </c>
      <c r="J445" t="n">
        <v>0</v>
      </c>
      <c r="K445" t="n">
        <v>0</v>
      </c>
      <c r="L445" t="n">
        <v>0</v>
      </c>
      <c r="M445" t="n">
        <v>0</v>
      </c>
      <c r="N445" t="n">
        <v>0</v>
      </c>
      <c r="O445" t="n">
        <v>0</v>
      </c>
      <c r="P445" t="n">
        <v>0</v>
      </c>
      <c r="Q445" t="n">
        <v>0</v>
      </c>
      <c r="R445" s="2" t="inlineStr"/>
    </row>
    <row r="446" ht="15" customHeight="1">
      <c r="A446" t="inlineStr">
        <is>
          <t>A 16176-2024</t>
        </is>
      </c>
      <c r="B446" s="1" t="n">
        <v>45406.64024305555</v>
      </c>
      <c r="C446" s="1" t="n">
        <v>46082</v>
      </c>
      <c r="D446" t="inlineStr">
        <is>
          <t>JÄMTLANDS LÄN</t>
        </is>
      </c>
      <c r="E446" t="inlineStr">
        <is>
          <t>HÄRJEDALEN</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11818-2023</t>
        </is>
      </c>
      <c r="B447" s="1" t="n">
        <v>44994</v>
      </c>
      <c r="C447" s="1" t="n">
        <v>46082</v>
      </c>
      <c r="D447" t="inlineStr">
        <is>
          <t>JÄMTLANDS LÄN</t>
        </is>
      </c>
      <c r="E447" t="inlineStr">
        <is>
          <t>HÄRJEDALEN</t>
        </is>
      </c>
      <c r="G447" t="n">
        <v>8.9</v>
      </c>
      <c r="H447" t="n">
        <v>0</v>
      </c>
      <c r="I447" t="n">
        <v>0</v>
      </c>
      <c r="J447" t="n">
        <v>0</v>
      </c>
      <c r="K447" t="n">
        <v>0</v>
      </c>
      <c r="L447" t="n">
        <v>0</v>
      </c>
      <c r="M447" t="n">
        <v>0</v>
      </c>
      <c r="N447" t="n">
        <v>0</v>
      </c>
      <c r="O447" t="n">
        <v>0</v>
      </c>
      <c r="P447" t="n">
        <v>0</v>
      </c>
      <c r="Q447" t="n">
        <v>0</v>
      </c>
      <c r="R447" s="2" t="inlineStr"/>
    </row>
    <row r="448" ht="15" customHeight="1">
      <c r="A448" t="inlineStr">
        <is>
          <t>A 1398-2024</t>
        </is>
      </c>
      <c r="B448" s="1" t="n">
        <v>45303</v>
      </c>
      <c r="C448" s="1" t="n">
        <v>46082</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45363-2024</t>
        </is>
      </c>
      <c r="B449" s="1" t="n">
        <v>45576.48657407407</v>
      </c>
      <c r="C449" s="1" t="n">
        <v>46082</v>
      </c>
      <c r="D449" t="inlineStr">
        <is>
          <t>JÄMTLANDS LÄN</t>
        </is>
      </c>
      <c r="E449" t="inlineStr">
        <is>
          <t>HÄRJEDALEN</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46082</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46082</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31586-2024</t>
        </is>
      </c>
      <c r="B452" s="1" t="n">
        <v>45506.3637962963</v>
      </c>
      <c r="C452" s="1" t="n">
        <v>46082</v>
      </c>
      <c r="D452" t="inlineStr">
        <is>
          <t>JÄMTLANDS LÄN</t>
        </is>
      </c>
      <c r="E452" t="inlineStr">
        <is>
          <t>HÄRJEDALEN</t>
        </is>
      </c>
      <c r="G452" t="n">
        <v>9</v>
      </c>
      <c r="H452" t="n">
        <v>0</v>
      </c>
      <c r="I452" t="n">
        <v>0</v>
      </c>
      <c r="J452" t="n">
        <v>0</v>
      </c>
      <c r="K452" t="n">
        <v>0</v>
      </c>
      <c r="L452" t="n">
        <v>0</v>
      </c>
      <c r="M452" t="n">
        <v>0</v>
      </c>
      <c r="N452" t="n">
        <v>0</v>
      </c>
      <c r="O452" t="n">
        <v>0</v>
      </c>
      <c r="P452" t="n">
        <v>0</v>
      </c>
      <c r="Q452" t="n">
        <v>0</v>
      </c>
      <c r="R452" s="2" t="inlineStr"/>
    </row>
    <row r="453" ht="15" customHeight="1">
      <c r="A453" t="inlineStr">
        <is>
          <t>A 41604-2024</t>
        </is>
      </c>
      <c r="B453" s="1" t="n">
        <v>45560</v>
      </c>
      <c r="C453" s="1" t="n">
        <v>46082</v>
      </c>
      <c r="D453" t="inlineStr">
        <is>
          <t>JÄMTLANDS LÄN</t>
        </is>
      </c>
      <c r="E453" t="inlineStr">
        <is>
          <t>HÄRJEDALEN</t>
        </is>
      </c>
      <c r="G453" t="n">
        <v>6.3</v>
      </c>
      <c r="H453" t="n">
        <v>0</v>
      </c>
      <c r="I453" t="n">
        <v>0</v>
      </c>
      <c r="J453" t="n">
        <v>0</v>
      </c>
      <c r="K453" t="n">
        <v>0</v>
      </c>
      <c r="L453" t="n">
        <v>0</v>
      </c>
      <c r="M453" t="n">
        <v>0</v>
      </c>
      <c r="N453" t="n">
        <v>0</v>
      </c>
      <c r="O453" t="n">
        <v>0</v>
      </c>
      <c r="P453" t="n">
        <v>0</v>
      </c>
      <c r="Q453" t="n">
        <v>0</v>
      </c>
      <c r="R453" s="2" t="inlineStr"/>
    </row>
    <row r="454" ht="15" customHeight="1">
      <c r="A454" t="inlineStr">
        <is>
          <t>A 39963-2025</t>
        </is>
      </c>
      <c r="B454" s="1" t="n">
        <v>45892.53184027778</v>
      </c>
      <c r="C454" s="1" t="n">
        <v>46082</v>
      </c>
      <c r="D454" t="inlineStr">
        <is>
          <t>JÄMTLANDS LÄN</t>
        </is>
      </c>
      <c r="E454" t="inlineStr">
        <is>
          <t>HÄRJEDALEN</t>
        </is>
      </c>
      <c r="G454" t="n">
        <v>33.9</v>
      </c>
      <c r="H454" t="n">
        <v>0</v>
      </c>
      <c r="I454" t="n">
        <v>0</v>
      </c>
      <c r="J454" t="n">
        <v>0</v>
      </c>
      <c r="K454" t="n">
        <v>0</v>
      </c>
      <c r="L454" t="n">
        <v>0</v>
      </c>
      <c r="M454" t="n">
        <v>0</v>
      </c>
      <c r="N454" t="n">
        <v>0</v>
      </c>
      <c r="O454" t="n">
        <v>0</v>
      </c>
      <c r="P454" t="n">
        <v>0</v>
      </c>
      <c r="Q454" t="n">
        <v>0</v>
      </c>
      <c r="R454" s="2" t="inlineStr"/>
    </row>
    <row r="455" ht="15" customHeight="1">
      <c r="A455" t="inlineStr">
        <is>
          <t>A 61571-2022</t>
        </is>
      </c>
      <c r="B455" s="1" t="n">
        <v>44916</v>
      </c>
      <c r="C455" s="1" t="n">
        <v>46082</v>
      </c>
      <c r="D455" t="inlineStr">
        <is>
          <t>JÄMTLANDS LÄN</t>
        </is>
      </c>
      <c r="E455" t="inlineStr">
        <is>
          <t>HÄRJEDALEN</t>
        </is>
      </c>
      <c r="G455" t="n">
        <v>3.4</v>
      </c>
      <c r="H455" t="n">
        <v>0</v>
      </c>
      <c r="I455" t="n">
        <v>0</v>
      </c>
      <c r="J455" t="n">
        <v>0</v>
      </c>
      <c r="K455" t="n">
        <v>0</v>
      </c>
      <c r="L455" t="n">
        <v>0</v>
      </c>
      <c r="M455" t="n">
        <v>0</v>
      </c>
      <c r="N455" t="n">
        <v>0</v>
      </c>
      <c r="O455" t="n">
        <v>0</v>
      </c>
      <c r="P455" t="n">
        <v>0</v>
      </c>
      <c r="Q455" t="n">
        <v>0</v>
      </c>
      <c r="R455" s="2" t="inlineStr"/>
    </row>
    <row r="456" ht="15" customHeight="1">
      <c r="A456" t="inlineStr">
        <is>
          <t>A 45409-2021</t>
        </is>
      </c>
      <c r="B456" s="1" t="n">
        <v>44440</v>
      </c>
      <c r="C456" s="1" t="n">
        <v>46082</v>
      </c>
      <c r="D456" t="inlineStr">
        <is>
          <t>JÄMTLANDS LÄN</t>
        </is>
      </c>
      <c r="E456" t="inlineStr">
        <is>
          <t>HÄRJEDALEN</t>
        </is>
      </c>
      <c r="G456" t="n">
        <v>18.9</v>
      </c>
      <c r="H456" t="n">
        <v>0</v>
      </c>
      <c r="I456" t="n">
        <v>0</v>
      </c>
      <c r="J456" t="n">
        <v>0</v>
      </c>
      <c r="K456" t="n">
        <v>0</v>
      </c>
      <c r="L456" t="n">
        <v>0</v>
      </c>
      <c r="M456" t="n">
        <v>0</v>
      </c>
      <c r="N456" t="n">
        <v>0</v>
      </c>
      <c r="O456" t="n">
        <v>0</v>
      </c>
      <c r="P456" t="n">
        <v>0</v>
      </c>
      <c r="Q456" t="n">
        <v>0</v>
      </c>
      <c r="R456" s="2" t="inlineStr"/>
    </row>
    <row r="457" ht="15" customHeight="1">
      <c r="A457" t="inlineStr">
        <is>
          <t>A 40185-2025</t>
        </is>
      </c>
      <c r="B457" s="1" t="n">
        <v>45894.64358796296</v>
      </c>
      <c r="C457" s="1" t="n">
        <v>46082</v>
      </c>
      <c r="D457" t="inlineStr">
        <is>
          <t>JÄMTLANDS LÄN</t>
        </is>
      </c>
      <c r="E457" t="inlineStr">
        <is>
          <t>HÄRJEDALEN</t>
        </is>
      </c>
      <c r="F457" t="inlineStr">
        <is>
          <t>Bergvik skog väst AB</t>
        </is>
      </c>
      <c r="G457" t="n">
        <v>30.7</v>
      </c>
      <c r="H457" t="n">
        <v>0</v>
      </c>
      <c r="I457" t="n">
        <v>0</v>
      </c>
      <c r="J457" t="n">
        <v>0</v>
      </c>
      <c r="K457" t="n">
        <v>0</v>
      </c>
      <c r="L457" t="n">
        <v>0</v>
      </c>
      <c r="M457" t="n">
        <v>0</v>
      </c>
      <c r="N457" t="n">
        <v>0</v>
      </c>
      <c r="O457" t="n">
        <v>0</v>
      </c>
      <c r="P457" t="n">
        <v>0</v>
      </c>
      <c r="Q457" t="n">
        <v>0</v>
      </c>
      <c r="R457" s="2" t="inlineStr"/>
    </row>
    <row r="458" ht="15" customHeight="1">
      <c r="A458" t="inlineStr">
        <is>
          <t>A 27820-2025</t>
        </is>
      </c>
      <c r="B458" s="1" t="n">
        <v>45817.33819444444</v>
      </c>
      <c r="C458" s="1" t="n">
        <v>46082</v>
      </c>
      <c r="D458" t="inlineStr">
        <is>
          <t>JÄMTLANDS LÄN</t>
        </is>
      </c>
      <c r="E458" t="inlineStr">
        <is>
          <t>HÄRJEDALEN</t>
        </is>
      </c>
      <c r="F458" t="inlineStr">
        <is>
          <t>Övriga statliga verk och myndigheter</t>
        </is>
      </c>
      <c r="G458" t="n">
        <v>42.8</v>
      </c>
      <c r="H458" t="n">
        <v>0</v>
      </c>
      <c r="I458" t="n">
        <v>0</v>
      </c>
      <c r="J458" t="n">
        <v>0</v>
      </c>
      <c r="K458" t="n">
        <v>0</v>
      </c>
      <c r="L458" t="n">
        <v>0</v>
      </c>
      <c r="M458" t="n">
        <v>0</v>
      </c>
      <c r="N458" t="n">
        <v>0</v>
      </c>
      <c r="O458" t="n">
        <v>0</v>
      </c>
      <c r="P458" t="n">
        <v>0</v>
      </c>
      <c r="Q458" t="n">
        <v>0</v>
      </c>
      <c r="R458" s="2" t="inlineStr"/>
    </row>
    <row r="459" ht="15" customHeight="1">
      <c r="A459" t="inlineStr">
        <is>
          <t>A 8420-2023</t>
        </is>
      </c>
      <c r="B459" s="1" t="n">
        <v>44977.44643518519</v>
      </c>
      <c r="C459" s="1" t="n">
        <v>46082</v>
      </c>
      <c r="D459" t="inlineStr">
        <is>
          <t>JÄMTLANDS LÄN</t>
        </is>
      </c>
      <c r="E459" t="inlineStr">
        <is>
          <t>HÄRJEDALEN</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28026-2025</t>
        </is>
      </c>
      <c r="B460" s="1" t="n">
        <v>45817.62439814815</v>
      </c>
      <c r="C460" s="1" t="n">
        <v>46082</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4694-2023</t>
        </is>
      </c>
      <c r="B461" s="1" t="n">
        <v>44957</v>
      </c>
      <c r="C461" s="1" t="n">
        <v>46082</v>
      </c>
      <c r="D461" t="inlineStr">
        <is>
          <t>JÄMTLANDS LÄN</t>
        </is>
      </c>
      <c r="E461" t="inlineStr">
        <is>
          <t>HÄRJEDALEN</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2935-2025</t>
        </is>
      </c>
      <c r="B462" s="1" t="n">
        <v>45678.37956018518</v>
      </c>
      <c r="C462" s="1" t="n">
        <v>46082</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10536-2021</t>
        </is>
      </c>
      <c r="B463" s="1" t="n">
        <v>44258</v>
      </c>
      <c r="C463" s="1" t="n">
        <v>46082</v>
      </c>
      <c r="D463" t="inlineStr">
        <is>
          <t>JÄMTLANDS LÄN</t>
        </is>
      </c>
      <c r="E463" t="inlineStr">
        <is>
          <t>HÄRJEDALEN</t>
        </is>
      </c>
      <c r="G463" t="n">
        <v>18.7</v>
      </c>
      <c r="H463" t="n">
        <v>0</v>
      </c>
      <c r="I463" t="n">
        <v>0</v>
      </c>
      <c r="J463" t="n">
        <v>0</v>
      </c>
      <c r="K463" t="n">
        <v>0</v>
      </c>
      <c r="L463" t="n">
        <v>0</v>
      </c>
      <c r="M463" t="n">
        <v>0</v>
      </c>
      <c r="N463" t="n">
        <v>0</v>
      </c>
      <c r="O463" t="n">
        <v>0</v>
      </c>
      <c r="P463" t="n">
        <v>0</v>
      </c>
      <c r="Q463" t="n">
        <v>0</v>
      </c>
      <c r="R463" s="2" t="inlineStr"/>
    </row>
    <row r="464" ht="15" customHeight="1">
      <c r="A464" t="inlineStr">
        <is>
          <t>A 30742-2024</t>
        </is>
      </c>
      <c r="B464" s="1" t="n">
        <v>45496.66903935185</v>
      </c>
      <c r="C464" s="1" t="n">
        <v>46082</v>
      </c>
      <c r="D464" t="inlineStr">
        <is>
          <t>JÄMTLANDS LÄN</t>
        </is>
      </c>
      <c r="E464" t="inlineStr">
        <is>
          <t>HÄRJEDALEN</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42333-2024</t>
        </is>
      </c>
      <c r="B465" s="1" t="n">
        <v>45562.65759259259</v>
      </c>
      <c r="C465" s="1" t="n">
        <v>46082</v>
      </c>
      <c r="D465" t="inlineStr">
        <is>
          <t>JÄMTLANDS LÄN</t>
        </is>
      </c>
      <c r="E465" t="inlineStr">
        <is>
          <t>HÄRJEDALEN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58404-2024</t>
        </is>
      </c>
      <c r="B466" s="1" t="n">
        <v>45634.65831018519</v>
      </c>
      <c r="C466" s="1" t="n">
        <v>46082</v>
      </c>
      <c r="D466" t="inlineStr">
        <is>
          <t>JÄMTLANDS LÄN</t>
        </is>
      </c>
      <c r="E466" t="inlineStr">
        <is>
          <t>HÄRJEDALEN</t>
        </is>
      </c>
      <c r="G466" t="n">
        <v>3.9</v>
      </c>
      <c r="H466" t="n">
        <v>0</v>
      </c>
      <c r="I466" t="n">
        <v>0</v>
      </c>
      <c r="J466" t="n">
        <v>0</v>
      </c>
      <c r="K466" t="n">
        <v>0</v>
      </c>
      <c r="L466" t="n">
        <v>0</v>
      </c>
      <c r="M466" t="n">
        <v>0</v>
      </c>
      <c r="N466" t="n">
        <v>0</v>
      </c>
      <c r="O466" t="n">
        <v>0</v>
      </c>
      <c r="P466" t="n">
        <v>0</v>
      </c>
      <c r="Q466" t="n">
        <v>0</v>
      </c>
      <c r="R466" s="2" t="inlineStr"/>
    </row>
    <row r="467" ht="15" customHeight="1">
      <c r="A467" t="inlineStr">
        <is>
          <t>A 20935-2023</t>
        </is>
      </c>
      <c r="B467" s="1" t="n">
        <v>45061.36835648148</v>
      </c>
      <c r="C467" s="1" t="n">
        <v>46082</v>
      </c>
      <c r="D467" t="inlineStr">
        <is>
          <t>JÄMTLANDS LÄN</t>
        </is>
      </c>
      <c r="E467" t="inlineStr">
        <is>
          <t>HÄRJEDALEN</t>
        </is>
      </c>
      <c r="G467" t="n">
        <v>7.3</v>
      </c>
      <c r="H467" t="n">
        <v>0</v>
      </c>
      <c r="I467" t="n">
        <v>0</v>
      </c>
      <c r="J467" t="n">
        <v>0</v>
      </c>
      <c r="K467" t="n">
        <v>0</v>
      </c>
      <c r="L467" t="n">
        <v>0</v>
      </c>
      <c r="M467" t="n">
        <v>0</v>
      </c>
      <c r="N467" t="n">
        <v>0</v>
      </c>
      <c r="O467" t="n">
        <v>0</v>
      </c>
      <c r="P467" t="n">
        <v>0</v>
      </c>
      <c r="Q467" t="n">
        <v>0</v>
      </c>
      <c r="R467" s="2" t="inlineStr"/>
    </row>
    <row r="468" ht="15" customHeight="1">
      <c r="A468" t="inlineStr">
        <is>
          <t>A 12677-2025</t>
        </is>
      </c>
      <c r="B468" s="1" t="n">
        <v>45733.43663194445</v>
      </c>
      <c r="C468" s="1" t="n">
        <v>46082</v>
      </c>
      <c r="D468" t="inlineStr">
        <is>
          <t>JÄMTLANDS LÄN</t>
        </is>
      </c>
      <c r="E468" t="inlineStr">
        <is>
          <t>HÄRJEDALEN</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10015-2023</t>
        </is>
      </c>
      <c r="B469" s="1" t="n">
        <v>44985</v>
      </c>
      <c r="C469" s="1" t="n">
        <v>46082</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55219-2021</t>
        </is>
      </c>
      <c r="B470" s="1" t="n">
        <v>44475</v>
      </c>
      <c r="C470" s="1" t="n">
        <v>46082</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40194-2025</t>
        </is>
      </c>
      <c r="B471" s="1" t="n">
        <v>45894.65869212963</v>
      </c>
      <c r="C471" s="1" t="n">
        <v>46082</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45123-2024</t>
        </is>
      </c>
      <c r="B472" s="1" t="n">
        <v>45575.6125925926</v>
      </c>
      <c r="C472" s="1" t="n">
        <v>46082</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49319-2024</t>
        </is>
      </c>
      <c r="B473" s="1" t="n">
        <v>45595.5666550926</v>
      </c>
      <c r="C473" s="1" t="n">
        <v>46082</v>
      </c>
      <c r="D473" t="inlineStr">
        <is>
          <t>JÄMTLANDS LÄN</t>
        </is>
      </c>
      <c r="E473" t="inlineStr">
        <is>
          <t>HÄRJEDALEN</t>
        </is>
      </c>
      <c r="G473" t="n">
        <v>9.5</v>
      </c>
      <c r="H473" t="n">
        <v>0</v>
      </c>
      <c r="I473" t="n">
        <v>0</v>
      </c>
      <c r="J473" t="n">
        <v>0</v>
      </c>
      <c r="K473" t="n">
        <v>0</v>
      </c>
      <c r="L473" t="n">
        <v>0</v>
      </c>
      <c r="M473" t="n">
        <v>0</v>
      </c>
      <c r="N473" t="n">
        <v>0</v>
      </c>
      <c r="O473" t="n">
        <v>0</v>
      </c>
      <c r="P473" t="n">
        <v>0</v>
      </c>
      <c r="Q473" t="n">
        <v>0</v>
      </c>
      <c r="R473" s="2" t="inlineStr"/>
    </row>
    <row r="474" ht="15" customHeight="1">
      <c r="A474" t="inlineStr">
        <is>
          <t>A 29187-2025</t>
        </is>
      </c>
      <c r="B474" s="1" t="n">
        <v>45821.77903935185</v>
      </c>
      <c r="C474" s="1" t="n">
        <v>46082</v>
      </c>
      <c r="D474" t="inlineStr">
        <is>
          <t>JÄMTLANDS LÄN</t>
        </is>
      </c>
      <c r="E474" t="inlineStr">
        <is>
          <t>HÄRJEDALEN</t>
        </is>
      </c>
      <c r="G474" t="n">
        <v>7.5</v>
      </c>
      <c r="H474" t="n">
        <v>0</v>
      </c>
      <c r="I474" t="n">
        <v>0</v>
      </c>
      <c r="J474" t="n">
        <v>0</v>
      </c>
      <c r="K474" t="n">
        <v>0</v>
      </c>
      <c r="L474" t="n">
        <v>0</v>
      </c>
      <c r="M474" t="n">
        <v>0</v>
      </c>
      <c r="N474" t="n">
        <v>0</v>
      </c>
      <c r="O474" t="n">
        <v>0</v>
      </c>
      <c r="P474" t="n">
        <v>0</v>
      </c>
      <c r="Q474" t="n">
        <v>0</v>
      </c>
      <c r="R474" s="2" t="inlineStr"/>
    </row>
    <row r="475" ht="15" customHeight="1">
      <c r="A475" t="inlineStr">
        <is>
          <t>A 4196-2023</t>
        </is>
      </c>
      <c r="B475" s="1" t="n">
        <v>44953</v>
      </c>
      <c r="C475" s="1" t="n">
        <v>46082</v>
      </c>
      <c r="D475" t="inlineStr">
        <is>
          <t>JÄMTLANDS LÄN</t>
        </is>
      </c>
      <c r="E475" t="inlineStr">
        <is>
          <t>HÄRJEDALEN</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29102-2025</t>
        </is>
      </c>
      <c r="B476" s="1" t="n">
        <v>45821.57201388889</v>
      </c>
      <c r="C476" s="1" t="n">
        <v>46082</v>
      </c>
      <c r="D476" t="inlineStr">
        <is>
          <t>JÄMTLANDS LÄN</t>
        </is>
      </c>
      <c r="E476" t="inlineStr">
        <is>
          <t>HÄRJEDALEN</t>
        </is>
      </c>
      <c r="F476" t="inlineStr">
        <is>
          <t>Sveaskog</t>
        </is>
      </c>
      <c r="G476" t="n">
        <v>5.5</v>
      </c>
      <c r="H476" t="n">
        <v>0</v>
      </c>
      <c r="I476" t="n">
        <v>0</v>
      </c>
      <c r="J476" t="n">
        <v>0</v>
      </c>
      <c r="K476" t="n">
        <v>0</v>
      </c>
      <c r="L476" t="n">
        <v>0</v>
      </c>
      <c r="M476" t="n">
        <v>0</v>
      </c>
      <c r="N476" t="n">
        <v>0</v>
      </c>
      <c r="O476" t="n">
        <v>0</v>
      </c>
      <c r="P476" t="n">
        <v>0</v>
      </c>
      <c r="Q476" t="n">
        <v>0</v>
      </c>
      <c r="R476" s="2" t="inlineStr"/>
    </row>
    <row r="477" ht="15" customHeight="1">
      <c r="A477" t="inlineStr">
        <is>
          <t>A 23446-2025</t>
        </is>
      </c>
      <c r="B477" s="1" t="n">
        <v>45791</v>
      </c>
      <c r="C477" s="1" t="n">
        <v>46082</v>
      </c>
      <c r="D477" t="inlineStr">
        <is>
          <t>JÄMTLANDS LÄN</t>
        </is>
      </c>
      <c r="E477" t="inlineStr">
        <is>
          <t>HÄRJEDALEN</t>
        </is>
      </c>
      <c r="G477" t="n">
        <v>20.5</v>
      </c>
      <c r="H477" t="n">
        <v>0</v>
      </c>
      <c r="I477" t="n">
        <v>0</v>
      </c>
      <c r="J477" t="n">
        <v>0</v>
      </c>
      <c r="K477" t="n">
        <v>0</v>
      </c>
      <c r="L477" t="n">
        <v>0</v>
      </c>
      <c r="M477" t="n">
        <v>0</v>
      </c>
      <c r="N477" t="n">
        <v>0</v>
      </c>
      <c r="O477" t="n">
        <v>0</v>
      </c>
      <c r="P477" t="n">
        <v>0</v>
      </c>
      <c r="Q477" t="n">
        <v>0</v>
      </c>
      <c r="R477" s="2" t="inlineStr"/>
    </row>
    <row r="478" ht="15" customHeight="1">
      <c r="A478" t="inlineStr">
        <is>
          <t>A 69271-2021</t>
        </is>
      </c>
      <c r="B478" s="1" t="n">
        <v>44531.43927083333</v>
      </c>
      <c r="C478" s="1" t="n">
        <v>46082</v>
      </c>
      <c r="D478" t="inlineStr">
        <is>
          <t>JÄMTLANDS LÄN</t>
        </is>
      </c>
      <c r="E478" t="inlineStr">
        <is>
          <t>HÄRJEDALEN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40572-2025</t>
        </is>
      </c>
      <c r="B479" s="1" t="n">
        <v>45896.49821759259</v>
      </c>
      <c r="C479" s="1" t="n">
        <v>46082</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40573-2025</t>
        </is>
      </c>
      <c r="B480" s="1" t="n">
        <v>45896.49959490741</v>
      </c>
      <c r="C480" s="1" t="n">
        <v>46082</v>
      </c>
      <c r="D480" t="inlineStr">
        <is>
          <t>JÄMTLANDS LÄN</t>
        </is>
      </c>
      <c r="E480" t="inlineStr">
        <is>
          <t>HÄRJEDALEN</t>
        </is>
      </c>
      <c r="G480" t="n">
        <v>1.6</v>
      </c>
      <c r="H480" t="n">
        <v>0</v>
      </c>
      <c r="I480" t="n">
        <v>0</v>
      </c>
      <c r="J480" t="n">
        <v>0</v>
      </c>
      <c r="K480" t="n">
        <v>0</v>
      </c>
      <c r="L480" t="n">
        <v>0</v>
      </c>
      <c r="M480" t="n">
        <v>0</v>
      </c>
      <c r="N480" t="n">
        <v>0</v>
      </c>
      <c r="O480" t="n">
        <v>0</v>
      </c>
      <c r="P480" t="n">
        <v>0</v>
      </c>
      <c r="Q480" t="n">
        <v>0</v>
      </c>
      <c r="R480" s="2" t="inlineStr"/>
    </row>
    <row r="481" ht="15" customHeight="1">
      <c r="A481" t="inlineStr">
        <is>
          <t>A 40249-2025</t>
        </is>
      </c>
      <c r="B481" s="1" t="n">
        <v>45895.29387731481</v>
      </c>
      <c r="C481" s="1" t="n">
        <v>46082</v>
      </c>
      <c r="D481" t="inlineStr">
        <is>
          <t>JÄMTLANDS LÄN</t>
        </is>
      </c>
      <c r="E481" t="inlineStr">
        <is>
          <t>HÄRJEDALEN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48708-2023</t>
        </is>
      </c>
      <c r="B482" s="1" t="n">
        <v>45208</v>
      </c>
      <c r="C482" s="1" t="n">
        <v>46082</v>
      </c>
      <c r="D482" t="inlineStr">
        <is>
          <t>JÄMTLANDS LÄN</t>
        </is>
      </c>
      <c r="E482" t="inlineStr">
        <is>
          <t>HÄRJEDALEN</t>
        </is>
      </c>
      <c r="G482" t="n">
        <v>0.5</v>
      </c>
      <c r="H482" t="n">
        <v>0</v>
      </c>
      <c r="I482" t="n">
        <v>0</v>
      </c>
      <c r="J482" t="n">
        <v>0</v>
      </c>
      <c r="K482" t="n">
        <v>0</v>
      </c>
      <c r="L482" t="n">
        <v>0</v>
      </c>
      <c r="M482" t="n">
        <v>0</v>
      </c>
      <c r="N482" t="n">
        <v>0</v>
      </c>
      <c r="O482" t="n">
        <v>0</v>
      </c>
      <c r="P482" t="n">
        <v>0</v>
      </c>
      <c r="Q482" t="n">
        <v>0</v>
      </c>
      <c r="R482" s="2" t="inlineStr"/>
    </row>
    <row r="483" ht="15" customHeight="1">
      <c r="A483" t="inlineStr">
        <is>
          <t>A 20103-2025</t>
        </is>
      </c>
      <c r="B483" s="1" t="n">
        <v>45772.46951388889</v>
      </c>
      <c r="C483" s="1" t="n">
        <v>46082</v>
      </c>
      <c r="D483" t="inlineStr">
        <is>
          <t>JÄMTLANDS LÄN</t>
        </is>
      </c>
      <c r="E483" t="inlineStr">
        <is>
          <t>HÄRJEDALEN</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41054-2025</t>
        </is>
      </c>
      <c r="B484" s="1" t="n">
        <v>45898.40481481481</v>
      </c>
      <c r="C484" s="1" t="n">
        <v>46082</v>
      </c>
      <c r="D484" t="inlineStr">
        <is>
          <t>JÄMTLANDS LÄN</t>
        </is>
      </c>
      <c r="E484" t="inlineStr">
        <is>
          <t>HÄRJEDALEN</t>
        </is>
      </c>
      <c r="G484" t="n">
        <v>0.8</v>
      </c>
      <c r="H484" t="n">
        <v>0</v>
      </c>
      <c r="I484" t="n">
        <v>0</v>
      </c>
      <c r="J484" t="n">
        <v>0</v>
      </c>
      <c r="K484" t="n">
        <v>0</v>
      </c>
      <c r="L484" t="n">
        <v>0</v>
      </c>
      <c r="M484" t="n">
        <v>0</v>
      </c>
      <c r="N484" t="n">
        <v>0</v>
      </c>
      <c r="O484" t="n">
        <v>0</v>
      </c>
      <c r="P484" t="n">
        <v>0</v>
      </c>
      <c r="Q484" t="n">
        <v>0</v>
      </c>
      <c r="R484" s="2" t="inlineStr"/>
    </row>
    <row r="485" ht="15" customHeight="1">
      <c r="A485" t="inlineStr">
        <is>
          <t>A 41180-2025</t>
        </is>
      </c>
      <c r="B485" s="1" t="n">
        <v>45898.55296296296</v>
      </c>
      <c r="C485" s="1" t="n">
        <v>46082</v>
      </c>
      <c r="D485" t="inlineStr">
        <is>
          <t>JÄMTLANDS LÄN</t>
        </is>
      </c>
      <c r="E485" t="inlineStr">
        <is>
          <t>HÄRJEDALEN</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29927-2025</t>
        </is>
      </c>
      <c r="B486" s="1" t="n">
        <v>45826.43267361111</v>
      </c>
      <c r="C486" s="1" t="n">
        <v>46082</v>
      </c>
      <c r="D486" t="inlineStr">
        <is>
          <t>JÄMTLANDS LÄN</t>
        </is>
      </c>
      <c r="E486" t="inlineStr">
        <is>
          <t>HÄRJEDALEN</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46082</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46082</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29431-2023</t>
        </is>
      </c>
      <c r="B489" s="1" t="n">
        <v>45106</v>
      </c>
      <c r="C489" s="1" t="n">
        <v>46082</v>
      </c>
      <c r="D489" t="inlineStr">
        <is>
          <t>JÄMTLANDS LÄN</t>
        </is>
      </c>
      <c r="E489" t="inlineStr">
        <is>
          <t>HÄRJEDALEN</t>
        </is>
      </c>
      <c r="F489" t="inlineStr">
        <is>
          <t>Bergvik skog väst AB</t>
        </is>
      </c>
      <c r="G489" t="n">
        <v>3</v>
      </c>
      <c r="H489" t="n">
        <v>0</v>
      </c>
      <c r="I489" t="n">
        <v>0</v>
      </c>
      <c r="J489" t="n">
        <v>0</v>
      </c>
      <c r="K489" t="n">
        <v>0</v>
      </c>
      <c r="L489" t="n">
        <v>0</v>
      </c>
      <c r="M489" t="n">
        <v>0</v>
      </c>
      <c r="N489" t="n">
        <v>0</v>
      </c>
      <c r="O489" t="n">
        <v>0</v>
      </c>
      <c r="P489" t="n">
        <v>0</v>
      </c>
      <c r="Q489" t="n">
        <v>0</v>
      </c>
      <c r="R489" s="2" t="inlineStr"/>
    </row>
    <row r="490" ht="15" customHeight="1">
      <c r="A490" t="inlineStr">
        <is>
          <t>A 30255-2025</t>
        </is>
      </c>
      <c r="B490" s="1" t="n">
        <v>45827.42467592593</v>
      </c>
      <c r="C490" s="1" t="n">
        <v>46082</v>
      </c>
      <c r="D490" t="inlineStr">
        <is>
          <t>JÄMTLANDS LÄN</t>
        </is>
      </c>
      <c r="E490" t="inlineStr">
        <is>
          <t>HÄRJEDALEN</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30363-2025</t>
        </is>
      </c>
      <c r="B491" s="1" t="n">
        <v>45827</v>
      </c>
      <c r="C491" s="1" t="n">
        <v>46082</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30251-2025</t>
        </is>
      </c>
      <c r="B492" s="1" t="n">
        <v>45827.41753472222</v>
      </c>
      <c r="C492" s="1" t="n">
        <v>46082</v>
      </c>
      <c r="D492" t="inlineStr">
        <is>
          <t>JÄMTLANDS LÄN</t>
        </is>
      </c>
      <c r="E492" t="inlineStr">
        <is>
          <t>HÄRJEDALEN</t>
        </is>
      </c>
      <c r="F492" t="inlineStr">
        <is>
          <t>Bergvik skog väst AB</t>
        </is>
      </c>
      <c r="G492" t="n">
        <v>32.1</v>
      </c>
      <c r="H492" t="n">
        <v>0</v>
      </c>
      <c r="I492" t="n">
        <v>0</v>
      </c>
      <c r="J492" t="n">
        <v>0</v>
      </c>
      <c r="K492" t="n">
        <v>0</v>
      </c>
      <c r="L492" t="n">
        <v>0</v>
      </c>
      <c r="M492" t="n">
        <v>0</v>
      </c>
      <c r="N492" t="n">
        <v>0</v>
      </c>
      <c r="O492" t="n">
        <v>0</v>
      </c>
      <c r="P492" t="n">
        <v>0</v>
      </c>
      <c r="Q492" t="n">
        <v>0</v>
      </c>
      <c r="R492" s="2" t="inlineStr"/>
    </row>
    <row r="493" ht="15" customHeight="1">
      <c r="A493" t="inlineStr">
        <is>
          <t>A 41664-2025</t>
        </is>
      </c>
      <c r="B493" s="1" t="n">
        <v>45902.35612268518</v>
      </c>
      <c r="C493" s="1" t="n">
        <v>46082</v>
      </c>
      <c r="D493" t="inlineStr">
        <is>
          <t>JÄMTLANDS LÄN</t>
        </is>
      </c>
      <c r="E493" t="inlineStr">
        <is>
          <t>HÄRJEDALEN</t>
        </is>
      </c>
      <c r="F493" t="inlineStr">
        <is>
          <t>Holmen skog AB</t>
        </is>
      </c>
      <c r="G493" t="n">
        <v>18.7</v>
      </c>
      <c r="H493" t="n">
        <v>0</v>
      </c>
      <c r="I493" t="n">
        <v>0</v>
      </c>
      <c r="J493" t="n">
        <v>0</v>
      </c>
      <c r="K493" t="n">
        <v>0</v>
      </c>
      <c r="L493" t="n">
        <v>0</v>
      </c>
      <c r="M493" t="n">
        <v>0</v>
      </c>
      <c r="N493" t="n">
        <v>0</v>
      </c>
      <c r="O493" t="n">
        <v>0</v>
      </c>
      <c r="P493" t="n">
        <v>0</v>
      </c>
      <c r="Q493" t="n">
        <v>0</v>
      </c>
      <c r="R493" s="2" t="inlineStr"/>
    </row>
    <row r="494" ht="15" customHeight="1">
      <c r="A494" t="inlineStr">
        <is>
          <t>A 50425-2025</t>
        </is>
      </c>
      <c r="B494" s="1" t="n">
        <v>45944.67199074074</v>
      </c>
      <c r="C494" s="1" t="n">
        <v>46082</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35253-2025</t>
        </is>
      </c>
      <c r="B495" s="1" t="n">
        <v>45853</v>
      </c>
      <c r="C495" s="1" t="n">
        <v>46082</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41769-2025</t>
        </is>
      </c>
      <c r="B496" s="1" t="n">
        <v>45902.55119212963</v>
      </c>
      <c r="C496" s="1" t="n">
        <v>46082</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41821-2025</t>
        </is>
      </c>
      <c r="B497" s="1" t="n">
        <v>45902.66265046296</v>
      </c>
      <c r="C497" s="1" t="n">
        <v>46082</v>
      </c>
      <c r="D497" t="inlineStr">
        <is>
          <t>JÄMTLANDS LÄN</t>
        </is>
      </c>
      <c r="E497" t="inlineStr">
        <is>
          <t>HÄRJEDALEN</t>
        </is>
      </c>
      <c r="F497" t="inlineStr">
        <is>
          <t>Holmen skog AB</t>
        </is>
      </c>
      <c r="G497" t="n">
        <v>30</v>
      </c>
      <c r="H497" t="n">
        <v>0</v>
      </c>
      <c r="I497" t="n">
        <v>0</v>
      </c>
      <c r="J497" t="n">
        <v>0</v>
      </c>
      <c r="K497" t="n">
        <v>0</v>
      </c>
      <c r="L497" t="n">
        <v>0</v>
      </c>
      <c r="M497" t="n">
        <v>0</v>
      </c>
      <c r="N497" t="n">
        <v>0</v>
      </c>
      <c r="O497" t="n">
        <v>0</v>
      </c>
      <c r="P497" t="n">
        <v>0</v>
      </c>
      <c r="Q497" t="n">
        <v>0</v>
      </c>
      <c r="R497" s="2" t="inlineStr"/>
    </row>
    <row r="498" ht="15" customHeight="1">
      <c r="A498" t="inlineStr">
        <is>
          <t>A 41491-2025</t>
        </is>
      </c>
      <c r="B498" s="1" t="n">
        <v>45901.4881712963</v>
      </c>
      <c r="C498" s="1" t="n">
        <v>46082</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36097-2024</t>
        </is>
      </c>
      <c r="B499" s="1" t="n">
        <v>45533.75398148148</v>
      </c>
      <c r="C499" s="1" t="n">
        <v>46082</v>
      </c>
      <c r="D499" t="inlineStr">
        <is>
          <t>JÄMTLANDS LÄN</t>
        </is>
      </c>
      <c r="E499" t="inlineStr">
        <is>
          <t>HÄRJEDALEN</t>
        </is>
      </c>
      <c r="G499" t="n">
        <v>2.9</v>
      </c>
      <c r="H499" t="n">
        <v>0</v>
      </c>
      <c r="I499" t="n">
        <v>0</v>
      </c>
      <c r="J499" t="n">
        <v>0</v>
      </c>
      <c r="K499" t="n">
        <v>0</v>
      </c>
      <c r="L499" t="n">
        <v>0</v>
      </c>
      <c r="M499" t="n">
        <v>0</v>
      </c>
      <c r="N499" t="n">
        <v>0</v>
      </c>
      <c r="O499" t="n">
        <v>0</v>
      </c>
      <c r="P499" t="n">
        <v>0</v>
      </c>
      <c r="Q499" t="n">
        <v>0</v>
      </c>
      <c r="R499" s="2" t="inlineStr"/>
    </row>
    <row r="500" ht="15" customHeight="1">
      <c r="A500" t="inlineStr">
        <is>
          <t>A 31148-2025</t>
        </is>
      </c>
      <c r="B500" s="1" t="n">
        <v>45832.64047453704</v>
      </c>
      <c r="C500" s="1" t="n">
        <v>46082</v>
      </c>
      <c r="D500" t="inlineStr">
        <is>
          <t>JÄMTLANDS LÄN</t>
        </is>
      </c>
      <c r="E500" t="inlineStr">
        <is>
          <t>HÄRJEDALEN</t>
        </is>
      </c>
      <c r="G500" t="n">
        <v>3.9</v>
      </c>
      <c r="H500" t="n">
        <v>0</v>
      </c>
      <c r="I500" t="n">
        <v>0</v>
      </c>
      <c r="J500" t="n">
        <v>0</v>
      </c>
      <c r="K500" t="n">
        <v>0</v>
      </c>
      <c r="L500" t="n">
        <v>0</v>
      </c>
      <c r="M500" t="n">
        <v>0</v>
      </c>
      <c r="N500" t="n">
        <v>0</v>
      </c>
      <c r="O500" t="n">
        <v>0</v>
      </c>
      <c r="P500" t="n">
        <v>0</v>
      </c>
      <c r="Q500" t="n">
        <v>0</v>
      </c>
      <c r="R500" s="2" t="inlineStr"/>
    </row>
    <row r="501" ht="15" customHeight="1">
      <c r="A501" t="inlineStr">
        <is>
          <t>A 41788-2025</t>
        </is>
      </c>
      <c r="B501" s="1" t="n">
        <v>45902.59438657408</v>
      </c>
      <c r="C501" s="1" t="n">
        <v>46082</v>
      </c>
      <c r="D501" t="inlineStr">
        <is>
          <t>JÄMTLANDS LÄN</t>
        </is>
      </c>
      <c r="E501" t="inlineStr">
        <is>
          <t>HÄRJEDALEN</t>
        </is>
      </c>
      <c r="F501" t="inlineStr">
        <is>
          <t>SCA</t>
        </is>
      </c>
      <c r="G501" t="n">
        <v>9.9</v>
      </c>
      <c r="H501" t="n">
        <v>0</v>
      </c>
      <c r="I501" t="n">
        <v>0</v>
      </c>
      <c r="J501" t="n">
        <v>0</v>
      </c>
      <c r="K501" t="n">
        <v>0</v>
      </c>
      <c r="L501" t="n">
        <v>0</v>
      </c>
      <c r="M501" t="n">
        <v>0</v>
      </c>
      <c r="N501" t="n">
        <v>0</v>
      </c>
      <c r="O501" t="n">
        <v>0</v>
      </c>
      <c r="P501" t="n">
        <v>0</v>
      </c>
      <c r="Q501" t="n">
        <v>0</v>
      </c>
      <c r="R501" s="2" t="inlineStr"/>
    </row>
    <row r="502" ht="15" customHeight="1">
      <c r="A502" t="inlineStr">
        <is>
          <t>A 31096-2025</t>
        </is>
      </c>
      <c r="B502" s="1" t="n">
        <v>45831</v>
      </c>
      <c r="C502" s="1" t="n">
        <v>46082</v>
      </c>
      <c r="D502" t="inlineStr">
        <is>
          <t>JÄMTLANDS LÄN</t>
        </is>
      </c>
      <c r="E502" t="inlineStr">
        <is>
          <t>HÄRJEDALEN</t>
        </is>
      </c>
      <c r="F502" t="inlineStr">
        <is>
          <t>Bergvik skog väst AB</t>
        </is>
      </c>
      <c r="G502" t="n">
        <v>11.4</v>
      </c>
      <c r="H502" t="n">
        <v>0</v>
      </c>
      <c r="I502" t="n">
        <v>0</v>
      </c>
      <c r="J502" t="n">
        <v>0</v>
      </c>
      <c r="K502" t="n">
        <v>0</v>
      </c>
      <c r="L502" t="n">
        <v>0</v>
      </c>
      <c r="M502" t="n">
        <v>0</v>
      </c>
      <c r="N502" t="n">
        <v>0</v>
      </c>
      <c r="O502" t="n">
        <v>0</v>
      </c>
      <c r="P502" t="n">
        <v>0</v>
      </c>
      <c r="Q502" t="n">
        <v>0</v>
      </c>
      <c r="R502" s="2" t="inlineStr"/>
    </row>
    <row r="503" ht="15" customHeight="1">
      <c r="A503" t="inlineStr">
        <is>
          <t>A 42189-2025</t>
        </is>
      </c>
      <c r="B503" s="1" t="n">
        <v>45904.47059027778</v>
      </c>
      <c r="C503" s="1" t="n">
        <v>46082</v>
      </c>
      <c r="D503" t="inlineStr">
        <is>
          <t>JÄMTLANDS LÄN</t>
        </is>
      </c>
      <c r="E503" t="inlineStr">
        <is>
          <t>HÄRJEDALEN</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7384-2025</t>
        </is>
      </c>
      <c r="B504" s="1" t="n">
        <v>45705.32456018519</v>
      </c>
      <c r="C504" s="1" t="n">
        <v>46082</v>
      </c>
      <c r="D504" t="inlineStr">
        <is>
          <t>JÄMTLANDS LÄN</t>
        </is>
      </c>
      <c r="E504" t="inlineStr">
        <is>
          <t>HÄRJEDALEN</t>
        </is>
      </c>
      <c r="G504" t="n">
        <v>6.4</v>
      </c>
      <c r="H504" t="n">
        <v>0</v>
      </c>
      <c r="I504" t="n">
        <v>0</v>
      </c>
      <c r="J504" t="n">
        <v>0</v>
      </c>
      <c r="K504" t="n">
        <v>0</v>
      </c>
      <c r="L504" t="n">
        <v>0</v>
      </c>
      <c r="M504" t="n">
        <v>0</v>
      </c>
      <c r="N504" t="n">
        <v>0</v>
      </c>
      <c r="O504" t="n">
        <v>0</v>
      </c>
      <c r="P504" t="n">
        <v>0</v>
      </c>
      <c r="Q504" t="n">
        <v>0</v>
      </c>
      <c r="R504" s="2" t="inlineStr"/>
    </row>
    <row r="505" ht="15" customHeight="1">
      <c r="A505" t="inlineStr">
        <is>
          <t>A 42271-2025</t>
        </is>
      </c>
      <c r="B505" s="1" t="n">
        <v>45904.60483796296</v>
      </c>
      <c r="C505" s="1" t="n">
        <v>46082</v>
      </c>
      <c r="D505" t="inlineStr">
        <is>
          <t>JÄMTLANDS LÄN</t>
        </is>
      </c>
      <c r="E505" t="inlineStr">
        <is>
          <t>HÄRJEDALEN</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42504-2025</t>
        </is>
      </c>
      <c r="B506" s="1" t="n">
        <v>45904</v>
      </c>
      <c r="C506" s="1" t="n">
        <v>46082</v>
      </c>
      <c r="D506" t="inlineStr">
        <is>
          <t>JÄMTLANDS LÄN</t>
        </is>
      </c>
      <c r="E506" t="inlineStr">
        <is>
          <t>HÄRJEDALEN</t>
        </is>
      </c>
      <c r="F506" t="inlineStr">
        <is>
          <t>Bergvik skog väst AB</t>
        </is>
      </c>
      <c r="G506" t="n">
        <v>6.4</v>
      </c>
      <c r="H506" t="n">
        <v>0</v>
      </c>
      <c r="I506" t="n">
        <v>0</v>
      </c>
      <c r="J506" t="n">
        <v>0</v>
      </c>
      <c r="K506" t="n">
        <v>0</v>
      </c>
      <c r="L506" t="n">
        <v>0</v>
      </c>
      <c r="M506" t="n">
        <v>0</v>
      </c>
      <c r="N506" t="n">
        <v>0</v>
      </c>
      <c r="O506" t="n">
        <v>0</v>
      </c>
      <c r="P506" t="n">
        <v>0</v>
      </c>
      <c r="Q506" t="n">
        <v>0</v>
      </c>
      <c r="R506" s="2" t="inlineStr"/>
    </row>
    <row r="507" ht="15" customHeight="1">
      <c r="A507" t="inlineStr">
        <is>
          <t>A 30499-2025</t>
        </is>
      </c>
      <c r="B507" s="1" t="n">
        <v>45830</v>
      </c>
      <c r="C507" s="1" t="n">
        <v>46082</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46082</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31255-2025</t>
        </is>
      </c>
      <c r="B509" s="1" t="n">
        <v>45832</v>
      </c>
      <c r="C509" s="1" t="n">
        <v>46082</v>
      </c>
      <c r="D509" t="inlineStr">
        <is>
          <t>JÄMTLANDS LÄN</t>
        </is>
      </c>
      <c r="E509" t="inlineStr">
        <is>
          <t>HÄRJEDALEN</t>
        </is>
      </c>
      <c r="F509" t="inlineStr">
        <is>
          <t>Bergvik skog väst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31252-2025</t>
        </is>
      </c>
      <c r="B510" s="1" t="n">
        <v>45832</v>
      </c>
      <c r="C510" s="1" t="n">
        <v>46082</v>
      </c>
      <c r="D510" t="inlineStr">
        <is>
          <t>JÄMTLANDS LÄN</t>
        </is>
      </c>
      <c r="E510" t="inlineStr">
        <is>
          <t>HÄRJEDALEN</t>
        </is>
      </c>
      <c r="F510" t="inlineStr">
        <is>
          <t>Bergvik skog väst AB</t>
        </is>
      </c>
      <c r="G510" t="n">
        <v>8</v>
      </c>
      <c r="H510" t="n">
        <v>0</v>
      </c>
      <c r="I510" t="n">
        <v>0</v>
      </c>
      <c r="J510" t="n">
        <v>0</v>
      </c>
      <c r="K510" t="n">
        <v>0</v>
      </c>
      <c r="L510" t="n">
        <v>0</v>
      </c>
      <c r="M510" t="n">
        <v>0</v>
      </c>
      <c r="N510" t="n">
        <v>0</v>
      </c>
      <c r="O510" t="n">
        <v>0</v>
      </c>
      <c r="P510" t="n">
        <v>0</v>
      </c>
      <c r="Q510" t="n">
        <v>0</v>
      </c>
      <c r="R510" s="2" t="inlineStr"/>
    </row>
    <row r="511" ht="15" customHeight="1">
      <c r="A511" t="inlineStr">
        <is>
          <t>A 30922-2025</t>
        </is>
      </c>
      <c r="B511" s="1" t="n">
        <v>45832.3859837963</v>
      </c>
      <c r="C511" s="1" t="n">
        <v>46082</v>
      </c>
      <c r="D511" t="inlineStr">
        <is>
          <t>JÄMTLANDS LÄN</t>
        </is>
      </c>
      <c r="E511" t="inlineStr">
        <is>
          <t>HÄRJEDALEN</t>
        </is>
      </c>
      <c r="F511" t="inlineStr">
        <is>
          <t>SCA</t>
        </is>
      </c>
      <c r="G511" t="n">
        <v>17.7</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46082</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42031-2025</t>
        </is>
      </c>
      <c r="B513" s="1" t="n">
        <v>45903.60319444445</v>
      </c>
      <c r="C513" s="1" t="n">
        <v>46082</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31253-2025</t>
        </is>
      </c>
      <c r="B514" s="1" t="n">
        <v>45832</v>
      </c>
      <c r="C514" s="1" t="n">
        <v>46082</v>
      </c>
      <c r="D514" t="inlineStr">
        <is>
          <t>JÄMTLANDS LÄN</t>
        </is>
      </c>
      <c r="E514" t="inlineStr">
        <is>
          <t>HÄRJEDALEN</t>
        </is>
      </c>
      <c r="F514" t="inlineStr">
        <is>
          <t>Bergvik skog väst AB</t>
        </is>
      </c>
      <c r="G514" t="n">
        <v>24.9</v>
      </c>
      <c r="H514" t="n">
        <v>0</v>
      </c>
      <c r="I514" t="n">
        <v>0</v>
      </c>
      <c r="J514" t="n">
        <v>0</v>
      </c>
      <c r="K514" t="n">
        <v>0</v>
      </c>
      <c r="L514" t="n">
        <v>0</v>
      </c>
      <c r="M514" t="n">
        <v>0</v>
      </c>
      <c r="N514" t="n">
        <v>0</v>
      </c>
      <c r="O514" t="n">
        <v>0</v>
      </c>
      <c r="P514" t="n">
        <v>0</v>
      </c>
      <c r="Q514" t="n">
        <v>0</v>
      </c>
      <c r="R514" s="2" t="inlineStr"/>
    </row>
    <row r="515" ht="15" customHeight="1">
      <c r="A515" t="inlineStr">
        <is>
          <t>A 48867-2023</t>
        </is>
      </c>
      <c r="B515" s="1" t="n">
        <v>45209.45420138889</v>
      </c>
      <c r="C515" s="1" t="n">
        <v>46082</v>
      </c>
      <c r="D515" t="inlineStr">
        <is>
          <t>JÄMTLANDS LÄN</t>
        </is>
      </c>
      <c r="E515" t="inlineStr">
        <is>
          <t>HÄRJEDALEN</t>
        </is>
      </c>
      <c r="G515" t="n">
        <v>9.1</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46082</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30498-2025</t>
        </is>
      </c>
      <c r="B517" s="1" t="n">
        <v>45830</v>
      </c>
      <c r="C517" s="1" t="n">
        <v>46082</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30500-2025</t>
        </is>
      </c>
      <c r="B518" s="1" t="n">
        <v>45830</v>
      </c>
      <c r="C518" s="1" t="n">
        <v>46082</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30501-2025</t>
        </is>
      </c>
      <c r="B519" s="1" t="n">
        <v>45830</v>
      </c>
      <c r="C519" s="1" t="n">
        <v>46082</v>
      </c>
      <c r="D519" t="inlineStr">
        <is>
          <t>JÄMTLANDS LÄN</t>
        </is>
      </c>
      <c r="E519" t="inlineStr">
        <is>
          <t>HÄRJEDALEN</t>
        </is>
      </c>
      <c r="G519" t="n">
        <v>17</v>
      </c>
      <c r="H519" t="n">
        <v>0</v>
      </c>
      <c r="I519" t="n">
        <v>0</v>
      </c>
      <c r="J519" t="n">
        <v>0</v>
      </c>
      <c r="K519" t="n">
        <v>0</v>
      </c>
      <c r="L519" t="n">
        <v>0</v>
      </c>
      <c r="M519" t="n">
        <v>0</v>
      </c>
      <c r="N519" t="n">
        <v>0</v>
      </c>
      <c r="O519" t="n">
        <v>0</v>
      </c>
      <c r="P519" t="n">
        <v>0</v>
      </c>
      <c r="Q519" t="n">
        <v>0</v>
      </c>
      <c r="R519" s="2" t="inlineStr"/>
    </row>
    <row r="520" ht="15" customHeight="1">
      <c r="A520" t="inlineStr">
        <is>
          <t>A 42729-2025</t>
        </is>
      </c>
      <c r="B520" s="1" t="n">
        <v>45908.40557870371</v>
      </c>
      <c r="C520" s="1" t="n">
        <v>46082</v>
      </c>
      <c r="D520" t="inlineStr">
        <is>
          <t>JÄMTLANDS LÄN</t>
        </is>
      </c>
      <c r="E520" t="inlineStr">
        <is>
          <t>HÄRJEDALEN</t>
        </is>
      </c>
      <c r="G520" t="n">
        <v>6.2</v>
      </c>
      <c r="H520" t="n">
        <v>0</v>
      </c>
      <c r="I520" t="n">
        <v>0</v>
      </c>
      <c r="J520" t="n">
        <v>0</v>
      </c>
      <c r="K520" t="n">
        <v>0</v>
      </c>
      <c r="L520" t="n">
        <v>0</v>
      </c>
      <c r="M520" t="n">
        <v>0</v>
      </c>
      <c r="N520" t="n">
        <v>0</v>
      </c>
      <c r="O520" t="n">
        <v>0</v>
      </c>
      <c r="P520" t="n">
        <v>0</v>
      </c>
      <c r="Q520" t="n">
        <v>0</v>
      </c>
      <c r="R520" s="2" t="inlineStr"/>
    </row>
    <row r="521" ht="15" customHeight="1">
      <c r="A521" t="inlineStr">
        <is>
          <t>A 31772-2025</t>
        </is>
      </c>
      <c r="B521" s="1" t="n">
        <v>45834.51079861111</v>
      </c>
      <c r="C521" s="1" t="n">
        <v>46082</v>
      </c>
      <c r="D521" t="inlineStr">
        <is>
          <t>JÄMTLANDS LÄN</t>
        </is>
      </c>
      <c r="E521" t="inlineStr">
        <is>
          <t>HÄRJEDALEN</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53002-2024</t>
        </is>
      </c>
      <c r="B522" s="1" t="n">
        <v>45611.38759259259</v>
      </c>
      <c r="C522" s="1" t="n">
        <v>46082</v>
      </c>
      <c r="D522" t="inlineStr">
        <is>
          <t>JÄMTLANDS LÄN</t>
        </is>
      </c>
      <c r="E522" t="inlineStr">
        <is>
          <t>HÄRJEDALEN</t>
        </is>
      </c>
      <c r="G522" t="n">
        <v>7.7</v>
      </c>
      <c r="H522" t="n">
        <v>0</v>
      </c>
      <c r="I522" t="n">
        <v>0</v>
      </c>
      <c r="J522" t="n">
        <v>0</v>
      </c>
      <c r="K522" t="n">
        <v>0</v>
      </c>
      <c r="L522" t="n">
        <v>0</v>
      </c>
      <c r="M522" t="n">
        <v>0</v>
      </c>
      <c r="N522" t="n">
        <v>0</v>
      </c>
      <c r="O522" t="n">
        <v>0</v>
      </c>
      <c r="P522" t="n">
        <v>0</v>
      </c>
      <c r="Q522" t="n">
        <v>0</v>
      </c>
      <c r="R522" s="2" t="inlineStr"/>
    </row>
    <row r="523" ht="15" customHeight="1">
      <c r="A523" t="inlineStr">
        <is>
          <t>A 42773-2025</t>
        </is>
      </c>
      <c r="B523" s="1" t="n">
        <v>45908.48638888889</v>
      </c>
      <c r="C523" s="1" t="n">
        <v>46082</v>
      </c>
      <c r="D523" t="inlineStr">
        <is>
          <t>JÄMTLANDS LÄN</t>
        </is>
      </c>
      <c r="E523" t="inlineStr">
        <is>
          <t>HÄRJEDALEN</t>
        </is>
      </c>
      <c r="F523" t="inlineStr">
        <is>
          <t>Holmen skog AB</t>
        </is>
      </c>
      <c r="G523" t="n">
        <v>13.2</v>
      </c>
      <c r="H523" t="n">
        <v>0</v>
      </c>
      <c r="I523" t="n">
        <v>0</v>
      </c>
      <c r="J523" t="n">
        <v>0</v>
      </c>
      <c r="K523" t="n">
        <v>0</v>
      </c>
      <c r="L523" t="n">
        <v>0</v>
      </c>
      <c r="M523" t="n">
        <v>0</v>
      </c>
      <c r="N523" t="n">
        <v>0</v>
      </c>
      <c r="O523" t="n">
        <v>0</v>
      </c>
      <c r="P523" t="n">
        <v>0</v>
      </c>
      <c r="Q523" t="n">
        <v>0</v>
      </c>
      <c r="R523" s="2" t="inlineStr"/>
      <c r="U523">
        <f>HYPERLINK("https://klasma.github.io/Logging_2361/knärot/A 42773-2025 karta knärot.png", "A 42773-2025")</f>
        <v/>
      </c>
      <c r="V523">
        <f>HYPERLINK("https://klasma.github.io/Logging_2361/klagomål/A 42773-2025 FSC-klagomål.docx", "A 42773-2025")</f>
        <v/>
      </c>
      <c r="W523">
        <f>HYPERLINK("https://klasma.github.io/Logging_2361/klagomålsmail/A 42773-2025 FSC-klagomål mail.docx", "A 42773-2025")</f>
        <v/>
      </c>
      <c r="X523">
        <f>HYPERLINK("https://klasma.github.io/Logging_2361/tillsyn/A 42773-2025 tillsynsbegäran.docx", "A 42773-2025")</f>
        <v/>
      </c>
      <c r="Y523">
        <f>HYPERLINK("https://klasma.github.io/Logging_2361/tillsynsmail/A 42773-2025 tillsynsbegäran mail.docx", "A 42773-2025")</f>
        <v/>
      </c>
    </row>
    <row r="524" ht="15" customHeight="1">
      <c r="A524" t="inlineStr">
        <is>
          <t>A 42816-2025</t>
        </is>
      </c>
      <c r="B524" s="1" t="n">
        <v>45908.56461805556</v>
      </c>
      <c r="C524" s="1" t="n">
        <v>46082</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31910-2025</t>
        </is>
      </c>
      <c r="B525" s="1" t="n">
        <v>45834.69577546296</v>
      </c>
      <c r="C525" s="1" t="n">
        <v>46082</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31915-2025</t>
        </is>
      </c>
      <c r="B526" s="1" t="n">
        <v>45834.71440972222</v>
      </c>
      <c r="C526" s="1" t="n">
        <v>46082</v>
      </c>
      <c r="D526" t="inlineStr">
        <is>
          <t>JÄMTLANDS LÄN</t>
        </is>
      </c>
      <c r="E526" t="inlineStr">
        <is>
          <t>HÄRJEDALEN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42605-2025</t>
        </is>
      </c>
      <c r="B527" s="1" t="n">
        <v>45905.67454861111</v>
      </c>
      <c r="C527" s="1" t="n">
        <v>46082</v>
      </c>
      <c r="D527" t="inlineStr">
        <is>
          <t>JÄMTLANDS LÄN</t>
        </is>
      </c>
      <c r="E527" t="inlineStr">
        <is>
          <t>HÄRJEDALEN</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31498-2025</t>
        </is>
      </c>
      <c r="B528" s="1" t="n">
        <v>45833</v>
      </c>
      <c r="C528" s="1" t="n">
        <v>46082</v>
      </c>
      <c r="D528" t="inlineStr">
        <is>
          <t>JÄMTLANDS LÄN</t>
        </is>
      </c>
      <c r="E528" t="inlineStr">
        <is>
          <t>HÄRJEDALEN</t>
        </is>
      </c>
      <c r="F528" t="inlineStr">
        <is>
          <t>Bergvik skog väst AB</t>
        </is>
      </c>
      <c r="G528" t="n">
        <v>9.6</v>
      </c>
      <c r="H528" t="n">
        <v>0</v>
      </c>
      <c r="I528" t="n">
        <v>0</v>
      </c>
      <c r="J528" t="n">
        <v>0</v>
      </c>
      <c r="K528" t="n">
        <v>0</v>
      </c>
      <c r="L528" t="n">
        <v>0</v>
      </c>
      <c r="M528" t="n">
        <v>0</v>
      </c>
      <c r="N528" t="n">
        <v>0</v>
      </c>
      <c r="O528" t="n">
        <v>0</v>
      </c>
      <c r="P528" t="n">
        <v>0</v>
      </c>
      <c r="Q528" t="n">
        <v>0</v>
      </c>
      <c r="R528" s="2" t="inlineStr"/>
    </row>
    <row r="529" ht="15" customHeight="1">
      <c r="A529" t="inlineStr">
        <is>
          <t>A 31294-2025</t>
        </is>
      </c>
      <c r="B529" s="1" t="n">
        <v>45833.36467592593</v>
      </c>
      <c r="C529" s="1" t="n">
        <v>46082</v>
      </c>
      <c r="D529" t="inlineStr">
        <is>
          <t>JÄMTLANDS LÄN</t>
        </is>
      </c>
      <c r="E529" t="inlineStr">
        <is>
          <t>HÄRJEDALEN</t>
        </is>
      </c>
      <c r="F529" t="inlineStr">
        <is>
          <t>Bergvik skog väst AB</t>
        </is>
      </c>
      <c r="G529" t="n">
        <v>22.1</v>
      </c>
      <c r="H529" t="n">
        <v>0</v>
      </c>
      <c r="I529" t="n">
        <v>0</v>
      </c>
      <c r="J529" t="n">
        <v>0</v>
      </c>
      <c r="K529" t="n">
        <v>0</v>
      </c>
      <c r="L529" t="n">
        <v>0</v>
      </c>
      <c r="M529" t="n">
        <v>0</v>
      </c>
      <c r="N529" t="n">
        <v>0</v>
      </c>
      <c r="O529" t="n">
        <v>0</v>
      </c>
      <c r="P529" t="n">
        <v>0</v>
      </c>
      <c r="Q529" t="n">
        <v>0</v>
      </c>
      <c r="R529" s="2" t="inlineStr"/>
    </row>
    <row r="530" ht="15" customHeight="1">
      <c r="A530" t="inlineStr">
        <is>
          <t>A 31522-2025</t>
        </is>
      </c>
      <c r="B530" s="1" t="n">
        <v>45833.6081712963</v>
      </c>
      <c r="C530" s="1" t="n">
        <v>46082</v>
      </c>
      <c r="D530" t="inlineStr">
        <is>
          <t>JÄMTLANDS LÄN</t>
        </is>
      </c>
      <c r="E530" t="inlineStr">
        <is>
          <t>HÄRJEDALEN</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31526-2025</t>
        </is>
      </c>
      <c r="B531" s="1" t="n">
        <v>45833</v>
      </c>
      <c r="C531" s="1" t="n">
        <v>46082</v>
      </c>
      <c r="D531" t="inlineStr">
        <is>
          <t>JÄMTLANDS LÄN</t>
        </is>
      </c>
      <c r="E531" t="inlineStr">
        <is>
          <t>HÄRJEDALEN</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31570-2025</t>
        </is>
      </c>
      <c r="B532" s="1" t="n">
        <v>45833</v>
      </c>
      <c r="C532" s="1" t="n">
        <v>46082</v>
      </c>
      <c r="D532" t="inlineStr">
        <is>
          <t>JÄMTLANDS LÄN</t>
        </is>
      </c>
      <c r="E532" t="inlineStr">
        <is>
          <t>HÄRJEDALEN</t>
        </is>
      </c>
      <c r="F532" t="inlineStr">
        <is>
          <t>Bergvik skog väst AB</t>
        </is>
      </c>
      <c r="G532" t="n">
        <v>5.4</v>
      </c>
      <c r="H532" t="n">
        <v>0</v>
      </c>
      <c r="I532" t="n">
        <v>0</v>
      </c>
      <c r="J532" t="n">
        <v>0</v>
      </c>
      <c r="K532" t="n">
        <v>0</v>
      </c>
      <c r="L532" t="n">
        <v>0</v>
      </c>
      <c r="M532" t="n">
        <v>0</v>
      </c>
      <c r="N532" t="n">
        <v>0</v>
      </c>
      <c r="O532" t="n">
        <v>0</v>
      </c>
      <c r="P532" t="n">
        <v>0</v>
      </c>
      <c r="Q532" t="n">
        <v>0</v>
      </c>
      <c r="R532" s="2" t="inlineStr"/>
    </row>
    <row r="533" ht="15" customHeight="1">
      <c r="A533" t="inlineStr">
        <is>
          <t>A 31884-2025</t>
        </is>
      </c>
      <c r="B533" s="1" t="n">
        <v>45834.6568287037</v>
      </c>
      <c r="C533" s="1" t="n">
        <v>46082</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31913-2025</t>
        </is>
      </c>
      <c r="B534" s="1" t="n">
        <v>45834.7087962963</v>
      </c>
      <c r="C534" s="1" t="n">
        <v>46082</v>
      </c>
      <c r="D534" t="inlineStr">
        <is>
          <t>JÄMTLANDS LÄN</t>
        </is>
      </c>
      <c r="E534" t="inlineStr">
        <is>
          <t>HÄRJEDALEN</t>
        </is>
      </c>
      <c r="G534" t="n">
        <v>0.3</v>
      </c>
      <c r="H534" t="n">
        <v>0</v>
      </c>
      <c r="I534" t="n">
        <v>0</v>
      </c>
      <c r="J534" t="n">
        <v>0</v>
      </c>
      <c r="K534" t="n">
        <v>0</v>
      </c>
      <c r="L534" t="n">
        <v>0</v>
      </c>
      <c r="M534" t="n">
        <v>0</v>
      </c>
      <c r="N534" t="n">
        <v>0</v>
      </c>
      <c r="O534" t="n">
        <v>0</v>
      </c>
      <c r="P534" t="n">
        <v>0</v>
      </c>
      <c r="Q534" t="n">
        <v>0</v>
      </c>
      <c r="R534" s="2" t="inlineStr"/>
    </row>
    <row r="535" ht="15" customHeight="1">
      <c r="A535" t="inlineStr">
        <is>
          <t>A 51311-2024</t>
        </is>
      </c>
      <c r="B535" s="1" t="n">
        <v>45604.31657407407</v>
      </c>
      <c r="C535" s="1" t="n">
        <v>46082</v>
      </c>
      <c r="D535" t="inlineStr">
        <is>
          <t>JÄMTLANDS LÄN</t>
        </is>
      </c>
      <c r="E535" t="inlineStr">
        <is>
          <t>HÄRJEDALEN</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32180-2025</t>
        </is>
      </c>
      <c r="B536" s="1" t="n">
        <v>45835.55998842593</v>
      </c>
      <c r="C536" s="1" t="n">
        <v>46082</v>
      </c>
      <c r="D536" t="inlineStr">
        <is>
          <t>JÄMTLANDS LÄN</t>
        </is>
      </c>
      <c r="E536" t="inlineStr">
        <is>
          <t>HÄRJEDALEN</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46082</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31921-2025</t>
        </is>
      </c>
      <c r="B538" s="1" t="n">
        <v>45834.80229166667</v>
      </c>
      <c r="C538" s="1" t="n">
        <v>46082</v>
      </c>
      <c r="D538" t="inlineStr">
        <is>
          <t>JÄMTLANDS LÄN</t>
        </is>
      </c>
      <c r="E538" t="inlineStr">
        <is>
          <t>HÄRJEDALEN</t>
        </is>
      </c>
      <c r="G538" t="n">
        <v>2.9</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46082</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32178-2025</t>
        </is>
      </c>
      <c r="B540" s="1" t="n">
        <v>45835.5583912037</v>
      </c>
      <c r="C540" s="1" t="n">
        <v>46082</v>
      </c>
      <c r="D540" t="inlineStr">
        <is>
          <t>JÄMTLANDS LÄN</t>
        </is>
      </c>
      <c r="E540" t="inlineStr">
        <is>
          <t>HÄRJEDALEN</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32190-2025</t>
        </is>
      </c>
      <c r="B541" s="1" t="n">
        <v>45835.57069444445</v>
      </c>
      <c r="C541" s="1" t="n">
        <v>46082</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7328-2024</t>
        </is>
      </c>
      <c r="B542" s="1" t="n">
        <v>45345</v>
      </c>
      <c r="C542" s="1" t="n">
        <v>46082</v>
      </c>
      <c r="D542" t="inlineStr">
        <is>
          <t>JÄMTLANDS LÄN</t>
        </is>
      </c>
      <c r="E542" t="inlineStr">
        <is>
          <t>HÄRJEDALEN</t>
        </is>
      </c>
      <c r="F542" t="inlineStr">
        <is>
          <t>Sveaskog</t>
        </is>
      </c>
      <c r="G542" t="n">
        <v>0.1</v>
      </c>
      <c r="H542" t="n">
        <v>0</v>
      </c>
      <c r="I542" t="n">
        <v>0</v>
      </c>
      <c r="J542" t="n">
        <v>0</v>
      </c>
      <c r="K542" t="n">
        <v>0</v>
      </c>
      <c r="L542" t="n">
        <v>0</v>
      </c>
      <c r="M542" t="n">
        <v>0</v>
      </c>
      <c r="N542" t="n">
        <v>0</v>
      </c>
      <c r="O542" t="n">
        <v>0</v>
      </c>
      <c r="P542" t="n">
        <v>0</v>
      </c>
      <c r="Q542" t="n">
        <v>0</v>
      </c>
      <c r="R542" s="2" t="inlineStr"/>
    </row>
    <row r="543" ht="15" customHeight="1">
      <c r="A543" t="inlineStr">
        <is>
          <t>A 16304-2025</t>
        </is>
      </c>
      <c r="B543" s="1" t="n">
        <v>45751.34636574074</v>
      </c>
      <c r="C543" s="1" t="n">
        <v>46082</v>
      </c>
      <c r="D543" t="inlineStr">
        <is>
          <t>JÄMTLANDS LÄN</t>
        </is>
      </c>
      <c r="E543" t="inlineStr">
        <is>
          <t>HÄRJEDALEN</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14204-2025</t>
        </is>
      </c>
      <c r="B544" s="1" t="n">
        <v>45740.57487268518</v>
      </c>
      <c r="C544" s="1" t="n">
        <v>46082</v>
      </c>
      <c r="D544" t="inlineStr">
        <is>
          <t>JÄMTLANDS LÄN</t>
        </is>
      </c>
      <c r="E544" t="inlineStr">
        <is>
          <t>HÄRJEDALEN</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32910-2022</t>
        </is>
      </c>
      <c r="B545" s="1" t="n">
        <v>44784.60677083334</v>
      </c>
      <c r="C545" s="1" t="n">
        <v>46082</v>
      </c>
      <c r="D545" t="inlineStr">
        <is>
          <t>JÄMTLANDS LÄN</t>
        </is>
      </c>
      <c r="E545" t="inlineStr">
        <is>
          <t>HÄRJEDALEN</t>
        </is>
      </c>
      <c r="F545" t="inlineStr">
        <is>
          <t>Bergvik skog väst AB</t>
        </is>
      </c>
      <c r="G545" t="n">
        <v>14.4</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46082</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42805-2025</t>
        </is>
      </c>
      <c r="B547" s="1" t="n">
        <v>45908.54806712963</v>
      </c>
      <c r="C547" s="1" t="n">
        <v>46082</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42963-2025</t>
        </is>
      </c>
      <c r="B548" s="1" t="n">
        <v>45909.37046296296</v>
      </c>
      <c r="C548" s="1" t="n">
        <v>46082</v>
      </c>
      <c r="D548" t="inlineStr">
        <is>
          <t>JÄMTLANDS LÄN</t>
        </is>
      </c>
      <c r="E548" t="inlineStr">
        <is>
          <t>HÄRJEDALEN</t>
        </is>
      </c>
      <c r="G548" t="n">
        <v>4.3</v>
      </c>
      <c r="H548" t="n">
        <v>0</v>
      </c>
      <c r="I548" t="n">
        <v>0</v>
      </c>
      <c r="J548" t="n">
        <v>0</v>
      </c>
      <c r="K548" t="n">
        <v>0</v>
      </c>
      <c r="L548" t="n">
        <v>0</v>
      </c>
      <c r="M548" t="n">
        <v>0</v>
      </c>
      <c r="N548" t="n">
        <v>0</v>
      </c>
      <c r="O548" t="n">
        <v>0</v>
      </c>
      <c r="P548" t="n">
        <v>0</v>
      </c>
      <c r="Q548" t="n">
        <v>0</v>
      </c>
      <c r="R548" s="2" t="inlineStr"/>
    </row>
    <row r="549" ht="15" customHeight="1">
      <c r="A549" t="inlineStr">
        <is>
          <t>A 41711-2022</t>
        </is>
      </c>
      <c r="B549" s="1" t="n">
        <v>44827</v>
      </c>
      <c r="C549" s="1" t="n">
        <v>46082</v>
      </c>
      <c r="D549" t="inlineStr">
        <is>
          <t>JÄMTLANDS LÄN</t>
        </is>
      </c>
      <c r="E549" t="inlineStr">
        <is>
          <t>HÄRJEDALEN</t>
        </is>
      </c>
      <c r="G549" t="n">
        <v>18.3</v>
      </c>
      <c r="H549" t="n">
        <v>0</v>
      </c>
      <c r="I549" t="n">
        <v>0</v>
      </c>
      <c r="J549" t="n">
        <v>0</v>
      </c>
      <c r="K549" t="n">
        <v>0</v>
      </c>
      <c r="L549" t="n">
        <v>0</v>
      </c>
      <c r="M549" t="n">
        <v>0</v>
      </c>
      <c r="N549" t="n">
        <v>0</v>
      </c>
      <c r="O549" t="n">
        <v>0</v>
      </c>
      <c r="P549" t="n">
        <v>0</v>
      </c>
      <c r="Q549" t="n">
        <v>0</v>
      </c>
      <c r="R549" s="2" t="inlineStr"/>
    </row>
    <row r="550" ht="15" customHeight="1">
      <c r="A550" t="inlineStr">
        <is>
          <t>A 32841-2025</t>
        </is>
      </c>
      <c r="B550" s="1" t="n">
        <v>45839.5658912037</v>
      </c>
      <c r="C550" s="1" t="n">
        <v>46082</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43323-2025</t>
        </is>
      </c>
      <c r="B551" s="1" t="n">
        <v>45910.66498842592</v>
      </c>
      <c r="C551" s="1" t="n">
        <v>46082</v>
      </c>
      <c r="D551" t="inlineStr">
        <is>
          <t>JÄMTLANDS LÄN</t>
        </is>
      </c>
      <c r="E551" t="inlineStr">
        <is>
          <t>HÄRJEDALEN</t>
        </is>
      </c>
      <c r="F551" t="inlineStr">
        <is>
          <t>Sveaskog</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46058-2024</t>
        </is>
      </c>
      <c r="B552" s="1" t="n">
        <v>45580.92037037037</v>
      </c>
      <c r="C552" s="1" t="n">
        <v>46082</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33235-2025</t>
        </is>
      </c>
      <c r="B553" s="1" t="n">
        <v>45840.64394675926</v>
      </c>
      <c r="C553" s="1" t="n">
        <v>46082</v>
      </c>
      <c r="D553" t="inlineStr">
        <is>
          <t>JÄMTLANDS LÄN</t>
        </is>
      </c>
      <c r="E553" t="inlineStr">
        <is>
          <t>HÄRJEDALEN</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14798-2021</t>
        </is>
      </c>
      <c r="B554" s="1" t="n">
        <v>44280</v>
      </c>
      <c r="C554" s="1" t="n">
        <v>46082</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42943-2025</t>
        </is>
      </c>
      <c r="B555" s="1" t="n">
        <v>45909</v>
      </c>
      <c r="C555" s="1" t="n">
        <v>46082</v>
      </c>
      <c r="D555" t="inlineStr">
        <is>
          <t>JÄMTLANDS LÄN</t>
        </is>
      </c>
      <c r="E555" t="inlineStr">
        <is>
          <t>HÄRJEDALEN</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33690-2025</t>
        </is>
      </c>
      <c r="B556" s="1" t="n">
        <v>45841.69273148148</v>
      </c>
      <c r="C556" s="1" t="n">
        <v>46082</v>
      </c>
      <c r="D556" t="inlineStr">
        <is>
          <t>JÄMTLANDS LÄN</t>
        </is>
      </c>
      <c r="E556" t="inlineStr">
        <is>
          <t>HÄRJEDALEN</t>
        </is>
      </c>
      <c r="G556" t="n">
        <v>1.5</v>
      </c>
      <c r="H556" t="n">
        <v>0</v>
      </c>
      <c r="I556" t="n">
        <v>0</v>
      </c>
      <c r="J556" t="n">
        <v>0</v>
      </c>
      <c r="K556" t="n">
        <v>0</v>
      </c>
      <c r="L556" t="n">
        <v>0</v>
      </c>
      <c r="M556" t="n">
        <v>0</v>
      </c>
      <c r="N556" t="n">
        <v>0</v>
      </c>
      <c r="O556" t="n">
        <v>0</v>
      </c>
      <c r="P556" t="n">
        <v>0</v>
      </c>
      <c r="Q556" t="n">
        <v>0</v>
      </c>
      <c r="R556" s="2" t="inlineStr"/>
    </row>
    <row r="557" ht="15" customHeight="1">
      <c r="A557" t="inlineStr">
        <is>
          <t>A 33447-2025</t>
        </is>
      </c>
      <c r="B557" s="1" t="n">
        <v>45841.46512731481</v>
      </c>
      <c r="C557" s="1" t="n">
        <v>46082</v>
      </c>
      <c r="D557" t="inlineStr">
        <is>
          <t>JÄMTLANDS LÄN</t>
        </is>
      </c>
      <c r="E557" t="inlineStr">
        <is>
          <t>HÄRJEDALEN</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55661-2024</t>
        </is>
      </c>
      <c r="B558" s="1" t="n">
        <v>45622.64012731481</v>
      </c>
      <c r="C558" s="1" t="n">
        <v>46082</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28627-2024</t>
        </is>
      </c>
      <c r="B559" s="1" t="n">
        <v>45478.44497685185</v>
      </c>
      <c r="C559" s="1" t="n">
        <v>46082</v>
      </c>
      <c r="D559" t="inlineStr">
        <is>
          <t>JÄMTLANDS LÄN</t>
        </is>
      </c>
      <c r="E559" t="inlineStr">
        <is>
          <t>HÄRJEDALEN</t>
        </is>
      </c>
      <c r="F559" t="inlineStr">
        <is>
          <t>Bergvik skog väst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33438-2025</t>
        </is>
      </c>
      <c r="B560" s="1" t="n">
        <v>45841.45137731481</v>
      </c>
      <c r="C560" s="1" t="n">
        <v>46082</v>
      </c>
      <c r="D560" t="inlineStr">
        <is>
          <t>JÄMTLANDS LÄN</t>
        </is>
      </c>
      <c r="E560" t="inlineStr">
        <is>
          <t>HÄRJEDALEN</t>
        </is>
      </c>
      <c r="G560" t="n">
        <v>2</v>
      </c>
      <c r="H560" t="n">
        <v>0</v>
      </c>
      <c r="I560" t="n">
        <v>0</v>
      </c>
      <c r="J560" t="n">
        <v>0</v>
      </c>
      <c r="K560" t="n">
        <v>0</v>
      </c>
      <c r="L560" t="n">
        <v>0</v>
      </c>
      <c r="M560" t="n">
        <v>0</v>
      </c>
      <c r="N560" t="n">
        <v>0</v>
      </c>
      <c r="O560" t="n">
        <v>0</v>
      </c>
      <c r="P560" t="n">
        <v>0</v>
      </c>
      <c r="Q560" t="n">
        <v>0</v>
      </c>
      <c r="R560" s="2" t="inlineStr"/>
    </row>
    <row r="561" ht="15" customHeight="1">
      <c r="A561" t="inlineStr">
        <is>
          <t>A 33406-2025</t>
        </is>
      </c>
      <c r="B561" s="1" t="n">
        <v>45841.4312037037</v>
      </c>
      <c r="C561" s="1" t="n">
        <v>46082</v>
      </c>
      <c r="D561" t="inlineStr">
        <is>
          <t>JÄMTLANDS LÄN</t>
        </is>
      </c>
      <c r="E561" t="inlineStr">
        <is>
          <t>HÄRJEDALEN</t>
        </is>
      </c>
      <c r="G561" t="n">
        <v>1.4</v>
      </c>
      <c r="H561" t="n">
        <v>0</v>
      </c>
      <c r="I561" t="n">
        <v>0</v>
      </c>
      <c r="J561" t="n">
        <v>0</v>
      </c>
      <c r="K561" t="n">
        <v>0</v>
      </c>
      <c r="L561" t="n">
        <v>0</v>
      </c>
      <c r="M561" t="n">
        <v>0</v>
      </c>
      <c r="N561" t="n">
        <v>0</v>
      </c>
      <c r="O561" t="n">
        <v>0</v>
      </c>
      <c r="P561" t="n">
        <v>0</v>
      </c>
      <c r="Q561" t="n">
        <v>0</v>
      </c>
      <c r="R561" s="2" t="inlineStr"/>
    </row>
    <row r="562" ht="15" customHeight="1">
      <c r="A562" t="inlineStr">
        <is>
          <t>A 43136-2025</t>
        </is>
      </c>
      <c r="B562" s="1" t="n">
        <v>45909.85402777778</v>
      </c>
      <c r="C562" s="1" t="n">
        <v>46082</v>
      </c>
      <c r="D562" t="inlineStr">
        <is>
          <t>JÄMTLANDS LÄN</t>
        </is>
      </c>
      <c r="E562" t="inlineStr">
        <is>
          <t>HÄRJEDALEN</t>
        </is>
      </c>
      <c r="F562" t="inlineStr">
        <is>
          <t>Övriga statliga verk och myndigheter</t>
        </is>
      </c>
      <c r="G562" t="n">
        <v>34.2</v>
      </c>
      <c r="H562" t="n">
        <v>0</v>
      </c>
      <c r="I562" t="n">
        <v>0</v>
      </c>
      <c r="J562" t="n">
        <v>0</v>
      </c>
      <c r="K562" t="n">
        <v>0</v>
      </c>
      <c r="L562" t="n">
        <v>0</v>
      </c>
      <c r="M562" t="n">
        <v>0</v>
      </c>
      <c r="N562" t="n">
        <v>0</v>
      </c>
      <c r="O562" t="n">
        <v>0</v>
      </c>
      <c r="P562" t="n">
        <v>0</v>
      </c>
      <c r="Q562" t="n">
        <v>0</v>
      </c>
      <c r="R562" s="2" t="inlineStr"/>
    </row>
    <row r="563" ht="15" customHeight="1">
      <c r="A563" t="inlineStr">
        <is>
          <t>A 33845-2025</t>
        </is>
      </c>
      <c r="B563" s="1" t="n">
        <v>45842.48990740741</v>
      </c>
      <c r="C563" s="1" t="n">
        <v>46082</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59462-2024</t>
        </is>
      </c>
      <c r="B564" s="1" t="n">
        <v>45638</v>
      </c>
      <c r="C564" s="1" t="n">
        <v>46082</v>
      </c>
      <c r="D564" t="inlineStr">
        <is>
          <t>JÄMTLANDS LÄN</t>
        </is>
      </c>
      <c r="E564" t="inlineStr">
        <is>
          <t>HÄRJEDALEN</t>
        </is>
      </c>
      <c r="F564" t="inlineStr">
        <is>
          <t>Holmen skog AB</t>
        </is>
      </c>
      <c r="G564" t="n">
        <v>9.6</v>
      </c>
      <c r="H564" t="n">
        <v>0</v>
      </c>
      <c r="I564" t="n">
        <v>0</v>
      </c>
      <c r="J564" t="n">
        <v>0</v>
      </c>
      <c r="K564" t="n">
        <v>0</v>
      </c>
      <c r="L564" t="n">
        <v>0</v>
      </c>
      <c r="M564" t="n">
        <v>0</v>
      </c>
      <c r="N564" t="n">
        <v>0</v>
      </c>
      <c r="O564" t="n">
        <v>0</v>
      </c>
      <c r="P564" t="n">
        <v>0</v>
      </c>
      <c r="Q564" t="n">
        <v>0</v>
      </c>
      <c r="R564" s="2" t="inlineStr"/>
    </row>
    <row r="565" ht="15" customHeight="1">
      <c r="A565" t="inlineStr">
        <is>
          <t>A 43517-2025</t>
        </is>
      </c>
      <c r="B565" s="1" t="n">
        <v>45911.5727662037</v>
      </c>
      <c r="C565" s="1" t="n">
        <v>46082</v>
      </c>
      <c r="D565" t="inlineStr">
        <is>
          <t>JÄMTLANDS LÄN</t>
        </is>
      </c>
      <c r="E565" t="inlineStr">
        <is>
          <t>HÄRJEDALEN</t>
        </is>
      </c>
      <c r="F565" t="inlineStr">
        <is>
          <t>Bergvik skog väst AB</t>
        </is>
      </c>
      <c r="G565" t="n">
        <v>6.8</v>
      </c>
      <c r="H565" t="n">
        <v>0</v>
      </c>
      <c r="I565" t="n">
        <v>0</v>
      </c>
      <c r="J565" t="n">
        <v>0</v>
      </c>
      <c r="K565" t="n">
        <v>0</v>
      </c>
      <c r="L565" t="n">
        <v>0</v>
      </c>
      <c r="M565" t="n">
        <v>0</v>
      </c>
      <c r="N565" t="n">
        <v>0</v>
      </c>
      <c r="O565" t="n">
        <v>0</v>
      </c>
      <c r="P565" t="n">
        <v>0</v>
      </c>
      <c r="Q565" t="n">
        <v>0</v>
      </c>
      <c r="R565" s="2" t="inlineStr"/>
    </row>
    <row r="566" ht="15" customHeight="1">
      <c r="A566" t="inlineStr">
        <is>
          <t>A 51191-2024</t>
        </is>
      </c>
      <c r="B566" s="1" t="n">
        <v>45603</v>
      </c>
      <c r="C566" s="1" t="n">
        <v>46082</v>
      </c>
      <c r="D566" t="inlineStr">
        <is>
          <t>JÄMTLANDS LÄN</t>
        </is>
      </c>
      <c r="E566" t="inlineStr">
        <is>
          <t>HÄRJEDALEN</t>
        </is>
      </c>
      <c r="F566" t="inlineStr">
        <is>
          <t>Holmen skog AB</t>
        </is>
      </c>
      <c r="G566" t="n">
        <v>9.1</v>
      </c>
      <c r="H566" t="n">
        <v>0</v>
      </c>
      <c r="I566" t="n">
        <v>0</v>
      </c>
      <c r="J566" t="n">
        <v>0</v>
      </c>
      <c r="K566" t="n">
        <v>0</v>
      </c>
      <c r="L566" t="n">
        <v>0</v>
      </c>
      <c r="M566" t="n">
        <v>0</v>
      </c>
      <c r="N566" t="n">
        <v>0</v>
      </c>
      <c r="O566" t="n">
        <v>0</v>
      </c>
      <c r="P566" t="n">
        <v>0</v>
      </c>
      <c r="Q566" t="n">
        <v>0</v>
      </c>
      <c r="R566" s="2" t="inlineStr"/>
    </row>
    <row r="567" ht="15" customHeight="1">
      <c r="A567" t="inlineStr">
        <is>
          <t>A 43470-2025</t>
        </is>
      </c>
      <c r="B567" s="1" t="n">
        <v>45911.48010416667</v>
      </c>
      <c r="C567" s="1" t="n">
        <v>46082</v>
      </c>
      <c r="D567" t="inlineStr">
        <is>
          <t>JÄMTLANDS LÄN</t>
        </is>
      </c>
      <c r="E567" t="inlineStr">
        <is>
          <t>HÄRJEDALEN</t>
        </is>
      </c>
      <c r="G567" t="n">
        <v>10.9</v>
      </c>
      <c r="H567" t="n">
        <v>0</v>
      </c>
      <c r="I567" t="n">
        <v>0</v>
      </c>
      <c r="J567" t="n">
        <v>0</v>
      </c>
      <c r="K567" t="n">
        <v>0</v>
      </c>
      <c r="L567" t="n">
        <v>0</v>
      </c>
      <c r="M567" t="n">
        <v>0</v>
      </c>
      <c r="N567" t="n">
        <v>0</v>
      </c>
      <c r="O567" t="n">
        <v>0</v>
      </c>
      <c r="P567" t="n">
        <v>0</v>
      </c>
      <c r="Q567" t="n">
        <v>0</v>
      </c>
      <c r="R567" s="2" t="inlineStr"/>
    </row>
    <row r="568" ht="15" customHeight="1">
      <c r="A568" t="inlineStr">
        <is>
          <t>A 53010-2024</t>
        </is>
      </c>
      <c r="B568" s="1" t="n">
        <v>45611.4021875</v>
      </c>
      <c r="C568" s="1" t="n">
        <v>46082</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55867-2024</t>
        </is>
      </c>
      <c r="B569" s="1" t="n">
        <v>45622</v>
      </c>
      <c r="C569" s="1" t="n">
        <v>46082</v>
      </c>
      <c r="D569" t="inlineStr">
        <is>
          <t>JÄMTLANDS LÄN</t>
        </is>
      </c>
      <c r="E569" t="inlineStr">
        <is>
          <t>HÄRJEDALEN</t>
        </is>
      </c>
      <c r="F569" t="inlineStr">
        <is>
          <t>Bergvik skog väst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54682-2024</t>
        </is>
      </c>
      <c r="B570" s="1" t="n">
        <v>45618</v>
      </c>
      <c r="C570" s="1" t="n">
        <v>46082</v>
      </c>
      <c r="D570" t="inlineStr">
        <is>
          <t>JÄMTLANDS LÄN</t>
        </is>
      </c>
      <c r="E570" t="inlineStr">
        <is>
          <t>HÄRJEDALEN</t>
        </is>
      </c>
      <c r="G570" t="n">
        <v>14.2</v>
      </c>
      <c r="H570" t="n">
        <v>0</v>
      </c>
      <c r="I570" t="n">
        <v>0</v>
      </c>
      <c r="J570" t="n">
        <v>0</v>
      </c>
      <c r="K570" t="n">
        <v>0</v>
      </c>
      <c r="L570" t="n">
        <v>0</v>
      </c>
      <c r="M570" t="n">
        <v>0</v>
      </c>
      <c r="N570" t="n">
        <v>0</v>
      </c>
      <c r="O570" t="n">
        <v>0</v>
      </c>
      <c r="P570" t="n">
        <v>0</v>
      </c>
      <c r="Q570" t="n">
        <v>0</v>
      </c>
      <c r="R570" s="2" t="inlineStr"/>
    </row>
    <row r="571" ht="15" customHeight="1">
      <c r="A571" t="inlineStr">
        <is>
          <t>A 43740-2025</t>
        </is>
      </c>
      <c r="B571" s="1" t="n">
        <v>45912.45496527778</v>
      </c>
      <c r="C571" s="1" t="n">
        <v>46082</v>
      </c>
      <c r="D571" t="inlineStr">
        <is>
          <t>JÄMTLANDS LÄN</t>
        </is>
      </c>
      <c r="E571" t="inlineStr">
        <is>
          <t>HÄRJEDALEN</t>
        </is>
      </c>
      <c r="F571" t="inlineStr">
        <is>
          <t>Bergvik skog väst AB</t>
        </is>
      </c>
      <c r="G571" t="n">
        <v>1.7</v>
      </c>
      <c r="H571" t="n">
        <v>0</v>
      </c>
      <c r="I571" t="n">
        <v>0</v>
      </c>
      <c r="J571" t="n">
        <v>0</v>
      </c>
      <c r="K571" t="n">
        <v>0</v>
      </c>
      <c r="L571" t="n">
        <v>0</v>
      </c>
      <c r="M571" t="n">
        <v>0</v>
      </c>
      <c r="N571" t="n">
        <v>0</v>
      </c>
      <c r="O571" t="n">
        <v>0</v>
      </c>
      <c r="P571" t="n">
        <v>0</v>
      </c>
      <c r="Q571" t="n">
        <v>0</v>
      </c>
      <c r="R571" s="2" t="inlineStr"/>
    </row>
    <row r="572" ht="15" customHeight="1">
      <c r="A572" t="inlineStr">
        <is>
          <t>A 43597-2025</t>
        </is>
      </c>
      <c r="B572" s="1" t="n">
        <v>45911.66243055555</v>
      </c>
      <c r="C572" s="1" t="n">
        <v>46082</v>
      </c>
      <c r="D572" t="inlineStr">
        <is>
          <t>JÄMTLANDS LÄN</t>
        </is>
      </c>
      <c r="E572" t="inlineStr">
        <is>
          <t>HÄRJEDALEN</t>
        </is>
      </c>
      <c r="F572" t="inlineStr">
        <is>
          <t>Bergvik skog väst AB</t>
        </is>
      </c>
      <c r="G572" t="n">
        <v>7</v>
      </c>
      <c r="H572" t="n">
        <v>0</v>
      </c>
      <c r="I572" t="n">
        <v>0</v>
      </c>
      <c r="J572" t="n">
        <v>0</v>
      </c>
      <c r="K572" t="n">
        <v>0</v>
      </c>
      <c r="L572" t="n">
        <v>0</v>
      </c>
      <c r="M572" t="n">
        <v>0</v>
      </c>
      <c r="N572" t="n">
        <v>0</v>
      </c>
      <c r="O572" t="n">
        <v>0</v>
      </c>
      <c r="P572" t="n">
        <v>0</v>
      </c>
      <c r="Q572" t="n">
        <v>0</v>
      </c>
      <c r="R572" s="2" t="inlineStr"/>
    </row>
    <row r="573" ht="15" customHeight="1">
      <c r="A573" t="inlineStr">
        <is>
          <t>A 34254-2025</t>
        </is>
      </c>
      <c r="B573" s="1" t="n">
        <v>45845.6920949074</v>
      </c>
      <c r="C573" s="1" t="n">
        <v>46082</v>
      </c>
      <c r="D573" t="inlineStr">
        <is>
          <t>JÄMTLANDS LÄN</t>
        </is>
      </c>
      <c r="E573" t="inlineStr">
        <is>
          <t>HÄRJEDALEN</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34144-2025</t>
        </is>
      </c>
      <c r="B574" s="1" t="n">
        <v>45845.55270833334</v>
      </c>
      <c r="C574" s="1" t="n">
        <v>46082</v>
      </c>
      <c r="D574" t="inlineStr">
        <is>
          <t>JÄMTLANDS LÄN</t>
        </is>
      </c>
      <c r="E574" t="inlineStr">
        <is>
          <t>HÄRJEDALEN</t>
        </is>
      </c>
      <c r="G574" t="n">
        <v>8.5</v>
      </c>
      <c r="H574" t="n">
        <v>0</v>
      </c>
      <c r="I574" t="n">
        <v>0</v>
      </c>
      <c r="J574" t="n">
        <v>0</v>
      </c>
      <c r="K574" t="n">
        <v>0</v>
      </c>
      <c r="L574" t="n">
        <v>0</v>
      </c>
      <c r="M574" t="n">
        <v>0</v>
      </c>
      <c r="N574" t="n">
        <v>0</v>
      </c>
      <c r="O574" t="n">
        <v>0</v>
      </c>
      <c r="P574" t="n">
        <v>0</v>
      </c>
      <c r="Q574" t="n">
        <v>0</v>
      </c>
      <c r="R574" s="2" t="inlineStr"/>
    </row>
    <row r="575" ht="15" customHeight="1">
      <c r="A575" t="inlineStr">
        <is>
          <t>A 34143-2025</t>
        </is>
      </c>
      <c r="B575" s="1" t="n">
        <v>45845.55266203704</v>
      </c>
      <c r="C575" s="1" t="n">
        <v>46082</v>
      </c>
      <c r="D575" t="inlineStr">
        <is>
          <t>JÄMTLANDS LÄN</t>
        </is>
      </c>
      <c r="E575" t="inlineStr">
        <is>
          <t>HÄRJEDALEN</t>
        </is>
      </c>
      <c r="G575" t="n">
        <v>5.9</v>
      </c>
      <c r="H575" t="n">
        <v>0</v>
      </c>
      <c r="I575" t="n">
        <v>0</v>
      </c>
      <c r="J575" t="n">
        <v>0</v>
      </c>
      <c r="K575" t="n">
        <v>0</v>
      </c>
      <c r="L575" t="n">
        <v>0</v>
      </c>
      <c r="M575" t="n">
        <v>0</v>
      </c>
      <c r="N575" t="n">
        <v>0</v>
      </c>
      <c r="O575" t="n">
        <v>0</v>
      </c>
      <c r="P575" t="n">
        <v>0</v>
      </c>
      <c r="Q575" t="n">
        <v>0</v>
      </c>
      <c r="R575" s="2" t="inlineStr"/>
    </row>
    <row r="576" ht="15" customHeight="1">
      <c r="A576" t="inlineStr">
        <is>
          <t>A 43623-2024</t>
        </is>
      </c>
      <c r="B576" s="1" t="n">
        <v>45569.48626157407</v>
      </c>
      <c r="C576" s="1" t="n">
        <v>46082</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34142-2025</t>
        </is>
      </c>
      <c r="B577" s="1" t="n">
        <v>45845.55259259259</v>
      </c>
      <c r="C577" s="1" t="n">
        <v>46082</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34726-2025</t>
        </is>
      </c>
      <c r="B578" s="1" t="n">
        <v>45848.57644675926</v>
      </c>
      <c r="C578" s="1" t="n">
        <v>46082</v>
      </c>
      <c r="D578" t="inlineStr">
        <is>
          <t>JÄMTLANDS LÄN</t>
        </is>
      </c>
      <c r="E578" t="inlineStr">
        <is>
          <t>HÄRJEDALEN</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34757-2025</t>
        </is>
      </c>
      <c r="B579" s="1" t="n">
        <v>45848.62873842593</v>
      </c>
      <c r="C579" s="1" t="n">
        <v>46082</v>
      </c>
      <c r="D579" t="inlineStr">
        <is>
          <t>JÄMTLANDS LÄN</t>
        </is>
      </c>
      <c r="E579" t="inlineStr">
        <is>
          <t>HÄRJEDALEN</t>
        </is>
      </c>
      <c r="G579" t="n">
        <v>19.6</v>
      </c>
      <c r="H579" t="n">
        <v>0</v>
      </c>
      <c r="I579" t="n">
        <v>0</v>
      </c>
      <c r="J579" t="n">
        <v>0</v>
      </c>
      <c r="K579" t="n">
        <v>0</v>
      </c>
      <c r="L579" t="n">
        <v>0</v>
      </c>
      <c r="M579" t="n">
        <v>0</v>
      </c>
      <c r="N579" t="n">
        <v>0</v>
      </c>
      <c r="O579" t="n">
        <v>0</v>
      </c>
      <c r="P579" t="n">
        <v>0</v>
      </c>
      <c r="Q579" t="n">
        <v>0</v>
      </c>
      <c r="R579" s="2" t="inlineStr"/>
    </row>
    <row r="580" ht="15" customHeight="1">
      <c r="A580" t="inlineStr">
        <is>
          <t>A 34761-2025</t>
        </is>
      </c>
      <c r="B580" s="1" t="n">
        <v>45848.639375</v>
      </c>
      <c r="C580" s="1" t="n">
        <v>46082</v>
      </c>
      <c r="D580" t="inlineStr">
        <is>
          <t>JÄMTLANDS LÄN</t>
        </is>
      </c>
      <c r="E580" t="inlineStr">
        <is>
          <t>HÄRJEDALEN</t>
        </is>
      </c>
      <c r="G580" t="n">
        <v>5.6</v>
      </c>
      <c r="H580" t="n">
        <v>0</v>
      </c>
      <c r="I580" t="n">
        <v>0</v>
      </c>
      <c r="J580" t="n">
        <v>0</v>
      </c>
      <c r="K580" t="n">
        <v>0</v>
      </c>
      <c r="L580" t="n">
        <v>0</v>
      </c>
      <c r="M580" t="n">
        <v>0</v>
      </c>
      <c r="N580" t="n">
        <v>0</v>
      </c>
      <c r="O580" t="n">
        <v>0</v>
      </c>
      <c r="P580" t="n">
        <v>0</v>
      </c>
      <c r="Q580" t="n">
        <v>0</v>
      </c>
      <c r="R580" s="2" t="inlineStr"/>
    </row>
    <row r="581" ht="15" customHeight="1">
      <c r="A581" t="inlineStr">
        <is>
          <t>A 34775-2025</t>
        </is>
      </c>
      <c r="B581" s="1" t="n">
        <v>45848.6568287037</v>
      </c>
      <c r="C581" s="1" t="n">
        <v>46082</v>
      </c>
      <c r="D581" t="inlineStr">
        <is>
          <t>JÄMTLANDS LÄN</t>
        </is>
      </c>
      <c r="E581" t="inlineStr">
        <is>
          <t>HÄRJEDALEN</t>
        </is>
      </c>
      <c r="G581" t="n">
        <v>2.1</v>
      </c>
      <c r="H581" t="n">
        <v>0</v>
      </c>
      <c r="I581" t="n">
        <v>0</v>
      </c>
      <c r="J581" t="n">
        <v>0</v>
      </c>
      <c r="K581" t="n">
        <v>0</v>
      </c>
      <c r="L581" t="n">
        <v>0</v>
      </c>
      <c r="M581" t="n">
        <v>0</v>
      </c>
      <c r="N581" t="n">
        <v>0</v>
      </c>
      <c r="O581" t="n">
        <v>0</v>
      </c>
      <c r="P581" t="n">
        <v>0</v>
      </c>
      <c r="Q581" t="n">
        <v>0</v>
      </c>
      <c r="R581" s="2" t="inlineStr"/>
    </row>
    <row r="582" ht="15" customHeight="1">
      <c r="A582" t="inlineStr">
        <is>
          <t>A 34790-2025</t>
        </is>
      </c>
      <c r="B582" s="1" t="n">
        <v>45848.68640046296</v>
      </c>
      <c r="C582" s="1" t="n">
        <v>46082</v>
      </c>
      <c r="D582" t="inlineStr">
        <is>
          <t>JÄMTLANDS LÄN</t>
        </is>
      </c>
      <c r="E582" t="inlineStr">
        <is>
          <t>HÄRJEDALEN</t>
        </is>
      </c>
      <c r="F582" t="inlineStr">
        <is>
          <t>Bergvik skog väst AB</t>
        </is>
      </c>
      <c r="G582" t="n">
        <v>32.2</v>
      </c>
      <c r="H582" t="n">
        <v>0</v>
      </c>
      <c r="I582" t="n">
        <v>0</v>
      </c>
      <c r="J582" t="n">
        <v>0</v>
      </c>
      <c r="K582" t="n">
        <v>0</v>
      </c>
      <c r="L582" t="n">
        <v>0</v>
      </c>
      <c r="M582" t="n">
        <v>0</v>
      </c>
      <c r="N582" t="n">
        <v>0</v>
      </c>
      <c r="O582" t="n">
        <v>0</v>
      </c>
      <c r="P582" t="n">
        <v>0</v>
      </c>
      <c r="Q582" t="n">
        <v>0</v>
      </c>
      <c r="R582" s="2" t="inlineStr"/>
    </row>
    <row r="583" ht="15" customHeight="1">
      <c r="A583" t="inlineStr">
        <is>
          <t>A 34702-2025</t>
        </is>
      </c>
      <c r="B583" s="1" t="n">
        <v>45848</v>
      </c>
      <c r="C583" s="1" t="n">
        <v>46082</v>
      </c>
      <c r="D583" t="inlineStr">
        <is>
          <t>JÄMTLANDS LÄN</t>
        </is>
      </c>
      <c r="E583" t="inlineStr">
        <is>
          <t>HÄRJEDALEN</t>
        </is>
      </c>
      <c r="F583" t="inlineStr">
        <is>
          <t>Bergvik skog väst AB</t>
        </is>
      </c>
      <c r="G583" t="n">
        <v>2.3</v>
      </c>
      <c r="H583" t="n">
        <v>0</v>
      </c>
      <c r="I583" t="n">
        <v>0</v>
      </c>
      <c r="J583" t="n">
        <v>0</v>
      </c>
      <c r="K583" t="n">
        <v>0</v>
      </c>
      <c r="L583" t="n">
        <v>0</v>
      </c>
      <c r="M583" t="n">
        <v>0</v>
      </c>
      <c r="N583" t="n">
        <v>0</v>
      </c>
      <c r="O583" t="n">
        <v>0</v>
      </c>
      <c r="P583" t="n">
        <v>0</v>
      </c>
      <c r="Q583" t="n">
        <v>0</v>
      </c>
      <c r="R583" s="2" t="inlineStr"/>
    </row>
    <row r="584" ht="15" customHeight="1">
      <c r="A584" t="inlineStr">
        <is>
          <t>A 34653-2025</t>
        </is>
      </c>
      <c r="B584" s="1" t="n">
        <v>45848.35400462963</v>
      </c>
      <c r="C584" s="1" t="n">
        <v>46082</v>
      </c>
      <c r="D584" t="inlineStr">
        <is>
          <t>JÄMTLANDS LÄN</t>
        </is>
      </c>
      <c r="E584" t="inlineStr">
        <is>
          <t>HÄRJEDALEN</t>
        </is>
      </c>
      <c r="G584" t="n">
        <v>26.8</v>
      </c>
      <c r="H584" t="n">
        <v>0</v>
      </c>
      <c r="I584" t="n">
        <v>0</v>
      </c>
      <c r="J584" t="n">
        <v>0</v>
      </c>
      <c r="K584" t="n">
        <v>0</v>
      </c>
      <c r="L584" t="n">
        <v>0</v>
      </c>
      <c r="M584" t="n">
        <v>0</v>
      </c>
      <c r="N584" t="n">
        <v>0</v>
      </c>
      <c r="O584" t="n">
        <v>0</v>
      </c>
      <c r="P584" t="n">
        <v>0</v>
      </c>
      <c r="Q584" t="n">
        <v>0</v>
      </c>
      <c r="R584" s="2" t="inlineStr"/>
    </row>
    <row r="585" ht="15" customHeight="1">
      <c r="A585" t="inlineStr">
        <is>
          <t>A 34691-2025</t>
        </is>
      </c>
      <c r="B585" s="1" t="n">
        <v>45848.45113425926</v>
      </c>
      <c r="C585" s="1" t="n">
        <v>46082</v>
      </c>
      <c r="D585" t="inlineStr">
        <is>
          <t>JÄMTLANDS LÄN</t>
        </is>
      </c>
      <c r="E585" t="inlineStr">
        <is>
          <t>HÄRJEDALEN</t>
        </is>
      </c>
      <c r="F585" t="inlineStr">
        <is>
          <t>Bergvik skog väst AB</t>
        </is>
      </c>
      <c r="G585" t="n">
        <v>6.1</v>
      </c>
      <c r="H585" t="n">
        <v>0</v>
      </c>
      <c r="I585" t="n">
        <v>0</v>
      </c>
      <c r="J585" t="n">
        <v>0</v>
      </c>
      <c r="K585" t="n">
        <v>0</v>
      </c>
      <c r="L585" t="n">
        <v>0</v>
      </c>
      <c r="M585" t="n">
        <v>0</v>
      </c>
      <c r="N585" t="n">
        <v>0</v>
      </c>
      <c r="O585" t="n">
        <v>0</v>
      </c>
      <c r="P585" t="n">
        <v>0</v>
      </c>
      <c r="Q585" t="n">
        <v>0</v>
      </c>
      <c r="R585" s="2" t="inlineStr"/>
    </row>
    <row r="586" ht="15" customHeight="1">
      <c r="A586" t="inlineStr">
        <is>
          <t>A 34767-2025</t>
        </is>
      </c>
      <c r="B586" s="1" t="n">
        <v>45848.65003472222</v>
      </c>
      <c r="C586" s="1" t="n">
        <v>46082</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58106-2024</t>
        </is>
      </c>
      <c r="B587" s="1" t="n">
        <v>45632</v>
      </c>
      <c r="C587" s="1" t="n">
        <v>46082</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34570-2025</t>
        </is>
      </c>
      <c r="B588" s="1" t="n">
        <v>45847.58865740741</v>
      </c>
      <c r="C588" s="1" t="n">
        <v>46082</v>
      </c>
      <c r="D588" t="inlineStr">
        <is>
          <t>JÄMTLANDS LÄN</t>
        </is>
      </c>
      <c r="E588" t="inlineStr">
        <is>
          <t>HÄRJEDALEN</t>
        </is>
      </c>
      <c r="F588" t="inlineStr">
        <is>
          <t>Bergvik skog väst AB</t>
        </is>
      </c>
      <c r="G588" t="n">
        <v>19.1</v>
      </c>
      <c r="H588" t="n">
        <v>0</v>
      </c>
      <c r="I588" t="n">
        <v>0</v>
      </c>
      <c r="J588" t="n">
        <v>0</v>
      </c>
      <c r="K588" t="n">
        <v>0</v>
      </c>
      <c r="L588" t="n">
        <v>0</v>
      </c>
      <c r="M588" t="n">
        <v>0</v>
      </c>
      <c r="N588" t="n">
        <v>0</v>
      </c>
      <c r="O588" t="n">
        <v>0</v>
      </c>
      <c r="P588" t="n">
        <v>0</v>
      </c>
      <c r="Q588" t="n">
        <v>0</v>
      </c>
      <c r="R588" s="2" t="inlineStr"/>
    </row>
    <row r="589" ht="15" customHeight="1">
      <c r="A589" t="inlineStr">
        <is>
          <t>A 43382-2025</t>
        </is>
      </c>
      <c r="B589" s="1" t="n">
        <v>45911</v>
      </c>
      <c r="C589" s="1" t="n">
        <v>46082</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35154-2025</t>
        </is>
      </c>
      <c r="B590" s="1" t="n">
        <v>45852</v>
      </c>
      <c r="C590" s="1" t="n">
        <v>46082</v>
      </c>
      <c r="D590" t="inlineStr">
        <is>
          <t>JÄMTLANDS LÄN</t>
        </is>
      </c>
      <c r="E590" t="inlineStr">
        <is>
          <t>HÄRJEDALEN</t>
        </is>
      </c>
      <c r="G590" t="n">
        <v>14.1</v>
      </c>
      <c r="H590" t="n">
        <v>0</v>
      </c>
      <c r="I590" t="n">
        <v>0</v>
      </c>
      <c r="J590" t="n">
        <v>0</v>
      </c>
      <c r="K590" t="n">
        <v>0</v>
      </c>
      <c r="L590" t="n">
        <v>0</v>
      </c>
      <c r="M590" t="n">
        <v>0</v>
      </c>
      <c r="N590" t="n">
        <v>0</v>
      </c>
      <c r="O590" t="n">
        <v>0</v>
      </c>
      <c r="P590" t="n">
        <v>0</v>
      </c>
      <c r="Q590" t="n">
        <v>0</v>
      </c>
      <c r="R590" s="2" t="inlineStr"/>
    </row>
    <row r="591" ht="15" customHeight="1">
      <c r="A591" t="inlineStr">
        <is>
          <t>A 52794-2024</t>
        </is>
      </c>
      <c r="B591" s="1" t="n">
        <v>45610.55846064815</v>
      </c>
      <c r="C591" s="1" t="n">
        <v>46082</v>
      </c>
      <c r="D591" t="inlineStr">
        <is>
          <t>JÄMTLANDS LÄN</t>
        </is>
      </c>
      <c r="E591" t="inlineStr">
        <is>
          <t>HÄRJEDALEN</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37638-2023</t>
        </is>
      </c>
      <c r="B592" s="1" t="n">
        <v>45159.46996527778</v>
      </c>
      <c r="C592" s="1" t="n">
        <v>46082</v>
      </c>
      <c r="D592" t="inlineStr">
        <is>
          <t>JÄMTLANDS LÄN</t>
        </is>
      </c>
      <c r="E592" t="inlineStr">
        <is>
          <t>HÄRJEDALEN</t>
        </is>
      </c>
      <c r="F592" t="inlineStr">
        <is>
          <t>Bergvik skog väst AB</t>
        </is>
      </c>
      <c r="G592" t="n">
        <v>4.3</v>
      </c>
      <c r="H592" t="n">
        <v>0</v>
      </c>
      <c r="I592" t="n">
        <v>0</v>
      </c>
      <c r="J592" t="n">
        <v>0</v>
      </c>
      <c r="K592" t="n">
        <v>0</v>
      </c>
      <c r="L592" t="n">
        <v>0</v>
      </c>
      <c r="M592" t="n">
        <v>0</v>
      </c>
      <c r="N592" t="n">
        <v>0</v>
      </c>
      <c r="O592" t="n">
        <v>0</v>
      </c>
      <c r="P592" t="n">
        <v>0</v>
      </c>
      <c r="Q592" t="n">
        <v>0</v>
      </c>
      <c r="R592" s="2" t="inlineStr"/>
    </row>
    <row r="593" ht="15" customHeight="1">
      <c r="A593" t="inlineStr">
        <is>
          <t>A 34807-2025</t>
        </is>
      </c>
      <c r="B593" s="1" t="n">
        <v>45849</v>
      </c>
      <c r="C593" s="1" t="n">
        <v>46082</v>
      </c>
      <c r="D593" t="inlineStr">
        <is>
          <t>JÄMTLANDS LÄN</t>
        </is>
      </c>
      <c r="E593" t="inlineStr">
        <is>
          <t>HÄRJEDALEN</t>
        </is>
      </c>
      <c r="G593" t="n">
        <v>6.6</v>
      </c>
      <c r="H593" t="n">
        <v>0</v>
      </c>
      <c r="I593" t="n">
        <v>0</v>
      </c>
      <c r="J593" t="n">
        <v>0</v>
      </c>
      <c r="K593" t="n">
        <v>0</v>
      </c>
      <c r="L593" t="n">
        <v>0</v>
      </c>
      <c r="M593" t="n">
        <v>0</v>
      </c>
      <c r="N593" t="n">
        <v>0</v>
      </c>
      <c r="O593" t="n">
        <v>0</v>
      </c>
      <c r="P593" t="n">
        <v>0</v>
      </c>
      <c r="Q593" t="n">
        <v>0</v>
      </c>
      <c r="R593" s="2" t="inlineStr"/>
    </row>
    <row r="594" ht="15" customHeight="1">
      <c r="A594" t="inlineStr">
        <is>
          <t>A 62708-2022</t>
        </is>
      </c>
      <c r="B594" s="1" t="n">
        <v>44925.60457175926</v>
      </c>
      <c r="C594" s="1" t="n">
        <v>46082</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62724-2022</t>
        </is>
      </c>
      <c r="B595" s="1" t="n">
        <v>44925.64309027778</v>
      </c>
      <c r="C595" s="1" t="n">
        <v>46082</v>
      </c>
      <c r="D595" t="inlineStr">
        <is>
          <t>JÄMTLANDS LÄN</t>
        </is>
      </c>
      <c r="E595" t="inlineStr">
        <is>
          <t>HÄRJEDALEN</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35241-2025</t>
        </is>
      </c>
      <c r="B596" s="1" t="n">
        <v>45853.61865740741</v>
      </c>
      <c r="C596" s="1" t="n">
        <v>46082</v>
      </c>
      <c r="D596" t="inlineStr">
        <is>
          <t>JÄMTLANDS LÄN</t>
        </is>
      </c>
      <c r="E596" t="inlineStr">
        <is>
          <t>HÄRJEDALEN</t>
        </is>
      </c>
      <c r="G596" t="n">
        <v>8.6</v>
      </c>
      <c r="H596" t="n">
        <v>0</v>
      </c>
      <c r="I596" t="n">
        <v>0</v>
      </c>
      <c r="J596" t="n">
        <v>0</v>
      </c>
      <c r="K596" t="n">
        <v>0</v>
      </c>
      <c r="L596" t="n">
        <v>0</v>
      </c>
      <c r="M596" t="n">
        <v>0</v>
      </c>
      <c r="N596" t="n">
        <v>0</v>
      </c>
      <c r="O596" t="n">
        <v>0</v>
      </c>
      <c r="P596" t="n">
        <v>0</v>
      </c>
      <c r="Q596" t="n">
        <v>0</v>
      </c>
      <c r="R596" s="2" t="inlineStr"/>
    </row>
    <row r="597" ht="15" customHeight="1">
      <c r="A597" t="inlineStr">
        <is>
          <t>A 35243-2025</t>
        </is>
      </c>
      <c r="B597" s="1" t="n">
        <v>45853.62415509259</v>
      </c>
      <c r="C597" s="1" t="n">
        <v>46082</v>
      </c>
      <c r="D597" t="inlineStr">
        <is>
          <t>JÄMTLANDS LÄN</t>
        </is>
      </c>
      <c r="E597" t="inlineStr">
        <is>
          <t>HÄRJEDALEN</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35182-2025</t>
        </is>
      </c>
      <c r="B598" s="1" t="n">
        <v>45853.28325231482</v>
      </c>
      <c r="C598" s="1" t="n">
        <v>46082</v>
      </c>
      <c r="D598" t="inlineStr">
        <is>
          <t>JÄMTLANDS LÄN</t>
        </is>
      </c>
      <c r="E598" t="inlineStr">
        <is>
          <t>HÄRJEDALEN</t>
        </is>
      </c>
      <c r="G598" t="n">
        <v>32.6</v>
      </c>
      <c r="H598" t="n">
        <v>0</v>
      </c>
      <c r="I598" t="n">
        <v>0</v>
      </c>
      <c r="J598" t="n">
        <v>0</v>
      </c>
      <c r="K598" t="n">
        <v>0</v>
      </c>
      <c r="L598" t="n">
        <v>0</v>
      </c>
      <c r="M598" t="n">
        <v>0</v>
      </c>
      <c r="N598" t="n">
        <v>0</v>
      </c>
      <c r="O598" t="n">
        <v>0</v>
      </c>
      <c r="P598" t="n">
        <v>0</v>
      </c>
      <c r="Q598" t="n">
        <v>0</v>
      </c>
      <c r="R598" s="2" t="inlineStr"/>
    </row>
    <row r="599" ht="15" customHeight="1">
      <c r="A599" t="inlineStr">
        <is>
          <t>A 35297-2025</t>
        </is>
      </c>
      <c r="B599" s="1" t="n">
        <v>45854.40662037037</v>
      </c>
      <c r="C599" s="1" t="n">
        <v>46082</v>
      </c>
      <c r="D599" t="inlineStr">
        <is>
          <t>JÄMTLANDS LÄN</t>
        </is>
      </c>
      <c r="E599" t="inlineStr">
        <is>
          <t>HÄRJEDALEN</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35309-2025</t>
        </is>
      </c>
      <c r="B600" s="1" t="n">
        <v>45854.44850694444</v>
      </c>
      <c r="C600" s="1" t="n">
        <v>46082</v>
      </c>
      <c r="D600" t="inlineStr">
        <is>
          <t>JÄMTLANDS LÄN</t>
        </is>
      </c>
      <c r="E600" t="inlineStr">
        <is>
          <t>HÄRJEDALEN</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35310-2025</t>
        </is>
      </c>
      <c r="B601" s="1" t="n">
        <v>45854.44864583333</v>
      </c>
      <c r="C601" s="1" t="n">
        <v>46082</v>
      </c>
      <c r="D601" t="inlineStr">
        <is>
          <t>JÄMTLANDS LÄN</t>
        </is>
      </c>
      <c r="E601" t="inlineStr">
        <is>
          <t>HÄRJEDALEN</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36083-2024</t>
        </is>
      </c>
      <c r="B602" s="1" t="n">
        <v>45533.67138888889</v>
      </c>
      <c r="C602" s="1" t="n">
        <v>46082</v>
      </c>
      <c r="D602" t="inlineStr">
        <is>
          <t>JÄMTLANDS LÄN</t>
        </is>
      </c>
      <c r="E602" t="inlineStr">
        <is>
          <t>HÄRJEDALEN</t>
        </is>
      </c>
      <c r="G602" t="n">
        <v>0.9</v>
      </c>
      <c r="H602" t="n">
        <v>0</v>
      </c>
      <c r="I602" t="n">
        <v>0</v>
      </c>
      <c r="J602" t="n">
        <v>0</v>
      </c>
      <c r="K602" t="n">
        <v>0</v>
      </c>
      <c r="L602" t="n">
        <v>0</v>
      </c>
      <c r="M602" t="n">
        <v>0</v>
      </c>
      <c r="N602" t="n">
        <v>0</v>
      </c>
      <c r="O602" t="n">
        <v>0</v>
      </c>
      <c r="P602" t="n">
        <v>0</v>
      </c>
      <c r="Q602" t="n">
        <v>0</v>
      </c>
      <c r="R602" s="2" t="inlineStr"/>
    </row>
    <row r="603" ht="15" customHeight="1">
      <c r="A603" t="inlineStr">
        <is>
          <t>A 17896-2025</t>
        </is>
      </c>
      <c r="B603" s="1" t="n">
        <v>45758.69638888889</v>
      </c>
      <c r="C603" s="1" t="n">
        <v>46082</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37747-2023</t>
        </is>
      </c>
      <c r="B604" s="1" t="n">
        <v>45159</v>
      </c>
      <c r="C604" s="1" t="n">
        <v>46082</v>
      </c>
      <c r="D604" t="inlineStr">
        <is>
          <t>JÄMTLANDS LÄN</t>
        </is>
      </c>
      <c r="E604" t="inlineStr">
        <is>
          <t>HÄRJEDALEN</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37762-2023</t>
        </is>
      </c>
      <c r="B605" s="1" t="n">
        <v>45159</v>
      </c>
      <c r="C605" s="1" t="n">
        <v>46082</v>
      </c>
      <c r="D605" t="inlineStr">
        <is>
          <t>JÄMTLANDS LÄN</t>
        </is>
      </c>
      <c r="E605" t="inlineStr">
        <is>
          <t>HÄRJEDALEN</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61140-2024</t>
        </is>
      </c>
      <c r="B606" s="1" t="n">
        <v>45644</v>
      </c>
      <c r="C606" s="1" t="n">
        <v>46082</v>
      </c>
      <c r="D606" t="inlineStr">
        <is>
          <t>JÄMTLANDS LÄN</t>
        </is>
      </c>
      <c r="E606" t="inlineStr">
        <is>
          <t>HÄRJEDALEN</t>
        </is>
      </c>
      <c r="G606" t="n">
        <v>29.7</v>
      </c>
      <c r="H606" t="n">
        <v>0</v>
      </c>
      <c r="I606" t="n">
        <v>0</v>
      </c>
      <c r="J606" t="n">
        <v>0</v>
      </c>
      <c r="K606" t="n">
        <v>0</v>
      </c>
      <c r="L606" t="n">
        <v>0</v>
      </c>
      <c r="M606" t="n">
        <v>0</v>
      </c>
      <c r="N606" t="n">
        <v>0</v>
      </c>
      <c r="O606" t="n">
        <v>0</v>
      </c>
      <c r="P606" t="n">
        <v>0</v>
      </c>
      <c r="Q606" t="n">
        <v>0</v>
      </c>
      <c r="R606" s="2" t="inlineStr"/>
    </row>
    <row r="607" ht="15" customHeight="1">
      <c r="A607" t="inlineStr">
        <is>
          <t>A 21596-2021</t>
        </is>
      </c>
      <c r="B607" s="1" t="n">
        <v>44314</v>
      </c>
      <c r="C607" s="1" t="n">
        <v>46082</v>
      </c>
      <c r="D607" t="inlineStr">
        <is>
          <t>JÄMTLANDS LÄN</t>
        </is>
      </c>
      <c r="E607" t="inlineStr">
        <is>
          <t>HÄRJEDALEN</t>
        </is>
      </c>
      <c r="G607" t="n">
        <v>18.2</v>
      </c>
      <c r="H607" t="n">
        <v>0</v>
      </c>
      <c r="I607" t="n">
        <v>0</v>
      </c>
      <c r="J607" t="n">
        <v>0</v>
      </c>
      <c r="K607" t="n">
        <v>0</v>
      </c>
      <c r="L607" t="n">
        <v>0</v>
      </c>
      <c r="M607" t="n">
        <v>0</v>
      </c>
      <c r="N607" t="n">
        <v>0</v>
      </c>
      <c r="O607" t="n">
        <v>0</v>
      </c>
      <c r="P607" t="n">
        <v>0</v>
      </c>
      <c r="Q607" t="n">
        <v>0</v>
      </c>
      <c r="R607" s="2" t="inlineStr"/>
    </row>
    <row r="608" ht="15" customHeight="1">
      <c r="A608" t="inlineStr">
        <is>
          <t>A 29772-2023</t>
        </is>
      </c>
      <c r="B608" s="1" t="n">
        <v>45107</v>
      </c>
      <c r="C608" s="1" t="n">
        <v>46082</v>
      </c>
      <c r="D608" t="inlineStr">
        <is>
          <t>JÄMTLANDS LÄN</t>
        </is>
      </c>
      <c r="E608" t="inlineStr">
        <is>
          <t>HÄRJEDALEN</t>
        </is>
      </c>
      <c r="G608" t="n">
        <v>1.2</v>
      </c>
      <c r="H608" t="n">
        <v>0</v>
      </c>
      <c r="I608" t="n">
        <v>0</v>
      </c>
      <c r="J608" t="n">
        <v>0</v>
      </c>
      <c r="K608" t="n">
        <v>0</v>
      </c>
      <c r="L608" t="n">
        <v>0</v>
      </c>
      <c r="M608" t="n">
        <v>0</v>
      </c>
      <c r="N608" t="n">
        <v>0</v>
      </c>
      <c r="O608" t="n">
        <v>0</v>
      </c>
      <c r="P608" t="n">
        <v>0</v>
      </c>
      <c r="Q608" t="n">
        <v>0</v>
      </c>
      <c r="R608" s="2" t="inlineStr"/>
    </row>
    <row r="609" ht="15" customHeight="1">
      <c r="A609" t="inlineStr">
        <is>
          <t>A 12484-2023</t>
        </is>
      </c>
      <c r="B609" s="1" t="n">
        <v>44998</v>
      </c>
      <c r="C609" s="1" t="n">
        <v>46082</v>
      </c>
      <c r="D609" t="inlineStr">
        <is>
          <t>JÄMTLANDS LÄN</t>
        </is>
      </c>
      <c r="E609" t="inlineStr">
        <is>
          <t>HÄRJEDALEN</t>
        </is>
      </c>
      <c r="G609" t="n">
        <v>43.1</v>
      </c>
      <c r="H609" t="n">
        <v>0</v>
      </c>
      <c r="I609" t="n">
        <v>0</v>
      </c>
      <c r="J609" t="n">
        <v>0</v>
      </c>
      <c r="K609" t="n">
        <v>0</v>
      </c>
      <c r="L609" t="n">
        <v>0</v>
      </c>
      <c r="M609" t="n">
        <v>0</v>
      </c>
      <c r="N609" t="n">
        <v>0</v>
      </c>
      <c r="O609" t="n">
        <v>0</v>
      </c>
      <c r="P609" t="n">
        <v>0</v>
      </c>
      <c r="Q609" t="n">
        <v>0</v>
      </c>
      <c r="R609" s="2" t="inlineStr"/>
    </row>
    <row r="610" ht="15" customHeight="1">
      <c r="A610" t="inlineStr">
        <is>
          <t>A 35634-2025</t>
        </is>
      </c>
      <c r="B610" s="1" t="n">
        <v>45859</v>
      </c>
      <c r="C610" s="1" t="n">
        <v>46082</v>
      </c>
      <c r="D610" t="inlineStr">
        <is>
          <t>JÄMTLANDS LÄN</t>
        </is>
      </c>
      <c r="E610" t="inlineStr">
        <is>
          <t>HÄRJEDALEN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12450-2025</t>
        </is>
      </c>
      <c r="B611" s="1" t="n">
        <v>45730</v>
      </c>
      <c r="C611" s="1" t="n">
        <v>46082</v>
      </c>
      <c r="D611" t="inlineStr">
        <is>
          <t>JÄMTLANDS LÄN</t>
        </is>
      </c>
      <c r="E611" t="inlineStr">
        <is>
          <t>HÄRJEDALEN</t>
        </is>
      </c>
      <c r="G611" t="n">
        <v>7.6</v>
      </c>
      <c r="H611" t="n">
        <v>0</v>
      </c>
      <c r="I611" t="n">
        <v>0</v>
      </c>
      <c r="J611" t="n">
        <v>0</v>
      </c>
      <c r="K611" t="n">
        <v>0</v>
      </c>
      <c r="L611" t="n">
        <v>0</v>
      </c>
      <c r="M611" t="n">
        <v>0</v>
      </c>
      <c r="N611" t="n">
        <v>0</v>
      </c>
      <c r="O611" t="n">
        <v>0</v>
      </c>
      <c r="P611" t="n">
        <v>0</v>
      </c>
      <c r="Q611" t="n">
        <v>0</v>
      </c>
      <c r="R611" s="2" t="inlineStr"/>
    </row>
    <row r="612" ht="15" customHeight="1">
      <c r="A612" t="inlineStr">
        <is>
          <t>A 35810-2025</t>
        </is>
      </c>
      <c r="B612" s="1" t="n">
        <v>45861</v>
      </c>
      <c r="C612" s="1" t="n">
        <v>46082</v>
      </c>
      <c r="D612" t="inlineStr">
        <is>
          <t>JÄMTLANDS LÄN</t>
        </is>
      </c>
      <c r="E612" t="inlineStr">
        <is>
          <t>HÄRJEDALEN</t>
        </is>
      </c>
      <c r="F612" t="inlineStr">
        <is>
          <t>Bergvik skog väst AB</t>
        </is>
      </c>
      <c r="G612" t="n">
        <v>41.3</v>
      </c>
      <c r="H612" t="n">
        <v>0</v>
      </c>
      <c r="I612" t="n">
        <v>0</v>
      </c>
      <c r="J612" t="n">
        <v>0</v>
      </c>
      <c r="K612" t="n">
        <v>0</v>
      </c>
      <c r="L612" t="n">
        <v>0</v>
      </c>
      <c r="M612" t="n">
        <v>0</v>
      </c>
      <c r="N612" t="n">
        <v>0</v>
      </c>
      <c r="O612" t="n">
        <v>0</v>
      </c>
      <c r="P612" t="n">
        <v>0</v>
      </c>
      <c r="Q612" t="n">
        <v>0</v>
      </c>
      <c r="R612" s="2" t="inlineStr"/>
    </row>
    <row r="613" ht="15" customHeight="1">
      <c r="A613" t="inlineStr">
        <is>
          <t>A 17037-2025</t>
        </is>
      </c>
      <c r="B613" s="1" t="n">
        <v>45755</v>
      </c>
      <c r="C613" s="1" t="n">
        <v>46082</v>
      </c>
      <c r="D613" t="inlineStr">
        <is>
          <t>JÄMTLANDS LÄN</t>
        </is>
      </c>
      <c r="E613" t="inlineStr">
        <is>
          <t>HÄRJEDALEN</t>
        </is>
      </c>
      <c r="G613" t="n">
        <v>2.4</v>
      </c>
      <c r="H613" t="n">
        <v>0</v>
      </c>
      <c r="I613" t="n">
        <v>0</v>
      </c>
      <c r="J613" t="n">
        <v>0</v>
      </c>
      <c r="K613" t="n">
        <v>0</v>
      </c>
      <c r="L613" t="n">
        <v>0</v>
      </c>
      <c r="M613" t="n">
        <v>0</v>
      </c>
      <c r="N613" t="n">
        <v>0</v>
      </c>
      <c r="O613" t="n">
        <v>0</v>
      </c>
      <c r="P613" t="n">
        <v>0</v>
      </c>
      <c r="Q613" t="n">
        <v>0</v>
      </c>
      <c r="R613" s="2" t="inlineStr"/>
    </row>
    <row r="614" ht="15" customHeight="1">
      <c r="A614" t="inlineStr">
        <is>
          <t>A 12449-2025</t>
        </is>
      </c>
      <c r="B614" s="1" t="n">
        <v>45730</v>
      </c>
      <c r="C614" s="1" t="n">
        <v>46082</v>
      </c>
      <c r="D614" t="inlineStr">
        <is>
          <t>JÄMTLANDS LÄN</t>
        </is>
      </c>
      <c r="E614" t="inlineStr">
        <is>
          <t>HÄRJEDALEN</t>
        </is>
      </c>
      <c r="G614" t="n">
        <v>10.7</v>
      </c>
      <c r="H614" t="n">
        <v>0</v>
      </c>
      <c r="I614" t="n">
        <v>0</v>
      </c>
      <c r="J614" t="n">
        <v>0</v>
      </c>
      <c r="K614" t="n">
        <v>0</v>
      </c>
      <c r="L614" t="n">
        <v>0</v>
      </c>
      <c r="M614" t="n">
        <v>0</v>
      </c>
      <c r="N614" t="n">
        <v>0</v>
      </c>
      <c r="O614" t="n">
        <v>0</v>
      </c>
      <c r="P614" t="n">
        <v>0</v>
      </c>
      <c r="Q614" t="n">
        <v>0</v>
      </c>
      <c r="R614" s="2" t="inlineStr"/>
    </row>
    <row r="615" ht="15" customHeight="1">
      <c r="A615" t="inlineStr">
        <is>
          <t>A 45562-2025</t>
        </is>
      </c>
      <c r="B615" s="1" t="n">
        <v>45922.64740740741</v>
      </c>
      <c r="C615" s="1" t="n">
        <v>46082</v>
      </c>
      <c r="D615" t="inlineStr">
        <is>
          <t>JÄMTLANDS LÄN</t>
        </is>
      </c>
      <c r="E615" t="inlineStr">
        <is>
          <t>HÄRJEDALEN</t>
        </is>
      </c>
      <c r="G615" t="n">
        <v>11.6</v>
      </c>
      <c r="H615" t="n">
        <v>0</v>
      </c>
      <c r="I615" t="n">
        <v>0</v>
      </c>
      <c r="J615" t="n">
        <v>0</v>
      </c>
      <c r="K615" t="n">
        <v>0</v>
      </c>
      <c r="L615" t="n">
        <v>0</v>
      </c>
      <c r="M615" t="n">
        <v>0</v>
      </c>
      <c r="N615" t="n">
        <v>0</v>
      </c>
      <c r="O615" t="n">
        <v>0</v>
      </c>
      <c r="P615" t="n">
        <v>0</v>
      </c>
      <c r="Q615" t="n">
        <v>0</v>
      </c>
      <c r="R615" s="2" t="inlineStr"/>
    </row>
    <row r="616" ht="15" customHeight="1">
      <c r="A616" t="inlineStr">
        <is>
          <t>A 12017-2025</t>
        </is>
      </c>
      <c r="B616" s="1" t="n">
        <v>45728</v>
      </c>
      <c r="C616" s="1" t="n">
        <v>46082</v>
      </c>
      <c r="D616" t="inlineStr">
        <is>
          <t>JÄMTLANDS LÄN</t>
        </is>
      </c>
      <c r="E616" t="inlineStr">
        <is>
          <t>HÄRJEDALEN</t>
        </is>
      </c>
      <c r="G616" t="n">
        <v>35.4</v>
      </c>
      <c r="H616" t="n">
        <v>0</v>
      </c>
      <c r="I616" t="n">
        <v>0</v>
      </c>
      <c r="J616" t="n">
        <v>0</v>
      </c>
      <c r="K616" t="n">
        <v>0</v>
      </c>
      <c r="L616" t="n">
        <v>0</v>
      </c>
      <c r="M616" t="n">
        <v>0</v>
      </c>
      <c r="N616" t="n">
        <v>0</v>
      </c>
      <c r="O616" t="n">
        <v>0</v>
      </c>
      <c r="P616" t="n">
        <v>0</v>
      </c>
      <c r="Q616" t="n">
        <v>0</v>
      </c>
      <c r="R616" s="2" t="inlineStr"/>
    </row>
    <row r="617" ht="15" customHeight="1">
      <c r="A617" t="inlineStr">
        <is>
          <t>A 36066-2025</t>
        </is>
      </c>
      <c r="B617" s="1" t="n">
        <v>45866.40701388889</v>
      </c>
      <c r="C617" s="1" t="n">
        <v>46082</v>
      </c>
      <c r="D617" t="inlineStr">
        <is>
          <t>JÄMTLANDS LÄN</t>
        </is>
      </c>
      <c r="E617" t="inlineStr">
        <is>
          <t>HÄRJEDALEN</t>
        </is>
      </c>
      <c r="G617" t="n">
        <v>21.8</v>
      </c>
      <c r="H617" t="n">
        <v>0</v>
      </c>
      <c r="I617" t="n">
        <v>0</v>
      </c>
      <c r="J617" t="n">
        <v>0</v>
      </c>
      <c r="K617" t="n">
        <v>0</v>
      </c>
      <c r="L617" t="n">
        <v>0</v>
      </c>
      <c r="M617" t="n">
        <v>0</v>
      </c>
      <c r="N617" t="n">
        <v>0</v>
      </c>
      <c r="O617" t="n">
        <v>0</v>
      </c>
      <c r="P617" t="n">
        <v>0</v>
      </c>
      <c r="Q617" t="n">
        <v>0</v>
      </c>
      <c r="R617" s="2" t="inlineStr"/>
    </row>
    <row r="618" ht="15" customHeight="1">
      <c r="A618" t="inlineStr">
        <is>
          <t>A 36133-2025</t>
        </is>
      </c>
      <c r="B618" s="1" t="n">
        <v>45866.62908564815</v>
      </c>
      <c r="C618" s="1" t="n">
        <v>46082</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45455-2025</t>
        </is>
      </c>
      <c r="B619" s="1" t="n">
        <v>45922.49034722222</v>
      </c>
      <c r="C619" s="1" t="n">
        <v>46082</v>
      </c>
      <c r="D619" t="inlineStr">
        <is>
          <t>JÄMTLANDS LÄN</t>
        </is>
      </c>
      <c r="E619" t="inlineStr">
        <is>
          <t>HÄRJEDALEN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45457-2025</t>
        </is>
      </c>
      <c r="B620" s="1" t="n">
        <v>45922.49168981481</v>
      </c>
      <c r="C620" s="1" t="n">
        <v>46082</v>
      </c>
      <c r="D620" t="inlineStr">
        <is>
          <t>JÄMTLANDS LÄN</t>
        </is>
      </c>
      <c r="E620" t="inlineStr">
        <is>
          <t>HÄRJEDALEN</t>
        </is>
      </c>
      <c r="F620" t="inlineStr">
        <is>
          <t>Bergvik skog väst AB</t>
        </is>
      </c>
      <c r="G620" t="n">
        <v>45.8</v>
      </c>
      <c r="H620" t="n">
        <v>0</v>
      </c>
      <c r="I620" t="n">
        <v>0</v>
      </c>
      <c r="J620" t="n">
        <v>0</v>
      </c>
      <c r="K620" t="n">
        <v>0</v>
      </c>
      <c r="L620" t="n">
        <v>0</v>
      </c>
      <c r="M620" t="n">
        <v>0</v>
      </c>
      <c r="N620" t="n">
        <v>0</v>
      </c>
      <c r="O620" t="n">
        <v>0</v>
      </c>
      <c r="P620" t="n">
        <v>0</v>
      </c>
      <c r="Q620" t="n">
        <v>0</v>
      </c>
      <c r="R620" s="2" t="inlineStr"/>
    </row>
    <row r="621" ht="15" customHeight="1">
      <c r="A621" t="inlineStr">
        <is>
          <t>A 45100-2025</t>
        </is>
      </c>
      <c r="B621" s="1" t="n">
        <v>45919</v>
      </c>
      <c r="C621" s="1" t="n">
        <v>46082</v>
      </c>
      <c r="D621" t="inlineStr">
        <is>
          <t>JÄMTLANDS LÄN</t>
        </is>
      </c>
      <c r="E621" t="inlineStr">
        <is>
          <t>HÄRJEDALEN</t>
        </is>
      </c>
      <c r="F621" t="inlineStr">
        <is>
          <t>Bergvik skog väst AB</t>
        </is>
      </c>
      <c r="G621" t="n">
        <v>22.4</v>
      </c>
      <c r="H621" t="n">
        <v>0</v>
      </c>
      <c r="I621" t="n">
        <v>0</v>
      </c>
      <c r="J621" t="n">
        <v>0</v>
      </c>
      <c r="K621" t="n">
        <v>0</v>
      </c>
      <c r="L621" t="n">
        <v>0</v>
      </c>
      <c r="M621" t="n">
        <v>0</v>
      </c>
      <c r="N621" t="n">
        <v>0</v>
      </c>
      <c r="O621" t="n">
        <v>0</v>
      </c>
      <c r="P621" t="n">
        <v>0</v>
      </c>
      <c r="Q621" t="n">
        <v>0</v>
      </c>
      <c r="R621" s="2" t="inlineStr"/>
    </row>
    <row r="622" ht="15" customHeight="1">
      <c r="A622" t="inlineStr">
        <is>
          <t>A 45179-2025</t>
        </is>
      </c>
      <c r="B622" s="1" t="n">
        <v>45919.52993055555</v>
      </c>
      <c r="C622" s="1" t="n">
        <v>46082</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46447-2024</t>
        </is>
      </c>
      <c r="B623" s="1" t="n">
        <v>45582.49792824074</v>
      </c>
      <c r="C623" s="1" t="n">
        <v>46082</v>
      </c>
      <c r="D623" t="inlineStr">
        <is>
          <t>JÄMTLANDS LÄN</t>
        </is>
      </c>
      <c r="E623" t="inlineStr">
        <is>
          <t>HÄRJEDALEN</t>
        </is>
      </c>
      <c r="F623" t="inlineStr">
        <is>
          <t>Bergvik skog väst AB</t>
        </is>
      </c>
      <c r="G623" t="n">
        <v>19.2</v>
      </c>
      <c r="H623" t="n">
        <v>0</v>
      </c>
      <c r="I623" t="n">
        <v>0</v>
      </c>
      <c r="J623" t="n">
        <v>0</v>
      </c>
      <c r="K623" t="n">
        <v>0</v>
      </c>
      <c r="L623" t="n">
        <v>0</v>
      </c>
      <c r="M623" t="n">
        <v>0</v>
      </c>
      <c r="N623" t="n">
        <v>0</v>
      </c>
      <c r="O623" t="n">
        <v>0</v>
      </c>
      <c r="P623" t="n">
        <v>0</v>
      </c>
      <c r="Q623" t="n">
        <v>0</v>
      </c>
      <c r="R623" s="2" t="inlineStr"/>
    </row>
    <row r="624" ht="15" customHeight="1">
      <c r="A624" t="inlineStr">
        <is>
          <t>A 40578-2023</t>
        </is>
      </c>
      <c r="B624" s="1" t="n">
        <v>45170.46923611111</v>
      </c>
      <c r="C624" s="1" t="n">
        <v>46082</v>
      </c>
      <c r="D624" t="inlineStr">
        <is>
          <t>JÄMTLANDS LÄN</t>
        </is>
      </c>
      <c r="E624" t="inlineStr">
        <is>
          <t>HÄRJEDALEN</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9980-2025</t>
        </is>
      </c>
      <c r="B625" s="1" t="n">
        <v>45719.40480324074</v>
      </c>
      <c r="C625" s="1" t="n">
        <v>46082</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36399-2025</t>
        </is>
      </c>
      <c r="B626" s="1" t="n">
        <v>45868.639375</v>
      </c>
      <c r="C626" s="1" t="n">
        <v>46082</v>
      </c>
      <c r="D626" t="inlineStr">
        <is>
          <t>JÄMTLANDS LÄN</t>
        </is>
      </c>
      <c r="E626" t="inlineStr">
        <is>
          <t>HÄRJEDALEN</t>
        </is>
      </c>
      <c r="G626" t="n">
        <v>4.8</v>
      </c>
      <c r="H626" t="n">
        <v>0</v>
      </c>
      <c r="I626" t="n">
        <v>0</v>
      </c>
      <c r="J626" t="n">
        <v>0</v>
      </c>
      <c r="K626" t="n">
        <v>0</v>
      </c>
      <c r="L626" t="n">
        <v>0</v>
      </c>
      <c r="M626" t="n">
        <v>0</v>
      </c>
      <c r="N626" t="n">
        <v>0</v>
      </c>
      <c r="O626" t="n">
        <v>0</v>
      </c>
      <c r="P626" t="n">
        <v>0</v>
      </c>
      <c r="Q626" t="n">
        <v>0</v>
      </c>
      <c r="R626" s="2" t="inlineStr"/>
    </row>
    <row r="627" ht="15" customHeight="1">
      <c r="A627" t="inlineStr">
        <is>
          <t>A 36241-2025</t>
        </is>
      </c>
      <c r="B627" s="1" t="n">
        <v>45867.55305555555</v>
      </c>
      <c r="C627" s="1" t="n">
        <v>46082</v>
      </c>
      <c r="D627" t="inlineStr">
        <is>
          <t>JÄMTLANDS LÄN</t>
        </is>
      </c>
      <c r="E627" t="inlineStr">
        <is>
          <t>HÄRJEDALEN</t>
        </is>
      </c>
      <c r="G627" t="n">
        <v>1.1</v>
      </c>
      <c r="H627" t="n">
        <v>0</v>
      </c>
      <c r="I627" t="n">
        <v>0</v>
      </c>
      <c r="J627" t="n">
        <v>0</v>
      </c>
      <c r="K627" t="n">
        <v>0</v>
      </c>
      <c r="L627" t="n">
        <v>0</v>
      </c>
      <c r="M627" t="n">
        <v>0</v>
      </c>
      <c r="N627" t="n">
        <v>0</v>
      </c>
      <c r="O627" t="n">
        <v>0</v>
      </c>
      <c r="P627" t="n">
        <v>0</v>
      </c>
      <c r="Q627" t="n">
        <v>0</v>
      </c>
      <c r="R627" s="2" t="inlineStr"/>
    </row>
    <row r="628" ht="15" customHeight="1">
      <c r="A628" t="inlineStr">
        <is>
          <t>A 46681-2025</t>
        </is>
      </c>
      <c r="B628" s="1" t="n">
        <v>45926.54697916667</v>
      </c>
      <c r="C628" s="1" t="n">
        <v>46082</v>
      </c>
      <c r="D628" t="inlineStr">
        <is>
          <t>JÄMTLANDS LÄN</t>
        </is>
      </c>
      <c r="E628" t="inlineStr">
        <is>
          <t>HÄRJEDALEN</t>
        </is>
      </c>
      <c r="G628" t="n">
        <v>6.4</v>
      </c>
      <c r="H628" t="n">
        <v>0</v>
      </c>
      <c r="I628" t="n">
        <v>0</v>
      </c>
      <c r="J628" t="n">
        <v>0</v>
      </c>
      <c r="K628" t="n">
        <v>0</v>
      </c>
      <c r="L628" t="n">
        <v>0</v>
      </c>
      <c r="M628" t="n">
        <v>0</v>
      </c>
      <c r="N628" t="n">
        <v>0</v>
      </c>
      <c r="O628" t="n">
        <v>0</v>
      </c>
      <c r="P628" t="n">
        <v>0</v>
      </c>
      <c r="Q628" t="n">
        <v>0</v>
      </c>
      <c r="R628" s="2" t="inlineStr"/>
    </row>
    <row r="629" ht="15" customHeight="1">
      <c r="A629" t="inlineStr">
        <is>
          <t>A 54640-2024</t>
        </is>
      </c>
      <c r="B629" s="1" t="n">
        <v>45617.89371527778</v>
      </c>
      <c r="C629" s="1" t="n">
        <v>46082</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55115-2024</t>
        </is>
      </c>
      <c r="B630" s="1" t="n">
        <v>45621</v>
      </c>
      <c r="C630" s="1" t="n">
        <v>46082</v>
      </c>
      <c r="D630" t="inlineStr">
        <is>
          <t>JÄMTLANDS LÄN</t>
        </is>
      </c>
      <c r="E630" t="inlineStr">
        <is>
          <t>HÄRJEDALEN</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36921-2023</t>
        </is>
      </c>
      <c r="B631" s="1" t="n">
        <v>45154</v>
      </c>
      <c r="C631" s="1" t="n">
        <v>46082</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10002-2025</t>
        </is>
      </c>
      <c r="B632" s="1" t="n">
        <v>45719.45215277778</v>
      </c>
      <c r="C632" s="1" t="n">
        <v>46082</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51601-2024</t>
        </is>
      </c>
      <c r="B633" s="1" t="n">
        <v>45604.66936342593</v>
      </c>
      <c r="C633" s="1" t="n">
        <v>46082</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31910-2023</t>
        </is>
      </c>
      <c r="B634" s="1" t="n">
        <v>45118.91633101852</v>
      </c>
      <c r="C634" s="1" t="n">
        <v>46082</v>
      </c>
      <c r="D634" t="inlineStr">
        <is>
          <t>JÄMTLANDS LÄN</t>
        </is>
      </c>
      <c r="E634" t="inlineStr">
        <is>
          <t>HÄRJEDALEN</t>
        </is>
      </c>
      <c r="G634" t="n">
        <v>5</v>
      </c>
      <c r="H634" t="n">
        <v>0</v>
      </c>
      <c r="I634" t="n">
        <v>0</v>
      </c>
      <c r="J634" t="n">
        <v>0</v>
      </c>
      <c r="K634" t="n">
        <v>0</v>
      </c>
      <c r="L634" t="n">
        <v>0</v>
      </c>
      <c r="M634" t="n">
        <v>0</v>
      </c>
      <c r="N634" t="n">
        <v>0</v>
      </c>
      <c r="O634" t="n">
        <v>0</v>
      </c>
      <c r="P634" t="n">
        <v>0</v>
      </c>
      <c r="Q634" t="n">
        <v>0</v>
      </c>
      <c r="R634" s="2" t="inlineStr"/>
    </row>
    <row r="635" ht="15" customHeight="1">
      <c r="A635" t="inlineStr">
        <is>
          <t>A 31961-2023</t>
        </is>
      </c>
      <c r="B635" s="1" t="n">
        <v>45119</v>
      </c>
      <c r="C635" s="1" t="n">
        <v>46082</v>
      </c>
      <c r="D635" t="inlineStr">
        <is>
          <t>JÄMTLANDS LÄN</t>
        </is>
      </c>
      <c r="E635" t="inlineStr">
        <is>
          <t>HÄRJEDALEN</t>
        </is>
      </c>
      <c r="G635" t="n">
        <v>3.1</v>
      </c>
      <c r="H635" t="n">
        <v>0</v>
      </c>
      <c r="I635" t="n">
        <v>0</v>
      </c>
      <c r="J635" t="n">
        <v>0</v>
      </c>
      <c r="K635" t="n">
        <v>0</v>
      </c>
      <c r="L635" t="n">
        <v>0</v>
      </c>
      <c r="M635" t="n">
        <v>0</v>
      </c>
      <c r="N635" t="n">
        <v>0</v>
      </c>
      <c r="O635" t="n">
        <v>0</v>
      </c>
      <c r="P635" t="n">
        <v>0</v>
      </c>
      <c r="Q635" t="n">
        <v>0</v>
      </c>
      <c r="R635" s="2" t="inlineStr"/>
    </row>
    <row r="636" ht="15" customHeight="1">
      <c r="A636" t="inlineStr">
        <is>
          <t>A 46429-2025</t>
        </is>
      </c>
      <c r="B636" s="1" t="n">
        <v>45925.6144212963</v>
      </c>
      <c r="C636" s="1" t="n">
        <v>46082</v>
      </c>
      <c r="D636" t="inlineStr">
        <is>
          <t>JÄMTLANDS LÄN</t>
        </is>
      </c>
      <c r="E636" t="inlineStr">
        <is>
          <t>HÄRJEDALEN</t>
        </is>
      </c>
      <c r="F636" t="inlineStr">
        <is>
          <t>Bergvik skog öst AB</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21778-2022</t>
        </is>
      </c>
      <c r="B637" s="1" t="n">
        <v>44708.48859953704</v>
      </c>
      <c r="C637" s="1" t="n">
        <v>46082</v>
      </c>
      <c r="D637" t="inlineStr">
        <is>
          <t>JÄMTLANDS LÄN</t>
        </is>
      </c>
      <c r="E637" t="inlineStr">
        <is>
          <t>HÄRJEDALEN</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58352-2024</t>
        </is>
      </c>
      <c r="B638" s="1" t="n">
        <v>45632.65197916667</v>
      </c>
      <c r="C638" s="1" t="n">
        <v>46082</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46716-2025</t>
        </is>
      </c>
      <c r="B639" s="1" t="n">
        <v>45926.57876157408</v>
      </c>
      <c r="C639" s="1" t="n">
        <v>46082</v>
      </c>
      <c r="D639" t="inlineStr">
        <is>
          <t>JÄMTLANDS LÄN</t>
        </is>
      </c>
      <c r="E639" t="inlineStr">
        <is>
          <t>HÄRJEDALEN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14039-2025</t>
        </is>
      </c>
      <c r="B640" s="1" t="n">
        <v>45740.36546296296</v>
      </c>
      <c r="C640" s="1" t="n">
        <v>46082</v>
      </c>
      <c r="D640" t="inlineStr">
        <is>
          <t>JÄMTLANDS LÄN</t>
        </is>
      </c>
      <c r="E640" t="inlineStr">
        <is>
          <t>HÄRJEDALEN</t>
        </is>
      </c>
      <c r="F640" t="inlineStr">
        <is>
          <t>Holmen skog AB</t>
        </is>
      </c>
      <c r="G640" t="n">
        <v>7.5</v>
      </c>
      <c r="H640" t="n">
        <v>0</v>
      </c>
      <c r="I640" t="n">
        <v>0</v>
      </c>
      <c r="J640" t="n">
        <v>0</v>
      </c>
      <c r="K640" t="n">
        <v>0</v>
      </c>
      <c r="L640" t="n">
        <v>0</v>
      </c>
      <c r="M640" t="n">
        <v>0</v>
      </c>
      <c r="N640" t="n">
        <v>0</v>
      </c>
      <c r="O640" t="n">
        <v>0</v>
      </c>
      <c r="P640" t="n">
        <v>0</v>
      </c>
      <c r="Q640" t="n">
        <v>0</v>
      </c>
      <c r="R640" s="2" t="inlineStr"/>
    </row>
    <row r="641" ht="15" customHeight="1">
      <c r="A641" t="inlineStr">
        <is>
          <t>A 35813-2023</t>
        </is>
      </c>
      <c r="B641" s="1" t="n">
        <v>45147</v>
      </c>
      <c r="C641" s="1" t="n">
        <v>46082</v>
      </c>
      <c r="D641" t="inlineStr">
        <is>
          <t>JÄMTLANDS LÄN</t>
        </is>
      </c>
      <c r="E641" t="inlineStr">
        <is>
          <t>HÄRJEDALEN</t>
        </is>
      </c>
      <c r="G641" t="n">
        <v>15.1</v>
      </c>
      <c r="H641" t="n">
        <v>0</v>
      </c>
      <c r="I641" t="n">
        <v>0</v>
      </c>
      <c r="J641" t="n">
        <v>0</v>
      </c>
      <c r="K641" t="n">
        <v>0</v>
      </c>
      <c r="L641" t="n">
        <v>0</v>
      </c>
      <c r="M641" t="n">
        <v>0</v>
      </c>
      <c r="N641" t="n">
        <v>0</v>
      </c>
      <c r="O641" t="n">
        <v>0</v>
      </c>
      <c r="P641" t="n">
        <v>0</v>
      </c>
      <c r="Q641" t="n">
        <v>0</v>
      </c>
      <c r="R641" s="2" t="inlineStr"/>
    </row>
    <row r="642" ht="15" customHeight="1">
      <c r="A642" t="inlineStr">
        <is>
          <t>A 47232-2025</t>
        </is>
      </c>
      <c r="B642" s="1" t="n">
        <v>45930</v>
      </c>
      <c r="C642" s="1" t="n">
        <v>46082</v>
      </c>
      <c r="D642" t="inlineStr">
        <is>
          <t>JÄMTLANDS LÄN</t>
        </is>
      </c>
      <c r="E642" t="inlineStr">
        <is>
          <t>HÄRJEDALEN</t>
        </is>
      </c>
      <c r="G642" t="n">
        <v>2.7</v>
      </c>
      <c r="H642" t="n">
        <v>0</v>
      </c>
      <c r="I642" t="n">
        <v>0</v>
      </c>
      <c r="J642" t="n">
        <v>0</v>
      </c>
      <c r="K642" t="n">
        <v>0</v>
      </c>
      <c r="L642" t="n">
        <v>0</v>
      </c>
      <c r="M642" t="n">
        <v>0</v>
      </c>
      <c r="N642" t="n">
        <v>0</v>
      </c>
      <c r="O642" t="n">
        <v>0</v>
      </c>
      <c r="P642" t="n">
        <v>0</v>
      </c>
      <c r="Q642" t="n">
        <v>0</v>
      </c>
      <c r="R642" s="2" t="inlineStr"/>
    </row>
    <row r="643" ht="15" customHeight="1">
      <c r="A643" t="inlineStr">
        <is>
          <t>A 47314-2025</t>
        </is>
      </c>
      <c r="B643" s="1" t="n">
        <v>45930.54700231482</v>
      </c>
      <c r="C643" s="1" t="n">
        <v>46082</v>
      </c>
      <c r="D643" t="inlineStr">
        <is>
          <t>JÄMTLANDS LÄN</t>
        </is>
      </c>
      <c r="E643" t="inlineStr">
        <is>
          <t>HÄRJEDALEN</t>
        </is>
      </c>
      <c r="G643" t="n">
        <v>4.7</v>
      </c>
      <c r="H643" t="n">
        <v>0</v>
      </c>
      <c r="I643" t="n">
        <v>0</v>
      </c>
      <c r="J643" t="n">
        <v>0</v>
      </c>
      <c r="K643" t="n">
        <v>0</v>
      </c>
      <c r="L643" t="n">
        <v>0</v>
      </c>
      <c r="M643" t="n">
        <v>0</v>
      </c>
      <c r="N643" t="n">
        <v>0</v>
      </c>
      <c r="O643" t="n">
        <v>0</v>
      </c>
      <c r="P643" t="n">
        <v>0</v>
      </c>
      <c r="Q643" t="n">
        <v>0</v>
      </c>
      <c r="R643" s="2" t="inlineStr"/>
    </row>
    <row r="644" ht="15" customHeight="1">
      <c r="A644" t="inlineStr">
        <is>
          <t>A 47021-2025</t>
        </is>
      </c>
      <c r="B644" s="1" t="n">
        <v>45929.57756944445</v>
      </c>
      <c r="C644" s="1" t="n">
        <v>46082</v>
      </c>
      <c r="D644" t="inlineStr">
        <is>
          <t>JÄMTLANDS LÄN</t>
        </is>
      </c>
      <c r="E644" t="inlineStr">
        <is>
          <t>HÄRJEDALEN</t>
        </is>
      </c>
      <c r="G644" t="n">
        <v>5</v>
      </c>
      <c r="H644" t="n">
        <v>0</v>
      </c>
      <c r="I644" t="n">
        <v>0</v>
      </c>
      <c r="J644" t="n">
        <v>0</v>
      </c>
      <c r="K644" t="n">
        <v>0</v>
      </c>
      <c r="L644" t="n">
        <v>0</v>
      </c>
      <c r="M644" t="n">
        <v>0</v>
      </c>
      <c r="N644" t="n">
        <v>0</v>
      </c>
      <c r="O644" t="n">
        <v>0</v>
      </c>
      <c r="P644" t="n">
        <v>0</v>
      </c>
      <c r="Q644" t="n">
        <v>0</v>
      </c>
      <c r="R644" s="2" t="inlineStr"/>
    </row>
    <row r="645" ht="15" customHeight="1">
      <c r="A645" t="inlineStr">
        <is>
          <t>A 47236-2025</t>
        </is>
      </c>
      <c r="B645" s="1" t="n">
        <v>45930</v>
      </c>
      <c r="C645" s="1" t="n">
        <v>46082</v>
      </c>
      <c r="D645" t="inlineStr">
        <is>
          <t>JÄMTLANDS LÄN</t>
        </is>
      </c>
      <c r="E645" t="inlineStr">
        <is>
          <t>HÄRJEDALEN</t>
        </is>
      </c>
      <c r="G645" t="n">
        <v>5.3</v>
      </c>
      <c r="H645" t="n">
        <v>0</v>
      </c>
      <c r="I645" t="n">
        <v>0</v>
      </c>
      <c r="J645" t="n">
        <v>0</v>
      </c>
      <c r="K645" t="n">
        <v>0</v>
      </c>
      <c r="L645" t="n">
        <v>0</v>
      </c>
      <c r="M645" t="n">
        <v>0</v>
      </c>
      <c r="N645" t="n">
        <v>0</v>
      </c>
      <c r="O645" t="n">
        <v>0</v>
      </c>
      <c r="P645" t="n">
        <v>0</v>
      </c>
      <c r="Q645" t="n">
        <v>0</v>
      </c>
      <c r="R645" s="2" t="inlineStr"/>
    </row>
    <row r="646" ht="15" customHeight="1">
      <c r="A646" t="inlineStr">
        <is>
          <t>A 36976-2025</t>
        </is>
      </c>
      <c r="B646" s="1" t="n">
        <v>45874.64199074074</v>
      </c>
      <c r="C646" s="1" t="n">
        <v>46082</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21530-2023</t>
        </is>
      </c>
      <c r="B647" s="1" t="n">
        <v>45063</v>
      </c>
      <c r="C647" s="1" t="n">
        <v>46082</v>
      </c>
      <c r="D647" t="inlineStr">
        <is>
          <t>JÄMTLANDS LÄN</t>
        </is>
      </c>
      <c r="E647" t="inlineStr">
        <is>
          <t>HÄRJEDALEN</t>
        </is>
      </c>
      <c r="G647" t="n">
        <v>15.3</v>
      </c>
      <c r="H647" t="n">
        <v>0</v>
      </c>
      <c r="I647" t="n">
        <v>0</v>
      </c>
      <c r="J647" t="n">
        <v>0</v>
      </c>
      <c r="K647" t="n">
        <v>0</v>
      </c>
      <c r="L647" t="n">
        <v>0</v>
      </c>
      <c r="M647" t="n">
        <v>0</v>
      </c>
      <c r="N647" t="n">
        <v>0</v>
      </c>
      <c r="O647" t="n">
        <v>0</v>
      </c>
      <c r="P647" t="n">
        <v>0</v>
      </c>
      <c r="Q647" t="n">
        <v>0</v>
      </c>
      <c r="R647" s="2" t="inlineStr"/>
    </row>
    <row r="648" ht="15" customHeight="1">
      <c r="A648" t="inlineStr">
        <is>
          <t>A 46946-2025</t>
        </is>
      </c>
      <c r="B648" s="1" t="n">
        <v>45929.4609837963</v>
      </c>
      <c r="C648" s="1" t="n">
        <v>46082</v>
      </c>
      <c r="D648" t="inlineStr">
        <is>
          <t>JÄMTLANDS LÄN</t>
        </is>
      </c>
      <c r="E648" t="inlineStr">
        <is>
          <t>HÄRJEDALEN</t>
        </is>
      </c>
      <c r="F648" t="inlineStr">
        <is>
          <t>Bergvik skog öst AB</t>
        </is>
      </c>
      <c r="G648" t="n">
        <v>10.5</v>
      </c>
      <c r="H648" t="n">
        <v>0</v>
      </c>
      <c r="I648" t="n">
        <v>0</v>
      </c>
      <c r="J648" t="n">
        <v>0</v>
      </c>
      <c r="K648" t="n">
        <v>0</v>
      </c>
      <c r="L648" t="n">
        <v>0</v>
      </c>
      <c r="M648" t="n">
        <v>0</v>
      </c>
      <c r="N648" t="n">
        <v>0</v>
      </c>
      <c r="O648" t="n">
        <v>0</v>
      </c>
      <c r="P648" t="n">
        <v>0</v>
      </c>
      <c r="Q648" t="n">
        <v>0</v>
      </c>
      <c r="R648" s="2" t="inlineStr"/>
    </row>
    <row r="649" ht="15" customHeight="1">
      <c r="A649" t="inlineStr">
        <is>
          <t>A 36777-2025</t>
        </is>
      </c>
      <c r="B649" s="1" t="n">
        <v>45873.59511574074</v>
      </c>
      <c r="C649" s="1" t="n">
        <v>46082</v>
      </c>
      <c r="D649" t="inlineStr">
        <is>
          <t>JÄMTLANDS LÄN</t>
        </is>
      </c>
      <c r="E649" t="inlineStr">
        <is>
          <t>HÄRJEDALEN</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47701-2025</t>
        </is>
      </c>
      <c r="B650" s="1" t="n">
        <v>45931.60657407407</v>
      </c>
      <c r="C650" s="1" t="n">
        <v>46082</v>
      </c>
      <c r="D650" t="inlineStr">
        <is>
          <t>JÄMTLANDS LÄN</t>
        </is>
      </c>
      <c r="E650" t="inlineStr">
        <is>
          <t>HÄRJEDALEN</t>
        </is>
      </c>
      <c r="G650" t="n">
        <v>17.2</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46082</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57668-2024</t>
        </is>
      </c>
      <c r="B652" s="1" t="n">
        <v>45630.62513888889</v>
      </c>
      <c r="C652" s="1" t="n">
        <v>46082</v>
      </c>
      <c r="D652" t="inlineStr">
        <is>
          <t>JÄMTLANDS LÄN</t>
        </is>
      </c>
      <c r="E652" t="inlineStr">
        <is>
          <t>HÄRJEDALEN</t>
        </is>
      </c>
      <c r="G652" t="n">
        <v>15.7</v>
      </c>
      <c r="H652" t="n">
        <v>0</v>
      </c>
      <c r="I652" t="n">
        <v>0</v>
      </c>
      <c r="J652" t="n">
        <v>0</v>
      </c>
      <c r="K652" t="n">
        <v>0</v>
      </c>
      <c r="L652" t="n">
        <v>0</v>
      </c>
      <c r="M652" t="n">
        <v>0</v>
      </c>
      <c r="N652" t="n">
        <v>0</v>
      </c>
      <c r="O652" t="n">
        <v>0</v>
      </c>
      <c r="P652" t="n">
        <v>0</v>
      </c>
      <c r="Q652" t="n">
        <v>0</v>
      </c>
      <c r="R652" s="2" t="inlineStr"/>
    </row>
    <row r="653" ht="15" customHeight="1">
      <c r="A653" t="inlineStr">
        <is>
          <t>A 57836-2024</t>
        </is>
      </c>
      <c r="B653" s="1" t="n">
        <v>45631.39950231482</v>
      </c>
      <c r="C653" s="1" t="n">
        <v>46082</v>
      </c>
      <c r="D653" t="inlineStr">
        <is>
          <t>JÄMTLANDS LÄN</t>
        </is>
      </c>
      <c r="E653" t="inlineStr">
        <is>
          <t>HÄRJEDALEN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36978-2025</t>
        </is>
      </c>
      <c r="B654" s="1" t="n">
        <v>45874.64513888889</v>
      </c>
      <c r="C654" s="1" t="n">
        <v>46082</v>
      </c>
      <c r="D654" t="inlineStr">
        <is>
          <t>JÄMTLANDS LÄN</t>
        </is>
      </c>
      <c r="E654" t="inlineStr">
        <is>
          <t>HÄRJEDALEN</t>
        </is>
      </c>
      <c r="G654" t="n">
        <v>2.7</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46082</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8095-2025</t>
        </is>
      </c>
      <c r="B656" s="1" t="n">
        <v>45707</v>
      </c>
      <c r="C656" s="1" t="n">
        <v>46082</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47503-2025</t>
        </is>
      </c>
      <c r="B657" s="1" t="n">
        <v>45930.85418981482</v>
      </c>
      <c r="C657" s="1" t="n">
        <v>46082</v>
      </c>
      <c r="D657" t="inlineStr">
        <is>
          <t>JÄMTLANDS LÄN</t>
        </is>
      </c>
      <c r="E657" t="inlineStr">
        <is>
          <t>HÄRJEDALEN</t>
        </is>
      </c>
      <c r="G657" t="n">
        <v>1</v>
      </c>
      <c r="H657" t="n">
        <v>0</v>
      </c>
      <c r="I657" t="n">
        <v>0</v>
      </c>
      <c r="J657" t="n">
        <v>0</v>
      </c>
      <c r="K657" t="n">
        <v>0</v>
      </c>
      <c r="L657" t="n">
        <v>0</v>
      </c>
      <c r="M657" t="n">
        <v>0</v>
      </c>
      <c r="N657" t="n">
        <v>0</v>
      </c>
      <c r="O657" t="n">
        <v>0</v>
      </c>
      <c r="P657" t="n">
        <v>0</v>
      </c>
      <c r="Q657" t="n">
        <v>0</v>
      </c>
      <c r="R657" s="2" t="inlineStr"/>
    </row>
    <row r="658" ht="15" customHeight="1">
      <c r="A658" t="inlineStr">
        <is>
          <t>A 37244-2025</t>
        </is>
      </c>
      <c r="B658" s="1" t="n">
        <v>45876.39362268519</v>
      </c>
      <c r="C658" s="1" t="n">
        <v>46082</v>
      </c>
      <c r="D658" t="inlineStr">
        <is>
          <t>JÄMTLANDS LÄN</t>
        </is>
      </c>
      <c r="E658" t="inlineStr">
        <is>
          <t>HÄRJEDALEN</t>
        </is>
      </c>
      <c r="F658" t="inlineStr">
        <is>
          <t>Bergvik skog väst AB</t>
        </is>
      </c>
      <c r="G658" t="n">
        <v>14.4</v>
      </c>
      <c r="H658" t="n">
        <v>0</v>
      </c>
      <c r="I658" t="n">
        <v>0</v>
      </c>
      <c r="J658" t="n">
        <v>0</v>
      </c>
      <c r="K658" t="n">
        <v>0</v>
      </c>
      <c r="L658" t="n">
        <v>0</v>
      </c>
      <c r="M658" t="n">
        <v>0</v>
      </c>
      <c r="N658" t="n">
        <v>0</v>
      </c>
      <c r="O658" t="n">
        <v>0</v>
      </c>
      <c r="P658" t="n">
        <v>0</v>
      </c>
      <c r="Q658" t="n">
        <v>0</v>
      </c>
      <c r="R658" s="2" t="inlineStr"/>
    </row>
    <row r="659" ht="15" customHeight="1">
      <c r="A659" t="inlineStr">
        <is>
          <t>A 18896-2025</t>
        </is>
      </c>
      <c r="B659" s="1" t="n">
        <v>45764.44861111111</v>
      </c>
      <c r="C659" s="1" t="n">
        <v>46082</v>
      </c>
      <c r="D659" t="inlineStr">
        <is>
          <t>JÄMTLANDS LÄN</t>
        </is>
      </c>
      <c r="E659" t="inlineStr">
        <is>
          <t>HÄRJEDALEN</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11555-2025</t>
        </is>
      </c>
      <c r="B660" s="1" t="n">
        <v>45727.35621527778</v>
      </c>
      <c r="C660" s="1" t="n">
        <v>46082</v>
      </c>
      <c r="D660" t="inlineStr">
        <is>
          <t>JÄMTLANDS LÄN</t>
        </is>
      </c>
      <c r="E660" t="inlineStr">
        <is>
          <t>HÄRJEDALEN</t>
        </is>
      </c>
      <c r="F660" t="inlineStr">
        <is>
          <t>Bergvik skog väst AB</t>
        </is>
      </c>
      <c r="G660" t="n">
        <v>14.2</v>
      </c>
      <c r="H660" t="n">
        <v>0</v>
      </c>
      <c r="I660" t="n">
        <v>0</v>
      </c>
      <c r="J660" t="n">
        <v>0</v>
      </c>
      <c r="K660" t="n">
        <v>0</v>
      </c>
      <c r="L660" t="n">
        <v>0</v>
      </c>
      <c r="M660" t="n">
        <v>0</v>
      </c>
      <c r="N660" t="n">
        <v>0</v>
      </c>
      <c r="O660" t="n">
        <v>0</v>
      </c>
      <c r="P660" t="n">
        <v>0</v>
      </c>
      <c r="Q660" t="n">
        <v>0</v>
      </c>
      <c r="R660" s="2" t="inlineStr"/>
    </row>
    <row r="661" ht="15" customHeight="1">
      <c r="A661" t="inlineStr">
        <is>
          <t>A 32064-2024</t>
        </is>
      </c>
      <c r="B661" s="1" t="n">
        <v>45510</v>
      </c>
      <c r="C661" s="1" t="n">
        <v>46082</v>
      </c>
      <c r="D661" t="inlineStr">
        <is>
          <t>JÄMTLANDS LÄN</t>
        </is>
      </c>
      <c r="E661" t="inlineStr">
        <is>
          <t>HÄRJEDALEN</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37106-2025</t>
        </is>
      </c>
      <c r="B662" s="1" t="n">
        <v>45875.47854166666</v>
      </c>
      <c r="C662" s="1" t="n">
        <v>46082</v>
      </c>
      <c r="D662" t="inlineStr">
        <is>
          <t>JÄMTLANDS LÄN</t>
        </is>
      </c>
      <c r="E662" t="inlineStr">
        <is>
          <t>HÄRJEDALEN</t>
        </is>
      </c>
      <c r="F662" t="inlineStr">
        <is>
          <t>Holmen skog AB</t>
        </is>
      </c>
      <c r="G662" t="n">
        <v>4.3</v>
      </c>
      <c r="H662" t="n">
        <v>0</v>
      </c>
      <c r="I662" t="n">
        <v>0</v>
      </c>
      <c r="J662" t="n">
        <v>0</v>
      </c>
      <c r="K662" t="n">
        <v>0</v>
      </c>
      <c r="L662" t="n">
        <v>0</v>
      </c>
      <c r="M662" t="n">
        <v>0</v>
      </c>
      <c r="N662" t="n">
        <v>0</v>
      </c>
      <c r="O662" t="n">
        <v>0</v>
      </c>
      <c r="P662" t="n">
        <v>0</v>
      </c>
      <c r="Q662" t="n">
        <v>0</v>
      </c>
      <c r="R662" s="2" t="inlineStr"/>
    </row>
    <row r="663" ht="15" customHeight="1">
      <c r="A663" t="inlineStr">
        <is>
          <t>A 37122-2025</t>
        </is>
      </c>
      <c r="B663" s="1" t="n">
        <v>45875.5196875</v>
      </c>
      <c r="C663" s="1" t="n">
        <v>46082</v>
      </c>
      <c r="D663" t="inlineStr">
        <is>
          <t>JÄMTLANDS LÄN</t>
        </is>
      </c>
      <c r="E663" t="inlineStr">
        <is>
          <t>HÄRJEDALEN</t>
        </is>
      </c>
      <c r="G663" t="n">
        <v>6.9</v>
      </c>
      <c r="H663" t="n">
        <v>0</v>
      </c>
      <c r="I663" t="n">
        <v>0</v>
      </c>
      <c r="J663" t="n">
        <v>0</v>
      </c>
      <c r="K663" t="n">
        <v>0</v>
      </c>
      <c r="L663" t="n">
        <v>0</v>
      </c>
      <c r="M663" t="n">
        <v>0</v>
      </c>
      <c r="N663" t="n">
        <v>0</v>
      </c>
      <c r="O663" t="n">
        <v>0</v>
      </c>
      <c r="P663" t="n">
        <v>0</v>
      </c>
      <c r="Q663" t="n">
        <v>0</v>
      </c>
      <c r="R663" s="2" t="inlineStr"/>
    </row>
    <row r="664" ht="15" customHeight="1">
      <c r="A664" t="inlineStr">
        <is>
          <t>A 29624-2024</t>
        </is>
      </c>
      <c r="B664" s="1" t="n">
        <v>45484.65768518519</v>
      </c>
      <c r="C664" s="1" t="n">
        <v>46082</v>
      </c>
      <c r="D664" t="inlineStr">
        <is>
          <t>JÄMTLANDS LÄN</t>
        </is>
      </c>
      <c r="E664" t="inlineStr">
        <is>
          <t>HÄRJEDALEN</t>
        </is>
      </c>
      <c r="F664" t="inlineStr">
        <is>
          <t>Holmen skog AB</t>
        </is>
      </c>
      <c r="G664" t="n">
        <v>7.7</v>
      </c>
      <c r="H664" t="n">
        <v>0</v>
      </c>
      <c r="I664" t="n">
        <v>0</v>
      </c>
      <c r="J664" t="n">
        <v>0</v>
      </c>
      <c r="K664" t="n">
        <v>0</v>
      </c>
      <c r="L664" t="n">
        <v>0</v>
      </c>
      <c r="M664" t="n">
        <v>0</v>
      </c>
      <c r="N664" t="n">
        <v>0</v>
      </c>
      <c r="O664" t="n">
        <v>0</v>
      </c>
      <c r="P664" t="n">
        <v>0</v>
      </c>
      <c r="Q664" t="n">
        <v>0</v>
      </c>
      <c r="R664" s="2" t="inlineStr"/>
    </row>
    <row r="665" ht="15" customHeight="1">
      <c r="A665" t="inlineStr">
        <is>
          <t>A 37281-2025</t>
        </is>
      </c>
      <c r="B665" s="1" t="n">
        <v>45876.49113425926</v>
      </c>
      <c r="C665" s="1" t="n">
        <v>46082</v>
      </c>
      <c r="D665" t="inlineStr">
        <is>
          <t>JÄMTLANDS LÄN</t>
        </is>
      </c>
      <c r="E665" t="inlineStr">
        <is>
          <t>HÄRJEDALEN</t>
        </is>
      </c>
      <c r="G665" t="n">
        <v>2.6</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46082</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46082</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47501-2025</t>
        </is>
      </c>
      <c r="B668" s="1" t="n">
        <v>45930.85032407408</v>
      </c>
      <c r="C668" s="1" t="n">
        <v>46082</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37571-2025</t>
        </is>
      </c>
      <c r="B669" s="1" t="n">
        <v>45880.37472222222</v>
      </c>
      <c r="C669" s="1" t="n">
        <v>46082</v>
      </c>
      <c r="D669" t="inlineStr">
        <is>
          <t>JÄMTLANDS LÄN</t>
        </is>
      </c>
      <c r="E669" t="inlineStr">
        <is>
          <t>HÄRJEDALEN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46082</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46082</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46082</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29791-2024</t>
        </is>
      </c>
      <c r="B673" s="1" t="n">
        <v>45485</v>
      </c>
      <c r="C673" s="1" t="n">
        <v>46082</v>
      </c>
      <c r="D673" t="inlineStr">
        <is>
          <t>JÄMTLANDS LÄN</t>
        </is>
      </c>
      <c r="E673" t="inlineStr">
        <is>
          <t>HÄRJEDALEN</t>
        </is>
      </c>
      <c r="G673" t="n">
        <v>2.4</v>
      </c>
      <c r="H673" t="n">
        <v>0</v>
      </c>
      <c r="I673" t="n">
        <v>0</v>
      </c>
      <c r="J673" t="n">
        <v>0</v>
      </c>
      <c r="K673" t="n">
        <v>0</v>
      </c>
      <c r="L673" t="n">
        <v>0</v>
      </c>
      <c r="M673" t="n">
        <v>0</v>
      </c>
      <c r="N673" t="n">
        <v>0</v>
      </c>
      <c r="O673" t="n">
        <v>0</v>
      </c>
      <c r="P673" t="n">
        <v>0</v>
      </c>
      <c r="Q673" t="n">
        <v>0</v>
      </c>
      <c r="R673" s="2" t="inlineStr"/>
    </row>
    <row r="674" ht="15" customHeight="1">
      <c r="A674" t="inlineStr">
        <is>
          <t>A 38183-2025</t>
        </is>
      </c>
      <c r="B674" s="1" t="n">
        <v>45882.64755787037</v>
      </c>
      <c r="C674" s="1" t="n">
        <v>46082</v>
      </c>
      <c r="D674" t="inlineStr">
        <is>
          <t>JÄMTLANDS LÄN</t>
        </is>
      </c>
      <c r="E674" t="inlineStr">
        <is>
          <t>HÄRJEDALEN</t>
        </is>
      </c>
      <c r="F674" t="inlineStr">
        <is>
          <t>Bergvik skog väst AB</t>
        </is>
      </c>
      <c r="G674" t="n">
        <v>30.9</v>
      </c>
      <c r="H674" t="n">
        <v>0</v>
      </c>
      <c r="I674" t="n">
        <v>0</v>
      </c>
      <c r="J674" t="n">
        <v>0</v>
      </c>
      <c r="K674" t="n">
        <v>0</v>
      </c>
      <c r="L674" t="n">
        <v>0</v>
      </c>
      <c r="M674" t="n">
        <v>0</v>
      </c>
      <c r="N674" t="n">
        <v>0</v>
      </c>
      <c r="O674" t="n">
        <v>0</v>
      </c>
      <c r="P674" t="n">
        <v>0</v>
      </c>
      <c r="Q674" t="n">
        <v>0</v>
      </c>
      <c r="R674" s="2" t="inlineStr"/>
    </row>
    <row r="675" ht="15" customHeight="1">
      <c r="A675" t="inlineStr">
        <is>
          <t>A 46128-2025</t>
        </is>
      </c>
      <c r="B675" s="1" t="n">
        <v>45924.59215277778</v>
      </c>
      <c r="C675" s="1" t="n">
        <v>46082</v>
      </c>
      <c r="D675" t="inlineStr">
        <is>
          <t>JÄMTLANDS LÄN</t>
        </is>
      </c>
      <c r="E675" t="inlineStr">
        <is>
          <t>HÄRJEDALEN</t>
        </is>
      </c>
      <c r="G675" t="n">
        <v>3.2</v>
      </c>
      <c r="H675" t="n">
        <v>0</v>
      </c>
      <c r="I675" t="n">
        <v>0</v>
      </c>
      <c r="J675" t="n">
        <v>0</v>
      </c>
      <c r="K675" t="n">
        <v>0</v>
      </c>
      <c r="L675" t="n">
        <v>0</v>
      </c>
      <c r="M675" t="n">
        <v>0</v>
      </c>
      <c r="N675" t="n">
        <v>0</v>
      </c>
      <c r="O675" t="n">
        <v>0</v>
      </c>
      <c r="P675" t="n">
        <v>0</v>
      </c>
      <c r="Q675" t="n">
        <v>0</v>
      </c>
      <c r="R675" s="2" t="inlineStr"/>
    </row>
    <row r="676" ht="15" customHeight="1">
      <c r="A676" t="inlineStr">
        <is>
          <t>A 37957-2025</t>
        </is>
      </c>
      <c r="B676" s="1" t="n">
        <v>45881.64365740741</v>
      </c>
      <c r="C676" s="1" t="n">
        <v>46082</v>
      </c>
      <c r="D676" t="inlineStr">
        <is>
          <t>JÄMTLANDS LÄN</t>
        </is>
      </c>
      <c r="E676" t="inlineStr">
        <is>
          <t>HÄRJEDALEN</t>
        </is>
      </c>
      <c r="G676" t="n">
        <v>4.2</v>
      </c>
      <c r="H676" t="n">
        <v>0</v>
      </c>
      <c r="I676" t="n">
        <v>0</v>
      </c>
      <c r="J676" t="n">
        <v>0</v>
      </c>
      <c r="K676" t="n">
        <v>0</v>
      </c>
      <c r="L676" t="n">
        <v>0</v>
      </c>
      <c r="M676" t="n">
        <v>0</v>
      </c>
      <c r="N676" t="n">
        <v>0</v>
      </c>
      <c r="O676" t="n">
        <v>0</v>
      </c>
      <c r="P676" t="n">
        <v>0</v>
      </c>
      <c r="Q676" t="n">
        <v>0</v>
      </c>
      <c r="R676" s="2" t="inlineStr"/>
    </row>
    <row r="677" ht="15" customHeight="1">
      <c r="A677" t="inlineStr">
        <is>
          <t>A 35-2023</t>
        </is>
      </c>
      <c r="B677" s="1" t="n">
        <v>44928.36418981481</v>
      </c>
      <c r="C677" s="1" t="n">
        <v>46082</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38169-2025</t>
        </is>
      </c>
      <c r="B678" s="1" t="n">
        <v>45882.63179398148</v>
      </c>
      <c r="C678" s="1" t="n">
        <v>46082</v>
      </c>
      <c r="D678" t="inlineStr">
        <is>
          <t>JÄMTLANDS LÄN</t>
        </is>
      </c>
      <c r="E678" t="inlineStr">
        <is>
          <t>HÄRJEDALEN</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37808-2025</t>
        </is>
      </c>
      <c r="B679" s="1" t="n">
        <v>45881.36469907407</v>
      </c>
      <c r="C679" s="1" t="n">
        <v>46082</v>
      </c>
      <c r="D679" t="inlineStr">
        <is>
          <t>JÄMTLANDS LÄN</t>
        </is>
      </c>
      <c r="E679" t="inlineStr">
        <is>
          <t>HÄRJEDALEN</t>
        </is>
      </c>
      <c r="G679" t="n">
        <v>2.6</v>
      </c>
      <c r="H679" t="n">
        <v>0</v>
      </c>
      <c r="I679" t="n">
        <v>0</v>
      </c>
      <c r="J679" t="n">
        <v>0</v>
      </c>
      <c r="K679" t="n">
        <v>0</v>
      </c>
      <c r="L679" t="n">
        <v>0</v>
      </c>
      <c r="M679" t="n">
        <v>0</v>
      </c>
      <c r="N679" t="n">
        <v>0</v>
      </c>
      <c r="O679" t="n">
        <v>0</v>
      </c>
      <c r="P679" t="n">
        <v>0</v>
      </c>
      <c r="Q679" t="n">
        <v>0</v>
      </c>
      <c r="R679" s="2" t="inlineStr"/>
    </row>
    <row r="680" ht="15" customHeight="1">
      <c r="A680" t="inlineStr">
        <is>
          <t>A 8091-2025</t>
        </is>
      </c>
      <c r="B680" s="1" t="n">
        <v>45707</v>
      </c>
      <c r="C680" s="1" t="n">
        <v>46082</v>
      </c>
      <c r="D680" t="inlineStr">
        <is>
          <t>JÄMTLANDS LÄN</t>
        </is>
      </c>
      <c r="E680" t="inlineStr">
        <is>
          <t>HÄRJEDALEN</t>
        </is>
      </c>
      <c r="G680" t="n">
        <v>3.3</v>
      </c>
      <c r="H680" t="n">
        <v>0</v>
      </c>
      <c r="I680" t="n">
        <v>0</v>
      </c>
      <c r="J680" t="n">
        <v>0</v>
      </c>
      <c r="K680" t="n">
        <v>0</v>
      </c>
      <c r="L680" t="n">
        <v>0</v>
      </c>
      <c r="M680" t="n">
        <v>0</v>
      </c>
      <c r="N680" t="n">
        <v>0</v>
      </c>
      <c r="O680" t="n">
        <v>0</v>
      </c>
      <c r="P680" t="n">
        <v>0</v>
      </c>
      <c r="Q680" t="n">
        <v>0</v>
      </c>
      <c r="R680" s="2" t="inlineStr"/>
    </row>
    <row r="681" ht="15" customHeight="1">
      <c r="A681" t="inlineStr">
        <is>
          <t>A 34627-2022</t>
        </is>
      </c>
      <c r="B681" s="1" t="n">
        <v>44795</v>
      </c>
      <c r="C681" s="1" t="n">
        <v>46082</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47699-2025</t>
        </is>
      </c>
      <c r="B682" s="1" t="n">
        <v>45931.60063657408</v>
      </c>
      <c r="C682" s="1" t="n">
        <v>46082</v>
      </c>
      <c r="D682" t="inlineStr">
        <is>
          <t>JÄMTLANDS LÄN</t>
        </is>
      </c>
      <c r="E682" t="inlineStr">
        <is>
          <t>HÄRJEDALEN</t>
        </is>
      </c>
      <c r="G682" t="n">
        <v>11.5</v>
      </c>
      <c r="H682" t="n">
        <v>0</v>
      </c>
      <c r="I682" t="n">
        <v>0</v>
      </c>
      <c r="J682" t="n">
        <v>0</v>
      </c>
      <c r="K682" t="n">
        <v>0</v>
      </c>
      <c r="L682" t="n">
        <v>0</v>
      </c>
      <c r="M682" t="n">
        <v>0</v>
      </c>
      <c r="N682" t="n">
        <v>0</v>
      </c>
      <c r="O682" t="n">
        <v>0</v>
      </c>
      <c r="P682" t="n">
        <v>0</v>
      </c>
      <c r="Q682" t="n">
        <v>0</v>
      </c>
      <c r="R682" s="2" t="inlineStr"/>
    </row>
    <row r="683" ht="15" customHeight="1">
      <c r="A683" t="inlineStr">
        <is>
          <t>A 37839-2025</t>
        </is>
      </c>
      <c r="B683" s="1" t="n">
        <v>45881.43114583333</v>
      </c>
      <c r="C683" s="1" t="n">
        <v>46082</v>
      </c>
      <c r="D683" t="inlineStr">
        <is>
          <t>JÄMTLANDS LÄN</t>
        </is>
      </c>
      <c r="E683" t="inlineStr">
        <is>
          <t>HÄRJEDALEN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37865-2025</t>
        </is>
      </c>
      <c r="B684" s="1" t="n">
        <v>45881.46869212963</v>
      </c>
      <c r="C684" s="1" t="n">
        <v>46082</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14632-2025</t>
        </is>
      </c>
      <c r="B685" s="1" t="n">
        <v>45742.42793981481</v>
      </c>
      <c r="C685" s="1" t="n">
        <v>46082</v>
      </c>
      <c r="D685" t="inlineStr">
        <is>
          <t>JÄMTLANDS LÄN</t>
        </is>
      </c>
      <c r="E685" t="inlineStr">
        <is>
          <t>HÄRJEDALEN</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7622-2025</t>
        </is>
      </c>
      <c r="B686" s="1" t="n">
        <v>45705.72106481482</v>
      </c>
      <c r="C686" s="1" t="n">
        <v>46082</v>
      </c>
      <c r="D686" t="inlineStr">
        <is>
          <t>JÄMTLANDS LÄN</t>
        </is>
      </c>
      <c r="E686" t="inlineStr">
        <is>
          <t>HÄRJEDALEN</t>
        </is>
      </c>
      <c r="G686" t="n">
        <v>2.7</v>
      </c>
      <c r="H686" t="n">
        <v>0</v>
      </c>
      <c r="I686" t="n">
        <v>0</v>
      </c>
      <c r="J686" t="n">
        <v>0</v>
      </c>
      <c r="K686" t="n">
        <v>0</v>
      </c>
      <c r="L686" t="n">
        <v>0</v>
      </c>
      <c r="M686" t="n">
        <v>0</v>
      </c>
      <c r="N686" t="n">
        <v>0</v>
      </c>
      <c r="O686" t="n">
        <v>0</v>
      </c>
      <c r="P686" t="n">
        <v>0</v>
      </c>
      <c r="Q686" t="n">
        <v>0</v>
      </c>
      <c r="R686" s="2" t="inlineStr"/>
    </row>
    <row r="687" ht="15" customHeight="1">
      <c r="A687" t="inlineStr">
        <is>
          <t>A 37963-2025</t>
        </is>
      </c>
      <c r="B687" s="1" t="n">
        <v>45881.6609375</v>
      </c>
      <c r="C687" s="1" t="n">
        <v>46082</v>
      </c>
      <c r="D687" t="inlineStr">
        <is>
          <t>JÄMTLANDS LÄN</t>
        </is>
      </c>
      <c r="E687" t="inlineStr">
        <is>
          <t>HÄRJEDALEN</t>
        </is>
      </c>
      <c r="G687" t="n">
        <v>15.6</v>
      </c>
      <c r="H687" t="n">
        <v>0</v>
      </c>
      <c r="I687" t="n">
        <v>0</v>
      </c>
      <c r="J687" t="n">
        <v>0</v>
      </c>
      <c r="K687" t="n">
        <v>0</v>
      </c>
      <c r="L687" t="n">
        <v>0</v>
      </c>
      <c r="M687" t="n">
        <v>0</v>
      </c>
      <c r="N687" t="n">
        <v>0</v>
      </c>
      <c r="O687" t="n">
        <v>0</v>
      </c>
      <c r="P687" t="n">
        <v>0</v>
      </c>
      <c r="Q687" t="n">
        <v>0</v>
      </c>
      <c r="R687" s="2" t="inlineStr"/>
    </row>
    <row r="688" ht="15" customHeight="1">
      <c r="A688" t="inlineStr">
        <is>
          <t>A 35532-2021</t>
        </is>
      </c>
      <c r="B688" s="1" t="n">
        <v>44385</v>
      </c>
      <c r="C688" s="1" t="n">
        <v>46082</v>
      </c>
      <c r="D688" t="inlineStr">
        <is>
          <t>JÄMTLANDS LÄN</t>
        </is>
      </c>
      <c r="E688" t="inlineStr">
        <is>
          <t>HÄRJEDALEN</t>
        </is>
      </c>
      <c r="G688" t="n">
        <v>4.3</v>
      </c>
      <c r="H688" t="n">
        <v>0</v>
      </c>
      <c r="I688" t="n">
        <v>0</v>
      </c>
      <c r="J688" t="n">
        <v>0</v>
      </c>
      <c r="K688" t="n">
        <v>0</v>
      </c>
      <c r="L688" t="n">
        <v>0</v>
      </c>
      <c r="M688" t="n">
        <v>0</v>
      </c>
      <c r="N688" t="n">
        <v>0</v>
      </c>
      <c r="O688" t="n">
        <v>0</v>
      </c>
      <c r="P688" t="n">
        <v>0</v>
      </c>
      <c r="Q688" t="n">
        <v>0</v>
      </c>
      <c r="R688" s="2" t="inlineStr"/>
    </row>
    <row r="689" ht="15" customHeight="1">
      <c r="A689" t="inlineStr">
        <is>
          <t>A 30082-2022</t>
        </is>
      </c>
      <c r="B689" s="1" t="n">
        <v>44757.37524305555</v>
      </c>
      <c r="C689" s="1" t="n">
        <v>46082</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18893-2025</t>
        </is>
      </c>
      <c r="B690" s="1" t="n">
        <v>45764.44825231482</v>
      </c>
      <c r="C690" s="1" t="n">
        <v>46082</v>
      </c>
      <c r="D690" t="inlineStr">
        <is>
          <t>JÄMTLANDS LÄN</t>
        </is>
      </c>
      <c r="E690" t="inlineStr">
        <is>
          <t>HÄRJEDALEN</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48284-2025</t>
        </is>
      </c>
      <c r="B691" s="1" t="n">
        <v>45933</v>
      </c>
      <c r="C691" s="1" t="n">
        <v>46082</v>
      </c>
      <c r="D691" t="inlineStr">
        <is>
          <t>JÄMTLANDS LÄN</t>
        </is>
      </c>
      <c r="E691" t="inlineStr">
        <is>
          <t>HÄRJEDALEN</t>
        </is>
      </c>
      <c r="G691" t="n">
        <v>6.3</v>
      </c>
      <c r="H691" t="n">
        <v>0</v>
      </c>
      <c r="I691" t="n">
        <v>0</v>
      </c>
      <c r="J691" t="n">
        <v>0</v>
      </c>
      <c r="K691" t="n">
        <v>0</v>
      </c>
      <c r="L691" t="n">
        <v>0</v>
      </c>
      <c r="M691" t="n">
        <v>0</v>
      </c>
      <c r="N691" t="n">
        <v>0</v>
      </c>
      <c r="O691" t="n">
        <v>0</v>
      </c>
      <c r="P691" t="n">
        <v>0</v>
      </c>
      <c r="Q691" t="n">
        <v>0</v>
      </c>
      <c r="R691" s="2" t="inlineStr"/>
    </row>
    <row r="692" ht="15" customHeight="1">
      <c r="A692" t="inlineStr">
        <is>
          <t>A 44519-2021</t>
        </is>
      </c>
      <c r="B692" s="1" t="n">
        <v>44435</v>
      </c>
      <c r="C692" s="1" t="n">
        <v>46082</v>
      </c>
      <c r="D692" t="inlineStr">
        <is>
          <t>JÄMTLANDS LÄN</t>
        </is>
      </c>
      <c r="E692" t="inlineStr">
        <is>
          <t>HÄRJEDALEN</t>
        </is>
      </c>
      <c r="F692" t="inlineStr">
        <is>
          <t>Kyrkan</t>
        </is>
      </c>
      <c r="G692" t="n">
        <v>6.7</v>
      </c>
      <c r="H692" t="n">
        <v>0</v>
      </c>
      <c r="I692" t="n">
        <v>0</v>
      </c>
      <c r="J692" t="n">
        <v>0</v>
      </c>
      <c r="K692" t="n">
        <v>0</v>
      </c>
      <c r="L692" t="n">
        <v>0</v>
      </c>
      <c r="M692" t="n">
        <v>0</v>
      </c>
      <c r="N692" t="n">
        <v>0</v>
      </c>
      <c r="O692" t="n">
        <v>0</v>
      </c>
      <c r="P692" t="n">
        <v>0</v>
      </c>
      <c r="Q692" t="n">
        <v>0</v>
      </c>
      <c r="R692" s="2" t="inlineStr"/>
    </row>
    <row r="693" ht="15" customHeight="1">
      <c r="A693" t="inlineStr">
        <is>
          <t>A 41955-2023</t>
        </is>
      </c>
      <c r="B693" s="1" t="n">
        <v>45174</v>
      </c>
      <c r="C693" s="1" t="n">
        <v>46082</v>
      </c>
      <c r="D693" t="inlineStr">
        <is>
          <t>JÄMTLANDS LÄN</t>
        </is>
      </c>
      <c r="E693" t="inlineStr">
        <is>
          <t>HÄRJEDALEN</t>
        </is>
      </c>
      <c r="G693" t="n">
        <v>60.5</v>
      </c>
      <c r="H693" t="n">
        <v>0</v>
      </c>
      <c r="I693" t="n">
        <v>0</v>
      </c>
      <c r="J693" t="n">
        <v>0</v>
      </c>
      <c r="K693" t="n">
        <v>0</v>
      </c>
      <c r="L693" t="n">
        <v>0</v>
      </c>
      <c r="M693" t="n">
        <v>0</v>
      </c>
      <c r="N693" t="n">
        <v>0</v>
      </c>
      <c r="O693" t="n">
        <v>0</v>
      </c>
      <c r="P693" t="n">
        <v>0</v>
      </c>
      <c r="Q693" t="n">
        <v>0</v>
      </c>
      <c r="R693" s="2" t="inlineStr"/>
    </row>
    <row r="694" ht="15" customHeight="1">
      <c r="A694" t="inlineStr">
        <is>
          <t>A 48243-2025</t>
        </is>
      </c>
      <c r="B694" s="1" t="n">
        <v>45933.53942129629</v>
      </c>
      <c r="C694" s="1" t="n">
        <v>46082</v>
      </c>
      <c r="D694" t="inlineStr">
        <is>
          <t>JÄMTLANDS LÄN</t>
        </is>
      </c>
      <c r="E694" t="inlineStr">
        <is>
          <t>HÄRJEDALEN</t>
        </is>
      </c>
      <c r="G694" t="n">
        <v>10.6</v>
      </c>
      <c r="H694" t="n">
        <v>0</v>
      </c>
      <c r="I694" t="n">
        <v>0</v>
      </c>
      <c r="J694" t="n">
        <v>0</v>
      </c>
      <c r="K694" t="n">
        <v>0</v>
      </c>
      <c r="L694" t="n">
        <v>0</v>
      </c>
      <c r="M694" t="n">
        <v>0</v>
      </c>
      <c r="N694" t="n">
        <v>0</v>
      </c>
      <c r="O694" t="n">
        <v>0</v>
      </c>
      <c r="P694" t="n">
        <v>0</v>
      </c>
      <c r="Q694" t="n">
        <v>0</v>
      </c>
      <c r="R694" s="2" t="inlineStr"/>
    </row>
    <row r="695" ht="15" customHeight="1">
      <c r="A695" t="inlineStr">
        <is>
          <t>A 44060-2024</t>
        </is>
      </c>
      <c r="B695" s="1" t="n">
        <v>45572.60001157408</v>
      </c>
      <c r="C695" s="1" t="n">
        <v>46082</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38349-2025</t>
        </is>
      </c>
      <c r="B696" s="1" t="n">
        <v>45883.51854166666</v>
      </c>
      <c r="C696" s="1" t="n">
        <v>46082</v>
      </c>
      <c r="D696" t="inlineStr">
        <is>
          <t>JÄMTLANDS LÄN</t>
        </is>
      </c>
      <c r="E696" t="inlineStr">
        <is>
          <t>HÄRJEDALEN</t>
        </is>
      </c>
      <c r="G696" t="n">
        <v>6.8</v>
      </c>
      <c r="H696" t="n">
        <v>0</v>
      </c>
      <c r="I696" t="n">
        <v>0</v>
      </c>
      <c r="J696" t="n">
        <v>0</v>
      </c>
      <c r="K696" t="n">
        <v>0</v>
      </c>
      <c r="L696" t="n">
        <v>0</v>
      </c>
      <c r="M696" t="n">
        <v>0</v>
      </c>
      <c r="N696" t="n">
        <v>0</v>
      </c>
      <c r="O696" t="n">
        <v>0</v>
      </c>
      <c r="P696" t="n">
        <v>0</v>
      </c>
      <c r="Q696" t="n">
        <v>0</v>
      </c>
      <c r="R696" s="2" t="inlineStr"/>
    </row>
    <row r="697" ht="15" customHeight="1">
      <c r="A697" t="inlineStr">
        <is>
          <t>A 49163-2025</t>
        </is>
      </c>
      <c r="B697" s="1" t="n">
        <v>45938.35490740741</v>
      </c>
      <c r="C697" s="1" t="n">
        <v>46082</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48771-2025</t>
        </is>
      </c>
      <c r="B698" s="1" t="n">
        <v>45936.92728009259</v>
      </c>
      <c r="C698" s="1" t="n">
        <v>46082</v>
      </c>
      <c r="D698" t="inlineStr">
        <is>
          <t>JÄMTLANDS LÄN</t>
        </is>
      </c>
      <c r="E698" t="inlineStr">
        <is>
          <t>HÄRJEDALEN</t>
        </is>
      </c>
      <c r="G698" t="n">
        <v>0.2</v>
      </c>
      <c r="H698" t="n">
        <v>0</v>
      </c>
      <c r="I698" t="n">
        <v>0</v>
      </c>
      <c r="J698" t="n">
        <v>0</v>
      </c>
      <c r="K698" t="n">
        <v>0</v>
      </c>
      <c r="L698" t="n">
        <v>0</v>
      </c>
      <c r="M698" t="n">
        <v>0</v>
      </c>
      <c r="N698" t="n">
        <v>0</v>
      </c>
      <c r="O698" t="n">
        <v>0</v>
      </c>
      <c r="P698" t="n">
        <v>0</v>
      </c>
      <c r="Q698" t="n">
        <v>0</v>
      </c>
      <c r="R698" s="2" t="inlineStr"/>
    </row>
    <row r="699" ht="15" customHeight="1">
      <c r="A699" t="inlineStr">
        <is>
          <t>A 19099-2025</t>
        </is>
      </c>
      <c r="B699" s="1" t="n">
        <v>45768.29469907407</v>
      </c>
      <c r="C699" s="1" t="n">
        <v>46082</v>
      </c>
      <c r="D699" t="inlineStr">
        <is>
          <t>JÄMTLANDS LÄN</t>
        </is>
      </c>
      <c r="E699" t="inlineStr">
        <is>
          <t>HÄRJEDALEN</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19102-2025</t>
        </is>
      </c>
      <c r="B700" s="1" t="n">
        <v>45768.30260416667</v>
      </c>
      <c r="C700" s="1" t="n">
        <v>46082</v>
      </c>
      <c r="D700" t="inlineStr">
        <is>
          <t>JÄMTLANDS LÄN</t>
        </is>
      </c>
      <c r="E700" t="inlineStr">
        <is>
          <t>HÄRJEDALEN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19103-2025</t>
        </is>
      </c>
      <c r="B701" s="1" t="n">
        <v>45768.30388888889</v>
      </c>
      <c r="C701" s="1" t="n">
        <v>46082</v>
      </c>
      <c r="D701" t="inlineStr">
        <is>
          <t>JÄMTLANDS LÄN</t>
        </is>
      </c>
      <c r="E701" t="inlineStr">
        <is>
          <t>HÄRJEDALEN</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43309-2024</t>
        </is>
      </c>
      <c r="B702" s="1" t="n">
        <v>45568</v>
      </c>
      <c r="C702" s="1" t="n">
        <v>46082</v>
      </c>
      <c r="D702" t="inlineStr">
        <is>
          <t>JÄMTLANDS LÄN</t>
        </is>
      </c>
      <c r="E702" t="inlineStr">
        <is>
          <t>HÄRJEDALEN</t>
        </is>
      </c>
      <c r="F702" t="inlineStr">
        <is>
          <t>Bergvik skog väst AB</t>
        </is>
      </c>
      <c r="G702" t="n">
        <v>79.8</v>
      </c>
      <c r="H702" t="n">
        <v>0</v>
      </c>
      <c r="I702" t="n">
        <v>0</v>
      </c>
      <c r="J702" t="n">
        <v>0</v>
      </c>
      <c r="K702" t="n">
        <v>0</v>
      </c>
      <c r="L702" t="n">
        <v>0</v>
      </c>
      <c r="M702" t="n">
        <v>0</v>
      </c>
      <c r="N702" t="n">
        <v>0</v>
      </c>
      <c r="O702" t="n">
        <v>0</v>
      </c>
      <c r="P702" t="n">
        <v>0</v>
      </c>
      <c r="Q702" t="n">
        <v>0</v>
      </c>
      <c r="R702" s="2" t="inlineStr"/>
    </row>
    <row r="703" ht="15" customHeight="1">
      <c r="A703" t="inlineStr">
        <is>
          <t>A 4217-2025</t>
        </is>
      </c>
      <c r="B703" s="1" t="n">
        <v>45685.50063657408</v>
      </c>
      <c r="C703" s="1" t="n">
        <v>46082</v>
      </c>
      <c r="D703" t="inlineStr">
        <is>
          <t>JÄMTLANDS LÄN</t>
        </is>
      </c>
      <c r="E703" t="inlineStr">
        <is>
          <t>HÄRJEDALEN</t>
        </is>
      </c>
      <c r="F703" t="inlineStr">
        <is>
          <t>Bergvik skog väst AB</t>
        </is>
      </c>
      <c r="G703" t="n">
        <v>24.6</v>
      </c>
      <c r="H703" t="n">
        <v>0</v>
      </c>
      <c r="I703" t="n">
        <v>0</v>
      </c>
      <c r="J703" t="n">
        <v>0</v>
      </c>
      <c r="K703" t="n">
        <v>0</v>
      </c>
      <c r="L703" t="n">
        <v>0</v>
      </c>
      <c r="M703" t="n">
        <v>0</v>
      </c>
      <c r="N703" t="n">
        <v>0</v>
      </c>
      <c r="O703" t="n">
        <v>0</v>
      </c>
      <c r="P703" t="n">
        <v>0</v>
      </c>
      <c r="Q703" t="n">
        <v>0</v>
      </c>
      <c r="R703" s="2" t="inlineStr"/>
    </row>
    <row r="704" ht="15" customHeight="1">
      <c r="A704" t="inlineStr">
        <is>
          <t>A 4593-2025</t>
        </is>
      </c>
      <c r="B704" s="1" t="n">
        <v>45687.54329861111</v>
      </c>
      <c r="C704" s="1" t="n">
        <v>46082</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21531-2023</t>
        </is>
      </c>
      <c r="B705" s="1" t="n">
        <v>45063</v>
      </c>
      <c r="C705" s="1" t="n">
        <v>46082</v>
      </c>
      <c r="D705" t="inlineStr">
        <is>
          <t>JÄMTLANDS LÄN</t>
        </is>
      </c>
      <c r="E705" t="inlineStr">
        <is>
          <t>HÄRJEDALEN</t>
        </is>
      </c>
      <c r="G705" t="n">
        <v>14.6</v>
      </c>
      <c r="H705" t="n">
        <v>0</v>
      </c>
      <c r="I705" t="n">
        <v>0</v>
      </c>
      <c r="J705" t="n">
        <v>0</v>
      </c>
      <c r="K705" t="n">
        <v>0</v>
      </c>
      <c r="L705" t="n">
        <v>0</v>
      </c>
      <c r="M705" t="n">
        <v>0</v>
      </c>
      <c r="N705" t="n">
        <v>0</v>
      </c>
      <c r="O705" t="n">
        <v>0</v>
      </c>
      <c r="P705" t="n">
        <v>0</v>
      </c>
      <c r="Q705" t="n">
        <v>0</v>
      </c>
      <c r="R705" s="2" t="inlineStr"/>
    </row>
    <row r="706" ht="15" customHeight="1">
      <c r="A706" t="inlineStr">
        <is>
          <t>A 49168-2025</t>
        </is>
      </c>
      <c r="B706" s="1" t="n">
        <v>45938.36853009259</v>
      </c>
      <c r="C706" s="1" t="n">
        <v>46082</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43316-2024</t>
        </is>
      </c>
      <c r="B707" s="1" t="n">
        <v>45568</v>
      </c>
      <c r="C707" s="1" t="n">
        <v>46082</v>
      </c>
      <c r="D707" t="inlineStr">
        <is>
          <t>JÄMTLANDS LÄN</t>
        </is>
      </c>
      <c r="E707" t="inlineStr">
        <is>
          <t>HÄRJEDALEN</t>
        </is>
      </c>
      <c r="F707" t="inlineStr">
        <is>
          <t>Bergvik skog väst AB</t>
        </is>
      </c>
      <c r="G707" t="n">
        <v>79.90000000000001</v>
      </c>
      <c r="H707" t="n">
        <v>0</v>
      </c>
      <c r="I707" t="n">
        <v>0</v>
      </c>
      <c r="J707" t="n">
        <v>0</v>
      </c>
      <c r="K707" t="n">
        <v>0</v>
      </c>
      <c r="L707" t="n">
        <v>0</v>
      </c>
      <c r="M707" t="n">
        <v>0</v>
      </c>
      <c r="N707" t="n">
        <v>0</v>
      </c>
      <c r="O707" t="n">
        <v>0</v>
      </c>
      <c r="P707" t="n">
        <v>0</v>
      </c>
      <c r="Q707" t="n">
        <v>0</v>
      </c>
      <c r="R707" s="2" t="inlineStr"/>
    </row>
    <row r="708" ht="15" customHeight="1">
      <c r="A708" t="inlineStr">
        <is>
          <t>A 49325-2025</t>
        </is>
      </c>
      <c r="B708" s="1" t="n">
        <v>45938.57407407407</v>
      </c>
      <c r="C708" s="1" t="n">
        <v>46082</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55029-2021</t>
        </is>
      </c>
      <c r="B709" s="1" t="n">
        <v>44474.59423611111</v>
      </c>
      <c r="C709" s="1" t="n">
        <v>46082</v>
      </c>
      <c r="D709" t="inlineStr">
        <is>
          <t>JÄMTLANDS LÄN</t>
        </is>
      </c>
      <c r="E709" t="inlineStr">
        <is>
          <t>HÄRJEDALEN</t>
        </is>
      </c>
      <c r="G709" t="n">
        <v>6.2</v>
      </c>
      <c r="H709" t="n">
        <v>0</v>
      </c>
      <c r="I709" t="n">
        <v>0</v>
      </c>
      <c r="J709" t="n">
        <v>0</v>
      </c>
      <c r="K709" t="n">
        <v>0</v>
      </c>
      <c r="L709" t="n">
        <v>0</v>
      </c>
      <c r="M709" t="n">
        <v>0</v>
      </c>
      <c r="N709" t="n">
        <v>0</v>
      </c>
      <c r="O709" t="n">
        <v>0</v>
      </c>
      <c r="P709" t="n">
        <v>0</v>
      </c>
      <c r="Q709" t="n">
        <v>0</v>
      </c>
      <c r="R709" s="2" t="inlineStr"/>
    </row>
    <row r="710" ht="15" customHeight="1">
      <c r="A710" t="inlineStr">
        <is>
          <t>A 49389-2025</t>
        </is>
      </c>
      <c r="B710" s="1" t="n">
        <v>45938.64905092592</v>
      </c>
      <c r="C710" s="1" t="n">
        <v>46082</v>
      </c>
      <c r="D710" t="inlineStr">
        <is>
          <t>JÄMTLANDS LÄN</t>
        </is>
      </c>
      <c r="E710" t="inlineStr">
        <is>
          <t>HÄRJEDALEN</t>
        </is>
      </c>
      <c r="G710" t="n">
        <v>14.9</v>
      </c>
      <c r="H710" t="n">
        <v>0</v>
      </c>
      <c r="I710" t="n">
        <v>0</v>
      </c>
      <c r="J710" t="n">
        <v>0</v>
      </c>
      <c r="K710" t="n">
        <v>0</v>
      </c>
      <c r="L710" t="n">
        <v>0</v>
      </c>
      <c r="M710" t="n">
        <v>0</v>
      </c>
      <c r="N710" t="n">
        <v>0</v>
      </c>
      <c r="O710" t="n">
        <v>0</v>
      </c>
      <c r="P710" t="n">
        <v>0</v>
      </c>
      <c r="Q710" t="n">
        <v>0</v>
      </c>
      <c r="R710" s="2" t="inlineStr"/>
    </row>
    <row r="711" ht="15" customHeight="1">
      <c r="A711" t="inlineStr">
        <is>
          <t>A 49426-2025</t>
        </is>
      </c>
      <c r="B711" s="1" t="n">
        <v>45938.74932870371</v>
      </c>
      <c r="C711" s="1" t="n">
        <v>46082</v>
      </c>
      <c r="D711" t="inlineStr">
        <is>
          <t>JÄMTLANDS LÄN</t>
        </is>
      </c>
      <c r="E711" t="inlineStr">
        <is>
          <t>HÄRJEDALEN</t>
        </is>
      </c>
      <c r="G711" t="n">
        <v>8.4</v>
      </c>
      <c r="H711" t="n">
        <v>0</v>
      </c>
      <c r="I711" t="n">
        <v>0</v>
      </c>
      <c r="J711" t="n">
        <v>0</v>
      </c>
      <c r="K711" t="n">
        <v>0</v>
      </c>
      <c r="L711" t="n">
        <v>0</v>
      </c>
      <c r="M711" t="n">
        <v>0</v>
      </c>
      <c r="N711" t="n">
        <v>0</v>
      </c>
      <c r="O711" t="n">
        <v>0</v>
      </c>
      <c r="P711" t="n">
        <v>0</v>
      </c>
      <c r="Q711" t="n">
        <v>0</v>
      </c>
      <c r="R711" s="2" t="inlineStr"/>
    </row>
    <row r="712" ht="15" customHeight="1">
      <c r="A712" t="inlineStr">
        <is>
          <t>A 15003-2025</t>
        </is>
      </c>
      <c r="B712" s="1" t="n">
        <v>45743.61899305556</v>
      </c>
      <c r="C712" s="1" t="n">
        <v>46082</v>
      </c>
      <c r="D712" t="inlineStr">
        <is>
          <t>JÄMTLANDS LÄN</t>
        </is>
      </c>
      <c r="E712" t="inlineStr">
        <is>
          <t>HÄRJEDALEN</t>
        </is>
      </c>
      <c r="G712" t="n">
        <v>0.3</v>
      </c>
      <c r="H712" t="n">
        <v>0</v>
      </c>
      <c r="I712" t="n">
        <v>0</v>
      </c>
      <c r="J712" t="n">
        <v>0</v>
      </c>
      <c r="K712" t="n">
        <v>0</v>
      </c>
      <c r="L712" t="n">
        <v>0</v>
      </c>
      <c r="M712" t="n">
        <v>0</v>
      </c>
      <c r="N712" t="n">
        <v>0</v>
      </c>
      <c r="O712" t="n">
        <v>0</v>
      </c>
      <c r="P712" t="n">
        <v>0</v>
      </c>
      <c r="Q712" t="n">
        <v>0</v>
      </c>
      <c r="R712" s="2" t="inlineStr"/>
    </row>
    <row r="713" ht="15" customHeight="1">
      <c r="A713" t="inlineStr">
        <is>
          <t>A 15004-2025</t>
        </is>
      </c>
      <c r="B713" s="1" t="n">
        <v>45743.62116898148</v>
      </c>
      <c r="C713" s="1" t="n">
        <v>46082</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48804-2025</t>
        </is>
      </c>
      <c r="B714" s="1" t="n">
        <v>45937.35050925926</v>
      </c>
      <c r="C714" s="1" t="n">
        <v>46082</v>
      </c>
      <c r="D714" t="inlineStr">
        <is>
          <t>JÄMTLANDS LÄN</t>
        </is>
      </c>
      <c r="E714" t="inlineStr">
        <is>
          <t>HÄRJEDALEN</t>
        </is>
      </c>
      <c r="G714" t="n">
        <v>2.7</v>
      </c>
      <c r="H714" t="n">
        <v>0</v>
      </c>
      <c r="I714" t="n">
        <v>0</v>
      </c>
      <c r="J714" t="n">
        <v>0</v>
      </c>
      <c r="K714" t="n">
        <v>0</v>
      </c>
      <c r="L714" t="n">
        <v>0</v>
      </c>
      <c r="M714" t="n">
        <v>0</v>
      </c>
      <c r="N714" t="n">
        <v>0</v>
      </c>
      <c r="O714" t="n">
        <v>0</v>
      </c>
      <c r="P714" t="n">
        <v>0</v>
      </c>
      <c r="Q714" t="n">
        <v>0</v>
      </c>
      <c r="R714" s="2" t="inlineStr"/>
    </row>
    <row r="715" ht="15" customHeight="1">
      <c r="A715" t="inlineStr">
        <is>
          <t>A 18953-2025</t>
        </is>
      </c>
      <c r="B715" s="1" t="n">
        <v>45764</v>
      </c>
      <c r="C715" s="1" t="n">
        <v>46082</v>
      </c>
      <c r="D715" t="inlineStr">
        <is>
          <t>JÄMTLANDS LÄN</t>
        </is>
      </c>
      <c r="E715" t="inlineStr">
        <is>
          <t>HÄRJEDALEN</t>
        </is>
      </c>
      <c r="G715" t="n">
        <v>14.3</v>
      </c>
      <c r="H715" t="n">
        <v>0</v>
      </c>
      <c r="I715" t="n">
        <v>0</v>
      </c>
      <c r="J715" t="n">
        <v>0</v>
      </c>
      <c r="K715" t="n">
        <v>0</v>
      </c>
      <c r="L715" t="n">
        <v>0</v>
      </c>
      <c r="M715" t="n">
        <v>0</v>
      </c>
      <c r="N715" t="n">
        <v>0</v>
      </c>
      <c r="O715" t="n">
        <v>0</v>
      </c>
      <c r="P715" t="n">
        <v>0</v>
      </c>
      <c r="Q715" t="n">
        <v>0</v>
      </c>
      <c r="R715" s="2" t="inlineStr"/>
    </row>
    <row r="716" ht="15" customHeight="1">
      <c r="A716" t="inlineStr">
        <is>
          <t>A 16626-2025</t>
        </is>
      </c>
      <c r="B716" s="1" t="n">
        <v>45754.35055555555</v>
      </c>
      <c r="C716" s="1" t="n">
        <v>46082</v>
      </c>
      <c r="D716" t="inlineStr">
        <is>
          <t>JÄMTLANDS LÄN</t>
        </is>
      </c>
      <c r="E716" t="inlineStr">
        <is>
          <t>HÄRJEDALEN</t>
        </is>
      </c>
      <c r="G716" t="n">
        <v>2.7</v>
      </c>
      <c r="H716" t="n">
        <v>0</v>
      </c>
      <c r="I716" t="n">
        <v>0</v>
      </c>
      <c r="J716" t="n">
        <v>0</v>
      </c>
      <c r="K716" t="n">
        <v>0</v>
      </c>
      <c r="L716" t="n">
        <v>0</v>
      </c>
      <c r="M716" t="n">
        <v>0</v>
      </c>
      <c r="N716" t="n">
        <v>0</v>
      </c>
      <c r="O716" t="n">
        <v>0</v>
      </c>
      <c r="P716" t="n">
        <v>0</v>
      </c>
      <c r="Q716" t="n">
        <v>0</v>
      </c>
      <c r="R716" s="2" t="inlineStr"/>
    </row>
    <row r="717" ht="15" customHeight="1">
      <c r="A717" t="inlineStr">
        <is>
          <t>A 37054-2024</t>
        </is>
      </c>
      <c r="B717" s="1" t="n">
        <v>45539.43545138889</v>
      </c>
      <c r="C717" s="1" t="n">
        <v>46082</v>
      </c>
      <c r="D717" t="inlineStr">
        <is>
          <t>JÄMTLANDS LÄN</t>
        </is>
      </c>
      <c r="E717" t="inlineStr">
        <is>
          <t>HÄRJEDALEN</t>
        </is>
      </c>
      <c r="G717" t="n">
        <v>1.8</v>
      </c>
      <c r="H717" t="n">
        <v>0</v>
      </c>
      <c r="I717" t="n">
        <v>0</v>
      </c>
      <c r="J717" t="n">
        <v>0</v>
      </c>
      <c r="K717" t="n">
        <v>0</v>
      </c>
      <c r="L717" t="n">
        <v>0</v>
      </c>
      <c r="M717" t="n">
        <v>0</v>
      </c>
      <c r="N717" t="n">
        <v>0</v>
      </c>
      <c r="O717" t="n">
        <v>0</v>
      </c>
      <c r="P717" t="n">
        <v>0</v>
      </c>
      <c r="Q717" t="n">
        <v>0</v>
      </c>
      <c r="R717" s="2" t="inlineStr"/>
    </row>
    <row r="718" ht="15" customHeight="1">
      <c r="A718" t="inlineStr">
        <is>
          <t>A 19962-2021</t>
        </is>
      </c>
      <c r="B718" s="1" t="n">
        <v>44312</v>
      </c>
      <c r="C718" s="1" t="n">
        <v>46082</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49427-2025</t>
        </is>
      </c>
      <c r="B719" s="1" t="n">
        <v>45938.76107638889</v>
      </c>
      <c r="C719" s="1" t="n">
        <v>46082</v>
      </c>
      <c r="D719" t="inlineStr">
        <is>
          <t>JÄMTLANDS LÄN</t>
        </is>
      </c>
      <c r="E719" t="inlineStr">
        <is>
          <t>HÄRJEDALEN</t>
        </is>
      </c>
      <c r="G719" t="n">
        <v>4.5</v>
      </c>
      <c r="H719" t="n">
        <v>0</v>
      </c>
      <c r="I719" t="n">
        <v>0</v>
      </c>
      <c r="J719" t="n">
        <v>0</v>
      </c>
      <c r="K719" t="n">
        <v>0</v>
      </c>
      <c r="L719" t="n">
        <v>0</v>
      </c>
      <c r="M719" t="n">
        <v>0</v>
      </c>
      <c r="N719" t="n">
        <v>0</v>
      </c>
      <c r="O719" t="n">
        <v>0</v>
      </c>
      <c r="P719" t="n">
        <v>0</v>
      </c>
      <c r="Q719" t="n">
        <v>0</v>
      </c>
      <c r="R719" s="2" t="inlineStr"/>
    </row>
    <row r="720" ht="15" customHeight="1">
      <c r="A720" t="inlineStr">
        <is>
          <t>A 48051-2023</t>
        </is>
      </c>
      <c r="B720" s="1" t="n">
        <v>45204</v>
      </c>
      <c r="C720" s="1" t="n">
        <v>46082</v>
      </c>
      <c r="D720" t="inlineStr">
        <is>
          <t>JÄMTLANDS LÄN</t>
        </is>
      </c>
      <c r="E720" t="inlineStr">
        <is>
          <t>HÄRJEDALEN</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49717-2025</t>
        </is>
      </c>
      <c r="B721" s="1" t="n">
        <v>45939.74859953704</v>
      </c>
      <c r="C721" s="1" t="n">
        <v>46082</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49537-2025</t>
        </is>
      </c>
      <c r="B722" s="1" t="n">
        <v>45939.42302083333</v>
      </c>
      <c r="C722" s="1" t="n">
        <v>46082</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4862-2025</t>
        </is>
      </c>
      <c r="B723" s="1" t="n">
        <v>45688.6749537037</v>
      </c>
      <c r="C723" s="1" t="n">
        <v>46082</v>
      </c>
      <c r="D723" t="inlineStr">
        <is>
          <t>JÄMTLANDS LÄN</t>
        </is>
      </c>
      <c r="E723" t="inlineStr">
        <is>
          <t>HÄRJEDALEN</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49569-2025</t>
        </is>
      </c>
      <c r="B724" s="1" t="n">
        <v>45939.47834490741</v>
      </c>
      <c r="C724" s="1" t="n">
        <v>46082</v>
      </c>
      <c r="D724" t="inlineStr">
        <is>
          <t>JÄMTLANDS LÄN</t>
        </is>
      </c>
      <c r="E724" t="inlineStr">
        <is>
          <t>HÄRJEDALEN</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41766-2022</t>
        </is>
      </c>
      <c r="B725" s="1" t="n">
        <v>44827</v>
      </c>
      <c r="C725" s="1" t="n">
        <v>46082</v>
      </c>
      <c r="D725" t="inlineStr">
        <is>
          <t>JÄMTLANDS LÄN</t>
        </is>
      </c>
      <c r="E725" t="inlineStr">
        <is>
          <t>HÄRJEDALEN</t>
        </is>
      </c>
      <c r="G725" t="n">
        <v>12.5</v>
      </c>
      <c r="H725" t="n">
        <v>0</v>
      </c>
      <c r="I725" t="n">
        <v>0</v>
      </c>
      <c r="J725" t="n">
        <v>0</v>
      </c>
      <c r="K725" t="n">
        <v>0</v>
      </c>
      <c r="L725" t="n">
        <v>0</v>
      </c>
      <c r="M725" t="n">
        <v>0</v>
      </c>
      <c r="N725" t="n">
        <v>0</v>
      </c>
      <c r="O725" t="n">
        <v>0</v>
      </c>
      <c r="P725" t="n">
        <v>0</v>
      </c>
      <c r="Q725" t="n">
        <v>0</v>
      </c>
      <c r="R725" s="2" t="inlineStr"/>
    </row>
    <row r="726" ht="15" customHeight="1">
      <c r="A726" t="inlineStr">
        <is>
          <t>A 41771-2022</t>
        </is>
      </c>
      <c r="B726" s="1" t="n">
        <v>44827</v>
      </c>
      <c r="C726" s="1" t="n">
        <v>46082</v>
      </c>
      <c r="D726" t="inlineStr">
        <is>
          <t>JÄMTLANDS LÄN</t>
        </is>
      </c>
      <c r="E726" t="inlineStr">
        <is>
          <t>HÄRJEDALEN</t>
        </is>
      </c>
      <c r="G726" t="n">
        <v>1.4</v>
      </c>
      <c r="H726" t="n">
        <v>0</v>
      </c>
      <c r="I726" t="n">
        <v>0</v>
      </c>
      <c r="J726" t="n">
        <v>0</v>
      </c>
      <c r="K726" t="n">
        <v>0</v>
      </c>
      <c r="L726" t="n">
        <v>0</v>
      </c>
      <c r="M726" t="n">
        <v>0</v>
      </c>
      <c r="N726" t="n">
        <v>0</v>
      </c>
      <c r="O726" t="n">
        <v>0</v>
      </c>
      <c r="P726" t="n">
        <v>0</v>
      </c>
      <c r="Q726" t="n">
        <v>0</v>
      </c>
      <c r="R726" s="2" t="inlineStr"/>
    </row>
    <row r="727" ht="15" customHeight="1">
      <c r="A727" t="inlineStr">
        <is>
          <t>A 55463-2023</t>
        </is>
      </c>
      <c r="B727" s="1" t="n">
        <v>45238.46430555556</v>
      </c>
      <c r="C727" s="1" t="n">
        <v>46082</v>
      </c>
      <c r="D727" t="inlineStr">
        <is>
          <t>JÄMTLANDS LÄN</t>
        </is>
      </c>
      <c r="E727" t="inlineStr">
        <is>
          <t>HÄRJEDALEN</t>
        </is>
      </c>
      <c r="G727" t="n">
        <v>0.6</v>
      </c>
      <c r="H727" t="n">
        <v>0</v>
      </c>
      <c r="I727" t="n">
        <v>0</v>
      </c>
      <c r="J727" t="n">
        <v>0</v>
      </c>
      <c r="K727" t="n">
        <v>0</v>
      </c>
      <c r="L727" t="n">
        <v>0</v>
      </c>
      <c r="M727" t="n">
        <v>0</v>
      </c>
      <c r="N727" t="n">
        <v>0</v>
      </c>
      <c r="O727" t="n">
        <v>0</v>
      </c>
      <c r="P727" t="n">
        <v>0</v>
      </c>
      <c r="Q727" t="n">
        <v>0</v>
      </c>
      <c r="R727" s="2" t="inlineStr"/>
    </row>
    <row r="728" ht="15" customHeight="1">
      <c r="A728" t="inlineStr">
        <is>
          <t>A 38276-2025</t>
        </is>
      </c>
      <c r="B728" s="1" t="n">
        <v>45883.4108912037</v>
      </c>
      <c r="C728" s="1" t="n">
        <v>46082</v>
      </c>
      <c r="D728" t="inlineStr">
        <is>
          <t>JÄMTLANDS LÄN</t>
        </is>
      </c>
      <c r="E728" t="inlineStr">
        <is>
          <t>HÄRJEDALEN</t>
        </is>
      </c>
      <c r="G728" t="n">
        <v>1.1</v>
      </c>
      <c r="H728" t="n">
        <v>0</v>
      </c>
      <c r="I728" t="n">
        <v>0</v>
      </c>
      <c r="J728" t="n">
        <v>0</v>
      </c>
      <c r="K728" t="n">
        <v>0</v>
      </c>
      <c r="L728" t="n">
        <v>0</v>
      </c>
      <c r="M728" t="n">
        <v>0</v>
      </c>
      <c r="N728" t="n">
        <v>0</v>
      </c>
      <c r="O728" t="n">
        <v>0</v>
      </c>
      <c r="P728" t="n">
        <v>0</v>
      </c>
      <c r="Q728" t="n">
        <v>0</v>
      </c>
      <c r="R728" s="2" t="inlineStr"/>
    </row>
    <row r="729" ht="15" customHeight="1">
      <c r="A729" t="inlineStr">
        <is>
          <t>A 49716-2025</t>
        </is>
      </c>
      <c r="B729" s="1" t="n">
        <v>45939.73686342593</v>
      </c>
      <c r="C729" s="1" t="n">
        <v>46082</v>
      </c>
      <c r="D729" t="inlineStr">
        <is>
          <t>JÄMTLANDS LÄN</t>
        </is>
      </c>
      <c r="E729" t="inlineStr">
        <is>
          <t>HÄRJEDALEN</t>
        </is>
      </c>
      <c r="G729" t="n">
        <v>1.1</v>
      </c>
      <c r="H729" t="n">
        <v>0</v>
      </c>
      <c r="I729" t="n">
        <v>0</v>
      </c>
      <c r="J729" t="n">
        <v>0</v>
      </c>
      <c r="K729" t="n">
        <v>0</v>
      </c>
      <c r="L729" t="n">
        <v>0</v>
      </c>
      <c r="M729" t="n">
        <v>0</v>
      </c>
      <c r="N729" t="n">
        <v>0</v>
      </c>
      <c r="O729" t="n">
        <v>0</v>
      </c>
      <c r="P729" t="n">
        <v>0</v>
      </c>
      <c r="Q729" t="n">
        <v>0</v>
      </c>
      <c r="R729" s="2" t="inlineStr"/>
    </row>
    <row r="730" ht="15" customHeight="1">
      <c r="A730" t="inlineStr">
        <is>
          <t>A 49515-2025</t>
        </is>
      </c>
      <c r="B730" s="1" t="n">
        <v>45939.38605324074</v>
      </c>
      <c r="C730" s="1" t="n">
        <v>46082</v>
      </c>
      <c r="D730" t="inlineStr">
        <is>
          <t>JÄMTLANDS LÄN</t>
        </is>
      </c>
      <c r="E730" t="inlineStr">
        <is>
          <t>HÄRJEDALEN</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49715-2025</t>
        </is>
      </c>
      <c r="B731" s="1" t="n">
        <v>45939.7344212963</v>
      </c>
      <c r="C731" s="1" t="n">
        <v>46082</v>
      </c>
      <c r="D731" t="inlineStr">
        <is>
          <t>JÄMTLANDS LÄN</t>
        </is>
      </c>
      <c r="E731" t="inlineStr">
        <is>
          <t>HÄRJEDALEN</t>
        </is>
      </c>
      <c r="G731" t="n">
        <v>3.9</v>
      </c>
      <c r="H731" t="n">
        <v>0</v>
      </c>
      <c r="I731" t="n">
        <v>0</v>
      </c>
      <c r="J731" t="n">
        <v>0</v>
      </c>
      <c r="K731" t="n">
        <v>0</v>
      </c>
      <c r="L731" t="n">
        <v>0</v>
      </c>
      <c r="M731" t="n">
        <v>0</v>
      </c>
      <c r="N731" t="n">
        <v>0</v>
      </c>
      <c r="O731" t="n">
        <v>0</v>
      </c>
      <c r="P731" t="n">
        <v>0</v>
      </c>
      <c r="Q731" t="n">
        <v>0</v>
      </c>
      <c r="R731" s="2" t="inlineStr"/>
    </row>
    <row r="732" ht="15" customHeight="1">
      <c r="A732" t="inlineStr">
        <is>
          <t>A 50423-2025</t>
        </is>
      </c>
      <c r="B732" s="1" t="n">
        <v>45944.66243055555</v>
      </c>
      <c r="C732" s="1" t="n">
        <v>46082</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50424-2025</t>
        </is>
      </c>
      <c r="B733" s="1" t="n">
        <v>45944.66541666666</v>
      </c>
      <c r="C733" s="1" t="n">
        <v>46082</v>
      </c>
      <c r="D733" t="inlineStr">
        <is>
          <t>JÄMTLANDS LÄN</t>
        </is>
      </c>
      <c r="E733" t="inlineStr">
        <is>
          <t>HÄRJEDALEN</t>
        </is>
      </c>
      <c r="G733" t="n">
        <v>0.8</v>
      </c>
      <c r="H733" t="n">
        <v>0</v>
      </c>
      <c r="I733" t="n">
        <v>0</v>
      </c>
      <c r="J733" t="n">
        <v>0</v>
      </c>
      <c r="K733" t="n">
        <v>0</v>
      </c>
      <c r="L733" t="n">
        <v>0</v>
      </c>
      <c r="M733" t="n">
        <v>0</v>
      </c>
      <c r="N733" t="n">
        <v>0</v>
      </c>
      <c r="O733" t="n">
        <v>0</v>
      </c>
      <c r="P733" t="n">
        <v>0</v>
      </c>
      <c r="Q733" t="n">
        <v>0</v>
      </c>
      <c r="R733" s="2" t="inlineStr"/>
    </row>
    <row r="734" ht="15" customHeight="1">
      <c r="A734" t="inlineStr">
        <is>
          <t>A 35726-2024</t>
        </is>
      </c>
      <c r="B734" s="1" t="n">
        <v>45532</v>
      </c>
      <c r="C734" s="1" t="n">
        <v>46082</v>
      </c>
      <c r="D734" t="inlineStr">
        <is>
          <t>JÄMTLANDS LÄN</t>
        </is>
      </c>
      <c r="E734" t="inlineStr">
        <is>
          <t>HÄRJEDALEN</t>
        </is>
      </c>
      <c r="G734" t="n">
        <v>14.3</v>
      </c>
      <c r="H734" t="n">
        <v>0</v>
      </c>
      <c r="I734" t="n">
        <v>0</v>
      </c>
      <c r="J734" t="n">
        <v>0</v>
      </c>
      <c r="K734" t="n">
        <v>0</v>
      </c>
      <c r="L734" t="n">
        <v>0</v>
      </c>
      <c r="M734" t="n">
        <v>0</v>
      </c>
      <c r="N734" t="n">
        <v>0</v>
      </c>
      <c r="O734" t="n">
        <v>0</v>
      </c>
      <c r="P734" t="n">
        <v>0</v>
      </c>
      <c r="Q734" t="n">
        <v>0</v>
      </c>
      <c r="R734" s="2" t="inlineStr"/>
    </row>
    <row r="735" ht="15" customHeight="1">
      <c r="A735" t="inlineStr">
        <is>
          <t>A 55969-2022</t>
        </is>
      </c>
      <c r="B735" s="1" t="n">
        <v>44886</v>
      </c>
      <c r="C735" s="1" t="n">
        <v>46082</v>
      </c>
      <c r="D735" t="inlineStr">
        <is>
          <t>JÄMTLANDS LÄN</t>
        </is>
      </c>
      <c r="E735" t="inlineStr">
        <is>
          <t>HÄRJEDALEN</t>
        </is>
      </c>
      <c r="F735" t="inlineStr">
        <is>
          <t>Övriga statliga verk och myndigheter</t>
        </is>
      </c>
      <c r="G735" t="n">
        <v>1.6</v>
      </c>
      <c r="H735" t="n">
        <v>0</v>
      </c>
      <c r="I735" t="n">
        <v>0</v>
      </c>
      <c r="J735" t="n">
        <v>0</v>
      </c>
      <c r="K735" t="n">
        <v>0</v>
      </c>
      <c r="L735" t="n">
        <v>0</v>
      </c>
      <c r="M735" t="n">
        <v>0</v>
      </c>
      <c r="N735" t="n">
        <v>0</v>
      </c>
      <c r="O735" t="n">
        <v>0</v>
      </c>
      <c r="P735" t="n">
        <v>0</v>
      </c>
      <c r="Q735" t="n">
        <v>0</v>
      </c>
      <c r="R735" s="2" t="inlineStr"/>
    </row>
    <row r="736" ht="15" customHeight="1">
      <c r="A736" t="inlineStr">
        <is>
          <t>A 49979-2025</t>
        </is>
      </c>
      <c r="B736" s="1" t="n">
        <v>45942.62457175926</v>
      </c>
      <c r="C736" s="1" t="n">
        <v>46082</v>
      </c>
      <c r="D736" t="inlineStr">
        <is>
          <t>JÄMTLANDS LÄN</t>
        </is>
      </c>
      <c r="E736" t="inlineStr">
        <is>
          <t>HÄRJEDALEN</t>
        </is>
      </c>
      <c r="F736" t="inlineStr">
        <is>
          <t>Kyrkan</t>
        </is>
      </c>
      <c r="G736" t="n">
        <v>2.4</v>
      </c>
      <c r="H736" t="n">
        <v>0</v>
      </c>
      <c r="I736" t="n">
        <v>0</v>
      </c>
      <c r="J736" t="n">
        <v>0</v>
      </c>
      <c r="K736" t="n">
        <v>0</v>
      </c>
      <c r="L736" t="n">
        <v>0</v>
      </c>
      <c r="M736" t="n">
        <v>0</v>
      </c>
      <c r="N736" t="n">
        <v>0</v>
      </c>
      <c r="O736" t="n">
        <v>0</v>
      </c>
      <c r="P736" t="n">
        <v>0</v>
      </c>
      <c r="Q736" t="n">
        <v>0</v>
      </c>
      <c r="R736" s="2" t="inlineStr"/>
    </row>
    <row r="737" ht="15" customHeight="1">
      <c r="A737" t="inlineStr">
        <is>
          <t>A 17885-2025</t>
        </is>
      </c>
      <c r="B737" s="1" t="n">
        <v>45758.66108796297</v>
      </c>
      <c r="C737" s="1" t="n">
        <v>46082</v>
      </c>
      <c r="D737" t="inlineStr">
        <is>
          <t>JÄMTLANDS LÄN</t>
        </is>
      </c>
      <c r="E737" t="inlineStr">
        <is>
          <t>HÄRJEDALEN</t>
        </is>
      </c>
      <c r="G737" t="n">
        <v>5</v>
      </c>
      <c r="H737" t="n">
        <v>0</v>
      </c>
      <c r="I737" t="n">
        <v>0</v>
      </c>
      <c r="J737" t="n">
        <v>0</v>
      </c>
      <c r="K737" t="n">
        <v>0</v>
      </c>
      <c r="L737" t="n">
        <v>0</v>
      </c>
      <c r="M737" t="n">
        <v>0</v>
      </c>
      <c r="N737" t="n">
        <v>0</v>
      </c>
      <c r="O737" t="n">
        <v>0</v>
      </c>
      <c r="P737" t="n">
        <v>0</v>
      </c>
      <c r="Q737" t="n">
        <v>0</v>
      </c>
      <c r="R737" s="2" t="inlineStr"/>
    </row>
    <row r="738" ht="15" customHeight="1">
      <c r="A738" t="inlineStr">
        <is>
          <t>A 17895-2025</t>
        </is>
      </c>
      <c r="B738" s="1" t="n">
        <v>45758.69123842593</v>
      </c>
      <c r="C738" s="1" t="n">
        <v>46082</v>
      </c>
      <c r="D738" t="inlineStr">
        <is>
          <t>JÄMTLANDS LÄN</t>
        </is>
      </c>
      <c r="E738" t="inlineStr">
        <is>
          <t>HÄRJEDALEN</t>
        </is>
      </c>
      <c r="G738" t="n">
        <v>5.4</v>
      </c>
      <c r="H738" t="n">
        <v>0</v>
      </c>
      <c r="I738" t="n">
        <v>0</v>
      </c>
      <c r="J738" t="n">
        <v>0</v>
      </c>
      <c r="K738" t="n">
        <v>0</v>
      </c>
      <c r="L738" t="n">
        <v>0</v>
      </c>
      <c r="M738" t="n">
        <v>0</v>
      </c>
      <c r="N738" t="n">
        <v>0</v>
      </c>
      <c r="O738" t="n">
        <v>0</v>
      </c>
      <c r="P738" t="n">
        <v>0</v>
      </c>
      <c r="Q738" t="n">
        <v>0</v>
      </c>
      <c r="R738" s="2" t="inlineStr"/>
    </row>
    <row r="739" ht="15" customHeight="1">
      <c r="A739" t="inlineStr">
        <is>
          <t>A 50051-2025</t>
        </is>
      </c>
      <c r="B739" s="1" t="n">
        <v>45943.420625</v>
      </c>
      <c r="C739" s="1" t="n">
        <v>46082</v>
      </c>
      <c r="D739" t="inlineStr">
        <is>
          <t>JÄMTLANDS LÄN</t>
        </is>
      </c>
      <c r="E739" t="inlineStr">
        <is>
          <t>HÄRJEDALEN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47450-2022</t>
        </is>
      </c>
      <c r="B740" s="1" t="n">
        <v>44853</v>
      </c>
      <c r="C740" s="1" t="n">
        <v>46082</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62590-2022</t>
        </is>
      </c>
      <c r="B741" s="1" t="n">
        <v>44925.33584490741</v>
      </c>
      <c r="C741" s="1" t="n">
        <v>46082</v>
      </c>
      <c r="D741" t="inlineStr">
        <is>
          <t>JÄMTLANDS LÄN</t>
        </is>
      </c>
      <c r="E741" t="inlineStr">
        <is>
          <t>HÄRJEDALEN</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7744-2025</t>
        </is>
      </c>
      <c r="B742" s="1" t="n">
        <v>45706</v>
      </c>
      <c r="C742" s="1" t="n">
        <v>46082</v>
      </c>
      <c r="D742" t="inlineStr">
        <is>
          <t>JÄMTLANDS LÄN</t>
        </is>
      </c>
      <c r="E742" t="inlineStr">
        <is>
          <t>HÄRJEDALEN</t>
        </is>
      </c>
      <c r="G742" t="n">
        <v>5.5</v>
      </c>
      <c r="H742" t="n">
        <v>0</v>
      </c>
      <c r="I742" t="n">
        <v>0</v>
      </c>
      <c r="J742" t="n">
        <v>0</v>
      </c>
      <c r="K742" t="n">
        <v>0</v>
      </c>
      <c r="L742" t="n">
        <v>0</v>
      </c>
      <c r="M742" t="n">
        <v>0</v>
      </c>
      <c r="N742" t="n">
        <v>0</v>
      </c>
      <c r="O742" t="n">
        <v>0</v>
      </c>
      <c r="P742" t="n">
        <v>0</v>
      </c>
      <c r="Q742" t="n">
        <v>0</v>
      </c>
      <c r="R742" s="2" t="inlineStr"/>
    </row>
    <row r="743" ht="15" customHeight="1">
      <c r="A743" t="inlineStr">
        <is>
          <t>A 50764-2025</t>
        </is>
      </c>
      <c r="B743" s="1" t="n">
        <v>45946.43961805556</v>
      </c>
      <c r="C743" s="1" t="n">
        <v>46082</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14368-2025</t>
        </is>
      </c>
      <c r="B744" s="1" t="n">
        <v>45741.39084490741</v>
      </c>
      <c r="C744" s="1" t="n">
        <v>46082</v>
      </c>
      <c r="D744" t="inlineStr">
        <is>
          <t>JÄMTLANDS LÄN</t>
        </is>
      </c>
      <c r="E744" t="inlineStr">
        <is>
          <t>HÄRJEDALEN</t>
        </is>
      </c>
      <c r="G744" t="n">
        <v>6.5</v>
      </c>
      <c r="H744" t="n">
        <v>0</v>
      </c>
      <c r="I744" t="n">
        <v>0</v>
      </c>
      <c r="J744" t="n">
        <v>0</v>
      </c>
      <c r="K744" t="n">
        <v>0</v>
      </c>
      <c r="L744" t="n">
        <v>0</v>
      </c>
      <c r="M744" t="n">
        <v>0</v>
      </c>
      <c r="N744" t="n">
        <v>0</v>
      </c>
      <c r="O744" t="n">
        <v>0</v>
      </c>
      <c r="P744" t="n">
        <v>0</v>
      </c>
      <c r="Q744" t="n">
        <v>0</v>
      </c>
      <c r="R744" s="2" t="inlineStr"/>
    </row>
    <row r="745" ht="15" customHeight="1">
      <c r="A745" t="inlineStr">
        <is>
          <t>A 50464-2025</t>
        </is>
      </c>
      <c r="B745" s="1" t="n">
        <v>45945.34971064814</v>
      </c>
      <c r="C745" s="1" t="n">
        <v>46082</v>
      </c>
      <c r="D745" t="inlineStr">
        <is>
          <t>JÄMTLANDS LÄN</t>
        </is>
      </c>
      <c r="E745" t="inlineStr">
        <is>
          <t>HÄRJEDALEN</t>
        </is>
      </c>
      <c r="G745" t="n">
        <v>3.8</v>
      </c>
      <c r="H745" t="n">
        <v>0</v>
      </c>
      <c r="I745" t="n">
        <v>0</v>
      </c>
      <c r="J745" t="n">
        <v>0</v>
      </c>
      <c r="K745" t="n">
        <v>0</v>
      </c>
      <c r="L745" t="n">
        <v>0</v>
      </c>
      <c r="M745" t="n">
        <v>0</v>
      </c>
      <c r="N745" t="n">
        <v>0</v>
      </c>
      <c r="O745" t="n">
        <v>0</v>
      </c>
      <c r="P745" t="n">
        <v>0</v>
      </c>
      <c r="Q745" t="n">
        <v>0</v>
      </c>
      <c r="R745" s="2" t="inlineStr"/>
    </row>
    <row r="746" ht="15" customHeight="1">
      <c r="A746" t="inlineStr">
        <is>
          <t>A 10012-2023</t>
        </is>
      </c>
      <c r="B746" s="1" t="n">
        <v>44985.6125</v>
      </c>
      <c r="C746" s="1" t="n">
        <v>46082</v>
      </c>
      <c r="D746" t="inlineStr">
        <is>
          <t>JÄMTLANDS LÄN</t>
        </is>
      </c>
      <c r="E746" t="inlineStr">
        <is>
          <t>HÄRJEDALEN</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50803-2025</t>
        </is>
      </c>
      <c r="B747" s="1" t="n">
        <v>45946.49534722222</v>
      </c>
      <c r="C747" s="1" t="n">
        <v>46082</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50639-2025</t>
        </is>
      </c>
      <c r="B748" s="1" t="n">
        <v>45945.65363425926</v>
      </c>
      <c r="C748" s="1" t="n">
        <v>46082</v>
      </c>
      <c r="D748" t="inlineStr">
        <is>
          <t>JÄMTLANDS LÄN</t>
        </is>
      </c>
      <c r="E748" t="inlineStr">
        <is>
          <t>HÄRJEDALEN</t>
        </is>
      </c>
      <c r="G748" t="n">
        <v>5.3</v>
      </c>
      <c r="H748" t="n">
        <v>0</v>
      </c>
      <c r="I748" t="n">
        <v>0</v>
      </c>
      <c r="J748" t="n">
        <v>0</v>
      </c>
      <c r="K748" t="n">
        <v>0</v>
      </c>
      <c r="L748" t="n">
        <v>0</v>
      </c>
      <c r="M748" t="n">
        <v>0</v>
      </c>
      <c r="N748" t="n">
        <v>0</v>
      </c>
      <c r="O748" t="n">
        <v>0</v>
      </c>
      <c r="P748" t="n">
        <v>0</v>
      </c>
      <c r="Q748" t="n">
        <v>0</v>
      </c>
      <c r="R748" s="2" t="inlineStr"/>
    </row>
    <row r="749" ht="15" customHeight="1">
      <c r="A749" t="inlineStr">
        <is>
          <t>A 50631-2025</t>
        </is>
      </c>
      <c r="B749" s="1" t="n">
        <v>45945.64795138889</v>
      </c>
      <c r="C749" s="1" t="n">
        <v>46082</v>
      </c>
      <c r="D749" t="inlineStr">
        <is>
          <t>JÄMTLANDS LÄN</t>
        </is>
      </c>
      <c r="E749" t="inlineStr">
        <is>
          <t>HÄRJEDALEN</t>
        </is>
      </c>
      <c r="G749" t="n">
        <v>7.1</v>
      </c>
      <c r="H749" t="n">
        <v>0</v>
      </c>
      <c r="I749" t="n">
        <v>0</v>
      </c>
      <c r="J749" t="n">
        <v>0</v>
      </c>
      <c r="K749" t="n">
        <v>0</v>
      </c>
      <c r="L749" t="n">
        <v>0</v>
      </c>
      <c r="M749" t="n">
        <v>0</v>
      </c>
      <c r="N749" t="n">
        <v>0</v>
      </c>
      <c r="O749" t="n">
        <v>0</v>
      </c>
      <c r="P749" t="n">
        <v>0</v>
      </c>
      <c r="Q749" t="n">
        <v>0</v>
      </c>
      <c r="R749" s="2" t="inlineStr"/>
    </row>
    <row r="750" ht="15" customHeight="1">
      <c r="A750" t="inlineStr">
        <is>
          <t>A 18546-2025</t>
        </is>
      </c>
      <c r="B750" s="1" t="n">
        <v>45763.4266087963</v>
      </c>
      <c r="C750" s="1" t="n">
        <v>46082</v>
      </c>
      <c r="D750" t="inlineStr">
        <is>
          <t>JÄMTLANDS LÄN</t>
        </is>
      </c>
      <c r="E750" t="inlineStr">
        <is>
          <t>HÄRJEDALEN</t>
        </is>
      </c>
      <c r="G750" t="n">
        <v>1.7</v>
      </c>
      <c r="H750" t="n">
        <v>0</v>
      </c>
      <c r="I750" t="n">
        <v>0</v>
      </c>
      <c r="J750" t="n">
        <v>0</v>
      </c>
      <c r="K750" t="n">
        <v>0</v>
      </c>
      <c r="L750" t="n">
        <v>0</v>
      </c>
      <c r="M750" t="n">
        <v>0</v>
      </c>
      <c r="N750" t="n">
        <v>0</v>
      </c>
      <c r="O750" t="n">
        <v>0</v>
      </c>
      <c r="P750" t="n">
        <v>0</v>
      </c>
      <c r="Q750" t="n">
        <v>0</v>
      </c>
      <c r="R750" s="2" t="inlineStr"/>
    </row>
    <row r="751" ht="15" customHeight="1">
      <c r="A751" t="inlineStr">
        <is>
          <t>A 7430-2024</t>
        </is>
      </c>
      <c r="B751" s="1" t="n">
        <v>45345.65929398148</v>
      </c>
      <c r="C751" s="1" t="n">
        <v>46082</v>
      </c>
      <c r="D751" t="inlineStr">
        <is>
          <t>JÄMTLANDS LÄN</t>
        </is>
      </c>
      <c r="E751" t="inlineStr">
        <is>
          <t>HÄRJEDALEN</t>
        </is>
      </c>
      <c r="F751" t="inlineStr">
        <is>
          <t>Holmen skog AB</t>
        </is>
      </c>
      <c r="G751" t="n">
        <v>12.1</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46082</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50588-2025</t>
        </is>
      </c>
      <c r="B753" s="1" t="n">
        <v>45945.59920138889</v>
      </c>
      <c r="C753" s="1" t="n">
        <v>46082</v>
      </c>
      <c r="D753" t="inlineStr">
        <is>
          <t>JÄMTLANDS LÄN</t>
        </is>
      </c>
      <c r="E753" t="inlineStr">
        <is>
          <t>HÄRJEDALEN</t>
        </is>
      </c>
      <c r="F753" t="inlineStr">
        <is>
          <t>Bergvik skog väst AB</t>
        </is>
      </c>
      <c r="G753" t="n">
        <v>17.9</v>
      </c>
      <c r="H753" t="n">
        <v>0</v>
      </c>
      <c r="I753" t="n">
        <v>0</v>
      </c>
      <c r="J753" t="n">
        <v>0</v>
      </c>
      <c r="K753" t="n">
        <v>0</v>
      </c>
      <c r="L753" t="n">
        <v>0</v>
      </c>
      <c r="M753" t="n">
        <v>0</v>
      </c>
      <c r="N753" t="n">
        <v>0</v>
      </c>
      <c r="O753" t="n">
        <v>0</v>
      </c>
      <c r="P753" t="n">
        <v>0</v>
      </c>
      <c r="Q753" t="n">
        <v>0</v>
      </c>
      <c r="R753" s="2" t="inlineStr"/>
    </row>
    <row r="754" ht="15" customHeight="1">
      <c r="A754" t="inlineStr">
        <is>
          <t>A 20865-2024</t>
        </is>
      </c>
      <c r="B754" s="1" t="n">
        <v>45439.43106481482</v>
      </c>
      <c r="C754" s="1" t="n">
        <v>46082</v>
      </c>
      <c r="D754" t="inlineStr">
        <is>
          <t>JÄMTLANDS LÄN</t>
        </is>
      </c>
      <c r="E754" t="inlineStr">
        <is>
          <t>HÄRJEDALEN</t>
        </is>
      </c>
      <c r="F754" t="inlineStr">
        <is>
          <t>Holmen skog AB</t>
        </is>
      </c>
      <c r="G754" t="n">
        <v>7.2</v>
      </c>
      <c r="H754" t="n">
        <v>0</v>
      </c>
      <c r="I754" t="n">
        <v>0</v>
      </c>
      <c r="J754" t="n">
        <v>0</v>
      </c>
      <c r="K754" t="n">
        <v>0</v>
      </c>
      <c r="L754" t="n">
        <v>0</v>
      </c>
      <c r="M754" t="n">
        <v>0</v>
      </c>
      <c r="N754" t="n">
        <v>0</v>
      </c>
      <c r="O754" t="n">
        <v>0</v>
      </c>
      <c r="P754" t="n">
        <v>0</v>
      </c>
      <c r="Q754" t="n">
        <v>0</v>
      </c>
      <c r="R754" s="2" t="inlineStr"/>
    </row>
    <row r="755" ht="15" customHeight="1">
      <c r="A755" t="inlineStr">
        <is>
          <t>A 7636-2023</t>
        </is>
      </c>
      <c r="B755" s="1" t="n">
        <v>44972.57449074074</v>
      </c>
      <c r="C755" s="1" t="n">
        <v>46082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57755-2021</t>
        </is>
      </c>
      <c r="B756" s="1" t="n">
        <v>44484.55535879629</v>
      </c>
      <c r="C756" s="1" t="n">
        <v>46082</v>
      </c>
      <c r="D756" t="inlineStr">
        <is>
          <t>JÄMTLANDS LÄN</t>
        </is>
      </c>
      <c r="E756" t="inlineStr">
        <is>
          <t>HÄRJEDALEN</t>
        </is>
      </c>
      <c r="G756" t="n">
        <v>3.9</v>
      </c>
      <c r="H756" t="n">
        <v>0</v>
      </c>
      <c r="I756" t="n">
        <v>0</v>
      </c>
      <c r="J756" t="n">
        <v>0</v>
      </c>
      <c r="K756" t="n">
        <v>0</v>
      </c>
      <c r="L756" t="n">
        <v>0</v>
      </c>
      <c r="M756" t="n">
        <v>0</v>
      </c>
      <c r="N756" t="n">
        <v>0</v>
      </c>
      <c r="O756" t="n">
        <v>0</v>
      </c>
      <c r="P756" t="n">
        <v>0</v>
      </c>
      <c r="Q756" t="n">
        <v>0</v>
      </c>
      <c r="R756" s="2" t="inlineStr"/>
    </row>
    <row r="757" ht="15" customHeight="1">
      <c r="A757" t="inlineStr">
        <is>
          <t>A 53432-2023</t>
        </is>
      </c>
      <c r="B757" s="1" t="n">
        <v>45229.92739583334</v>
      </c>
      <c r="C757" s="1" t="n">
        <v>46082</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51016-2025</t>
        </is>
      </c>
      <c r="B758" s="1" t="n">
        <v>45947.3843287037</v>
      </c>
      <c r="C758" s="1" t="n">
        <v>46082</v>
      </c>
      <c r="D758" t="inlineStr">
        <is>
          <t>JÄMTLANDS LÄN</t>
        </is>
      </c>
      <c r="E758" t="inlineStr">
        <is>
          <t>HÄRJEDALEN</t>
        </is>
      </c>
      <c r="F758" t="inlineStr">
        <is>
          <t>Bergvik skog väst AB</t>
        </is>
      </c>
      <c r="G758" t="n">
        <v>19.1</v>
      </c>
      <c r="H758" t="n">
        <v>0</v>
      </c>
      <c r="I758" t="n">
        <v>0</v>
      </c>
      <c r="J758" t="n">
        <v>0</v>
      </c>
      <c r="K758" t="n">
        <v>0</v>
      </c>
      <c r="L758" t="n">
        <v>0</v>
      </c>
      <c r="M758" t="n">
        <v>0</v>
      </c>
      <c r="N758" t="n">
        <v>0</v>
      </c>
      <c r="O758" t="n">
        <v>0</v>
      </c>
      <c r="P758" t="n">
        <v>0</v>
      </c>
      <c r="Q758" t="n">
        <v>0</v>
      </c>
      <c r="R758" s="2" t="inlineStr"/>
    </row>
    <row r="759" ht="15" customHeight="1">
      <c r="A759" t="inlineStr">
        <is>
          <t>A 51270-2025</t>
        </is>
      </c>
      <c r="B759" s="1" t="n">
        <v>45949.84528935186</v>
      </c>
      <c r="C759" s="1" t="n">
        <v>46082</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45195-2025</t>
        </is>
      </c>
      <c r="B760" s="1" t="n">
        <v>45919</v>
      </c>
      <c r="C760" s="1" t="n">
        <v>46082</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56043-2022</t>
        </is>
      </c>
      <c r="B761" s="1" t="n">
        <v>44889.56582175926</v>
      </c>
      <c r="C761" s="1" t="n">
        <v>46082</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35599-2024</t>
        </is>
      </c>
      <c r="B762" s="1" t="n">
        <v>45531.66196759259</v>
      </c>
      <c r="C762" s="1" t="n">
        <v>46082</v>
      </c>
      <c r="D762" t="inlineStr">
        <is>
          <t>JÄMTLANDS LÄN</t>
        </is>
      </c>
      <c r="E762" t="inlineStr">
        <is>
          <t>HÄRJEDALEN</t>
        </is>
      </c>
      <c r="F762" t="inlineStr">
        <is>
          <t>Bergvik skog väst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103-2023</t>
        </is>
      </c>
      <c r="B763" s="1" t="n">
        <v>44928</v>
      </c>
      <c r="C763" s="1" t="n">
        <v>46082</v>
      </c>
      <c r="D763" t="inlineStr">
        <is>
          <t>JÄMTLANDS LÄN</t>
        </is>
      </c>
      <c r="E763" t="inlineStr">
        <is>
          <t>HÄRJEDALEN</t>
        </is>
      </c>
      <c r="F763" t="inlineStr">
        <is>
          <t>Holmen skog AB</t>
        </is>
      </c>
      <c r="G763" t="n">
        <v>6.9</v>
      </c>
      <c r="H763" t="n">
        <v>0</v>
      </c>
      <c r="I763" t="n">
        <v>0</v>
      </c>
      <c r="J763" t="n">
        <v>0</v>
      </c>
      <c r="K763" t="n">
        <v>0</v>
      </c>
      <c r="L763" t="n">
        <v>0</v>
      </c>
      <c r="M763" t="n">
        <v>0</v>
      </c>
      <c r="N763" t="n">
        <v>0</v>
      </c>
      <c r="O763" t="n">
        <v>0</v>
      </c>
      <c r="P763" t="n">
        <v>0</v>
      </c>
      <c r="Q763" t="n">
        <v>0</v>
      </c>
      <c r="R763" s="2" t="inlineStr"/>
    </row>
    <row r="764" ht="15" customHeight="1">
      <c r="A764" t="inlineStr">
        <is>
          <t>A 29-2023</t>
        </is>
      </c>
      <c r="B764" s="1" t="n">
        <v>44928</v>
      </c>
      <c r="C764" s="1" t="n">
        <v>46082</v>
      </c>
      <c r="D764" t="inlineStr">
        <is>
          <t>JÄMTLANDS LÄN</t>
        </is>
      </c>
      <c r="E764" t="inlineStr">
        <is>
          <t>HÄRJEDALEN</t>
        </is>
      </c>
      <c r="F764" t="inlineStr">
        <is>
          <t>Holmen skog AB</t>
        </is>
      </c>
      <c r="G764" t="n">
        <v>18</v>
      </c>
      <c r="H764" t="n">
        <v>0</v>
      </c>
      <c r="I764" t="n">
        <v>0</v>
      </c>
      <c r="J764" t="n">
        <v>0</v>
      </c>
      <c r="K764" t="n">
        <v>0</v>
      </c>
      <c r="L764" t="n">
        <v>0</v>
      </c>
      <c r="M764" t="n">
        <v>0</v>
      </c>
      <c r="N764" t="n">
        <v>0</v>
      </c>
      <c r="O764" t="n">
        <v>0</v>
      </c>
      <c r="P764" t="n">
        <v>0</v>
      </c>
      <c r="Q764" t="n">
        <v>0</v>
      </c>
      <c r="R764" s="2" t="inlineStr"/>
    </row>
    <row r="765" ht="15" customHeight="1">
      <c r="A765" t="inlineStr">
        <is>
          <t>A 51082-2025</t>
        </is>
      </c>
      <c r="B765" s="1" t="n">
        <v>45947</v>
      </c>
      <c r="C765" s="1" t="n">
        <v>46082</v>
      </c>
      <c r="D765" t="inlineStr">
        <is>
          <t>JÄMTLANDS LÄN</t>
        </is>
      </c>
      <c r="E765" t="inlineStr">
        <is>
          <t>HÄRJEDALEN</t>
        </is>
      </c>
      <c r="F765" t="inlineStr">
        <is>
          <t>Bergvik skog väst AB</t>
        </is>
      </c>
      <c r="G765" t="n">
        <v>26.4</v>
      </c>
      <c r="H765" t="n">
        <v>0</v>
      </c>
      <c r="I765" t="n">
        <v>0</v>
      </c>
      <c r="J765" t="n">
        <v>0</v>
      </c>
      <c r="K765" t="n">
        <v>0</v>
      </c>
      <c r="L765" t="n">
        <v>0</v>
      </c>
      <c r="M765" t="n">
        <v>0</v>
      </c>
      <c r="N765" t="n">
        <v>0</v>
      </c>
      <c r="O765" t="n">
        <v>0</v>
      </c>
      <c r="P765" t="n">
        <v>0</v>
      </c>
      <c r="Q765" t="n">
        <v>0</v>
      </c>
      <c r="R765" s="2" t="inlineStr"/>
    </row>
    <row r="766" ht="15" customHeight="1">
      <c r="A766" t="inlineStr">
        <is>
          <t>A 12569-2025</t>
        </is>
      </c>
      <c r="B766" s="1" t="n">
        <v>45731.69629629629</v>
      </c>
      <c r="C766" s="1" t="n">
        <v>46082</v>
      </c>
      <c r="D766" t="inlineStr">
        <is>
          <t>JÄMTLANDS LÄN</t>
        </is>
      </c>
      <c r="E766" t="inlineStr">
        <is>
          <t>HÄRJEDALEN</t>
        </is>
      </c>
      <c r="G766" t="n">
        <v>0.2</v>
      </c>
      <c r="H766" t="n">
        <v>0</v>
      </c>
      <c r="I766" t="n">
        <v>0</v>
      </c>
      <c r="J766" t="n">
        <v>0</v>
      </c>
      <c r="K766" t="n">
        <v>0</v>
      </c>
      <c r="L766" t="n">
        <v>0</v>
      </c>
      <c r="M766" t="n">
        <v>0</v>
      </c>
      <c r="N766" t="n">
        <v>0</v>
      </c>
      <c r="O766" t="n">
        <v>0</v>
      </c>
      <c r="P766" t="n">
        <v>0</v>
      </c>
      <c r="Q766" t="n">
        <v>0</v>
      </c>
      <c r="R766" s="2" t="inlineStr"/>
    </row>
    <row r="767" ht="15" customHeight="1">
      <c r="A767" t="inlineStr">
        <is>
          <t>A 39820-2022</t>
        </is>
      </c>
      <c r="B767" s="1" t="n">
        <v>44819.56722222222</v>
      </c>
      <c r="C767" s="1" t="n">
        <v>46082</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52015-2025</t>
        </is>
      </c>
      <c r="B768" s="1" t="n">
        <v>45952.59693287037</v>
      </c>
      <c r="C768" s="1" t="n">
        <v>46082</v>
      </c>
      <c r="D768" t="inlineStr">
        <is>
          <t>JÄMTLANDS LÄN</t>
        </is>
      </c>
      <c r="E768" t="inlineStr">
        <is>
          <t>HÄRJEDALEN</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51653-2025</t>
        </is>
      </c>
      <c r="B769" s="1" t="n">
        <v>45951.46152777778</v>
      </c>
      <c r="C769" s="1" t="n">
        <v>46082</v>
      </c>
      <c r="D769" t="inlineStr">
        <is>
          <t>JÄMTLANDS LÄN</t>
        </is>
      </c>
      <c r="E769" t="inlineStr">
        <is>
          <t>HÄRJEDALEN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38709-2025</t>
        </is>
      </c>
      <c r="B770" s="1" t="n">
        <v>45885</v>
      </c>
      <c r="C770" s="1" t="n">
        <v>46082</v>
      </c>
      <c r="D770" t="inlineStr">
        <is>
          <t>JÄMTLANDS LÄN</t>
        </is>
      </c>
      <c r="E770" t="inlineStr">
        <is>
          <t>HÄRJEDALEN</t>
        </is>
      </c>
      <c r="G770" t="n">
        <v>70</v>
      </c>
      <c r="H770" t="n">
        <v>0</v>
      </c>
      <c r="I770" t="n">
        <v>0</v>
      </c>
      <c r="J770" t="n">
        <v>0</v>
      </c>
      <c r="K770" t="n">
        <v>0</v>
      </c>
      <c r="L770" t="n">
        <v>0</v>
      </c>
      <c r="M770" t="n">
        <v>0</v>
      </c>
      <c r="N770" t="n">
        <v>0</v>
      </c>
      <c r="O770" t="n">
        <v>0</v>
      </c>
      <c r="P770" t="n">
        <v>0</v>
      </c>
      <c r="Q770" t="n">
        <v>0</v>
      </c>
      <c r="R770" s="2" t="inlineStr"/>
    </row>
    <row r="771" ht="15" customHeight="1">
      <c r="A771" t="inlineStr">
        <is>
          <t>A 47738-2022</t>
        </is>
      </c>
      <c r="B771" s="1" t="n">
        <v>44854</v>
      </c>
      <c r="C771" s="1" t="n">
        <v>46082</v>
      </c>
      <c r="D771" t="inlineStr">
        <is>
          <t>JÄMTLANDS LÄN</t>
        </is>
      </c>
      <c r="E771" t="inlineStr">
        <is>
          <t>HÄRJEDALEN</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52520-2025</t>
        </is>
      </c>
      <c r="B772" s="1" t="n">
        <v>45954.51769675926</v>
      </c>
      <c r="C772" s="1" t="n">
        <v>46082</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46082</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30729-2024</t>
        </is>
      </c>
      <c r="B774" s="1" t="n">
        <v>45496.59202546296</v>
      </c>
      <c r="C774" s="1" t="n">
        <v>46082</v>
      </c>
      <c r="D774" t="inlineStr">
        <is>
          <t>JÄMTLANDS LÄN</t>
        </is>
      </c>
      <c r="E774" t="inlineStr">
        <is>
          <t>HÄRJEDALEN</t>
        </is>
      </c>
      <c r="F774" t="inlineStr">
        <is>
          <t>Bergvik skog väst AB</t>
        </is>
      </c>
      <c r="G774" t="n">
        <v>5.9</v>
      </c>
      <c r="H774" t="n">
        <v>0</v>
      </c>
      <c r="I774" t="n">
        <v>0</v>
      </c>
      <c r="J774" t="n">
        <v>0</v>
      </c>
      <c r="K774" t="n">
        <v>0</v>
      </c>
      <c r="L774" t="n">
        <v>0</v>
      </c>
      <c r="M774" t="n">
        <v>0</v>
      </c>
      <c r="N774" t="n">
        <v>0</v>
      </c>
      <c r="O774" t="n">
        <v>0</v>
      </c>
      <c r="P774" t="n">
        <v>0</v>
      </c>
      <c r="Q774" t="n">
        <v>0</v>
      </c>
      <c r="R774" s="2" t="inlineStr"/>
    </row>
    <row r="775" ht="15" customHeight="1">
      <c r="A775" t="inlineStr">
        <is>
          <t>A 17291-2025</t>
        </is>
      </c>
      <c r="B775" s="1" t="n">
        <v>45756</v>
      </c>
      <c r="C775" s="1" t="n">
        <v>46082</v>
      </c>
      <c r="D775" t="inlineStr">
        <is>
          <t>JÄMTLANDS LÄN</t>
        </is>
      </c>
      <c r="E775" t="inlineStr">
        <is>
          <t>HÄRJEDALEN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46082</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53256-2025</t>
        </is>
      </c>
      <c r="B777" s="1" t="n">
        <v>45958.6740625</v>
      </c>
      <c r="C777" s="1" t="n">
        <v>46082</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22499-2024</t>
        </is>
      </c>
      <c r="B778" s="1" t="n">
        <v>45447.35144675926</v>
      </c>
      <c r="C778" s="1" t="n">
        <v>46082</v>
      </c>
      <c r="D778" t="inlineStr">
        <is>
          <t>JÄMTLANDS LÄN</t>
        </is>
      </c>
      <c r="E778" t="inlineStr">
        <is>
          <t>HÄRJEDALEN</t>
        </is>
      </c>
      <c r="G778" t="n">
        <v>14.1</v>
      </c>
      <c r="H778" t="n">
        <v>0</v>
      </c>
      <c r="I778" t="n">
        <v>0</v>
      </c>
      <c r="J778" t="n">
        <v>0</v>
      </c>
      <c r="K778" t="n">
        <v>0</v>
      </c>
      <c r="L778" t="n">
        <v>0</v>
      </c>
      <c r="M778" t="n">
        <v>0</v>
      </c>
      <c r="N778" t="n">
        <v>0</v>
      </c>
      <c r="O778" t="n">
        <v>0</v>
      </c>
      <c r="P778" t="n">
        <v>0</v>
      </c>
      <c r="Q778" t="n">
        <v>0</v>
      </c>
      <c r="R778" s="2" t="inlineStr"/>
    </row>
    <row r="779" ht="15" customHeight="1">
      <c r="A779" t="inlineStr">
        <is>
          <t>A 19915-2023</t>
        </is>
      </c>
      <c r="B779" s="1" t="n">
        <v>45054</v>
      </c>
      <c r="C779" s="1" t="n">
        <v>46082</v>
      </c>
      <c r="D779" t="inlineStr">
        <is>
          <t>JÄMTLANDS LÄN</t>
        </is>
      </c>
      <c r="E779" t="inlineStr">
        <is>
          <t>HÄRJEDALEN</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53260-2025</t>
        </is>
      </c>
      <c r="B780" s="1" t="n">
        <v>45958.67776620371</v>
      </c>
      <c r="C780" s="1" t="n">
        <v>46082</v>
      </c>
      <c r="D780" t="inlineStr">
        <is>
          <t>JÄMTLANDS LÄN</t>
        </is>
      </c>
      <c r="E780" t="inlineStr">
        <is>
          <t>HÄRJEDALEN</t>
        </is>
      </c>
      <c r="G780" t="n">
        <v>3.3</v>
      </c>
      <c r="H780" t="n">
        <v>0</v>
      </c>
      <c r="I780" t="n">
        <v>0</v>
      </c>
      <c r="J780" t="n">
        <v>0</v>
      </c>
      <c r="K780" t="n">
        <v>0</v>
      </c>
      <c r="L780" t="n">
        <v>0</v>
      </c>
      <c r="M780" t="n">
        <v>0</v>
      </c>
      <c r="N780" t="n">
        <v>0</v>
      </c>
      <c r="O780" t="n">
        <v>0</v>
      </c>
      <c r="P780" t="n">
        <v>0</v>
      </c>
      <c r="Q780" t="n">
        <v>0</v>
      </c>
      <c r="R780" s="2" t="inlineStr"/>
    </row>
    <row r="781" ht="15" customHeight="1">
      <c r="A781" t="inlineStr">
        <is>
          <t>A 18144-2025</t>
        </is>
      </c>
      <c r="B781" s="1" t="n">
        <v>45761.61501157407</v>
      </c>
      <c r="C781" s="1" t="n">
        <v>46082</v>
      </c>
      <c r="D781" t="inlineStr">
        <is>
          <t>JÄMTLANDS LÄN</t>
        </is>
      </c>
      <c r="E781" t="inlineStr">
        <is>
          <t>HÄRJEDALEN</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59125-2024</t>
        </is>
      </c>
      <c r="B782" s="1" t="n">
        <v>45637.39587962963</v>
      </c>
      <c r="C782" s="1" t="n">
        <v>46082</v>
      </c>
      <c r="D782" t="inlineStr">
        <is>
          <t>JÄMTLANDS LÄN</t>
        </is>
      </c>
      <c r="E782" t="inlineStr">
        <is>
          <t>HÄRJEDALEN</t>
        </is>
      </c>
      <c r="F782" t="inlineStr">
        <is>
          <t>Bergvik skog väst AB</t>
        </is>
      </c>
      <c r="G782" t="n">
        <v>7.3</v>
      </c>
      <c r="H782" t="n">
        <v>0</v>
      </c>
      <c r="I782" t="n">
        <v>0</v>
      </c>
      <c r="J782" t="n">
        <v>0</v>
      </c>
      <c r="K782" t="n">
        <v>0</v>
      </c>
      <c r="L782" t="n">
        <v>0</v>
      </c>
      <c r="M782" t="n">
        <v>0</v>
      </c>
      <c r="N782" t="n">
        <v>0</v>
      </c>
      <c r="O782" t="n">
        <v>0</v>
      </c>
      <c r="P782" t="n">
        <v>0</v>
      </c>
      <c r="Q782" t="n">
        <v>0</v>
      </c>
      <c r="R782" s="2" t="inlineStr"/>
    </row>
    <row r="783" ht="15" customHeight="1">
      <c r="A783" t="inlineStr">
        <is>
          <t>A 53253-2025</t>
        </is>
      </c>
      <c r="B783" s="1" t="n">
        <v>45958.66732638889</v>
      </c>
      <c r="C783" s="1" t="n">
        <v>46082</v>
      </c>
      <c r="D783" t="inlineStr">
        <is>
          <t>JÄMTLANDS LÄN</t>
        </is>
      </c>
      <c r="E783" t="inlineStr">
        <is>
          <t>HÄRJEDALEN</t>
        </is>
      </c>
      <c r="G783" t="n">
        <v>4.4</v>
      </c>
      <c r="H783" t="n">
        <v>0</v>
      </c>
      <c r="I783" t="n">
        <v>0</v>
      </c>
      <c r="J783" t="n">
        <v>0</v>
      </c>
      <c r="K783" t="n">
        <v>0</v>
      </c>
      <c r="L783" t="n">
        <v>0</v>
      </c>
      <c r="M783" t="n">
        <v>0</v>
      </c>
      <c r="N783" t="n">
        <v>0</v>
      </c>
      <c r="O783" t="n">
        <v>0</v>
      </c>
      <c r="P783" t="n">
        <v>0</v>
      </c>
      <c r="Q783" t="n">
        <v>0</v>
      </c>
      <c r="R783" s="2" t="inlineStr"/>
    </row>
    <row r="784" ht="15" customHeight="1">
      <c r="A784" t="inlineStr">
        <is>
          <t>A 41101-2024</t>
        </is>
      </c>
      <c r="B784" s="1" t="n">
        <v>45559.43645833333</v>
      </c>
      <c r="C784" s="1" t="n">
        <v>46082</v>
      </c>
      <c r="D784" t="inlineStr">
        <is>
          <t>JÄMTLANDS LÄN</t>
        </is>
      </c>
      <c r="E784" t="inlineStr">
        <is>
          <t>HÄRJEDALEN</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53267-2025</t>
        </is>
      </c>
      <c r="B785" s="1" t="n">
        <v>45958.69079861111</v>
      </c>
      <c r="C785" s="1" t="n">
        <v>46082</v>
      </c>
      <c r="D785" t="inlineStr">
        <is>
          <t>JÄMTLANDS LÄN</t>
        </is>
      </c>
      <c r="E785" t="inlineStr">
        <is>
          <t>HÄRJEDALEN</t>
        </is>
      </c>
      <c r="G785" t="n">
        <v>3.3</v>
      </c>
      <c r="H785" t="n">
        <v>0</v>
      </c>
      <c r="I785" t="n">
        <v>0</v>
      </c>
      <c r="J785" t="n">
        <v>0</v>
      </c>
      <c r="K785" t="n">
        <v>0</v>
      </c>
      <c r="L785" t="n">
        <v>0</v>
      </c>
      <c r="M785" t="n">
        <v>0</v>
      </c>
      <c r="N785" t="n">
        <v>0</v>
      </c>
      <c r="O785" t="n">
        <v>0</v>
      </c>
      <c r="P785" t="n">
        <v>0</v>
      </c>
      <c r="Q785" t="n">
        <v>0</v>
      </c>
      <c r="R785" s="2" t="inlineStr"/>
    </row>
    <row r="786" ht="15" customHeight="1">
      <c r="A786" t="inlineStr">
        <is>
          <t>A 53268-2025</t>
        </is>
      </c>
      <c r="B786" s="1" t="n">
        <v>45958.69850694444</v>
      </c>
      <c r="C786" s="1" t="n">
        <v>46082</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33096-2024</t>
        </is>
      </c>
      <c r="B787" s="1" t="n">
        <v>45517.69590277778</v>
      </c>
      <c r="C787" s="1" t="n">
        <v>46082</v>
      </c>
      <c r="D787" t="inlineStr">
        <is>
          <t>JÄMTLANDS LÄN</t>
        </is>
      </c>
      <c r="E787" t="inlineStr">
        <is>
          <t>HÄRJEDALEN</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48198-2024</t>
        </is>
      </c>
      <c r="B788" s="1" t="n">
        <v>45590.31899305555</v>
      </c>
      <c r="C788" s="1" t="n">
        <v>46082</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60006-2024</t>
        </is>
      </c>
      <c r="B789" s="1" t="n">
        <v>45642.41907407407</v>
      </c>
      <c r="C789" s="1" t="n">
        <v>46082</v>
      </c>
      <c r="D789" t="inlineStr">
        <is>
          <t>JÄMTLANDS LÄN</t>
        </is>
      </c>
      <c r="E789" t="inlineStr">
        <is>
          <t>HÄRJEDALEN</t>
        </is>
      </c>
      <c r="G789" t="n">
        <v>7.3</v>
      </c>
      <c r="H789" t="n">
        <v>0</v>
      </c>
      <c r="I789" t="n">
        <v>0</v>
      </c>
      <c r="J789" t="n">
        <v>0</v>
      </c>
      <c r="K789" t="n">
        <v>0</v>
      </c>
      <c r="L789" t="n">
        <v>0</v>
      </c>
      <c r="M789" t="n">
        <v>0</v>
      </c>
      <c r="N789" t="n">
        <v>0</v>
      </c>
      <c r="O789" t="n">
        <v>0</v>
      </c>
      <c r="P789" t="n">
        <v>0</v>
      </c>
      <c r="Q789" t="n">
        <v>0</v>
      </c>
      <c r="R789" s="2" t="inlineStr"/>
    </row>
    <row r="790" ht="15" customHeight="1">
      <c r="A790" t="inlineStr">
        <is>
          <t>A 19353-2023</t>
        </is>
      </c>
      <c r="B790" s="1" t="n">
        <v>45049.59826388889</v>
      </c>
      <c r="C790" s="1" t="n">
        <v>46082</v>
      </c>
      <c r="D790" t="inlineStr">
        <is>
          <t>JÄMTLANDS LÄN</t>
        </is>
      </c>
      <c r="E790" t="inlineStr">
        <is>
          <t>HÄRJEDALEN</t>
        </is>
      </c>
      <c r="G790" t="n">
        <v>3.9</v>
      </c>
      <c r="H790" t="n">
        <v>0</v>
      </c>
      <c r="I790" t="n">
        <v>0</v>
      </c>
      <c r="J790" t="n">
        <v>0</v>
      </c>
      <c r="K790" t="n">
        <v>0</v>
      </c>
      <c r="L790" t="n">
        <v>0</v>
      </c>
      <c r="M790" t="n">
        <v>0</v>
      </c>
      <c r="N790" t="n">
        <v>0</v>
      </c>
      <c r="O790" t="n">
        <v>0</v>
      </c>
      <c r="P790" t="n">
        <v>0</v>
      </c>
      <c r="Q790" t="n">
        <v>0</v>
      </c>
      <c r="R790" s="2" t="inlineStr"/>
    </row>
    <row r="791" ht="15" customHeight="1">
      <c r="A791" t="inlineStr">
        <is>
          <t>A 3965-2025</t>
        </is>
      </c>
      <c r="B791" s="1" t="n">
        <v>45684.51006944444</v>
      </c>
      <c r="C791" s="1" t="n">
        <v>46082</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53175-2025</t>
        </is>
      </c>
      <c r="B792" s="1" t="n">
        <v>45958.52390046296</v>
      </c>
      <c r="C792" s="1" t="n">
        <v>46082</v>
      </c>
      <c r="D792" t="inlineStr">
        <is>
          <t>JÄMTLANDS LÄN</t>
        </is>
      </c>
      <c r="E792" t="inlineStr">
        <is>
          <t>HÄRJEDALEN</t>
        </is>
      </c>
      <c r="G792" t="n">
        <v>16.8</v>
      </c>
      <c r="H792" t="n">
        <v>0</v>
      </c>
      <c r="I792" t="n">
        <v>0</v>
      </c>
      <c r="J792" t="n">
        <v>0</v>
      </c>
      <c r="K792" t="n">
        <v>0</v>
      </c>
      <c r="L792" t="n">
        <v>0</v>
      </c>
      <c r="M792" t="n">
        <v>0</v>
      </c>
      <c r="N792" t="n">
        <v>0</v>
      </c>
      <c r="O792" t="n">
        <v>0</v>
      </c>
      <c r="P792" t="n">
        <v>0</v>
      </c>
      <c r="Q792" t="n">
        <v>0</v>
      </c>
      <c r="R792" s="2" t="inlineStr"/>
    </row>
    <row r="793" ht="15" customHeight="1">
      <c r="A793" t="inlineStr">
        <is>
          <t>A 53265-2025</t>
        </is>
      </c>
      <c r="B793" s="1" t="n">
        <v>45958.6809375</v>
      </c>
      <c r="C793" s="1" t="n">
        <v>46082</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45705-2024</t>
        </is>
      </c>
      <c r="B794" s="1" t="n">
        <v>45579.57390046296</v>
      </c>
      <c r="C794" s="1" t="n">
        <v>46082</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13081-2022</t>
        </is>
      </c>
      <c r="B795" s="1" t="n">
        <v>44643.81518518519</v>
      </c>
      <c r="C795" s="1" t="n">
        <v>46082</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12462-2023</t>
        </is>
      </c>
      <c r="B796" s="1" t="n">
        <v>44999.60127314815</v>
      </c>
      <c r="C796" s="1" t="n">
        <v>46082</v>
      </c>
      <c r="D796" t="inlineStr">
        <is>
          <t>JÄMTLANDS LÄN</t>
        </is>
      </c>
      <c r="E796" t="inlineStr">
        <is>
          <t>HÄRJEDALEN</t>
        </is>
      </c>
      <c r="G796" t="n">
        <v>7.8</v>
      </c>
      <c r="H796" t="n">
        <v>0</v>
      </c>
      <c r="I796" t="n">
        <v>0</v>
      </c>
      <c r="J796" t="n">
        <v>0</v>
      </c>
      <c r="K796" t="n">
        <v>0</v>
      </c>
      <c r="L796" t="n">
        <v>0</v>
      </c>
      <c r="M796" t="n">
        <v>0</v>
      </c>
      <c r="N796" t="n">
        <v>0</v>
      </c>
      <c r="O796" t="n">
        <v>0</v>
      </c>
      <c r="P796" t="n">
        <v>0</v>
      </c>
      <c r="Q796" t="n">
        <v>0</v>
      </c>
      <c r="R796" s="2" t="inlineStr"/>
    </row>
    <row r="797" ht="15" customHeight="1">
      <c r="A797" t="inlineStr">
        <is>
          <t>A 48669-2023</t>
        </is>
      </c>
      <c r="B797" s="1" t="n">
        <v>45203</v>
      </c>
      <c r="C797" s="1" t="n">
        <v>46082</v>
      </c>
      <c r="D797" t="inlineStr">
        <is>
          <t>JÄMTLANDS LÄN</t>
        </is>
      </c>
      <c r="E797" t="inlineStr">
        <is>
          <t>HÄRJEDALEN</t>
        </is>
      </c>
      <c r="G797" t="n">
        <v>4</v>
      </c>
      <c r="H797" t="n">
        <v>0</v>
      </c>
      <c r="I797" t="n">
        <v>0</v>
      </c>
      <c r="J797" t="n">
        <v>0</v>
      </c>
      <c r="K797" t="n">
        <v>0</v>
      </c>
      <c r="L797" t="n">
        <v>0</v>
      </c>
      <c r="M797" t="n">
        <v>0</v>
      </c>
      <c r="N797" t="n">
        <v>0</v>
      </c>
      <c r="O797" t="n">
        <v>0</v>
      </c>
      <c r="P797" t="n">
        <v>0</v>
      </c>
      <c r="Q797" t="n">
        <v>0</v>
      </c>
      <c r="R797" s="2" t="inlineStr"/>
    </row>
    <row r="798" ht="15" customHeight="1">
      <c r="A798" t="inlineStr">
        <is>
          <t>A 53613-2025</t>
        </is>
      </c>
      <c r="B798" s="1" t="n">
        <v>45960.47413194444</v>
      </c>
      <c r="C798" s="1" t="n">
        <v>46082</v>
      </c>
      <c r="D798" t="inlineStr">
        <is>
          <t>JÄMTLANDS LÄN</t>
        </is>
      </c>
      <c r="E798" t="inlineStr">
        <is>
          <t>HÄRJEDALEN</t>
        </is>
      </c>
      <c r="F798" t="inlineStr">
        <is>
          <t>Holmen skog AB</t>
        </is>
      </c>
      <c r="G798" t="n">
        <v>4.3</v>
      </c>
      <c r="H798" t="n">
        <v>0</v>
      </c>
      <c r="I798" t="n">
        <v>0</v>
      </c>
      <c r="J798" t="n">
        <v>0</v>
      </c>
      <c r="K798" t="n">
        <v>0</v>
      </c>
      <c r="L798" t="n">
        <v>0</v>
      </c>
      <c r="M798" t="n">
        <v>0</v>
      </c>
      <c r="N798" t="n">
        <v>0</v>
      </c>
      <c r="O798" t="n">
        <v>0</v>
      </c>
      <c r="P798" t="n">
        <v>0</v>
      </c>
      <c r="Q798" t="n">
        <v>0</v>
      </c>
      <c r="R798" s="2" t="inlineStr"/>
    </row>
    <row r="799" ht="15" customHeight="1">
      <c r="A799" t="inlineStr">
        <is>
          <t>A 53631-2025</t>
        </is>
      </c>
      <c r="B799" s="1" t="n">
        <v>45960.49898148148</v>
      </c>
      <c r="C799" s="1" t="n">
        <v>46082</v>
      </c>
      <c r="D799" t="inlineStr">
        <is>
          <t>JÄMTLANDS LÄN</t>
        </is>
      </c>
      <c r="E799" t="inlineStr">
        <is>
          <t>HÄRJEDALEN</t>
        </is>
      </c>
      <c r="F799" t="inlineStr">
        <is>
          <t>Bergvik skog väst AB</t>
        </is>
      </c>
      <c r="G799" t="n">
        <v>10</v>
      </c>
      <c r="H799" t="n">
        <v>0</v>
      </c>
      <c r="I799" t="n">
        <v>0</v>
      </c>
      <c r="J799" t="n">
        <v>0</v>
      </c>
      <c r="K799" t="n">
        <v>0</v>
      </c>
      <c r="L799" t="n">
        <v>0</v>
      </c>
      <c r="M799" t="n">
        <v>0</v>
      </c>
      <c r="N799" t="n">
        <v>0</v>
      </c>
      <c r="O799" t="n">
        <v>0</v>
      </c>
      <c r="P799" t="n">
        <v>0</v>
      </c>
      <c r="Q799" t="n">
        <v>0</v>
      </c>
      <c r="R799" s="2" t="inlineStr"/>
    </row>
    <row r="800" ht="15" customHeight="1">
      <c r="A800" t="inlineStr">
        <is>
          <t>A 12747-2025</t>
        </is>
      </c>
      <c r="B800" s="1" t="n">
        <v>45733</v>
      </c>
      <c r="C800" s="1" t="n">
        <v>46082</v>
      </c>
      <c r="D800" t="inlineStr">
        <is>
          <t>JÄMTLANDS LÄN</t>
        </is>
      </c>
      <c r="E800" t="inlineStr">
        <is>
          <t>HÄRJEDALEN</t>
        </is>
      </c>
      <c r="G800" t="n">
        <v>12.1</v>
      </c>
      <c r="H800" t="n">
        <v>0</v>
      </c>
      <c r="I800" t="n">
        <v>0</v>
      </c>
      <c r="J800" t="n">
        <v>0</v>
      </c>
      <c r="K800" t="n">
        <v>0</v>
      </c>
      <c r="L800" t="n">
        <v>0</v>
      </c>
      <c r="M800" t="n">
        <v>0</v>
      </c>
      <c r="N800" t="n">
        <v>0</v>
      </c>
      <c r="O800" t="n">
        <v>0</v>
      </c>
      <c r="P800" t="n">
        <v>0</v>
      </c>
      <c r="Q800" t="n">
        <v>0</v>
      </c>
      <c r="R800" s="2" t="inlineStr"/>
    </row>
    <row r="801" ht="15" customHeight="1">
      <c r="A801" t="inlineStr">
        <is>
          <t>A 41146-2021</t>
        </is>
      </c>
      <c r="B801" s="1" t="n">
        <v>44423</v>
      </c>
      <c r="C801" s="1" t="n">
        <v>46082</v>
      </c>
      <c r="D801" t="inlineStr">
        <is>
          <t>JÄMTLANDS LÄN</t>
        </is>
      </c>
      <c r="E801" t="inlineStr">
        <is>
          <t>HÄRJEDALEN</t>
        </is>
      </c>
      <c r="G801" t="n">
        <v>14.9</v>
      </c>
      <c r="H801" t="n">
        <v>0</v>
      </c>
      <c r="I801" t="n">
        <v>0</v>
      </c>
      <c r="J801" t="n">
        <v>0</v>
      </c>
      <c r="K801" t="n">
        <v>0</v>
      </c>
      <c r="L801" t="n">
        <v>0</v>
      </c>
      <c r="M801" t="n">
        <v>0</v>
      </c>
      <c r="N801" t="n">
        <v>0</v>
      </c>
      <c r="O801" t="n">
        <v>0</v>
      </c>
      <c r="P801" t="n">
        <v>0</v>
      </c>
      <c r="Q801" t="n">
        <v>0</v>
      </c>
      <c r="R801" s="2" t="inlineStr"/>
    </row>
    <row r="802" ht="15" customHeight="1">
      <c r="A802" t="inlineStr">
        <is>
          <t>A 41146-2021</t>
        </is>
      </c>
      <c r="B802" s="1" t="n">
        <v>44423</v>
      </c>
      <c r="C802" s="1" t="n">
        <v>46082</v>
      </c>
      <c r="D802" t="inlineStr">
        <is>
          <t>JÄMTLANDS LÄN</t>
        </is>
      </c>
      <c r="E802" t="inlineStr">
        <is>
          <t>HÄRJEDALEN</t>
        </is>
      </c>
      <c r="G802" t="n">
        <v>14.9</v>
      </c>
      <c r="H802" t="n">
        <v>0</v>
      </c>
      <c r="I802" t="n">
        <v>0</v>
      </c>
      <c r="J802" t="n">
        <v>0</v>
      </c>
      <c r="K802" t="n">
        <v>0</v>
      </c>
      <c r="L802" t="n">
        <v>0</v>
      </c>
      <c r="M802" t="n">
        <v>0</v>
      </c>
      <c r="N802" t="n">
        <v>0</v>
      </c>
      <c r="O802" t="n">
        <v>0</v>
      </c>
      <c r="P802" t="n">
        <v>0</v>
      </c>
      <c r="Q802" t="n">
        <v>0</v>
      </c>
      <c r="R802" s="2" t="inlineStr"/>
    </row>
    <row r="803" ht="15" customHeight="1">
      <c r="A803" t="inlineStr">
        <is>
          <t>A 54661-2022</t>
        </is>
      </c>
      <c r="B803" s="1" t="n">
        <v>44883</v>
      </c>
      <c r="C803" s="1" t="n">
        <v>46082</v>
      </c>
      <c r="D803" t="inlineStr">
        <is>
          <t>JÄMTLANDS LÄN</t>
        </is>
      </c>
      <c r="E803" t="inlineStr">
        <is>
          <t>HÄRJEDALEN</t>
        </is>
      </c>
      <c r="G803" t="n">
        <v>5.9</v>
      </c>
      <c r="H803" t="n">
        <v>0</v>
      </c>
      <c r="I803" t="n">
        <v>0</v>
      </c>
      <c r="J803" t="n">
        <v>0</v>
      </c>
      <c r="K803" t="n">
        <v>0</v>
      </c>
      <c r="L803" t="n">
        <v>0</v>
      </c>
      <c r="M803" t="n">
        <v>0</v>
      </c>
      <c r="N803" t="n">
        <v>0</v>
      </c>
      <c r="O803" t="n">
        <v>0</v>
      </c>
      <c r="P803" t="n">
        <v>0</v>
      </c>
      <c r="Q803" t="n">
        <v>0</v>
      </c>
      <c r="R803" s="2" t="inlineStr"/>
    </row>
    <row r="804" ht="15" customHeight="1">
      <c r="A804" t="inlineStr">
        <is>
          <t>A 53523-2025</t>
        </is>
      </c>
      <c r="B804" s="1" t="n">
        <v>45960.36037037037</v>
      </c>
      <c r="C804" s="1" t="n">
        <v>46082</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51931-2025</t>
        </is>
      </c>
      <c r="B805" s="1" t="n">
        <v>45952</v>
      </c>
      <c r="C805" s="1" t="n">
        <v>46082</v>
      </c>
      <c r="D805" t="inlineStr">
        <is>
          <t>JÄMTLANDS LÄN</t>
        </is>
      </c>
      <c r="E805" t="inlineStr">
        <is>
          <t>HÄRJEDALEN</t>
        </is>
      </c>
      <c r="G805" t="n">
        <v>1.9</v>
      </c>
      <c r="H805" t="n">
        <v>0</v>
      </c>
      <c r="I805" t="n">
        <v>0</v>
      </c>
      <c r="J805" t="n">
        <v>0</v>
      </c>
      <c r="K805" t="n">
        <v>0</v>
      </c>
      <c r="L805" t="n">
        <v>0</v>
      </c>
      <c r="M805" t="n">
        <v>0</v>
      </c>
      <c r="N805" t="n">
        <v>0</v>
      </c>
      <c r="O805" t="n">
        <v>0</v>
      </c>
      <c r="P805" t="n">
        <v>0</v>
      </c>
      <c r="Q805" t="n">
        <v>0</v>
      </c>
      <c r="R805" s="2" t="inlineStr"/>
    </row>
    <row r="806" ht="15" customHeight="1">
      <c r="A806" t="inlineStr">
        <is>
          <t>A 34181-2025</t>
        </is>
      </c>
      <c r="B806" s="1" t="n">
        <v>45845</v>
      </c>
      <c r="C806" s="1" t="n">
        <v>46082</v>
      </c>
      <c r="D806" t="inlineStr">
        <is>
          <t>JÄMTLANDS LÄN</t>
        </is>
      </c>
      <c r="E806" t="inlineStr">
        <is>
          <t>HÄRJEDALEN</t>
        </is>
      </c>
      <c r="G806" t="n">
        <v>2.8</v>
      </c>
      <c r="H806" t="n">
        <v>0</v>
      </c>
      <c r="I806" t="n">
        <v>0</v>
      </c>
      <c r="J806" t="n">
        <v>0</v>
      </c>
      <c r="K806" t="n">
        <v>0</v>
      </c>
      <c r="L806" t="n">
        <v>0</v>
      </c>
      <c r="M806" t="n">
        <v>0</v>
      </c>
      <c r="N806" t="n">
        <v>0</v>
      </c>
      <c r="O806" t="n">
        <v>0</v>
      </c>
      <c r="P806" t="n">
        <v>0</v>
      </c>
      <c r="Q806" t="n">
        <v>0</v>
      </c>
      <c r="R806" s="2" t="inlineStr"/>
    </row>
    <row r="807" ht="15" customHeight="1">
      <c r="A807" t="inlineStr">
        <is>
          <t>A 53992-2025</t>
        </is>
      </c>
      <c r="B807" s="1" t="n">
        <v>45961.58226851852</v>
      </c>
      <c r="C807" s="1" t="n">
        <v>46082</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53980-2025</t>
        </is>
      </c>
      <c r="B808" s="1" t="n">
        <v>45961.56611111111</v>
      </c>
      <c r="C808" s="1" t="n">
        <v>46082</v>
      </c>
      <c r="D808" t="inlineStr">
        <is>
          <t>JÄMTLANDS LÄN</t>
        </is>
      </c>
      <c r="E808" t="inlineStr">
        <is>
          <t>HÄRJEDALEN</t>
        </is>
      </c>
      <c r="G808" t="n">
        <v>2.3</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46082</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54336-2025</t>
        </is>
      </c>
      <c r="B810" s="1" t="n">
        <v>45965.35207175926</v>
      </c>
      <c r="C810" s="1" t="n">
        <v>46082</v>
      </c>
      <c r="D810" t="inlineStr">
        <is>
          <t>JÄMTLANDS LÄN</t>
        </is>
      </c>
      <c r="E810" t="inlineStr">
        <is>
          <t>HÄRJEDALEN</t>
        </is>
      </c>
      <c r="G810" t="n">
        <v>1.2</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46082</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44955-2024</t>
        </is>
      </c>
      <c r="B812" s="1" t="n">
        <v>45575</v>
      </c>
      <c r="C812" s="1" t="n">
        <v>46082</v>
      </c>
      <c r="D812" t="inlineStr">
        <is>
          <t>JÄMTLANDS LÄN</t>
        </is>
      </c>
      <c r="E812" t="inlineStr">
        <is>
          <t>HÄRJEDALEN</t>
        </is>
      </c>
      <c r="G812" t="n">
        <v>0.4</v>
      </c>
      <c r="H812" t="n">
        <v>0</v>
      </c>
      <c r="I812" t="n">
        <v>0</v>
      </c>
      <c r="J812" t="n">
        <v>0</v>
      </c>
      <c r="K812" t="n">
        <v>0</v>
      </c>
      <c r="L812" t="n">
        <v>0</v>
      </c>
      <c r="M812" t="n">
        <v>0</v>
      </c>
      <c r="N812" t="n">
        <v>0</v>
      </c>
      <c r="O812" t="n">
        <v>0</v>
      </c>
      <c r="P812" t="n">
        <v>0</v>
      </c>
      <c r="Q812" t="n">
        <v>0</v>
      </c>
      <c r="R812" s="2" t="inlineStr"/>
    </row>
    <row r="813" ht="15" customHeight="1">
      <c r="A813" t="inlineStr">
        <is>
          <t>A 54354-2025</t>
        </is>
      </c>
      <c r="B813" s="1" t="n">
        <v>45965.37909722222</v>
      </c>
      <c r="C813" s="1" t="n">
        <v>46082</v>
      </c>
      <c r="D813" t="inlineStr">
        <is>
          <t>JÄMTLANDS LÄN</t>
        </is>
      </c>
      <c r="E813" t="inlineStr">
        <is>
          <t>HÄRJEDALEN</t>
        </is>
      </c>
      <c r="F813" t="inlineStr">
        <is>
          <t>Bergvik skog väst AB</t>
        </is>
      </c>
      <c r="G813" t="n">
        <v>10.9</v>
      </c>
      <c r="H813" t="n">
        <v>0</v>
      </c>
      <c r="I813" t="n">
        <v>0</v>
      </c>
      <c r="J813" t="n">
        <v>0</v>
      </c>
      <c r="K813" t="n">
        <v>0</v>
      </c>
      <c r="L813" t="n">
        <v>0</v>
      </c>
      <c r="M813" t="n">
        <v>0</v>
      </c>
      <c r="N813" t="n">
        <v>0</v>
      </c>
      <c r="O813" t="n">
        <v>0</v>
      </c>
      <c r="P813" t="n">
        <v>0</v>
      </c>
      <c r="Q813" t="n">
        <v>0</v>
      </c>
      <c r="R813" s="2" t="inlineStr"/>
    </row>
    <row r="814" ht="15" customHeight="1">
      <c r="A814" t="inlineStr">
        <is>
          <t>A 35076-2025</t>
        </is>
      </c>
      <c r="B814" s="1" t="n">
        <v>45852.48290509259</v>
      </c>
      <c r="C814" s="1" t="n">
        <v>46082</v>
      </c>
      <c r="D814" t="inlineStr">
        <is>
          <t>JÄMTLANDS LÄN</t>
        </is>
      </c>
      <c r="E814" t="inlineStr">
        <is>
          <t>HÄRJEDALEN</t>
        </is>
      </c>
      <c r="G814" t="n">
        <v>2.9</v>
      </c>
      <c r="H814" t="n">
        <v>0</v>
      </c>
      <c r="I814" t="n">
        <v>0</v>
      </c>
      <c r="J814" t="n">
        <v>0</v>
      </c>
      <c r="K814" t="n">
        <v>0</v>
      </c>
      <c r="L814" t="n">
        <v>0</v>
      </c>
      <c r="M814" t="n">
        <v>0</v>
      </c>
      <c r="N814" t="n">
        <v>0</v>
      </c>
      <c r="O814" t="n">
        <v>0</v>
      </c>
      <c r="P814" t="n">
        <v>0</v>
      </c>
      <c r="Q814" t="n">
        <v>0</v>
      </c>
      <c r="R814" s="2" t="inlineStr"/>
    </row>
    <row r="815" ht="15" customHeight="1">
      <c r="A815" t="inlineStr">
        <is>
          <t>A 54764-2025</t>
        </is>
      </c>
      <c r="B815" s="1" t="n">
        <v>45966.60278935185</v>
      </c>
      <c r="C815" s="1" t="n">
        <v>46082</v>
      </c>
      <c r="D815" t="inlineStr">
        <is>
          <t>JÄMTLANDS LÄN</t>
        </is>
      </c>
      <c r="E815" t="inlineStr">
        <is>
          <t>HÄRJEDALEN</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54331-2021</t>
        </is>
      </c>
      <c r="B816" s="1" t="n">
        <v>44472</v>
      </c>
      <c r="C816" s="1" t="n">
        <v>46082</v>
      </c>
      <c r="D816" t="inlineStr">
        <is>
          <t>JÄMTLANDS LÄN</t>
        </is>
      </c>
      <c r="E816" t="inlineStr">
        <is>
          <t>HÄRJEDALEN</t>
        </is>
      </c>
      <c r="G816" t="n">
        <v>0.7</v>
      </c>
      <c r="H816" t="n">
        <v>0</v>
      </c>
      <c r="I816" t="n">
        <v>0</v>
      </c>
      <c r="J816" t="n">
        <v>0</v>
      </c>
      <c r="K816" t="n">
        <v>0</v>
      </c>
      <c r="L816" t="n">
        <v>0</v>
      </c>
      <c r="M816" t="n">
        <v>0</v>
      </c>
      <c r="N816" t="n">
        <v>0</v>
      </c>
      <c r="O816" t="n">
        <v>0</v>
      </c>
      <c r="P816" t="n">
        <v>0</v>
      </c>
      <c r="Q816" t="n">
        <v>0</v>
      </c>
      <c r="R816" s="2" t="inlineStr"/>
    </row>
    <row r="817" ht="15" customHeight="1">
      <c r="A817" t="inlineStr">
        <is>
          <t>A 59424-2023</t>
        </is>
      </c>
      <c r="B817" s="1" t="n">
        <v>45254</v>
      </c>
      <c r="C817" s="1" t="n">
        <v>46082</v>
      </c>
      <c r="D817" t="inlineStr">
        <is>
          <t>JÄMTLANDS LÄN</t>
        </is>
      </c>
      <c r="E817" t="inlineStr">
        <is>
          <t>HÄRJEDALEN</t>
        </is>
      </c>
      <c r="G817" t="n">
        <v>3.3</v>
      </c>
      <c r="H817" t="n">
        <v>0</v>
      </c>
      <c r="I817" t="n">
        <v>0</v>
      </c>
      <c r="J817" t="n">
        <v>0</v>
      </c>
      <c r="K817" t="n">
        <v>0</v>
      </c>
      <c r="L817" t="n">
        <v>0</v>
      </c>
      <c r="M817" t="n">
        <v>0</v>
      </c>
      <c r="N817" t="n">
        <v>0</v>
      </c>
      <c r="O817" t="n">
        <v>0</v>
      </c>
      <c r="P817" t="n">
        <v>0</v>
      </c>
      <c r="Q817" t="n">
        <v>0</v>
      </c>
      <c r="R817" s="2" t="inlineStr"/>
    </row>
    <row r="818" ht="15" customHeight="1">
      <c r="A818" t="inlineStr">
        <is>
          <t>A 7313-2024</t>
        </is>
      </c>
      <c r="B818" s="1" t="n">
        <v>45345.35003472222</v>
      </c>
      <c r="C818" s="1" t="n">
        <v>46082</v>
      </c>
      <c r="D818" t="inlineStr">
        <is>
          <t>JÄMTLANDS LÄN</t>
        </is>
      </c>
      <c r="E818" t="inlineStr">
        <is>
          <t>HÄRJEDALEN</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46082</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36645-2024</t>
        </is>
      </c>
      <c r="B820" s="1" t="n">
        <v>45537.60471064815</v>
      </c>
      <c r="C820" s="1" t="n">
        <v>46082</v>
      </c>
      <c r="D820" t="inlineStr">
        <is>
          <t>JÄMTLANDS LÄN</t>
        </is>
      </c>
      <c r="E820" t="inlineStr">
        <is>
          <t>HÄRJEDALEN</t>
        </is>
      </c>
      <c r="F820" t="inlineStr">
        <is>
          <t>Holmen skog AB</t>
        </is>
      </c>
      <c r="G820" t="n">
        <v>16.8</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46082</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46082</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55680-2025</t>
        </is>
      </c>
      <c r="B823" s="1" t="n">
        <v>45972</v>
      </c>
      <c r="C823" s="1" t="n">
        <v>46082</v>
      </c>
      <c r="D823" t="inlineStr">
        <is>
          <t>JÄMTLANDS LÄN</t>
        </is>
      </c>
      <c r="E823" t="inlineStr">
        <is>
          <t>HÄRJEDALEN</t>
        </is>
      </c>
      <c r="F823" t="inlineStr">
        <is>
          <t>Bergvik skog väst AB</t>
        </is>
      </c>
      <c r="G823" t="n">
        <v>15.1</v>
      </c>
      <c r="H823" t="n">
        <v>0</v>
      </c>
      <c r="I823" t="n">
        <v>0</v>
      </c>
      <c r="J823" t="n">
        <v>0</v>
      </c>
      <c r="K823" t="n">
        <v>0</v>
      </c>
      <c r="L823" t="n">
        <v>0</v>
      </c>
      <c r="M823" t="n">
        <v>0</v>
      </c>
      <c r="N823" t="n">
        <v>0</v>
      </c>
      <c r="O823" t="n">
        <v>0</v>
      </c>
      <c r="P823" t="n">
        <v>0</v>
      </c>
      <c r="Q823" t="n">
        <v>0</v>
      </c>
      <c r="R823" s="2" t="inlineStr"/>
    </row>
    <row r="824" ht="15" customHeight="1">
      <c r="A824" t="inlineStr">
        <is>
          <t>A 55465-2025</t>
        </is>
      </c>
      <c r="B824" s="1" t="n">
        <v>45971.52674768519</v>
      </c>
      <c r="C824" s="1" t="n">
        <v>46082</v>
      </c>
      <c r="D824" t="inlineStr">
        <is>
          <t>JÄMTLANDS LÄN</t>
        </is>
      </c>
      <c r="E824" t="inlineStr">
        <is>
          <t>HÄRJEDALEN</t>
        </is>
      </c>
      <c r="G824" t="n">
        <v>6.1</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46082</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55339-2025</t>
        </is>
      </c>
      <c r="B826" s="1" t="n">
        <v>45971.34488425926</v>
      </c>
      <c r="C826" s="1" t="n">
        <v>46082</v>
      </c>
      <c r="D826" t="inlineStr">
        <is>
          <t>JÄMTLANDS LÄN</t>
        </is>
      </c>
      <c r="E826" t="inlineStr">
        <is>
          <t>HÄRJEDALEN</t>
        </is>
      </c>
      <c r="G826" t="n">
        <v>10</v>
      </c>
      <c r="H826" t="n">
        <v>0</v>
      </c>
      <c r="I826" t="n">
        <v>0</v>
      </c>
      <c r="J826" t="n">
        <v>0</v>
      </c>
      <c r="K826" t="n">
        <v>0</v>
      </c>
      <c r="L826" t="n">
        <v>0</v>
      </c>
      <c r="M826" t="n">
        <v>0</v>
      </c>
      <c r="N826" t="n">
        <v>0</v>
      </c>
      <c r="O826" t="n">
        <v>0</v>
      </c>
      <c r="P826" t="n">
        <v>0</v>
      </c>
      <c r="Q826" t="n">
        <v>0</v>
      </c>
      <c r="R826" s="2" t="inlineStr"/>
    </row>
    <row r="827" ht="15" customHeight="1">
      <c r="A827" t="inlineStr">
        <is>
          <t>A 63546-2023</t>
        </is>
      </c>
      <c r="B827" s="1" t="n">
        <v>45275</v>
      </c>
      <c r="C827" s="1" t="n">
        <v>46082</v>
      </c>
      <c r="D827" t="inlineStr">
        <is>
          <t>JÄMTLANDS LÄN</t>
        </is>
      </c>
      <c r="E827" t="inlineStr">
        <is>
          <t>HÄRJEDALEN</t>
        </is>
      </c>
      <c r="G827" t="n">
        <v>4.5</v>
      </c>
      <c r="H827" t="n">
        <v>0</v>
      </c>
      <c r="I827" t="n">
        <v>0</v>
      </c>
      <c r="J827" t="n">
        <v>0</v>
      </c>
      <c r="K827" t="n">
        <v>0</v>
      </c>
      <c r="L827" t="n">
        <v>0</v>
      </c>
      <c r="M827" t="n">
        <v>0</v>
      </c>
      <c r="N827" t="n">
        <v>0</v>
      </c>
      <c r="O827" t="n">
        <v>0</v>
      </c>
      <c r="P827" t="n">
        <v>0</v>
      </c>
      <c r="Q827" t="n">
        <v>0</v>
      </c>
      <c r="R827" s="2" t="inlineStr"/>
    </row>
    <row r="828" ht="15" customHeight="1">
      <c r="A828" t="inlineStr">
        <is>
          <t>A 43294-2024</t>
        </is>
      </c>
      <c r="B828" s="1" t="n">
        <v>45568</v>
      </c>
      <c r="C828" s="1" t="n">
        <v>46082</v>
      </c>
      <c r="D828" t="inlineStr">
        <is>
          <t>JÄMTLANDS LÄN</t>
        </is>
      </c>
      <c r="E828" t="inlineStr">
        <is>
          <t>HÄRJEDALEN</t>
        </is>
      </c>
      <c r="F828" t="inlineStr">
        <is>
          <t>SCA</t>
        </is>
      </c>
      <c r="G828" t="n">
        <v>18.5</v>
      </c>
      <c r="H828" t="n">
        <v>0</v>
      </c>
      <c r="I828" t="n">
        <v>0</v>
      </c>
      <c r="J828" t="n">
        <v>0</v>
      </c>
      <c r="K828" t="n">
        <v>0</v>
      </c>
      <c r="L828" t="n">
        <v>0</v>
      </c>
      <c r="M828" t="n">
        <v>0</v>
      </c>
      <c r="N828" t="n">
        <v>0</v>
      </c>
      <c r="O828" t="n">
        <v>0</v>
      </c>
      <c r="P828" t="n">
        <v>0</v>
      </c>
      <c r="Q828" t="n">
        <v>0</v>
      </c>
      <c r="R828" s="2" t="inlineStr"/>
    </row>
    <row r="829" ht="15" customHeight="1">
      <c r="A829" t="inlineStr">
        <is>
          <t>A 55715-2025</t>
        </is>
      </c>
      <c r="B829" s="1" t="n">
        <v>45972.49532407407</v>
      </c>
      <c r="C829" s="1" t="n">
        <v>46082</v>
      </c>
      <c r="D829" t="inlineStr">
        <is>
          <t>JÄMTLANDS LÄN</t>
        </is>
      </c>
      <c r="E829" t="inlineStr">
        <is>
          <t>HÄRJEDALEN</t>
        </is>
      </c>
      <c r="G829" t="n">
        <v>10.7</v>
      </c>
      <c r="H829" t="n">
        <v>0</v>
      </c>
      <c r="I829" t="n">
        <v>0</v>
      </c>
      <c r="J829" t="n">
        <v>0</v>
      </c>
      <c r="K829" t="n">
        <v>0</v>
      </c>
      <c r="L829" t="n">
        <v>0</v>
      </c>
      <c r="M829" t="n">
        <v>0</v>
      </c>
      <c r="N829" t="n">
        <v>0</v>
      </c>
      <c r="O829" t="n">
        <v>0</v>
      </c>
      <c r="P829" t="n">
        <v>0</v>
      </c>
      <c r="Q829" t="n">
        <v>0</v>
      </c>
      <c r="R829" s="2" t="inlineStr"/>
    </row>
    <row r="830" ht="15" customHeight="1">
      <c r="A830" t="inlineStr">
        <is>
          <t>A 62641-2022</t>
        </is>
      </c>
      <c r="B830" s="1" t="n">
        <v>44925</v>
      </c>
      <c r="C830" s="1" t="n">
        <v>46082</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25500-2022</t>
        </is>
      </c>
      <c r="B831" s="1" t="n">
        <v>44732</v>
      </c>
      <c r="C831" s="1" t="n">
        <v>46082</v>
      </c>
      <c r="D831" t="inlineStr">
        <is>
          <t>JÄMTLANDS LÄN</t>
        </is>
      </c>
      <c r="E831" t="inlineStr">
        <is>
          <t>HÄRJEDALEN</t>
        </is>
      </c>
      <c r="G831" t="n">
        <v>2.6</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46082</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55761-2025</t>
        </is>
      </c>
      <c r="B833" s="1" t="n">
        <v>45972.60201388889</v>
      </c>
      <c r="C833" s="1" t="n">
        <v>46082</v>
      </c>
      <c r="D833" t="inlineStr">
        <is>
          <t>JÄMTLANDS LÄN</t>
        </is>
      </c>
      <c r="E833" t="inlineStr">
        <is>
          <t>HÄRJEDALEN</t>
        </is>
      </c>
      <c r="F833" t="inlineStr">
        <is>
          <t>Bergvik skog väst AB</t>
        </is>
      </c>
      <c r="G833" t="n">
        <v>20.8</v>
      </c>
      <c r="H833" t="n">
        <v>0</v>
      </c>
      <c r="I833" t="n">
        <v>0</v>
      </c>
      <c r="J833" t="n">
        <v>0</v>
      </c>
      <c r="K833" t="n">
        <v>0</v>
      </c>
      <c r="L833" t="n">
        <v>0</v>
      </c>
      <c r="M833" t="n">
        <v>0</v>
      </c>
      <c r="N833" t="n">
        <v>0</v>
      </c>
      <c r="O833" t="n">
        <v>0</v>
      </c>
      <c r="P833" t="n">
        <v>0</v>
      </c>
      <c r="Q833" t="n">
        <v>0</v>
      </c>
      <c r="R833" s="2" t="inlineStr"/>
    </row>
    <row r="834" ht="15" customHeight="1">
      <c r="A834" t="inlineStr">
        <is>
          <t>A 41401-2024</t>
        </is>
      </c>
      <c r="B834" s="1" t="n">
        <v>45560.33311342593</v>
      </c>
      <c r="C834" s="1" t="n">
        <v>46082</v>
      </c>
      <c r="D834" t="inlineStr">
        <is>
          <t>JÄMTLANDS LÄN</t>
        </is>
      </c>
      <c r="E834" t="inlineStr">
        <is>
          <t>HÄRJEDALEN</t>
        </is>
      </c>
      <c r="F834" t="inlineStr">
        <is>
          <t>Bergvik skog väst AB</t>
        </is>
      </c>
      <c r="G834" t="n">
        <v>6.6</v>
      </c>
      <c r="H834" t="n">
        <v>0</v>
      </c>
      <c r="I834" t="n">
        <v>0</v>
      </c>
      <c r="J834" t="n">
        <v>0</v>
      </c>
      <c r="K834" t="n">
        <v>0</v>
      </c>
      <c r="L834" t="n">
        <v>0</v>
      </c>
      <c r="M834" t="n">
        <v>0</v>
      </c>
      <c r="N834" t="n">
        <v>0</v>
      </c>
      <c r="O834" t="n">
        <v>0</v>
      </c>
      <c r="P834" t="n">
        <v>0</v>
      </c>
      <c r="Q834" t="n">
        <v>0</v>
      </c>
      <c r="R834" s="2" t="inlineStr"/>
    </row>
    <row r="835" ht="15" customHeight="1">
      <c r="A835" t="inlineStr">
        <is>
          <t>A 56176-2025</t>
        </is>
      </c>
      <c r="B835" s="1" t="n">
        <v>45974.39936342592</v>
      </c>
      <c r="C835" s="1" t="n">
        <v>46082</v>
      </c>
      <c r="D835" t="inlineStr">
        <is>
          <t>JÄMTLANDS LÄN</t>
        </is>
      </c>
      <c r="E835" t="inlineStr">
        <is>
          <t>HÄRJEDALEN</t>
        </is>
      </c>
      <c r="F835" t="inlineStr">
        <is>
          <t>Bergvik skog väst AB</t>
        </is>
      </c>
      <c r="G835" t="n">
        <v>15.7</v>
      </c>
      <c r="H835" t="n">
        <v>0</v>
      </c>
      <c r="I835" t="n">
        <v>0</v>
      </c>
      <c r="J835" t="n">
        <v>0</v>
      </c>
      <c r="K835" t="n">
        <v>0</v>
      </c>
      <c r="L835" t="n">
        <v>0</v>
      </c>
      <c r="M835" t="n">
        <v>0</v>
      </c>
      <c r="N835" t="n">
        <v>0</v>
      </c>
      <c r="O835" t="n">
        <v>0</v>
      </c>
      <c r="P835" t="n">
        <v>0</v>
      </c>
      <c r="Q835" t="n">
        <v>0</v>
      </c>
      <c r="R835" s="2" t="inlineStr"/>
    </row>
    <row r="836" ht="15" customHeight="1">
      <c r="A836" t="inlineStr">
        <is>
          <t>A 37281-2024</t>
        </is>
      </c>
      <c r="B836" s="1" t="n">
        <v>45540.4264699074</v>
      </c>
      <c r="C836" s="1" t="n">
        <v>46082</v>
      </c>
      <c r="D836" t="inlineStr">
        <is>
          <t>JÄMTLANDS LÄN</t>
        </is>
      </c>
      <c r="E836" t="inlineStr">
        <is>
          <t>HÄRJEDALEN</t>
        </is>
      </c>
      <c r="F836" t="inlineStr">
        <is>
          <t>Bergvik skog väst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56134-2025</t>
        </is>
      </c>
      <c r="B837" s="1" t="n">
        <v>45974</v>
      </c>
      <c r="C837" s="1" t="n">
        <v>46082</v>
      </c>
      <c r="D837" t="inlineStr">
        <is>
          <t>JÄMTLANDS LÄN</t>
        </is>
      </c>
      <c r="E837" t="inlineStr">
        <is>
          <t>HÄRJEDALEN</t>
        </is>
      </c>
      <c r="G837" t="n">
        <v>4.4</v>
      </c>
      <c r="H837" t="n">
        <v>0</v>
      </c>
      <c r="I837" t="n">
        <v>0</v>
      </c>
      <c r="J837" t="n">
        <v>0</v>
      </c>
      <c r="K837" t="n">
        <v>0</v>
      </c>
      <c r="L837" t="n">
        <v>0</v>
      </c>
      <c r="M837" t="n">
        <v>0</v>
      </c>
      <c r="N837" t="n">
        <v>0</v>
      </c>
      <c r="O837" t="n">
        <v>0</v>
      </c>
      <c r="P837" t="n">
        <v>0</v>
      </c>
      <c r="Q837" t="n">
        <v>0</v>
      </c>
      <c r="R837" s="2" t="inlineStr"/>
    </row>
    <row r="838" ht="15" customHeight="1">
      <c r="A838" t="inlineStr">
        <is>
          <t>A 55852-2025</t>
        </is>
      </c>
      <c r="B838" s="1" t="n">
        <v>45973</v>
      </c>
      <c r="C838" s="1" t="n">
        <v>46082</v>
      </c>
      <c r="D838" t="inlineStr">
        <is>
          <t>JÄMTLANDS LÄN</t>
        </is>
      </c>
      <c r="E838" t="inlineStr">
        <is>
          <t>HÄRJEDALEN</t>
        </is>
      </c>
      <c r="G838" t="n">
        <v>11.7</v>
      </c>
      <c r="H838" t="n">
        <v>0</v>
      </c>
      <c r="I838" t="n">
        <v>0</v>
      </c>
      <c r="J838" t="n">
        <v>0</v>
      </c>
      <c r="K838" t="n">
        <v>0</v>
      </c>
      <c r="L838" t="n">
        <v>0</v>
      </c>
      <c r="M838" t="n">
        <v>0</v>
      </c>
      <c r="N838" t="n">
        <v>0</v>
      </c>
      <c r="O838" t="n">
        <v>0</v>
      </c>
      <c r="P838" t="n">
        <v>0</v>
      </c>
      <c r="Q838" t="n">
        <v>0</v>
      </c>
      <c r="R838" s="2" t="inlineStr"/>
    </row>
    <row r="839" ht="15" customHeight="1">
      <c r="A839" t="inlineStr">
        <is>
          <t>A 56197-2025</t>
        </is>
      </c>
      <c r="B839" s="1" t="n">
        <v>45974.45393518519</v>
      </c>
      <c r="C839" s="1" t="n">
        <v>46082</v>
      </c>
      <c r="D839" t="inlineStr">
        <is>
          <t>JÄMTLANDS LÄN</t>
        </is>
      </c>
      <c r="E839" t="inlineStr">
        <is>
          <t>HÄRJEDALEN</t>
        </is>
      </c>
      <c r="F839" t="inlineStr">
        <is>
          <t>Bergvik skog väst AB</t>
        </is>
      </c>
      <c r="G839" t="n">
        <v>6.7</v>
      </c>
      <c r="H839" t="n">
        <v>0</v>
      </c>
      <c r="I839" t="n">
        <v>0</v>
      </c>
      <c r="J839" t="n">
        <v>0</v>
      </c>
      <c r="K839" t="n">
        <v>0</v>
      </c>
      <c r="L839" t="n">
        <v>0</v>
      </c>
      <c r="M839" t="n">
        <v>0</v>
      </c>
      <c r="N839" t="n">
        <v>0</v>
      </c>
      <c r="O839" t="n">
        <v>0</v>
      </c>
      <c r="P839" t="n">
        <v>0</v>
      </c>
      <c r="Q839" t="n">
        <v>0</v>
      </c>
      <c r="R839" s="2" t="inlineStr"/>
    </row>
    <row r="840" ht="15" customHeight="1">
      <c r="A840" t="inlineStr">
        <is>
          <t>A 55940-2025</t>
        </is>
      </c>
      <c r="B840" s="1" t="n">
        <v>45973.45135416667</v>
      </c>
      <c r="C840" s="1" t="n">
        <v>46082</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52798-2024</t>
        </is>
      </c>
      <c r="B841" s="1" t="n">
        <v>45610.56706018518</v>
      </c>
      <c r="C841" s="1" t="n">
        <v>46082</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56213-2025</t>
        </is>
      </c>
      <c r="B842" s="1" t="n">
        <v>45974.47983796296</v>
      </c>
      <c r="C842" s="1" t="n">
        <v>46082</v>
      </c>
      <c r="D842" t="inlineStr">
        <is>
          <t>JÄMTLANDS LÄN</t>
        </is>
      </c>
      <c r="E842" t="inlineStr">
        <is>
          <t>HÄRJEDALEN</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55877-2025</t>
        </is>
      </c>
      <c r="B843" s="1" t="n">
        <v>45973.36349537037</v>
      </c>
      <c r="C843" s="1" t="n">
        <v>46082</v>
      </c>
      <c r="D843" t="inlineStr">
        <is>
          <t>JÄMTLANDS LÄN</t>
        </is>
      </c>
      <c r="E843" t="inlineStr">
        <is>
          <t>HÄRJEDALEN</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55640-2025</t>
        </is>
      </c>
      <c r="B844" s="1" t="n">
        <v>45972.34667824074</v>
      </c>
      <c r="C844" s="1" t="n">
        <v>46082</v>
      </c>
      <c r="D844" t="inlineStr">
        <is>
          <t>JÄMTLANDS LÄN</t>
        </is>
      </c>
      <c r="E844" t="inlineStr">
        <is>
          <t>HÄRJEDALEN</t>
        </is>
      </c>
      <c r="G844" t="n">
        <v>12.9</v>
      </c>
      <c r="H844" t="n">
        <v>0</v>
      </c>
      <c r="I844" t="n">
        <v>0</v>
      </c>
      <c r="J844" t="n">
        <v>0</v>
      </c>
      <c r="K844" t="n">
        <v>0</v>
      </c>
      <c r="L844" t="n">
        <v>0</v>
      </c>
      <c r="M844" t="n">
        <v>0</v>
      </c>
      <c r="N844" t="n">
        <v>0</v>
      </c>
      <c r="O844" t="n">
        <v>0</v>
      </c>
      <c r="P844" t="n">
        <v>0</v>
      </c>
      <c r="Q844" t="n">
        <v>0</v>
      </c>
      <c r="R844" s="2" t="inlineStr"/>
    </row>
    <row r="845" ht="15" customHeight="1">
      <c r="A845" t="inlineStr">
        <is>
          <t>A 55965-2025</t>
        </is>
      </c>
      <c r="B845" s="1" t="n">
        <v>45973.48260416667</v>
      </c>
      <c r="C845" s="1" t="n">
        <v>46082</v>
      </c>
      <c r="D845" t="inlineStr">
        <is>
          <t>JÄMTLANDS LÄN</t>
        </is>
      </c>
      <c r="E845" t="inlineStr">
        <is>
          <t>HÄRJEDALEN</t>
        </is>
      </c>
      <c r="F845" t="inlineStr">
        <is>
          <t>Holmen skog AB</t>
        </is>
      </c>
      <c r="G845" t="n">
        <v>3.9</v>
      </c>
      <c r="H845" t="n">
        <v>0</v>
      </c>
      <c r="I845" t="n">
        <v>0</v>
      </c>
      <c r="J845" t="n">
        <v>0</v>
      </c>
      <c r="K845" t="n">
        <v>0</v>
      </c>
      <c r="L845" t="n">
        <v>0</v>
      </c>
      <c r="M845" t="n">
        <v>0</v>
      </c>
      <c r="N845" t="n">
        <v>0</v>
      </c>
      <c r="O845" t="n">
        <v>0</v>
      </c>
      <c r="P845" t="n">
        <v>0</v>
      </c>
      <c r="Q845" t="n">
        <v>0</v>
      </c>
      <c r="R845" s="2" t="inlineStr"/>
    </row>
    <row r="846" ht="15" customHeight="1">
      <c r="A846" t="inlineStr">
        <is>
          <t>A 10000-2023</t>
        </is>
      </c>
      <c r="B846" s="1" t="n">
        <v>44985</v>
      </c>
      <c r="C846" s="1" t="n">
        <v>46082</v>
      </c>
      <c r="D846" t="inlineStr">
        <is>
          <t>JÄMTLANDS LÄN</t>
        </is>
      </c>
      <c r="E846" t="inlineStr">
        <is>
          <t>HÄRJEDALEN</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55890-2025</t>
        </is>
      </c>
      <c r="B847" s="1" t="n">
        <v>45973.3788425926</v>
      </c>
      <c r="C847" s="1" t="n">
        <v>46082</v>
      </c>
      <c r="D847" t="inlineStr">
        <is>
          <t>JÄMTLANDS LÄN</t>
        </is>
      </c>
      <c r="E847" t="inlineStr">
        <is>
          <t>HÄRJEDALEN</t>
        </is>
      </c>
      <c r="F847" t="inlineStr">
        <is>
          <t>Holmen skog AB</t>
        </is>
      </c>
      <c r="G847" t="n">
        <v>2</v>
      </c>
      <c r="H847" t="n">
        <v>0</v>
      </c>
      <c r="I847" t="n">
        <v>0</v>
      </c>
      <c r="J847" t="n">
        <v>0</v>
      </c>
      <c r="K847" t="n">
        <v>0</v>
      </c>
      <c r="L847" t="n">
        <v>0</v>
      </c>
      <c r="M847" t="n">
        <v>0</v>
      </c>
      <c r="N847" t="n">
        <v>0</v>
      </c>
      <c r="O847" t="n">
        <v>0</v>
      </c>
      <c r="P847" t="n">
        <v>0</v>
      </c>
      <c r="Q847" t="n">
        <v>0</v>
      </c>
      <c r="R847" s="2" t="inlineStr"/>
    </row>
    <row r="848" ht="15" customHeight="1">
      <c r="A848" t="inlineStr">
        <is>
          <t>A 56595-2025</t>
        </is>
      </c>
      <c r="B848" s="1" t="n">
        <v>45975.56932870371</v>
      </c>
      <c r="C848" s="1" t="n">
        <v>46082</v>
      </c>
      <c r="D848" t="inlineStr">
        <is>
          <t>JÄMTLANDS LÄN</t>
        </is>
      </c>
      <c r="E848" t="inlineStr">
        <is>
          <t>HÄRJEDALEN</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58866-2023</t>
        </is>
      </c>
      <c r="B849" s="1" t="n">
        <v>45252.45481481482</v>
      </c>
      <c r="C849" s="1" t="n">
        <v>46082</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46499-2024</t>
        </is>
      </c>
      <c r="B850" s="1" t="n">
        <v>45582.59753472222</v>
      </c>
      <c r="C850" s="1" t="n">
        <v>46082</v>
      </c>
      <c r="D850" t="inlineStr">
        <is>
          <t>JÄMTLANDS LÄN</t>
        </is>
      </c>
      <c r="E850" t="inlineStr">
        <is>
          <t>HÄRJEDALEN</t>
        </is>
      </c>
      <c r="F850" t="inlineStr">
        <is>
          <t>Bergvik skog väst AB</t>
        </is>
      </c>
      <c r="G850" t="n">
        <v>1.8</v>
      </c>
      <c r="H850" t="n">
        <v>0</v>
      </c>
      <c r="I850" t="n">
        <v>0</v>
      </c>
      <c r="J850" t="n">
        <v>0</v>
      </c>
      <c r="K850" t="n">
        <v>0</v>
      </c>
      <c r="L850" t="n">
        <v>0</v>
      </c>
      <c r="M850" t="n">
        <v>0</v>
      </c>
      <c r="N850" t="n">
        <v>0</v>
      </c>
      <c r="O850" t="n">
        <v>0</v>
      </c>
      <c r="P850" t="n">
        <v>0</v>
      </c>
      <c r="Q850" t="n">
        <v>0</v>
      </c>
      <c r="R850" s="2" t="inlineStr"/>
    </row>
    <row r="851" ht="15" customHeight="1">
      <c r="A851" t="inlineStr">
        <is>
          <t>A 56452-2025</t>
        </is>
      </c>
      <c r="B851" s="1" t="n">
        <v>45975.35422453703</v>
      </c>
      <c r="C851" s="1" t="n">
        <v>46082</v>
      </c>
      <c r="D851" t="inlineStr">
        <is>
          <t>JÄMTLANDS LÄN</t>
        </is>
      </c>
      <c r="E851" t="inlineStr">
        <is>
          <t>HÄRJEDALEN</t>
        </is>
      </c>
      <c r="G851" t="n">
        <v>8.4</v>
      </c>
      <c r="H851" t="n">
        <v>0</v>
      </c>
      <c r="I851" t="n">
        <v>0</v>
      </c>
      <c r="J851" t="n">
        <v>0</v>
      </c>
      <c r="K851" t="n">
        <v>0</v>
      </c>
      <c r="L851" t="n">
        <v>0</v>
      </c>
      <c r="M851" t="n">
        <v>0</v>
      </c>
      <c r="N851" t="n">
        <v>0</v>
      </c>
      <c r="O851" t="n">
        <v>0</v>
      </c>
      <c r="P851" t="n">
        <v>0</v>
      </c>
      <c r="Q851" t="n">
        <v>0</v>
      </c>
      <c r="R851" s="2" t="inlineStr"/>
    </row>
    <row r="852" ht="15" customHeight="1">
      <c r="A852" t="inlineStr">
        <is>
          <t>A 56868-2025</t>
        </is>
      </c>
      <c r="B852" s="1" t="n">
        <v>45978.5205324074</v>
      </c>
      <c r="C852" s="1" t="n">
        <v>46082</v>
      </c>
      <c r="D852" t="inlineStr">
        <is>
          <t>JÄMTLANDS LÄN</t>
        </is>
      </c>
      <c r="E852" t="inlineStr">
        <is>
          <t>HÄRJEDALEN</t>
        </is>
      </c>
      <c r="G852" t="n">
        <v>4.7</v>
      </c>
      <c r="H852" t="n">
        <v>0</v>
      </c>
      <c r="I852" t="n">
        <v>0</v>
      </c>
      <c r="J852" t="n">
        <v>0</v>
      </c>
      <c r="K852" t="n">
        <v>0</v>
      </c>
      <c r="L852" t="n">
        <v>0</v>
      </c>
      <c r="M852" t="n">
        <v>0</v>
      </c>
      <c r="N852" t="n">
        <v>0</v>
      </c>
      <c r="O852" t="n">
        <v>0</v>
      </c>
      <c r="P852" t="n">
        <v>0</v>
      </c>
      <c r="Q852" t="n">
        <v>0</v>
      </c>
      <c r="R852" s="2" t="inlineStr"/>
    </row>
    <row r="853" ht="15" customHeight="1">
      <c r="A853" t="inlineStr">
        <is>
          <t>A 56451-2025</t>
        </is>
      </c>
      <c r="B853" s="1" t="n">
        <v>45975.3537037037</v>
      </c>
      <c r="C853" s="1" t="n">
        <v>46082</v>
      </c>
      <c r="D853" t="inlineStr">
        <is>
          <t>JÄMTLANDS LÄN</t>
        </is>
      </c>
      <c r="E853" t="inlineStr">
        <is>
          <t>HÄRJEDALEN</t>
        </is>
      </c>
      <c r="F853" t="inlineStr">
        <is>
          <t>Bergvik skog väst AB</t>
        </is>
      </c>
      <c r="G853" t="n">
        <v>10.5</v>
      </c>
      <c r="H853" t="n">
        <v>0</v>
      </c>
      <c r="I853" t="n">
        <v>0</v>
      </c>
      <c r="J853" t="n">
        <v>0</v>
      </c>
      <c r="K853" t="n">
        <v>0</v>
      </c>
      <c r="L853" t="n">
        <v>0</v>
      </c>
      <c r="M853" t="n">
        <v>0</v>
      </c>
      <c r="N853" t="n">
        <v>0</v>
      </c>
      <c r="O853" t="n">
        <v>0</v>
      </c>
      <c r="P853" t="n">
        <v>0</v>
      </c>
      <c r="Q853" t="n">
        <v>0</v>
      </c>
      <c r="R853" s="2" t="inlineStr"/>
    </row>
    <row r="854" ht="15" customHeight="1">
      <c r="A854" t="inlineStr">
        <is>
          <t>A 56646-2025</t>
        </is>
      </c>
      <c r="B854" s="1" t="n">
        <v>45975.634375</v>
      </c>
      <c r="C854" s="1" t="n">
        <v>46082</v>
      </c>
      <c r="D854" t="inlineStr">
        <is>
          <t>JÄMTLANDS LÄN</t>
        </is>
      </c>
      <c r="E854" t="inlineStr">
        <is>
          <t>HÄRJEDALEN</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57068-2025</t>
        </is>
      </c>
      <c r="B855" s="1" t="n">
        <v>45979.38599537037</v>
      </c>
      <c r="C855" s="1" t="n">
        <v>46082</v>
      </c>
      <c r="D855" t="inlineStr">
        <is>
          <t>JÄMTLANDS LÄN</t>
        </is>
      </c>
      <c r="E855" t="inlineStr">
        <is>
          <t>HÄRJEDALEN</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42143-2023</t>
        </is>
      </c>
      <c r="B856" s="1" t="n">
        <v>45177.9224537037</v>
      </c>
      <c r="C856" s="1" t="n">
        <v>46082</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58105-2024</t>
        </is>
      </c>
      <c r="B857" s="1" t="n">
        <v>45632</v>
      </c>
      <c r="C857" s="1" t="n">
        <v>46082</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57015-2025</t>
        </is>
      </c>
      <c r="B858" s="1" t="n">
        <v>45978.83375</v>
      </c>
      <c r="C858" s="1" t="n">
        <v>46082</v>
      </c>
      <c r="D858" t="inlineStr">
        <is>
          <t>JÄMTLANDS LÄN</t>
        </is>
      </c>
      <c r="E858" t="inlineStr">
        <is>
          <t>HÄRJEDALEN</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57070-2025</t>
        </is>
      </c>
      <c r="B859" s="1" t="n">
        <v>45979.38703703704</v>
      </c>
      <c r="C859" s="1" t="n">
        <v>46082</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56061-2024</t>
        </is>
      </c>
      <c r="B860" s="1" t="n">
        <v>45624.36858796296</v>
      </c>
      <c r="C860" s="1" t="n">
        <v>46082</v>
      </c>
      <c r="D860" t="inlineStr">
        <is>
          <t>JÄMTLANDS LÄN</t>
        </is>
      </c>
      <c r="E860" t="inlineStr">
        <is>
          <t>HÄRJEDALEN</t>
        </is>
      </c>
      <c r="G860" t="n">
        <v>7.9</v>
      </c>
      <c r="H860" t="n">
        <v>0</v>
      </c>
      <c r="I860" t="n">
        <v>0</v>
      </c>
      <c r="J860" t="n">
        <v>0</v>
      </c>
      <c r="K860" t="n">
        <v>0</v>
      </c>
      <c r="L860" t="n">
        <v>0</v>
      </c>
      <c r="M860" t="n">
        <v>0</v>
      </c>
      <c r="N860" t="n">
        <v>0</v>
      </c>
      <c r="O860" t="n">
        <v>0</v>
      </c>
      <c r="P860" t="n">
        <v>0</v>
      </c>
      <c r="Q860" t="n">
        <v>0</v>
      </c>
      <c r="R860" s="2" t="inlineStr"/>
    </row>
    <row r="861" ht="15" customHeight="1">
      <c r="A861" t="inlineStr">
        <is>
          <t>A 57109-2025</t>
        </is>
      </c>
      <c r="B861" s="1" t="n">
        <v>45979.45319444445</v>
      </c>
      <c r="C861" s="1" t="n">
        <v>46082</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59427-2024</t>
        </is>
      </c>
      <c r="B862" s="1" t="n">
        <v>45638.416875</v>
      </c>
      <c r="C862" s="1" t="n">
        <v>46082</v>
      </c>
      <c r="D862" t="inlineStr">
        <is>
          <t>JÄMTLANDS LÄN</t>
        </is>
      </c>
      <c r="E862" t="inlineStr">
        <is>
          <t>HÄRJEDALEN</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57013-2025</t>
        </is>
      </c>
      <c r="B863" s="1" t="n">
        <v>45978.82456018519</v>
      </c>
      <c r="C863" s="1" t="n">
        <v>46082</v>
      </c>
      <c r="D863" t="inlineStr">
        <is>
          <t>JÄMTLANDS LÄN</t>
        </is>
      </c>
      <c r="E863" t="inlineStr">
        <is>
          <t>HÄRJEDALEN</t>
        </is>
      </c>
      <c r="F863" t="inlineStr">
        <is>
          <t>Bergvik skog väst AB</t>
        </is>
      </c>
      <c r="G863" t="n">
        <v>36.5</v>
      </c>
      <c r="H863" t="n">
        <v>0</v>
      </c>
      <c r="I863" t="n">
        <v>0</v>
      </c>
      <c r="J863" t="n">
        <v>0</v>
      </c>
      <c r="K863" t="n">
        <v>0</v>
      </c>
      <c r="L863" t="n">
        <v>0</v>
      </c>
      <c r="M863" t="n">
        <v>0</v>
      </c>
      <c r="N863" t="n">
        <v>0</v>
      </c>
      <c r="O863" t="n">
        <v>0</v>
      </c>
      <c r="P863" t="n">
        <v>0</v>
      </c>
      <c r="Q863" t="n">
        <v>0</v>
      </c>
      <c r="R863" s="2" t="inlineStr"/>
    </row>
    <row r="864" ht="15" customHeight="1">
      <c r="A864" t="inlineStr">
        <is>
          <t>A 57518-2025</t>
        </is>
      </c>
      <c r="B864" s="1" t="n">
        <v>45979</v>
      </c>
      <c r="C864" s="1" t="n">
        <v>46082</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10342-2023</t>
        </is>
      </c>
      <c r="B865" s="1" t="n">
        <v>44987.35282407407</v>
      </c>
      <c r="C865" s="1" t="n">
        <v>46082</v>
      </c>
      <c r="D865" t="inlineStr">
        <is>
          <t>JÄMTLANDS LÄN</t>
        </is>
      </c>
      <c r="E865" t="inlineStr">
        <is>
          <t>HÄRJEDALEN</t>
        </is>
      </c>
      <c r="F865" t="inlineStr">
        <is>
          <t>Holmen skog AB</t>
        </is>
      </c>
      <c r="G865" t="n">
        <v>32.6</v>
      </c>
      <c r="H865" t="n">
        <v>0</v>
      </c>
      <c r="I865" t="n">
        <v>0</v>
      </c>
      <c r="J865" t="n">
        <v>0</v>
      </c>
      <c r="K865" t="n">
        <v>0</v>
      </c>
      <c r="L865" t="n">
        <v>0</v>
      </c>
      <c r="M865" t="n">
        <v>0</v>
      </c>
      <c r="N865" t="n">
        <v>0</v>
      </c>
      <c r="O865" t="n">
        <v>0</v>
      </c>
      <c r="P865" t="n">
        <v>0</v>
      </c>
      <c r="Q865" t="n">
        <v>0</v>
      </c>
      <c r="R865" s="2" t="inlineStr"/>
    </row>
    <row r="866" ht="15" customHeight="1">
      <c r="A866" t="inlineStr">
        <is>
          <t>A 58098-2025</t>
        </is>
      </c>
      <c r="B866" s="1" t="n">
        <v>45982</v>
      </c>
      <c r="C866" s="1" t="n">
        <v>46082</v>
      </c>
      <c r="D866" t="inlineStr">
        <is>
          <t>JÄMTLANDS LÄN</t>
        </is>
      </c>
      <c r="E866" t="inlineStr">
        <is>
          <t>HÄRJEDALEN</t>
        </is>
      </c>
      <c r="G866" t="n">
        <v>4.7</v>
      </c>
      <c r="H866" t="n">
        <v>0</v>
      </c>
      <c r="I866" t="n">
        <v>0</v>
      </c>
      <c r="J866" t="n">
        <v>0</v>
      </c>
      <c r="K866" t="n">
        <v>0</v>
      </c>
      <c r="L866" t="n">
        <v>0</v>
      </c>
      <c r="M866" t="n">
        <v>0</v>
      </c>
      <c r="N866" t="n">
        <v>0</v>
      </c>
      <c r="O866" t="n">
        <v>0</v>
      </c>
      <c r="P866" t="n">
        <v>0</v>
      </c>
      <c r="Q866" t="n">
        <v>0</v>
      </c>
      <c r="R866" s="2" t="inlineStr"/>
    </row>
    <row r="867" ht="15" customHeight="1">
      <c r="A867" t="inlineStr">
        <is>
          <t>A 57839-2025</t>
        </is>
      </c>
      <c r="B867" s="1" t="n">
        <v>45981.62309027778</v>
      </c>
      <c r="C867" s="1" t="n">
        <v>46082</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20238-2025</t>
        </is>
      </c>
      <c r="B868" s="1" t="n">
        <v>45772.69290509259</v>
      </c>
      <c r="C868" s="1" t="n">
        <v>46082</v>
      </c>
      <c r="D868" t="inlineStr">
        <is>
          <t>JÄMTLANDS LÄN</t>
        </is>
      </c>
      <c r="E868" t="inlineStr">
        <is>
          <t>HÄRJEDALEN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58116-2025</t>
        </is>
      </c>
      <c r="B869" s="1" t="n">
        <v>45982</v>
      </c>
      <c r="C869" s="1" t="n">
        <v>46082</v>
      </c>
      <c r="D869" t="inlineStr">
        <is>
          <t>JÄMTLANDS LÄN</t>
        </is>
      </c>
      <c r="E869" t="inlineStr">
        <is>
          <t>HÄRJEDALEN</t>
        </is>
      </c>
      <c r="G869" t="n">
        <v>1.8</v>
      </c>
      <c r="H869" t="n">
        <v>0</v>
      </c>
      <c r="I869" t="n">
        <v>0</v>
      </c>
      <c r="J869" t="n">
        <v>0</v>
      </c>
      <c r="K869" t="n">
        <v>0</v>
      </c>
      <c r="L869" t="n">
        <v>0</v>
      </c>
      <c r="M869" t="n">
        <v>0</v>
      </c>
      <c r="N869" t="n">
        <v>0</v>
      </c>
      <c r="O869" t="n">
        <v>0</v>
      </c>
      <c r="P869" t="n">
        <v>0</v>
      </c>
      <c r="Q869" t="n">
        <v>0</v>
      </c>
      <c r="R869" s="2" t="inlineStr"/>
    </row>
    <row r="870" ht="15" customHeight="1">
      <c r="A870" t="inlineStr">
        <is>
          <t>A 29774-2024</t>
        </is>
      </c>
      <c r="B870" s="1" t="n">
        <v>45485</v>
      </c>
      <c r="C870" s="1" t="n">
        <v>46082</v>
      </c>
      <c r="D870" t="inlineStr">
        <is>
          <t>JÄMTLANDS LÄN</t>
        </is>
      </c>
      <c r="E870" t="inlineStr">
        <is>
          <t>HÄRJEDALEN</t>
        </is>
      </c>
      <c r="G870" t="n">
        <v>4.5</v>
      </c>
      <c r="H870" t="n">
        <v>0</v>
      </c>
      <c r="I870" t="n">
        <v>0</v>
      </c>
      <c r="J870" t="n">
        <v>0</v>
      </c>
      <c r="K870" t="n">
        <v>0</v>
      </c>
      <c r="L870" t="n">
        <v>0</v>
      </c>
      <c r="M870" t="n">
        <v>0</v>
      </c>
      <c r="N870" t="n">
        <v>0</v>
      </c>
      <c r="O870" t="n">
        <v>0</v>
      </c>
      <c r="P870" t="n">
        <v>0</v>
      </c>
      <c r="Q870" t="n">
        <v>0</v>
      </c>
      <c r="R870" s="2" t="inlineStr"/>
    </row>
    <row r="871" ht="15" customHeight="1">
      <c r="A871" t="inlineStr">
        <is>
          <t>A 18620-2023</t>
        </is>
      </c>
      <c r="B871" s="1" t="n">
        <v>45041</v>
      </c>
      <c r="C871" s="1" t="n">
        <v>46082</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58141-2025</t>
        </is>
      </c>
      <c r="B872" s="1" t="n">
        <v>45982.63611111111</v>
      </c>
      <c r="C872" s="1" t="n">
        <v>46082</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46082</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58081-2025</t>
        </is>
      </c>
      <c r="B874" s="1" t="n">
        <v>45982.56142361111</v>
      </c>
      <c r="C874" s="1" t="n">
        <v>46082</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58110-2025</t>
        </is>
      </c>
      <c r="B875" s="1" t="n">
        <v>45982</v>
      </c>
      <c r="C875" s="1" t="n">
        <v>46082</v>
      </c>
      <c r="D875" t="inlineStr">
        <is>
          <t>JÄMTLANDS LÄN</t>
        </is>
      </c>
      <c r="E875" t="inlineStr">
        <is>
          <t>HÄRJEDALEN</t>
        </is>
      </c>
      <c r="G875" t="n">
        <v>0.8</v>
      </c>
      <c r="H875" t="n">
        <v>0</v>
      </c>
      <c r="I875" t="n">
        <v>0</v>
      </c>
      <c r="J875" t="n">
        <v>0</v>
      </c>
      <c r="K875" t="n">
        <v>0</v>
      </c>
      <c r="L875" t="n">
        <v>0</v>
      </c>
      <c r="M875" t="n">
        <v>0</v>
      </c>
      <c r="N875" t="n">
        <v>0</v>
      </c>
      <c r="O875" t="n">
        <v>0</v>
      </c>
      <c r="P875" t="n">
        <v>0</v>
      </c>
      <c r="Q875" t="n">
        <v>0</v>
      </c>
      <c r="R875" s="2" t="inlineStr"/>
    </row>
    <row r="876" ht="15" customHeight="1">
      <c r="A876" t="inlineStr">
        <is>
          <t>A 58120-2025</t>
        </is>
      </c>
      <c r="B876" s="1" t="n">
        <v>45982.60930555555</v>
      </c>
      <c r="C876" s="1" t="n">
        <v>46082</v>
      </c>
      <c r="D876" t="inlineStr">
        <is>
          <t>JÄMTLANDS LÄN</t>
        </is>
      </c>
      <c r="E876" t="inlineStr">
        <is>
          <t>HÄRJEDALEN</t>
        </is>
      </c>
      <c r="G876" t="n">
        <v>2.2</v>
      </c>
      <c r="H876" t="n">
        <v>0</v>
      </c>
      <c r="I876" t="n">
        <v>0</v>
      </c>
      <c r="J876" t="n">
        <v>0</v>
      </c>
      <c r="K876" t="n">
        <v>0</v>
      </c>
      <c r="L876" t="n">
        <v>0</v>
      </c>
      <c r="M876" t="n">
        <v>0</v>
      </c>
      <c r="N876" t="n">
        <v>0</v>
      </c>
      <c r="O876" t="n">
        <v>0</v>
      </c>
      <c r="P876" t="n">
        <v>0</v>
      </c>
      <c r="Q876" t="n">
        <v>0</v>
      </c>
      <c r="R876" s="2" t="inlineStr"/>
    </row>
    <row r="877" ht="15" customHeight="1">
      <c r="A877" t="inlineStr">
        <is>
          <t>A 41058-2023</t>
        </is>
      </c>
      <c r="B877" s="1" t="n">
        <v>45173</v>
      </c>
      <c r="C877" s="1" t="n">
        <v>46082</v>
      </c>
      <c r="D877" t="inlineStr">
        <is>
          <t>JÄMTLANDS LÄN</t>
        </is>
      </c>
      <c r="E877" t="inlineStr">
        <is>
          <t>HÄRJEDALEN</t>
        </is>
      </c>
      <c r="G877" t="n">
        <v>6</v>
      </c>
      <c r="H877" t="n">
        <v>0</v>
      </c>
      <c r="I877" t="n">
        <v>0</v>
      </c>
      <c r="J877" t="n">
        <v>0</v>
      </c>
      <c r="K877" t="n">
        <v>0</v>
      </c>
      <c r="L877" t="n">
        <v>0</v>
      </c>
      <c r="M877" t="n">
        <v>0</v>
      </c>
      <c r="N877" t="n">
        <v>0</v>
      </c>
      <c r="O877" t="n">
        <v>0</v>
      </c>
      <c r="P877" t="n">
        <v>0</v>
      </c>
      <c r="Q877" t="n">
        <v>0</v>
      </c>
      <c r="R877" s="2" t="inlineStr"/>
    </row>
    <row r="878" ht="15" customHeight="1">
      <c r="A878" t="inlineStr">
        <is>
          <t>A 58024-2025</t>
        </is>
      </c>
      <c r="B878" s="1" t="n">
        <v>45982.48206018518</v>
      </c>
      <c r="C878" s="1" t="n">
        <v>46082</v>
      </c>
      <c r="D878" t="inlineStr">
        <is>
          <t>JÄMTLANDS LÄN</t>
        </is>
      </c>
      <c r="E878" t="inlineStr">
        <is>
          <t>HÄRJEDALEN</t>
        </is>
      </c>
      <c r="F878" t="inlineStr">
        <is>
          <t>Bergvik skog väst AB</t>
        </is>
      </c>
      <c r="G878" t="n">
        <v>6.3</v>
      </c>
      <c r="H878" t="n">
        <v>0</v>
      </c>
      <c r="I878" t="n">
        <v>0</v>
      </c>
      <c r="J878" t="n">
        <v>0</v>
      </c>
      <c r="K878" t="n">
        <v>0</v>
      </c>
      <c r="L878" t="n">
        <v>0</v>
      </c>
      <c r="M878" t="n">
        <v>0</v>
      </c>
      <c r="N878" t="n">
        <v>0</v>
      </c>
      <c r="O878" t="n">
        <v>0</v>
      </c>
      <c r="P878" t="n">
        <v>0</v>
      </c>
      <c r="Q878" t="n">
        <v>0</v>
      </c>
      <c r="R878" s="2" t="inlineStr"/>
    </row>
    <row r="879" ht="15" customHeight="1">
      <c r="A879" t="inlineStr">
        <is>
          <t>A 40569-2023</t>
        </is>
      </c>
      <c r="B879" s="1" t="n">
        <v>45170.4643287037</v>
      </c>
      <c r="C879" s="1" t="n">
        <v>46082</v>
      </c>
      <c r="D879" t="inlineStr">
        <is>
          <t>JÄMTLANDS LÄN</t>
        </is>
      </c>
      <c r="E879" t="inlineStr">
        <is>
          <t>HÄRJEDALEN</t>
        </is>
      </c>
      <c r="F879" t="inlineStr">
        <is>
          <t>Holmen skog AB</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58602-2025</t>
        </is>
      </c>
      <c r="B880" s="1" t="n">
        <v>45986.42805555555</v>
      </c>
      <c r="C880" s="1" t="n">
        <v>46082</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59293-2024</t>
        </is>
      </c>
      <c r="B881" s="1" t="n">
        <v>45637</v>
      </c>
      <c r="C881" s="1" t="n">
        <v>46082</v>
      </c>
      <c r="D881" t="inlineStr">
        <is>
          <t>JÄMTLANDS LÄN</t>
        </is>
      </c>
      <c r="E881" t="inlineStr">
        <is>
          <t>HÄRJEDALEN</t>
        </is>
      </c>
      <c r="G881" t="n">
        <v>1.6</v>
      </c>
      <c r="H881" t="n">
        <v>0</v>
      </c>
      <c r="I881" t="n">
        <v>0</v>
      </c>
      <c r="J881" t="n">
        <v>0</v>
      </c>
      <c r="K881" t="n">
        <v>0</v>
      </c>
      <c r="L881" t="n">
        <v>0</v>
      </c>
      <c r="M881" t="n">
        <v>0</v>
      </c>
      <c r="N881" t="n">
        <v>0</v>
      </c>
      <c r="O881" t="n">
        <v>0</v>
      </c>
      <c r="P881" t="n">
        <v>0</v>
      </c>
      <c r="Q881" t="n">
        <v>0</v>
      </c>
      <c r="R881" s="2" t="inlineStr"/>
    </row>
    <row r="882" ht="15" customHeight="1">
      <c r="A882" t="inlineStr">
        <is>
          <t>A 58607-2025</t>
        </is>
      </c>
      <c r="B882" s="1" t="n">
        <v>45986.44212962963</v>
      </c>
      <c r="C882" s="1" t="n">
        <v>46082</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28930-2024</t>
        </is>
      </c>
      <c r="B883" s="1" t="n">
        <v>45481.3330787037</v>
      </c>
      <c r="C883" s="1" t="n">
        <v>46082</v>
      </c>
      <c r="D883" t="inlineStr">
        <is>
          <t>JÄMTLANDS LÄN</t>
        </is>
      </c>
      <c r="E883" t="inlineStr">
        <is>
          <t>HÄRJEDALEN</t>
        </is>
      </c>
      <c r="F883" t="inlineStr">
        <is>
          <t>Holmen skog AB</t>
        </is>
      </c>
      <c r="G883" t="n">
        <v>0.4</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46082</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46082</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46082</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58645-2025</t>
        </is>
      </c>
      <c r="B887" s="1" t="n">
        <v>45986.49688657407</v>
      </c>
      <c r="C887" s="1" t="n">
        <v>46082</v>
      </c>
      <c r="D887" t="inlineStr">
        <is>
          <t>JÄMTLANDS LÄN</t>
        </is>
      </c>
      <c r="E887" t="inlineStr">
        <is>
          <t>HÄRJEDALEN</t>
        </is>
      </c>
      <c r="F887" t="inlineStr">
        <is>
          <t>Bergvik skog väst AB</t>
        </is>
      </c>
      <c r="G887" t="n">
        <v>23.4</v>
      </c>
      <c r="H887" t="n">
        <v>0</v>
      </c>
      <c r="I887" t="n">
        <v>0</v>
      </c>
      <c r="J887" t="n">
        <v>0</v>
      </c>
      <c r="K887" t="n">
        <v>0</v>
      </c>
      <c r="L887" t="n">
        <v>0</v>
      </c>
      <c r="M887" t="n">
        <v>0</v>
      </c>
      <c r="N887" t="n">
        <v>0</v>
      </c>
      <c r="O887" t="n">
        <v>0</v>
      </c>
      <c r="P887" t="n">
        <v>0</v>
      </c>
      <c r="Q887" t="n">
        <v>0</v>
      </c>
      <c r="R887" s="2" t="inlineStr"/>
    </row>
    <row r="888" ht="15" customHeight="1">
      <c r="A888" t="inlineStr">
        <is>
          <t>A 58723-2025</t>
        </is>
      </c>
      <c r="B888" s="1" t="n">
        <v>45986.61724537037</v>
      </c>
      <c r="C888" s="1" t="n">
        <v>46082</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58716-2025</t>
        </is>
      </c>
      <c r="B889" s="1" t="n">
        <v>45986.61413194444</v>
      </c>
      <c r="C889" s="1" t="n">
        <v>46082</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58296-2025</t>
        </is>
      </c>
      <c r="B890" s="1" t="n">
        <v>45985.45633101852</v>
      </c>
      <c r="C890" s="1" t="n">
        <v>46082</v>
      </c>
      <c r="D890" t="inlineStr">
        <is>
          <t>JÄMTLANDS LÄN</t>
        </is>
      </c>
      <c r="E890" t="inlineStr">
        <is>
          <t>HÄRJEDALEN</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31588-2024</t>
        </is>
      </c>
      <c r="B891" s="1" t="n">
        <v>45506.36702546296</v>
      </c>
      <c r="C891" s="1" t="n">
        <v>46082</v>
      </c>
      <c r="D891" t="inlineStr">
        <is>
          <t>JÄMTLANDS LÄN</t>
        </is>
      </c>
      <c r="E891" t="inlineStr">
        <is>
          <t>HÄRJEDALEN</t>
        </is>
      </c>
      <c r="G891" t="n">
        <v>11</v>
      </c>
      <c r="H891" t="n">
        <v>0</v>
      </c>
      <c r="I891" t="n">
        <v>0</v>
      </c>
      <c r="J891" t="n">
        <v>0</v>
      </c>
      <c r="K891" t="n">
        <v>0</v>
      </c>
      <c r="L891" t="n">
        <v>0</v>
      </c>
      <c r="M891" t="n">
        <v>0</v>
      </c>
      <c r="N891" t="n">
        <v>0</v>
      </c>
      <c r="O891" t="n">
        <v>0</v>
      </c>
      <c r="P891" t="n">
        <v>0</v>
      </c>
      <c r="Q891" t="n">
        <v>0</v>
      </c>
      <c r="R891" s="2" t="inlineStr"/>
    </row>
    <row r="892" ht="15" customHeight="1">
      <c r="A892" t="inlineStr">
        <is>
          <t>A 59321-2025</t>
        </is>
      </c>
      <c r="B892" s="1" t="n">
        <v>45988</v>
      </c>
      <c r="C892" s="1" t="n">
        <v>46082</v>
      </c>
      <c r="D892" t="inlineStr">
        <is>
          <t>JÄMTLANDS LÄN</t>
        </is>
      </c>
      <c r="E892" t="inlineStr">
        <is>
          <t>HÄRJEDALEN</t>
        </is>
      </c>
      <c r="G892" t="n">
        <v>3</v>
      </c>
      <c r="H892" t="n">
        <v>0</v>
      </c>
      <c r="I892" t="n">
        <v>0</v>
      </c>
      <c r="J892" t="n">
        <v>0</v>
      </c>
      <c r="K892" t="n">
        <v>0</v>
      </c>
      <c r="L892" t="n">
        <v>0</v>
      </c>
      <c r="M892" t="n">
        <v>0</v>
      </c>
      <c r="N892" t="n">
        <v>0</v>
      </c>
      <c r="O892" t="n">
        <v>0</v>
      </c>
      <c r="P892" t="n">
        <v>0</v>
      </c>
      <c r="Q892" t="n">
        <v>0</v>
      </c>
      <c r="R892" s="2" t="inlineStr"/>
    </row>
    <row r="893" ht="15" customHeight="1">
      <c r="A893" t="inlineStr">
        <is>
          <t>A 54527-2024</t>
        </is>
      </c>
      <c r="B893" s="1" t="n">
        <v>45617</v>
      </c>
      <c r="C893" s="1" t="n">
        <v>46082</v>
      </c>
      <c r="D893" t="inlineStr">
        <is>
          <t>JÄMTLANDS LÄN</t>
        </is>
      </c>
      <c r="E893" t="inlineStr">
        <is>
          <t>HÄRJEDALEN</t>
        </is>
      </c>
      <c r="F893" t="inlineStr">
        <is>
          <t>Holmen skog AB</t>
        </is>
      </c>
      <c r="G893" t="n">
        <v>8.5</v>
      </c>
      <c r="H893" t="n">
        <v>0</v>
      </c>
      <c r="I893" t="n">
        <v>0</v>
      </c>
      <c r="J893" t="n">
        <v>0</v>
      </c>
      <c r="K893" t="n">
        <v>0</v>
      </c>
      <c r="L893" t="n">
        <v>0</v>
      </c>
      <c r="M893" t="n">
        <v>0</v>
      </c>
      <c r="N893" t="n">
        <v>0</v>
      </c>
      <c r="O893" t="n">
        <v>0</v>
      </c>
      <c r="P893" t="n">
        <v>0</v>
      </c>
      <c r="Q893" t="n">
        <v>0</v>
      </c>
      <c r="R893" s="2" t="inlineStr"/>
    </row>
    <row r="894" ht="15" customHeight="1">
      <c r="A894" t="inlineStr">
        <is>
          <t>A 31783-2024</t>
        </is>
      </c>
      <c r="B894" s="1" t="n">
        <v>45509</v>
      </c>
      <c r="C894" s="1" t="n">
        <v>46082</v>
      </c>
      <c r="D894" t="inlineStr">
        <is>
          <t>JÄMTLANDS LÄN</t>
        </is>
      </c>
      <c r="E894" t="inlineStr">
        <is>
          <t>HÄRJEDALEN</t>
        </is>
      </c>
      <c r="F894" t="inlineStr">
        <is>
          <t>Övriga statliga verk och myndigheter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31834-2024</t>
        </is>
      </c>
      <c r="B895" s="1" t="n">
        <v>45509.6427662037</v>
      </c>
      <c r="C895" s="1" t="n">
        <v>46082</v>
      </c>
      <c r="D895" t="inlineStr">
        <is>
          <t>JÄMTLANDS LÄN</t>
        </is>
      </c>
      <c r="E895" t="inlineStr">
        <is>
          <t>HÄRJEDALEN</t>
        </is>
      </c>
      <c r="F895" t="inlineStr">
        <is>
          <t>Kommuner</t>
        </is>
      </c>
      <c r="G895" t="n">
        <v>5.2</v>
      </c>
      <c r="H895" t="n">
        <v>0</v>
      </c>
      <c r="I895" t="n">
        <v>0</v>
      </c>
      <c r="J895" t="n">
        <v>0</v>
      </c>
      <c r="K895" t="n">
        <v>0</v>
      </c>
      <c r="L895" t="n">
        <v>0</v>
      </c>
      <c r="M895" t="n">
        <v>0</v>
      </c>
      <c r="N895" t="n">
        <v>0</v>
      </c>
      <c r="O895" t="n">
        <v>0</v>
      </c>
      <c r="P895" t="n">
        <v>0</v>
      </c>
      <c r="Q895" t="n">
        <v>0</v>
      </c>
      <c r="R895" s="2" t="inlineStr"/>
    </row>
    <row r="896" ht="15" customHeight="1">
      <c r="A896" t="inlineStr">
        <is>
          <t>A 58865-2025</t>
        </is>
      </c>
      <c r="B896" s="1" t="n">
        <v>45987.44751157407</v>
      </c>
      <c r="C896" s="1" t="n">
        <v>46082</v>
      </c>
      <c r="D896" t="inlineStr">
        <is>
          <t>JÄMTLANDS LÄN</t>
        </is>
      </c>
      <c r="E896" t="inlineStr">
        <is>
          <t>HÄRJEDALEN</t>
        </is>
      </c>
      <c r="G896" t="n">
        <v>5.3</v>
      </c>
      <c r="H896" t="n">
        <v>0</v>
      </c>
      <c r="I896" t="n">
        <v>0</v>
      </c>
      <c r="J896" t="n">
        <v>0</v>
      </c>
      <c r="K896" t="n">
        <v>0</v>
      </c>
      <c r="L896" t="n">
        <v>0</v>
      </c>
      <c r="M896" t="n">
        <v>0</v>
      </c>
      <c r="N896" t="n">
        <v>0</v>
      </c>
      <c r="O896" t="n">
        <v>0</v>
      </c>
      <c r="P896" t="n">
        <v>0</v>
      </c>
      <c r="Q896" t="n">
        <v>0</v>
      </c>
      <c r="R896" s="2" t="inlineStr"/>
    </row>
    <row r="897" ht="15" customHeight="1">
      <c r="A897" t="inlineStr">
        <is>
          <t>A 29343-2024</t>
        </is>
      </c>
      <c r="B897" s="1" t="n">
        <v>45483.47207175926</v>
      </c>
      <c r="C897" s="1" t="n">
        <v>46082</v>
      </c>
      <c r="D897" t="inlineStr">
        <is>
          <t>JÄMTLANDS LÄN</t>
        </is>
      </c>
      <c r="E897" t="inlineStr">
        <is>
          <t>HÄRJEDALEN</t>
        </is>
      </c>
      <c r="G897" t="n">
        <v>19</v>
      </c>
      <c r="H897" t="n">
        <v>0</v>
      </c>
      <c r="I897" t="n">
        <v>0</v>
      </c>
      <c r="J897" t="n">
        <v>0</v>
      </c>
      <c r="K897" t="n">
        <v>0</v>
      </c>
      <c r="L897" t="n">
        <v>0</v>
      </c>
      <c r="M897" t="n">
        <v>0</v>
      </c>
      <c r="N897" t="n">
        <v>0</v>
      </c>
      <c r="O897" t="n">
        <v>0</v>
      </c>
      <c r="P897" t="n">
        <v>0</v>
      </c>
      <c r="Q897" t="n">
        <v>0</v>
      </c>
      <c r="R897" s="2" t="inlineStr"/>
    </row>
    <row r="898" ht="15" customHeight="1">
      <c r="A898" t="inlineStr">
        <is>
          <t>A 48818-2024</t>
        </is>
      </c>
      <c r="B898" s="1" t="n">
        <v>45593.67809027778</v>
      </c>
      <c r="C898" s="1" t="n">
        <v>46082</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59117-2025</t>
        </is>
      </c>
      <c r="B899" s="1" t="n">
        <v>45988.49011574074</v>
      </c>
      <c r="C899" s="1" t="n">
        <v>46082</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10959-2022</t>
        </is>
      </c>
      <c r="B900" s="1" t="n">
        <v>44628.36402777778</v>
      </c>
      <c r="C900" s="1" t="n">
        <v>46082</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46082</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59116-2025</t>
        </is>
      </c>
      <c r="B902" s="1" t="n">
        <v>45988.49009259259</v>
      </c>
      <c r="C902" s="1" t="n">
        <v>46082</v>
      </c>
      <c r="D902" t="inlineStr">
        <is>
          <t>JÄMTLANDS LÄN</t>
        </is>
      </c>
      <c r="E902" t="inlineStr">
        <is>
          <t>HÄRJEDALEN</t>
        </is>
      </c>
      <c r="G902" t="n">
        <v>10.5</v>
      </c>
      <c r="H902" t="n">
        <v>0</v>
      </c>
      <c r="I902" t="n">
        <v>0</v>
      </c>
      <c r="J902" t="n">
        <v>0</v>
      </c>
      <c r="K902" t="n">
        <v>0</v>
      </c>
      <c r="L902" t="n">
        <v>0</v>
      </c>
      <c r="M902" t="n">
        <v>0</v>
      </c>
      <c r="N902" t="n">
        <v>0</v>
      </c>
      <c r="O902" t="n">
        <v>0</v>
      </c>
      <c r="P902" t="n">
        <v>0</v>
      </c>
      <c r="Q902" t="n">
        <v>0</v>
      </c>
      <c r="R902" s="2" t="inlineStr"/>
    </row>
    <row r="903" ht="15" customHeight="1">
      <c r="A903" t="inlineStr">
        <is>
          <t>A 59118-2025</t>
        </is>
      </c>
      <c r="B903" s="1" t="n">
        <v>45988.49023148148</v>
      </c>
      <c r="C903" s="1" t="n">
        <v>46082</v>
      </c>
      <c r="D903" t="inlineStr">
        <is>
          <t>JÄMTLANDS LÄN</t>
        </is>
      </c>
      <c r="E903" t="inlineStr">
        <is>
          <t>HÄRJEDALEN</t>
        </is>
      </c>
      <c r="G903" t="n">
        <v>2</v>
      </c>
      <c r="H903" t="n">
        <v>0</v>
      </c>
      <c r="I903" t="n">
        <v>0</v>
      </c>
      <c r="J903" t="n">
        <v>0</v>
      </c>
      <c r="K903" t="n">
        <v>0</v>
      </c>
      <c r="L903" t="n">
        <v>0</v>
      </c>
      <c r="M903" t="n">
        <v>0</v>
      </c>
      <c r="N903" t="n">
        <v>0</v>
      </c>
      <c r="O903" t="n">
        <v>0</v>
      </c>
      <c r="P903" t="n">
        <v>0</v>
      </c>
      <c r="Q903" t="n">
        <v>0</v>
      </c>
      <c r="R903" s="2" t="inlineStr"/>
    </row>
    <row r="904" ht="15" customHeight="1">
      <c r="A904" t="inlineStr">
        <is>
          <t>A 54502-2024</t>
        </is>
      </c>
      <c r="B904" s="1" t="n">
        <v>45617</v>
      </c>
      <c r="C904" s="1" t="n">
        <v>46082</v>
      </c>
      <c r="D904" t="inlineStr">
        <is>
          <t>JÄMTLANDS LÄN</t>
        </is>
      </c>
      <c r="E904" t="inlineStr">
        <is>
          <t>HÄRJEDALEN</t>
        </is>
      </c>
      <c r="F904" t="inlineStr">
        <is>
          <t>Holmen skog AB</t>
        </is>
      </c>
      <c r="G904" t="n">
        <v>8.4</v>
      </c>
      <c r="H904" t="n">
        <v>0</v>
      </c>
      <c r="I904" t="n">
        <v>0</v>
      </c>
      <c r="J904" t="n">
        <v>0</v>
      </c>
      <c r="K904" t="n">
        <v>0</v>
      </c>
      <c r="L904" t="n">
        <v>0</v>
      </c>
      <c r="M904" t="n">
        <v>0</v>
      </c>
      <c r="N904" t="n">
        <v>0</v>
      </c>
      <c r="O904" t="n">
        <v>0</v>
      </c>
      <c r="P904" t="n">
        <v>0</v>
      </c>
      <c r="Q904" t="n">
        <v>0</v>
      </c>
      <c r="R904" s="2" t="inlineStr"/>
    </row>
    <row r="905" ht="15" customHeight="1">
      <c r="A905" t="inlineStr">
        <is>
          <t>A 59509-2025</t>
        </is>
      </c>
      <c r="B905" s="1" t="n">
        <v>45989.64364583333</v>
      </c>
      <c r="C905" s="1" t="n">
        <v>46082</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60709-2024</t>
        </is>
      </c>
      <c r="B906" s="1" t="n">
        <v>45644.50141203704</v>
      </c>
      <c r="C906" s="1" t="n">
        <v>46082</v>
      </c>
      <c r="D906" t="inlineStr">
        <is>
          <t>JÄMTLANDS LÄN</t>
        </is>
      </c>
      <c r="E906" t="inlineStr">
        <is>
          <t>HÄRJEDALEN</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7362-2024</t>
        </is>
      </c>
      <c r="B907" s="1" t="n">
        <v>45345.47642361111</v>
      </c>
      <c r="C907" s="1" t="n">
        <v>46082</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7368-2024</t>
        </is>
      </c>
      <c r="B908" s="1" t="n">
        <v>45345.48181712963</v>
      </c>
      <c r="C908" s="1" t="n">
        <v>46082</v>
      </c>
      <c r="D908" t="inlineStr">
        <is>
          <t>JÄMTLANDS LÄN</t>
        </is>
      </c>
      <c r="E908" t="inlineStr">
        <is>
          <t>HÄRJEDALEN</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7371-2024</t>
        </is>
      </c>
      <c r="B909" s="1" t="n">
        <v>45345.4940625</v>
      </c>
      <c r="C909" s="1" t="n">
        <v>46082</v>
      </c>
      <c r="D909" t="inlineStr">
        <is>
          <t>JÄMTLANDS LÄN</t>
        </is>
      </c>
      <c r="E909" t="inlineStr">
        <is>
          <t>HÄRJEDALEN</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816-2025</t>
        </is>
      </c>
      <c r="B910" s="1" t="n">
        <v>45665.563125</v>
      </c>
      <c r="C910" s="1" t="n">
        <v>46082</v>
      </c>
      <c r="D910" t="inlineStr">
        <is>
          <t>JÄMTLANDS LÄN</t>
        </is>
      </c>
      <c r="E910" t="inlineStr">
        <is>
          <t>HÄRJEDALEN</t>
        </is>
      </c>
      <c r="F910" t="inlineStr">
        <is>
          <t>Bergvik skog väst AB</t>
        </is>
      </c>
      <c r="G910" t="n">
        <v>10.8</v>
      </c>
      <c r="H910" t="n">
        <v>0</v>
      </c>
      <c r="I910" t="n">
        <v>0</v>
      </c>
      <c r="J910" t="n">
        <v>0</v>
      </c>
      <c r="K910" t="n">
        <v>0</v>
      </c>
      <c r="L910" t="n">
        <v>0</v>
      </c>
      <c r="M910" t="n">
        <v>0</v>
      </c>
      <c r="N910" t="n">
        <v>0</v>
      </c>
      <c r="O910" t="n">
        <v>0</v>
      </c>
      <c r="P910" t="n">
        <v>0</v>
      </c>
      <c r="Q910" t="n">
        <v>0</v>
      </c>
      <c r="R910" s="2" t="inlineStr"/>
    </row>
    <row r="911" ht="15" customHeight="1">
      <c r="A911" t="inlineStr">
        <is>
          <t>A 29766-2024</t>
        </is>
      </c>
      <c r="B911" s="1" t="n">
        <v>45485</v>
      </c>
      <c r="C911" s="1" t="n">
        <v>46082</v>
      </c>
      <c r="D911" t="inlineStr">
        <is>
          <t>JÄMTLANDS LÄN</t>
        </is>
      </c>
      <c r="E911" t="inlineStr">
        <is>
          <t>HÄRJEDALEN</t>
        </is>
      </c>
      <c r="G911" t="n">
        <v>2.2</v>
      </c>
      <c r="H911" t="n">
        <v>0</v>
      </c>
      <c r="I911" t="n">
        <v>0</v>
      </c>
      <c r="J911" t="n">
        <v>0</v>
      </c>
      <c r="K911" t="n">
        <v>0</v>
      </c>
      <c r="L911" t="n">
        <v>0</v>
      </c>
      <c r="M911" t="n">
        <v>0</v>
      </c>
      <c r="N911" t="n">
        <v>0</v>
      </c>
      <c r="O911" t="n">
        <v>0</v>
      </c>
      <c r="P911" t="n">
        <v>0</v>
      </c>
      <c r="Q911" t="n">
        <v>0</v>
      </c>
      <c r="R911" s="2" t="inlineStr"/>
    </row>
    <row r="912" ht="15" customHeight="1">
      <c r="A912" t="inlineStr">
        <is>
          <t>A 59496-2025</t>
        </is>
      </c>
      <c r="B912" s="1" t="n">
        <v>45989.61563657408</v>
      </c>
      <c r="C912" s="1" t="n">
        <v>46082</v>
      </c>
      <c r="D912" t="inlineStr">
        <is>
          <t>JÄMTLANDS LÄN</t>
        </is>
      </c>
      <c r="E912" t="inlineStr">
        <is>
          <t>HÄRJEDALEN</t>
        </is>
      </c>
      <c r="G912" t="n">
        <v>1.1</v>
      </c>
      <c r="H912" t="n">
        <v>0</v>
      </c>
      <c r="I912" t="n">
        <v>0</v>
      </c>
      <c r="J912" t="n">
        <v>0</v>
      </c>
      <c r="K912" t="n">
        <v>0</v>
      </c>
      <c r="L912" t="n">
        <v>0</v>
      </c>
      <c r="M912" t="n">
        <v>0</v>
      </c>
      <c r="N912" t="n">
        <v>0</v>
      </c>
      <c r="O912" t="n">
        <v>0</v>
      </c>
      <c r="P912" t="n">
        <v>0</v>
      </c>
      <c r="Q912" t="n">
        <v>0</v>
      </c>
      <c r="R912" s="2" t="inlineStr"/>
    </row>
    <row r="913" ht="15" customHeight="1">
      <c r="A913" t="inlineStr">
        <is>
          <t>A 59507-2025</t>
        </is>
      </c>
      <c r="B913" s="1" t="n">
        <v>45989.64166666667</v>
      </c>
      <c r="C913" s="1" t="n">
        <v>46082</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59360-2025</t>
        </is>
      </c>
      <c r="B914" s="1" t="n">
        <v>45989.42842592593</v>
      </c>
      <c r="C914" s="1" t="n">
        <v>46082</v>
      </c>
      <c r="D914" t="inlineStr">
        <is>
          <t>JÄMTLANDS LÄN</t>
        </is>
      </c>
      <c r="E914" t="inlineStr">
        <is>
          <t>HÄRJEDALEN</t>
        </is>
      </c>
      <c r="G914" t="n">
        <v>3.6</v>
      </c>
      <c r="H914" t="n">
        <v>0</v>
      </c>
      <c r="I914" t="n">
        <v>0</v>
      </c>
      <c r="J914" t="n">
        <v>0</v>
      </c>
      <c r="K914" t="n">
        <v>0</v>
      </c>
      <c r="L914" t="n">
        <v>0</v>
      </c>
      <c r="M914" t="n">
        <v>0</v>
      </c>
      <c r="N914" t="n">
        <v>0</v>
      </c>
      <c r="O914" t="n">
        <v>0</v>
      </c>
      <c r="P914" t="n">
        <v>0</v>
      </c>
      <c r="Q914" t="n">
        <v>0</v>
      </c>
      <c r="R914" s="2" t="inlineStr"/>
    </row>
    <row r="915" ht="15" customHeight="1">
      <c r="A915" t="inlineStr">
        <is>
          <t>A 59364-2025</t>
        </is>
      </c>
      <c r="B915" s="1" t="n">
        <v>45989.4393287037</v>
      </c>
      <c r="C915" s="1" t="n">
        <v>46082</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9784-2024</t>
        </is>
      </c>
      <c r="B916" s="1" t="n">
        <v>45362.67293981482</v>
      </c>
      <c r="C916" s="1" t="n">
        <v>46082</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53386-2024</t>
        </is>
      </c>
      <c r="B917" s="1" t="n">
        <v>45614.47960648148</v>
      </c>
      <c r="C917" s="1" t="n">
        <v>46082</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59430-2025</t>
        </is>
      </c>
      <c r="B918" s="1" t="n">
        <v>45989.54789351852</v>
      </c>
      <c r="C918" s="1" t="n">
        <v>46082</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18389-2021</t>
        </is>
      </c>
      <c r="B919" s="1" t="n">
        <v>44305</v>
      </c>
      <c r="C919" s="1" t="n">
        <v>46082</v>
      </c>
      <c r="D919" t="inlineStr">
        <is>
          <t>JÄMTLANDS LÄN</t>
        </is>
      </c>
      <c r="E919" t="inlineStr">
        <is>
          <t>HÄRJEDALEN</t>
        </is>
      </c>
      <c r="G919" t="n">
        <v>1.3</v>
      </c>
      <c r="H919" t="n">
        <v>0</v>
      </c>
      <c r="I919" t="n">
        <v>0</v>
      </c>
      <c r="J919" t="n">
        <v>0</v>
      </c>
      <c r="K919" t="n">
        <v>0</v>
      </c>
      <c r="L919" t="n">
        <v>0</v>
      </c>
      <c r="M919" t="n">
        <v>0</v>
      </c>
      <c r="N919" t="n">
        <v>0</v>
      </c>
      <c r="O919" t="n">
        <v>0</v>
      </c>
      <c r="P919" t="n">
        <v>0</v>
      </c>
      <c r="Q919" t="n">
        <v>0</v>
      </c>
      <c r="R919" s="2" t="inlineStr"/>
    </row>
    <row r="920" ht="15" customHeight="1">
      <c r="A920" t="inlineStr">
        <is>
          <t>A 59470-2025</t>
        </is>
      </c>
      <c r="B920" s="1" t="n">
        <v>45989.58270833334</v>
      </c>
      <c r="C920" s="1" t="n">
        <v>46082</v>
      </c>
      <c r="D920" t="inlineStr">
        <is>
          <t>JÄMTLANDS LÄN</t>
        </is>
      </c>
      <c r="E920" t="inlineStr">
        <is>
          <t>HÄRJEDALEN</t>
        </is>
      </c>
      <c r="G920" t="n">
        <v>1.9</v>
      </c>
      <c r="H920" t="n">
        <v>0</v>
      </c>
      <c r="I920" t="n">
        <v>0</v>
      </c>
      <c r="J920" t="n">
        <v>0</v>
      </c>
      <c r="K920" t="n">
        <v>0</v>
      </c>
      <c r="L920" t="n">
        <v>0</v>
      </c>
      <c r="M920" t="n">
        <v>0</v>
      </c>
      <c r="N920" t="n">
        <v>0</v>
      </c>
      <c r="O920" t="n">
        <v>0</v>
      </c>
      <c r="P920" t="n">
        <v>0</v>
      </c>
      <c r="Q920" t="n">
        <v>0</v>
      </c>
      <c r="R920" s="2" t="inlineStr"/>
    </row>
    <row r="921" ht="15" customHeight="1">
      <c r="A921" t="inlineStr">
        <is>
          <t>A 59480-2025</t>
        </is>
      </c>
      <c r="B921" s="1" t="n">
        <v>45989.58947916667</v>
      </c>
      <c r="C921" s="1" t="n">
        <v>46082</v>
      </c>
      <c r="D921" t="inlineStr">
        <is>
          <t>JÄMTLANDS LÄN</t>
        </is>
      </c>
      <c r="E921" t="inlineStr">
        <is>
          <t>HÄRJEDALEN</t>
        </is>
      </c>
      <c r="G921" t="n">
        <v>0.7</v>
      </c>
      <c r="H921" t="n">
        <v>0</v>
      </c>
      <c r="I921" t="n">
        <v>0</v>
      </c>
      <c r="J921" t="n">
        <v>0</v>
      </c>
      <c r="K921" t="n">
        <v>0</v>
      </c>
      <c r="L921" t="n">
        <v>0</v>
      </c>
      <c r="M921" t="n">
        <v>0</v>
      </c>
      <c r="N921" t="n">
        <v>0</v>
      </c>
      <c r="O921" t="n">
        <v>0</v>
      </c>
      <c r="P921" t="n">
        <v>0</v>
      </c>
      <c r="Q921" t="n">
        <v>0</v>
      </c>
      <c r="R921" s="2" t="inlineStr"/>
    </row>
    <row r="922" ht="15" customHeight="1">
      <c r="A922" t="inlineStr">
        <is>
          <t>A 59608-2025</t>
        </is>
      </c>
      <c r="B922" s="1" t="n">
        <v>45992.3653587963</v>
      </c>
      <c r="C922" s="1" t="n">
        <v>46082</v>
      </c>
      <c r="D922" t="inlineStr">
        <is>
          <t>JÄMTLANDS LÄN</t>
        </is>
      </c>
      <c r="E922" t="inlineStr">
        <is>
          <t>HÄRJEDALEN</t>
        </is>
      </c>
      <c r="G922" t="n">
        <v>12.2</v>
      </c>
      <c r="H922" t="n">
        <v>0</v>
      </c>
      <c r="I922" t="n">
        <v>0</v>
      </c>
      <c r="J922" t="n">
        <v>0</v>
      </c>
      <c r="K922" t="n">
        <v>0</v>
      </c>
      <c r="L922" t="n">
        <v>0</v>
      </c>
      <c r="M922" t="n">
        <v>0</v>
      </c>
      <c r="N922" t="n">
        <v>0</v>
      </c>
      <c r="O922" t="n">
        <v>0</v>
      </c>
      <c r="P922" t="n">
        <v>0</v>
      </c>
      <c r="Q922" t="n">
        <v>0</v>
      </c>
      <c r="R922" s="2" t="inlineStr"/>
    </row>
    <row r="923" ht="15" customHeight="1">
      <c r="A923" t="inlineStr">
        <is>
          <t>A 30404-2024</t>
        </is>
      </c>
      <c r="B923" s="1" t="n">
        <v>45491.5859375</v>
      </c>
      <c r="C923" s="1" t="n">
        <v>46082</v>
      </c>
      <c r="D923" t="inlineStr">
        <is>
          <t>JÄMTLANDS LÄN</t>
        </is>
      </c>
      <c r="E923" t="inlineStr">
        <is>
          <t>HÄRJEDALEN</t>
        </is>
      </c>
      <c r="G923" t="n">
        <v>2</v>
      </c>
      <c r="H923" t="n">
        <v>0</v>
      </c>
      <c r="I923" t="n">
        <v>0</v>
      </c>
      <c r="J923" t="n">
        <v>0</v>
      </c>
      <c r="K923" t="n">
        <v>0</v>
      </c>
      <c r="L923" t="n">
        <v>0</v>
      </c>
      <c r="M923" t="n">
        <v>0</v>
      </c>
      <c r="N923" t="n">
        <v>0</v>
      </c>
      <c r="O923" t="n">
        <v>0</v>
      </c>
      <c r="P923" t="n">
        <v>0</v>
      </c>
      <c r="Q923" t="n">
        <v>0</v>
      </c>
      <c r="R923" s="2" t="inlineStr"/>
    </row>
    <row r="924" ht="15" customHeight="1">
      <c r="A924" t="inlineStr">
        <is>
          <t>A 32962-2024</t>
        </is>
      </c>
      <c r="B924" s="1" t="n">
        <v>45517.38320601852</v>
      </c>
      <c r="C924" s="1" t="n">
        <v>46082</v>
      </c>
      <c r="D924" t="inlineStr">
        <is>
          <t>JÄMTLANDS LÄN</t>
        </is>
      </c>
      <c r="E924" t="inlineStr">
        <is>
          <t>HÄRJEDALEN</t>
        </is>
      </c>
      <c r="G924" t="n">
        <v>7</v>
      </c>
      <c r="H924" t="n">
        <v>0</v>
      </c>
      <c r="I924" t="n">
        <v>0</v>
      </c>
      <c r="J924" t="n">
        <v>0</v>
      </c>
      <c r="K924" t="n">
        <v>0</v>
      </c>
      <c r="L924" t="n">
        <v>0</v>
      </c>
      <c r="M924" t="n">
        <v>0</v>
      </c>
      <c r="N924" t="n">
        <v>0</v>
      </c>
      <c r="O924" t="n">
        <v>0</v>
      </c>
      <c r="P924" t="n">
        <v>0</v>
      </c>
      <c r="Q924" t="n">
        <v>0</v>
      </c>
      <c r="R924" s="2" t="inlineStr"/>
    </row>
    <row r="925" ht="15" customHeight="1">
      <c r="A925" t="inlineStr">
        <is>
          <t>A 59981-2025</t>
        </is>
      </c>
      <c r="B925" s="1" t="n">
        <v>45993.53554398148</v>
      </c>
      <c r="C925" s="1" t="n">
        <v>46082</v>
      </c>
      <c r="D925" t="inlineStr">
        <is>
          <t>JÄMTLANDS LÄN</t>
        </is>
      </c>
      <c r="E925" t="inlineStr">
        <is>
          <t>HÄRJEDALEN</t>
        </is>
      </c>
      <c r="G925" t="n">
        <v>4.5</v>
      </c>
      <c r="H925" t="n">
        <v>0</v>
      </c>
      <c r="I925" t="n">
        <v>0</v>
      </c>
      <c r="J925" t="n">
        <v>0</v>
      </c>
      <c r="K925" t="n">
        <v>0</v>
      </c>
      <c r="L925" t="n">
        <v>0</v>
      </c>
      <c r="M925" t="n">
        <v>0</v>
      </c>
      <c r="N925" t="n">
        <v>0</v>
      </c>
      <c r="O925" t="n">
        <v>0</v>
      </c>
      <c r="P925" t="n">
        <v>0</v>
      </c>
      <c r="Q925" t="n">
        <v>0</v>
      </c>
      <c r="R925" s="2" t="inlineStr"/>
    </row>
    <row r="926" ht="15" customHeight="1">
      <c r="A926" t="inlineStr">
        <is>
          <t>A 60080-2025</t>
        </is>
      </c>
      <c r="B926" s="1" t="n">
        <v>45993.69013888889</v>
      </c>
      <c r="C926" s="1" t="n">
        <v>46082</v>
      </c>
      <c r="D926" t="inlineStr">
        <is>
          <t>JÄMTLANDS LÄN</t>
        </is>
      </c>
      <c r="E926" t="inlineStr">
        <is>
          <t>HÄRJEDALEN</t>
        </is>
      </c>
      <c r="F926" t="inlineStr">
        <is>
          <t>Bergvik skog väst AB</t>
        </is>
      </c>
      <c r="G926" t="n">
        <v>12.1</v>
      </c>
      <c r="H926" t="n">
        <v>0</v>
      </c>
      <c r="I926" t="n">
        <v>0</v>
      </c>
      <c r="J926" t="n">
        <v>0</v>
      </c>
      <c r="K926" t="n">
        <v>0</v>
      </c>
      <c r="L926" t="n">
        <v>0</v>
      </c>
      <c r="M926" t="n">
        <v>0</v>
      </c>
      <c r="N926" t="n">
        <v>0</v>
      </c>
      <c r="O926" t="n">
        <v>0</v>
      </c>
      <c r="P926" t="n">
        <v>0</v>
      </c>
      <c r="Q926" t="n">
        <v>0</v>
      </c>
      <c r="R926" s="2" t="inlineStr"/>
    </row>
    <row r="927" ht="15" customHeight="1">
      <c r="A927" t="inlineStr">
        <is>
          <t>A 60752-2024</t>
        </is>
      </c>
      <c r="B927" s="1" t="n">
        <v>45644.56674768519</v>
      </c>
      <c r="C927" s="1" t="n">
        <v>46082</v>
      </c>
      <c r="D927" t="inlineStr">
        <is>
          <t>JÄMTLANDS LÄN</t>
        </is>
      </c>
      <c r="E927" t="inlineStr">
        <is>
          <t>HÄRJEDALEN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60674-2025</t>
        </is>
      </c>
      <c r="B928" s="1" t="n">
        <v>45996.55619212963</v>
      </c>
      <c r="C928" s="1" t="n">
        <v>46082</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29749-2024</t>
        </is>
      </c>
      <c r="B929" s="1" t="n">
        <v>45485.42287037037</v>
      </c>
      <c r="C929" s="1" t="n">
        <v>46082</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29768-2024</t>
        </is>
      </c>
      <c r="B930" s="1" t="n">
        <v>45485.44258101852</v>
      </c>
      <c r="C930" s="1" t="n">
        <v>46082</v>
      </c>
      <c r="D930" t="inlineStr">
        <is>
          <t>JÄMTLANDS LÄN</t>
        </is>
      </c>
      <c r="E930" t="inlineStr">
        <is>
          <t>HÄRJEDALEN</t>
        </is>
      </c>
      <c r="F930" t="inlineStr">
        <is>
          <t>Holmen skog AB</t>
        </is>
      </c>
      <c r="G930" t="n">
        <v>11.1</v>
      </c>
      <c r="H930" t="n">
        <v>0</v>
      </c>
      <c r="I930" t="n">
        <v>0</v>
      </c>
      <c r="J930" t="n">
        <v>0</v>
      </c>
      <c r="K930" t="n">
        <v>0</v>
      </c>
      <c r="L930" t="n">
        <v>0</v>
      </c>
      <c r="M930" t="n">
        <v>0</v>
      </c>
      <c r="N930" t="n">
        <v>0</v>
      </c>
      <c r="O930" t="n">
        <v>0</v>
      </c>
      <c r="P930" t="n">
        <v>0</v>
      </c>
      <c r="Q930" t="n">
        <v>0</v>
      </c>
      <c r="R930" s="2" t="inlineStr"/>
    </row>
    <row r="931" ht="15" customHeight="1">
      <c r="A931" t="inlineStr">
        <is>
          <t>A 60602-2025</t>
        </is>
      </c>
      <c r="B931" s="1" t="n">
        <v>45996.3533912037</v>
      </c>
      <c r="C931" s="1" t="n">
        <v>46082</v>
      </c>
      <c r="D931" t="inlineStr">
        <is>
          <t>JÄMTLANDS LÄN</t>
        </is>
      </c>
      <c r="E931" t="inlineStr">
        <is>
          <t>HÄRJEDALEN</t>
        </is>
      </c>
      <c r="G931" t="n">
        <v>3.7</v>
      </c>
      <c r="H931" t="n">
        <v>0</v>
      </c>
      <c r="I931" t="n">
        <v>0</v>
      </c>
      <c r="J931" t="n">
        <v>0</v>
      </c>
      <c r="K931" t="n">
        <v>0</v>
      </c>
      <c r="L931" t="n">
        <v>0</v>
      </c>
      <c r="M931" t="n">
        <v>0</v>
      </c>
      <c r="N931" t="n">
        <v>0</v>
      </c>
      <c r="O931" t="n">
        <v>0</v>
      </c>
      <c r="P931" t="n">
        <v>0</v>
      </c>
      <c r="Q931" t="n">
        <v>0</v>
      </c>
      <c r="R931" s="2" t="inlineStr"/>
    </row>
    <row r="932" ht="15" customHeight="1">
      <c r="A932" t="inlineStr">
        <is>
          <t>A 60413-2025</t>
        </is>
      </c>
      <c r="B932" s="1" t="n">
        <v>45995.44887731481</v>
      </c>
      <c r="C932" s="1" t="n">
        <v>46082</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60547-2025</t>
        </is>
      </c>
      <c r="B933" s="1" t="n">
        <v>45995.70358796296</v>
      </c>
      <c r="C933" s="1" t="n">
        <v>46082</v>
      </c>
      <c r="D933" t="inlineStr">
        <is>
          <t>JÄMTLANDS LÄN</t>
        </is>
      </c>
      <c r="E933" t="inlineStr">
        <is>
          <t>HÄRJEDALEN</t>
        </is>
      </c>
      <c r="G933" t="n">
        <v>7.9</v>
      </c>
      <c r="H933" t="n">
        <v>0</v>
      </c>
      <c r="I933" t="n">
        <v>0</v>
      </c>
      <c r="J933" t="n">
        <v>0</v>
      </c>
      <c r="K933" t="n">
        <v>0</v>
      </c>
      <c r="L933" t="n">
        <v>0</v>
      </c>
      <c r="M933" t="n">
        <v>0</v>
      </c>
      <c r="N933" t="n">
        <v>0</v>
      </c>
      <c r="O933" t="n">
        <v>0</v>
      </c>
      <c r="P933" t="n">
        <v>0</v>
      </c>
      <c r="Q933" t="n">
        <v>0</v>
      </c>
      <c r="R933" s="2" t="inlineStr"/>
    </row>
    <row r="934" ht="15" customHeight="1">
      <c r="A934" t="inlineStr">
        <is>
          <t>A 60568-2025</t>
        </is>
      </c>
      <c r="B934" s="1" t="n">
        <v>45995.84627314815</v>
      </c>
      <c r="C934" s="1" t="n">
        <v>46082</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60605-2025</t>
        </is>
      </c>
      <c r="B935" s="1" t="n">
        <v>45996.359375</v>
      </c>
      <c r="C935" s="1" t="n">
        <v>46082</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37719-2023</t>
        </is>
      </c>
      <c r="B936" s="1" t="n">
        <v>45159.60288194445</v>
      </c>
      <c r="C936" s="1" t="n">
        <v>46082</v>
      </c>
      <c r="D936" t="inlineStr">
        <is>
          <t>JÄMTLANDS LÄN</t>
        </is>
      </c>
      <c r="E936" t="inlineStr">
        <is>
          <t>HÄRJEDALEN</t>
        </is>
      </c>
      <c r="G936" t="n">
        <v>2.3</v>
      </c>
      <c r="H936" t="n">
        <v>0</v>
      </c>
      <c r="I936" t="n">
        <v>0</v>
      </c>
      <c r="J936" t="n">
        <v>0</v>
      </c>
      <c r="K936" t="n">
        <v>0</v>
      </c>
      <c r="L936" t="n">
        <v>0</v>
      </c>
      <c r="M936" t="n">
        <v>0</v>
      </c>
      <c r="N936" t="n">
        <v>0</v>
      </c>
      <c r="O936" t="n">
        <v>0</v>
      </c>
      <c r="P936" t="n">
        <v>0</v>
      </c>
      <c r="Q936" t="n">
        <v>0</v>
      </c>
      <c r="R936" s="2" t="inlineStr"/>
    </row>
    <row r="937" ht="15" customHeight="1">
      <c r="A937" t="inlineStr">
        <is>
          <t>A 51223-2024</t>
        </is>
      </c>
      <c r="B937" s="1" t="n">
        <v>45603</v>
      </c>
      <c r="C937" s="1" t="n">
        <v>46082</v>
      </c>
      <c r="D937" t="inlineStr">
        <is>
          <t>JÄMTLANDS LÄN</t>
        </is>
      </c>
      <c r="E937" t="inlineStr">
        <is>
          <t>HÄRJEDALEN</t>
        </is>
      </c>
      <c r="F937" t="inlineStr">
        <is>
          <t>Holmen skog AB</t>
        </is>
      </c>
      <c r="G937" t="n">
        <v>6.1</v>
      </c>
      <c r="H937" t="n">
        <v>0</v>
      </c>
      <c r="I937" t="n">
        <v>0</v>
      </c>
      <c r="J937" t="n">
        <v>0</v>
      </c>
      <c r="K937" t="n">
        <v>0</v>
      </c>
      <c r="L937" t="n">
        <v>0</v>
      </c>
      <c r="M937" t="n">
        <v>0</v>
      </c>
      <c r="N937" t="n">
        <v>0</v>
      </c>
      <c r="O937" t="n">
        <v>0</v>
      </c>
      <c r="P937" t="n">
        <v>0</v>
      </c>
      <c r="Q937" t="n">
        <v>0</v>
      </c>
      <c r="R937" s="2" t="inlineStr"/>
    </row>
    <row r="938" ht="15" customHeight="1">
      <c r="A938" t="inlineStr">
        <is>
          <t>A 55859-2024</t>
        </is>
      </c>
      <c r="B938" s="1" t="n">
        <v>45622</v>
      </c>
      <c r="C938" s="1" t="n">
        <v>46082</v>
      </c>
      <c r="D938" t="inlineStr">
        <is>
          <t>JÄMTLANDS LÄN</t>
        </is>
      </c>
      <c r="E938" t="inlineStr">
        <is>
          <t>HÄRJEDALEN</t>
        </is>
      </c>
      <c r="F938" t="inlineStr">
        <is>
          <t>Bergvik skog väst AB</t>
        </is>
      </c>
      <c r="G938" t="n">
        <v>28.1</v>
      </c>
      <c r="H938" t="n">
        <v>0</v>
      </c>
      <c r="I938" t="n">
        <v>0</v>
      </c>
      <c r="J938" t="n">
        <v>0</v>
      </c>
      <c r="K938" t="n">
        <v>0</v>
      </c>
      <c r="L938" t="n">
        <v>0</v>
      </c>
      <c r="M938" t="n">
        <v>0</v>
      </c>
      <c r="N938" t="n">
        <v>0</v>
      </c>
      <c r="O938" t="n">
        <v>0</v>
      </c>
      <c r="P938" t="n">
        <v>0</v>
      </c>
      <c r="Q938" t="n">
        <v>0</v>
      </c>
      <c r="R938" s="2" t="inlineStr"/>
    </row>
    <row r="939" ht="15" customHeight="1">
      <c r="A939" t="inlineStr">
        <is>
          <t>A 60581-2025</t>
        </is>
      </c>
      <c r="B939" s="1" t="n">
        <v>45996.33150462963</v>
      </c>
      <c r="C939" s="1" t="n">
        <v>46082</v>
      </c>
      <c r="D939" t="inlineStr">
        <is>
          <t>JÄMTLANDS LÄN</t>
        </is>
      </c>
      <c r="E939" t="inlineStr">
        <is>
          <t>HÄRJEDALEN</t>
        </is>
      </c>
      <c r="G939" t="n">
        <v>6.1</v>
      </c>
      <c r="H939" t="n">
        <v>0</v>
      </c>
      <c r="I939" t="n">
        <v>0</v>
      </c>
      <c r="J939" t="n">
        <v>0</v>
      </c>
      <c r="K939" t="n">
        <v>0</v>
      </c>
      <c r="L939" t="n">
        <v>0</v>
      </c>
      <c r="M939" t="n">
        <v>0</v>
      </c>
      <c r="N939" t="n">
        <v>0</v>
      </c>
      <c r="O939" t="n">
        <v>0</v>
      </c>
      <c r="P939" t="n">
        <v>0</v>
      </c>
      <c r="Q939" t="n">
        <v>0</v>
      </c>
      <c r="R939" s="2" t="inlineStr"/>
    </row>
    <row r="940" ht="15" customHeight="1">
      <c r="A940" t="inlineStr">
        <is>
          <t>A 60588-2025</t>
        </is>
      </c>
      <c r="B940" s="1" t="n">
        <v>45996.33506944445</v>
      </c>
      <c r="C940" s="1" t="n">
        <v>46082</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60615-2025</t>
        </is>
      </c>
      <c r="B941" s="1" t="n">
        <v>45996.36813657408</v>
      </c>
      <c r="C941" s="1" t="n">
        <v>46082</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60494-2025</t>
        </is>
      </c>
      <c r="B942" s="1" t="n">
        <v>45995.61195601852</v>
      </c>
      <c r="C942" s="1" t="n">
        <v>46082</v>
      </c>
      <c r="D942" t="inlineStr">
        <is>
          <t>JÄMTLANDS LÄN</t>
        </is>
      </c>
      <c r="E942" t="inlineStr">
        <is>
          <t>HÄRJEDALEN</t>
        </is>
      </c>
      <c r="F942" t="inlineStr">
        <is>
          <t>Bergvik skog väst AB</t>
        </is>
      </c>
      <c r="G942" t="n">
        <v>46.5</v>
      </c>
      <c r="H942" t="n">
        <v>0</v>
      </c>
      <c r="I942" t="n">
        <v>0</v>
      </c>
      <c r="J942" t="n">
        <v>0</v>
      </c>
      <c r="K942" t="n">
        <v>0</v>
      </c>
      <c r="L942" t="n">
        <v>0</v>
      </c>
      <c r="M942" t="n">
        <v>0</v>
      </c>
      <c r="N942" t="n">
        <v>0</v>
      </c>
      <c r="O942" t="n">
        <v>0</v>
      </c>
      <c r="P942" t="n">
        <v>0</v>
      </c>
      <c r="Q942" t="n">
        <v>0</v>
      </c>
      <c r="R942" s="2" t="inlineStr"/>
    </row>
    <row r="943" ht="15" customHeight="1">
      <c r="A943" t="inlineStr">
        <is>
          <t>A 53958-2025</t>
        </is>
      </c>
      <c r="B943" s="1" t="n">
        <v>45961</v>
      </c>
      <c r="C943" s="1" t="n">
        <v>46082</v>
      </c>
      <c r="D943" t="inlineStr">
        <is>
          <t>JÄMTLANDS LÄN</t>
        </is>
      </c>
      <c r="E943" t="inlineStr">
        <is>
          <t>HÄRJEDALEN</t>
        </is>
      </c>
      <c r="G943" t="n">
        <v>6.6</v>
      </c>
      <c r="H943" t="n">
        <v>0</v>
      </c>
      <c r="I943" t="n">
        <v>0</v>
      </c>
      <c r="J943" t="n">
        <v>0</v>
      </c>
      <c r="K943" t="n">
        <v>0</v>
      </c>
      <c r="L943" t="n">
        <v>0</v>
      </c>
      <c r="M943" t="n">
        <v>0</v>
      </c>
      <c r="N943" t="n">
        <v>0</v>
      </c>
      <c r="O943" t="n">
        <v>0</v>
      </c>
      <c r="P943" t="n">
        <v>0</v>
      </c>
      <c r="Q943" t="n">
        <v>0</v>
      </c>
      <c r="R943" s="2" t="inlineStr"/>
    </row>
    <row r="944" ht="15" customHeight="1">
      <c r="A944" t="inlineStr">
        <is>
          <t>A 60412-2025</t>
        </is>
      </c>
      <c r="B944" s="1" t="n">
        <v>45995.44881944444</v>
      </c>
      <c r="C944" s="1" t="n">
        <v>46082</v>
      </c>
      <c r="D944" t="inlineStr">
        <is>
          <t>JÄMTLANDS LÄN</t>
        </is>
      </c>
      <c r="E944" t="inlineStr">
        <is>
          <t>HÄRJEDALEN</t>
        </is>
      </c>
      <c r="G944" t="n">
        <v>10</v>
      </c>
      <c r="H944" t="n">
        <v>0</v>
      </c>
      <c r="I944" t="n">
        <v>0</v>
      </c>
      <c r="J944" t="n">
        <v>0</v>
      </c>
      <c r="K944" t="n">
        <v>0</v>
      </c>
      <c r="L944" t="n">
        <v>0</v>
      </c>
      <c r="M944" t="n">
        <v>0</v>
      </c>
      <c r="N944" t="n">
        <v>0</v>
      </c>
      <c r="O944" t="n">
        <v>0</v>
      </c>
      <c r="P944" t="n">
        <v>0</v>
      </c>
      <c r="Q944" t="n">
        <v>0</v>
      </c>
      <c r="R944" s="2" t="inlineStr"/>
    </row>
    <row r="945" ht="15" customHeight="1">
      <c r="A945" t="inlineStr">
        <is>
          <t>A 63741-2025</t>
        </is>
      </c>
      <c r="B945" s="1" t="n">
        <v>46015</v>
      </c>
      <c r="C945" s="1" t="n">
        <v>46082</v>
      </c>
      <c r="D945" t="inlineStr">
        <is>
          <t>JÄMTLANDS LÄN</t>
        </is>
      </c>
      <c r="E945" t="inlineStr">
        <is>
          <t>HÄRJEDALEN</t>
        </is>
      </c>
      <c r="G945" t="n">
        <v>21.3</v>
      </c>
      <c r="H945" t="n">
        <v>0</v>
      </c>
      <c r="I945" t="n">
        <v>0</v>
      </c>
      <c r="J945" t="n">
        <v>0</v>
      </c>
      <c r="K945" t="n">
        <v>0</v>
      </c>
      <c r="L945" t="n">
        <v>0</v>
      </c>
      <c r="M945" t="n">
        <v>0</v>
      </c>
      <c r="N945" t="n">
        <v>0</v>
      </c>
      <c r="O945" t="n">
        <v>0</v>
      </c>
      <c r="P945" t="n">
        <v>0</v>
      </c>
      <c r="Q945" t="n">
        <v>0</v>
      </c>
      <c r="R945" s="2" t="inlineStr"/>
    </row>
    <row r="946" ht="15" customHeight="1">
      <c r="A946" t="inlineStr">
        <is>
          <t>A 52565-2023</t>
        </is>
      </c>
      <c r="B946" s="1" t="n">
        <v>45225.58005787037</v>
      </c>
      <c r="C946" s="1" t="n">
        <v>46082</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61240-2025</t>
        </is>
      </c>
      <c r="B947" s="1" t="n">
        <v>46000.65603009259</v>
      </c>
      <c r="C947" s="1" t="n">
        <v>46082</v>
      </c>
      <c r="D947" t="inlineStr">
        <is>
          <t>JÄMTLANDS LÄN</t>
        </is>
      </c>
      <c r="E947" t="inlineStr">
        <is>
          <t>HÄRJEDALEN</t>
        </is>
      </c>
      <c r="F947" t="inlineStr">
        <is>
          <t>Holmen skog AB</t>
        </is>
      </c>
      <c r="G947" t="n">
        <v>2.1</v>
      </c>
      <c r="H947" t="n">
        <v>0</v>
      </c>
      <c r="I947" t="n">
        <v>0</v>
      </c>
      <c r="J947" t="n">
        <v>0</v>
      </c>
      <c r="K947" t="n">
        <v>0</v>
      </c>
      <c r="L947" t="n">
        <v>0</v>
      </c>
      <c r="M947" t="n">
        <v>0</v>
      </c>
      <c r="N947" t="n">
        <v>0</v>
      </c>
      <c r="O947" t="n">
        <v>0</v>
      </c>
      <c r="P947" t="n">
        <v>0</v>
      </c>
      <c r="Q947" t="n">
        <v>0</v>
      </c>
      <c r="R947" s="2" t="inlineStr"/>
    </row>
    <row r="948" ht="15" customHeight="1">
      <c r="A948" t="inlineStr">
        <is>
          <t>A 60904-2025</t>
        </is>
      </c>
      <c r="B948" s="1" t="n">
        <v>45999.59417824074</v>
      </c>
      <c r="C948" s="1" t="n">
        <v>46082</v>
      </c>
      <c r="D948" t="inlineStr">
        <is>
          <t>JÄMTLANDS LÄN</t>
        </is>
      </c>
      <c r="E948" t="inlineStr">
        <is>
          <t>HÄRJEDALEN</t>
        </is>
      </c>
      <c r="G948" t="n">
        <v>11.3</v>
      </c>
      <c r="H948" t="n">
        <v>0</v>
      </c>
      <c r="I948" t="n">
        <v>0</v>
      </c>
      <c r="J948" t="n">
        <v>0</v>
      </c>
      <c r="K948" t="n">
        <v>0</v>
      </c>
      <c r="L948" t="n">
        <v>0</v>
      </c>
      <c r="M948" t="n">
        <v>0</v>
      </c>
      <c r="N948" t="n">
        <v>0</v>
      </c>
      <c r="O948" t="n">
        <v>0</v>
      </c>
      <c r="P948" t="n">
        <v>0</v>
      </c>
      <c r="Q948" t="n">
        <v>0</v>
      </c>
      <c r="R948" s="2" t="inlineStr"/>
    </row>
    <row r="949" ht="15" customHeight="1">
      <c r="A949" t="inlineStr">
        <is>
          <t>A 16535-2024</t>
        </is>
      </c>
      <c r="B949" s="1" t="n">
        <v>45408</v>
      </c>
      <c r="C949" s="1" t="n">
        <v>46082</v>
      </c>
      <c r="D949" t="inlineStr">
        <is>
          <t>JÄMTLANDS LÄN</t>
        </is>
      </c>
      <c r="E949" t="inlineStr">
        <is>
          <t>HÄRJEDALEN</t>
        </is>
      </c>
      <c r="G949" t="n">
        <v>3.7</v>
      </c>
      <c r="H949" t="n">
        <v>0</v>
      </c>
      <c r="I949" t="n">
        <v>0</v>
      </c>
      <c r="J949" t="n">
        <v>0</v>
      </c>
      <c r="K949" t="n">
        <v>0</v>
      </c>
      <c r="L949" t="n">
        <v>0</v>
      </c>
      <c r="M949" t="n">
        <v>0</v>
      </c>
      <c r="N949" t="n">
        <v>0</v>
      </c>
      <c r="O949" t="n">
        <v>0</v>
      </c>
      <c r="P949" t="n">
        <v>0</v>
      </c>
      <c r="Q949" t="n">
        <v>0</v>
      </c>
      <c r="R949" s="2" t="inlineStr"/>
    </row>
    <row r="950" ht="15" customHeight="1">
      <c r="A950" t="inlineStr">
        <is>
          <t>A 62134-2024</t>
        </is>
      </c>
      <c r="B950" s="1" t="n">
        <v>45646</v>
      </c>
      <c r="C950" s="1" t="n">
        <v>46082</v>
      </c>
      <c r="D950" t="inlineStr">
        <is>
          <t>JÄMTLANDS LÄN</t>
        </is>
      </c>
      <c r="E950" t="inlineStr">
        <is>
          <t>HÄRJEDALEN</t>
        </is>
      </c>
      <c r="G950" t="n">
        <v>13.1</v>
      </c>
      <c r="H950" t="n">
        <v>0</v>
      </c>
      <c r="I950" t="n">
        <v>0</v>
      </c>
      <c r="J950" t="n">
        <v>0</v>
      </c>
      <c r="K950" t="n">
        <v>0</v>
      </c>
      <c r="L950" t="n">
        <v>0</v>
      </c>
      <c r="M950" t="n">
        <v>0</v>
      </c>
      <c r="N950" t="n">
        <v>0</v>
      </c>
      <c r="O950" t="n">
        <v>0</v>
      </c>
      <c r="P950" t="n">
        <v>0</v>
      </c>
      <c r="Q950" t="n">
        <v>0</v>
      </c>
      <c r="R950" s="2" t="inlineStr"/>
    </row>
    <row r="951" ht="15" customHeight="1">
      <c r="A951" t="inlineStr">
        <is>
          <t>A 60777-2025</t>
        </is>
      </c>
      <c r="B951" s="1" t="n">
        <v>45999.39118055555</v>
      </c>
      <c r="C951" s="1" t="n">
        <v>46082</v>
      </c>
      <c r="D951" t="inlineStr">
        <is>
          <t>JÄMTLANDS LÄN</t>
        </is>
      </c>
      <c r="E951" t="inlineStr">
        <is>
          <t>HÄRJEDALEN</t>
        </is>
      </c>
      <c r="F951" t="inlineStr">
        <is>
          <t>Bergvik skog väst AB</t>
        </is>
      </c>
      <c r="G951" t="n">
        <v>3.5</v>
      </c>
      <c r="H951" t="n">
        <v>0</v>
      </c>
      <c r="I951" t="n">
        <v>0</v>
      </c>
      <c r="J951" t="n">
        <v>0</v>
      </c>
      <c r="K951" t="n">
        <v>0</v>
      </c>
      <c r="L951" t="n">
        <v>0</v>
      </c>
      <c r="M951" t="n">
        <v>0</v>
      </c>
      <c r="N951" t="n">
        <v>0</v>
      </c>
      <c r="O951" t="n">
        <v>0</v>
      </c>
      <c r="P951" t="n">
        <v>0</v>
      </c>
      <c r="Q951" t="n">
        <v>0</v>
      </c>
      <c r="R951" s="2" t="inlineStr"/>
    </row>
    <row r="952" ht="15" customHeight="1">
      <c r="A952" t="inlineStr">
        <is>
          <t>A 8178-2024</t>
        </is>
      </c>
      <c r="B952" s="1" t="n">
        <v>45350</v>
      </c>
      <c r="C952" s="1" t="n">
        <v>46082</v>
      </c>
      <c r="D952" t="inlineStr">
        <is>
          <t>JÄMTLANDS LÄN</t>
        </is>
      </c>
      <c r="E952" t="inlineStr">
        <is>
          <t>HÄRJEDALEN</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8215-2024</t>
        </is>
      </c>
      <c r="B953" s="1" t="n">
        <v>45351</v>
      </c>
      <c r="C953" s="1" t="n">
        <v>46082</v>
      </c>
      <c r="D953" t="inlineStr">
        <is>
          <t>JÄMTLANDS LÄN</t>
        </is>
      </c>
      <c r="E953" t="inlineStr">
        <is>
          <t>HÄRJEDALEN</t>
        </is>
      </c>
      <c r="G953" t="n">
        <v>49.2</v>
      </c>
      <c r="H953" t="n">
        <v>0</v>
      </c>
      <c r="I953" t="n">
        <v>0</v>
      </c>
      <c r="J953" t="n">
        <v>0</v>
      </c>
      <c r="K953" t="n">
        <v>0</v>
      </c>
      <c r="L953" t="n">
        <v>0</v>
      </c>
      <c r="M953" t="n">
        <v>0</v>
      </c>
      <c r="N953" t="n">
        <v>0</v>
      </c>
      <c r="O953" t="n">
        <v>0</v>
      </c>
      <c r="P953" t="n">
        <v>0</v>
      </c>
      <c r="Q953" t="n">
        <v>0</v>
      </c>
      <c r="R953" s="2" t="inlineStr"/>
    </row>
    <row r="954" ht="15" customHeight="1">
      <c r="A954" t="inlineStr">
        <is>
          <t>A 3301-2026</t>
        </is>
      </c>
      <c r="B954" s="1" t="n">
        <v>46041.65736111111</v>
      </c>
      <c r="C954" s="1" t="n">
        <v>46082</v>
      </c>
      <c r="D954" t="inlineStr">
        <is>
          <t>JÄMTLANDS LÄN</t>
        </is>
      </c>
      <c r="E954" t="inlineStr">
        <is>
          <t>HÄRJEDALEN</t>
        </is>
      </c>
      <c r="G954" t="n">
        <v>5.1</v>
      </c>
      <c r="H954" t="n">
        <v>0</v>
      </c>
      <c r="I954" t="n">
        <v>0</v>
      </c>
      <c r="J954" t="n">
        <v>0</v>
      </c>
      <c r="K954" t="n">
        <v>0</v>
      </c>
      <c r="L954" t="n">
        <v>0</v>
      </c>
      <c r="M954" t="n">
        <v>0</v>
      </c>
      <c r="N954" t="n">
        <v>0</v>
      </c>
      <c r="O954" t="n">
        <v>0</v>
      </c>
      <c r="P954" t="n">
        <v>0</v>
      </c>
      <c r="Q954" t="n">
        <v>0</v>
      </c>
      <c r="R954" s="2" t="inlineStr"/>
    </row>
    <row r="955" ht="15" customHeight="1">
      <c r="A955" t="inlineStr">
        <is>
          <t>A 60980-2025</t>
        </is>
      </c>
      <c r="B955" s="1" t="n">
        <v>45999.70190972222</v>
      </c>
      <c r="C955" s="1" t="n">
        <v>46082</v>
      </c>
      <c r="D955" t="inlineStr">
        <is>
          <t>JÄMTLANDS LÄN</t>
        </is>
      </c>
      <c r="E955" t="inlineStr">
        <is>
          <t>HÄRJEDALEN</t>
        </is>
      </c>
      <c r="G955" t="n">
        <v>10.3</v>
      </c>
      <c r="H955" t="n">
        <v>0</v>
      </c>
      <c r="I955" t="n">
        <v>0</v>
      </c>
      <c r="J955" t="n">
        <v>0</v>
      </c>
      <c r="K955" t="n">
        <v>0</v>
      </c>
      <c r="L955" t="n">
        <v>0</v>
      </c>
      <c r="M955" t="n">
        <v>0</v>
      </c>
      <c r="N955" t="n">
        <v>0</v>
      </c>
      <c r="O955" t="n">
        <v>0</v>
      </c>
      <c r="P955" t="n">
        <v>0</v>
      </c>
      <c r="Q955" t="n">
        <v>0</v>
      </c>
      <c r="R955" s="2" t="inlineStr"/>
    </row>
    <row r="956" ht="15" customHeight="1">
      <c r="A956" t="inlineStr">
        <is>
          <t>A 7311-2024</t>
        </is>
      </c>
      <c r="B956" s="1" t="n">
        <v>45345.34219907408</v>
      </c>
      <c r="C956" s="1" t="n">
        <v>46082</v>
      </c>
      <c r="D956" t="inlineStr">
        <is>
          <t>JÄMTLANDS LÄN</t>
        </is>
      </c>
      <c r="E956" t="inlineStr">
        <is>
          <t>HÄRJEDALEN</t>
        </is>
      </c>
      <c r="F956" t="inlineStr">
        <is>
          <t>Holmen skog AB</t>
        </is>
      </c>
      <c r="G956" t="n">
        <v>3.7</v>
      </c>
      <c r="H956" t="n">
        <v>0</v>
      </c>
      <c r="I956" t="n">
        <v>0</v>
      </c>
      <c r="J956" t="n">
        <v>0</v>
      </c>
      <c r="K956" t="n">
        <v>0</v>
      </c>
      <c r="L956" t="n">
        <v>0</v>
      </c>
      <c r="M956" t="n">
        <v>0</v>
      </c>
      <c r="N956" t="n">
        <v>0</v>
      </c>
      <c r="O956" t="n">
        <v>0</v>
      </c>
      <c r="P956" t="n">
        <v>0</v>
      </c>
      <c r="Q956" t="n">
        <v>0</v>
      </c>
      <c r="R956" s="2" t="inlineStr"/>
    </row>
    <row r="957" ht="15" customHeight="1">
      <c r="A957" t="inlineStr">
        <is>
          <t>A 3245-2026</t>
        </is>
      </c>
      <c r="B957" s="1" t="n">
        <v>46041.5734375</v>
      </c>
      <c r="C957" s="1" t="n">
        <v>46082</v>
      </c>
      <c r="D957" t="inlineStr">
        <is>
          <t>JÄMTLANDS LÄN</t>
        </is>
      </c>
      <c r="E957" t="inlineStr">
        <is>
          <t>HÄRJEDALEN</t>
        </is>
      </c>
      <c r="F957" t="inlineStr">
        <is>
          <t>SCA</t>
        </is>
      </c>
      <c r="G957" t="n">
        <v>34.8</v>
      </c>
      <c r="H957" t="n">
        <v>0</v>
      </c>
      <c r="I957" t="n">
        <v>0</v>
      </c>
      <c r="J957" t="n">
        <v>0</v>
      </c>
      <c r="K957" t="n">
        <v>0</v>
      </c>
      <c r="L957" t="n">
        <v>0</v>
      </c>
      <c r="M957" t="n">
        <v>0</v>
      </c>
      <c r="N957" t="n">
        <v>0</v>
      </c>
      <c r="O957" t="n">
        <v>0</v>
      </c>
      <c r="P957" t="n">
        <v>0</v>
      </c>
      <c r="Q957" t="n">
        <v>0</v>
      </c>
      <c r="R957" s="2" t="inlineStr"/>
    </row>
    <row r="958" ht="15" customHeight="1">
      <c r="A958" t="inlineStr">
        <is>
          <t>A 3246-2026</t>
        </is>
      </c>
      <c r="B958" s="1" t="n">
        <v>46041.57364583333</v>
      </c>
      <c r="C958" s="1" t="n">
        <v>46082</v>
      </c>
      <c r="D958" t="inlineStr">
        <is>
          <t>JÄMTLANDS LÄN</t>
        </is>
      </c>
      <c r="E958" t="inlineStr">
        <is>
          <t>HÄRJEDALEN</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60856-2025</t>
        </is>
      </c>
      <c r="B959" s="1" t="n">
        <v>45999.51965277778</v>
      </c>
      <c r="C959" s="1" t="n">
        <v>46082</v>
      </c>
      <c r="D959" t="inlineStr">
        <is>
          <t>JÄMTLANDS LÄN</t>
        </is>
      </c>
      <c r="E959" t="inlineStr">
        <is>
          <t>HÄRJEDALEN</t>
        </is>
      </c>
      <c r="G959" t="n">
        <v>0.4</v>
      </c>
      <c r="H959" t="n">
        <v>0</v>
      </c>
      <c r="I959" t="n">
        <v>0</v>
      </c>
      <c r="J959" t="n">
        <v>0</v>
      </c>
      <c r="K959" t="n">
        <v>0</v>
      </c>
      <c r="L959" t="n">
        <v>0</v>
      </c>
      <c r="M959" t="n">
        <v>0</v>
      </c>
      <c r="N959" t="n">
        <v>0</v>
      </c>
      <c r="O959" t="n">
        <v>0</v>
      </c>
      <c r="P959" t="n">
        <v>0</v>
      </c>
      <c r="Q959" t="n">
        <v>0</v>
      </c>
      <c r="R959" s="2" t="inlineStr"/>
    </row>
    <row r="960" ht="15" customHeight="1">
      <c r="A960" t="inlineStr">
        <is>
          <t>A 12428-2025</t>
        </is>
      </c>
      <c r="B960" s="1" t="n">
        <v>45730</v>
      </c>
      <c r="C960" s="1" t="n">
        <v>46082</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40567-2023</t>
        </is>
      </c>
      <c r="B961" s="1" t="n">
        <v>45170.46134259259</v>
      </c>
      <c r="C961" s="1" t="n">
        <v>46082</v>
      </c>
      <c r="D961" t="inlineStr">
        <is>
          <t>JÄMTLANDS LÄN</t>
        </is>
      </c>
      <c r="E961" t="inlineStr">
        <is>
          <t>HÄRJEDALEN</t>
        </is>
      </c>
      <c r="F961" t="inlineStr">
        <is>
          <t>Holmen skog AB</t>
        </is>
      </c>
      <c r="G961" t="n">
        <v>19.4</v>
      </c>
      <c r="H961" t="n">
        <v>0</v>
      </c>
      <c r="I961" t="n">
        <v>0</v>
      </c>
      <c r="J961" t="n">
        <v>0</v>
      </c>
      <c r="K961" t="n">
        <v>0</v>
      </c>
      <c r="L961" t="n">
        <v>0</v>
      </c>
      <c r="M961" t="n">
        <v>0</v>
      </c>
      <c r="N961" t="n">
        <v>0</v>
      </c>
      <c r="O961" t="n">
        <v>0</v>
      </c>
      <c r="P961" t="n">
        <v>0</v>
      </c>
      <c r="Q961" t="n">
        <v>0</v>
      </c>
      <c r="R961" s="2" t="inlineStr"/>
    </row>
    <row r="962" ht="15" customHeight="1">
      <c r="A962" t="inlineStr">
        <is>
          <t>A 30435-2023</t>
        </is>
      </c>
      <c r="B962" s="1" t="n">
        <v>45111</v>
      </c>
      <c r="C962" s="1" t="n">
        <v>46082</v>
      </c>
      <c r="D962" t="inlineStr">
        <is>
          <t>JÄMTLANDS LÄN</t>
        </is>
      </c>
      <c r="E962" t="inlineStr">
        <is>
          <t>HÄRJEDALEN</t>
        </is>
      </c>
      <c r="G962" t="n">
        <v>20</v>
      </c>
      <c r="H962" t="n">
        <v>0</v>
      </c>
      <c r="I962" t="n">
        <v>0</v>
      </c>
      <c r="J962" t="n">
        <v>0</v>
      </c>
      <c r="K962" t="n">
        <v>0</v>
      </c>
      <c r="L962" t="n">
        <v>0</v>
      </c>
      <c r="M962" t="n">
        <v>0</v>
      </c>
      <c r="N962" t="n">
        <v>0</v>
      </c>
      <c r="O962" t="n">
        <v>0</v>
      </c>
      <c r="P962" t="n">
        <v>0</v>
      </c>
      <c r="Q962" t="n">
        <v>0</v>
      </c>
      <c r="R962" s="2" t="inlineStr"/>
    </row>
    <row r="963" ht="15" customHeight="1">
      <c r="A963" t="inlineStr">
        <is>
          <t>A 3696-2026</t>
        </is>
      </c>
      <c r="B963" s="1" t="n">
        <v>46043.45800925926</v>
      </c>
      <c r="C963" s="1" t="n">
        <v>46082</v>
      </c>
      <c r="D963" t="inlineStr">
        <is>
          <t>JÄMTLANDS LÄN</t>
        </is>
      </c>
      <c r="E963" t="inlineStr">
        <is>
          <t>HÄRJEDALEN</t>
        </is>
      </c>
      <c r="G963" t="n">
        <v>3.4</v>
      </c>
      <c r="H963" t="n">
        <v>0</v>
      </c>
      <c r="I963" t="n">
        <v>0</v>
      </c>
      <c r="J963" t="n">
        <v>0</v>
      </c>
      <c r="K963" t="n">
        <v>0</v>
      </c>
      <c r="L963" t="n">
        <v>0</v>
      </c>
      <c r="M963" t="n">
        <v>0</v>
      </c>
      <c r="N963" t="n">
        <v>0</v>
      </c>
      <c r="O963" t="n">
        <v>0</v>
      </c>
      <c r="P963" t="n">
        <v>0</v>
      </c>
      <c r="Q963" t="n">
        <v>0</v>
      </c>
      <c r="R963" s="2" t="inlineStr"/>
    </row>
    <row r="964" ht="15" customHeight="1">
      <c r="A964" t="inlineStr">
        <is>
          <t>A 19098-2025</t>
        </is>
      </c>
      <c r="B964" s="1" t="n">
        <v>45768.29289351852</v>
      </c>
      <c r="C964" s="1" t="n">
        <v>46082</v>
      </c>
      <c r="D964" t="inlineStr">
        <is>
          <t>JÄMTLANDS LÄN</t>
        </is>
      </c>
      <c r="E964" t="inlineStr">
        <is>
          <t>HÄRJEDALEN</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19101-2025</t>
        </is>
      </c>
      <c r="B965" s="1" t="n">
        <v>45768.30086805556</v>
      </c>
      <c r="C965" s="1" t="n">
        <v>46082</v>
      </c>
      <c r="D965" t="inlineStr">
        <is>
          <t>JÄMTLANDS LÄN</t>
        </is>
      </c>
      <c r="E965" t="inlineStr">
        <is>
          <t>HÄRJEDALEN</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31958-2023</t>
        </is>
      </c>
      <c r="B966" s="1" t="n">
        <v>45119.38675925926</v>
      </c>
      <c r="C966" s="1" t="n">
        <v>46082</v>
      </c>
      <c r="D966" t="inlineStr">
        <is>
          <t>JÄMTLANDS LÄN</t>
        </is>
      </c>
      <c r="E966" t="inlineStr">
        <is>
          <t>HÄRJEDALEN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12468-2022</t>
        </is>
      </c>
      <c r="B967" s="1" t="n">
        <v>44638.44958333333</v>
      </c>
      <c r="C967" s="1" t="n">
        <v>46082</v>
      </c>
      <c r="D967" t="inlineStr">
        <is>
          <t>JÄMTLANDS LÄN</t>
        </is>
      </c>
      <c r="E967" t="inlineStr">
        <is>
          <t>HÄRJEDALEN</t>
        </is>
      </c>
      <c r="G967" t="n">
        <v>2.5</v>
      </c>
      <c r="H967" t="n">
        <v>0</v>
      </c>
      <c r="I967" t="n">
        <v>0</v>
      </c>
      <c r="J967" t="n">
        <v>0</v>
      </c>
      <c r="K967" t="n">
        <v>0</v>
      </c>
      <c r="L967" t="n">
        <v>0</v>
      </c>
      <c r="M967" t="n">
        <v>0</v>
      </c>
      <c r="N967" t="n">
        <v>0</v>
      </c>
      <c r="O967" t="n">
        <v>0</v>
      </c>
      <c r="P967" t="n">
        <v>0</v>
      </c>
      <c r="Q967" t="n">
        <v>0</v>
      </c>
      <c r="R967" s="2" t="inlineStr"/>
    </row>
    <row r="968" ht="15" customHeight="1">
      <c r="A968" t="inlineStr">
        <is>
          <t>A 61765-2025</t>
        </is>
      </c>
      <c r="B968" s="1" t="n">
        <v>46002.63063657407</v>
      </c>
      <c r="C968" s="1" t="n">
        <v>46082</v>
      </c>
      <c r="D968" t="inlineStr">
        <is>
          <t>JÄMTLANDS LÄN</t>
        </is>
      </c>
      <c r="E968" t="inlineStr">
        <is>
          <t>HÄRJEDALEN</t>
        </is>
      </c>
      <c r="G968" t="n">
        <v>2.3</v>
      </c>
      <c r="H968" t="n">
        <v>0</v>
      </c>
      <c r="I968" t="n">
        <v>0</v>
      </c>
      <c r="J968" t="n">
        <v>0</v>
      </c>
      <c r="K968" t="n">
        <v>0</v>
      </c>
      <c r="L968" t="n">
        <v>0</v>
      </c>
      <c r="M968" t="n">
        <v>0</v>
      </c>
      <c r="N968" t="n">
        <v>0</v>
      </c>
      <c r="O968" t="n">
        <v>0</v>
      </c>
      <c r="P968" t="n">
        <v>0</v>
      </c>
      <c r="Q968" t="n">
        <v>0</v>
      </c>
      <c r="R968" s="2" t="inlineStr"/>
    </row>
    <row r="969" ht="15" customHeight="1">
      <c r="A969" t="inlineStr">
        <is>
          <t>A 59946-2024</t>
        </is>
      </c>
      <c r="B969" s="1" t="n">
        <v>45642.33616898148</v>
      </c>
      <c r="C969" s="1" t="n">
        <v>46082</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45061.61002314815</v>
      </c>
      <c r="C970" s="1" t="n">
        <v>46082</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61471-2025</t>
        </is>
      </c>
      <c r="B971" s="1" t="n">
        <v>46001.6153587963</v>
      </c>
      <c r="C971" s="1" t="n">
        <v>46082</v>
      </c>
      <c r="D971" t="inlineStr">
        <is>
          <t>JÄMTLANDS LÄN</t>
        </is>
      </c>
      <c r="E971" t="inlineStr">
        <is>
          <t>HÄRJEDALEN</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62388-2025</t>
        </is>
      </c>
      <c r="B972" s="1" t="n">
        <v>46006</v>
      </c>
      <c r="C972" s="1" t="n">
        <v>46082</v>
      </c>
      <c r="D972" t="inlineStr">
        <is>
          <t>JÄMTLANDS LÄN</t>
        </is>
      </c>
      <c r="E972" t="inlineStr">
        <is>
          <t>HÄRJEDALEN</t>
        </is>
      </c>
      <c r="G972" t="n">
        <v>0.5</v>
      </c>
      <c r="H972" t="n">
        <v>0</v>
      </c>
      <c r="I972" t="n">
        <v>0</v>
      </c>
      <c r="J972" t="n">
        <v>0</v>
      </c>
      <c r="K972" t="n">
        <v>0</v>
      </c>
      <c r="L972" t="n">
        <v>0</v>
      </c>
      <c r="M972" t="n">
        <v>0</v>
      </c>
      <c r="N972" t="n">
        <v>0</v>
      </c>
      <c r="O972" t="n">
        <v>0</v>
      </c>
      <c r="P972" t="n">
        <v>0</v>
      </c>
      <c r="Q972" t="n">
        <v>0</v>
      </c>
      <c r="R972" s="2" t="inlineStr"/>
    </row>
    <row r="973" ht="15" customHeight="1">
      <c r="A973" t="inlineStr">
        <is>
          <t>A 3795-2026</t>
        </is>
      </c>
      <c r="B973" s="1" t="n">
        <v>46043.57891203704</v>
      </c>
      <c r="C973" s="1" t="n">
        <v>46082</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18362-2025</t>
        </is>
      </c>
      <c r="B974" s="1" t="n">
        <v>45762.55899305556</v>
      </c>
      <c r="C974" s="1" t="n">
        <v>46082</v>
      </c>
      <c r="D974" t="inlineStr">
        <is>
          <t>JÄMTLANDS LÄN</t>
        </is>
      </c>
      <c r="E974" t="inlineStr">
        <is>
          <t>HÄRJEDALEN</t>
        </is>
      </c>
      <c r="G974" t="n">
        <v>5.9</v>
      </c>
      <c r="H974" t="n">
        <v>0</v>
      </c>
      <c r="I974" t="n">
        <v>0</v>
      </c>
      <c r="J974" t="n">
        <v>0</v>
      </c>
      <c r="K974" t="n">
        <v>0</v>
      </c>
      <c r="L974" t="n">
        <v>0</v>
      </c>
      <c r="M974" t="n">
        <v>0</v>
      </c>
      <c r="N974" t="n">
        <v>0</v>
      </c>
      <c r="O974" t="n">
        <v>0</v>
      </c>
      <c r="P974" t="n">
        <v>0</v>
      </c>
      <c r="Q974" t="n">
        <v>0</v>
      </c>
      <c r="R974" s="2" t="inlineStr"/>
    </row>
    <row r="975" ht="15" customHeight="1">
      <c r="A975" t="inlineStr">
        <is>
          <t>A 53993-2023</t>
        </is>
      </c>
      <c r="B975" s="1" t="n">
        <v>45231</v>
      </c>
      <c r="C975" s="1" t="n">
        <v>46082</v>
      </c>
      <c r="D975" t="inlineStr">
        <is>
          <t>JÄMTLANDS LÄN</t>
        </is>
      </c>
      <c r="E975" t="inlineStr">
        <is>
          <t>HÄRJEDALEN</t>
        </is>
      </c>
      <c r="G975" t="n">
        <v>1.3</v>
      </c>
      <c r="H975" t="n">
        <v>0</v>
      </c>
      <c r="I975" t="n">
        <v>0</v>
      </c>
      <c r="J975" t="n">
        <v>0</v>
      </c>
      <c r="K975" t="n">
        <v>0</v>
      </c>
      <c r="L975" t="n">
        <v>0</v>
      </c>
      <c r="M975" t="n">
        <v>0</v>
      </c>
      <c r="N975" t="n">
        <v>0</v>
      </c>
      <c r="O975" t="n">
        <v>0</v>
      </c>
      <c r="P975" t="n">
        <v>0</v>
      </c>
      <c r="Q975" t="n">
        <v>0</v>
      </c>
      <c r="R975" s="2" t="inlineStr"/>
    </row>
    <row r="976" ht="15" customHeight="1">
      <c r="A976" t="inlineStr">
        <is>
          <t>A 2728-2025</t>
        </is>
      </c>
      <c r="B976" s="1" t="n">
        <v>45677.44273148148</v>
      </c>
      <c r="C976" s="1" t="n">
        <v>46082</v>
      </c>
      <c r="D976" t="inlineStr">
        <is>
          <t>JÄMTLANDS LÄN</t>
        </is>
      </c>
      <c r="E976" t="inlineStr">
        <is>
          <t>HÄRJEDALEN</t>
        </is>
      </c>
      <c r="G976" t="n">
        <v>3.7</v>
      </c>
      <c r="H976" t="n">
        <v>0</v>
      </c>
      <c r="I976" t="n">
        <v>0</v>
      </c>
      <c r="J976" t="n">
        <v>0</v>
      </c>
      <c r="K976" t="n">
        <v>0</v>
      </c>
      <c r="L976" t="n">
        <v>0</v>
      </c>
      <c r="M976" t="n">
        <v>0</v>
      </c>
      <c r="N976" t="n">
        <v>0</v>
      </c>
      <c r="O976" t="n">
        <v>0</v>
      </c>
      <c r="P976" t="n">
        <v>0</v>
      </c>
      <c r="Q976" t="n">
        <v>0</v>
      </c>
      <c r="R976" s="2" t="inlineStr"/>
    </row>
    <row r="977" ht="15" customHeight="1">
      <c r="A977" t="inlineStr">
        <is>
          <t>A 62075-2025</t>
        </is>
      </c>
      <c r="B977" s="1" t="n">
        <v>46006.36488425926</v>
      </c>
      <c r="C977" s="1" t="n">
        <v>46082</v>
      </c>
      <c r="D977" t="inlineStr">
        <is>
          <t>JÄMTLANDS LÄN</t>
        </is>
      </c>
      <c r="E977" t="inlineStr">
        <is>
          <t>HÄRJEDALEN</t>
        </is>
      </c>
      <c r="G977" t="n">
        <v>4.8</v>
      </c>
      <c r="H977" t="n">
        <v>0</v>
      </c>
      <c r="I977" t="n">
        <v>0</v>
      </c>
      <c r="J977" t="n">
        <v>0</v>
      </c>
      <c r="K977" t="n">
        <v>0</v>
      </c>
      <c r="L977" t="n">
        <v>0</v>
      </c>
      <c r="M977" t="n">
        <v>0</v>
      </c>
      <c r="N977" t="n">
        <v>0</v>
      </c>
      <c r="O977" t="n">
        <v>0</v>
      </c>
      <c r="P977" t="n">
        <v>0</v>
      </c>
      <c r="Q977" t="n">
        <v>0</v>
      </c>
      <c r="R977" s="2" t="inlineStr"/>
    </row>
    <row r="978" ht="15" customHeight="1">
      <c r="A978" t="inlineStr">
        <is>
          <t>A 21011-2024</t>
        </is>
      </c>
      <c r="B978" s="1" t="n">
        <v>45439.62893518519</v>
      </c>
      <c r="C978" s="1" t="n">
        <v>46082</v>
      </c>
      <c r="D978" t="inlineStr">
        <is>
          <t>JÄMTLANDS LÄN</t>
        </is>
      </c>
      <c r="E978" t="inlineStr">
        <is>
          <t>HÄRJEDALEN</t>
        </is>
      </c>
      <c r="G978" t="n">
        <v>92.40000000000001</v>
      </c>
      <c r="H978" t="n">
        <v>0</v>
      </c>
      <c r="I978" t="n">
        <v>0</v>
      </c>
      <c r="J978" t="n">
        <v>0</v>
      </c>
      <c r="K978" t="n">
        <v>0</v>
      </c>
      <c r="L978" t="n">
        <v>0</v>
      </c>
      <c r="M978" t="n">
        <v>0</v>
      </c>
      <c r="N978" t="n">
        <v>0</v>
      </c>
      <c r="O978" t="n">
        <v>0</v>
      </c>
      <c r="P978" t="n">
        <v>0</v>
      </c>
      <c r="Q978" t="n">
        <v>0</v>
      </c>
      <c r="R978" s="2" t="inlineStr"/>
    </row>
    <row r="979" ht="15" customHeight="1">
      <c r="A979" t="inlineStr">
        <is>
          <t>A 45864-2023</t>
        </is>
      </c>
      <c r="B979" s="1" t="n">
        <v>45195.61476851852</v>
      </c>
      <c r="C979" s="1" t="n">
        <v>46082</v>
      </c>
      <c r="D979" t="inlineStr">
        <is>
          <t>JÄMTLANDS LÄN</t>
        </is>
      </c>
      <c r="E979" t="inlineStr">
        <is>
          <t>HÄRJEDALEN</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56013-2023</t>
        </is>
      </c>
      <c r="B980" s="1" t="n">
        <v>45240</v>
      </c>
      <c r="C980" s="1" t="n">
        <v>46082</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4569-2026</t>
        </is>
      </c>
      <c r="B981" s="1" t="n">
        <v>46047.94138888889</v>
      </c>
      <c r="C981" s="1" t="n">
        <v>46082</v>
      </c>
      <c r="D981" t="inlineStr">
        <is>
          <t>JÄMTLANDS LÄN</t>
        </is>
      </c>
      <c r="E981" t="inlineStr">
        <is>
          <t>HÄRJEDALEN</t>
        </is>
      </c>
      <c r="F981" t="inlineStr">
        <is>
          <t>Bergvik skog väst AB</t>
        </is>
      </c>
      <c r="G981" t="n">
        <v>22.8</v>
      </c>
      <c r="H981" t="n">
        <v>0</v>
      </c>
      <c r="I981" t="n">
        <v>0</v>
      </c>
      <c r="J981" t="n">
        <v>0</v>
      </c>
      <c r="K981" t="n">
        <v>0</v>
      </c>
      <c r="L981" t="n">
        <v>0</v>
      </c>
      <c r="M981" t="n">
        <v>0</v>
      </c>
      <c r="N981" t="n">
        <v>0</v>
      </c>
      <c r="O981" t="n">
        <v>0</v>
      </c>
      <c r="P981" t="n">
        <v>0</v>
      </c>
      <c r="Q981" t="n">
        <v>0</v>
      </c>
      <c r="R981" s="2" t="inlineStr"/>
    </row>
    <row r="982" ht="15" customHeight="1">
      <c r="A982" t="inlineStr">
        <is>
          <t>A 49969-2023</t>
        </is>
      </c>
      <c r="B982" s="1" t="n">
        <v>45215</v>
      </c>
      <c r="C982" s="1" t="n">
        <v>46082</v>
      </c>
      <c r="D982" t="inlineStr">
        <is>
          <t>JÄMTLANDS LÄN</t>
        </is>
      </c>
      <c r="E982" t="inlineStr">
        <is>
          <t>HÄRJEDALEN</t>
        </is>
      </c>
      <c r="G982" t="n">
        <v>43.7</v>
      </c>
      <c r="H982" t="n">
        <v>0</v>
      </c>
      <c r="I982" t="n">
        <v>0</v>
      </c>
      <c r="J982" t="n">
        <v>0</v>
      </c>
      <c r="K982" t="n">
        <v>0</v>
      </c>
      <c r="L982" t="n">
        <v>0</v>
      </c>
      <c r="M982" t="n">
        <v>0</v>
      </c>
      <c r="N982" t="n">
        <v>0</v>
      </c>
      <c r="O982" t="n">
        <v>0</v>
      </c>
      <c r="P982" t="n">
        <v>0</v>
      </c>
      <c r="Q982" t="n">
        <v>0</v>
      </c>
      <c r="R982" s="2" t="inlineStr"/>
    </row>
    <row r="983" ht="15" customHeight="1">
      <c r="A983" t="inlineStr">
        <is>
          <t>A 45999-2023</t>
        </is>
      </c>
      <c r="B983" s="1" t="n">
        <v>45196</v>
      </c>
      <c r="C983" s="1" t="n">
        <v>46082</v>
      </c>
      <c r="D983" t="inlineStr">
        <is>
          <t>JÄMTLANDS LÄN</t>
        </is>
      </c>
      <c r="E983" t="inlineStr">
        <is>
          <t>HÄRJEDALEN</t>
        </is>
      </c>
      <c r="F983" t="inlineStr">
        <is>
          <t>Bergvik skog väst AB</t>
        </is>
      </c>
      <c r="G983" t="n">
        <v>11.4</v>
      </c>
      <c r="H983" t="n">
        <v>0</v>
      </c>
      <c r="I983" t="n">
        <v>0</v>
      </c>
      <c r="J983" t="n">
        <v>0</v>
      </c>
      <c r="K983" t="n">
        <v>0</v>
      </c>
      <c r="L983" t="n">
        <v>0</v>
      </c>
      <c r="M983" t="n">
        <v>0</v>
      </c>
      <c r="N983" t="n">
        <v>0</v>
      </c>
      <c r="O983" t="n">
        <v>0</v>
      </c>
      <c r="P983" t="n">
        <v>0</v>
      </c>
      <c r="Q983" t="n">
        <v>0</v>
      </c>
      <c r="R983" s="2" t="inlineStr"/>
    </row>
    <row r="984" ht="15" customHeight="1">
      <c r="A984" t="inlineStr">
        <is>
          <t>A 21767-2022</t>
        </is>
      </c>
      <c r="B984" s="1" t="n">
        <v>44708.45504629629</v>
      </c>
      <c r="C984" s="1" t="n">
        <v>46082</v>
      </c>
      <c r="D984" t="inlineStr">
        <is>
          <t>JÄMTLANDS LÄN</t>
        </is>
      </c>
      <c r="E984" t="inlineStr">
        <is>
          <t>HÄRJEDALEN</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21796-2022</t>
        </is>
      </c>
      <c r="B985" s="1" t="n">
        <v>44708</v>
      </c>
      <c r="C985" s="1" t="n">
        <v>46082</v>
      </c>
      <c r="D985" t="inlineStr">
        <is>
          <t>JÄMTLANDS LÄN</t>
        </is>
      </c>
      <c r="E985" t="inlineStr">
        <is>
          <t>HÄRJEDALEN</t>
        </is>
      </c>
      <c r="F985" t="inlineStr">
        <is>
          <t>Holmen skog AB</t>
        </is>
      </c>
      <c r="G985" t="n">
        <v>22.3</v>
      </c>
      <c r="H985" t="n">
        <v>0</v>
      </c>
      <c r="I985" t="n">
        <v>0</v>
      </c>
      <c r="J985" t="n">
        <v>0</v>
      </c>
      <c r="K985" t="n">
        <v>0</v>
      </c>
      <c r="L985" t="n">
        <v>0</v>
      </c>
      <c r="M985" t="n">
        <v>0</v>
      </c>
      <c r="N985" t="n">
        <v>0</v>
      </c>
      <c r="O985" t="n">
        <v>0</v>
      </c>
      <c r="P985" t="n">
        <v>0</v>
      </c>
      <c r="Q985" t="n">
        <v>0</v>
      </c>
      <c r="R985" s="2" t="inlineStr"/>
    </row>
    <row r="986" ht="15" customHeight="1">
      <c r="A986" t="inlineStr">
        <is>
          <t>A 31811-2023</t>
        </is>
      </c>
      <c r="B986" s="1" t="n">
        <v>45118.47491898148</v>
      </c>
      <c r="C986" s="1" t="n">
        <v>46082</v>
      </c>
      <c r="D986" t="inlineStr">
        <is>
          <t>JÄMTLANDS LÄN</t>
        </is>
      </c>
      <c r="E986" t="inlineStr">
        <is>
          <t>HÄRJEDALEN</t>
        </is>
      </c>
      <c r="F986" t="inlineStr">
        <is>
          <t>Bergvik skog väst AB</t>
        </is>
      </c>
      <c r="G986" t="n">
        <v>12.5</v>
      </c>
      <c r="H986" t="n">
        <v>0</v>
      </c>
      <c r="I986" t="n">
        <v>0</v>
      </c>
      <c r="J986" t="n">
        <v>0</v>
      </c>
      <c r="K986" t="n">
        <v>0</v>
      </c>
      <c r="L986" t="n">
        <v>0</v>
      </c>
      <c r="M986" t="n">
        <v>0</v>
      </c>
      <c r="N986" t="n">
        <v>0</v>
      </c>
      <c r="O986" t="n">
        <v>0</v>
      </c>
      <c r="P986" t="n">
        <v>0</v>
      </c>
      <c r="Q986" t="n">
        <v>0</v>
      </c>
      <c r="R986" s="2" t="inlineStr"/>
    </row>
    <row r="987" ht="15" customHeight="1">
      <c r="A987" t="inlineStr">
        <is>
          <t>A 62171-2025</t>
        </is>
      </c>
      <c r="B987" s="1" t="n">
        <v>46006.51116898148</v>
      </c>
      <c r="C987" s="1" t="n">
        <v>46082</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62234-2025</t>
        </is>
      </c>
      <c r="B988" s="1" t="n">
        <v>46006.59444444445</v>
      </c>
      <c r="C988" s="1" t="n">
        <v>46082</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1665-2025</t>
        </is>
      </c>
      <c r="B989" s="1" t="n">
        <v>45670</v>
      </c>
      <c r="C989" s="1" t="n">
        <v>46082</v>
      </c>
      <c r="D989" t="inlineStr">
        <is>
          <t>JÄMTLANDS LÄN</t>
        </is>
      </c>
      <c r="E989" t="inlineStr">
        <is>
          <t>HÄRJEDALEN</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50331-2023</t>
        </is>
      </c>
      <c r="B990" s="1" t="n">
        <v>45216</v>
      </c>
      <c r="C990" s="1" t="n">
        <v>46082</v>
      </c>
      <c r="D990" t="inlineStr">
        <is>
          <t>JÄMTLANDS LÄN</t>
        </is>
      </c>
      <c r="E990" t="inlineStr">
        <is>
          <t>HÄRJEDALEN</t>
        </is>
      </c>
      <c r="G990" t="n">
        <v>2.3</v>
      </c>
      <c r="H990" t="n">
        <v>0</v>
      </c>
      <c r="I990" t="n">
        <v>0</v>
      </c>
      <c r="J990" t="n">
        <v>0</v>
      </c>
      <c r="K990" t="n">
        <v>0</v>
      </c>
      <c r="L990" t="n">
        <v>0</v>
      </c>
      <c r="M990" t="n">
        <v>0</v>
      </c>
      <c r="N990" t="n">
        <v>0</v>
      </c>
      <c r="O990" t="n">
        <v>0</v>
      </c>
      <c r="P990" t="n">
        <v>0</v>
      </c>
      <c r="Q990" t="n">
        <v>0</v>
      </c>
      <c r="R990" s="2" t="inlineStr"/>
    </row>
    <row r="991" ht="15" customHeight="1">
      <c r="A991" t="inlineStr">
        <is>
          <t>A 62170-2025</t>
        </is>
      </c>
      <c r="B991" s="1" t="n">
        <v>46006.51112268519</v>
      </c>
      <c r="C991" s="1" t="n">
        <v>46082</v>
      </c>
      <c r="D991" t="inlineStr">
        <is>
          <t>JÄMTLANDS LÄN</t>
        </is>
      </c>
      <c r="E991" t="inlineStr">
        <is>
          <t>HÄRJEDALEN</t>
        </is>
      </c>
      <c r="G991" t="n">
        <v>0.3</v>
      </c>
      <c r="H991" t="n">
        <v>0</v>
      </c>
      <c r="I991" t="n">
        <v>0</v>
      </c>
      <c r="J991" t="n">
        <v>0</v>
      </c>
      <c r="K991" t="n">
        <v>0</v>
      </c>
      <c r="L991" t="n">
        <v>0</v>
      </c>
      <c r="M991" t="n">
        <v>0</v>
      </c>
      <c r="N991" t="n">
        <v>0</v>
      </c>
      <c r="O991" t="n">
        <v>0</v>
      </c>
      <c r="P991" t="n">
        <v>0</v>
      </c>
      <c r="Q991" t="n">
        <v>0</v>
      </c>
      <c r="R991" s="2" t="inlineStr"/>
    </row>
    <row r="992" ht="15" customHeight="1">
      <c r="A992" t="inlineStr">
        <is>
          <t>A 51964-2024</t>
        </is>
      </c>
      <c r="B992" s="1" t="n">
        <v>45607</v>
      </c>
      <c r="C992" s="1" t="n">
        <v>46082</v>
      </c>
      <c r="D992" t="inlineStr">
        <is>
          <t>JÄMTLANDS LÄN</t>
        </is>
      </c>
      <c r="E992" t="inlineStr">
        <is>
          <t>HÄRJEDALEN</t>
        </is>
      </c>
      <c r="F992" t="inlineStr">
        <is>
          <t>Holmen skog AB</t>
        </is>
      </c>
      <c r="G992" t="n">
        <v>5</v>
      </c>
      <c r="H992" t="n">
        <v>0</v>
      </c>
      <c r="I992" t="n">
        <v>0</v>
      </c>
      <c r="J992" t="n">
        <v>0</v>
      </c>
      <c r="K992" t="n">
        <v>0</v>
      </c>
      <c r="L992" t="n">
        <v>0</v>
      </c>
      <c r="M992" t="n">
        <v>0</v>
      </c>
      <c r="N992" t="n">
        <v>0</v>
      </c>
      <c r="O992" t="n">
        <v>0</v>
      </c>
      <c r="P992" t="n">
        <v>0</v>
      </c>
      <c r="Q992" t="n">
        <v>0</v>
      </c>
      <c r="R992" s="2" t="inlineStr"/>
    </row>
    <row r="993" ht="15" customHeight="1">
      <c r="A993" t="inlineStr">
        <is>
          <t>A 11877-2025</t>
        </is>
      </c>
      <c r="B993" s="1" t="n">
        <v>45728.44329861111</v>
      </c>
      <c r="C993" s="1" t="n">
        <v>46082</v>
      </c>
      <c r="D993" t="inlineStr">
        <is>
          <t>JÄMTLANDS LÄN</t>
        </is>
      </c>
      <c r="E993" t="inlineStr">
        <is>
          <t>HÄRJEDALEN</t>
        </is>
      </c>
      <c r="F993" t="inlineStr">
        <is>
          <t>Bergvik skog väst AB</t>
        </is>
      </c>
      <c r="G993" t="n">
        <v>11.2</v>
      </c>
      <c r="H993" t="n">
        <v>0</v>
      </c>
      <c r="I993" t="n">
        <v>0</v>
      </c>
      <c r="J993" t="n">
        <v>0</v>
      </c>
      <c r="K993" t="n">
        <v>0</v>
      </c>
      <c r="L993" t="n">
        <v>0</v>
      </c>
      <c r="M993" t="n">
        <v>0</v>
      </c>
      <c r="N993" t="n">
        <v>0</v>
      </c>
      <c r="O993" t="n">
        <v>0</v>
      </c>
      <c r="P993" t="n">
        <v>0</v>
      </c>
      <c r="Q993" t="n">
        <v>0</v>
      </c>
      <c r="R993" s="2" t="inlineStr"/>
    </row>
    <row r="994" ht="15" customHeight="1">
      <c r="A994" t="inlineStr">
        <is>
          <t>A 11917-2025</t>
        </is>
      </c>
      <c r="B994" s="1" t="n">
        <v>45728.49267361111</v>
      </c>
      <c r="C994" s="1" t="n">
        <v>46082</v>
      </c>
      <c r="D994" t="inlineStr">
        <is>
          <t>JÄMTLANDS LÄN</t>
        </is>
      </c>
      <c r="E994" t="inlineStr">
        <is>
          <t>HÄRJEDALEN</t>
        </is>
      </c>
      <c r="F994" t="inlineStr">
        <is>
          <t>Kommuner</t>
        </is>
      </c>
      <c r="G994" t="n">
        <v>0.7</v>
      </c>
      <c r="H994" t="n">
        <v>0</v>
      </c>
      <c r="I994" t="n">
        <v>0</v>
      </c>
      <c r="J994" t="n">
        <v>0</v>
      </c>
      <c r="K994" t="n">
        <v>0</v>
      </c>
      <c r="L994" t="n">
        <v>0</v>
      </c>
      <c r="M994" t="n">
        <v>0</v>
      </c>
      <c r="N994" t="n">
        <v>0</v>
      </c>
      <c r="O994" t="n">
        <v>0</v>
      </c>
      <c r="P994" t="n">
        <v>0</v>
      </c>
      <c r="Q994" t="n">
        <v>0</v>
      </c>
      <c r="R994" s="2" t="inlineStr"/>
    </row>
    <row r="995" ht="15" customHeight="1">
      <c r="A995" t="inlineStr">
        <is>
          <t>A 31527-2024</t>
        </is>
      </c>
      <c r="B995" s="1" t="n">
        <v>45505</v>
      </c>
      <c r="C995" s="1" t="n">
        <v>46082</v>
      </c>
      <c r="D995" t="inlineStr">
        <is>
          <t>JÄMTLANDS LÄN</t>
        </is>
      </c>
      <c r="E995" t="inlineStr">
        <is>
          <t>HÄRJEDALEN</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46082</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46082</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61042-2024</t>
        </is>
      </c>
      <c r="B998" s="1" t="n">
        <v>45645.47609953704</v>
      </c>
      <c r="C998" s="1" t="n">
        <v>46082</v>
      </c>
      <c r="D998" t="inlineStr">
        <is>
          <t>JÄMTLANDS LÄN</t>
        </is>
      </c>
      <c r="E998" t="inlineStr">
        <is>
          <t>HÄRJEDALEN</t>
        </is>
      </c>
      <c r="F998" t="inlineStr">
        <is>
          <t>Bergvik skog väst AB</t>
        </is>
      </c>
      <c r="G998" t="n">
        <v>3.1</v>
      </c>
      <c r="H998" t="n">
        <v>0</v>
      </c>
      <c r="I998" t="n">
        <v>0</v>
      </c>
      <c r="J998" t="n">
        <v>0</v>
      </c>
      <c r="K998" t="n">
        <v>0</v>
      </c>
      <c r="L998" t="n">
        <v>0</v>
      </c>
      <c r="M998" t="n">
        <v>0</v>
      </c>
      <c r="N998" t="n">
        <v>0</v>
      </c>
      <c r="O998" t="n">
        <v>0</v>
      </c>
      <c r="P998" t="n">
        <v>0</v>
      </c>
      <c r="Q998" t="n">
        <v>0</v>
      </c>
      <c r="R998" s="2" t="inlineStr"/>
    </row>
    <row r="999" ht="15" customHeight="1">
      <c r="A999" t="inlineStr">
        <is>
          <t>A 48213-2023</t>
        </is>
      </c>
      <c r="B999" s="1" t="n">
        <v>45205</v>
      </c>
      <c r="C999" s="1" t="n">
        <v>46082</v>
      </c>
      <c r="D999" t="inlineStr">
        <is>
          <t>JÄMTLANDS LÄN</t>
        </is>
      </c>
      <c r="E999" t="inlineStr">
        <is>
          <t>HÄRJEDALEN</t>
        </is>
      </c>
      <c r="G999" t="n">
        <v>12.2</v>
      </c>
      <c r="H999" t="n">
        <v>0</v>
      </c>
      <c r="I999" t="n">
        <v>0</v>
      </c>
      <c r="J999" t="n">
        <v>0</v>
      </c>
      <c r="K999" t="n">
        <v>0</v>
      </c>
      <c r="L999" t="n">
        <v>0</v>
      </c>
      <c r="M999" t="n">
        <v>0</v>
      </c>
      <c r="N999" t="n">
        <v>0</v>
      </c>
      <c r="O999" t="n">
        <v>0</v>
      </c>
      <c r="P999" t="n">
        <v>0</v>
      </c>
      <c r="Q999" t="n">
        <v>0</v>
      </c>
      <c r="R999" s="2" t="inlineStr"/>
    </row>
    <row r="1000" ht="15" customHeight="1">
      <c r="A1000" t="inlineStr">
        <is>
          <t>A 53537-2024</t>
        </is>
      </c>
      <c r="B1000" s="1" t="n">
        <v>45614.62445601852</v>
      </c>
      <c r="C1000" s="1" t="n">
        <v>46082</v>
      </c>
      <c r="D1000" t="inlineStr">
        <is>
          <t>JÄMTLANDS LÄN</t>
        </is>
      </c>
      <c r="E1000" t="inlineStr">
        <is>
          <t>HÄRJEDALEN</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62450-2025</t>
        </is>
      </c>
      <c r="B1001" s="1" t="n">
        <v>46007.48996527777</v>
      </c>
      <c r="C1001" s="1" t="n">
        <v>46082</v>
      </c>
      <c r="D1001" t="inlineStr">
        <is>
          <t>JÄMTLANDS LÄN</t>
        </is>
      </c>
      <c r="E1001" t="inlineStr">
        <is>
          <t>HÄRJEDALEN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24834-2022</t>
        </is>
      </c>
      <c r="B1002" s="1" t="n">
        <v>44728</v>
      </c>
      <c r="C1002" s="1" t="n">
        <v>46082</v>
      </c>
      <c r="D1002" t="inlineStr">
        <is>
          <t>JÄMTLANDS LÄN</t>
        </is>
      </c>
      <c r="E1002" t="inlineStr">
        <is>
          <t>HÄRJEDALEN</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36528-2025</t>
        </is>
      </c>
      <c r="B1003" s="1" t="n">
        <v>45869</v>
      </c>
      <c r="C1003" s="1" t="n">
        <v>46082</v>
      </c>
      <c r="D1003" t="inlineStr">
        <is>
          <t>JÄMTLANDS LÄN</t>
        </is>
      </c>
      <c r="E1003" t="inlineStr">
        <is>
          <t>HÄRJEDALEN</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36537-2025</t>
        </is>
      </c>
      <c r="B1004" s="1" t="n">
        <v>45869</v>
      </c>
      <c r="C1004" s="1" t="n">
        <v>46082</v>
      </c>
      <c r="D1004" t="inlineStr">
        <is>
          <t>JÄMTLANDS LÄN</t>
        </is>
      </c>
      <c r="E1004" t="inlineStr">
        <is>
          <t>HÄRJEDALEN</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1658-2025</t>
        </is>
      </c>
      <c r="B1005" s="1" t="n">
        <v>45670.66085648148</v>
      </c>
      <c r="C1005" s="1" t="n">
        <v>46082</v>
      </c>
      <c r="D1005" t="inlineStr">
        <is>
          <t>JÄMTLANDS LÄN</t>
        </is>
      </c>
      <c r="E1005" t="inlineStr">
        <is>
          <t>HÄRJEDALEN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41037-2025</t>
        </is>
      </c>
      <c r="B1006" s="1" t="n">
        <v>45898</v>
      </c>
      <c r="C1006" s="1" t="n">
        <v>46082</v>
      </c>
      <c r="D1006" t="inlineStr">
        <is>
          <t>JÄMTLANDS LÄN</t>
        </is>
      </c>
      <c r="E1006" t="inlineStr">
        <is>
          <t>HÄRJEDALEN</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4946-2026</t>
        </is>
      </c>
      <c r="B1007" s="1" t="n">
        <v>46049.25945601852</v>
      </c>
      <c r="C1007" s="1" t="n">
        <v>46082</v>
      </c>
      <c r="D1007" t="inlineStr">
        <is>
          <t>JÄMTLANDS LÄN</t>
        </is>
      </c>
      <c r="E1007" t="inlineStr">
        <is>
          <t>HÄRJEDALEN</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5052-2026</t>
        </is>
      </c>
      <c r="B1008" s="1" t="n">
        <v>46049.47261574074</v>
      </c>
      <c r="C1008" s="1" t="n">
        <v>46082</v>
      </c>
      <c r="D1008" t="inlineStr">
        <is>
          <t>JÄMTLANDS LÄN</t>
        </is>
      </c>
      <c r="E1008" t="inlineStr">
        <is>
          <t>HÄRJEDALEN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46383-2023</t>
        </is>
      </c>
      <c r="B1009" s="1" t="n">
        <v>45197.46966435185</v>
      </c>
      <c r="C1009" s="1" t="n">
        <v>46082</v>
      </c>
      <c r="D1009" t="inlineStr">
        <is>
          <t>JÄMTLANDS LÄN</t>
        </is>
      </c>
      <c r="E1009" t="inlineStr">
        <is>
          <t>HÄRJEDALEN</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62451-2025</t>
        </is>
      </c>
      <c r="B1010" s="1" t="n">
        <v>46007.48997685185</v>
      </c>
      <c r="C1010" s="1" t="n">
        <v>46082</v>
      </c>
      <c r="D1010" t="inlineStr">
        <is>
          <t>JÄMTLANDS LÄN</t>
        </is>
      </c>
      <c r="E1010" t="inlineStr">
        <is>
          <t>HÄRJEDALEN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5058-2026</t>
        </is>
      </c>
      <c r="B1011" s="1" t="n">
        <v>46049.48273148148</v>
      </c>
      <c r="C1011" s="1" t="n">
        <v>46082</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41955-2023</t>
        </is>
      </c>
      <c r="B1012" s="1" t="n">
        <v>45174</v>
      </c>
      <c r="C1012" s="1" t="n">
        <v>46082</v>
      </c>
      <c r="D1012" t="inlineStr">
        <is>
          <t>JÄMTLANDS LÄN</t>
        </is>
      </c>
      <c r="E1012" t="inlineStr">
        <is>
          <t>HÄRJEDALEN</t>
        </is>
      </c>
      <c r="G1012" t="n">
        <v>60.5</v>
      </c>
      <c r="H1012" t="n">
        <v>0</v>
      </c>
      <c r="I1012" t="n">
        <v>0</v>
      </c>
      <c r="J1012" t="n">
        <v>0</v>
      </c>
      <c r="K1012" t="n">
        <v>0</v>
      </c>
      <c r="L1012" t="n">
        <v>0</v>
      </c>
      <c r="M1012" t="n">
        <v>0</v>
      </c>
      <c r="N1012" t="n">
        <v>0</v>
      </c>
      <c r="O1012" t="n">
        <v>0</v>
      </c>
      <c r="P1012" t="n">
        <v>0</v>
      </c>
      <c r="Q1012" t="n">
        <v>0</v>
      </c>
      <c r="R1012" s="2" t="inlineStr"/>
    </row>
    <row r="1013" ht="15" customHeight="1">
      <c r="A1013" t="inlineStr">
        <is>
          <t>A 16517-2025</t>
        </is>
      </c>
      <c r="B1013" s="1" t="n">
        <v>45751.63266203704</v>
      </c>
      <c r="C1013" s="1" t="n">
        <v>46082</v>
      </c>
      <c r="D1013" t="inlineStr">
        <is>
          <t>JÄMTLANDS LÄN</t>
        </is>
      </c>
      <c r="E1013" t="inlineStr">
        <is>
          <t>HÄRJEDALEN</t>
        </is>
      </c>
      <c r="F1013" t="inlineStr">
        <is>
          <t>Övriga Aktiebolag</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55562-2023</t>
        </is>
      </c>
      <c r="B1014" s="1" t="n">
        <v>45238.64153935185</v>
      </c>
      <c r="C1014" s="1" t="n">
        <v>46082</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61751-2023</t>
        </is>
      </c>
      <c r="B1015" s="1" t="n">
        <v>45265</v>
      </c>
      <c r="C1015" s="1" t="n">
        <v>46082</v>
      </c>
      <c r="D1015" t="inlineStr">
        <is>
          <t>JÄMTLANDS LÄN</t>
        </is>
      </c>
      <c r="E1015" t="inlineStr">
        <is>
          <t>HÄRJEDALEN</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62932-2025</t>
        </is>
      </c>
      <c r="B1016" s="1" t="n">
        <v>46009.4019675926</v>
      </c>
      <c r="C1016" s="1" t="n">
        <v>46082</v>
      </c>
      <c r="D1016" t="inlineStr">
        <is>
          <t>JÄMTLANDS LÄN</t>
        </is>
      </c>
      <c r="E1016" t="inlineStr">
        <is>
          <t>HÄRJEDALEN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5984-2026</t>
        </is>
      </c>
      <c r="B1017" s="1" t="n">
        <v>46052.55895833333</v>
      </c>
      <c r="C1017" s="1" t="n">
        <v>46082</v>
      </c>
      <c r="D1017" t="inlineStr">
        <is>
          <t>JÄMTLANDS LÄN</t>
        </is>
      </c>
      <c r="E1017" t="inlineStr">
        <is>
          <t>HÄRJEDALEN</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62924-2025</t>
        </is>
      </c>
      <c r="B1018" s="1" t="n">
        <v>46009.38528935185</v>
      </c>
      <c r="C1018" s="1" t="n">
        <v>46082</v>
      </c>
      <c r="D1018" t="inlineStr">
        <is>
          <t>JÄMTLANDS LÄN</t>
        </is>
      </c>
      <c r="E1018" t="inlineStr">
        <is>
          <t>HÄRJEDALEN</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63695-2025</t>
        </is>
      </c>
      <c r="B1019" s="1" t="n">
        <v>46014.56574074074</v>
      </c>
      <c r="C1019" s="1" t="n">
        <v>46082</v>
      </c>
      <c r="D1019" t="inlineStr">
        <is>
          <t>JÄMTLANDS LÄN</t>
        </is>
      </c>
      <c r="E1019" t="inlineStr">
        <is>
          <t>HÄRJEDALEN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6313-2026</t>
        </is>
      </c>
      <c r="B1020" s="1" t="n">
        <v>46055.57800925926</v>
      </c>
      <c r="C1020" s="1" t="n">
        <v>46082</v>
      </c>
      <c r="D1020" t="inlineStr">
        <is>
          <t>JÄMTLANDS LÄN</t>
        </is>
      </c>
      <c r="E1020" t="inlineStr">
        <is>
          <t>HÄRJEDALEN</t>
        </is>
      </c>
      <c r="G1020" t="n">
        <v>3.5</v>
      </c>
      <c r="H1020" t="n">
        <v>0</v>
      </c>
      <c r="I1020" t="n">
        <v>0</v>
      </c>
      <c r="J1020" t="n">
        <v>0</v>
      </c>
      <c r="K1020" t="n">
        <v>0</v>
      </c>
      <c r="L1020" t="n">
        <v>0</v>
      </c>
      <c r="M1020" t="n">
        <v>0</v>
      </c>
      <c r="N1020" t="n">
        <v>0</v>
      </c>
      <c r="O1020" t="n">
        <v>0</v>
      </c>
      <c r="P1020" t="n">
        <v>0</v>
      </c>
      <c r="Q1020" t="n">
        <v>0</v>
      </c>
      <c r="R1020" s="2" t="inlineStr"/>
      <c r="U1020">
        <f>HYPERLINK("https://klasma.github.io/Logging_2361/knärot/A 6313-2026 karta knärot.png", "A 6313-2026")</f>
        <v/>
      </c>
      <c r="V1020">
        <f>HYPERLINK("https://klasma.github.io/Logging_2361/klagomål/A 6313-2026 FSC-klagomål.docx", "A 6313-2026")</f>
        <v/>
      </c>
      <c r="W1020">
        <f>HYPERLINK("https://klasma.github.io/Logging_2361/klagomålsmail/A 6313-2026 FSC-klagomål mail.docx", "A 6313-2026")</f>
        <v/>
      </c>
      <c r="X1020">
        <f>HYPERLINK("https://klasma.github.io/Logging_2361/tillsyn/A 6313-2026 tillsynsbegäran.docx", "A 6313-2026")</f>
        <v/>
      </c>
      <c r="Y1020">
        <f>HYPERLINK("https://klasma.github.io/Logging_2361/tillsynsmail/A 6313-2026 tillsynsbegäran mail.docx", "A 6313-2026")</f>
        <v/>
      </c>
    </row>
    <row r="1021" ht="15" customHeight="1">
      <c r="A1021" t="inlineStr">
        <is>
          <t>A 45716-2023</t>
        </is>
      </c>
      <c r="B1021" s="1" t="n">
        <v>45195.35877314815</v>
      </c>
      <c r="C1021" s="1" t="n">
        <v>46082</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45747-2023</t>
        </is>
      </c>
      <c r="B1022" s="1" t="n">
        <v>45195.3878125</v>
      </c>
      <c r="C1022" s="1" t="n">
        <v>46082</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24494-2024</t>
        </is>
      </c>
      <c r="B1023" s="1" t="n">
        <v>45459</v>
      </c>
      <c r="C1023" s="1" t="n">
        <v>46082</v>
      </c>
      <c r="D1023" t="inlineStr">
        <is>
          <t>JÄMTLANDS LÄN</t>
        </is>
      </c>
      <c r="E1023" t="inlineStr">
        <is>
          <t>HÄRJEDALEN</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63706-2025</t>
        </is>
      </c>
      <c r="B1024" s="1" t="n">
        <v>46014.61186342593</v>
      </c>
      <c r="C1024" s="1" t="n">
        <v>46082</v>
      </c>
      <c r="D1024" t="inlineStr">
        <is>
          <t>JÄMTLANDS LÄN</t>
        </is>
      </c>
      <c r="E1024" t="inlineStr">
        <is>
          <t>HÄRJEDALEN</t>
        </is>
      </c>
      <c r="G1024" t="n">
        <v>13.7</v>
      </c>
      <c r="H1024" t="n">
        <v>0</v>
      </c>
      <c r="I1024" t="n">
        <v>0</v>
      </c>
      <c r="J1024" t="n">
        <v>0</v>
      </c>
      <c r="K1024" t="n">
        <v>0</v>
      </c>
      <c r="L1024" t="n">
        <v>0</v>
      </c>
      <c r="M1024" t="n">
        <v>0</v>
      </c>
      <c r="N1024" t="n">
        <v>0</v>
      </c>
      <c r="O1024" t="n">
        <v>0</v>
      </c>
      <c r="P1024" t="n">
        <v>0</v>
      </c>
      <c r="Q1024" t="n">
        <v>0</v>
      </c>
      <c r="R1024" s="2" t="inlineStr"/>
      <c r="U1024">
        <f>HYPERLINK("https://klasma.github.io/Logging_2361/knärot/A 63706-2025 karta knärot.png", "A 63706-2025")</f>
        <v/>
      </c>
      <c r="V1024">
        <f>HYPERLINK("https://klasma.github.io/Logging_2361/klagomål/A 63706-2025 FSC-klagomål.docx", "A 63706-2025")</f>
        <v/>
      </c>
      <c r="W1024">
        <f>HYPERLINK("https://klasma.github.io/Logging_2361/klagomålsmail/A 63706-2025 FSC-klagomål mail.docx", "A 63706-2025")</f>
        <v/>
      </c>
      <c r="X1024">
        <f>HYPERLINK("https://klasma.github.io/Logging_2361/tillsyn/A 63706-2025 tillsynsbegäran.docx", "A 63706-2025")</f>
        <v/>
      </c>
      <c r="Y1024">
        <f>HYPERLINK("https://klasma.github.io/Logging_2361/tillsynsmail/A 63706-2025 tillsynsbegäran mail.docx", "A 63706-2025")</f>
        <v/>
      </c>
    </row>
    <row r="1025" ht="15" customHeight="1">
      <c r="A1025" t="inlineStr">
        <is>
          <t>A 51017-2023</t>
        </is>
      </c>
      <c r="B1025" s="1" t="n">
        <v>45218.58609953704</v>
      </c>
      <c r="C1025" s="1" t="n">
        <v>46082</v>
      </c>
      <c r="D1025" t="inlineStr">
        <is>
          <t>JÄMTLANDS LÄN</t>
        </is>
      </c>
      <c r="E1025" t="inlineStr">
        <is>
          <t>HÄRJEDALEN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46082</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16552-2025</t>
        </is>
      </c>
      <c r="B1027" s="1" t="n">
        <v>45751.69827546296</v>
      </c>
      <c r="C1027" s="1" t="n">
        <v>46082</v>
      </c>
      <c r="D1027" t="inlineStr">
        <is>
          <t>JÄMTLANDS LÄN</t>
        </is>
      </c>
      <c r="E1027" t="inlineStr">
        <is>
          <t>HÄRJEDALEN</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10483-2025</t>
        </is>
      </c>
      <c r="B1028" s="1" t="n">
        <v>45721.33868055556</v>
      </c>
      <c r="C1028" s="1" t="n">
        <v>46082</v>
      </c>
      <c r="D1028" t="inlineStr">
        <is>
          <t>JÄMTLANDS LÄN</t>
        </is>
      </c>
      <c r="E1028" t="inlineStr">
        <is>
          <t>HÄRJEDALEN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37290-2025</t>
        </is>
      </c>
      <c r="B1029" s="1" t="n">
        <v>45876</v>
      </c>
      <c r="C1029" s="1" t="n">
        <v>46082</v>
      </c>
      <c r="D1029" t="inlineStr">
        <is>
          <t>JÄMTLANDS LÄN</t>
        </is>
      </c>
      <c r="E1029" t="inlineStr">
        <is>
          <t>HÄRJEDALEN</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57840-2024</t>
        </is>
      </c>
      <c r="B1030" s="1" t="n">
        <v>45631</v>
      </c>
      <c r="C1030" s="1" t="n">
        <v>46082</v>
      </c>
      <c r="D1030" t="inlineStr">
        <is>
          <t>JÄMTLANDS LÄN</t>
        </is>
      </c>
      <c r="E1030" t="inlineStr">
        <is>
          <t>HÄRJEDALEN</t>
        </is>
      </c>
      <c r="F1030" t="inlineStr">
        <is>
          <t>Bergvik skog väst AB</t>
        </is>
      </c>
      <c r="G1030" t="n">
        <v>98.8</v>
      </c>
      <c r="H1030" t="n">
        <v>0</v>
      </c>
      <c r="I1030" t="n">
        <v>0</v>
      </c>
      <c r="J1030" t="n">
        <v>0</v>
      </c>
      <c r="K1030" t="n">
        <v>0</v>
      </c>
      <c r="L1030" t="n">
        <v>0</v>
      </c>
      <c r="M1030" t="n">
        <v>0</v>
      </c>
      <c r="N1030" t="n">
        <v>0</v>
      </c>
      <c r="O1030" t="n">
        <v>0</v>
      </c>
      <c r="P1030" t="n">
        <v>0</v>
      </c>
      <c r="Q1030" t="n">
        <v>0</v>
      </c>
      <c r="R1030" s="2" t="inlineStr"/>
    </row>
    <row r="1031" ht="15" customHeight="1">
      <c r="A1031" t="inlineStr">
        <is>
          <t>A 50570-2025</t>
        </is>
      </c>
      <c r="B1031" s="1" t="n">
        <v>45945.57354166666</v>
      </c>
      <c r="C1031" s="1" t="n">
        <v>46082</v>
      </c>
      <c r="D1031" t="inlineStr">
        <is>
          <t>JÄMTLANDS LÄN</t>
        </is>
      </c>
      <c r="E1031" t="inlineStr">
        <is>
          <t>HÄRJEDALEN</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4220-2025</t>
        </is>
      </c>
      <c r="B1032" s="1" t="n">
        <v>45685</v>
      </c>
      <c r="C1032" s="1" t="n">
        <v>46082</v>
      </c>
      <c r="D1032" t="inlineStr">
        <is>
          <t>JÄMTLANDS LÄN</t>
        </is>
      </c>
      <c r="E1032" t="inlineStr">
        <is>
          <t>HÄRJEDALEN</t>
        </is>
      </c>
      <c r="F1032" t="inlineStr">
        <is>
          <t>Bergvik skog väst AB</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38820-2025</t>
        </is>
      </c>
      <c r="B1033" s="1" t="n">
        <v>45887</v>
      </c>
      <c r="C1033" s="1" t="n">
        <v>46082</v>
      </c>
      <c r="D1033" t="inlineStr">
        <is>
          <t>JÄMTLANDS LÄN</t>
        </is>
      </c>
      <c r="E1033" t="inlineStr">
        <is>
          <t>HÄRJEDALEN</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27512-2024</t>
        </is>
      </c>
      <c r="B1034" s="1" t="n">
        <v>45474.54432870371</v>
      </c>
      <c r="C1034" s="1" t="n">
        <v>46082</v>
      </c>
      <c r="D1034" t="inlineStr">
        <is>
          <t>JÄMTLANDS LÄN</t>
        </is>
      </c>
      <c r="E1034" t="inlineStr">
        <is>
          <t>HÄRJEDALEN</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43591-2024</t>
        </is>
      </c>
      <c r="B1035" s="1" t="n">
        <v>45569</v>
      </c>
      <c r="C1035" s="1" t="n">
        <v>46082</v>
      </c>
      <c r="D1035" t="inlineStr">
        <is>
          <t>JÄMTLANDS LÄN</t>
        </is>
      </c>
      <c r="E1035" t="inlineStr">
        <is>
          <t>HÄRJEDALEN</t>
        </is>
      </c>
      <c r="F1035" t="inlineStr">
        <is>
          <t>Bergvik skog väst AB</t>
        </is>
      </c>
      <c r="G1035" t="n">
        <v>50.5</v>
      </c>
      <c r="H1035" t="n">
        <v>0</v>
      </c>
      <c r="I1035" t="n">
        <v>0</v>
      </c>
      <c r="J1035" t="n">
        <v>0</v>
      </c>
      <c r="K1035" t="n">
        <v>0</v>
      </c>
      <c r="L1035" t="n">
        <v>0</v>
      </c>
      <c r="M1035" t="n">
        <v>0</v>
      </c>
      <c r="N1035" t="n">
        <v>0</v>
      </c>
      <c r="O1035" t="n">
        <v>0</v>
      </c>
      <c r="P1035" t="n">
        <v>0</v>
      </c>
      <c r="Q1035" t="n">
        <v>0</v>
      </c>
      <c r="R1035" s="2" t="inlineStr"/>
    </row>
    <row r="1036" ht="15" customHeight="1">
      <c r="A1036" t="inlineStr">
        <is>
          <t>A 24426-2022</t>
        </is>
      </c>
      <c r="B1036" s="1" t="n">
        <v>44726</v>
      </c>
      <c r="C1036" s="1" t="n">
        <v>46082</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6810-2026</t>
        </is>
      </c>
      <c r="B1037" s="1" t="n">
        <v>46057.37055555556</v>
      </c>
      <c r="C1037" s="1" t="n">
        <v>46082</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63648-2025</t>
        </is>
      </c>
      <c r="B1038" s="1" t="n">
        <v>46014.43386574074</v>
      </c>
      <c r="C1038" s="1" t="n">
        <v>46082</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36539-2025</t>
        </is>
      </c>
      <c r="B1039" s="1" t="n">
        <v>45869</v>
      </c>
      <c r="C1039" s="1" t="n">
        <v>46082</v>
      </c>
      <c r="D1039" t="inlineStr">
        <is>
          <t>JÄMTLANDS LÄN</t>
        </is>
      </c>
      <c r="E1039" t="inlineStr">
        <is>
          <t>HÄRJEDALEN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16014-2022</t>
        </is>
      </c>
      <c r="B1040" s="1" t="n">
        <v>44665</v>
      </c>
      <c r="C1040" s="1" t="n">
        <v>46082</v>
      </c>
      <c r="D1040" t="inlineStr">
        <is>
          <t>JÄMTLANDS LÄN</t>
        </is>
      </c>
      <c r="E1040" t="inlineStr">
        <is>
          <t>HÄRJEDALEN</t>
        </is>
      </c>
      <c r="G1040" t="n">
        <v>38.7</v>
      </c>
      <c r="H1040" t="n">
        <v>0</v>
      </c>
      <c r="I1040" t="n">
        <v>0</v>
      </c>
      <c r="J1040" t="n">
        <v>0</v>
      </c>
      <c r="K1040" t="n">
        <v>0</v>
      </c>
      <c r="L1040" t="n">
        <v>0</v>
      </c>
      <c r="M1040" t="n">
        <v>0</v>
      </c>
      <c r="N1040" t="n">
        <v>0</v>
      </c>
      <c r="O1040" t="n">
        <v>0</v>
      </c>
      <c r="P1040" t="n">
        <v>0</v>
      </c>
      <c r="Q1040" t="n">
        <v>0</v>
      </c>
      <c r="R1040" s="2" t="inlineStr"/>
    </row>
    <row r="1041" ht="15" customHeight="1">
      <c r="A1041" t="inlineStr">
        <is>
          <t>A 7302-2026</t>
        </is>
      </c>
      <c r="B1041" s="1" t="n">
        <v>46058.65045138889</v>
      </c>
      <c r="C1041" s="1" t="n">
        <v>46082</v>
      </c>
      <c r="D1041" t="inlineStr">
        <is>
          <t>JÄMTLANDS LÄN</t>
        </is>
      </c>
      <c r="E1041" t="inlineStr">
        <is>
          <t>HÄRJEDALEN</t>
        </is>
      </c>
      <c r="F1041" t="inlineStr">
        <is>
          <t>Bergvik skog väst AB</t>
        </is>
      </c>
      <c r="G1041" t="n">
        <v>34.3</v>
      </c>
      <c r="H1041" t="n">
        <v>0</v>
      </c>
      <c r="I1041" t="n">
        <v>0</v>
      </c>
      <c r="J1041" t="n">
        <v>0</v>
      </c>
      <c r="K1041" t="n">
        <v>0</v>
      </c>
      <c r="L1041" t="n">
        <v>0</v>
      </c>
      <c r="M1041" t="n">
        <v>0</v>
      </c>
      <c r="N1041" t="n">
        <v>0</v>
      </c>
      <c r="O1041" t="n">
        <v>0</v>
      </c>
      <c r="P1041" t="n">
        <v>0</v>
      </c>
      <c r="Q1041" t="n">
        <v>0</v>
      </c>
      <c r="R1041" s="2" t="inlineStr"/>
    </row>
    <row r="1042" ht="15" customHeight="1">
      <c r="A1042" t="inlineStr">
        <is>
          <t>A 63708-2025</t>
        </is>
      </c>
      <c r="B1042" s="1" t="n">
        <v>46014.61556712963</v>
      </c>
      <c r="C1042" s="1" t="n">
        <v>46082</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4684-2026</t>
        </is>
      </c>
      <c r="B1043" s="1" t="n">
        <v>46048</v>
      </c>
      <c r="C1043" s="1" t="n">
        <v>46082</v>
      </c>
      <c r="D1043" t="inlineStr">
        <is>
          <t>JÄMTLANDS LÄN</t>
        </is>
      </c>
      <c r="E1043" t="inlineStr">
        <is>
          <t>HÄRJEDALEN</t>
        </is>
      </c>
      <c r="G1043" t="n">
        <v>15.4</v>
      </c>
      <c r="H1043" t="n">
        <v>0</v>
      </c>
      <c r="I1043" t="n">
        <v>0</v>
      </c>
      <c r="J1043" t="n">
        <v>0</v>
      </c>
      <c r="K1043" t="n">
        <v>0</v>
      </c>
      <c r="L1043" t="n">
        <v>0</v>
      </c>
      <c r="M1043" t="n">
        <v>0</v>
      </c>
      <c r="N1043" t="n">
        <v>0</v>
      </c>
      <c r="O1043" t="n">
        <v>0</v>
      </c>
      <c r="P1043" t="n">
        <v>0</v>
      </c>
      <c r="Q1043" t="n">
        <v>0</v>
      </c>
      <c r="R1043" s="2" t="inlineStr"/>
    </row>
    <row r="1044" ht="15" customHeight="1">
      <c r="A1044" t="inlineStr">
        <is>
          <t>A 4730-2026</t>
        </is>
      </c>
      <c r="B1044" s="1" t="n">
        <v>46048</v>
      </c>
      <c r="C1044" s="1" t="n">
        <v>46082</v>
      </c>
      <c r="D1044" t="inlineStr">
        <is>
          <t>JÄMTLANDS LÄN</t>
        </is>
      </c>
      <c r="E1044" t="inlineStr">
        <is>
          <t>HÄRJEDALEN</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4728-2026</t>
        </is>
      </c>
      <c r="B1045" s="1" t="n">
        <v>46048</v>
      </c>
      <c r="C1045" s="1" t="n">
        <v>46082</v>
      </c>
      <c r="D1045" t="inlineStr">
        <is>
          <t>JÄMTLANDS LÄN</t>
        </is>
      </c>
      <c r="E1045" t="inlineStr">
        <is>
          <t>HÄRJEDALEN</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41094-2023</t>
        </is>
      </c>
      <c r="B1046" s="1" t="n">
        <v>45173</v>
      </c>
      <c r="C1046" s="1" t="n">
        <v>46082</v>
      </c>
      <c r="D1046" t="inlineStr">
        <is>
          <t>JÄMTLANDS LÄN</t>
        </is>
      </c>
      <c r="E1046" t="inlineStr">
        <is>
          <t>HÄRJEDALEN</t>
        </is>
      </c>
      <c r="F1046" t="inlineStr">
        <is>
          <t>Sveaskog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46082</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57202-2023</t>
        </is>
      </c>
      <c r="B1048" s="1" t="n">
        <v>45245</v>
      </c>
      <c r="C1048" s="1" t="n">
        <v>46082</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14752-2024</t>
        </is>
      </c>
      <c r="B1049" s="1" t="n">
        <v>45397.64855324074</v>
      </c>
      <c r="C1049" s="1" t="n">
        <v>46082</v>
      </c>
      <c r="D1049" t="inlineStr">
        <is>
          <t>JÄMTLANDS LÄN</t>
        </is>
      </c>
      <c r="E1049" t="inlineStr">
        <is>
          <t>HÄRJEDALEN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39625-2022</t>
        </is>
      </c>
      <c r="B1050" s="1" t="n">
        <v>44818</v>
      </c>
      <c r="C1050" s="1" t="n">
        <v>46082</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57637-2024</t>
        </is>
      </c>
      <c r="B1051" s="1" t="n">
        <v>45630.5731712963</v>
      </c>
      <c r="C1051" s="1" t="n">
        <v>46082</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63-2026</t>
        </is>
      </c>
      <c r="B1052" s="1" t="n">
        <v>46024.44586805555</v>
      </c>
      <c r="C1052" s="1" t="n">
        <v>46082</v>
      </c>
      <c r="D1052" t="inlineStr">
        <is>
          <t>JÄMTLANDS LÄN</t>
        </is>
      </c>
      <c r="E1052" t="inlineStr">
        <is>
          <t>HÄRJEDALEN</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31778-2023</t>
        </is>
      </c>
      <c r="B1053" s="1" t="n">
        <v>45118.3959375</v>
      </c>
      <c r="C1053" s="1" t="n">
        <v>46082</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9094-2026</t>
        </is>
      </c>
      <c r="B1054" s="1" t="n">
        <v>46069.63391203704</v>
      </c>
      <c r="C1054" s="1" t="n">
        <v>46082</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12781-2025</t>
        </is>
      </c>
      <c r="B1055" s="1" t="n">
        <v>45733.59667824074</v>
      </c>
      <c r="C1055" s="1" t="n">
        <v>46082</v>
      </c>
      <c r="D1055" t="inlineStr">
        <is>
          <t>JÄMTLANDS LÄN</t>
        </is>
      </c>
      <c r="E1055" t="inlineStr">
        <is>
          <t>HÄRJEDALEN</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45098.48666666666</v>
      </c>
      <c r="C1056" s="1" t="n">
        <v>46082</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325-2026</t>
        </is>
      </c>
      <c r="B1057" s="1" t="n">
        <v>46027.5891087963</v>
      </c>
      <c r="C1057" s="1" t="n">
        <v>46082</v>
      </c>
      <c r="D1057" t="inlineStr">
        <is>
          <t>JÄMTLANDS LÄN</t>
        </is>
      </c>
      <c r="E1057" t="inlineStr">
        <is>
          <t>HÄRJEDALEN</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238-2026</t>
        </is>
      </c>
      <c r="B1058" s="1" t="n">
        <v>46027.36778935185</v>
      </c>
      <c r="C1058" s="1" t="n">
        <v>46082</v>
      </c>
      <c r="D1058" t="inlineStr">
        <is>
          <t>JÄMTLANDS LÄN</t>
        </is>
      </c>
      <c r="E1058" t="inlineStr">
        <is>
          <t>HÄRJEDALEN</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279-2026</t>
        </is>
      </c>
      <c r="B1059" s="1" t="n">
        <v>46027.47453703704</v>
      </c>
      <c r="C1059" s="1" t="n">
        <v>46082</v>
      </c>
      <c r="D1059" t="inlineStr">
        <is>
          <t>JÄMTLANDS LÄN</t>
        </is>
      </c>
      <c r="E1059" t="inlineStr">
        <is>
          <t>HÄRJEDALEN</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322-2026</t>
        </is>
      </c>
      <c r="B1060" s="1" t="n">
        <v>46027.58601851852</v>
      </c>
      <c r="C1060" s="1" t="n">
        <v>46082</v>
      </c>
      <c r="D1060" t="inlineStr">
        <is>
          <t>JÄMTLANDS LÄN</t>
        </is>
      </c>
      <c r="E1060" t="inlineStr">
        <is>
          <t>HÄRJEDALEN</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62639-2022</t>
        </is>
      </c>
      <c r="B1061" s="1" t="n">
        <v>44925</v>
      </c>
      <c r="C1061" s="1" t="n">
        <v>46082</v>
      </c>
      <c r="D1061" t="inlineStr">
        <is>
          <t>JÄMTLANDS LÄN</t>
        </is>
      </c>
      <c r="E1061" t="inlineStr">
        <is>
          <t>HÄRJEDALEN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9092-2026</t>
        </is>
      </c>
      <c r="B1062" s="1" t="n">
        <v>46069.63060185185</v>
      </c>
      <c r="C1062" s="1" t="n">
        <v>46082</v>
      </c>
      <c r="D1062" t="inlineStr">
        <is>
          <t>JÄMTLANDS LÄN</t>
        </is>
      </c>
      <c r="E1062" t="inlineStr">
        <is>
          <t>HÄRJEDALEN</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289-2026</t>
        </is>
      </c>
      <c r="B1063" s="1" t="n">
        <v>46027.49865740741</v>
      </c>
      <c r="C1063" s="1" t="n">
        <v>46082</v>
      </c>
      <c r="D1063" t="inlineStr">
        <is>
          <t>JÄMTLANDS LÄN</t>
        </is>
      </c>
      <c r="E1063" t="inlineStr">
        <is>
          <t>HÄRJEDALEN</t>
        </is>
      </c>
      <c r="F1063" t="inlineStr">
        <is>
          <t>Holmen skog AB</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1172-2025</t>
        </is>
      </c>
      <c r="B1064" s="1" t="n">
        <v>45667</v>
      </c>
      <c r="C1064" s="1" t="n">
        <v>46082</v>
      </c>
      <c r="D1064" t="inlineStr">
        <is>
          <t>JÄMTLANDS LÄN</t>
        </is>
      </c>
      <c r="E1064" t="inlineStr">
        <is>
          <t>HÄRJEDALEN</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31723-2025</t>
        </is>
      </c>
      <c r="B1065" s="1" t="n">
        <v>45834</v>
      </c>
      <c r="C1065" s="1" t="n">
        <v>46082</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282-2026</t>
        </is>
      </c>
      <c r="B1066" s="1" t="n">
        <v>46027.48473379629</v>
      </c>
      <c r="C1066" s="1" t="n">
        <v>46082</v>
      </c>
      <c r="D1066" t="inlineStr">
        <is>
          <t>JÄMTLANDS LÄN</t>
        </is>
      </c>
      <c r="E1066" t="inlineStr">
        <is>
          <t>HÄRJEDALEN</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280-2026</t>
        </is>
      </c>
      <c r="B1067" s="1" t="n">
        <v>46027.47597222222</v>
      </c>
      <c r="C1067" s="1" t="n">
        <v>46082</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9089-2026</t>
        </is>
      </c>
      <c r="B1068" s="1" t="n">
        <v>46069.62508101852</v>
      </c>
      <c r="C1068" s="1" t="n">
        <v>46082</v>
      </c>
      <c r="D1068" t="inlineStr">
        <is>
          <t>JÄMTLANDS LÄN</t>
        </is>
      </c>
      <c r="E1068" t="inlineStr">
        <is>
          <t>HÄRJEDALEN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64014-2025</t>
        </is>
      </c>
      <c r="B1069" s="1" t="n">
        <v>46021</v>
      </c>
      <c r="C1069" s="1" t="n">
        <v>46082</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30744-2024</t>
        </is>
      </c>
      <c r="B1070" s="1" t="n">
        <v>45496.67342592592</v>
      </c>
      <c r="C1070" s="1" t="n">
        <v>46082</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31747-2024</t>
        </is>
      </c>
      <c r="B1071" s="1" t="n">
        <v>45509</v>
      </c>
      <c r="C1071" s="1" t="n">
        <v>46082</v>
      </c>
      <c r="D1071" t="inlineStr">
        <is>
          <t>JÄMTLANDS LÄN</t>
        </is>
      </c>
      <c r="E1071" t="inlineStr">
        <is>
          <t>HÄRJEDALEN</t>
        </is>
      </c>
      <c r="F1071" t="inlineStr">
        <is>
          <t>Övriga statliga verk och myndigheter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5013-2023</t>
        </is>
      </c>
      <c r="B1072" s="1" t="n">
        <v>44958</v>
      </c>
      <c r="C1072" s="1" t="n">
        <v>46082</v>
      </c>
      <c r="D1072" t="inlineStr">
        <is>
          <t>JÄMTLANDS LÄN</t>
        </is>
      </c>
      <c r="E1072" t="inlineStr">
        <is>
          <t>HÄRJEDALEN</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468-2026</t>
        </is>
      </c>
      <c r="B1073" s="1" t="n">
        <v>46029.38601851852</v>
      </c>
      <c r="C1073" s="1" t="n">
        <v>46082</v>
      </c>
      <c r="D1073" t="inlineStr">
        <is>
          <t>JÄMTLANDS LÄN</t>
        </is>
      </c>
      <c r="E1073" t="inlineStr">
        <is>
          <t>HÄRJEDALEN</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14837-2025</t>
        </is>
      </c>
      <c r="B1074" s="1" t="n">
        <v>45743.38449074074</v>
      </c>
      <c r="C1074" s="1" t="n">
        <v>46082</v>
      </c>
      <c r="D1074" t="inlineStr">
        <is>
          <t>JÄMTLANDS LÄN</t>
        </is>
      </c>
      <c r="E1074" t="inlineStr">
        <is>
          <t>HÄRJEDALEN</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4898-2025</t>
        </is>
      </c>
      <c r="B1075" s="1" t="n">
        <v>45688.67932870371</v>
      </c>
      <c r="C1075" s="1" t="n">
        <v>46082</v>
      </c>
      <c r="D1075" t="inlineStr">
        <is>
          <t>JÄMTLANDS LÄN</t>
        </is>
      </c>
      <c r="E1075" t="inlineStr">
        <is>
          <t>HÄRJEDALEN</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9485-2026</t>
        </is>
      </c>
      <c r="B1076" s="1" t="n">
        <v>46071.54091435186</v>
      </c>
      <c r="C1076" s="1" t="n">
        <v>46082</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9486-2026</t>
        </is>
      </c>
      <c r="B1077" s="1" t="n">
        <v>46071.54701388889</v>
      </c>
      <c r="C1077" s="1" t="n">
        <v>46082</v>
      </c>
      <c r="D1077" t="inlineStr">
        <is>
          <t>JÄMTLANDS LÄN</t>
        </is>
      </c>
      <c r="E1077" t="inlineStr">
        <is>
          <t>HÄRJEDALEN</t>
        </is>
      </c>
      <c r="F1077" t="inlineStr">
        <is>
          <t>Övriga Aktiebolag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20341-2025</t>
        </is>
      </c>
      <c r="B1078" s="1" t="n">
        <v>45775.36587962963</v>
      </c>
      <c r="C1078" s="1" t="n">
        <v>46082</v>
      </c>
      <c r="D1078" t="inlineStr">
        <is>
          <t>JÄMTLANDS LÄN</t>
        </is>
      </c>
      <c r="E1078" t="inlineStr">
        <is>
          <t>HÄRJEDALEN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20342-2025</t>
        </is>
      </c>
      <c r="B1079" s="1" t="n">
        <v>45775.36589120371</v>
      </c>
      <c r="C1079" s="1" t="n">
        <v>46082</v>
      </c>
      <c r="D1079" t="inlineStr">
        <is>
          <t>JÄMTLANDS LÄN</t>
        </is>
      </c>
      <c r="E1079" t="inlineStr">
        <is>
          <t>HÄRJEDALEN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57373-2021</t>
        </is>
      </c>
      <c r="B1080" s="1" t="n">
        <v>44483</v>
      </c>
      <c r="C1080" s="1" t="n">
        <v>46082</v>
      </c>
      <c r="D1080" t="inlineStr">
        <is>
          <t>JÄMTLANDS LÄN</t>
        </is>
      </c>
      <c r="E1080" t="inlineStr">
        <is>
          <t>HÄRJEDALEN</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576-2025</t>
        </is>
      </c>
      <c r="B1081" s="1" t="n">
        <v>45664.56502314815</v>
      </c>
      <c r="C1081" s="1" t="n">
        <v>46082</v>
      </c>
      <c r="D1081" t="inlineStr">
        <is>
          <t>JÄMTLANDS LÄN</t>
        </is>
      </c>
      <c r="E1081" t="inlineStr">
        <is>
          <t>HÄRJEDALEN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5623-2026</t>
        </is>
      </c>
      <c r="B1082" s="1" t="n">
        <v>46051</v>
      </c>
      <c r="C1082" s="1" t="n">
        <v>46082</v>
      </c>
      <c r="D1082" t="inlineStr">
        <is>
          <t>JÄMTLANDS LÄN</t>
        </is>
      </c>
      <c r="E1082" t="inlineStr">
        <is>
          <t>HÄRJEDALEN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29536-2024</t>
        </is>
      </c>
      <c r="B1083" s="1" t="n">
        <v>45484.48854166667</v>
      </c>
      <c r="C1083" s="1" t="n">
        <v>46082</v>
      </c>
      <c r="D1083" t="inlineStr">
        <is>
          <t>JÄMTLANDS LÄN</t>
        </is>
      </c>
      <c r="E1083" t="inlineStr">
        <is>
          <t>HÄRJEDALEN</t>
        </is>
      </c>
      <c r="F1083" t="inlineStr">
        <is>
          <t>Holmen skog AB</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29935-2024</t>
        </is>
      </c>
      <c r="B1084" s="1" t="n">
        <v>45488</v>
      </c>
      <c r="C1084" s="1" t="n">
        <v>46082</v>
      </c>
      <c r="D1084" t="inlineStr">
        <is>
          <t>JÄMTLANDS LÄN</t>
        </is>
      </c>
      <c r="E1084" t="inlineStr">
        <is>
          <t>HÄRJEDALEN</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48438-2022</t>
        </is>
      </c>
      <c r="B1085" s="1" t="n">
        <v>44858</v>
      </c>
      <c r="C1085" s="1" t="n">
        <v>46082</v>
      </c>
      <c r="D1085" t="inlineStr">
        <is>
          <t>JÄMTLANDS LÄN</t>
        </is>
      </c>
      <c r="E1085" t="inlineStr">
        <is>
          <t>HÄRJEDALEN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65150-2023</t>
        </is>
      </c>
      <c r="B1086" s="1" t="n">
        <v>45288.58685185185</v>
      </c>
      <c r="C1086" s="1" t="n">
        <v>46082</v>
      </c>
      <c r="D1086" t="inlineStr">
        <is>
          <t>JÄMTLANDS LÄN</t>
        </is>
      </c>
      <c r="E1086" t="inlineStr">
        <is>
          <t>HÄRJEDALEN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38840-2024</t>
        </is>
      </c>
      <c r="B1087" s="1" t="n">
        <v>45547.59543981482</v>
      </c>
      <c r="C1087" s="1" t="n">
        <v>46082</v>
      </c>
      <c r="D1087" t="inlineStr">
        <is>
          <t>JÄMTLANDS LÄN</t>
        </is>
      </c>
      <c r="E1087" t="inlineStr">
        <is>
          <t>HÄRJEDALEN</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31816-2024</t>
        </is>
      </c>
      <c r="B1088" s="1" t="n">
        <v>45509.5980787037</v>
      </c>
      <c r="C1088" s="1" t="n">
        <v>46082</v>
      </c>
      <c r="D1088" t="inlineStr">
        <is>
          <t>JÄMTLANDS LÄN</t>
        </is>
      </c>
      <c r="E1088" t="inlineStr">
        <is>
          <t>HÄRJEDALEN</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1403-2026</t>
        </is>
      </c>
      <c r="B1089" s="1" t="n">
        <v>46031.64429398148</v>
      </c>
      <c r="C1089" s="1" t="n">
        <v>46082</v>
      </c>
      <c r="D1089" t="inlineStr">
        <is>
          <t>JÄMTLANDS LÄN</t>
        </is>
      </c>
      <c r="E1089" t="inlineStr">
        <is>
          <t>HÄRJEDALEN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34453-2021</t>
        </is>
      </c>
      <c r="B1090" s="1" t="n">
        <v>44381</v>
      </c>
      <c r="C1090" s="1" t="n">
        <v>46082</v>
      </c>
      <c r="D1090" t="inlineStr">
        <is>
          <t>JÄMTLANDS LÄN</t>
        </is>
      </c>
      <c r="E1090" t="inlineStr">
        <is>
          <t>HÄRJEDALEN</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19105-2025</t>
        </is>
      </c>
      <c r="B1091" s="1" t="n">
        <v>45768.30814814815</v>
      </c>
      <c r="C1091" s="1" t="n">
        <v>46082</v>
      </c>
      <c r="D1091" t="inlineStr">
        <is>
          <t>JÄMTLANDS LÄN</t>
        </is>
      </c>
      <c r="E1091" t="inlineStr">
        <is>
          <t>HÄRJEDALEN</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1196-2026</t>
        </is>
      </c>
      <c r="B1092" s="1" t="n">
        <v>46031.3709837963</v>
      </c>
      <c r="C1092" s="1" t="n">
        <v>46082</v>
      </c>
      <c r="D1092" t="inlineStr">
        <is>
          <t>JÄMTLANDS LÄN</t>
        </is>
      </c>
      <c r="E1092" t="inlineStr">
        <is>
          <t>HÄRJEDALEN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62104-2024</t>
        </is>
      </c>
      <c r="B1093" s="1" t="n">
        <v>45656.51157407407</v>
      </c>
      <c r="C1093" s="1" t="n">
        <v>46082</v>
      </c>
      <c r="D1093" t="inlineStr">
        <is>
          <t>JÄMTLANDS LÄN</t>
        </is>
      </c>
      <c r="E1093" t="inlineStr">
        <is>
          <t>HÄRJEDALEN</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6001-2023</t>
        </is>
      </c>
      <c r="B1094" s="1" t="n">
        <v>44964</v>
      </c>
      <c r="C1094" s="1" t="n">
        <v>46082</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1963-2026</t>
        </is>
      </c>
      <c r="B1095" s="1" t="n">
        <v>46035</v>
      </c>
      <c r="C1095" s="1" t="n">
        <v>46082</v>
      </c>
      <c r="D1095" t="inlineStr">
        <is>
          <t>JÄMTLANDS LÄN</t>
        </is>
      </c>
      <c r="E1095" t="inlineStr">
        <is>
          <t>HÄRJEDALEN</t>
        </is>
      </c>
      <c r="F1095" t="inlineStr">
        <is>
          <t>Övriga statliga verk och myndigheter</t>
        </is>
      </c>
      <c r="G1095" t="n">
        <v>26.9</v>
      </c>
      <c r="H1095" t="n">
        <v>0</v>
      </c>
      <c r="I1095" t="n">
        <v>0</v>
      </c>
      <c r="J1095" t="n">
        <v>0</v>
      </c>
      <c r="K1095" t="n">
        <v>0</v>
      </c>
      <c r="L1095" t="n">
        <v>0</v>
      </c>
      <c r="M1095" t="n">
        <v>0</v>
      </c>
      <c r="N1095" t="n">
        <v>0</v>
      </c>
      <c r="O1095" t="n">
        <v>0</v>
      </c>
      <c r="P1095" t="n">
        <v>0</v>
      </c>
      <c r="Q1095" t="n">
        <v>0</v>
      </c>
      <c r="R1095" s="2" t="inlineStr"/>
    </row>
    <row r="1096" ht="15" customHeight="1">
      <c r="A1096" t="inlineStr">
        <is>
          <t>A 9795-2026</t>
        </is>
      </c>
      <c r="B1096" s="1" t="n">
        <v>46071</v>
      </c>
      <c r="C1096" s="1" t="n">
        <v>46082</v>
      </c>
      <c r="D1096" t="inlineStr">
        <is>
          <t>JÄMTLANDS LÄN</t>
        </is>
      </c>
      <c r="E1096" t="inlineStr">
        <is>
          <t>HÄRJEDALEN</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9791-2026</t>
        </is>
      </c>
      <c r="B1097" s="1" t="n">
        <v>46071</v>
      </c>
      <c r="C1097" s="1" t="n">
        <v>46082</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62699-2022</t>
        </is>
      </c>
      <c r="B1098" s="1" t="n">
        <v>44925.59333333333</v>
      </c>
      <c r="C1098" s="1" t="n">
        <v>46082</v>
      </c>
      <c r="D1098" t="inlineStr">
        <is>
          <t>JÄMTLANDS LÄN</t>
        </is>
      </c>
      <c r="E1098" t="inlineStr">
        <is>
          <t>HÄRJEDALEN</t>
        </is>
      </c>
      <c r="F1098" t="inlineStr">
        <is>
          <t>Holmen skog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12929-2024</t>
        </is>
      </c>
      <c r="B1099" s="1" t="n">
        <v>45385</v>
      </c>
      <c r="C1099" s="1" t="n">
        <v>46082</v>
      </c>
      <c r="D1099" t="inlineStr">
        <is>
          <t>JÄMTLANDS LÄN</t>
        </is>
      </c>
      <c r="E1099" t="inlineStr">
        <is>
          <t>HÄRJEDALEN</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2313-2026</t>
        </is>
      </c>
      <c r="B1100" s="1" t="n">
        <v>46036.59523148148</v>
      </c>
      <c r="C1100" s="1" t="n">
        <v>46082</v>
      </c>
      <c r="D1100" t="inlineStr">
        <is>
          <t>JÄMTLANDS LÄN</t>
        </is>
      </c>
      <c r="E1100" t="inlineStr">
        <is>
          <t>HÄRJEDALEN</t>
        </is>
      </c>
      <c r="G1100" t="n">
        <v>23.6</v>
      </c>
      <c r="H1100" t="n">
        <v>0</v>
      </c>
      <c r="I1100" t="n">
        <v>0</v>
      </c>
      <c r="J1100" t="n">
        <v>0</v>
      </c>
      <c r="K1100" t="n">
        <v>0</v>
      </c>
      <c r="L1100" t="n">
        <v>0</v>
      </c>
      <c r="M1100" t="n">
        <v>0</v>
      </c>
      <c r="N1100" t="n">
        <v>0</v>
      </c>
      <c r="O1100" t="n">
        <v>0</v>
      </c>
      <c r="P1100" t="n">
        <v>0</v>
      </c>
      <c r="Q1100" t="n">
        <v>0</v>
      </c>
      <c r="R1100" s="2" t="inlineStr"/>
    </row>
    <row r="1101" ht="15" customHeight="1">
      <c r="A1101" t="inlineStr">
        <is>
          <t>A 10014-2023</t>
        </is>
      </c>
      <c r="B1101" s="1" t="n">
        <v>44985.61403935185</v>
      </c>
      <c r="C1101" s="1" t="n">
        <v>46082</v>
      </c>
      <c r="D1101" t="inlineStr">
        <is>
          <t>JÄMTLANDS LÄN</t>
        </is>
      </c>
      <c r="E1101" t="inlineStr">
        <is>
          <t>HÄRJEDALEN</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19863-2024</t>
        </is>
      </c>
      <c r="B1102" s="1" t="n">
        <v>45433</v>
      </c>
      <c r="C1102" s="1" t="n">
        <v>46082</v>
      </c>
      <c r="D1102" t="inlineStr">
        <is>
          <t>JÄMTLANDS LÄN</t>
        </is>
      </c>
      <c r="E1102" t="inlineStr">
        <is>
          <t>HÄRJEDALEN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2781-2026</t>
        </is>
      </c>
      <c r="B1103" s="1" t="n">
        <v>46038.3860300926</v>
      </c>
      <c r="C1103" s="1" t="n">
        <v>46082</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39158-2023</t>
        </is>
      </c>
      <c r="B1104" s="1" t="n">
        <v>45166.34795138889</v>
      </c>
      <c r="C1104" s="1" t="n">
        <v>46082</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78-2023</t>
        </is>
      </c>
      <c r="B1105" s="1" t="n">
        <v>44928</v>
      </c>
      <c r="C1105" s="1" t="n">
        <v>46082</v>
      </c>
      <c r="D1105" t="inlineStr">
        <is>
          <t>JÄMTLANDS LÄN</t>
        </is>
      </c>
      <c r="E1105" t="inlineStr">
        <is>
          <t>HÄRJEDALEN</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2770-2026</t>
        </is>
      </c>
      <c r="B1106" s="1" t="n">
        <v>46038.36815972222</v>
      </c>
      <c r="C1106" s="1" t="n">
        <v>46082</v>
      </c>
      <c r="D1106" t="inlineStr">
        <is>
          <t>JÄMTLANDS LÄN</t>
        </is>
      </c>
      <c r="E1106" t="inlineStr">
        <is>
          <t>HÄRJEDALEN</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10348-2023</t>
        </is>
      </c>
      <c r="B1107" s="1" t="n">
        <v>44987.35637731481</v>
      </c>
      <c r="C1107" s="1" t="n">
        <v>46082</v>
      </c>
      <c r="D1107" t="inlineStr">
        <is>
          <t>JÄMTLANDS LÄN</t>
        </is>
      </c>
      <c r="E1107" t="inlineStr">
        <is>
          <t>HÄRJEDALEN</t>
        </is>
      </c>
      <c r="F1107" t="inlineStr">
        <is>
          <t>Holmen skog AB</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10353-2023</t>
        </is>
      </c>
      <c r="B1108" s="1" t="n">
        <v>44987</v>
      </c>
      <c r="C1108" s="1" t="n">
        <v>46082</v>
      </c>
      <c r="D1108" t="inlineStr">
        <is>
          <t>JÄMTLANDS LÄN</t>
        </is>
      </c>
      <c r="E1108" t="inlineStr">
        <is>
          <t>HÄRJEDALEN</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1515-2025</t>
        </is>
      </c>
      <c r="B1109" s="1" t="n">
        <v>45670.4570949074</v>
      </c>
      <c r="C1109" s="1" t="n">
        <v>46082</v>
      </c>
      <c r="D1109" t="inlineStr">
        <is>
          <t>JÄMTLANDS LÄN</t>
        </is>
      </c>
      <c r="E1109" t="inlineStr">
        <is>
          <t>HÄRJEDALEN</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28408-2024</t>
        </is>
      </c>
      <c r="B1110" s="1" t="n">
        <v>45477.62255787037</v>
      </c>
      <c r="C1110" s="1" t="n">
        <v>46082</v>
      </c>
      <c r="D1110" t="inlineStr">
        <is>
          <t>JÄMTLANDS LÄN</t>
        </is>
      </c>
      <c r="E1110" t="inlineStr">
        <is>
          <t>HÄRJEDALEN</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56251-2024</t>
        </is>
      </c>
      <c r="B1111" s="1" t="n">
        <v>45624.63614583333</v>
      </c>
      <c r="C1111" s="1" t="n">
        <v>46082</v>
      </c>
      <c r="D1111" t="inlineStr">
        <is>
          <t>JÄMTLANDS LÄN</t>
        </is>
      </c>
      <c r="E1111" t="inlineStr">
        <is>
          <t>HÄRJEDALEN</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18646-2023</t>
        </is>
      </c>
      <c r="B1112" s="1" t="n">
        <v>45041</v>
      </c>
      <c r="C1112" s="1" t="n">
        <v>46082</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18659-2023</t>
        </is>
      </c>
      <c r="B1113" s="1" t="n">
        <v>45041</v>
      </c>
      <c r="C1113" s="1" t="n">
        <v>46082</v>
      </c>
      <c r="D1113" t="inlineStr">
        <is>
          <t>JÄMTLANDS LÄN</t>
        </is>
      </c>
      <c r="E1113" t="inlineStr">
        <is>
          <t>HÄRJEDALEN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73051-2021</t>
        </is>
      </c>
      <c r="B1114" s="1" t="n">
        <v>44550.39550925926</v>
      </c>
      <c r="C1114" s="1" t="n">
        <v>46082</v>
      </c>
      <c r="D1114" t="inlineStr">
        <is>
          <t>JÄMTLANDS LÄN</t>
        </is>
      </c>
      <c r="E1114" t="inlineStr">
        <is>
          <t>HÄRJEDALEN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23358-2025</t>
        </is>
      </c>
      <c r="B1115" s="1" t="n">
        <v>45791</v>
      </c>
      <c r="C1115" s="1" t="n">
        <v>46082</v>
      </c>
      <c r="D1115" t="inlineStr">
        <is>
          <t>JÄMTLANDS LÄN</t>
        </is>
      </c>
      <c r="E1115" t="inlineStr">
        <is>
          <t>HÄRJEDALEN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23731-2022</t>
        </is>
      </c>
      <c r="B1116" s="1" t="n">
        <v>44722</v>
      </c>
      <c r="C1116" s="1" t="n">
        <v>46082</v>
      </c>
      <c r="D1116" t="inlineStr">
        <is>
          <t>JÄMTLANDS LÄN</t>
        </is>
      </c>
      <c r="E1116" t="inlineStr">
        <is>
          <t>HÄRJEDALEN</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37054-2023</t>
        </is>
      </c>
      <c r="B1117" s="1" t="n">
        <v>45154</v>
      </c>
      <c r="C1117" s="1" t="n">
        <v>46082</v>
      </c>
      <c r="D1117" t="inlineStr">
        <is>
          <t>JÄMTLANDS LÄN</t>
        </is>
      </c>
      <c r="E1117" t="inlineStr">
        <is>
          <t>HÄRJEDALEN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30743-2024</t>
        </is>
      </c>
      <c r="B1118" s="1" t="n">
        <v>45496.67178240741</v>
      </c>
      <c r="C1118" s="1" t="n">
        <v>46082</v>
      </c>
      <c r="D1118" t="inlineStr">
        <is>
          <t>JÄMTLANDS LÄN</t>
        </is>
      </c>
      <c r="E1118" t="inlineStr">
        <is>
          <t>HÄRJEDALEN</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64909-2023</t>
        </is>
      </c>
      <c r="B1119" s="1" t="n">
        <v>45282.64012731481</v>
      </c>
      <c r="C1119" s="1" t="n">
        <v>46082</v>
      </c>
      <c r="D1119" t="inlineStr">
        <is>
          <t>JÄMTLANDS LÄN</t>
        </is>
      </c>
      <c r="E1119" t="inlineStr">
        <is>
          <t>HÄRJEDALEN</t>
        </is>
      </c>
      <c r="F1119" t="inlineStr">
        <is>
          <t>Holmen skog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2336-2025</t>
        </is>
      </c>
      <c r="B1120" s="1" t="n">
        <v>45673.65925925926</v>
      </c>
      <c r="C1120" s="1" t="n">
        <v>46082</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18080-2024</t>
        </is>
      </c>
      <c r="B1121" s="1" t="n">
        <v>45420.44414351852</v>
      </c>
      <c r="C1121" s="1" t="n">
        <v>46082</v>
      </c>
      <c r="D1121" t="inlineStr">
        <is>
          <t>JÄMTLANDS LÄN</t>
        </is>
      </c>
      <c r="E1121" t="inlineStr">
        <is>
          <t>HÄRJEDALEN</t>
        </is>
      </c>
      <c r="F1121" t="inlineStr">
        <is>
          <t>Holmen skog AB</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2718-2025</t>
        </is>
      </c>
      <c r="B1122" s="1" t="n">
        <v>45677.43028935185</v>
      </c>
      <c r="C1122" s="1" t="n">
        <v>46082</v>
      </c>
      <c r="D1122" t="inlineStr">
        <is>
          <t>JÄMTLANDS LÄN</t>
        </is>
      </c>
      <c r="E1122" t="inlineStr">
        <is>
          <t>HÄRJEDALEN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50775-2021</t>
        </is>
      </c>
      <c r="B1123" s="1" t="n">
        <v>44460.44315972222</v>
      </c>
      <c r="C1123" s="1" t="n">
        <v>46082</v>
      </c>
      <c r="D1123" t="inlineStr">
        <is>
          <t>JÄMTLANDS LÄN</t>
        </is>
      </c>
      <c r="E1123" t="inlineStr">
        <is>
          <t>HÄRJEDALEN</t>
        </is>
      </c>
      <c r="F1123" t="inlineStr">
        <is>
          <t>Bergvik skog väst AB</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55736-2023</t>
        </is>
      </c>
      <c r="B1124" s="1" t="n">
        <v>45239.43173611111</v>
      </c>
      <c r="C1124" s="1" t="n">
        <v>46082</v>
      </c>
      <c r="D1124" t="inlineStr">
        <is>
          <t>JÄMTLANDS LÄN</t>
        </is>
      </c>
      <c r="E1124" t="inlineStr">
        <is>
          <t>HÄRJEDALEN</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56054-2024</t>
        </is>
      </c>
      <c r="B1125" s="1" t="n">
        <v>45624.36090277778</v>
      </c>
      <c r="C1125" s="1" t="n">
        <v>46082</v>
      </c>
      <c r="D1125" t="inlineStr">
        <is>
          <t>JÄMTLANDS LÄN</t>
        </is>
      </c>
      <c r="E1125" t="inlineStr">
        <is>
          <t>HÄRJEDALEN</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15747-2023</t>
        </is>
      </c>
      <c r="B1126" s="1" t="n">
        <v>45020</v>
      </c>
      <c r="C1126" s="1" t="n">
        <v>46082</v>
      </c>
      <c r="D1126" t="inlineStr">
        <is>
          <t>JÄMTLANDS LÄN</t>
        </is>
      </c>
      <c r="E1126" t="inlineStr">
        <is>
          <t>HÄRJEDALEN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52867-2022</t>
        </is>
      </c>
      <c r="B1127" s="1" t="n">
        <v>44872</v>
      </c>
      <c r="C1127" s="1" t="n">
        <v>46082</v>
      </c>
      <c r="D1127" t="inlineStr">
        <is>
          <t>JÄMTLANDS LÄN</t>
        </is>
      </c>
      <c r="E1127" t="inlineStr">
        <is>
          <t>HÄRJEDALEN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23186-2023</t>
        </is>
      </c>
      <c r="B1128" s="1" t="n">
        <v>45075.59358796296</v>
      </c>
      <c r="C1128" s="1" t="n">
        <v>46082</v>
      </c>
      <c r="D1128" t="inlineStr">
        <is>
          <t>JÄMTLANDS LÄN</t>
        </is>
      </c>
      <c r="E1128" t="inlineStr">
        <is>
          <t>HÄRJEDALEN</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4221-2025</t>
        </is>
      </c>
      <c r="B1129" s="1" t="n">
        <v>45685.52405092592</v>
      </c>
      <c r="C1129" s="1" t="n">
        <v>46082</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4225-2025</t>
        </is>
      </c>
      <c r="B1130" s="1" t="n">
        <v>45685.5349074074</v>
      </c>
      <c r="C1130" s="1" t="n">
        <v>46082</v>
      </c>
      <c r="D1130" t="inlineStr">
        <is>
          <t>JÄMTLANDS LÄN</t>
        </is>
      </c>
      <c r="E1130" t="inlineStr">
        <is>
          <t>HÄRJEDALEN</t>
        </is>
      </c>
      <c r="F1130" t="inlineStr">
        <is>
          <t>Bergvik skog väst AB</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2106-2025</t>
        </is>
      </c>
      <c r="B1131" s="1" t="n">
        <v>45672.61748842592</v>
      </c>
      <c r="C1131" s="1" t="n">
        <v>46082</v>
      </c>
      <c r="D1131" t="inlineStr">
        <is>
          <t>JÄMTLANDS LÄN</t>
        </is>
      </c>
      <c r="E1131" t="inlineStr">
        <is>
          <t>HÄRJEDALEN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13723-2024</t>
        </is>
      </c>
      <c r="B1132" s="1" t="n">
        <v>45390</v>
      </c>
      <c r="C1132" s="1" t="n">
        <v>46082</v>
      </c>
      <c r="D1132" t="inlineStr">
        <is>
          <t>JÄMTLANDS LÄN</t>
        </is>
      </c>
      <c r="E1132" t="inlineStr">
        <is>
          <t>HÄRJEDALEN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46082</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10004-2025</t>
        </is>
      </c>
      <c r="B1134" s="1" t="n">
        <v>45719.45277777778</v>
      </c>
      <c r="C1134" s="1" t="n">
        <v>46082</v>
      </c>
      <c r="D1134" t="inlineStr">
        <is>
          <t>JÄMTLANDS LÄN</t>
        </is>
      </c>
      <c r="E1134" t="inlineStr">
        <is>
          <t>HÄRJEDALEN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18542-2025</t>
        </is>
      </c>
      <c r="B1135" s="1" t="n">
        <v>45763.4178587963</v>
      </c>
      <c r="C1135" s="1" t="n">
        <v>46082</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8136-2024</t>
        </is>
      </c>
      <c r="B1136" s="1" t="n">
        <v>45351</v>
      </c>
      <c r="C1136" s="1" t="n">
        <v>46082</v>
      </c>
      <c r="D1136" t="inlineStr">
        <is>
          <t>JÄMTLANDS LÄN</t>
        </is>
      </c>
      <c r="E1136" t="inlineStr">
        <is>
          <t>HÄRJEDALEN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44967-2024</t>
        </is>
      </c>
      <c r="B1137" s="1" t="n">
        <v>45575</v>
      </c>
      <c r="C1137" s="1" t="n">
        <v>46082</v>
      </c>
      <c r="D1137" t="inlineStr">
        <is>
          <t>JÄMTLANDS LÄN</t>
        </is>
      </c>
      <c r="E1137" t="inlineStr">
        <is>
          <t>HÄRJEDALEN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54079-2024</t>
        </is>
      </c>
      <c r="B1138" s="1" t="n">
        <v>45616.49530092593</v>
      </c>
      <c r="C1138" s="1" t="n">
        <v>46082</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36926-2023</t>
        </is>
      </c>
      <c r="B1139" s="1" t="n">
        <v>45154</v>
      </c>
      <c r="C1139" s="1" t="n">
        <v>46082</v>
      </c>
      <c r="D1139" t="inlineStr">
        <is>
          <t>JÄMTLANDS LÄN</t>
        </is>
      </c>
      <c r="E1139" t="inlineStr">
        <is>
          <t>HÄRJEDALEN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4752-2025</t>
        </is>
      </c>
      <c r="B1140" s="1" t="n">
        <v>45688.46570601852</v>
      </c>
      <c r="C1140" s="1" t="n">
        <v>46082</v>
      </c>
      <c r="D1140" t="inlineStr">
        <is>
          <t>JÄMTLANDS LÄN</t>
        </is>
      </c>
      <c r="E1140" t="inlineStr">
        <is>
          <t>HÄRJEDALEN</t>
        </is>
      </c>
      <c r="F1140" t="inlineStr">
        <is>
          <t>Bergvik skog väst AB</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60050-2024</t>
        </is>
      </c>
      <c r="B1141" s="1" t="n">
        <v>45642</v>
      </c>
      <c r="C1141" s="1" t="n">
        <v>46082</v>
      </c>
      <c r="D1141" t="inlineStr">
        <is>
          <t>JÄMTLANDS LÄN</t>
        </is>
      </c>
      <c r="E1141" t="inlineStr">
        <is>
          <t>HÄRJEDALEN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29594-2024</t>
        </is>
      </c>
      <c r="B1142" s="1" t="n">
        <v>45484.58422453704</v>
      </c>
      <c r="C1142" s="1" t="n">
        <v>46082</v>
      </c>
      <c r="D1142" t="inlineStr">
        <is>
          <t>JÄMTLANDS LÄN</t>
        </is>
      </c>
      <c r="E1142" t="inlineStr">
        <is>
          <t>HÄRJEDALEN</t>
        </is>
      </c>
      <c r="F1142" t="inlineStr">
        <is>
          <t>Holmen skog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11255-2024</t>
        </is>
      </c>
      <c r="B1143" s="1" t="n">
        <v>45371.66217592593</v>
      </c>
      <c r="C1143" s="1" t="n">
        <v>46082</v>
      </c>
      <c r="D1143" t="inlineStr">
        <is>
          <t>JÄMTLANDS LÄN</t>
        </is>
      </c>
      <c r="E1143" t="inlineStr">
        <is>
          <t>HÄRJEDALEN</t>
        </is>
      </c>
      <c r="F1143" t="inlineStr">
        <is>
          <t>Holmen skog AB</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55931-2022</t>
        </is>
      </c>
      <c r="B1144" s="1" t="n">
        <v>44886</v>
      </c>
      <c r="C1144" s="1" t="n">
        <v>46082</v>
      </c>
      <c r="D1144" t="inlineStr">
        <is>
          <t>JÄMTLANDS LÄN</t>
        </is>
      </c>
      <c r="E1144" t="inlineStr">
        <is>
          <t>HÄRJEDALEN</t>
        </is>
      </c>
      <c r="F1144" t="inlineStr">
        <is>
          <t>Övriga statliga verk och myndigheter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1361-2024</t>
        </is>
      </c>
      <c r="B1145" s="1" t="n">
        <v>45303.5047337963</v>
      </c>
      <c r="C1145" s="1" t="n">
        <v>46082</v>
      </c>
      <c r="D1145" t="inlineStr">
        <is>
          <t>JÄMTLANDS LÄN</t>
        </is>
      </c>
      <c r="E1145" t="inlineStr">
        <is>
          <t>HÄRJEDALEN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13297-2025</t>
        </is>
      </c>
      <c r="B1146" s="1" t="n">
        <v>45735.57390046296</v>
      </c>
      <c r="C1146" s="1" t="n">
        <v>46082</v>
      </c>
      <c r="D1146" t="inlineStr">
        <is>
          <t>JÄMTLANDS LÄN</t>
        </is>
      </c>
      <c r="E1146" t="inlineStr">
        <is>
          <t>HÄRJEDALEN</t>
        </is>
      </c>
      <c r="G1146" t="n">
        <v>24.7</v>
      </c>
      <c r="H1146" t="n">
        <v>0</v>
      </c>
      <c r="I1146" t="n">
        <v>0</v>
      </c>
      <c r="J1146" t="n">
        <v>0</v>
      </c>
      <c r="K1146" t="n">
        <v>0</v>
      </c>
      <c r="L1146" t="n">
        <v>0</v>
      </c>
      <c r="M1146" t="n">
        <v>0</v>
      </c>
      <c r="N1146" t="n">
        <v>0</v>
      </c>
      <c r="O1146" t="n">
        <v>0</v>
      </c>
      <c r="P1146" t="n">
        <v>0</v>
      </c>
      <c r="Q1146" t="n">
        <v>0</v>
      </c>
      <c r="R1146" s="2" t="inlineStr"/>
    </row>
    <row r="1147" ht="15" customHeight="1">
      <c r="A1147" t="inlineStr">
        <is>
          <t>A 31956-2023</t>
        </is>
      </c>
      <c r="B1147" s="1" t="n">
        <v>45119.38151620371</v>
      </c>
      <c r="C1147" s="1" t="n">
        <v>46082</v>
      </c>
      <c r="D1147" t="inlineStr">
        <is>
          <t>JÄMTLANDS LÄN</t>
        </is>
      </c>
      <c r="E1147" t="inlineStr">
        <is>
          <t>HÄRJEDALEN</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848-2025</t>
        </is>
      </c>
      <c r="B1148" s="1" t="n">
        <v>45665.59925925926</v>
      </c>
      <c r="C1148" s="1" t="n">
        <v>46082</v>
      </c>
      <c r="D1148" t="inlineStr">
        <is>
          <t>JÄMTLANDS LÄN</t>
        </is>
      </c>
      <c r="E1148" t="inlineStr">
        <is>
          <t>HÄRJEDALEN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48822-2024</t>
        </is>
      </c>
      <c r="B1149" s="1" t="n">
        <v>45593.6821412037</v>
      </c>
      <c r="C1149" s="1" t="n">
        <v>46082</v>
      </c>
      <c r="D1149" t="inlineStr">
        <is>
          <t>JÄMTLANDS LÄN</t>
        </is>
      </c>
      <c r="E1149" t="inlineStr">
        <is>
          <t>HÄRJEDALEN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48823-2024</t>
        </is>
      </c>
      <c r="B1150" s="1" t="n">
        <v>45593.68434027778</v>
      </c>
      <c r="C1150" s="1" t="n">
        <v>46082</v>
      </c>
      <c r="D1150" t="inlineStr">
        <is>
          <t>JÄMTLANDS LÄN</t>
        </is>
      </c>
      <c r="E1150" t="inlineStr">
        <is>
          <t>HÄRJEDALEN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56547-2024</t>
        </is>
      </c>
      <c r="B1151" s="1" t="n">
        <v>45625.56934027778</v>
      </c>
      <c r="C1151" s="1" t="n">
        <v>46082</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63323-2023</t>
        </is>
      </c>
      <c r="B1152" s="1" t="n">
        <v>45274</v>
      </c>
      <c r="C1152" s="1" t="n">
        <v>46082</v>
      </c>
      <c r="D1152" t="inlineStr">
        <is>
          <t>JÄMTLANDS LÄN</t>
        </is>
      </c>
      <c r="E1152" t="inlineStr">
        <is>
          <t>HÄRJEDALEN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16801-2024</t>
        </is>
      </c>
      <c r="B1153" s="1" t="n">
        <v>45411.44549768518</v>
      </c>
      <c r="C1153" s="1" t="n">
        <v>46082</v>
      </c>
      <c r="D1153" t="inlineStr">
        <is>
          <t>JÄMTLANDS LÄN</t>
        </is>
      </c>
      <c r="E1153" t="inlineStr">
        <is>
          <t>HÄRJEDALEN</t>
        </is>
      </c>
      <c r="F1153" t="inlineStr">
        <is>
          <t>Bergvik skog väst AB</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1364-2024</t>
        </is>
      </c>
      <c r="B1154" s="1" t="n">
        <v>45303.5187037037</v>
      </c>
      <c r="C1154" s="1" t="n">
        <v>46082</v>
      </c>
      <c r="D1154" t="inlineStr">
        <is>
          <t>JÄMTLANDS LÄN</t>
        </is>
      </c>
      <c r="E1154" t="inlineStr">
        <is>
          <t>HÄRJEDALEN</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58507-2024</t>
        </is>
      </c>
      <c r="B1155" s="1" t="n">
        <v>45635.42027777778</v>
      </c>
      <c r="C1155" s="1" t="n">
        <v>46082</v>
      </c>
      <c r="D1155" t="inlineStr">
        <is>
          <t>JÄMTLANDS LÄN</t>
        </is>
      </c>
      <c r="E1155" t="inlineStr">
        <is>
          <t>HÄRJEDALEN</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11997-2025</t>
        </is>
      </c>
      <c r="B1156" s="1" t="n">
        <v>45728.61006944445</v>
      </c>
      <c r="C1156" s="1" t="n">
        <v>46082</v>
      </c>
      <c r="D1156" t="inlineStr">
        <is>
          <t>JÄMTLANDS LÄN</t>
        </is>
      </c>
      <c r="E1156" t="inlineStr">
        <is>
          <t>HÄRJEDALEN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12810-2022</t>
        </is>
      </c>
      <c r="B1157" s="1" t="n">
        <v>44642</v>
      </c>
      <c r="C1157" s="1" t="n">
        <v>46082</v>
      </c>
      <c r="D1157" t="inlineStr">
        <is>
          <t>JÄMTLANDS LÄN</t>
        </is>
      </c>
      <c r="E1157" t="inlineStr">
        <is>
          <t>HÄRJEDALEN</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56906-2023</t>
        </is>
      </c>
      <c r="B1158" s="1" t="n">
        <v>45244</v>
      </c>
      <c r="C1158" s="1" t="n">
        <v>46082</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58890-2023</t>
        </is>
      </c>
      <c r="B1159" s="1" t="n">
        <v>45252.48409722222</v>
      </c>
      <c r="C1159" s="1" t="n">
        <v>46082</v>
      </c>
      <c r="D1159" t="inlineStr">
        <is>
          <t>JÄMTLANDS LÄN</t>
        </is>
      </c>
      <c r="E1159" t="inlineStr">
        <is>
          <t>HÄRJEDALEN</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58930-2023</t>
        </is>
      </c>
      <c r="B1160" s="1" t="n">
        <v>45252</v>
      </c>
      <c r="C1160" s="1" t="n">
        <v>46082</v>
      </c>
      <c r="D1160" t="inlineStr">
        <is>
          <t>JÄMTLANDS LÄN</t>
        </is>
      </c>
      <c r="E1160" t="inlineStr">
        <is>
          <t>HÄRJEDALEN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1394-2025</t>
        </is>
      </c>
      <c r="B1161" s="1" t="n">
        <v>45667</v>
      </c>
      <c r="C1161" s="1" t="n">
        <v>46082</v>
      </c>
      <c r="D1161" t="inlineStr">
        <is>
          <t>JÄMTLANDS LÄN</t>
        </is>
      </c>
      <c r="E1161" t="inlineStr">
        <is>
          <t>HÄRJEDALEN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31791-2024</t>
        </is>
      </c>
      <c r="B1162" s="1" t="n">
        <v>45509</v>
      </c>
      <c r="C1162" s="1" t="n">
        <v>46082</v>
      </c>
      <c r="D1162" t="inlineStr">
        <is>
          <t>JÄMTLANDS LÄN</t>
        </is>
      </c>
      <c r="E1162" t="inlineStr">
        <is>
          <t>HÄRJEDALEN</t>
        </is>
      </c>
      <c r="F1162" t="inlineStr">
        <is>
          <t>Övriga statliga verk och myndigheter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1366-2024</t>
        </is>
      </c>
      <c r="B1163" s="1" t="n">
        <v>45303.52626157407</v>
      </c>
      <c r="C1163" s="1" t="n">
        <v>46082</v>
      </c>
      <c r="D1163" t="inlineStr">
        <is>
          <t>JÄMTLANDS LÄN</t>
        </is>
      </c>
      <c r="E1163" t="inlineStr">
        <is>
          <t>HÄRJEDALEN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10024-2025</t>
        </is>
      </c>
      <c r="B1164" s="1" t="n">
        <v>45719.48778935185</v>
      </c>
      <c r="C1164" s="1" t="n">
        <v>46082</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44819-2024</t>
        </is>
      </c>
      <c r="B1165" s="1" t="n">
        <v>45574.66106481481</v>
      </c>
      <c r="C1165" s="1" t="n">
        <v>46082</v>
      </c>
      <c r="D1165" t="inlineStr">
        <is>
          <t>JÄMTLANDS LÄN</t>
        </is>
      </c>
      <c r="E1165" t="inlineStr">
        <is>
          <t>HÄRJEDALEN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61465-2023</t>
        </is>
      </c>
      <c r="B1166" s="1" t="n">
        <v>45264.92637731481</v>
      </c>
      <c r="C1166" s="1" t="n">
        <v>46082</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60749-2023</t>
        </is>
      </c>
      <c r="B1167" s="1" t="n">
        <v>45260.59042824074</v>
      </c>
      <c r="C1167" s="1" t="n">
        <v>46082</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23185-2023</t>
        </is>
      </c>
      <c r="B1168" s="1" t="n">
        <v>45075.59148148148</v>
      </c>
      <c r="C1168" s="1" t="n">
        <v>46082</v>
      </c>
      <c r="D1168" t="inlineStr">
        <is>
          <t>JÄMTLANDS LÄN</t>
        </is>
      </c>
      <c r="E1168" t="inlineStr">
        <is>
          <t>HÄRJEDALEN</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21666-2023</t>
        </is>
      </c>
      <c r="B1169" s="1" t="n">
        <v>45063.92605324074</v>
      </c>
      <c r="C1169" s="1" t="n">
        <v>46082</v>
      </c>
      <c r="D1169" t="inlineStr">
        <is>
          <t>JÄMTLANDS LÄN</t>
        </is>
      </c>
      <c r="E1169" t="inlineStr">
        <is>
          <t>HÄRJEDALEN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45120-2024</t>
        </is>
      </c>
      <c r="B1170" s="1" t="n">
        <v>45575.60996527778</v>
      </c>
      <c r="C1170" s="1" t="n">
        <v>46082</v>
      </c>
      <c r="D1170" t="inlineStr">
        <is>
          <t>JÄMTLANDS LÄN</t>
        </is>
      </c>
      <c r="E1170" t="inlineStr">
        <is>
          <t>HÄRJEDALEN</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24613-2024</t>
        </is>
      </c>
      <c r="B1171" s="1" t="n">
        <v>45460.48582175926</v>
      </c>
      <c r="C1171" s="1" t="n">
        <v>46082</v>
      </c>
      <c r="D1171" t="inlineStr">
        <is>
          <t>JÄMTLANDS LÄN</t>
        </is>
      </c>
      <c r="E1171" t="inlineStr">
        <is>
          <t>HÄRJEDALEN</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3425-2025</t>
        </is>
      </c>
      <c r="B1172" s="1" t="n">
        <v>45680.42497685185</v>
      </c>
      <c r="C1172" s="1" t="n">
        <v>46082</v>
      </c>
      <c r="D1172" t="inlineStr">
        <is>
          <t>JÄMTLANDS LÄN</t>
        </is>
      </c>
      <c r="E1172" t="inlineStr">
        <is>
          <t>HÄRJEDALEN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36568-2023</t>
        </is>
      </c>
      <c r="B1173" s="1" t="n">
        <v>45153.42725694444</v>
      </c>
      <c r="C1173" s="1" t="n">
        <v>46082</v>
      </c>
      <c r="D1173" t="inlineStr">
        <is>
          <t>JÄMTLANDS LÄN</t>
        </is>
      </c>
      <c r="E1173" t="inlineStr">
        <is>
          <t>HÄRJEDALEN</t>
        </is>
      </c>
      <c r="F1173" t="inlineStr">
        <is>
          <t>Bergvik skog väst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43297-2024</t>
        </is>
      </c>
      <c r="B1174" s="1" t="n">
        <v>45568</v>
      </c>
      <c r="C1174" s="1" t="n">
        <v>46082</v>
      </c>
      <c r="D1174" t="inlineStr">
        <is>
          <t>JÄMTLANDS LÄN</t>
        </is>
      </c>
      <c r="E1174" t="inlineStr">
        <is>
          <t>HÄRJEDALEN</t>
        </is>
      </c>
      <c r="F1174" t="inlineStr">
        <is>
          <t>SCA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4252-2025</t>
        </is>
      </c>
      <c r="B1175" s="1" t="n">
        <v>45685</v>
      </c>
      <c r="C1175" s="1" t="n">
        <v>46082</v>
      </c>
      <c r="D1175" t="inlineStr">
        <is>
          <t>JÄMTLANDS LÄN</t>
        </is>
      </c>
      <c r="E1175" t="inlineStr">
        <is>
          <t>HÄRJEDALEN</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28444-2024</t>
        </is>
      </c>
      <c r="B1176" s="1" t="n">
        <v>45477.66773148148</v>
      </c>
      <c r="C1176" s="1" t="n">
        <v>46082</v>
      </c>
      <c r="D1176" t="inlineStr">
        <is>
          <t>JÄMTLANDS LÄN</t>
        </is>
      </c>
      <c r="E1176" t="inlineStr">
        <is>
          <t>HÄRJEDALEN</t>
        </is>
      </c>
      <c r="F1176" t="inlineStr">
        <is>
          <t>Holmen skog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60062-2023</t>
        </is>
      </c>
      <c r="B1177" s="1" t="n">
        <v>45257</v>
      </c>
      <c r="C1177" s="1" t="n">
        <v>46082</v>
      </c>
      <c r="D1177" t="inlineStr">
        <is>
          <t>JÄMTLANDS LÄN</t>
        </is>
      </c>
      <c r="E1177" t="inlineStr">
        <is>
          <t>HÄRJEDALEN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50544-2024</t>
        </is>
      </c>
      <c r="B1178" s="1" t="n">
        <v>45601.58355324074</v>
      </c>
      <c r="C1178" s="1" t="n">
        <v>46082</v>
      </c>
      <c r="D1178" t="inlineStr">
        <is>
          <t>JÄMTLANDS LÄN</t>
        </is>
      </c>
      <c r="E1178" t="inlineStr">
        <is>
          <t>HÄRJEDALEN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19402-2024</t>
        </is>
      </c>
      <c r="B1179" s="1" t="n">
        <v>45429.39</v>
      </c>
      <c r="C1179" s="1" t="n">
        <v>46082</v>
      </c>
      <c r="D1179" t="inlineStr">
        <is>
          <t>JÄMTLANDS LÄN</t>
        </is>
      </c>
      <c r="E1179" t="inlineStr">
        <is>
          <t>HÄRJEDALEN</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58581-2024</t>
        </is>
      </c>
      <c r="B1180" s="1" t="n">
        <v>45635.4916087963</v>
      </c>
      <c r="C1180" s="1" t="n">
        <v>46082</v>
      </c>
      <c r="D1180" t="inlineStr">
        <is>
          <t>JÄMTLANDS LÄN</t>
        </is>
      </c>
      <c r="E1180" t="inlineStr">
        <is>
          <t>HÄRJEDALEN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14631-2023</t>
        </is>
      </c>
      <c r="B1181" s="1" t="n">
        <v>45012</v>
      </c>
      <c r="C1181" s="1" t="n">
        <v>46082</v>
      </c>
      <c r="D1181" t="inlineStr">
        <is>
          <t>JÄMTLANDS LÄN</t>
        </is>
      </c>
      <c r="E1181" t="inlineStr">
        <is>
          <t>HÄRJEDALEN</t>
        </is>
      </c>
      <c r="F1181" t="inlineStr">
        <is>
          <t>Bergvik skog väst AB</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51994-2024</t>
        </is>
      </c>
      <c r="B1182" s="1" t="n">
        <v>45607</v>
      </c>
      <c r="C1182" s="1" t="n">
        <v>46082</v>
      </c>
      <c r="D1182" t="inlineStr">
        <is>
          <t>JÄMTLANDS LÄN</t>
        </is>
      </c>
      <c r="E1182" t="inlineStr">
        <is>
          <t>HÄRJEDALEN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859-2022</t>
        </is>
      </c>
      <c r="B1183" s="1" t="n">
        <v>44571</v>
      </c>
      <c r="C1183" s="1" t="n">
        <v>46082</v>
      </c>
      <c r="D1183" t="inlineStr">
        <is>
          <t>JÄMTLANDS LÄN</t>
        </is>
      </c>
      <c r="E1183" t="inlineStr">
        <is>
          <t>HÄRJEDALEN</t>
        </is>
      </c>
      <c r="G1183" t="n">
        <v>16.9</v>
      </c>
      <c r="H1183" t="n">
        <v>0</v>
      </c>
      <c r="I1183" t="n">
        <v>0</v>
      </c>
      <c r="J1183" t="n">
        <v>0</v>
      </c>
      <c r="K1183" t="n">
        <v>0</v>
      </c>
      <c r="L1183" t="n">
        <v>0</v>
      </c>
      <c r="M1183" t="n">
        <v>0</v>
      </c>
      <c r="N1183" t="n">
        <v>0</v>
      </c>
      <c r="O1183" t="n">
        <v>0</v>
      </c>
      <c r="P1183" t="n">
        <v>0</v>
      </c>
      <c r="Q1183" t="n">
        <v>0</v>
      </c>
      <c r="R1183" s="2" t="inlineStr"/>
    </row>
    <row r="1184" ht="15" customHeight="1">
      <c r="A1184" t="inlineStr">
        <is>
          <t>A 45731-2024</t>
        </is>
      </c>
      <c r="B1184" s="1" t="n">
        <v>45579.59980324074</v>
      </c>
      <c r="C1184" s="1" t="n">
        <v>46082</v>
      </c>
      <c r="D1184" t="inlineStr">
        <is>
          <t>JÄMTLANDS LÄN</t>
        </is>
      </c>
      <c r="E1184" t="inlineStr">
        <is>
          <t>HÄRJEDALEN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58110-2024</t>
        </is>
      </c>
      <c r="B1185" s="1" t="n">
        <v>45632</v>
      </c>
      <c r="C1185" s="1" t="n">
        <v>46082</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58117-2024</t>
        </is>
      </c>
      <c r="B1186" s="1" t="n">
        <v>45632</v>
      </c>
      <c r="C1186" s="1" t="n">
        <v>46082</v>
      </c>
      <c r="D1186" t="inlineStr">
        <is>
          <t>JÄMTLANDS LÄN</t>
        </is>
      </c>
      <c r="E1186" t="inlineStr">
        <is>
          <t>HÄRJEDALEN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51315-2024</t>
        </is>
      </c>
      <c r="B1187" s="1" t="n">
        <v>45604.32543981481</v>
      </c>
      <c r="C1187" s="1" t="n">
        <v>46082</v>
      </c>
      <c r="D1187" t="inlineStr">
        <is>
          <t>JÄMTLANDS LÄN</t>
        </is>
      </c>
      <c r="E1187" t="inlineStr">
        <is>
          <t>HÄRJEDALEN</t>
        </is>
      </c>
      <c r="F1187" t="inlineStr">
        <is>
          <t>Holmen skog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51188-2024</t>
        </is>
      </c>
      <c r="B1188" s="1" t="n">
        <v>45603</v>
      </c>
      <c r="C1188" s="1" t="n">
        <v>46082</v>
      </c>
      <c r="D1188" t="inlineStr">
        <is>
          <t>JÄMTLANDS LÄN</t>
        </is>
      </c>
      <c r="E1188" t="inlineStr">
        <is>
          <t>HÄRJEDALEN</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31764-2024</t>
        </is>
      </c>
      <c r="B1189" s="1" t="n">
        <v>45509</v>
      </c>
      <c r="C1189" s="1" t="n">
        <v>46082</v>
      </c>
      <c r="D1189" t="inlineStr">
        <is>
          <t>JÄMTLANDS LÄN</t>
        </is>
      </c>
      <c r="E1189" t="inlineStr">
        <is>
          <t>HÄRJEDALEN</t>
        </is>
      </c>
      <c r="F1189" t="inlineStr">
        <is>
          <t>Övriga statliga verk och myndigheter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12279-2025</t>
        </is>
      </c>
      <c r="B1190" s="1" t="n">
        <v>45729.65261574074</v>
      </c>
      <c r="C1190" s="1" t="n">
        <v>46082</v>
      </c>
      <c r="D1190" t="inlineStr">
        <is>
          <t>JÄMTLANDS LÄN</t>
        </is>
      </c>
      <c r="E1190" t="inlineStr">
        <is>
          <t>HÄRJEDALEN</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4642-2025</t>
        </is>
      </c>
      <c r="B1191" s="1" t="n">
        <v>45687.65449074074</v>
      </c>
      <c r="C1191" s="1" t="n">
        <v>46082</v>
      </c>
      <c r="D1191" t="inlineStr">
        <is>
          <t>JÄMTLANDS LÄN</t>
        </is>
      </c>
      <c r="E1191" t="inlineStr">
        <is>
          <t>HÄRJEDALEN</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29631-2024</t>
        </is>
      </c>
      <c r="B1192" s="1" t="n">
        <v>45484.66521990741</v>
      </c>
      <c r="C1192" s="1" t="n">
        <v>46082</v>
      </c>
      <c r="D1192" t="inlineStr">
        <is>
          <t>JÄMTLANDS LÄN</t>
        </is>
      </c>
      <c r="E1192" t="inlineStr">
        <is>
          <t>HÄRJEDALEN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20672-2025</t>
        </is>
      </c>
      <c r="B1193" s="1" t="n">
        <v>45776.43898148148</v>
      </c>
      <c r="C1193" s="1" t="n">
        <v>46082</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21161-2025</t>
        </is>
      </c>
      <c r="B1194" s="1" t="n">
        <v>45779.38211805555</v>
      </c>
      <c r="C1194" s="1" t="n">
        <v>46082</v>
      </c>
      <c r="D1194" t="inlineStr">
        <is>
          <t>JÄMTLANDS LÄN</t>
        </is>
      </c>
      <c r="E1194" t="inlineStr">
        <is>
          <t>HÄRJEDALEN</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21221-2025</t>
        </is>
      </c>
      <c r="B1195" s="1" t="n">
        <v>45779.50052083333</v>
      </c>
      <c r="C1195" s="1" t="n">
        <v>46082</v>
      </c>
      <c r="D1195" t="inlineStr">
        <is>
          <t>JÄMTLANDS LÄN</t>
        </is>
      </c>
      <c r="E1195" t="inlineStr">
        <is>
          <t>HÄRJEDALEN</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21169-2025</t>
        </is>
      </c>
      <c r="B1196" s="1" t="n">
        <v>45779.41844907407</v>
      </c>
      <c r="C1196" s="1" t="n">
        <v>46082</v>
      </c>
      <c r="D1196" t="inlineStr">
        <is>
          <t>JÄMTLANDS LÄN</t>
        </is>
      </c>
      <c r="E1196" t="inlineStr">
        <is>
          <t>HÄRJEDALEN</t>
        </is>
      </c>
      <c r="F1196" t="inlineStr">
        <is>
          <t>Holmen skog AB</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13783-2025</t>
        </is>
      </c>
      <c r="B1197" s="1" t="n">
        <v>45737</v>
      </c>
      <c r="C1197" s="1" t="n">
        <v>46082</v>
      </c>
      <c r="D1197" t="inlineStr">
        <is>
          <t>JÄMTLANDS LÄN</t>
        </is>
      </c>
      <c r="E1197" t="inlineStr">
        <is>
          <t>HÄRJEDALEN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21355-2025</t>
        </is>
      </c>
      <c r="B1198" s="1" t="n">
        <v>45782.41581018519</v>
      </c>
      <c r="C1198" s="1" t="n">
        <v>46082</v>
      </c>
      <c r="D1198" t="inlineStr">
        <is>
          <t>JÄMTLANDS LÄN</t>
        </is>
      </c>
      <c r="E1198" t="inlineStr">
        <is>
          <t>HÄRJEDALEN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21223-2025</t>
        </is>
      </c>
      <c r="B1199" s="1" t="n">
        <v>45779.50886574074</v>
      </c>
      <c r="C1199" s="1" t="n">
        <v>46082</v>
      </c>
      <c r="D1199" t="inlineStr">
        <is>
          <t>JÄMTLANDS LÄN</t>
        </is>
      </c>
      <c r="E1199" t="inlineStr">
        <is>
          <t>HÄRJEDALEN</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21226-2025</t>
        </is>
      </c>
      <c r="B1200" s="1" t="n">
        <v>45779.51943287037</v>
      </c>
      <c r="C1200" s="1" t="n">
        <v>46082</v>
      </c>
      <c r="D1200" t="inlineStr">
        <is>
          <t>JÄMTLANDS LÄN</t>
        </is>
      </c>
      <c r="E1200" t="inlineStr">
        <is>
          <t>HÄRJEDALEN</t>
        </is>
      </c>
      <c r="F1200" t="inlineStr">
        <is>
          <t>Holmen skog AB</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21227-2025</t>
        </is>
      </c>
      <c r="B1201" s="1" t="n">
        <v>45779.52488425926</v>
      </c>
      <c r="C1201" s="1" t="n">
        <v>46082</v>
      </c>
      <c r="D1201" t="inlineStr">
        <is>
          <t>JÄMTLANDS LÄN</t>
        </is>
      </c>
      <c r="E1201" t="inlineStr">
        <is>
          <t>HÄRJEDALEN</t>
        </is>
      </c>
      <c r="F1201" t="inlineStr">
        <is>
          <t>Holmen skog AB</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21358-2025</t>
        </is>
      </c>
      <c r="B1202" s="1" t="n">
        <v>45782.42744212963</v>
      </c>
      <c r="C1202" s="1" t="n">
        <v>46082</v>
      </c>
      <c r="D1202" t="inlineStr">
        <is>
          <t>JÄMTLANDS LÄN</t>
        </is>
      </c>
      <c r="E1202" t="inlineStr">
        <is>
          <t>HÄRJEDALEN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21225-2025</t>
        </is>
      </c>
      <c r="B1203" s="1" t="n">
        <v>45779.51357638889</v>
      </c>
      <c r="C1203" s="1" t="n">
        <v>46082</v>
      </c>
      <c r="D1203" t="inlineStr">
        <is>
          <t>JÄMTLANDS LÄN</t>
        </is>
      </c>
      <c r="E1203" t="inlineStr">
        <is>
          <t>HÄRJEDALEN</t>
        </is>
      </c>
      <c r="F1203" t="inlineStr">
        <is>
          <t>Holmen skog AB</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54684-2024</t>
        </is>
      </c>
      <c r="B1204" s="1" t="n">
        <v>45618.35961805555</v>
      </c>
      <c r="C1204" s="1" t="n">
        <v>46082</v>
      </c>
      <c r="D1204" t="inlineStr">
        <is>
          <t>JÄMTLANDS LÄN</t>
        </is>
      </c>
      <c r="E1204" t="inlineStr">
        <is>
          <t>HÄRJEDALEN</t>
        </is>
      </c>
      <c r="G1204" t="n">
        <v>18.1</v>
      </c>
      <c r="H1204" t="n">
        <v>0</v>
      </c>
      <c r="I1204" t="n">
        <v>0</v>
      </c>
      <c r="J1204" t="n">
        <v>0</v>
      </c>
      <c r="K1204" t="n">
        <v>0</v>
      </c>
      <c r="L1204" t="n">
        <v>0</v>
      </c>
      <c r="M1204" t="n">
        <v>0</v>
      </c>
      <c r="N1204" t="n">
        <v>0</v>
      </c>
      <c r="O1204" t="n">
        <v>0</v>
      </c>
      <c r="P1204" t="n">
        <v>0</v>
      </c>
      <c r="Q1204" t="n">
        <v>0</v>
      </c>
      <c r="R1204" s="2" t="inlineStr"/>
    </row>
    <row r="1205" ht="15" customHeight="1">
      <c r="A1205" t="inlineStr">
        <is>
          <t>A 21797-2025</t>
        </is>
      </c>
      <c r="B1205" s="1" t="n">
        <v>45783.68547453704</v>
      </c>
      <c r="C1205" s="1" t="n">
        <v>46082</v>
      </c>
      <c r="D1205" t="inlineStr">
        <is>
          <t>JÄMTLANDS LÄN</t>
        </is>
      </c>
      <c r="E1205" t="inlineStr">
        <is>
          <t>HÄRJEDALEN</t>
        </is>
      </c>
      <c r="F1205" t="inlineStr">
        <is>
          <t>Sveaskog</t>
        </is>
      </c>
      <c r="G1205" t="n">
        <v>15.1</v>
      </c>
      <c r="H1205" t="n">
        <v>0</v>
      </c>
      <c r="I1205" t="n">
        <v>0</v>
      </c>
      <c r="J1205" t="n">
        <v>0</v>
      </c>
      <c r="K1205" t="n">
        <v>0</v>
      </c>
      <c r="L1205" t="n">
        <v>0</v>
      </c>
      <c r="M1205" t="n">
        <v>0</v>
      </c>
      <c r="N1205" t="n">
        <v>0</v>
      </c>
      <c r="O1205" t="n">
        <v>0</v>
      </c>
      <c r="P1205" t="n">
        <v>0</v>
      </c>
      <c r="Q1205" t="n">
        <v>0</v>
      </c>
      <c r="R1205" s="2" t="inlineStr"/>
    </row>
    <row r="1206" ht="15" customHeight="1">
      <c r="A1206" t="inlineStr">
        <is>
          <t>A 58341-2024</t>
        </is>
      </c>
      <c r="B1206" s="1" t="n">
        <v>45632.64078703704</v>
      </c>
      <c r="C1206" s="1" t="n">
        <v>46082</v>
      </c>
      <c r="D1206" t="inlineStr">
        <is>
          <t>JÄMTLANDS LÄN</t>
        </is>
      </c>
      <c r="E1206" t="inlineStr">
        <is>
          <t>HÄRJEDALEN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29347-2024</t>
        </is>
      </c>
      <c r="B1207" s="1" t="n">
        <v>45483.47572916667</v>
      </c>
      <c r="C1207" s="1" t="n">
        <v>46082</v>
      </c>
      <c r="D1207" t="inlineStr">
        <is>
          <t>JÄMTLANDS LÄN</t>
        </is>
      </c>
      <c r="E1207" t="inlineStr">
        <is>
          <t>HÄRJEDALEN</t>
        </is>
      </c>
      <c r="G1207" t="n">
        <v>35.8</v>
      </c>
      <c r="H1207" t="n">
        <v>0</v>
      </c>
      <c r="I1207" t="n">
        <v>0</v>
      </c>
      <c r="J1207" t="n">
        <v>0</v>
      </c>
      <c r="K1207" t="n">
        <v>0</v>
      </c>
      <c r="L1207" t="n">
        <v>0</v>
      </c>
      <c r="M1207" t="n">
        <v>0</v>
      </c>
      <c r="N1207" t="n">
        <v>0</v>
      </c>
      <c r="O1207" t="n">
        <v>0</v>
      </c>
      <c r="P1207" t="n">
        <v>0</v>
      </c>
      <c r="Q1207" t="n">
        <v>0</v>
      </c>
      <c r="R1207" s="2" t="inlineStr"/>
    </row>
    <row r="1208" ht="15" customHeight="1">
      <c r="A1208" t="inlineStr">
        <is>
          <t>A 60054-2024</t>
        </is>
      </c>
      <c r="B1208" s="1" t="n">
        <v>45642</v>
      </c>
      <c r="C1208" s="1" t="n">
        <v>46082</v>
      </c>
      <c r="D1208" t="inlineStr">
        <is>
          <t>JÄMTLANDS LÄN</t>
        </is>
      </c>
      <c r="E1208" t="inlineStr">
        <is>
          <t>HÄRJEDALEN</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43760-2024</t>
        </is>
      </c>
      <c r="B1209" s="1" t="n">
        <v>45569.6909837963</v>
      </c>
      <c r="C1209" s="1" t="n">
        <v>46082</v>
      </c>
      <c r="D1209" t="inlineStr">
        <is>
          <t>JÄMTLANDS LÄN</t>
        </is>
      </c>
      <c r="E1209" t="inlineStr">
        <is>
          <t>HÄRJEDALEN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22502-2025</t>
        </is>
      </c>
      <c r="B1210" s="1" t="n">
        <v>45786.66032407407</v>
      </c>
      <c r="C1210" s="1" t="n">
        <v>46082</v>
      </c>
      <c r="D1210" t="inlineStr">
        <is>
          <t>JÄMTLANDS LÄN</t>
        </is>
      </c>
      <c r="E1210" t="inlineStr">
        <is>
          <t>HÄRJEDALEN</t>
        </is>
      </c>
      <c r="F1210" t="inlineStr">
        <is>
          <t>Sveaskog</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22509-2025</t>
        </is>
      </c>
      <c r="B1211" s="1" t="n">
        <v>45786.66853009259</v>
      </c>
      <c r="C1211" s="1" t="n">
        <v>46082</v>
      </c>
      <c r="D1211" t="inlineStr">
        <is>
          <t>JÄMTLANDS LÄN</t>
        </is>
      </c>
      <c r="E1211" t="inlineStr">
        <is>
          <t>HÄRJEDALEN</t>
        </is>
      </c>
      <c r="F1211" t="inlineStr">
        <is>
          <t>Sveaskog</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23467-2024</t>
        </is>
      </c>
      <c r="B1212" s="1" t="n">
        <v>45453.6619212963</v>
      </c>
      <c r="C1212" s="1" t="n">
        <v>46082</v>
      </c>
      <c r="D1212" t="inlineStr">
        <is>
          <t>JÄMTLANDS LÄN</t>
        </is>
      </c>
      <c r="E1212" t="inlineStr">
        <is>
          <t>HÄRJEDALEN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22504-2025</t>
        </is>
      </c>
      <c r="B1213" s="1" t="n">
        <v>45786.66209490741</v>
      </c>
      <c r="C1213" s="1" t="n">
        <v>46082</v>
      </c>
      <c r="D1213" t="inlineStr">
        <is>
          <t>JÄMTLANDS LÄN</t>
        </is>
      </c>
      <c r="E1213" t="inlineStr">
        <is>
          <t>HÄRJEDALEN</t>
        </is>
      </c>
      <c r="F1213" t="inlineStr">
        <is>
          <t>Sveaskog</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1459-2025</t>
        </is>
      </c>
      <c r="B1214" s="1" t="n">
        <v>45670.34313657408</v>
      </c>
      <c r="C1214" s="1" t="n">
        <v>46082</v>
      </c>
      <c r="D1214" t="inlineStr">
        <is>
          <t>JÄMTLANDS LÄN</t>
        </is>
      </c>
      <c r="E1214" t="inlineStr">
        <is>
          <t>HÄRJEDALEN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22505-2025</t>
        </is>
      </c>
      <c r="B1215" s="1" t="n">
        <v>45786.66425925926</v>
      </c>
      <c r="C1215" s="1" t="n">
        <v>46082</v>
      </c>
      <c r="D1215" t="inlineStr">
        <is>
          <t>JÄMTLANDS LÄN</t>
        </is>
      </c>
      <c r="E1215" t="inlineStr">
        <is>
          <t>HÄRJEDALEN</t>
        </is>
      </c>
      <c r="F1215" t="inlineStr">
        <is>
          <t>Sveaskog</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13543-2024</t>
        </is>
      </c>
      <c r="B1216" s="1" t="n">
        <v>45387</v>
      </c>
      <c r="C1216" s="1" t="n">
        <v>46082</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24425-2024</t>
        </is>
      </c>
      <c r="B1217" s="1" t="n">
        <v>45457.92854166667</v>
      </c>
      <c r="C1217" s="1" t="n">
        <v>46082</v>
      </c>
      <c r="D1217" t="inlineStr">
        <is>
          <t>JÄMTLANDS LÄN</t>
        </is>
      </c>
      <c r="E1217" t="inlineStr">
        <is>
          <t>HÄRJEDALEN</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22045-2025</t>
        </is>
      </c>
      <c r="B1218" s="1" t="n">
        <v>45785.34165509259</v>
      </c>
      <c r="C1218" s="1" t="n">
        <v>46082</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22040-2025</t>
        </is>
      </c>
      <c r="B1219" s="1" t="n">
        <v>45785.33164351852</v>
      </c>
      <c r="C1219" s="1" t="n">
        <v>46082</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22915-2025</t>
        </is>
      </c>
      <c r="B1220" s="1" t="n">
        <v>45790.43</v>
      </c>
      <c r="C1220" s="1" t="n">
        <v>46082</v>
      </c>
      <c r="D1220" t="inlineStr">
        <is>
          <t>JÄMTLANDS LÄN</t>
        </is>
      </c>
      <c r="E1220" t="inlineStr">
        <is>
          <t>HÄRJEDALEN</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23596-2025</t>
        </is>
      </c>
      <c r="B1221" s="1" t="n">
        <v>45792.64795138889</v>
      </c>
      <c r="C1221" s="1" t="n">
        <v>46082</v>
      </c>
      <c r="D1221" t="inlineStr">
        <is>
          <t>JÄMTLANDS LÄN</t>
        </is>
      </c>
      <c r="E1221" t="inlineStr">
        <is>
          <t>HÄRJEDALEN</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23068-2025</t>
        </is>
      </c>
      <c r="B1222" s="1" t="n">
        <v>45790.87653935186</v>
      </c>
      <c r="C1222" s="1" t="n">
        <v>46082</v>
      </c>
      <c r="D1222" t="inlineStr">
        <is>
          <t>JÄMTLANDS LÄN</t>
        </is>
      </c>
      <c r="E1222" t="inlineStr">
        <is>
          <t>HÄRJEDALEN</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23600-2025</t>
        </is>
      </c>
      <c r="B1223" s="1" t="n">
        <v>45792.65047453704</v>
      </c>
      <c r="C1223" s="1" t="n">
        <v>46082</v>
      </c>
      <c r="D1223" t="inlineStr">
        <is>
          <t>JÄMTLANDS LÄN</t>
        </is>
      </c>
      <c r="E1223" t="inlineStr">
        <is>
          <t>HÄRJEDALEN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32964-2024</t>
        </is>
      </c>
      <c r="B1224" s="1" t="n">
        <v>45517.39274305556</v>
      </c>
      <c r="C1224" s="1" t="n">
        <v>46082</v>
      </c>
      <c r="D1224" t="inlineStr">
        <is>
          <t>JÄMTLANDS LÄN</t>
        </is>
      </c>
      <c r="E1224" t="inlineStr">
        <is>
          <t>HÄRJEDALEN</t>
        </is>
      </c>
      <c r="F1224" t="inlineStr">
        <is>
          <t>Kommuner</t>
        </is>
      </c>
      <c r="G1224" t="n">
        <v>30.3</v>
      </c>
      <c r="H1224" t="n">
        <v>0</v>
      </c>
      <c r="I1224" t="n">
        <v>0</v>
      </c>
      <c r="J1224" t="n">
        <v>0</v>
      </c>
      <c r="K1224" t="n">
        <v>0</v>
      </c>
      <c r="L1224" t="n">
        <v>0</v>
      </c>
      <c r="M1224" t="n">
        <v>0</v>
      </c>
      <c r="N1224" t="n">
        <v>0</v>
      </c>
      <c r="O1224" t="n">
        <v>0</v>
      </c>
      <c r="P1224" t="n">
        <v>0</v>
      </c>
      <c r="Q1224" t="n">
        <v>0</v>
      </c>
      <c r="R1224" s="2" t="inlineStr"/>
    </row>
    <row r="1225" ht="15" customHeight="1">
      <c r="A1225" t="inlineStr">
        <is>
          <t>A 23518-2025</t>
        </is>
      </c>
      <c r="B1225" s="1" t="n">
        <v>45792.50942129629</v>
      </c>
      <c r="C1225" s="1" t="n">
        <v>46082</v>
      </c>
      <c r="D1225" t="inlineStr">
        <is>
          <t>JÄMTLANDS LÄN</t>
        </is>
      </c>
      <c r="E1225" t="inlineStr">
        <is>
          <t>HÄRJEDALEN</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41387-2021</t>
        </is>
      </c>
      <c r="B1226" s="1" t="n">
        <v>44424</v>
      </c>
      <c r="C1226" s="1" t="n">
        <v>46082</v>
      </c>
      <c r="D1226" t="inlineStr">
        <is>
          <t>JÄMTLANDS LÄN</t>
        </is>
      </c>
      <c r="E1226" t="inlineStr">
        <is>
          <t>HÄRJEDALEN</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54678-2024</t>
        </is>
      </c>
      <c r="B1227" s="1" t="n">
        <v>45618.35097222222</v>
      </c>
      <c r="C1227" s="1" t="n">
        <v>46082</v>
      </c>
      <c r="D1227" t="inlineStr">
        <is>
          <t>JÄMTLANDS LÄN</t>
        </is>
      </c>
      <c r="E1227" t="inlineStr">
        <is>
          <t>HÄRJEDALEN</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23986-2025</t>
        </is>
      </c>
      <c r="B1228" s="1" t="n">
        <v>45796.39770833333</v>
      </c>
      <c r="C1228" s="1" t="n">
        <v>46082</v>
      </c>
      <c r="D1228" t="inlineStr">
        <is>
          <t>JÄMTLANDS LÄN</t>
        </is>
      </c>
      <c r="E1228" t="inlineStr">
        <is>
          <t>HÄRJEDALEN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23731-2025</t>
        </is>
      </c>
      <c r="B1229" s="1" t="n">
        <v>45793.41994212963</v>
      </c>
      <c r="C1229" s="1" t="n">
        <v>46082</v>
      </c>
      <c r="D1229" t="inlineStr">
        <is>
          <t>JÄMTLANDS LÄN</t>
        </is>
      </c>
      <c r="E1229" t="inlineStr">
        <is>
          <t>HÄRJEDALEN</t>
        </is>
      </c>
      <c r="F1229" t="inlineStr">
        <is>
          <t>Sveaskog</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23474-2024</t>
        </is>
      </c>
      <c r="B1230" s="1" t="n">
        <v>45453.6672800926</v>
      </c>
      <c r="C1230" s="1" t="n">
        <v>46082</v>
      </c>
      <c r="D1230" t="inlineStr">
        <is>
          <t>JÄMTLANDS LÄN</t>
        </is>
      </c>
      <c r="E1230" t="inlineStr">
        <is>
          <t>HÄRJEDALEN</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2510-2025</t>
        </is>
      </c>
      <c r="B1231" s="1" t="n">
        <v>45674.57393518519</v>
      </c>
      <c r="C1231" s="1" t="n">
        <v>46082</v>
      </c>
      <c r="D1231" t="inlineStr">
        <is>
          <t>JÄMTLANDS LÄN</t>
        </is>
      </c>
      <c r="E1231" t="inlineStr">
        <is>
          <t>HÄRJEDALEN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23351-2025</t>
        </is>
      </c>
      <c r="B1232" s="1" t="n">
        <v>45791</v>
      </c>
      <c r="C1232" s="1" t="n">
        <v>46082</v>
      </c>
      <c r="D1232" t="inlineStr">
        <is>
          <t>JÄMTLANDS LÄN</t>
        </is>
      </c>
      <c r="E1232" t="inlineStr">
        <is>
          <t>HÄRJEDALEN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24226-2025</t>
        </is>
      </c>
      <c r="B1233" s="1" t="n">
        <v>45797.37096064815</v>
      </c>
      <c r="C1233" s="1" t="n">
        <v>46082</v>
      </c>
      <c r="D1233" t="inlineStr">
        <is>
          <t>JÄMTLANDS LÄN</t>
        </is>
      </c>
      <c r="E1233" t="inlineStr">
        <is>
          <t>HÄRJEDALEN</t>
        </is>
      </c>
      <c r="G1233" t="n">
        <v>28.7</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46082</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46082</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46082</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25288-2025</t>
        </is>
      </c>
      <c r="B1237" s="1" t="n">
        <v>45800.56313657408</v>
      </c>
      <c r="C1237" s="1" t="n">
        <v>46082</v>
      </c>
      <c r="D1237" t="inlineStr">
        <is>
          <t>JÄMTLANDS LÄN</t>
        </is>
      </c>
      <c r="E1237" t="inlineStr">
        <is>
          <t>HÄRJEDALEN</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25315-2025</t>
        </is>
      </c>
      <c r="B1238" s="1" t="n">
        <v>45800.57837962963</v>
      </c>
      <c r="C1238" s="1" t="n">
        <v>46082</v>
      </c>
      <c r="D1238" t="inlineStr">
        <is>
          <t>JÄMTLANDS LÄN</t>
        </is>
      </c>
      <c r="E1238" t="inlineStr">
        <is>
          <t>HÄRJEDALEN</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25223-2025</t>
        </is>
      </c>
      <c r="B1239" s="1" t="n">
        <v>45800.48060185185</v>
      </c>
      <c r="C1239" s="1" t="n">
        <v>46082</v>
      </c>
      <c r="D1239" t="inlineStr">
        <is>
          <t>JÄMTLANDS LÄN</t>
        </is>
      </c>
      <c r="E1239" t="inlineStr">
        <is>
          <t>HÄRJEDALEN</t>
        </is>
      </c>
      <c r="F1239" t="inlineStr">
        <is>
          <t>Holmen skog AB</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25024-2025</t>
        </is>
      </c>
      <c r="B1240" s="1" t="n">
        <v>45799.64804398148</v>
      </c>
      <c r="C1240" s="1" t="n">
        <v>46082</v>
      </c>
      <c r="D1240" t="inlineStr">
        <is>
          <t>JÄMTLANDS LÄN</t>
        </is>
      </c>
      <c r="E1240" t="inlineStr">
        <is>
          <t>HÄRJEDALEN</t>
        </is>
      </c>
      <c r="F1240" t="inlineStr">
        <is>
          <t>Bergvik skog väst AB</t>
        </is>
      </c>
      <c r="G1240" t="n">
        <v>31.2</v>
      </c>
      <c r="H1240" t="n">
        <v>0</v>
      </c>
      <c r="I1240" t="n">
        <v>0</v>
      </c>
      <c r="J1240" t="n">
        <v>0</v>
      </c>
      <c r="K1240" t="n">
        <v>0</v>
      </c>
      <c r="L1240" t="n">
        <v>0</v>
      </c>
      <c r="M1240" t="n">
        <v>0</v>
      </c>
      <c r="N1240" t="n">
        <v>0</v>
      </c>
      <c r="O1240" t="n">
        <v>0</v>
      </c>
      <c r="P1240" t="n">
        <v>0</v>
      </c>
      <c r="Q1240" t="n">
        <v>0</v>
      </c>
      <c r="R1240" s="2" t="inlineStr"/>
    </row>
    <row r="1241" ht="15" customHeight="1">
      <c r="A1241" t="inlineStr">
        <is>
          <t>A 25127-2025</t>
        </is>
      </c>
      <c r="B1241" s="1" t="n">
        <v>45800.3787037037</v>
      </c>
      <c r="C1241" s="1" t="n">
        <v>46082</v>
      </c>
      <c r="D1241" t="inlineStr">
        <is>
          <t>JÄMTLANDS LÄN</t>
        </is>
      </c>
      <c r="E1241" t="inlineStr">
        <is>
          <t>HÄRJEDALEN</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25178-2025</t>
        </is>
      </c>
      <c r="B1242" s="1" t="n">
        <v>45800.44868055556</v>
      </c>
      <c r="C1242" s="1" t="n">
        <v>46082</v>
      </c>
      <c r="D1242" t="inlineStr">
        <is>
          <t>JÄMTLANDS LÄN</t>
        </is>
      </c>
      <c r="E1242" t="inlineStr">
        <is>
          <t>HÄRJEDALEN</t>
        </is>
      </c>
      <c r="F1242" t="inlineStr">
        <is>
          <t>Holmen skog AB</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25204-2025</t>
        </is>
      </c>
      <c r="B1243" s="1" t="n">
        <v>45800.4687962963</v>
      </c>
      <c r="C1243" s="1" t="n">
        <v>46082</v>
      </c>
      <c r="D1243" t="inlineStr">
        <is>
          <t>JÄMTLANDS LÄN</t>
        </is>
      </c>
      <c r="E1243" t="inlineStr">
        <is>
          <t>HÄRJEDALEN</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25253-2025</t>
        </is>
      </c>
      <c r="B1244" s="1" t="n">
        <v>45800.50431712963</v>
      </c>
      <c r="C1244" s="1" t="n">
        <v>46082</v>
      </c>
      <c r="D1244" t="inlineStr">
        <is>
          <t>JÄMTLANDS LÄN</t>
        </is>
      </c>
      <c r="E1244" t="inlineStr">
        <is>
          <t>HÄRJEDALEN</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46082</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24963-2025</t>
        </is>
      </c>
      <c r="B1246" s="1" t="n">
        <v>45799.57883101852</v>
      </c>
      <c r="C1246" s="1" t="n">
        <v>46082</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24828-2025</t>
        </is>
      </c>
      <c r="B1247" s="1" t="n">
        <v>45799.45770833334</v>
      </c>
      <c r="C1247" s="1" t="n">
        <v>46082</v>
      </c>
      <c r="D1247" t="inlineStr">
        <is>
          <t>JÄMTLANDS LÄN</t>
        </is>
      </c>
      <c r="E1247" t="inlineStr">
        <is>
          <t>HÄRJEDALEN</t>
        </is>
      </c>
      <c r="F1247" t="inlineStr">
        <is>
          <t>Holmen skog AB</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25399-2025</t>
        </is>
      </c>
      <c r="B1248" s="1" t="n">
        <v>45800.65341435185</v>
      </c>
      <c r="C1248" s="1" t="n">
        <v>46082</v>
      </c>
      <c r="D1248" t="inlineStr">
        <is>
          <t>JÄMTLANDS LÄN</t>
        </is>
      </c>
      <c r="E1248" t="inlineStr">
        <is>
          <t>HÄRJEDALEN</t>
        </is>
      </c>
      <c r="F1248" t="inlineStr">
        <is>
          <t>Holmen skog AB</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24853-2025</t>
        </is>
      </c>
      <c r="B1249" s="1" t="n">
        <v>45799.47225694444</v>
      </c>
      <c r="C1249" s="1" t="n">
        <v>46082</v>
      </c>
      <c r="D1249" t="inlineStr">
        <is>
          <t>JÄMTLANDS LÄN</t>
        </is>
      </c>
      <c r="E1249" t="inlineStr">
        <is>
          <t>HÄRJEDALEN</t>
        </is>
      </c>
      <c r="F1249" t="inlineStr">
        <is>
          <t>Holmen skog AB</t>
        </is>
      </c>
      <c r="G1249" t="n">
        <v>57.7</v>
      </c>
      <c r="H1249" t="n">
        <v>0</v>
      </c>
      <c r="I1249" t="n">
        <v>0</v>
      </c>
      <c r="J1249" t="n">
        <v>0</v>
      </c>
      <c r="K1249" t="n">
        <v>0</v>
      </c>
      <c r="L1249" t="n">
        <v>0</v>
      </c>
      <c r="M1249" t="n">
        <v>0</v>
      </c>
      <c r="N1249" t="n">
        <v>0</v>
      </c>
      <c r="O1249" t="n">
        <v>0</v>
      </c>
      <c r="P1249" t="n">
        <v>0</v>
      </c>
      <c r="Q1249" t="n">
        <v>0</v>
      </c>
      <c r="R1249" s="2" t="inlineStr"/>
    </row>
    <row r="1250" ht="15" customHeight="1">
      <c r="A1250" t="inlineStr">
        <is>
          <t>A 25094-2025</t>
        </is>
      </c>
      <c r="B1250" s="1" t="n">
        <v>45800.33436342593</v>
      </c>
      <c r="C1250" s="1" t="n">
        <v>46082</v>
      </c>
      <c r="D1250" t="inlineStr">
        <is>
          <t>JÄMTLANDS LÄN</t>
        </is>
      </c>
      <c r="E1250" t="inlineStr">
        <is>
          <t>HÄRJEDALEN</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25098-2025</t>
        </is>
      </c>
      <c r="B1251" s="1" t="n">
        <v>45800.3425</v>
      </c>
      <c r="C1251" s="1" t="n">
        <v>46082</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24796-2025</t>
        </is>
      </c>
      <c r="B1252" s="1" t="n">
        <v>45799.43550925926</v>
      </c>
      <c r="C1252" s="1" t="n">
        <v>46082</v>
      </c>
      <c r="D1252" t="inlineStr">
        <is>
          <t>JÄMTLANDS LÄN</t>
        </is>
      </c>
      <c r="E1252" t="inlineStr">
        <is>
          <t>HÄRJEDALEN</t>
        </is>
      </c>
      <c r="F1252" t="inlineStr">
        <is>
          <t>Holmen skog AB</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25198-2025</t>
        </is>
      </c>
      <c r="B1253" s="1" t="n">
        <v>45800.46069444445</v>
      </c>
      <c r="C1253" s="1" t="n">
        <v>46082</v>
      </c>
      <c r="D1253" t="inlineStr">
        <is>
          <t>JÄMTLANDS LÄN</t>
        </is>
      </c>
      <c r="E1253" t="inlineStr">
        <is>
          <t>HÄRJEDALEN</t>
        </is>
      </c>
      <c r="F1253" t="inlineStr">
        <is>
          <t>Holmen skog AB</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25232-2025</t>
        </is>
      </c>
      <c r="B1254" s="1" t="n">
        <v>45800.48515046296</v>
      </c>
      <c r="C1254" s="1" t="n">
        <v>46082</v>
      </c>
      <c r="D1254" t="inlineStr">
        <is>
          <t>JÄMTLANDS LÄN</t>
        </is>
      </c>
      <c r="E1254" t="inlineStr">
        <is>
          <t>HÄRJEDALEN</t>
        </is>
      </c>
      <c r="F1254" t="inlineStr">
        <is>
          <t>Holmen skog AB</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25298-2025</t>
        </is>
      </c>
      <c r="B1255" s="1" t="n">
        <v>45800.56995370371</v>
      </c>
      <c r="C1255" s="1" t="n">
        <v>46082</v>
      </c>
      <c r="D1255" t="inlineStr">
        <is>
          <t>JÄMTLANDS LÄN</t>
        </is>
      </c>
      <c r="E1255" t="inlineStr">
        <is>
          <t>HÄRJEDALEN</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25123-2025</t>
        </is>
      </c>
      <c r="B1256" s="1" t="n">
        <v>45800.37524305555</v>
      </c>
      <c r="C1256" s="1" t="n">
        <v>46082</v>
      </c>
      <c r="D1256" t="inlineStr">
        <is>
          <t>JÄMTLANDS LÄN</t>
        </is>
      </c>
      <c r="E1256" t="inlineStr">
        <is>
          <t>HÄRJEDALEN</t>
        </is>
      </c>
      <c r="F1256" t="inlineStr">
        <is>
          <t>Holmen skog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25158-2025</t>
        </is>
      </c>
      <c r="B1257" s="1" t="n">
        <v>45800.42797453704</v>
      </c>
      <c r="C1257" s="1" t="n">
        <v>46082</v>
      </c>
      <c r="D1257" t="inlineStr">
        <is>
          <t>JÄMTLANDS LÄN</t>
        </is>
      </c>
      <c r="E1257" t="inlineStr">
        <is>
          <t>HÄRJEDALEN</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25171-2025</t>
        </is>
      </c>
      <c r="B1258" s="1" t="n">
        <v>45800.44090277778</v>
      </c>
      <c r="C1258" s="1" t="n">
        <v>46082</v>
      </c>
      <c r="D1258" t="inlineStr">
        <is>
          <t>JÄMTLANDS LÄN</t>
        </is>
      </c>
      <c r="E1258" t="inlineStr">
        <is>
          <t>HÄRJEDALEN</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25383-2025</t>
        </is>
      </c>
      <c r="B1259" s="1" t="n">
        <v>45800.64065972222</v>
      </c>
      <c r="C1259" s="1" t="n">
        <v>46082</v>
      </c>
      <c r="D1259" t="inlineStr">
        <is>
          <t>JÄMTLANDS LÄN</t>
        </is>
      </c>
      <c r="E1259" t="inlineStr">
        <is>
          <t>HÄRJEDALEN</t>
        </is>
      </c>
      <c r="F1259" t="inlineStr">
        <is>
          <t>Holmen skog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55193-2023</t>
        </is>
      </c>
      <c r="B1260" s="1" t="n">
        <v>45237.5815162037</v>
      </c>
      <c r="C1260" s="1" t="n">
        <v>46082</v>
      </c>
      <c r="D1260" t="inlineStr">
        <is>
          <t>JÄMTLANDS LÄN</t>
        </is>
      </c>
      <c r="E1260" t="inlineStr">
        <is>
          <t>HÄRJEDALEN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25380-2025</t>
        </is>
      </c>
      <c r="B1261" s="1" t="n">
        <v>45800.63738425926</v>
      </c>
      <c r="C1261" s="1" t="n">
        <v>46082</v>
      </c>
      <c r="D1261" t="inlineStr">
        <is>
          <t>JÄMTLANDS LÄN</t>
        </is>
      </c>
      <c r="E1261" t="inlineStr">
        <is>
          <t>HÄRJEDALEN</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25343-2025</t>
        </is>
      </c>
      <c r="B1262" s="1" t="n">
        <v>45800.60508101852</v>
      </c>
      <c r="C1262" s="1" t="n">
        <v>46082</v>
      </c>
      <c r="D1262" t="inlineStr">
        <is>
          <t>JÄMTLANDS LÄN</t>
        </is>
      </c>
      <c r="E1262" t="inlineStr">
        <is>
          <t>HÄRJEDALEN</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25409-2025</t>
        </is>
      </c>
      <c r="B1263" s="1" t="n">
        <v>45800.66043981481</v>
      </c>
      <c r="C1263" s="1" t="n">
        <v>46082</v>
      </c>
      <c r="D1263" t="inlineStr">
        <is>
          <t>JÄMTLANDS LÄN</t>
        </is>
      </c>
      <c r="E1263" t="inlineStr">
        <is>
          <t>HÄRJEDALEN</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24842-2025</t>
        </is>
      </c>
      <c r="B1264" s="1" t="n">
        <v>45799.4658912037</v>
      </c>
      <c r="C1264" s="1" t="n">
        <v>46082</v>
      </c>
      <c r="D1264" t="inlineStr">
        <is>
          <t>JÄMTLANDS LÄN</t>
        </is>
      </c>
      <c r="E1264" t="inlineStr">
        <is>
          <t>HÄRJEDALEN</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24844-2025</t>
        </is>
      </c>
      <c r="B1265" s="1" t="n">
        <v>45799.46642361111</v>
      </c>
      <c r="C1265" s="1" t="n">
        <v>46082</v>
      </c>
      <c r="D1265" t="inlineStr">
        <is>
          <t>JÄMTLANDS LÄN</t>
        </is>
      </c>
      <c r="E1265" t="inlineStr">
        <is>
          <t>HÄRJEDALEN</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25109-2025</t>
        </is>
      </c>
      <c r="B1266" s="1" t="n">
        <v>45800.3503587963</v>
      </c>
      <c r="C1266" s="1" t="n">
        <v>46082</v>
      </c>
      <c r="D1266" t="inlineStr">
        <is>
          <t>JÄMTLANDS LÄN</t>
        </is>
      </c>
      <c r="E1266" t="inlineStr">
        <is>
          <t>HÄRJEDALEN</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25112-2025</t>
        </is>
      </c>
      <c r="B1267" s="1" t="n">
        <v>45800.35670138889</v>
      </c>
      <c r="C1267" s="1" t="n">
        <v>46082</v>
      </c>
      <c r="D1267" t="inlineStr">
        <is>
          <t>JÄMTLANDS LÄN</t>
        </is>
      </c>
      <c r="E1267" t="inlineStr">
        <is>
          <t>HÄRJEDALEN</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25147-2025</t>
        </is>
      </c>
      <c r="B1268" s="1" t="n">
        <v>45800.41883101852</v>
      </c>
      <c r="C1268" s="1" t="n">
        <v>46082</v>
      </c>
      <c r="D1268" t="inlineStr">
        <is>
          <t>JÄMTLANDS LÄN</t>
        </is>
      </c>
      <c r="E1268" t="inlineStr">
        <is>
          <t>HÄRJEDALEN</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24791-2025</t>
        </is>
      </c>
      <c r="B1269" s="1" t="n">
        <v>45799.43086805556</v>
      </c>
      <c r="C1269" s="1" t="n">
        <v>46082</v>
      </c>
      <c r="D1269" t="inlineStr">
        <is>
          <t>JÄMTLANDS LÄN</t>
        </is>
      </c>
      <c r="E1269" t="inlineStr">
        <is>
          <t>HÄRJEDALEN</t>
        </is>
      </c>
      <c r="F1269" t="inlineStr">
        <is>
          <t>Holmen skog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25931-2025</t>
        </is>
      </c>
      <c r="B1270" s="1" t="n">
        <v>45804.5813425926</v>
      </c>
      <c r="C1270" s="1" t="n">
        <v>46082</v>
      </c>
      <c r="D1270" t="inlineStr">
        <is>
          <t>JÄMTLANDS LÄN</t>
        </is>
      </c>
      <c r="E1270" t="inlineStr">
        <is>
          <t>HÄRJEDALEN</t>
        </is>
      </c>
      <c r="F1270" t="inlineStr">
        <is>
          <t>Bergvik skog väst AB</t>
        </is>
      </c>
      <c r="G1270" t="n">
        <v>14.2</v>
      </c>
      <c r="H1270" t="n">
        <v>0</v>
      </c>
      <c r="I1270" t="n">
        <v>0</v>
      </c>
      <c r="J1270" t="n">
        <v>0</v>
      </c>
      <c r="K1270" t="n">
        <v>0</v>
      </c>
      <c r="L1270" t="n">
        <v>0</v>
      </c>
      <c r="M1270" t="n">
        <v>0</v>
      </c>
      <c r="N1270" t="n">
        <v>0</v>
      </c>
      <c r="O1270" t="n">
        <v>0</v>
      </c>
      <c r="P1270" t="n">
        <v>0</v>
      </c>
      <c r="Q1270" t="n">
        <v>0</v>
      </c>
      <c r="R1270" s="2" t="inlineStr"/>
    </row>
    <row r="1271">
      <c r="A1271" t="inlineStr">
        <is>
          <t>A 25515-2025</t>
        </is>
      </c>
      <c r="B1271" s="1" t="n">
        <v>45803.37258101852</v>
      </c>
      <c r="C1271" s="1" t="n">
        <v>46082</v>
      </c>
      <c r="D1271" t="inlineStr">
        <is>
          <t>JÄMTLANDS LÄN</t>
        </is>
      </c>
      <c r="E1271" t="inlineStr">
        <is>
          <t>HÄRJEDALEN</t>
        </is>
      </c>
      <c r="G1271" t="n">
        <v>2.3</v>
      </c>
      <c r="H1271" t="n">
        <v>0</v>
      </c>
      <c r="I1271" t="n">
        <v>0</v>
      </c>
      <c r="J1271" t="n">
        <v>0</v>
      </c>
      <c r="K1271" t="n">
        <v>0</v>
      </c>
      <c r="L1271" t="n">
        <v>0</v>
      </c>
      <c r="M1271" t="n">
        <v>0</v>
      </c>
      <c r="N1271" t="n">
        <v>0</v>
      </c>
      <c r="O1271" t="n">
        <v>0</v>
      </c>
      <c r="P1271" t="n">
        <v>0</v>
      </c>
      <c r="Q1271" t="n">
        <v>0</v>
      </c>
      <c r="R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2026-03-01T11:07:38Z</dcterms:created>
  <dcterms:modified xmlns:dcterms="http://purl.org/dc/terms/" xmlns:xsi="http://www.w3.org/2001/XMLSchema-instance" xsi:type="dcterms:W3CDTF">2026-03-01T11:07:39Z</dcterms:modified>
</cp:coreProperties>
</file>