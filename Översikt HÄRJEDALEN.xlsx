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45784</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45784</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45784</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45784</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45784</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45784</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45784</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45784</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45784</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45784</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45784</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45784</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32501-2019</t>
        </is>
      </c>
      <c r="B72" s="1" t="n">
        <v>43644</v>
      </c>
      <c r="C72" s="1" t="n">
        <v>45784</v>
      </c>
      <c r="D72" t="inlineStr">
        <is>
          <t>JÄMTLANDS LÄN</t>
        </is>
      </c>
      <c r="E72" t="inlineStr">
        <is>
          <t>HÄRJEDALEN</t>
        </is>
      </c>
      <c r="F72" t="inlineStr">
        <is>
          <t>SCA</t>
        </is>
      </c>
      <c r="G72" t="n">
        <v>1</v>
      </c>
      <c r="H72" t="n">
        <v>3</v>
      </c>
      <c r="I72" t="n">
        <v>3</v>
      </c>
      <c r="J72" t="n">
        <v>4</v>
      </c>
      <c r="K72" t="n">
        <v>0</v>
      </c>
      <c r="L72" t="n">
        <v>0</v>
      </c>
      <c r="M72" t="n">
        <v>0</v>
      </c>
      <c r="N72" t="n">
        <v>0</v>
      </c>
      <c r="O72" t="n">
        <v>4</v>
      </c>
      <c r="P72" t="n">
        <v>0</v>
      </c>
      <c r="Q72" t="n">
        <v>8</v>
      </c>
      <c r="R72" s="2" t="inlineStr">
        <is>
          <t>Garnlav
Lunglav
Talltita
Vitgrynig nållav
Skinnlav
Spindelblomster
Stuplav
Tjäder</t>
        </is>
      </c>
      <c r="S72">
        <f>HYPERLINK("https://klasma.github.io/Logging_2361/artfynd/A 32501-2019 artfynd.xlsx", "A 32501-2019")</f>
        <v/>
      </c>
      <c r="T72">
        <f>HYPERLINK("https://klasma.github.io/Logging_2361/kartor/A 32501-2019 karta.png", "A 32501-2019")</f>
        <v/>
      </c>
      <c r="V72">
        <f>HYPERLINK("https://klasma.github.io/Logging_2361/klagomål/A 32501-2019 FSC-klagomål.docx", "A 32501-2019")</f>
        <v/>
      </c>
      <c r="W72">
        <f>HYPERLINK("https://klasma.github.io/Logging_2361/klagomålsmail/A 32501-2019 FSC-klagomål mail.docx", "A 32501-2019")</f>
        <v/>
      </c>
      <c r="X72">
        <f>HYPERLINK("https://klasma.github.io/Logging_2361/tillsyn/A 32501-2019 tillsynsbegäran.docx", "A 32501-2019")</f>
        <v/>
      </c>
      <c r="Y72">
        <f>HYPERLINK("https://klasma.github.io/Logging_2361/tillsynsmail/A 32501-2019 tillsynsbegäran mail.docx", "A 32501-2019")</f>
        <v/>
      </c>
      <c r="Z72">
        <f>HYPERLINK("https://klasma.github.io/Logging_2361/fåglar/A 32501-2019 prioriterade fågelarter.docx", "A 32501-2019")</f>
        <v/>
      </c>
    </row>
    <row r="73" ht="15" customHeight="1">
      <c r="A73" t="inlineStr">
        <is>
          <t>A 33422-2021</t>
        </is>
      </c>
      <c r="B73" s="1" t="n">
        <v>44377</v>
      </c>
      <c r="C73" s="1" t="n">
        <v>45784</v>
      </c>
      <c r="D73" t="inlineStr">
        <is>
          <t>JÄMTLANDS LÄN</t>
        </is>
      </c>
      <c r="E73" t="inlineStr">
        <is>
          <t>HÄRJEDALEN</t>
        </is>
      </c>
      <c r="G73" t="n">
        <v>13.3</v>
      </c>
      <c r="H73" t="n">
        <v>2</v>
      </c>
      <c r="I73" t="n">
        <v>1</v>
      </c>
      <c r="J73" t="n">
        <v>7</v>
      </c>
      <c r="K73" t="n">
        <v>0</v>
      </c>
      <c r="L73" t="n">
        <v>0</v>
      </c>
      <c r="M73" t="n">
        <v>0</v>
      </c>
      <c r="N73" t="n">
        <v>0</v>
      </c>
      <c r="O73" t="n">
        <v>7</v>
      </c>
      <c r="P73" t="n">
        <v>0</v>
      </c>
      <c r="Q73" t="n">
        <v>8</v>
      </c>
      <c r="R73" s="2" t="inlineStr">
        <is>
          <t>Blanksvart spiklav
Garnlav
Knottrig blåslav
Parknål
Skrovellav
Spillkråka
Vitgrynig nållav
Plattlummer</t>
        </is>
      </c>
      <c r="S73">
        <f>HYPERLINK("https://klasma.github.io/Logging_2361/artfynd/A 33422-2021 artfynd.xlsx", "A 33422-2021")</f>
        <v/>
      </c>
      <c r="T73">
        <f>HYPERLINK("https://klasma.github.io/Logging_2361/kartor/A 33422-2021 karta.png", "A 33422-2021")</f>
        <v/>
      </c>
      <c r="V73">
        <f>HYPERLINK("https://klasma.github.io/Logging_2361/klagomål/A 33422-2021 FSC-klagomål.docx", "A 33422-2021")</f>
        <v/>
      </c>
      <c r="W73">
        <f>HYPERLINK("https://klasma.github.io/Logging_2361/klagomålsmail/A 33422-2021 FSC-klagomål mail.docx", "A 33422-2021")</f>
        <v/>
      </c>
      <c r="X73">
        <f>HYPERLINK("https://klasma.github.io/Logging_2361/tillsyn/A 33422-2021 tillsynsbegäran.docx", "A 33422-2021")</f>
        <v/>
      </c>
      <c r="Y73">
        <f>HYPERLINK("https://klasma.github.io/Logging_2361/tillsynsmail/A 33422-2021 tillsynsbegäran mail.docx", "A 33422-2021")</f>
        <v/>
      </c>
      <c r="Z73">
        <f>HYPERLINK("https://klasma.github.io/Logging_2361/fåglar/A 33422-2021 prioriterade fågelarter.docx", "A 33422-2021")</f>
        <v/>
      </c>
    </row>
    <row r="74" ht="15" customHeight="1">
      <c r="A74" t="inlineStr">
        <is>
          <t>A 74075-2021</t>
        </is>
      </c>
      <c r="B74" s="1" t="n">
        <v>44553</v>
      </c>
      <c r="C74" s="1" t="n">
        <v>45784</v>
      </c>
      <c r="D74" t="inlineStr">
        <is>
          <t>JÄMTLANDS LÄN</t>
        </is>
      </c>
      <c r="E74" t="inlineStr">
        <is>
          <t>HÄRJEDALEN</t>
        </is>
      </c>
      <c r="F74" t="inlineStr">
        <is>
          <t>Sveaskog</t>
        </is>
      </c>
      <c r="G74" t="n">
        <v>16</v>
      </c>
      <c r="H74" t="n">
        <v>1</v>
      </c>
      <c r="I74" t="n">
        <v>0</v>
      </c>
      <c r="J74" t="n">
        <v>8</v>
      </c>
      <c r="K74" t="n">
        <v>0</v>
      </c>
      <c r="L74" t="n">
        <v>0</v>
      </c>
      <c r="M74" t="n">
        <v>0</v>
      </c>
      <c r="N74" t="n">
        <v>0</v>
      </c>
      <c r="O74" t="n">
        <v>8</v>
      </c>
      <c r="P74" t="n">
        <v>0</v>
      </c>
      <c r="Q74" t="n">
        <v>8</v>
      </c>
      <c r="R74" s="2" t="inlineStr">
        <is>
          <t>Blanksvart spiklav
Garnlav
Kolflarnlav
Kortskaftad ärgspik
Mörk kolflarnlav
Varglav
Vedflamlav
Vedskivlav</t>
        </is>
      </c>
      <c r="S74">
        <f>HYPERLINK("https://klasma.github.io/Logging_2361/artfynd/A 74075-2021 artfynd.xlsx", "A 74075-2021")</f>
        <v/>
      </c>
      <c r="T74">
        <f>HYPERLINK("https://klasma.github.io/Logging_2361/kartor/A 74075-2021 karta.png", "A 74075-2021")</f>
        <v/>
      </c>
      <c r="V74">
        <f>HYPERLINK("https://klasma.github.io/Logging_2361/klagomål/A 74075-2021 FSC-klagomål.docx", "A 74075-2021")</f>
        <v/>
      </c>
      <c r="W74">
        <f>HYPERLINK("https://klasma.github.io/Logging_2361/klagomålsmail/A 74075-2021 FSC-klagomål mail.docx", "A 74075-2021")</f>
        <v/>
      </c>
      <c r="X74">
        <f>HYPERLINK("https://klasma.github.io/Logging_2361/tillsyn/A 74075-2021 tillsynsbegäran.docx", "A 74075-2021")</f>
        <v/>
      </c>
      <c r="Y74">
        <f>HYPERLINK("https://klasma.github.io/Logging_2361/tillsynsmail/A 74075-2021 tillsynsbegäran mail.docx", "A 74075-2021")</f>
        <v/>
      </c>
    </row>
    <row r="75" ht="15" customHeight="1">
      <c r="A75" t="inlineStr">
        <is>
          <t>A 41555-2023</t>
        </is>
      </c>
      <c r="B75" s="1" t="n">
        <v>45175</v>
      </c>
      <c r="C75" s="1" t="n">
        <v>45784</v>
      </c>
      <c r="D75" t="inlineStr">
        <is>
          <t>JÄMTLANDS LÄN</t>
        </is>
      </c>
      <c r="E75" t="inlineStr">
        <is>
          <t>HÄRJEDALEN</t>
        </is>
      </c>
      <c r="F75" t="inlineStr">
        <is>
          <t>Bergvik skog väst AB</t>
        </is>
      </c>
      <c r="G75" t="n">
        <v>10.2</v>
      </c>
      <c r="H75" t="n">
        <v>1</v>
      </c>
      <c r="I75" t="n">
        <v>0</v>
      </c>
      <c r="J75" t="n">
        <v>7</v>
      </c>
      <c r="K75" t="n">
        <v>1</v>
      </c>
      <c r="L75" t="n">
        <v>0</v>
      </c>
      <c r="M75" t="n">
        <v>0</v>
      </c>
      <c r="N75" t="n">
        <v>0</v>
      </c>
      <c r="O75" t="n">
        <v>8</v>
      </c>
      <c r="P75" t="n">
        <v>1</v>
      </c>
      <c r="Q75" t="n">
        <v>8</v>
      </c>
      <c r="R75" s="2" t="inlineStr">
        <is>
          <t>Knärot
Dvärgbägarlav
Garnlav
Kolflarnlav
Mörk kolflarnlav
Vedflamlav
Vedskivlav
Violettgrå tagellav</t>
        </is>
      </c>
      <c r="S75">
        <f>HYPERLINK("https://klasma.github.io/Logging_2361/artfynd/A 41555-2023 artfynd.xlsx", "A 41555-2023")</f>
        <v/>
      </c>
      <c r="T75">
        <f>HYPERLINK("https://klasma.github.io/Logging_2361/kartor/A 41555-2023 karta.png", "A 41555-2023")</f>
        <v/>
      </c>
      <c r="U75">
        <f>HYPERLINK("https://klasma.github.io/Logging_2361/knärot/A 41555-2023 karta knärot.png", "A 41555-2023")</f>
        <v/>
      </c>
      <c r="V75">
        <f>HYPERLINK("https://klasma.github.io/Logging_2361/klagomål/A 41555-2023 FSC-klagomål.docx", "A 41555-2023")</f>
        <v/>
      </c>
      <c r="W75">
        <f>HYPERLINK("https://klasma.github.io/Logging_2361/klagomålsmail/A 41555-2023 FSC-klagomål mail.docx", "A 41555-2023")</f>
        <v/>
      </c>
      <c r="X75">
        <f>HYPERLINK("https://klasma.github.io/Logging_2361/tillsyn/A 41555-2023 tillsynsbegäran.docx", "A 41555-2023")</f>
        <v/>
      </c>
      <c r="Y75">
        <f>HYPERLINK("https://klasma.github.io/Logging_2361/tillsynsmail/A 41555-2023 tillsynsbegäran mail.docx", "A 41555-2023")</f>
        <v/>
      </c>
    </row>
    <row r="76" ht="15" customHeight="1">
      <c r="A76" t="inlineStr">
        <is>
          <t>A 18885-2024</t>
        </is>
      </c>
      <c r="B76" s="1" t="n">
        <v>45426</v>
      </c>
      <c r="C76" s="1" t="n">
        <v>45784</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53354-2024</t>
        </is>
      </c>
      <c r="B77" s="1" t="n">
        <v>45614</v>
      </c>
      <c r="C77" s="1" t="n">
        <v>45784</v>
      </c>
      <c r="D77" t="inlineStr">
        <is>
          <t>JÄMTLANDS LÄN</t>
        </is>
      </c>
      <c r="E77" t="inlineStr">
        <is>
          <t>HÄRJEDALEN</t>
        </is>
      </c>
      <c r="F77" t="inlineStr">
        <is>
          <t>Sveaskog</t>
        </is>
      </c>
      <c r="G77" t="n">
        <v>15.3</v>
      </c>
      <c r="H77" t="n">
        <v>5</v>
      </c>
      <c r="I77" t="n">
        <v>0</v>
      </c>
      <c r="J77" t="n">
        <v>5</v>
      </c>
      <c r="K77" t="n">
        <v>1</v>
      </c>
      <c r="L77" t="n">
        <v>0</v>
      </c>
      <c r="M77" t="n">
        <v>0</v>
      </c>
      <c r="N77" t="n">
        <v>0</v>
      </c>
      <c r="O77" t="n">
        <v>6</v>
      </c>
      <c r="P77" t="n">
        <v>1</v>
      </c>
      <c r="Q77" t="n">
        <v>8</v>
      </c>
      <c r="R77" s="2" t="inlineStr">
        <is>
          <t>Knärot
Kolflarnlav
Mörk kolflarnlav
Talltita
Varglav
Vedskivlav
Orre
Tjäder</t>
        </is>
      </c>
      <c r="S77">
        <f>HYPERLINK("https://klasma.github.io/Logging_2361/artfynd/A 53354-2024 artfynd.xlsx", "A 53354-2024")</f>
        <v/>
      </c>
      <c r="T77">
        <f>HYPERLINK("https://klasma.github.io/Logging_2361/kartor/A 53354-2024 karta.png", "A 53354-2024")</f>
        <v/>
      </c>
      <c r="U77">
        <f>HYPERLINK("https://klasma.github.io/Logging_2361/knärot/A 53354-2024 karta knärot.png", "A 53354-2024")</f>
        <v/>
      </c>
      <c r="V77">
        <f>HYPERLINK("https://klasma.github.io/Logging_2361/klagomål/A 53354-2024 FSC-klagomål.docx", "A 53354-2024")</f>
        <v/>
      </c>
      <c r="W77">
        <f>HYPERLINK("https://klasma.github.io/Logging_2361/klagomålsmail/A 53354-2024 FSC-klagomål mail.docx", "A 53354-2024")</f>
        <v/>
      </c>
      <c r="X77">
        <f>HYPERLINK("https://klasma.github.io/Logging_2361/tillsyn/A 53354-2024 tillsynsbegäran.docx", "A 53354-2024")</f>
        <v/>
      </c>
      <c r="Y77">
        <f>HYPERLINK("https://klasma.github.io/Logging_2361/tillsynsmail/A 53354-2024 tillsynsbegäran mail.docx", "A 53354-2024")</f>
        <v/>
      </c>
      <c r="Z77">
        <f>HYPERLINK("https://klasma.github.io/Logging_2361/fåglar/A 53354-2024 prioriterade fågelarter.docx", "A 53354-2024")</f>
        <v/>
      </c>
    </row>
    <row r="78" ht="15" customHeight="1">
      <c r="A78" t="inlineStr">
        <is>
          <t>A 14565-2025</t>
        </is>
      </c>
      <c r="B78" s="1" t="n">
        <v>45741</v>
      </c>
      <c r="C78" s="1" t="n">
        <v>45784</v>
      </c>
      <c r="D78" t="inlineStr">
        <is>
          <t>JÄMTLANDS LÄN</t>
        </is>
      </c>
      <c r="E78" t="inlineStr">
        <is>
          <t>HÄRJEDALEN</t>
        </is>
      </c>
      <c r="G78" t="n">
        <v>7.3</v>
      </c>
      <c r="H78" t="n">
        <v>0</v>
      </c>
      <c r="I78" t="n">
        <v>0</v>
      </c>
      <c r="J78" t="n">
        <v>4</v>
      </c>
      <c r="K78" t="n">
        <v>4</v>
      </c>
      <c r="L78" t="n">
        <v>0</v>
      </c>
      <c r="M78" t="n">
        <v>0</v>
      </c>
      <c r="N78" t="n">
        <v>0</v>
      </c>
      <c r="O78" t="n">
        <v>8</v>
      </c>
      <c r="P78" t="n">
        <v>4</v>
      </c>
      <c r="Q78" t="n">
        <v>8</v>
      </c>
      <c r="R78" s="2" t="inlineStr">
        <is>
          <t>Goliatmusseron
Smalfotad taggsvamp
Spadskinn
Tallgråticka
Blå taggsvamp
Skrovlig taggsvamp
Svart taggsvamp
Talltaggsvamp</t>
        </is>
      </c>
      <c r="S78">
        <f>HYPERLINK("https://klasma.github.io/Logging_232361/artfynd/A 14565-2025 artfynd.xlsx", "A 14565-2025")</f>
        <v/>
      </c>
      <c r="T78">
        <f>HYPERLINK("https://klasma.github.io/Logging_232361/kartor/A 14565-2025 karta.png", "A 14565-2025")</f>
        <v/>
      </c>
      <c r="V78">
        <f>HYPERLINK("https://klasma.github.io/Logging_232361/klagomål/A 14565-2025 FSC-klagomål.docx", "A 14565-2025")</f>
        <v/>
      </c>
      <c r="W78">
        <f>HYPERLINK("https://klasma.github.io/Logging_232361/klagomålsmail/A 14565-2025 FSC-klagomål mail.docx", "A 14565-2025")</f>
        <v/>
      </c>
      <c r="X78">
        <f>HYPERLINK("https://klasma.github.io/Logging_232361/tillsyn/A 14565-2025 tillsynsbegäran.docx", "A 14565-2025")</f>
        <v/>
      </c>
      <c r="Y78">
        <f>HYPERLINK("https://klasma.github.io/Logging_232361/tillsynsmail/A 14565-2025 tillsynsbegäran mail.docx", "A 14565-2025")</f>
        <v/>
      </c>
    </row>
    <row r="79" ht="15" customHeight="1">
      <c r="A79" t="inlineStr">
        <is>
          <t>A 42828-2021</t>
        </is>
      </c>
      <c r="B79" s="1" t="n">
        <v>44430</v>
      </c>
      <c r="C79" s="1" t="n">
        <v>45784</v>
      </c>
      <c r="D79" t="inlineStr">
        <is>
          <t>JÄMTLANDS LÄN</t>
        </is>
      </c>
      <c r="E79" t="inlineStr">
        <is>
          <t>HÄRJEDALEN</t>
        </is>
      </c>
      <c r="F79" t="inlineStr">
        <is>
          <t>Sveaskog</t>
        </is>
      </c>
      <c r="G79" t="n">
        <v>1.7</v>
      </c>
      <c r="H79" t="n">
        <v>0</v>
      </c>
      <c r="I79" t="n">
        <v>1</v>
      </c>
      <c r="J79" t="n">
        <v>3</v>
      </c>
      <c r="K79" t="n">
        <v>3</v>
      </c>
      <c r="L79" t="n">
        <v>0</v>
      </c>
      <c r="M79" t="n">
        <v>0</v>
      </c>
      <c r="N79" t="n">
        <v>0</v>
      </c>
      <c r="O79" t="n">
        <v>6</v>
      </c>
      <c r="P79" t="n">
        <v>3</v>
      </c>
      <c r="Q79" t="n">
        <v>7</v>
      </c>
      <c r="R79" s="2" t="inlineStr">
        <is>
          <t>Fläckporing
Gräddporing
Smalfotad taggsvamp
Dvärgbägarlav
Nordtagging
Vaddporing
Dropptaggsvamp</t>
        </is>
      </c>
      <c r="S79">
        <f>HYPERLINK("https://klasma.github.io/Logging_2361/artfynd/A 42828-2021 artfynd.xlsx", "A 42828-2021")</f>
        <v/>
      </c>
      <c r="T79">
        <f>HYPERLINK("https://klasma.github.io/Logging_2361/kartor/A 42828-2021 karta.png", "A 42828-2021")</f>
        <v/>
      </c>
      <c r="V79">
        <f>HYPERLINK("https://klasma.github.io/Logging_2361/klagomål/A 42828-2021 FSC-klagomål.docx", "A 42828-2021")</f>
        <v/>
      </c>
      <c r="W79">
        <f>HYPERLINK("https://klasma.github.io/Logging_2361/klagomålsmail/A 42828-2021 FSC-klagomål mail.docx", "A 42828-2021")</f>
        <v/>
      </c>
      <c r="X79">
        <f>HYPERLINK("https://klasma.github.io/Logging_2361/tillsyn/A 42828-2021 tillsynsbegäran.docx", "A 42828-2021")</f>
        <v/>
      </c>
      <c r="Y79">
        <f>HYPERLINK("https://klasma.github.io/Logging_2361/tillsynsmail/A 42828-2021 tillsynsbegäran mail.docx", "A 42828-2021")</f>
        <v/>
      </c>
    </row>
    <row r="80" ht="15" customHeight="1">
      <c r="A80" t="inlineStr">
        <is>
          <t>A 74070-2021</t>
        </is>
      </c>
      <c r="B80" s="1" t="n">
        <v>44553</v>
      </c>
      <c r="C80" s="1" t="n">
        <v>45784</v>
      </c>
      <c r="D80" t="inlineStr">
        <is>
          <t>JÄMTLANDS LÄN</t>
        </is>
      </c>
      <c r="E80" t="inlineStr">
        <is>
          <t>HÄRJEDALEN</t>
        </is>
      </c>
      <c r="F80" t="inlineStr">
        <is>
          <t>Sveaskog</t>
        </is>
      </c>
      <c r="G80" t="n">
        <v>20</v>
      </c>
      <c r="H80" t="n">
        <v>1</v>
      </c>
      <c r="I80" t="n">
        <v>0</v>
      </c>
      <c r="J80" t="n">
        <v>6</v>
      </c>
      <c r="K80" t="n">
        <v>1</v>
      </c>
      <c r="L80" t="n">
        <v>0</v>
      </c>
      <c r="M80" t="n">
        <v>0</v>
      </c>
      <c r="N80" t="n">
        <v>0</v>
      </c>
      <c r="O80" t="n">
        <v>7</v>
      </c>
      <c r="P80" t="n">
        <v>1</v>
      </c>
      <c r="Q80" t="n">
        <v>7</v>
      </c>
      <c r="R80" s="2" t="inlineStr">
        <is>
          <t>Varglavsknöl
Blanksvart spiklav
Garnlav
Kolflarnlav
Mörk kolflarnlav
Varglav
Vedflamlav</t>
        </is>
      </c>
      <c r="S80">
        <f>HYPERLINK("https://klasma.github.io/Logging_2361/artfynd/A 74070-2021 artfynd.xlsx", "A 74070-2021")</f>
        <v/>
      </c>
      <c r="T80">
        <f>HYPERLINK("https://klasma.github.io/Logging_2361/kartor/A 74070-2021 karta.png", "A 74070-2021")</f>
        <v/>
      </c>
      <c r="V80">
        <f>HYPERLINK("https://klasma.github.io/Logging_2361/klagomål/A 74070-2021 FSC-klagomål.docx", "A 74070-2021")</f>
        <v/>
      </c>
      <c r="W80">
        <f>HYPERLINK("https://klasma.github.io/Logging_2361/klagomålsmail/A 74070-2021 FSC-klagomål mail.docx", "A 74070-2021")</f>
        <v/>
      </c>
      <c r="X80">
        <f>HYPERLINK("https://klasma.github.io/Logging_2361/tillsyn/A 74070-2021 tillsynsbegäran.docx", "A 74070-2021")</f>
        <v/>
      </c>
      <c r="Y80">
        <f>HYPERLINK("https://klasma.github.io/Logging_2361/tillsynsmail/A 74070-2021 tillsynsbegäran mail.docx", "A 74070-2021")</f>
        <v/>
      </c>
    </row>
    <row r="81" ht="15" customHeight="1">
      <c r="A81" t="inlineStr">
        <is>
          <t>A 14058-2023</t>
        </is>
      </c>
      <c r="B81" s="1" t="n">
        <v>45007</v>
      </c>
      <c r="C81" s="1" t="n">
        <v>45784</v>
      </c>
      <c r="D81" t="inlineStr">
        <is>
          <t>JÄMTLANDS LÄN</t>
        </is>
      </c>
      <c r="E81" t="inlineStr">
        <is>
          <t>HÄRJEDALEN</t>
        </is>
      </c>
      <c r="F81" t="inlineStr">
        <is>
          <t>Bergvik skog väst AB</t>
        </is>
      </c>
      <c r="G81" t="n">
        <v>33.9</v>
      </c>
      <c r="H81" t="n">
        <v>1</v>
      </c>
      <c r="I81" t="n">
        <v>1</v>
      </c>
      <c r="J81" t="n">
        <v>5</v>
      </c>
      <c r="K81" t="n">
        <v>1</v>
      </c>
      <c r="L81" t="n">
        <v>0</v>
      </c>
      <c r="M81" t="n">
        <v>0</v>
      </c>
      <c r="N81" t="n">
        <v>0</v>
      </c>
      <c r="O81" t="n">
        <v>6</v>
      </c>
      <c r="P81" t="n">
        <v>1</v>
      </c>
      <c r="Q81" t="n">
        <v>7</v>
      </c>
      <c r="R81" s="2" t="inlineStr">
        <is>
          <t>Gräddporing
Björktrast
Kolflarnlav
Mörk kolflarnlav
Nordtagging
Vedflamlav
Skarp dropptaggsvamp</t>
        </is>
      </c>
      <c r="S81">
        <f>HYPERLINK("https://klasma.github.io/Logging_2361/artfynd/A 14058-2023 artfynd.xlsx", "A 14058-2023")</f>
        <v/>
      </c>
      <c r="T81">
        <f>HYPERLINK("https://klasma.github.io/Logging_2361/kartor/A 14058-2023 karta.png", "A 14058-2023")</f>
        <v/>
      </c>
      <c r="V81">
        <f>HYPERLINK("https://klasma.github.io/Logging_2361/klagomål/A 14058-2023 FSC-klagomål.docx", "A 14058-2023")</f>
        <v/>
      </c>
      <c r="W81">
        <f>HYPERLINK("https://klasma.github.io/Logging_2361/klagomålsmail/A 14058-2023 FSC-klagomål mail.docx", "A 14058-2023")</f>
        <v/>
      </c>
      <c r="X81">
        <f>HYPERLINK("https://klasma.github.io/Logging_2361/tillsyn/A 14058-2023 tillsynsbegäran.docx", "A 14058-2023")</f>
        <v/>
      </c>
      <c r="Y81">
        <f>HYPERLINK("https://klasma.github.io/Logging_2361/tillsynsmail/A 14058-2023 tillsynsbegäran mail.docx", "A 14058-2023")</f>
        <v/>
      </c>
      <c r="Z81">
        <f>HYPERLINK("https://klasma.github.io/Logging_2361/fåglar/A 14058-2023 prioriterade fågelarter.docx", "A 14058-2023")</f>
        <v/>
      </c>
    </row>
    <row r="82" ht="15" customHeight="1">
      <c r="A82" t="inlineStr">
        <is>
          <t>A 29760-2023</t>
        </is>
      </c>
      <c r="B82" s="1" t="n">
        <v>45107</v>
      </c>
      <c r="C82" s="1" t="n">
        <v>45784</v>
      </c>
      <c r="D82" t="inlineStr">
        <is>
          <t>JÄMTLANDS LÄN</t>
        </is>
      </c>
      <c r="E82" t="inlineStr">
        <is>
          <t>HÄRJEDALEN</t>
        </is>
      </c>
      <c r="G82" t="n">
        <v>24.9</v>
      </c>
      <c r="H82" t="n">
        <v>1</v>
      </c>
      <c r="I82" t="n">
        <v>0</v>
      </c>
      <c r="J82" t="n">
        <v>6</v>
      </c>
      <c r="K82" t="n">
        <v>1</v>
      </c>
      <c r="L82" t="n">
        <v>0</v>
      </c>
      <c r="M82" t="n">
        <v>0</v>
      </c>
      <c r="N82" t="n">
        <v>0</v>
      </c>
      <c r="O82" t="n">
        <v>7</v>
      </c>
      <c r="P82" t="n">
        <v>1</v>
      </c>
      <c r="Q82" t="n">
        <v>7</v>
      </c>
      <c r="R82" s="2" t="inlineStr">
        <is>
          <t>Knärot
Garnlav
Kolflarnlav
Lunglav
Mörk kolflarnlav
Vedskivlav
Violettgrå tagellav</t>
        </is>
      </c>
      <c r="S82">
        <f>HYPERLINK("https://klasma.github.io/Logging_2361/artfynd/A 29760-2023 artfynd.xlsx", "A 29760-2023")</f>
        <v/>
      </c>
      <c r="T82">
        <f>HYPERLINK("https://klasma.github.io/Logging_2361/kartor/A 29760-2023 karta.png", "A 29760-2023")</f>
        <v/>
      </c>
      <c r="U82">
        <f>HYPERLINK("https://klasma.github.io/Logging_2361/knärot/A 29760-2023 karta knärot.png", "A 29760-2023")</f>
        <v/>
      </c>
      <c r="V82">
        <f>HYPERLINK("https://klasma.github.io/Logging_2361/klagomål/A 29760-2023 FSC-klagomål.docx", "A 29760-2023")</f>
        <v/>
      </c>
      <c r="W82">
        <f>HYPERLINK("https://klasma.github.io/Logging_2361/klagomålsmail/A 29760-2023 FSC-klagomål mail.docx", "A 29760-2023")</f>
        <v/>
      </c>
      <c r="X82">
        <f>HYPERLINK("https://klasma.github.io/Logging_2361/tillsyn/A 29760-2023 tillsynsbegäran.docx", "A 29760-2023")</f>
        <v/>
      </c>
      <c r="Y82">
        <f>HYPERLINK("https://klasma.github.io/Logging_2361/tillsynsmail/A 29760-2023 tillsynsbegäran mail.docx", "A 29760-2023")</f>
        <v/>
      </c>
    </row>
    <row r="83" ht="15" customHeight="1">
      <c r="A83" t="inlineStr">
        <is>
          <t>A 42719-2023</t>
        </is>
      </c>
      <c r="B83" s="1" t="n">
        <v>45181</v>
      </c>
      <c r="C83" s="1" t="n">
        <v>45784</v>
      </c>
      <c r="D83" t="inlineStr">
        <is>
          <t>JÄMTLANDS LÄN</t>
        </is>
      </c>
      <c r="E83" t="inlineStr">
        <is>
          <t>HÄRJEDALEN</t>
        </is>
      </c>
      <c r="F83" t="inlineStr">
        <is>
          <t>Sveaskog</t>
        </is>
      </c>
      <c r="G83" t="n">
        <v>11.3</v>
      </c>
      <c r="H83" t="n">
        <v>0</v>
      </c>
      <c r="I83" t="n">
        <v>2</v>
      </c>
      <c r="J83" t="n">
        <v>5</v>
      </c>
      <c r="K83" t="n">
        <v>0</v>
      </c>
      <c r="L83" t="n">
        <v>0</v>
      </c>
      <c r="M83" t="n">
        <v>0</v>
      </c>
      <c r="N83" t="n">
        <v>0</v>
      </c>
      <c r="O83" t="n">
        <v>5</v>
      </c>
      <c r="P83" t="n">
        <v>0</v>
      </c>
      <c r="Q83" t="n">
        <v>7</v>
      </c>
      <c r="R83" s="2" t="inlineStr">
        <is>
          <t>Blå taggsvamp
Dvärgbägarlav
Kolflarnlav
Mörk kolflarnlav
Vedflamlav
Dropptaggsvamp
Skarp dropptaggsvamp</t>
        </is>
      </c>
      <c r="S83">
        <f>HYPERLINK("https://klasma.github.io/Logging_2361/artfynd/A 42719-2023 artfynd.xlsx", "A 42719-2023")</f>
        <v/>
      </c>
      <c r="T83">
        <f>HYPERLINK("https://klasma.github.io/Logging_2361/kartor/A 42719-2023 karta.png", "A 42719-2023")</f>
        <v/>
      </c>
      <c r="V83">
        <f>HYPERLINK("https://klasma.github.io/Logging_2361/klagomål/A 42719-2023 FSC-klagomål.docx", "A 42719-2023")</f>
        <v/>
      </c>
      <c r="W83">
        <f>HYPERLINK("https://klasma.github.io/Logging_2361/klagomålsmail/A 42719-2023 FSC-klagomål mail.docx", "A 42719-2023")</f>
        <v/>
      </c>
      <c r="X83">
        <f>HYPERLINK("https://klasma.github.io/Logging_2361/tillsyn/A 42719-2023 tillsynsbegäran.docx", "A 42719-2023")</f>
        <v/>
      </c>
      <c r="Y83">
        <f>HYPERLINK("https://klasma.github.io/Logging_2361/tillsynsmail/A 42719-2023 tillsynsbegäran mail.docx", "A 42719-2023")</f>
        <v/>
      </c>
    </row>
    <row r="84" ht="15" customHeight="1">
      <c r="A84" t="inlineStr">
        <is>
          <t>A 33404-2024</t>
        </is>
      </c>
      <c r="B84" s="1" t="n">
        <v>45519</v>
      </c>
      <c r="C84" s="1" t="n">
        <v>45784</v>
      </c>
      <c r="D84" t="inlineStr">
        <is>
          <t>JÄMTLANDS LÄN</t>
        </is>
      </c>
      <c r="E84" t="inlineStr">
        <is>
          <t>HÄRJEDALEN</t>
        </is>
      </c>
      <c r="F84" t="inlineStr">
        <is>
          <t>SCA</t>
        </is>
      </c>
      <c r="G84" t="n">
        <v>8.1</v>
      </c>
      <c r="H84" t="n">
        <v>0</v>
      </c>
      <c r="I84" t="n">
        <v>0</v>
      </c>
      <c r="J84" t="n">
        <v>6</v>
      </c>
      <c r="K84" t="n">
        <v>1</v>
      </c>
      <c r="L84" t="n">
        <v>0</v>
      </c>
      <c r="M84" t="n">
        <v>0</v>
      </c>
      <c r="N84" t="n">
        <v>0</v>
      </c>
      <c r="O84" t="n">
        <v>7</v>
      </c>
      <c r="P84" t="n">
        <v>1</v>
      </c>
      <c r="Q84" t="n">
        <v>7</v>
      </c>
      <c r="R84" s="2" t="inlineStr">
        <is>
          <t>Rynkskinn
Gammelgransskål
Garnlav
Granticka
Gränsticka
Knottrig blåslav
Ullticka</t>
        </is>
      </c>
      <c r="S84">
        <f>HYPERLINK("https://klasma.github.io/Logging_2361/artfynd/A 33404-2024 artfynd.xlsx", "A 33404-2024")</f>
        <v/>
      </c>
      <c r="T84">
        <f>HYPERLINK("https://klasma.github.io/Logging_2361/kartor/A 33404-2024 karta.png", "A 33404-2024")</f>
        <v/>
      </c>
      <c r="V84">
        <f>HYPERLINK("https://klasma.github.io/Logging_2361/klagomål/A 33404-2024 FSC-klagomål.docx", "A 33404-2024")</f>
        <v/>
      </c>
      <c r="W84">
        <f>HYPERLINK("https://klasma.github.io/Logging_2361/klagomålsmail/A 33404-2024 FSC-klagomål mail.docx", "A 33404-2024")</f>
        <v/>
      </c>
      <c r="X84">
        <f>HYPERLINK("https://klasma.github.io/Logging_2361/tillsyn/A 33404-2024 tillsynsbegäran.docx", "A 33404-2024")</f>
        <v/>
      </c>
      <c r="Y84">
        <f>HYPERLINK("https://klasma.github.io/Logging_2361/tillsynsmail/A 33404-2024 tillsynsbegäran mail.docx", "A 33404-2024")</f>
        <v/>
      </c>
    </row>
    <row r="85" ht="15" customHeight="1">
      <c r="A85" t="inlineStr">
        <is>
          <t>A 18557-2025</t>
        </is>
      </c>
      <c r="B85" s="1" t="n">
        <v>45763</v>
      </c>
      <c r="C85" s="1" t="n">
        <v>45784</v>
      </c>
      <c r="D85" t="inlineStr">
        <is>
          <t>JÄMTLANDS LÄN</t>
        </is>
      </c>
      <c r="E85" t="inlineStr">
        <is>
          <t>HÄRJEDALEN</t>
        </is>
      </c>
      <c r="G85" t="n">
        <v>46.9</v>
      </c>
      <c r="H85" t="n">
        <v>0</v>
      </c>
      <c r="I85" t="n">
        <v>0</v>
      </c>
      <c r="J85" t="n">
        <v>7</v>
      </c>
      <c r="K85" t="n">
        <v>0</v>
      </c>
      <c r="L85" t="n">
        <v>0</v>
      </c>
      <c r="M85" t="n">
        <v>0</v>
      </c>
      <c r="N85" t="n">
        <v>0</v>
      </c>
      <c r="O85" t="n">
        <v>7</v>
      </c>
      <c r="P85" t="n">
        <v>0</v>
      </c>
      <c r="Q85" t="n">
        <v>7</v>
      </c>
      <c r="R85" s="2" t="inlineStr">
        <is>
          <t>Blanksvart spiklav
Doftskinn
Gammelgransskål
Garnlav
Knottrig blåslav
Kolflarnlav
Mörk kolflarnlav</t>
        </is>
      </c>
      <c r="S85">
        <f>HYPERLINK("https://klasma.github.io/Logging_232361/artfynd/A 18557-2025 artfynd.xlsx", "A 18557-2025")</f>
        <v/>
      </c>
      <c r="T85">
        <f>HYPERLINK("https://klasma.github.io/Logging_232361/kartor/A 18557-2025 karta.png", "A 18557-2025")</f>
        <v/>
      </c>
      <c r="V85">
        <f>HYPERLINK("https://klasma.github.io/Logging_232361/klagomål/A 18557-2025 FSC-klagomål.docx", "A 18557-2025")</f>
        <v/>
      </c>
      <c r="W85">
        <f>HYPERLINK("https://klasma.github.io/Logging_232361/klagomålsmail/A 18557-2025 FSC-klagomål mail.docx", "A 18557-2025")</f>
        <v/>
      </c>
      <c r="X85">
        <f>HYPERLINK("https://klasma.github.io/Logging_232361/tillsyn/A 18557-2025 tillsynsbegäran.docx", "A 18557-2025")</f>
        <v/>
      </c>
      <c r="Y85">
        <f>HYPERLINK("https://klasma.github.io/Logging_232361/tillsynsmail/A 18557-2025 tillsynsbegäran mail.docx", "A 18557-2025")</f>
        <v/>
      </c>
    </row>
    <row r="86" ht="15" customHeight="1">
      <c r="A86" t="inlineStr">
        <is>
          <t>A 38530-2019</t>
        </is>
      </c>
      <c r="B86" s="1" t="n">
        <v>43685</v>
      </c>
      <c r="C86" s="1" t="n">
        <v>45784</v>
      </c>
      <c r="D86" t="inlineStr">
        <is>
          <t>JÄMTLANDS LÄN</t>
        </is>
      </c>
      <c r="E86" t="inlineStr">
        <is>
          <t>HÄRJEDALEN</t>
        </is>
      </c>
      <c r="F86" t="inlineStr">
        <is>
          <t>Sveaskog</t>
        </is>
      </c>
      <c r="G86" t="n">
        <v>67.8</v>
      </c>
      <c r="H86" t="n">
        <v>0</v>
      </c>
      <c r="I86" t="n">
        <v>1</v>
      </c>
      <c r="J86" t="n">
        <v>5</v>
      </c>
      <c r="K86" t="n">
        <v>0</v>
      </c>
      <c r="L86" t="n">
        <v>0</v>
      </c>
      <c r="M86" t="n">
        <v>0</v>
      </c>
      <c r="N86" t="n">
        <v>0</v>
      </c>
      <c r="O86" t="n">
        <v>5</v>
      </c>
      <c r="P86" t="n">
        <v>0</v>
      </c>
      <c r="Q86" t="n">
        <v>6</v>
      </c>
      <c r="R86" s="2" t="inlineStr">
        <is>
          <t>Garnlav
Kolflarnlav
Mörk kolflarnlav
Skrovellav
Violettgrå tagellav
Skuggblåslav</t>
        </is>
      </c>
      <c r="S86">
        <f>HYPERLINK("https://klasma.github.io/Logging_2361/artfynd/A 38530-2019 artfynd.xlsx", "A 38530-2019")</f>
        <v/>
      </c>
      <c r="T86">
        <f>HYPERLINK("https://klasma.github.io/Logging_2361/kartor/A 38530-2019 karta.png", "A 38530-2019")</f>
        <v/>
      </c>
      <c r="V86">
        <f>HYPERLINK("https://klasma.github.io/Logging_2361/klagomål/A 38530-2019 FSC-klagomål.docx", "A 38530-2019")</f>
        <v/>
      </c>
      <c r="W86">
        <f>HYPERLINK("https://klasma.github.io/Logging_2361/klagomålsmail/A 38530-2019 FSC-klagomål mail.docx", "A 38530-2019")</f>
        <v/>
      </c>
      <c r="X86">
        <f>HYPERLINK("https://klasma.github.io/Logging_2361/tillsyn/A 38530-2019 tillsynsbegäran.docx", "A 38530-2019")</f>
        <v/>
      </c>
      <c r="Y86">
        <f>HYPERLINK("https://klasma.github.io/Logging_2361/tillsynsmail/A 38530-2019 tillsynsbegäran mail.docx", "A 38530-2019")</f>
        <v/>
      </c>
    </row>
    <row r="87" ht="15" customHeight="1">
      <c r="A87" t="inlineStr">
        <is>
          <t>A 60213-2019</t>
        </is>
      </c>
      <c r="B87" s="1" t="n">
        <v>43780</v>
      </c>
      <c r="C87" s="1" t="n">
        <v>45784</v>
      </c>
      <c r="D87" t="inlineStr">
        <is>
          <t>JÄMTLANDS LÄN</t>
        </is>
      </c>
      <c r="E87" t="inlineStr">
        <is>
          <t>HÄRJEDALEN</t>
        </is>
      </c>
      <c r="F87" t="inlineStr">
        <is>
          <t>Holmen skog AB</t>
        </is>
      </c>
      <c r="G87" t="n">
        <v>4.7</v>
      </c>
      <c r="H87" t="n">
        <v>1</v>
      </c>
      <c r="I87" t="n">
        <v>0</v>
      </c>
      <c r="J87" t="n">
        <v>5</v>
      </c>
      <c r="K87" t="n">
        <v>1</v>
      </c>
      <c r="L87" t="n">
        <v>0</v>
      </c>
      <c r="M87" t="n">
        <v>0</v>
      </c>
      <c r="N87" t="n">
        <v>0</v>
      </c>
      <c r="O87" t="n">
        <v>6</v>
      </c>
      <c r="P87" t="n">
        <v>1</v>
      </c>
      <c r="Q87" t="n">
        <v>6</v>
      </c>
      <c r="R87" s="2" t="inlineStr">
        <is>
          <t>Knärot
Blanksvart spiklav
Lunglav
Skrovellav
Tallticka
Ullticka</t>
        </is>
      </c>
      <c r="S87">
        <f>HYPERLINK("https://klasma.github.io/Logging_2361/artfynd/A 60213-2019 artfynd.xlsx", "A 60213-2019")</f>
        <v/>
      </c>
      <c r="T87">
        <f>HYPERLINK("https://klasma.github.io/Logging_2361/kartor/A 60213-2019 karta.png", "A 60213-2019")</f>
        <v/>
      </c>
      <c r="U87">
        <f>HYPERLINK("https://klasma.github.io/Logging_2361/knärot/A 60213-2019 karta knärot.png", "A 60213-2019")</f>
        <v/>
      </c>
      <c r="V87">
        <f>HYPERLINK("https://klasma.github.io/Logging_2361/klagomål/A 60213-2019 FSC-klagomål.docx", "A 60213-2019")</f>
        <v/>
      </c>
      <c r="W87">
        <f>HYPERLINK("https://klasma.github.io/Logging_2361/klagomålsmail/A 60213-2019 FSC-klagomål mail.docx", "A 60213-2019")</f>
        <v/>
      </c>
      <c r="X87">
        <f>HYPERLINK("https://klasma.github.io/Logging_2361/tillsyn/A 60213-2019 tillsynsbegäran.docx", "A 60213-2019")</f>
        <v/>
      </c>
      <c r="Y87">
        <f>HYPERLINK("https://klasma.github.io/Logging_2361/tillsynsmail/A 60213-2019 tillsynsbegäran mail.docx", "A 60213-2019")</f>
        <v/>
      </c>
    </row>
    <row r="88" ht="15" customHeight="1">
      <c r="A88" t="inlineStr">
        <is>
          <t>A 7732-2021</t>
        </is>
      </c>
      <c r="B88" s="1" t="n">
        <v>44242</v>
      </c>
      <c r="C88" s="1" t="n">
        <v>45784</v>
      </c>
      <c r="D88" t="inlineStr">
        <is>
          <t>JÄMTLANDS LÄN</t>
        </is>
      </c>
      <c r="E88" t="inlineStr">
        <is>
          <t>HÄRJEDALEN</t>
        </is>
      </c>
      <c r="G88" t="n">
        <v>30.5</v>
      </c>
      <c r="H88" t="n">
        <v>0</v>
      </c>
      <c r="I88" t="n">
        <v>2</v>
      </c>
      <c r="J88" t="n">
        <v>4</v>
      </c>
      <c r="K88" t="n">
        <v>0</v>
      </c>
      <c r="L88" t="n">
        <v>0</v>
      </c>
      <c r="M88" t="n">
        <v>0</v>
      </c>
      <c r="N88" t="n">
        <v>0</v>
      </c>
      <c r="O88" t="n">
        <v>4</v>
      </c>
      <c r="P88" t="n">
        <v>0</v>
      </c>
      <c r="Q88" t="n">
        <v>6</v>
      </c>
      <c r="R88" s="2" t="inlineStr">
        <is>
          <t>Garnlav
Granticka
Knottrig blåslav
Vitgrynig nållav
Stuplav
Vedticka</t>
        </is>
      </c>
      <c r="S88">
        <f>HYPERLINK("https://klasma.github.io/Logging_2361/artfynd/A 7732-2021 artfynd.xlsx", "A 7732-2021")</f>
        <v/>
      </c>
      <c r="T88">
        <f>HYPERLINK("https://klasma.github.io/Logging_2361/kartor/A 7732-2021 karta.png", "A 7732-2021")</f>
        <v/>
      </c>
      <c r="V88">
        <f>HYPERLINK("https://klasma.github.io/Logging_2361/klagomål/A 7732-2021 FSC-klagomål.docx", "A 7732-2021")</f>
        <v/>
      </c>
      <c r="W88">
        <f>HYPERLINK("https://klasma.github.io/Logging_2361/klagomålsmail/A 7732-2021 FSC-klagomål mail.docx", "A 7732-2021")</f>
        <v/>
      </c>
      <c r="X88">
        <f>HYPERLINK("https://klasma.github.io/Logging_2361/tillsyn/A 7732-2021 tillsynsbegäran.docx", "A 7732-2021")</f>
        <v/>
      </c>
      <c r="Y88">
        <f>HYPERLINK("https://klasma.github.io/Logging_2361/tillsynsmail/A 7732-2021 tillsynsbegäran mail.docx", "A 7732-2021")</f>
        <v/>
      </c>
    </row>
    <row r="89" ht="15" customHeight="1">
      <c r="A89" t="inlineStr">
        <is>
          <t>A 62683-2022</t>
        </is>
      </c>
      <c r="B89" s="1" t="n">
        <v>44925</v>
      </c>
      <c r="C89" s="1" t="n">
        <v>45784</v>
      </c>
      <c r="D89" t="inlineStr">
        <is>
          <t>JÄMTLANDS LÄN</t>
        </is>
      </c>
      <c r="E89" t="inlineStr">
        <is>
          <t>HÄRJEDALEN</t>
        </is>
      </c>
      <c r="F89" t="inlineStr">
        <is>
          <t>Holmen skog AB</t>
        </is>
      </c>
      <c r="G89" t="n">
        <v>3.7</v>
      </c>
      <c r="H89" t="n">
        <v>2</v>
      </c>
      <c r="I89" t="n">
        <v>1</v>
      </c>
      <c r="J89" t="n">
        <v>4</v>
      </c>
      <c r="K89" t="n">
        <v>1</v>
      </c>
      <c r="L89" t="n">
        <v>0</v>
      </c>
      <c r="M89" t="n">
        <v>0</v>
      </c>
      <c r="N89" t="n">
        <v>0</v>
      </c>
      <c r="O89" t="n">
        <v>5</v>
      </c>
      <c r="P89" t="n">
        <v>1</v>
      </c>
      <c r="Q89" t="n">
        <v>6</v>
      </c>
      <c r="R89" s="2" t="inlineStr">
        <is>
          <t>Knärot
Knottrig blåslav
Kolflarnlav
Lunglav
Skrovellav
Spindelblomster</t>
        </is>
      </c>
      <c r="S89">
        <f>HYPERLINK("https://klasma.github.io/Logging_2361/artfynd/A 62683-2022 artfynd.xlsx", "A 62683-2022")</f>
        <v/>
      </c>
      <c r="T89">
        <f>HYPERLINK("https://klasma.github.io/Logging_2361/kartor/A 62683-2022 karta.png", "A 62683-2022")</f>
        <v/>
      </c>
      <c r="U89">
        <f>HYPERLINK("https://klasma.github.io/Logging_2361/knärot/A 62683-2022 karta knärot.png", "A 62683-2022")</f>
        <v/>
      </c>
      <c r="V89">
        <f>HYPERLINK("https://klasma.github.io/Logging_2361/klagomål/A 62683-2022 FSC-klagomål.docx", "A 62683-2022")</f>
        <v/>
      </c>
      <c r="W89">
        <f>HYPERLINK("https://klasma.github.io/Logging_2361/klagomålsmail/A 62683-2022 FSC-klagomål mail.docx", "A 62683-2022")</f>
        <v/>
      </c>
      <c r="X89">
        <f>HYPERLINK("https://klasma.github.io/Logging_2361/tillsyn/A 62683-2022 tillsynsbegäran.docx", "A 62683-2022")</f>
        <v/>
      </c>
      <c r="Y89">
        <f>HYPERLINK("https://klasma.github.io/Logging_2361/tillsynsmail/A 62683-2022 tillsynsbegäran mail.docx", "A 62683-2022")</f>
        <v/>
      </c>
    </row>
    <row r="90" ht="15" customHeight="1">
      <c r="A90" t="inlineStr">
        <is>
          <t>A 32087-2023</t>
        </is>
      </c>
      <c r="B90" s="1" t="n">
        <v>45119</v>
      </c>
      <c r="C90" s="1" t="n">
        <v>45784</v>
      </c>
      <c r="D90" t="inlineStr">
        <is>
          <t>JÄMTLANDS LÄN</t>
        </is>
      </c>
      <c r="E90" t="inlineStr">
        <is>
          <t>HÄRJEDALEN</t>
        </is>
      </c>
      <c r="F90" t="inlineStr">
        <is>
          <t>Kommuner</t>
        </is>
      </c>
      <c r="G90" t="n">
        <v>24.1</v>
      </c>
      <c r="H90" t="n">
        <v>0</v>
      </c>
      <c r="I90" t="n">
        <v>2</v>
      </c>
      <c r="J90" t="n">
        <v>3</v>
      </c>
      <c r="K90" t="n">
        <v>1</v>
      </c>
      <c r="L90" t="n">
        <v>0</v>
      </c>
      <c r="M90" t="n">
        <v>0</v>
      </c>
      <c r="N90" t="n">
        <v>0</v>
      </c>
      <c r="O90" t="n">
        <v>4</v>
      </c>
      <c r="P90" t="n">
        <v>1</v>
      </c>
      <c r="Q90" t="n">
        <v>6</v>
      </c>
      <c r="R90" s="2" t="inlineStr">
        <is>
          <t>Smalfotad taggsvamp
Blå taggsvamp
Kolflarnlav
Motaggsvamp
Dropptaggsvamp
Skarp dropptaggsvamp</t>
        </is>
      </c>
      <c r="S90">
        <f>HYPERLINK("https://klasma.github.io/Logging_2361/artfynd/A 32087-2023 artfynd.xlsx", "A 32087-2023")</f>
        <v/>
      </c>
      <c r="T90">
        <f>HYPERLINK("https://klasma.github.io/Logging_2361/kartor/A 32087-2023 karta.png", "A 32087-2023")</f>
        <v/>
      </c>
      <c r="V90">
        <f>HYPERLINK("https://klasma.github.io/Logging_2361/klagomål/A 32087-2023 FSC-klagomål.docx", "A 32087-2023")</f>
        <v/>
      </c>
      <c r="W90">
        <f>HYPERLINK("https://klasma.github.io/Logging_2361/klagomålsmail/A 32087-2023 FSC-klagomål mail.docx", "A 32087-2023")</f>
        <v/>
      </c>
      <c r="X90">
        <f>HYPERLINK("https://klasma.github.io/Logging_2361/tillsyn/A 32087-2023 tillsynsbegäran.docx", "A 32087-2023")</f>
        <v/>
      </c>
      <c r="Y90">
        <f>HYPERLINK("https://klasma.github.io/Logging_2361/tillsynsmail/A 32087-2023 tillsynsbegäran mail.docx", "A 32087-2023")</f>
        <v/>
      </c>
    </row>
    <row r="91" ht="15" customHeight="1">
      <c r="A91" t="inlineStr">
        <is>
          <t>A 31583-2024</t>
        </is>
      </c>
      <c r="B91" s="1" t="n">
        <v>45506</v>
      </c>
      <c r="C91" s="1" t="n">
        <v>45784</v>
      </c>
      <c r="D91" t="inlineStr">
        <is>
          <t>JÄMTLANDS LÄN</t>
        </is>
      </c>
      <c r="E91" t="inlineStr">
        <is>
          <t>HÄRJEDALEN</t>
        </is>
      </c>
      <c r="G91" t="n">
        <v>9.199999999999999</v>
      </c>
      <c r="H91" t="n">
        <v>1</v>
      </c>
      <c r="I91" t="n">
        <v>0</v>
      </c>
      <c r="J91" t="n">
        <v>5</v>
      </c>
      <c r="K91" t="n">
        <v>1</v>
      </c>
      <c r="L91" t="n">
        <v>0</v>
      </c>
      <c r="M91" t="n">
        <v>0</v>
      </c>
      <c r="N91" t="n">
        <v>0</v>
      </c>
      <c r="O91" t="n">
        <v>6</v>
      </c>
      <c r="P91" t="n">
        <v>1</v>
      </c>
      <c r="Q91" t="n">
        <v>6</v>
      </c>
      <c r="R91" s="2" t="inlineStr">
        <is>
          <t>Knärot
Garnlav
Igelkott
Kolflarnlav
Lunglav
Mörk kolflarnlav</t>
        </is>
      </c>
      <c r="S91">
        <f>HYPERLINK("https://klasma.github.io/Logging_2361/artfynd/A 31583-2024 artfynd.xlsx", "A 31583-2024")</f>
        <v/>
      </c>
      <c r="T91">
        <f>HYPERLINK("https://klasma.github.io/Logging_2361/kartor/A 31583-2024 karta.png", "A 31583-2024")</f>
        <v/>
      </c>
      <c r="U91">
        <f>HYPERLINK("https://klasma.github.io/Logging_2361/knärot/A 31583-2024 karta knärot.png", "A 31583-2024")</f>
        <v/>
      </c>
      <c r="V91">
        <f>HYPERLINK("https://klasma.github.io/Logging_2361/klagomål/A 31583-2024 FSC-klagomål.docx", "A 31583-2024")</f>
        <v/>
      </c>
      <c r="W91">
        <f>HYPERLINK("https://klasma.github.io/Logging_2361/klagomålsmail/A 31583-2024 FSC-klagomål mail.docx", "A 31583-2024")</f>
        <v/>
      </c>
      <c r="X91">
        <f>HYPERLINK("https://klasma.github.io/Logging_2361/tillsyn/A 31583-2024 tillsynsbegäran.docx", "A 31583-2024")</f>
        <v/>
      </c>
      <c r="Y91">
        <f>HYPERLINK("https://klasma.github.io/Logging_2361/tillsynsmail/A 31583-2024 tillsynsbegäran mail.docx", "A 31583-2024")</f>
        <v/>
      </c>
    </row>
    <row r="92" ht="15" customHeight="1">
      <c r="A92" t="inlineStr">
        <is>
          <t>A 43278-2024</t>
        </is>
      </c>
      <c r="B92" s="1" t="n">
        <v>45568</v>
      </c>
      <c r="C92" s="1" t="n">
        <v>45784</v>
      </c>
      <c r="D92" t="inlineStr">
        <is>
          <t>JÄMTLANDS LÄN</t>
        </is>
      </c>
      <c r="E92" t="inlineStr">
        <is>
          <t>HÄRJEDALEN</t>
        </is>
      </c>
      <c r="F92" t="inlineStr">
        <is>
          <t>SCA</t>
        </is>
      </c>
      <c r="G92" t="n">
        <v>14.7</v>
      </c>
      <c r="H92" t="n">
        <v>0</v>
      </c>
      <c r="I92" t="n">
        <v>0</v>
      </c>
      <c r="J92" t="n">
        <v>5</v>
      </c>
      <c r="K92" t="n">
        <v>1</v>
      </c>
      <c r="L92" t="n">
        <v>0</v>
      </c>
      <c r="M92" t="n">
        <v>0</v>
      </c>
      <c r="N92" t="n">
        <v>0</v>
      </c>
      <c r="O92" t="n">
        <v>6</v>
      </c>
      <c r="P92" t="n">
        <v>1</v>
      </c>
      <c r="Q92" t="n">
        <v>6</v>
      </c>
      <c r="R92" s="2" t="inlineStr">
        <is>
          <t>Rynkskinn
Gammelgransskål
Garnlav
Gränsticka
Knottrig blåslav
Ullticka</t>
        </is>
      </c>
      <c r="S92">
        <f>HYPERLINK("https://klasma.github.io/Logging_2361/artfynd/A 43278-2024 artfynd.xlsx", "A 43278-2024")</f>
        <v/>
      </c>
      <c r="T92">
        <f>HYPERLINK("https://klasma.github.io/Logging_2361/kartor/A 43278-2024 karta.png", "A 43278-2024")</f>
        <v/>
      </c>
      <c r="V92">
        <f>HYPERLINK("https://klasma.github.io/Logging_2361/klagomål/A 43278-2024 FSC-klagomål.docx", "A 43278-2024")</f>
        <v/>
      </c>
      <c r="W92">
        <f>HYPERLINK("https://klasma.github.io/Logging_2361/klagomålsmail/A 43278-2024 FSC-klagomål mail.docx", "A 43278-2024")</f>
        <v/>
      </c>
      <c r="X92">
        <f>HYPERLINK("https://klasma.github.io/Logging_2361/tillsyn/A 43278-2024 tillsynsbegäran.docx", "A 43278-2024")</f>
        <v/>
      </c>
      <c r="Y92">
        <f>HYPERLINK("https://klasma.github.io/Logging_2361/tillsynsmail/A 43278-2024 tillsynsbegäran mail.docx", "A 43278-2024")</f>
        <v/>
      </c>
    </row>
    <row r="93" ht="15" customHeight="1">
      <c r="A93" t="inlineStr">
        <is>
          <t>A 44450-2024</t>
        </is>
      </c>
      <c r="B93" s="1" t="n">
        <v>45574</v>
      </c>
      <c r="C93" s="1" t="n">
        <v>45784</v>
      </c>
      <c r="D93" t="inlineStr">
        <is>
          <t>JÄMTLANDS LÄN</t>
        </is>
      </c>
      <c r="E93" t="inlineStr">
        <is>
          <t>HÄRJEDALEN</t>
        </is>
      </c>
      <c r="G93" t="n">
        <v>14.2</v>
      </c>
      <c r="H93" t="n">
        <v>2</v>
      </c>
      <c r="I93" t="n">
        <v>0</v>
      </c>
      <c r="J93" t="n">
        <v>4</v>
      </c>
      <c r="K93" t="n">
        <v>1</v>
      </c>
      <c r="L93" t="n">
        <v>0</v>
      </c>
      <c r="M93" t="n">
        <v>0</v>
      </c>
      <c r="N93" t="n">
        <v>0</v>
      </c>
      <c r="O93" t="n">
        <v>5</v>
      </c>
      <c r="P93" t="n">
        <v>1</v>
      </c>
      <c r="Q93" t="n">
        <v>6</v>
      </c>
      <c r="R93" s="2" t="inlineStr">
        <is>
          <t>Rynkskinn
Garnlav
Rosenticka
Tretåig hackspett
Ullticka
Lavskrika</t>
        </is>
      </c>
      <c r="S93">
        <f>HYPERLINK("https://klasma.github.io/Logging_2361/artfynd/A 44450-2024 artfynd.xlsx", "A 44450-2024")</f>
        <v/>
      </c>
      <c r="T93">
        <f>HYPERLINK("https://klasma.github.io/Logging_2361/kartor/A 44450-2024 karta.png", "A 44450-2024")</f>
        <v/>
      </c>
      <c r="V93">
        <f>HYPERLINK("https://klasma.github.io/Logging_2361/klagomål/A 44450-2024 FSC-klagomål.docx", "A 44450-2024")</f>
        <v/>
      </c>
      <c r="W93">
        <f>HYPERLINK("https://klasma.github.io/Logging_2361/klagomålsmail/A 44450-2024 FSC-klagomål mail.docx", "A 44450-2024")</f>
        <v/>
      </c>
      <c r="X93">
        <f>HYPERLINK("https://klasma.github.io/Logging_2361/tillsyn/A 44450-2024 tillsynsbegäran.docx", "A 44450-2024")</f>
        <v/>
      </c>
      <c r="Y93">
        <f>HYPERLINK("https://klasma.github.io/Logging_2361/tillsynsmail/A 44450-2024 tillsynsbegäran mail.docx", "A 44450-2024")</f>
        <v/>
      </c>
      <c r="Z93">
        <f>HYPERLINK("https://klasma.github.io/Logging_2361/fåglar/A 44450-2024 prioriterade fågelarter.docx", "A 44450-2024")</f>
        <v/>
      </c>
    </row>
    <row r="94" ht="15" customHeight="1">
      <c r="A94" t="inlineStr">
        <is>
          <t>A 54196-2024</t>
        </is>
      </c>
      <c r="B94" s="1" t="n">
        <v>45616</v>
      </c>
      <c r="C94" s="1" t="n">
        <v>45784</v>
      </c>
      <c r="D94" t="inlineStr">
        <is>
          <t>JÄMTLANDS LÄN</t>
        </is>
      </c>
      <c r="E94" t="inlineStr">
        <is>
          <t>HÄRJEDALEN</t>
        </is>
      </c>
      <c r="G94" t="n">
        <v>4.4</v>
      </c>
      <c r="H94" t="n">
        <v>2</v>
      </c>
      <c r="I94" t="n">
        <v>0</v>
      </c>
      <c r="J94" t="n">
        <v>5</v>
      </c>
      <c r="K94" t="n">
        <v>1</v>
      </c>
      <c r="L94" t="n">
        <v>0</v>
      </c>
      <c r="M94" t="n">
        <v>0</v>
      </c>
      <c r="N94" t="n">
        <v>0</v>
      </c>
      <c r="O94" t="n">
        <v>6</v>
      </c>
      <c r="P94" t="n">
        <v>1</v>
      </c>
      <c r="Q94" t="n">
        <v>6</v>
      </c>
      <c r="R94" s="2" t="inlineStr">
        <is>
          <t>Knärot
Garnlav
Kolflarnlav
Mörk kolflarnlav
Tretåig hackspett
Ullticka</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10010-2025</t>
        </is>
      </c>
      <c r="B95" s="1" t="n">
        <v>45719</v>
      </c>
      <c r="C95" s="1" t="n">
        <v>45784</v>
      </c>
      <c r="D95" t="inlineStr">
        <is>
          <t>JÄMTLANDS LÄN</t>
        </is>
      </c>
      <c r="E95" t="inlineStr">
        <is>
          <t>HÄRJEDALEN</t>
        </is>
      </c>
      <c r="G95" t="n">
        <v>14.4</v>
      </c>
      <c r="H95" t="n">
        <v>2</v>
      </c>
      <c r="I95" t="n">
        <v>0</v>
      </c>
      <c r="J95" t="n">
        <v>5</v>
      </c>
      <c r="K95" t="n">
        <v>0</v>
      </c>
      <c r="L95" t="n">
        <v>0</v>
      </c>
      <c r="M95" t="n">
        <v>0</v>
      </c>
      <c r="N95" t="n">
        <v>0</v>
      </c>
      <c r="O95" t="n">
        <v>5</v>
      </c>
      <c r="P95" t="n">
        <v>0</v>
      </c>
      <c r="Q95" t="n">
        <v>6</v>
      </c>
      <c r="R95" s="2" t="inlineStr">
        <is>
          <t>Blanksvart spiklav
Blågrå svartspik
Garnlav
Tretåig hackspett
Vitgrynig nållav
Tjäder</t>
        </is>
      </c>
      <c r="S95">
        <f>HYPERLINK("https://klasma.github.io/Logging_232361/artfynd/A 10010-2025 artfynd.xlsx", "A 10010-2025")</f>
        <v/>
      </c>
      <c r="T95">
        <f>HYPERLINK("https://klasma.github.io/Logging_232361/kartor/A 10010-2025 karta.png", "A 10010-2025")</f>
        <v/>
      </c>
      <c r="V95">
        <f>HYPERLINK("https://klasma.github.io/Logging_232361/klagomål/A 10010-2025 FSC-klagomål.docx", "A 10010-2025")</f>
        <v/>
      </c>
      <c r="W95">
        <f>HYPERLINK("https://klasma.github.io/Logging_232361/klagomålsmail/A 10010-2025 FSC-klagomål mail.docx", "A 10010-2025")</f>
        <v/>
      </c>
      <c r="X95">
        <f>HYPERLINK("https://klasma.github.io/Logging_232361/tillsyn/A 10010-2025 tillsynsbegäran.docx", "A 10010-2025")</f>
        <v/>
      </c>
      <c r="Y95">
        <f>HYPERLINK("https://klasma.github.io/Logging_232361/tillsynsmail/A 10010-2025 tillsynsbegäran mail.docx", "A 10010-2025")</f>
        <v/>
      </c>
      <c r="Z95">
        <f>HYPERLINK("https://klasma.github.io/Logging_232361/fåglar/A 10010-2025 prioriterade fågelarter.docx", "A 10010-2025")</f>
        <v/>
      </c>
    </row>
    <row r="96" ht="15" customHeight="1">
      <c r="A96" t="inlineStr">
        <is>
          <t>A 13779-2025</t>
        </is>
      </c>
      <c r="B96" s="1" t="n">
        <v>45737</v>
      </c>
      <c r="C96" s="1" t="n">
        <v>45784</v>
      </c>
      <c r="D96" t="inlineStr">
        <is>
          <t>JÄMTLANDS LÄN</t>
        </is>
      </c>
      <c r="E96" t="inlineStr">
        <is>
          <t>HÄRJEDALEN</t>
        </is>
      </c>
      <c r="G96" t="n">
        <v>11.4</v>
      </c>
      <c r="H96" t="n">
        <v>0</v>
      </c>
      <c r="I96" t="n">
        <v>1</v>
      </c>
      <c r="J96" t="n">
        <v>5</v>
      </c>
      <c r="K96" t="n">
        <v>0</v>
      </c>
      <c r="L96" t="n">
        <v>0</v>
      </c>
      <c r="M96" t="n">
        <v>0</v>
      </c>
      <c r="N96" t="n">
        <v>0</v>
      </c>
      <c r="O96" t="n">
        <v>5</v>
      </c>
      <c r="P96" t="n">
        <v>0</v>
      </c>
      <c r="Q96" t="n">
        <v>6</v>
      </c>
      <c r="R96" s="2" t="inlineStr">
        <is>
          <t>Blå taggsvamp
Motaggsvamp
Orange taggsvamp
Svart taggsvamp
Tallriska
Dropptaggsvamp</t>
        </is>
      </c>
      <c r="S96">
        <f>HYPERLINK("https://klasma.github.io/Logging_232361/artfynd/A 13779-2025 artfynd.xlsx", "A 13779-2025")</f>
        <v/>
      </c>
      <c r="T96">
        <f>HYPERLINK("https://klasma.github.io/Logging_232361/kartor/A 13779-2025 karta.png", "A 13779-2025")</f>
        <v/>
      </c>
      <c r="V96">
        <f>HYPERLINK("https://klasma.github.io/Logging_232361/klagomål/A 13779-2025 FSC-klagomål.docx", "A 13779-2025")</f>
        <v/>
      </c>
      <c r="W96">
        <f>HYPERLINK("https://klasma.github.io/Logging_232361/klagomålsmail/A 13779-2025 FSC-klagomål mail.docx", "A 13779-2025")</f>
        <v/>
      </c>
      <c r="X96">
        <f>HYPERLINK("https://klasma.github.io/Logging_232361/tillsyn/A 13779-2025 tillsynsbegäran.docx", "A 13779-2025")</f>
        <v/>
      </c>
      <c r="Y96">
        <f>HYPERLINK("https://klasma.github.io/Logging_232361/tillsynsmail/A 13779-2025 tillsynsbegäran mail.docx", "A 13779-2025")</f>
        <v/>
      </c>
    </row>
    <row r="97" ht="15" customHeight="1">
      <c r="A97" t="inlineStr">
        <is>
          <t>A 20135-2025</t>
        </is>
      </c>
      <c r="B97" s="1" t="n">
        <v>45772</v>
      </c>
      <c r="C97" s="1" t="n">
        <v>45784</v>
      </c>
      <c r="D97" t="inlineStr">
        <is>
          <t>JÄMTLANDS LÄN</t>
        </is>
      </c>
      <c r="E97" t="inlineStr">
        <is>
          <t>HÄRJEDALEN</t>
        </is>
      </c>
      <c r="F97" t="inlineStr">
        <is>
          <t>SCA</t>
        </is>
      </c>
      <c r="G97" t="n">
        <v>3.5</v>
      </c>
      <c r="H97" t="n">
        <v>0</v>
      </c>
      <c r="I97" t="n">
        <v>3</v>
      </c>
      <c r="J97" t="n">
        <v>3</v>
      </c>
      <c r="K97" t="n">
        <v>0</v>
      </c>
      <c r="L97" t="n">
        <v>0</v>
      </c>
      <c r="M97" t="n">
        <v>0</v>
      </c>
      <c r="N97" t="n">
        <v>0</v>
      </c>
      <c r="O97" t="n">
        <v>3</v>
      </c>
      <c r="P97" t="n">
        <v>0</v>
      </c>
      <c r="Q97" t="n">
        <v>6</v>
      </c>
      <c r="R97" s="2" t="inlineStr">
        <is>
          <t>Blå taggsvamp
Gränsticka
Vedskivlav
Dropptaggsvamp
Tibast
Vedticka</t>
        </is>
      </c>
      <c r="S97">
        <f>HYPERLINK("https://klasma.github.io/Logging_232361/artfynd/A 20135-2025 artfynd.xlsx", "A 20135-2025")</f>
        <v/>
      </c>
      <c r="T97">
        <f>HYPERLINK("https://klasma.github.io/Logging_232361/kartor/A 20135-2025 karta.png", "A 20135-2025")</f>
        <v/>
      </c>
      <c r="V97">
        <f>HYPERLINK("https://klasma.github.io/Logging_232361/klagomål/A 20135-2025 FSC-klagomål.docx", "A 20135-2025")</f>
        <v/>
      </c>
      <c r="W97">
        <f>HYPERLINK("https://klasma.github.io/Logging_232361/klagomålsmail/A 20135-2025 FSC-klagomål mail.docx", "A 20135-2025")</f>
        <v/>
      </c>
      <c r="X97">
        <f>HYPERLINK("https://klasma.github.io/Logging_232361/tillsyn/A 20135-2025 tillsynsbegäran.docx", "A 20135-2025")</f>
        <v/>
      </c>
      <c r="Y97">
        <f>HYPERLINK("https://klasma.github.io/Logging_232361/tillsynsmail/A 20135-2025 tillsynsbegäran mail.docx", "A 20135-2025")</f>
        <v/>
      </c>
    </row>
    <row r="98" ht="15" customHeight="1">
      <c r="A98" t="inlineStr">
        <is>
          <t>A 25472-2019</t>
        </is>
      </c>
      <c r="B98" s="1" t="n">
        <v>43606</v>
      </c>
      <c r="C98" s="1" t="n">
        <v>45784</v>
      </c>
      <c r="D98" t="inlineStr">
        <is>
          <t>JÄMTLANDS LÄN</t>
        </is>
      </c>
      <c r="E98" t="inlineStr">
        <is>
          <t>HÄRJEDALEN</t>
        </is>
      </c>
      <c r="G98" t="n">
        <v>18.7</v>
      </c>
      <c r="H98" t="n">
        <v>0</v>
      </c>
      <c r="I98" t="n">
        <v>0</v>
      </c>
      <c r="J98" t="n">
        <v>4</v>
      </c>
      <c r="K98" t="n">
        <v>1</v>
      </c>
      <c r="L98" t="n">
        <v>0</v>
      </c>
      <c r="M98" t="n">
        <v>0</v>
      </c>
      <c r="N98" t="n">
        <v>0</v>
      </c>
      <c r="O98" t="n">
        <v>5</v>
      </c>
      <c r="P98" t="n">
        <v>1</v>
      </c>
      <c r="Q98" t="n">
        <v>5</v>
      </c>
      <c r="R98" s="2" t="inlineStr">
        <is>
          <t>Gräddporing
Dvärgbägarlav
Gammelgransskål
Garnlav
Skrovellav</t>
        </is>
      </c>
      <c r="S98">
        <f>HYPERLINK("https://klasma.github.io/Logging_2361/artfynd/A 25472-2019 artfynd.xlsx", "A 25472-2019")</f>
        <v/>
      </c>
      <c r="T98">
        <f>HYPERLINK("https://klasma.github.io/Logging_2361/kartor/A 25472-2019 karta.png", "A 25472-2019")</f>
        <v/>
      </c>
      <c r="V98">
        <f>HYPERLINK("https://klasma.github.io/Logging_2361/klagomål/A 25472-2019 FSC-klagomål.docx", "A 25472-2019")</f>
        <v/>
      </c>
      <c r="W98">
        <f>HYPERLINK("https://klasma.github.io/Logging_2361/klagomålsmail/A 25472-2019 FSC-klagomål mail.docx", "A 25472-2019")</f>
        <v/>
      </c>
      <c r="X98">
        <f>HYPERLINK("https://klasma.github.io/Logging_2361/tillsyn/A 25472-2019 tillsynsbegäran.docx", "A 25472-2019")</f>
        <v/>
      </c>
      <c r="Y98">
        <f>HYPERLINK("https://klasma.github.io/Logging_2361/tillsynsmail/A 25472-2019 tillsynsbegäran mail.docx", "A 25472-2019")</f>
        <v/>
      </c>
    </row>
    <row r="99" ht="15" customHeight="1">
      <c r="A99" t="inlineStr">
        <is>
          <t>A 14285-2021</t>
        </is>
      </c>
      <c r="B99" s="1" t="n">
        <v>44278</v>
      </c>
      <c r="C99" s="1" t="n">
        <v>45784</v>
      </c>
      <c r="D99" t="inlineStr">
        <is>
          <t>JÄMTLANDS LÄN</t>
        </is>
      </c>
      <c r="E99" t="inlineStr">
        <is>
          <t>HÄRJEDALEN</t>
        </is>
      </c>
      <c r="F99" t="inlineStr">
        <is>
          <t>Bergvik skog väst AB</t>
        </is>
      </c>
      <c r="G99" t="n">
        <v>31</v>
      </c>
      <c r="H99" t="n">
        <v>3</v>
      </c>
      <c r="I99" t="n">
        <v>0</v>
      </c>
      <c r="J99" t="n">
        <v>4</v>
      </c>
      <c r="K99" t="n">
        <v>0</v>
      </c>
      <c r="L99" t="n">
        <v>0</v>
      </c>
      <c r="M99" t="n">
        <v>0</v>
      </c>
      <c r="N99" t="n">
        <v>0</v>
      </c>
      <c r="O99" t="n">
        <v>4</v>
      </c>
      <c r="P99" t="n">
        <v>0</v>
      </c>
      <c r="Q99" t="n">
        <v>5</v>
      </c>
      <c r="R99" s="2" t="inlineStr">
        <is>
          <t>Garnlav
Granticka
Talltita
Tretåig hackspett
Lavskrika</t>
        </is>
      </c>
      <c r="S99">
        <f>HYPERLINK("https://klasma.github.io/Logging_2361/artfynd/A 14285-2021 artfynd.xlsx", "A 14285-2021")</f>
        <v/>
      </c>
      <c r="T99">
        <f>HYPERLINK("https://klasma.github.io/Logging_2361/kartor/A 14285-2021 karta.png", "A 14285-2021")</f>
        <v/>
      </c>
      <c r="V99">
        <f>HYPERLINK("https://klasma.github.io/Logging_2361/klagomål/A 14285-2021 FSC-klagomål.docx", "A 14285-2021")</f>
        <v/>
      </c>
      <c r="W99">
        <f>HYPERLINK("https://klasma.github.io/Logging_2361/klagomålsmail/A 14285-2021 FSC-klagomål mail.docx", "A 14285-2021")</f>
        <v/>
      </c>
      <c r="X99">
        <f>HYPERLINK("https://klasma.github.io/Logging_2361/tillsyn/A 14285-2021 tillsynsbegäran.docx", "A 14285-2021")</f>
        <v/>
      </c>
      <c r="Y99">
        <f>HYPERLINK("https://klasma.github.io/Logging_2361/tillsynsmail/A 14285-2021 tillsynsbegäran mail.docx", "A 14285-2021")</f>
        <v/>
      </c>
      <c r="Z99">
        <f>HYPERLINK("https://klasma.github.io/Logging_2361/fåglar/A 14285-2021 prioriterade fågelarter.docx", "A 14285-2021")</f>
        <v/>
      </c>
    </row>
    <row r="100" ht="15" customHeight="1">
      <c r="A100" t="inlineStr">
        <is>
          <t>A 65899-2021</t>
        </is>
      </c>
      <c r="B100" s="1" t="n">
        <v>44517</v>
      </c>
      <c r="C100" s="1" t="n">
        <v>45784</v>
      </c>
      <c r="D100" t="inlineStr">
        <is>
          <t>JÄMTLANDS LÄN</t>
        </is>
      </c>
      <c r="E100" t="inlineStr">
        <is>
          <t>HÄRJEDALEN</t>
        </is>
      </c>
      <c r="G100" t="n">
        <v>25</v>
      </c>
      <c r="H100" t="n">
        <v>0</v>
      </c>
      <c r="I100" t="n">
        <v>0</v>
      </c>
      <c r="J100" t="n">
        <v>5</v>
      </c>
      <c r="K100" t="n">
        <v>0</v>
      </c>
      <c r="L100" t="n">
        <v>0</v>
      </c>
      <c r="M100" t="n">
        <v>0</v>
      </c>
      <c r="N100" t="n">
        <v>0</v>
      </c>
      <c r="O100" t="n">
        <v>5</v>
      </c>
      <c r="P100" t="n">
        <v>0</v>
      </c>
      <c r="Q100" t="n">
        <v>5</v>
      </c>
      <c r="R100" s="2" t="inlineStr">
        <is>
          <t>Gammelgransskål
Garnlav
Granticka
Harticka
Vedskivlav</t>
        </is>
      </c>
      <c r="S100">
        <f>HYPERLINK("https://klasma.github.io/Logging_2361/artfynd/A 65899-2021 artfynd.xlsx", "A 65899-2021")</f>
        <v/>
      </c>
      <c r="T100">
        <f>HYPERLINK("https://klasma.github.io/Logging_2361/kartor/A 65899-2021 karta.png", "A 65899-2021")</f>
        <v/>
      </c>
      <c r="V100">
        <f>HYPERLINK("https://klasma.github.io/Logging_2361/klagomål/A 65899-2021 FSC-klagomål.docx", "A 65899-2021")</f>
        <v/>
      </c>
      <c r="W100">
        <f>HYPERLINK("https://klasma.github.io/Logging_2361/klagomålsmail/A 65899-2021 FSC-klagomål mail.docx", "A 65899-2021")</f>
        <v/>
      </c>
      <c r="X100">
        <f>HYPERLINK("https://klasma.github.io/Logging_2361/tillsyn/A 65899-2021 tillsynsbegäran.docx", "A 65899-2021")</f>
        <v/>
      </c>
      <c r="Y100">
        <f>HYPERLINK("https://klasma.github.io/Logging_2361/tillsynsmail/A 65899-2021 tillsynsbegäran mail.docx", "A 65899-2021")</f>
        <v/>
      </c>
    </row>
    <row r="101" ht="15" customHeight="1">
      <c r="A101" t="inlineStr">
        <is>
          <t>A 55383-2022</t>
        </is>
      </c>
      <c r="B101" s="1" t="n">
        <v>44882</v>
      </c>
      <c r="C101" s="1" t="n">
        <v>45784</v>
      </c>
      <c r="D101" t="inlineStr">
        <is>
          <t>JÄMTLANDS LÄN</t>
        </is>
      </c>
      <c r="E101" t="inlineStr">
        <is>
          <t>HÄRJEDALEN</t>
        </is>
      </c>
      <c r="G101" t="n">
        <v>11</v>
      </c>
      <c r="H101" t="n">
        <v>1</v>
      </c>
      <c r="I101" t="n">
        <v>1</v>
      </c>
      <c r="J101" t="n">
        <v>3</v>
      </c>
      <c r="K101" t="n">
        <v>1</v>
      </c>
      <c r="L101" t="n">
        <v>0</v>
      </c>
      <c r="M101" t="n">
        <v>0</v>
      </c>
      <c r="N101" t="n">
        <v>0</v>
      </c>
      <c r="O101" t="n">
        <v>4</v>
      </c>
      <c r="P101" t="n">
        <v>1</v>
      </c>
      <c r="Q101" t="n">
        <v>5</v>
      </c>
      <c r="R101" s="2" t="inlineStr">
        <is>
          <t>Grantickeporing
Garnlav
Granticka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62717-2022</t>
        </is>
      </c>
      <c r="B102" s="1" t="n">
        <v>44925</v>
      </c>
      <c r="C102" s="1" t="n">
        <v>45784</v>
      </c>
      <c r="D102" t="inlineStr">
        <is>
          <t>JÄMTLANDS LÄN</t>
        </is>
      </c>
      <c r="E102" t="inlineStr">
        <is>
          <t>HÄRJEDALEN</t>
        </is>
      </c>
      <c r="F102" t="inlineStr">
        <is>
          <t>Holmen skog AB</t>
        </is>
      </c>
      <c r="G102" t="n">
        <v>3.2</v>
      </c>
      <c r="H102" t="n">
        <v>1</v>
      </c>
      <c r="I102" t="n">
        <v>0</v>
      </c>
      <c r="J102" t="n">
        <v>4</v>
      </c>
      <c r="K102" t="n">
        <v>1</v>
      </c>
      <c r="L102" t="n">
        <v>0</v>
      </c>
      <c r="M102" t="n">
        <v>0</v>
      </c>
      <c r="N102" t="n">
        <v>0</v>
      </c>
      <c r="O102" t="n">
        <v>5</v>
      </c>
      <c r="P102" t="n">
        <v>1</v>
      </c>
      <c r="Q102" t="n">
        <v>5</v>
      </c>
      <c r="R102" s="2" t="inlineStr">
        <is>
          <t>Knärot
Garnlav
Kolflarnlav
Lunglav
Skrovellav</t>
        </is>
      </c>
      <c r="S102">
        <f>HYPERLINK("https://klasma.github.io/Logging_2361/artfynd/A 62717-2022 artfynd.xlsx", "A 62717-2022")</f>
        <v/>
      </c>
      <c r="T102">
        <f>HYPERLINK("https://klasma.github.io/Logging_2361/kartor/A 62717-2022 karta.png", "A 62717-2022")</f>
        <v/>
      </c>
      <c r="U102">
        <f>HYPERLINK("https://klasma.github.io/Logging_2361/knärot/A 62717-2022 karta knärot.png", "A 62717-2022")</f>
        <v/>
      </c>
      <c r="V102">
        <f>HYPERLINK("https://klasma.github.io/Logging_2361/klagomål/A 62717-2022 FSC-klagomål.docx", "A 62717-2022")</f>
        <v/>
      </c>
      <c r="W102">
        <f>HYPERLINK("https://klasma.github.io/Logging_2361/klagomålsmail/A 62717-2022 FSC-klagomål mail.docx", "A 62717-2022")</f>
        <v/>
      </c>
      <c r="X102">
        <f>HYPERLINK("https://klasma.github.io/Logging_2361/tillsyn/A 62717-2022 tillsynsbegäran.docx", "A 62717-2022")</f>
        <v/>
      </c>
      <c r="Y102">
        <f>HYPERLINK("https://klasma.github.io/Logging_2361/tillsynsmail/A 62717-2022 tillsynsbegäran mail.docx", "A 62717-2022")</f>
        <v/>
      </c>
    </row>
    <row r="103" ht="15" customHeight="1">
      <c r="A103" t="inlineStr">
        <is>
          <t>A 10023-2023</t>
        </is>
      </c>
      <c r="B103" s="1" t="n">
        <v>44979</v>
      </c>
      <c r="C103" s="1" t="n">
        <v>45784</v>
      </c>
      <c r="D103" t="inlineStr">
        <is>
          <t>JÄMTLANDS LÄN</t>
        </is>
      </c>
      <c r="E103" t="inlineStr">
        <is>
          <t>HÄRJEDALEN</t>
        </is>
      </c>
      <c r="G103" t="n">
        <v>12.6</v>
      </c>
      <c r="H103" t="n">
        <v>5</v>
      </c>
      <c r="I103" t="n">
        <v>1</v>
      </c>
      <c r="J103" t="n">
        <v>0</v>
      </c>
      <c r="K103" t="n">
        <v>0</v>
      </c>
      <c r="L103" t="n">
        <v>0</v>
      </c>
      <c r="M103" t="n">
        <v>0</v>
      </c>
      <c r="N103" t="n">
        <v>0</v>
      </c>
      <c r="O103" t="n">
        <v>0</v>
      </c>
      <c r="P103" t="n">
        <v>0</v>
      </c>
      <c r="Q103" t="n">
        <v>5</v>
      </c>
      <c r="R103" s="2" t="inlineStr">
        <is>
          <t>Spindelblomster
Vanlig groda
Fläcknycklar
Mattlummer
Revlummer</t>
        </is>
      </c>
      <c r="S103">
        <f>HYPERLINK("https://klasma.github.io/Logging_2361/artfynd/A 10023-2023 artfynd.xlsx", "A 10023-2023")</f>
        <v/>
      </c>
      <c r="T103">
        <f>HYPERLINK("https://klasma.github.io/Logging_2361/kartor/A 10023-2023 karta.png", "A 10023-2023")</f>
        <v/>
      </c>
      <c r="V103">
        <f>HYPERLINK("https://klasma.github.io/Logging_2361/klagomål/A 10023-2023 FSC-klagomål.docx", "A 10023-2023")</f>
        <v/>
      </c>
      <c r="W103">
        <f>HYPERLINK("https://klasma.github.io/Logging_2361/klagomålsmail/A 10023-2023 FSC-klagomål mail.docx", "A 10023-2023")</f>
        <v/>
      </c>
      <c r="X103">
        <f>HYPERLINK("https://klasma.github.io/Logging_2361/tillsyn/A 10023-2023 tillsynsbegäran.docx", "A 10023-2023")</f>
        <v/>
      </c>
      <c r="Y103">
        <f>HYPERLINK("https://klasma.github.io/Logging_2361/tillsynsmail/A 10023-2023 tillsynsbegäran mail.docx", "A 10023-2023")</f>
        <v/>
      </c>
    </row>
    <row r="104" ht="15" customHeight="1">
      <c r="A104" t="inlineStr">
        <is>
          <t>A 19623-2024</t>
        </is>
      </c>
      <c r="B104" s="1" t="n">
        <v>45432</v>
      </c>
      <c r="C104" s="1" t="n">
        <v>45784</v>
      </c>
      <c r="D104" t="inlineStr">
        <is>
          <t>JÄMTLANDS LÄN</t>
        </is>
      </c>
      <c r="E104" t="inlineStr">
        <is>
          <t>HÄRJEDALEN</t>
        </is>
      </c>
      <c r="G104" t="n">
        <v>11.7</v>
      </c>
      <c r="H104" t="n">
        <v>1</v>
      </c>
      <c r="I104" t="n">
        <v>1</v>
      </c>
      <c r="J104" t="n">
        <v>2</v>
      </c>
      <c r="K104" t="n">
        <v>2</v>
      </c>
      <c r="L104" t="n">
        <v>0</v>
      </c>
      <c r="M104" t="n">
        <v>0</v>
      </c>
      <c r="N104" t="n">
        <v>0</v>
      </c>
      <c r="O104" t="n">
        <v>4</v>
      </c>
      <c r="P104" t="n">
        <v>2</v>
      </c>
      <c r="Q104" t="n">
        <v>5</v>
      </c>
      <c r="R104" s="2" t="inlineStr">
        <is>
          <t>Gräddporing
Knärot
Blå taggsvamp
Slåtterfibbla
Mörk husmossa</t>
        </is>
      </c>
      <c r="S104">
        <f>HYPERLINK("https://klasma.github.io/Logging_2361/artfynd/A 19623-2024 artfynd.xlsx", "A 19623-2024")</f>
        <v/>
      </c>
      <c r="T104">
        <f>HYPERLINK("https://klasma.github.io/Logging_2361/kartor/A 19623-2024 karta.png", "A 19623-2024")</f>
        <v/>
      </c>
      <c r="U104">
        <f>HYPERLINK("https://klasma.github.io/Logging_2361/knärot/A 19623-2024 karta knärot.png", "A 19623-2024")</f>
        <v/>
      </c>
      <c r="V104">
        <f>HYPERLINK("https://klasma.github.io/Logging_2361/klagomål/A 19623-2024 FSC-klagomål.docx", "A 19623-2024")</f>
        <v/>
      </c>
      <c r="W104">
        <f>HYPERLINK("https://klasma.github.io/Logging_2361/klagomålsmail/A 19623-2024 FSC-klagomål mail.docx", "A 19623-2024")</f>
        <v/>
      </c>
      <c r="X104">
        <f>HYPERLINK("https://klasma.github.io/Logging_2361/tillsyn/A 19623-2024 tillsynsbegäran.docx", "A 19623-2024")</f>
        <v/>
      </c>
      <c r="Y104">
        <f>HYPERLINK("https://klasma.github.io/Logging_2361/tillsynsmail/A 19623-2024 tillsynsbegäran mail.docx", "A 19623-2024")</f>
        <v/>
      </c>
    </row>
    <row r="105" ht="15" customHeight="1">
      <c r="A105" t="inlineStr">
        <is>
          <t>A 19799-2024</t>
        </is>
      </c>
      <c r="B105" s="1" t="n">
        <v>45433</v>
      </c>
      <c r="C105" s="1" t="n">
        <v>45784</v>
      </c>
      <c r="D105" t="inlineStr">
        <is>
          <t>JÄMTLANDS LÄN</t>
        </is>
      </c>
      <c r="E105" t="inlineStr">
        <is>
          <t>HÄRJEDALEN</t>
        </is>
      </c>
      <c r="F105" t="inlineStr">
        <is>
          <t>SCA</t>
        </is>
      </c>
      <c r="G105" t="n">
        <v>2</v>
      </c>
      <c r="H105" t="n">
        <v>1</v>
      </c>
      <c r="I105" t="n">
        <v>1</v>
      </c>
      <c r="J105" t="n">
        <v>3</v>
      </c>
      <c r="K105" t="n">
        <v>1</v>
      </c>
      <c r="L105" t="n">
        <v>0</v>
      </c>
      <c r="M105" t="n">
        <v>0</v>
      </c>
      <c r="N105" t="n">
        <v>0</v>
      </c>
      <c r="O105" t="n">
        <v>4</v>
      </c>
      <c r="P105" t="n">
        <v>1</v>
      </c>
      <c r="Q105" t="n">
        <v>5</v>
      </c>
      <c r="R105" s="2" t="inlineStr">
        <is>
          <t>Knärot
Garnlav
Lunglav
Mörk kolflarnlav
Stuplav</t>
        </is>
      </c>
      <c r="S105">
        <f>HYPERLINK("https://klasma.github.io/Logging_2361/artfynd/A 19799-2024 artfynd.xlsx", "A 19799-2024")</f>
        <v/>
      </c>
      <c r="T105">
        <f>HYPERLINK("https://klasma.github.io/Logging_2361/kartor/A 19799-2024 karta.png", "A 19799-2024")</f>
        <v/>
      </c>
      <c r="U105">
        <f>HYPERLINK("https://klasma.github.io/Logging_2361/knärot/A 19799-2024 karta knärot.png", "A 19799-2024")</f>
        <v/>
      </c>
      <c r="V105">
        <f>HYPERLINK("https://klasma.github.io/Logging_2361/klagomål/A 19799-2024 FSC-klagomål.docx", "A 19799-2024")</f>
        <v/>
      </c>
      <c r="W105">
        <f>HYPERLINK("https://klasma.github.io/Logging_2361/klagomålsmail/A 19799-2024 FSC-klagomål mail.docx", "A 19799-2024")</f>
        <v/>
      </c>
      <c r="X105">
        <f>HYPERLINK("https://klasma.github.io/Logging_2361/tillsyn/A 19799-2024 tillsynsbegäran.docx", "A 19799-2024")</f>
        <v/>
      </c>
      <c r="Y105">
        <f>HYPERLINK("https://klasma.github.io/Logging_2361/tillsynsmail/A 19799-2024 tillsynsbegäran mail.docx", "A 19799-2024")</f>
        <v/>
      </c>
    </row>
    <row r="106" ht="15" customHeight="1">
      <c r="A106" t="inlineStr">
        <is>
          <t>A 36053-2024</t>
        </is>
      </c>
      <c r="B106" s="1" t="n">
        <v>45533</v>
      </c>
      <c r="C106" s="1" t="n">
        <v>45784</v>
      </c>
      <c r="D106" t="inlineStr">
        <is>
          <t>JÄMTLANDS LÄN</t>
        </is>
      </c>
      <c r="E106" t="inlineStr">
        <is>
          <t>HÄRJEDALEN</t>
        </is>
      </c>
      <c r="F106" t="inlineStr">
        <is>
          <t>Sveaskog</t>
        </is>
      </c>
      <c r="G106" t="n">
        <v>7.3</v>
      </c>
      <c r="H106" t="n">
        <v>0</v>
      </c>
      <c r="I106" t="n">
        <v>1</v>
      </c>
      <c r="J106" t="n">
        <v>4</v>
      </c>
      <c r="K106" t="n">
        <v>0</v>
      </c>
      <c r="L106" t="n">
        <v>0</v>
      </c>
      <c r="M106" t="n">
        <v>0</v>
      </c>
      <c r="N106" t="n">
        <v>0</v>
      </c>
      <c r="O106" t="n">
        <v>4</v>
      </c>
      <c r="P106" t="n">
        <v>0</v>
      </c>
      <c r="Q106" t="n">
        <v>5</v>
      </c>
      <c r="R106" s="2" t="inlineStr">
        <is>
          <t>Dvärgbägarlav
Kolflarnlav
Motaggsvamp
Mörk kolflarnlav
Dropptaggsvamp</t>
        </is>
      </c>
      <c r="S106">
        <f>HYPERLINK("https://klasma.github.io/Logging_2361/artfynd/A 36053-2024 artfynd.xlsx", "A 36053-2024")</f>
        <v/>
      </c>
      <c r="T106">
        <f>HYPERLINK("https://klasma.github.io/Logging_2361/kartor/A 36053-2024 karta.png", "A 36053-2024")</f>
        <v/>
      </c>
      <c r="V106">
        <f>HYPERLINK("https://klasma.github.io/Logging_2361/klagomål/A 36053-2024 FSC-klagomål.docx", "A 36053-2024")</f>
        <v/>
      </c>
      <c r="W106">
        <f>HYPERLINK("https://klasma.github.io/Logging_2361/klagomålsmail/A 36053-2024 FSC-klagomål mail.docx", "A 36053-2024")</f>
        <v/>
      </c>
      <c r="X106">
        <f>HYPERLINK("https://klasma.github.io/Logging_2361/tillsyn/A 36053-2024 tillsynsbegäran.docx", "A 36053-2024")</f>
        <v/>
      </c>
      <c r="Y106">
        <f>HYPERLINK("https://klasma.github.io/Logging_2361/tillsynsmail/A 36053-2024 tillsynsbegäran mail.docx", "A 36053-2024")</f>
        <v/>
      </c>
    </row>
    <row r="107" ht="15" customHeight="1">
      <c r="A107" t="inlineStr">
        <is>
          <t>A 49333-2024</t>
        </is>
      </c>
      <c r="B107" s="1" t="n">
        <v>45595</v>
      </c>
      <c r="C107" s="1" t="n">
        <v>45784</v>
      </c>
      <c r="D107" t="inlineStr">
        <is>
          <t>JÄMTLANDS LÄN</t>
        </is>
      </c>
      <c r="E107" t="inlineStr">
        <is>
          <t>HÄRJEDALEN</t>
        </is>
      </c>
      <c r="G107" t="n">
        <v>8.800000000000001</v>
      </c>
      <c r="H107" t="n">
        <v>0</v>
      </c>
      <c r="I107" t="n">
        <v>0</v>
      </c>
      <c r="J107" t="n">
        <v>5</v>
      </c>
      <c r="K107" t="n">
        <v>0</v>
      </c>
      <c r="L107" t="n">
        <v>0</v>
      </c>
      <c r="M107" t="n">
        <v>0</v>
      </c>
      <c r="N107" t="n">
        <v>0</v>
      </c>
      <c r="O107" t="n">
        <v>5</v>
      </c>
      <c r="P107" t="n">
        <v>0</v>
      </c>
      <c r="Q107" t="n">
        <v>5</v>
      </c>
      <c r="R107" s="2" t="inlineStr">
        <is>
          <t>Blågrå svartspik
Garnlav
Kolflarnlav
Mörk kolflarnlav
Vedflamlav</t>
        </is>
      </c>
      <c r="S107">
        <f>HYPERLINK("https://klasma.github.io/Logging_2361/artfynd/A 49333-2024 artfynd.xlsx", "A 49333-2024")</f>
        <v/>
      </c>
      <c r="T107">
        <f>HYPERLINK("https://klasma.github.io/Logging_2361/kartor/A 49333-2024 karta.png", "A 49333-2024")</f>
        <v/>
      </c>
      <c r="V107">
        <f>HYPERLINK("https://klasma.github.io/Logging_2361/klagomål/A 49333-2024 FSC-klagomål.docx", "A 49333-2024")</f>
        <v/>
      </c>
      <c r="W107">
        <f>HYPERLINK("https://klasma.github.io/Logging_2361/klagomålsmail/A 49333-2024 FSC-klagomål mail.docx", "A 49333-2024")</f>
        <v/>
      </c>
      <c r="X107">
        <f>HYPERLINK("https://klasma.github.io/Logging_2361/tillsyn/A 49333-2024 tillsynsbegäran.docx", "A 49333-2024")</f>
        <v/>
      </c>
      <c r="Y107">
        <f>HYPERLINK("https://klasma.github.io/Logging_2361/tillsynsmail/A 49333-2024 tillsynsbegäran mail.docx", "A 49333-2024")</f>
        <v/>
      </c>
    </row>
    <row r="108" ht="15" customHeight="1">
      <c r="A108" t="inlineStr">
        <is>
          <t>A 56468-2024</t>
        </is>
      </c>
      <c r="B108" s="1" t="n">
        <v>45625</v>
      </c>
      <c r="C108" s="1" t="n">
        <v>45784</v>
      </c>
      <c r="D108" t="inlineStr">
        <is>
          <t>JÄMTLANDS LÄN</t>
        </is>
      </c>
      <c r="E108" t="inlineStr">
        <is>
          <t>HÄRJEDALEN</t>
        </is>
      </c>
      <c r="F108" t="inlineStr">
        <is>
          <t>Bergvik skog väst AB</t>
        </is>
      </c>
      <c r="G108" t="n">
        <v>20.5</v>
      </c>
      <c r="H108" t="n">
        <v>1</v>
      </c>
      <c r="I108" t="n">
        <v>0</v>
      </c>
      <c r="J108" t="n">
        <v>4</v>
      </c>
      <c r="K108" t="n">
        <v>1</v>
      </c>
      <c r="L108" t="n">
        <v>0</v>
      </c>
      <c r="M108" t="n">
        <v>0</v>
      </c>
      <c r="N108" t="n">
        <v>0</v>
      </c>
      <c r="O108" t="n">
        <v>5</v>
      </c>
      <c r="P108" t="n">
        <v>1</v>
      </c>
      <c r="Q108" t="n">
        <v>5</v>
      </c>
      <c r="R108" s="2" t="inlineStr">
        <is>
          <t>Knärot
Knottrig blåslav
Kolflarnlav
Lunglav
Violettgrå tagellav</t>
        </is>
      </c>
      <c r="S108">
        <f>HYPERLINK("https://klasma.github.io/Logging_2361/artfynd/A 56468-2024 artfynd.xlsx", "A 56468-2024")</f>
        <v/>
      </c>
      <c r="T108">
        <f>HYPERLINK("https://klasma.github.io/Logging_2361/kartor/A 56468-2024 karta.png", "A 56468-2024")</f>
        <v/>
      </c>
      <c r="U108">
        <f>HYPERLINK("https://klasma.github.io/Logging_2361/knärot/A 56468-2024 karta knärot.png", "A 56468-2024")</f>
        <v/>
      </c>
      <c r="V108">
        <f>HYPERLINK("https://klasma.github.io/Logging_2361/klagomål/A 56468-2024 FSC-klagomål.docx", "A 56468-2024")</f>
        <v/>
      </c>
      <c r="W108">
        <f>HYPERLINK("https://klasma.github.io/Logging_2361/klagomålsmail/A 56468-2024 FSC-klagomål mail.docx", "A 56468-2024")</f>
        <v/>
      </c>
      <c r="X108">
        <f>HYPERLINK("https://klasma.github.io/Logging_2361/tillsyn/A 56468-2024 tillsynsbegäran.docx", "A 56468-2024")</f>
        <v/>
      </c>
      <c r="Y108">
        <f>HYPERLINK("https://klasma.github.io/Logging_2361/tillsynsmail/A 56468-2024 tillsynsbegäran mail.docx", "A 56468-2024")</f>
        <v/>
      </c>
    </row>
    <row r="109" ht="15" customHeight="1">
      <c r="A109" t="inlineStr">
        <is>
          <t>A 63750-2019</t>
        </is>
      </c>
      <c r="B109" s="1" t="n">
        <v>43795</v>
      </c>
      <c r="C109" s="1" t="n">
        <v>45784</v>
      </c>
      <c r="D109" t="inlineStr">
        <is>
          <t>JÄMTLANDS LÄN</t>
        </is>
      </c>
      <c r="E109" t="inlineStr">
        <is>
          <t>HÄRJEDALEN</t>
        </is>
      </c>
      <c r="F109" t="inlineStr">
        <is>
          <t>Sveaskog</t>
        </is>
      </c>
      <c r="G109" t="n">
        <v>5.6</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HYPERLINK("https://klasma.github.io/Logging_2361/artfynd/A 63750-2019 artfynd.xlsx", "A 63750-2019")</f>
        <v/>
      </c>
      <c r="T109">
        <f>HYPERLINK("https://klasma.github.io/Logging_2361/kartor/A 63750-2019 karta.png", "A 63750-2019")</f>
        <v/>
      </c>
      <c r="V109">
        <f>HYPERLINK("https://klasma.github.io/Logging_2361/klagomål/A 63750-2019 FSC-klagomål.docx", "A 63750-2019")</f>
        <v/>
      </c>
      <c r="W109">
        <f>HYPERLINK("https://klasma.github.io/Logging_2361/klagomålsmail/A 63750-2019 FSC-klagomål mail.docx", "A 63750-2019")</f>
        <v/>
      </c>
      <c r="X109">
        <f>HYPERLINK("https://klasma.github.io/Logging_2361/tillsyn/A 63750-2019 tillsynsbegäran.docx", "A 63750-2019")</f>
        <v/>
      </c>
      <c r="Y109">
        <f>HYPERLINK("https://klasma.github.io/Logging_2361/tillsynsmail/A 63750-2019 tillsynsbegäran mail.docx", "A 63750-2019")</f>
        <v/>
      </c>
    </row>
    <row r="110" ht="15" customHeight="1">
      <c r="A110" t="inlineStr">
        <is>
          <t>A 16680-2021</t>
        </is>
      </c>
      <c r="B110" s="1" t="n">
        <v>44294</v>
      </c>
      <c r="C110" s="1" t="n">
        <v>45784</v>
      </c>
      <c r="D110" t="inlineStr">
        <is>
          <t>JÄMTLANDS LÄN</t>
        </is>
      </c>
      <c r="E110" t="inlineStr">
        <is>
          <t>HÄRJEDALEN</t>
        </is>
      </c>
      <c r="G110" t="n">
        <v>5.7</v>
      </c>
      <c r="H110" t="n">
        <v>0</v>
      </c>
      <c r="I110" t="n">
        <v>3</v>
      </c>
      <c r="J110" t="n">
        <v>1</v>
      </c>
      <c r="K110" t="n">
        <v>0</v>
      </c>
      <c r="L110" t="n">
        <v>0</v>
      </c>
      <c r="M110" t="n">
        <v>0</v>
      </c>
      <c r="N110" t="n">
        <v>0</v>
      </c>
      <c r="O110" t="n">
        <v>1</v>
      </c>
      <c r="P110" t="n">
        <v>0</v>
      </c>
      <c r="Q110" t="n">
        <v>4</v>
      </c>
      <c r="R110" s="2" t="inlineStr">
        <is>
          <t>Vitgrynig nållav
Bronshjon
Bårdlav
Stuplav</t>
        </is>
      </c>
      <c r="S110">
        <f>HYPERLINK("https://klasma.github.io/Logging_2361/artfynd/A 16680-2021 artfynd.xlsx", "A 16680-2021")</f>
        <v/>
      </c>
      <c r="T110">
        <f>HYPERLINK("https://klasma.github.io/Logging_2361/kartor/A 16680-2021 karta.png", "A 16680-2021")</f>
        <v/>
      </c>
      <c r="V110">
        <f>HYPERLINK("https://klasma.github.io/Logging_2361/klagomål/A 16680-2021 FSC-klagomål.docx", "A 16680-2021")</f>
        <v/>
      </c>
      <c r="W110">
        <f>HYPERLINK("https://klasma.github.io/Logging_2361/klagomålsmail/A 16680-2021 FSC-klagomål mail.docx", "A 16680-2021")</f>
        <v/>
      </c>
      <c r="X110">
        <f>HYPERLINK("https://klasma.github.io/Logging_2361/tillsyn/A 16680-2021 tillsynsbegäran.docx", "A 16680-2021")</f>
        <v/>
      </c>
      <c r="Y110">
        <f>HYPERLINK("https://klasma.github.io/Logging_2361/tillsynsmail/A 16680-2021 tillsynsbegäran mail.docx", "A 16680-2021")</f>
        <v/>
      </c>
    </row>
    <row r="111" ht="15" customHeight="1">
      <c r="A111" t="inlineStr">
        <is>
          <t>A 16691-2021</t>
        </is>
      </c>
      <c r="B111" s="1" t="n">
        <v>44294</v>
      </c>
      <c r="C111" s="1" t="n">
        <v>45784</v>
      </c>
      <c r="D111" t="inlineStr">
        <is>
          <t>JÄMTLANDS LÄN</t>
        </is>
      </c>
      <c r="E111" t="inlineStr">
        <is>
          <t>HÄRJEDALEN</t>
        </is>
      </c>
      <c r="G111" t="n">
        <v>4.2</v>
      </c>
      <c r="H111" t="n">
        <v>0</v>
      </c>
      <c r="I111" t="n">
        <v>1</v>
      </c>
      <c r="J111" t="n">
        <v>3</v>
      </c>
      <c r="K111" t="n">
        <v>0</v>
      </c>
      <c r="L111" t="n">
        <v>0</v>
      </c>
      <c r="M111" t="n">
        <v>0</v>
      </c>
      <c r="N111" t="n">
        <v>0</v>
      </c>
      <c r="O111" t="n">
        <v>3</v>
      </c>
      <c r="P111" t="n">
        <v>0</v>
      </c>
      <c r="Q111" t="n">
        <v>4</v>
      </c>
      <c r="R111" s="2" t="inlineStr">
        <is>
          <t>Granticka
Knottrig blåslav
Vitgrynig nållav
Kornig nållav</t>
        </is>
      </c>
      <c r="S111">
        <f>HYPERLINK("https://klasma.github.io/Logging_2361/artfynd/A 16691-2021 artfynd.xlsx", "A 16691-2021")</f>
        <v/>
      </c>
      <c r="T111">
        <f>HYPERLINK("https://klasma.github.io/Logging_2361/kartor/A 16691-2021 karta.png", "A 16691-2021")</f>
        <v/>
      </c>
      <c r="V111">
        <f>HYPERLINK("https://klasma.github.io/Logging_2361/klagomål/A 16691-2021 FSC-klagomål.docx", "A 16691-2021")</f>
        <v/>
      </c>
      <c r="W111">
        <f>HYPERLINK("https://klasma.github.io/Logging_2361/klagomålsmail/A 16691-2021 FSC-klagomål mail.docx", "A 16691-2021")</f>
        <v/>
      </c>
      <c r="X111">
        <f>HYPERLINK("https://klasma.github.io/Logging_2361/tillsyn/A 16691-2021 tillsynsbegäran.docx", "A 16691-2021")</f>
        <v/>
      </c>
      <c r="Y111">
        <f>HYPERLINK("https://klasma.github.io/Logging_2361/tillsynsmail/A 16691-2021 tillsynsbegäran mail.docx", "A 16691-2021")</f>
        <v/>
      </c>
    </row>
    <row r="112" ht="15" customHeight="1">
      <c r="A112" t="inlineStr">
        <is>
          <t>A 42826-2021</t>
        </is>
      </c>
      <c r="B112" s="1" t="n">
        <v>44430</v>
      </c>
      <c r="C112" s="1" t="n">
        <v>45784</v>
      </c>
      <c r="D112" t="inlineStr">
        <is>
          <t>JÄMTLANDS LÄN</t>
        </is>
      </c>
      <c r="E112" t="inlineStr">
        <is>
          <t>HÄRJEDALEN</t>
        </is>
      </c>
      <c r="F112" t="inlineStr">
        <is>
          <t>Sveaskog</t>
        </is>
      </c>
      <c r="G112" t="n">
        <v>8.1</v>
      </c>
      <c r="H112" t="n">
        <v>2</v>
      </c>
      <c r="I112" t="n">
        <v>0</v>
      </c>
      <c r="J112" t="n">
        <v>3</v>
      </c>
      <c r="K112" t="n">
        <v>1</v>
      </c>
      <c r="L112" t="n">
        <v>0</v>
      </c>
      <c r="M112" t="n">
        <v>0</v>
      </c>
      <c r="N112" t="n">
        <v>0</v>
      </c>
      <c r="O112" t="n">
        <v>4</v>
      </c>
      <c r="P112" t="n">
        <v>1</v>
      </c>
      <c r="Q112" t="n">
        <v>4</v>
      </c>
      <c r="R112" s="2" t="inlineStr">
        <is>
          <t>Knärot
Garnlav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54420-2021</t>
        </is>
      </c>
      <c r="B113" s="1" t="n">
        <v>44473</v>
      </c>
      <c r="C113" s="1" t="n">
        <v>45784</v>
      </c>
      <c r="D113" t="inlineStr">
        <is>
          <t>JÄMTLANDS LÄN</t>
        </is>
      </c>
      <c r="E113" t="inlineStr">
        <is>
          <t>HÄRJEDALEN</t>
        </is>
      </c>
      <c r="F113" t="inlineStr">
        <is>
          <t>Bergvik skog väst AB</t>
        </is>
      </c>
      <c r="G113" t="n">
        <v>18.5</v>
      </c>
      <c r="H113" t="n">
        <v>2</v>
      </c>
      <c r="I113" t="n">
        <v>0</v>
      </c>
      <c r="J113" t="n">
        <v>2</v>
      </c>
      <c r="K113" t="n">
        <v>1</v>
      </c>
      <c r="L113" t="n">
        <v>0</v>
      </c>
      <c r="M113" t="n">
        <v>0</v>
      </c>
      <c r="N113" t="n">
        <v>0</v>
      </c>
      <c r="O113" t="n">
        <v>3</v>
      </c>
      <c r="P113" t="n">
        <v>1</v>
      </c>
      <c r="Q113" t="n">
        <v>4</v>
      </c>
      <c r="R113" s="2" t="inlineStr">
        <is>
          <t>Knärot
Lunglav
Skrovellav
Fläcknycklar</t>
        </is>
      </c>
      <c r="S113">
        <f>HYPERLINK("https://klasma.github.io/Logging_2361/artfynd/A 54420-2021 artfynd.xlsx", "A 54420-2021")</f>
        <v/>
      </c>
      <c r="T113">
        <f>HYPERLINK("https://klasma.github.io/Logging_2361/kartor/A 54420-2021 karta.png", "A 54420-2021")</f>
        <v/>
      </c>
      <c r="U113">
        <f>HYPERLINK("https://klasma.github.io/Logging_2361/knärot/A 54420-2021 karta knärot.png", "A 54420-2021")</f>
        <v/>
      </c>
      <c r="V113">
        <f>HYPERLINK("https://klasma.github.io/Logging_2361/klagomål/A 54420-2021 FSC-klagomål.docx", "A 54420-2021")</f>
        <v/>
      </c>
      <c r="W113">
        <f>HYPERLINK("https://klasma.github.io/Logging_2361/klagomålsmail/A 54420-2021 FSC-klagomål mail.docx", "A 54420-2021")</f>
        <v/>
      </c>
      <c r="X113">
        <f>HYPERLINK("https://klasma.github.io/Logging_2361/tillsyn/A 54420-2021 tillsynsbegäran.docx", "A 54420-2021")</f>
        <v/>
      </c>
      <c r="Y113">
        <f>HYPERLINK("https://klasma.github.io/Logging_2361/tillsynsmail/A 54420-2021 tillsynsbegäran mail.docx", "A 54420-2021")</f>
        <v/>
      </c>
    </row>
    <row r="114" ht="15" customHeight="1">
      <c r="A114" t="inlineStr">
        <is>
          <t>A 55641-2021</t>
        </is>
      </c>
      <c r="B114" s="1" t="n">
        <v>44476</v>
      </c>
      <c r="C114" s="1" t="n">
        <v>45784</v>
      </c>
      <c r="D114" t="inlineStr">
        <is>
          <t>JÄMTLANDS LÄN</t>
        </is>
      </c>
      <c r="E114" t="inlineStr">
        <is>
          <t>HÄRJEDALEN</t>
        </is>
      </c>
      <c r="G114" t="n">
        <v>7.6</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55641-2021 artfynd.xlsx", "A 55641-2021")</f>
        <v/>
      </c>
      <c r="T114">
        <f>HYPERLINK("https://klasma.github.io/Logging_2361/kartor/A 55641-2021 karta.png", "A 55641-2021")</f>
        <v/>
      </c>
      <c r="V114">
        <f>HYPERLINK("https://klasma.github.io/Logging_2361/klagomål/A 55641-2021 FSC-klagomål.docx", "A 55641-2021")</f>
        <v/>
      </c>
      <c r="W114">
        <f>HYPERLINK("https://klasma.github.io/Logging_2361/klagomålsmail/A 55641-2021 FSC-klagomål mail.docx", "A 55641-2021")</f>
        <v/>
      </c>
      <c r="X114">
        <f>HYPERLINK("https://klasma.github.io/Logging_2361/tillsyn/A 55641-2021 tillsynsbegäran.docx", "A 55641-2021")</f>
        <v/>
      </c>
      <c r="Y114">
        <f>HYPERLINK("https://klasma.github.io/Logging_2361/tillsynsmail/A 55641-2021 tillsynsbegäran mail.docx", "A 55641-2021")</f>
        <v/>
      </c>
      <c r="Z114">
        <f>HYPERLINK("https://klasma.github.io/Logging_2361/fåglar/A 55641-2021 prioriterade fågelarter.docx", "A 55641-2021")</f>
        <v/>
      </c>
    </row>
    <row r="115" ht="15" customHeight="1">
      <c r="A115" t="inlineStr">
        <is>
          <t>A 42576-2022</t>
        </is>
      </c>
      <c r="B115" s="1" t="n">
        <v>44831</v>
      </c>
      <c r="C115" s="1" t="n">
        <v>45784</v>
      </c>
      <c r="D115" t="inlineStr">
        <is>
          <t>JÄMTLANDS LÄN</t>
        </is>
      </c>
      <c r="E115" t="inlineStr">
        <is>
          <t>HÄRJEDALEN</t>
        </is>
      </c>
      <c r="F115" t="inlineStr">
        <is>
          <t>Sveaskog</t>
        </is>
      </c>
      <c r="G115" t="n">
        <v>24.4</v>
      </c>
      <c r="H115" t="n">
        <v>3</v>
      </c>
      <c r="I115" t="n">
        <v>3</v>
      </c>
      <c r="J115" t="n">
        <v>0</v>
      </c>
      <c r="K115" t="n">
        <v>1</v>
      </c>
      <c r="L115" t="n">
        <v>0</v>
      </c>
      <c r="M115" t="n">
        <v>0</v>
      </c>
      <c r="N115" t="n">
        <v>0</v>
      </c>
      <c r="O115" t="n">
        <v>1</v>
      </c>
      <c r="P115" t="n">
        <v>1</v>
      </c>
      <c r="Q115" t="n">
        <v>4</v>
      </c>
      <c r="R115" s="2" t="inlineStr">
        <is>
          <t>Knärot
Skarp dropptaggsvamp
Spindelblomster
Tvåblad</t>
        </is>
      </c>
      <c r="S115">
        <f>HYPERLINK("https://klasma.github.io/Logging_2361/artfynd/A 42576-2022 artfynd.xlsx", "A 42576-2022")</f>
        <v/>
      </c>
      <c r="T115">
        <f>HYPERLINK("https://klasma.github.io/Logging_2361/kartor/A 42576-2022 karta.png", "A 42576-2022")</f>
        <v/>
      </c>
      <c r="U115">
        <f>HYPERLINK("https://klasma.github.io/Logging_2361/knärot/A 42576-2022 karta knärot.png", "A 42576-2022")</f>
        <v/>
      </c>
      <c r="V115">
        <f>HYPERLINK("https://klasma.github.io/Logging_2361/klagomål/A 42576-2022 FSC-klagomål.docx", "A 42576-2022")</f>
        <v/>
      </c>
      <c r="W115">
        <f>HYPERLINK("https://klasma.github.io/Logging_2361/klagomålsmail/A 42576-2022 FSC-klagomål mail.docx", "A 42576-2022")</f>
        <v/>
      </c>
      <c r="X115">
        <f>HYPERLINK("https://klasma.github.io/Logging_2361/tillsyn/A 42576-2022 tillsynsbegäran.docx", "A 42576-2022")</f>
        <v/>
      </c>
      <c r="Y115">
        <f>HYPERLINK("https://klasma.github.io/Logging_2361/tillsynsmail/A 42576-2022 tillsynsbegäran mail.docx", "A 42576-2022")</f>
        <v/>
      </c>
    </row>
    <row r="116" ht="15" customHeight="1">
      <c r="A116" t="inlineStr">
        <is>
          <t>A 4757-2023</t>
        </is>
      </c>
      <c r="B116" s="1" t="n">
        <v>44957</v>
      </c>
      <c r="C116" s="1" t="n">
        <v>45784</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8587-2023</t>
        </is>
      </c>
      <c r="B117" s="1" t="n">
        <v>44977</v>
      </c>
      <c r="C117" s="1" t="n">
        <v>45784</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8587-2023 artfynd.xlsx", "A 8587-2023")</f>
        <v/>
      </c>
      <c r="T117">
        <f>HYPERLINK("https://klasma.github.io/Logging_2361/kartor/A 8587-2023 karta.png", "A 8587-2023")</f>
        <v/>
      </c>
      <c r="U117">
        <f>HYPERLINK("https://klasma.github.io/Logging_2361/knärot/A 8587-2023 karta knärot.png", "A 8587-2023")</f>
        <v/>
      </c>
      <c r="V117">
        <f>HYPERLINK("https://klasma.github.io/Logging_2361/klagomål/A 8587-2023 FSC-klagomål.docx", "A 8587-2023")</f>
        <v/>
      </c>
      <c r="W117">
        <f>HYPERLINK("https://klasma.github.io/Logging_2361/klagomålsmail/A 8587-2023 FSC-klagomål mail.docx", "A 8587-2023")</f>
        <v/>
      </c>
      <c r="X117">
        <f>HYPERLINK("https://klasma.github.io/Logging_2361/tillsyn/A 8587-2023 tillsynsbegäran.docx", "A 8587-2023")</f>
        <v/>
      </c>
      <c r="Y117">
        <f>HYPERLINK("https://klasma.github.io/Logging_2361/tillsynsmail/A 8587-2023 tillsynsbegäran mail.docx", "A 8587-2023")</f>
        <v/>
      </c>
    </row>
    <row r="118" ht="15" customHeight="1">
      <c r="A118" t="inlineStr">
        <is>
          <t>A 14059-2023</t>
        </is>
      </c>
      <c r="B118" s="1" t="n">
        <v>45007</v>
      </c>
      <c r="C118" s="1" t="n">
        <v>45784</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24955-2023</t>
        </is>
      </c>
      <c r="B119" s="1" t="n">
        <v>45085</v>
      </c>
      <c r="C119" s="1" t="n">
        <v>45784</v>
      </c>
      <c r="D119" t="inlineStr">
        <is>
          <t>JÄMTLANDS LÄN</t>
        </is>
      </c>
      <c r="E119" t="inlineStr">
        <is>
          <t>HÄRJEDALEN</t>
        </is>
      </c>
      <c r="G119" t="n">
        <v>7.7</v>
      </c>
      <c r="H119" t="n">
        <v>1</v>
      </c>
      <c r="I119" t="n">
        <v>0</v>
      </c>
      <c r="J119" t="n">
        <v>4</v>
      </c>
      <c r="K119" t="n">
        <v>0</v>
      </c>
      <c r="L119" t="n">
        <v>0</v>
      </c>
      <c r="M119" t="n">
        <v>0</v>
      </c>
      <c r="N119" t="n">
        <v>0</v>
      </c>
      <c r="O119" t="n">
        <v>4</v>
      </c>
      <c r="P119" t="n">
        <v>0</v>
      </c>
      <c r="Q119" t="n">
        <v>4</v>
      </c>
      <c r="R119" s="2" t="inlineStr">
        <is>
          <t>Brunpudrad nållav
Dvärgbägarlav
Garnlav
Tretåig hackspett</t>
        </is>
      </c>
      <c r="S119">
        <f>HYPERLINK("https://klasma.github.io/Logging_2361/artfynd/A 24955-2023 artfynd.xlsx", "A 24955-2023")</f>
        <v/>
      </c>
      <c r="T119">
        <f>HYPERLINK("https://klasma.github.io/Logging_2361/kartor/A 24955-2023 karta.png", "A 24955-2023")</f>
        <v/>
      </c>
      <c r="V119">
        <f>HYPERLINK("https://klasma.github.io/Logging_2361/klagomål/A 24955-2023 FSC-klagomål.docx", "A 24955-2023")</f>
        <v/>
      </c>
      <c r="W119">
        <f>HYPERLINK("https://klasma.github.io/Logging_2361/klagomålsmail/A 24955-2023 FSC-klagomål mail.docx", "A 24955-2023")</f>
        <v/>
      </c>
      <c r="X119">
        <f>HYPERLINK("https://klasma.github.io/Logging_2361/tillsyn/A 24955-2023 tillsynsbegäran.docx", "A 24955-2023")</f>
        <v/>
      </c>
      <c r="Y119">
        <f>HYPERLINK("https://klasma.github.io/Logging_2361/tillsynsmail/A 24955-2023 tillsynsbegäran mail.docx", "A 24955-2023")</f>
        <v/>
      </c>
      <c r="Z119">
        <f>HYPERLINK("https://klasma.github.io/Logging_2361/fåglar/A 24955-2023 prioriterade fågelarter.docx", "A 24955-2023")</f>
        <v/>
      </c>
    </row>
    <row r="120" ht="15" customHeight="1">
      <c r="A120" t="inlineStr">
        <is>
          <t>A 29829-2023</t>
        </is>
      </c>
      <c r="B120" s="1" t="n">
        <v>45107</v>
      </c>
      <c r="C120" s="1" t="n">
        <v>45784</v>
      </c>
      <c r="D120" t="inlineStr">
        <is>
          <t>JÄMTLANDS LÄN</t>
        </is>
      </c>
      <c r="E120" t="inlineStr">
        <is>
          <t>HÄRJEDALEN</t>
        </is>
      </c>
      <c r="G120" t="n">
        <v>29.4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HYPERLINK("https://klasma.github.io/Logging_2361/artfynd/A 29829-2023 artfynd.xlsx", "A 29829-2023")</f>
        <v/>
      </c>
      <c r="T120">
        <f>HYPERLINK("https://klasma.github.io/Logging_2361/kartor/A 29829-2023 karta.png", "A 29829-2023")</f>
        <v/>
      </c>
      <c r="V120">
        <f>HYPERLINK("https://klasma.github.io/Logging_2361/klagomål/A 29829-2023 FSC-klagomål.docx", "A 29829-2023")</f>
        <v/>
      </c>
      <c r="W120">
        <f>HYPERLINK("https://klasma.github.io/Logging_2361/klagomålsmail/A 29829-2023 FSC-klagomål mail.docx", "A 29829-2023")</f>
        <v/>
      </c>
      <c r="X120">
        <f>HYPERLINK("https://klasma.github.io/Logging_2361/tillsyn/A 29829-2023 tillsynsbegäran.docx", "A 29829-2023")</f>
        <v/>
      </c>
      <c r="Y120">
        <f>HYPERLINK("https://klasma.github.io/Logging_2361/tillsynsmail/A 29829-2023 tillsynsbegäran mail.docx", "A 29829-2023")</f>
        <v/>
      </c>
      <c r="Z120">
        <f>HYPERLINK("https://klasma.github.io/Logging_2361/fåglar/A 29829-2023 prioriterade fågelarter.docx", "A 29829-2023")</f>
        <v/>
      </c>
    </row>
    <row r="121" ht="15" customHeight="1">
      <c r="A121" t="inlineStr">
        <is>
          <t>A 39925-2023</t>
        </is>
      </c>
      <c r="B121" s="1" t="n">
        <v>45168</v>
      </c>
      <c r="C121" s="1" t="n">
        <v>45784</v>
      </c>
      <c r="D121" t="inlineStr">
        <is>
          <t>JÄMTLANDS LÄN</t>
        </is>
      </c>
      <c r="E121" t="inlineStr">
        <is>
          <t>HÄRJEDALEN</t>
        </is>
      </c>
      <c r="F121" t="inlineStr">
        <is>
          <t>Sveaskog</t>
        </is>
      </c>
      <c r="G121" t="n">
        <v>25.6</v>
      </c>
      <c r="H121" t="n">
        <v>0</v>
      </c>
      <c r="I121" t="n">
        <v>1</v>
      </c>
      <c r="J121" t="n">
        <v>3</v>
      </c>
      <c r="K121" t="n">
        <v>0</v>
      </c>
      <c r="L121" t="n">
        <v>0</v>
      </c>
      <c r="M121" t="n">
        <v>0</v>
      </c>
      <c r="N121" t="n">
        <v>0</v>
      </c>
      <c r="O121" t="n">
        <v>3</v>
      </c>
      <c r="P121" t="n">
        <v>0</v>
      </c>
      <c r="Q121" t="n">
        <v>4</v>
      </c>
      <c r="R121" s="2" t="inlineStr">
        <is>
          <t>Kolflarnlav
Mörk kolflarnlav
Vedflamlav
Dropptaggsvamp</t>
        </is>
      </c>
      <c r="S121">
        <f>HYPERLINK("https://klasma.github.io/Logging_2361/artfynd/A 39925-2023 artfynd.xlsx", "A 39925-2023")</f>
        <v/>
      </c>
      <c r="T121">
        <f>HYPERLINK("https://klasma.github.io/Logging_2361/kartor/A 39925-2023 karta.png", "A 39925-2023")</f>
        <v/>
      </c>
      <c r="V121">
        <f>HYPERLINK("https://klasma.github.io/Logging_2361/klagomål/A 39925-2023 FSC-klagomål.docx", "A 39925-2023")</f>
        <v/>
      </c>
      <c r="W121">
        <f>HYPERLINK("https://klasma.github.io/Logging_2361/klagomålsmail/A 39925-2023 FSC-klagomål mail.docx", "A 39925-2023")</f>
        <v/>
      </c>
      <c r="X121">
        <f>HYPERLINK("https://klasma.github.io/Logging_2361/tillsyn/A 39925-2023 tillsynsbegäran.docx", "A 39925-2023")</f>
        <v/>
      </c>
      <c r="Y121">
        <f>HYPERLINK("https://klasma.github.io/Logging_2361/tillsynsmail/A 39925-2023 tillsynsbegäran mail.docx", "A 39925-2023")</f>
        <v/>
      </c>
    </row>
    <row r="122" ht="15" customHeight="1">
      <c r="A122" t="inlineStr">
        <is>
          <t>A 46228-2023</t>
        </is>
      </c>
      <c r="B122" s="1" t="n">
        <v>45196</v>
      </c>
      <c r="C122" s="1" t="n">
        <v>45784</v>
      </c>
      <c r="D122" t="inlineStr">
        <is>
          <t>JÄMTLANDS LÄN</t>
        </is>
      </c>
      <c r="E122" t="inlineStr">
        <is>
          <t>HÄRJEDALEN</t>
        </is>
      </c>
      <c r="F122" t="inlineStr">
        <is>
          <t>Sveaskog</t>
        </is>
      </c>
      <c r="G122" t="n">
        <v>9.4</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HYPERLINK("https://klasma.github.io/Logging_2361/artfynd/A 46228-2023 artfynd.xlsx", "A 46228-2023")</f>
        <v/>
      </c>
      <c r="T122">
        <f>HYPERLINK("https://klasma.github.io/Logging_2361/kartor/A 46228-2023 karta.png", "A 46228-2023")</f>
        <v/>
      </c>
      <c r="V122">
        <f>HYPERLINK("https://klasma.github.io/Logging_2361/klagomål/A 46228-2023 FSC-klagomål.docx", "A 46228-2023")</f>
        <v/>
      </c>
      <c r="W122">
        <f>HYPERLINK("https://klasma.github.io/Logging_2361/klagomålsmail/A 46228-2023 FSC-klagomål mail.docx", "A 46228-2023")</f>
        <v/>
      </c>
      <c r="X122">
        <f>HYPERLINK("https://klasma.github.io/Logging_2361/tillsyn/A 46228-2023 tillsynsbegäran.docx", "A 46228-2023")</f>
        <v/>
      </c>
      <c r="Y122">
        <f>HYPERLINK("https://klasma.github.io/Logging_2361/tillsynsmail/A 46228-2023 tillsynsbegäran mail.docx", "A 46228-2023")</f>
        <v/>
      </c>
    </row>
    <row r="123" ht="15" customHeight="1">
      <c r="A123" t="inlineStr">
        <is>
          <t>A 46230-2023</t>
        </is>
      </c>
      <c r="B123" s="1" t="n">
        <v>45196</v>
      </c>
      <c r="C123" s="1" t="n">
        <v>45784</v>
      </c>
      <c r="D123" t="inlineStr">
        <is>
          <t>JÄMTLANDS LÄN</t>
        </is>
      </c>
      <c r="E123" t="inlineStr">
        <is>
          <t>HÄRJEDALEN</t>
        </is>
      </c>
      <c r="F123" t="inlineStr">
        <is>
          <t>Sveaskog</t>
        </is>
      </c>
      <c r="G123" t="n">
        <v>3.8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HYPERLINK("https://klasma.github.io/Logging_2361/artfynd/A 46230-2023 artfynd.xlsx", "A 46230-2023")</f>
        <v/>
      </c>
      <c r="T123">
        <f>HYPERLINK("https://klasma.github.io/Logging_2361/kartor/A 46230-2023 karta.png", "A 46230-2023")</f>
        <v/>
      </c>
      <c r="V123">
        <f>HYPERLINK("https://klasma.github.io/Logging_2361/klagomål/A 46230-2023 FSC-klagomål.docx", "A 46230-2023")</f>
        <v/>
      </c>
      <c r="W123">
        <f>HYPERLINK("https://klasma.github.io/Logging_2361/klagomålsmail/A 46230-2023 FSC-klagomål mail.docx", "A 46230-2023")</f>
        <v/>
      </c>
      <c r="X123">
        <f>HYPERLINK("https://klasma.github.io/Logging_2361/tillsyn/A 46230-2023 tillsynsbegäran.docx", "A 46230-2023")</f>
        <v/>
      </c>
      <c r="Y123">
        <f>HYPERLINK("https://klasma.github.io/Logging_2361/tillsynsmail/A 46230-2023 tillsynsbegäran mail.docx", "A 46230-2023")</f>
        <v/>
      </c>
    </row>
    <row r="124" ht="15" customHeight="1">
      <c r="A124" t="inlineStr">
        <is>
          <t>A 16549-2024</t>
        </is>
      </c>
      <c r="B124" s="1" t="n">
        <v>45408</v>
      </c>
      <c r="C124" s="1" t="n">
        <v>45784</v>
      </c>
      <c r="D124" t="inlineStr">
        <is>
          <t>JÄMTLANDS LÄN</t>
        </is>
      </c>
      <c r="E124" t="inlineStr">
        <is>
          <t>HÄRJEDALEN</t>
        </is>
      </c>
      <c r="G124" t="n">
        <v>3.5</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16549-2024 artfynd.xlsx", "A 16549-2024")</f>
        <v/>
      </c>
      <c r="T124">
        <f>HYPERLINK("https://klasma.github.io/Logging_2361/kartor/A 16549-2024 karta.png", "A 16549-2024")</f>
        <v/>
      </c>
      <c r="V124">
        <f>HYPERLINK("https://klasma.github.io/Logging_2361/klagomål/A 16549-2024 FSC-klagomål.docx", "A 16549-2024")</f>
        <v/>
      </c>
      <c r="W124">
        <f>HYPERLINK("https://klasma.github.io/Logging_2361/klagomålsmail/A 16549-2024 FSC-klagomål mail.docx", "A 16549-2024")</f>
        <v/>
      </c>
      <c r="X124">
        <f>HYPERLINK("https://klasma.github.io/Logging_2361/tillsyn/A 16549-2024 tillsynsbegäran.docx", "A 16549-2024")</f>
        <v/>
      </c>
      <c r="Y124">
        <f>HYPERLINK("https://klasma.github.io/Logging_2361/tillsynsmail/A 16549-2024 tillsynsbegäran mail.docx", "A 16549-2024")</f>
        <v/>
      </c>
    </row>
    <row r="125" ht="15" customHeight="1">
      <c r="A125" t="inlineStr">
        <is>
          <t>A 19965-2024</t>
        </is>
      </c>
      <c r="B125" s="1" t="n">
        <v>45433</v>
      </c>
      <c r="C125" s="1" t="n">
        <v>45784</v>
      </c>
      <c r="D125" t="inlineStr">
        <is>
          <t>JÄMTLANDS LÄN</t>
        </is>
      </c>
      <c r="E125" t="inlineStr">
        <is>
          <t>HÄRJEDALEN</t>
        </is>
      </c>
      <c r="F125" t="inlineStr">
        <is>
          <t>Sveaskog</t>
        </is>
      </c>
      <c r="G125" t="n">
        <v>15</v>
      </c>
      <c r="H125" t="n">
        <v>0</v>
      </c>
      <c r="I125" t="n">
        <v>1</v>
      </c>
      <c r="J125" t="n">
        <v>3</v>
      </c>
      <c r="K125" t="n">
        <v>0</v>
      </c>
      <c r="L125" t="n">
        <v>0</v>
      </c>
      <c r="M125" t="n">
        <v>0</v>
      </c>
      <c r="N125" t="n">
        <v>0</v>
      </c>
      <c r="O125" t="n">
        <v>3</v>
      </c>
      <c r="P125" t="n">
        <v>0</v>
      </c>
      <c r="Q125" t="n">
        <v>4</v>
      </c>
      <c r="R125" s="2" t="inlineStr">
        <is>
          <t>Kolflarnlav
Motaggsvamp
Vedflamlav
Dropptaggsvamp</t>
        </is>
      </c>
      <c r="S125">
        <f>HYPERLINK("https://klasma.github.io/Logging_2361/artfynd/A 19965-2024 artfynd.xlsx", "A 19965-2024")</f>
        <v/>
      </c>
      <c r="T125">
        <f>HYPERLINK("https://klasma.github.io/Logging_2361/kartor/A 19965-2024 karta.png", "A 19965-2024")</f>
        <v/>
      </c>
      <c r="V125">
        <f>HYPERLINK("https://klasma.github.io/Logging_2361/klagomål/A 19965-2024 FSC-klagomål.docx", "A 19965-2024")</f>
        <v/>
      </c>
      <c r="W125">
        <f>HYPERLINK("https://klasma.github.io/Logging_2361/klagomålsmail/A 19965-2024 FSC-klagomål mail.docx", "A 19965-2024")</f>
        <v/>
      </c>
      <c r="X125">
        <f>HYPERLINK("https://klasma.github.io/Logging_2361/tillsyn/A 19965-2024 tillsynsbegäran.docx", "A 19965-2024")</f>
        <v/>
      </c>
      <c r="Y125">
        <f>HYPERLINK("https://klasma.github.io/Logging_2361/tillsynsmail/A 19965-2024 tillsynsbegäran mail.docx", "A 19965-2024")</f>
        <v/>
      </c>
    </row>
    <row r="126" ht="15" customHeight="1">
      <c r="A126" t="inlineStr">
        <is>
          <t>A 25864-2024</t>
        </is>
      </c>
      <c r="B126" s="1" t="n">
        <v>45467</v>
      </c>
      <c r="C126" s="1" t="n">
        <v>45784</v>
      </c>
      <c r="D126" t="inlineStr">
        <is>
          <t>JÄMTLANDS LÄN</t>
        </is>
      </c>
      <c r="E126" t="inlineStr">
        <is>
          <t>HÄRJEDALEN</t>
        </is>
      </c>
      <c r="F126" t="inlineStr">
        <is>
          <t>Sveaskog</t>
        </is>
      </c>
      <c r="G126" t="n">
        <v>5</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25864-2024 artfynd.xlsx", "A 25864-2024")</f>
        <v/>
      </c>
      <c r="T126">
        <f>HYPERLINK("https://klasma.github.io/Logging_2361/kartor/A 25864-2024 karta.png", "A 25864-2024")</f>
        <v/>
      </c>
      <c r="V126">
        <f>HYPERLINK("https://klasma.github.io/Logging_2361/klagomål/A 25864-2024 FSC-klagomål.docx", "A 25864-2024")</f>
        <v/>
      </c>
      <c r="W126">
        <f>HYPERLINK("https://klasma.github.io/Logging_2361/klagomålsmail/A 25864-2024 FSC-klagomål mail.docx", "A 25864-2024")</f>
        <v/>
      </c>
      <c r="X126">
        <f>HYPERLINK("https://klasma.github.io/Logging_2361/tillsyn/A 25864-2024 tillsynsbegäran.docx", "A 25864-2024")</f>
        <v/>
      </c>
      <c r="Y126">
        <f>HYPERLINK("https://klasma.github.io/Logging_2361/tillsynsmail/A 25864-2024 tillsynsbegäran mail.docx", "A 25864-2024")</f>
        <v/>
      </c>
    </row>
    <row r="127" ht="15" customHeight="1">
      <c r="A127" t="inlineStr">
        <is>
          <t>A 31012-2024</t>
        </is>
      </c>
      <c r="B127" s="1" t="n">
        <v>45499</v>
      </c>
      <c r="C127" s="1" t="n">
        <v>45784</v>
      </c>
      <c r="D127" t="inlineStr">
        <is>
          <t>JÄMTLANDS LÄN</t>
        </is>
      </c>
      <c r="E127" t="inlineStr">
        <is>
          <t>HÄRJEDALEN</t>
        </is>
      </c>
      <c r="F127" t="inlineStr">
        <is>
          <t>Sveaskog</t>
        </is>
      </c>
      <c r="G127" t="n">
        <v>11.7</v>
      </c>
      <c r="H127" t="n">
        <v>1</v>
      </c>
      <c r="I127" t="n">
        <v>1</v>
      </c>
      <c r="J127" t="n">
        <v>3</v>
      </c>
      <c r="K127" t="n">
        <v>0</v>
      </c>
      <c r="L127" t="n">
        <v>0</v>
      </c>
      <c r="M127" t="n">
        <v>0</v>
      </c>
      <c r="N127" t="n">
        <v>0</v>
      </c>
      <c r="O127" t="n">
        <v>3</v>
      </c>
      <c r="P127" t="n">
        <v>0</v>
      </c>
      <c r="Q127" t="n">
        <v>4</v>
      </c>
      <c r="R127" s="2" t="inlineStr">
        <is>
          <t>Kolflarnlav
Mörk kolflarnlav
Tretåig hackspett
Dropptaggsvamp</t>
        </is>
      </c>
      <c r="S127">
        <f>HYPERLINK("https://klasma.github.io/Logging_2361/artfynd/A 31012-2024 artfynd.xlsx", "A 31012-2024")</f>
        <v/>
      </c>
      <c r="T127">
        <f>HYPERLINK("https://klasma.github.io/Logging_2361/kartor/A 31012-2024 karta.png", "A 31012-2024")</f>
        <v/>
      </c>
      <c r="V127">
        <f>HYPERLINK("https://klasma.github.io/Logging_2361/klagomål/A 31012-2024 FSC-klagomål.docx", "A 31012-2024")</f>
        <v/>
      </c>
      <c r="W127">
        <f>HYPERLINK("https://klasma.github.io/Logging_2361/klagomålsmail/A 31012-2024 FSC-klagomål mail.docx", "A 31012-2024")</f>
        <v/>
      </c>
      <c r="X127">
        <f>HYPERLINK("https://klasma.github.io/Logging_2361/tillsyn/A 31012-2024 tillsynsbegäran.docx", "A 31012-2024")</f>
        <v/>
      </c>
      <c r="Y127">
        <f>HYPERLINK("https://klasma.github.io/Logging_2361/tillsynsmail/A 31012-2024 tillsynsbegäran mail.docx", "A 31012-2024")</f>
        <v/>
      </c>
      <c r="Z127">
        <f>HYPERLINK("https://klasma.github.io/Logging_2361/fåglar/A 31012-2024 prioriterade fågelarter.docx", "A 31012-2024")</f>
        <v/>
      </c>
    </row>
    <row r="128" ht="15" customHeight="1">
      <c r="A128" t="inlineStr">
        <is>
          <t>A 31148-2024</t>
        </is>
      </c>
      <c r="B128" s="1" t="n">
        <v>45502</v>
      </c>
      <c r="C128" s="1" t="n">
        <v>45784</v>
      </c>
      <c r="D128" t="inlineStr">
        <is>
          <t>JÄMTLANDS LÄN</t>
        </is>
      </c>
      <c r="E128" t="inlineStr">
        <is>
          <t>HÄRJEDALEN</t>
        </is>
      </c>
      <c r="F128" t="inlineStr">
        <is>
          <t>Sveaskog</t>
        </is>
      </c>
      <c r="G128" t="n">
        <v>8.199999999999999</v>
      </c>
      <c r="H128" t="n">
        <v>0</v>
      </c>
      <c r="I128" t="n">
        <v>1</v>
      </c>
      <c r="J128" t="n">
        <v>3</v>
      </c>
      <c r="K128" t="n">
        <v>0</v>
      </c>
      <c r="L128" t="n">
        <v>0</v>
      </c>
      <c r="M128" t="n">
        <v>0</v>
      </c>
      <c r="N128" t="n">
        <v>0</v>
      </c>
      <c r="O128" t="n">
        <v>3</v>
      </c>
      <c r="P128" t="n">
        <v>0</v>
      </c>
      <c r="Q128" t="n">
        <v>4</v>
      </c>
      <c r="R128" s="2" t="inlineStr">
        <is>
          <t>Dvärgbägarlav
Kolflarnlav
Mörk kolflarnlav
Dropptaggsvamp</t>
        </is>
      </c>
      <c r="S128">
        <f>HYPERLINK("https://klasma.github.io/Logging_2361/artfynd/A 31148-2024 artfynd.xlsx", "A 31148-2024")</f>
        <v/>
      </c>
      <c r="T128">
        <f>HYPERLINK("https://klasma.github.io/Logging_2361/kartor/A 31148-2024 karta.png", "A 31148-2024")</f>
        <v/>
      </c>
      <c r="V128">
        <f>HYPERLINK("https://klasma.github.io/Logging_2361/klagomål/A 31148-2024 FSC-klagomål.docx", "A 31148-2024")</f>
        <v/>
      </c>
      <c r="W128">
        <f>HYPERLINK("https://klasma.github.io/Logging_2361/klagomålsmail/A 31148-2024 FSC-klagomål mail.docx", "A 31148-2024")</f>
        <v/>
      </c>
      <c r="X128">
        <f>HYPERLINK("https://klasma.github.io/Logging_2361/tillsyn/A 31148-2024 tillsynsbegäran.docx", "A 31148-2024")</f>
        <v/>
      </c>
      <c r="Y128">
        <f>HYPERLINK("https://klasma.github.io/Logging_2361/tillsynsmail/A 31148-2024 tillsynsbegäran mail.docx", "A 31148-2024")</f>
        <v/>
      </c>
    </row>
    <row r="129" ht="15" customHeight="1">
      <c r="A129" t="inlineStr">
        <is>
          <t>A 31288-2024</t>
        </is>
      </c>
      <c r="B129" s="1" t="n">
        <v>45504</v>
      </c>
      <c r="C129" s="1" t="n">
        <v>45784</v>
      </c>
      <c r="D129" t="inlineStr">
        <is>
          <t>JÄMTLANDS LÄN</t>
        </is>
      </c>
      <c r="E129" t="inlineStr">
        <is>
          <t>HÄRJEDALEN</t>
        </is>
      </c>
      <c r="F129" t="inlineStr">
        <is>
          <t>Sveaskog</t>
        </is>
      </c>
      <c r="G129" t="n">
        <v>10.4</v>
      </c>
      <c r="H129" t="n">
        <v>0</v>
      </c>
      <c r="I129" t="n">
        <v>0</v>
      </c>
      <c r="J129" t="n">
        <v>4</v>
      </c>
      <c r="K129" t="n">
        <v>0</v>
      </c>
      <c r="L129" t="n">
        <v>0</v>
      </c>
      <c r="M129" t="n">
        <v>0</v>
      </c>
      <c r="N129" t="n">
        <v>0</v>
      </c>
      <c r="O129" t="n">
        <v>4</v>
      </c>
      <c r="P129" t="n">
        <v>0</v>
      </c>
      <c r="Q129" t="n">
        <v>4</v>
      </c>
      <c r="R129" s="2" t="inlineStr">
        <is>
          <t>Blå taggsvamp
Kolflarnlav
Mörk kolflarnlav
Vedflamlav</t>
        </is>
      </c>
      <c r="S129">
        <f>HYPERLINK("https://klasma.github.io/Logging_2361/artfynd/A 31288-2024 artfynd.xlsx", "A 31288-2024")</f>
        <v/>
      </c>
      <c r="T129">
        <f>HYPERLINK("https://klasma.github.io/Logging_2361/kartor/A 31288-2024 karta.png", "A 31288-2024")</f>
        <v/>
      </c>
      <c r="V129">
        <f>HYPERLINK("https://klasma.github.io/Logging_2361/klagomål/A 31288-2024 FSC-klagomål.docx", "A 31288-2024")</f>
        <v/>
      </c>
      <c r="W129">
        <f>HYPERLINK("https://klasma.github.io/Logging_2361/klagomålsmail/A 31288-2024 FSC-klagomål mail.docx", "A 31288-2024")</f>
        <v/>
      </c>
      <c r="X129">
        <f>HYPERLINK("https://klasma.github.io/Logging_2361/tillsyn/A 31288-2024 tillsynsbegäran.docx", "A 31288-2024")</f>
        <v/>
      </c>
      <c r="Y129">
        <f>HYPERLINK("https://klasma.github.io/Logging_2361/tillsynsmail/A 31288-2024 tillsynsbegäran mail.docx", "A 31288-2024")</f>
        <v/>
      </c>
    </row>
    <row r="130" ht="15" customHeight="1">
      <c r="A130" t="inlineStr">
        <is>
          <t>A 31584-2024</t>
        </is>
      </c>
      <c r="B130" s="1" t="n">
        <v>45506</v>
      </c>
      <c r="C130" s="1" t="n">
        <v>45784</v>
      </c>
      <c r="D130" t="inlineStr">
        <is>
          <t>JÄMTLANDS LÄN</t>
        </is>
      </c>
      <c r="E130" t="inlineStr">
        <is>
          <t>HÄRJEDALEN</t>
        </is>
      </c>
      <c r="G130" t="n">
        <v>9.699999999999999</v>
      </c>
      <c r="H130" t="n">
        <v>1</v>
      </c>
      <c r="I130" t="n">
        <v>0</v>
      </c>
      <c r="J130" t="n">
        <v>3</v>
      </c>
      <c r="K130" t="n">
        <v>1</v>
      </c>
      <c r="L130" t="n">
        <v>0</v>
      </c>
      <c r="M130" t="n">
        <v>0</v>
      </c>
      <c r="N130" t="n">
        <v>0</v>
      </c>
      <c r="O130" t="n">
        <v>4</v>
      </c>
      <c r="P130" t="n">
        <v>1</v>
      </c>
      <c r="Q130" t="n">
        <v>4</v>
      </c>
      <c r="R130" s="2" t="inlineStr">
        <is>
          <t>Knärot
Dvärgbägarlav
Garnlav
Mörk kolflarnlav</t>
        </is>
      </c>
      <c r="S130">
        <f>HYPERLINK("https://klasma.github.io/Logging_2361/artfynd/A 31584-2024 artfynd.xlsx", "A 31584-2024")</f>
        <v/>
      </c>
      <c r="T130">
        <f>HYPERLINK("https://klasma.github.io/Logging_2361/kartor/A 31584-2024 karta.png", "A 31584-2024")</f>
        <v/>
      </c>
      <c r="U130">
        <f>HYPERLINK("https://klasma.github.io/Logging_2361/knärot/A 31584-2024 karta knärot.png", "A 31584-2024")</f>
        <v/>
      </c>
      <c r="V130">
        <f>HYPERLINK("https://klasma.github.io/Logging_2361/klagomål/A 31584-2024 FSC-klagomål.docx", "A 31584-2024")</f>
        <v/>
      </c>
      <c r="W130">
        <f>HYPERLINK("https://klasma.github.io/Logging_2361/klagomålsmail/A 31584-2024 FSC-klagomål mail.docx", "A 31584-2024")</f>
        <v/>
      </c>
      <c r="X130">
        <f>HYPERLINK("https://klasma.github.io/Logging_2361/tillsyn/A 31584-2024 tillsynsbegäran.docx", "A 31584-2024")</f>
        <v/>
      </c>
      <c r="Y130">
        <f>HYPERLINK("https://klasma.github.io/Logging_2361/tillsynsmail/A 31584-2024 tillsynsbegäran mail.docx", "A 31584-2024")</f>
        <v/>
      </c>
    </row>
    <row r="131" ht="15" customHeight="1">
      <c r="A131" t="inlineStr">
        <is>
          <t>A 36538-2024</t>
        </is>
      </c>
      <c r="B131" s="1" t="n">
        <v>45537</v>
      </c>
      <c r="C131" s="1" t="n">
        <v>45784</v>
      </c>
      <c r="D131" t="inlineStr">
        <is>
          <t>JÄMTLANDS LÄN</t>
        </is>
      </c>
      <c r="E131" t="inlineStr">
        <is>
          <t>HÄRJEDALEN</t>
        </is>
      </c>
      <c r="F131" t="inlineStr">
        <is>
          <t>Holmen skog AB</t>
        </is>
      </c>
      <c r="G131" t="n">
        <v>7.4</v>
      </c>
      <c r="H131" t="n">
        <v>2</v>
      </c>
      <c r="I131" t="n">
        <v>0</v>
      </c>
      <c r="J131" t="n">
        <v>2</v>
      </c>
      <c r="K131" t="n">
        <v>1</v>
      </c>
      <c r="L131" t="n">
        <v>0</v>
      </c>
      <c r="M131" t="n">
        <v>0</v>
      </c>
      <c r="N131" t="n">
        <v>0</v>
      </c>
      <c r="O131" t="n">
        <v>3</v>
      </c>
      <c r="P131" t="n">
        <v>1</v>
      </c>
      <c r="Q131" t="n">
        <v>4</v>
      </c>
      <c r="R131" s="2" t="inlineStr">
        <is>
          <t>Knärot
Knottrig blåslav
Violettgrå tagellav
Fläcknycklar</t>
        </is>
      </c>
      <c r="S131">
        <f>HYPERLINK("https://klasma.github.io/Logging_2361/artfynd/A 36538-2024 artfynd.xlsx", "A 36538-2024")</f>
        <v/>
      </c>
      <c r="T131">
        <f>HYPERLINK("https://klasma.github.io/Logging_2361/kartor/A 36538-2024 karta.png", "A 36538-2024")</f>
        <v/>
      </c>
      <c r="U131">
        <f>HYPERLINK("https://klasma.github.io/Logging_2361/knärot/A 36538-2024 karta knärot.png", "A 36538-2024")</f>
        <v/>
      </c>
      <c r="V131">
        <f>HYPERLINK("https://klasma.github.io/Logging_2361/klagomål/A 36538-2024 FSC-klagomål.docx", "A 36538-2024")</f>
        <v/>
      </c>
      <c r="W131">
        <f>HYPERLINK("https://klasma.github.io/Logging_2361/klagomålsmail/A 36538-2024 FSC-klagomål mail.docx", "A 36538-2024")</f>
        <v/>
      </c>
      <c r="X131">
        <f>HYPERLINK("https://klasma.github.io/Logging_2361/tillsyn/A 36538-2024 tillsynsbegäran.docx", "A 36538-2024")</f>
        <v/>
      </c>
      <c r="Y131">
        <f>HYPERLINK("https://klasma.github.io/Logging_2361/tillsynsmail/A 36538-2024 tillsynsbegäran mail.docx", "A 36538-2024")</f>
        <v/>
      </c>
    </row>
    <row r="132" ht="15" customHeight="1">
      <c r="A132" t="inlineStr">
        <is>
          <t>A 39687-2024</t>
        </is>
      </c>
      <c r="B132" s="1" t="n">
        <v>45552</v>
      </c>
      <c r="C132" s="1" t="n">
        <v>45784</v>
      </c>
      <c r="D132" t="inlineStr">
        <is>
          <t>JÄMTLANDS LÄN</t>
        </is>
      </c>
      <c r="E132" t="inlineStr">
        <is>
          <t>HÄRJEDALEN</t>
        </is>
      </c>
      <c r="G132" t="n">
        <v>2.4</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39687-2024 artfynd.xlsx", "A 39687-2024")</f>
        <v/>
      </c>
      <c r="T132">
        <f>HYPERLINK("https://klasma.github.io/Logging_2361/kartor/A 39687-2024 karta.png", "A 39687-2024")</f>
        <v/>
      </c>
      <c r="V132">
        <f>HYPERLINK("https://klasma.github.io/Logging_2361/klagomål/A 39687-2024 FSC-klagomål.docx", "A 39687-2024")</f>
        <v/>
      </c>
      <c r="W132">
        <f>HYPERLINK("https://klasma.github.io/Logging_2361/klagomålsmail/A 39687-2024 FSC-klagomål mail.docx", "A 39687-2024")</f>
        <v/>
      </c>
      <c r="X132">
        <f>HYPERLINK("https://klasma.github.io/Logging_2361/tillsyn/A 39687-2024 tillsynsbegäran.docx", "A 39687-2024")</f>
        <v/>
      </c>
      <c r="Y132">
        <f>HYPERLINK("https://klasma.github.io/Logging_2361/tillsynsmail/A 39687-2024 tillsynsbegäran mail.docx", "A 39687-2024")</f>
        <v/>
      </c>
    </row>
    <row r="133" ht="15" customHeight="1">
      <c r="A133" t="inlineStr">
        <is>
          <t>A 41068-2024</t>
        </is>
      </c>
      <c r="B133" s="1" t="n">
        <v>45559</v>
      </c>
      <c r="C133" s="1" t="n">
        <v>45784</v>
      </c>
      <c r="D133" t="inlineStr">
        <is>
          <t>JÄMTLANDS LÄN</t>
        </is>
      </c>
      <c r="E133" t="inlineStr">
        <is>
          <t>HÄRJEDALEN</t>
        </is>
      </c>
      <c r="F133" t="inlineStr">
        <is>
          <t>Bergvik skog väst AB</t>
        </is>
      </c>
      <c r="G133" t="n">
        <v>51.1</v>
      </c>
      <c r="H133" t="n">
        <v>2</v>
      </c>
      <c r="I133" t="n">
        <v>0</v>
      </c>
      <c r="J133" t="n">
        <v>4</v>
      </c>
      <c r="K133" t="n">
        <v>0</v>
      </c>
      <c r="L133" t="n">
        <v>0</v>
      </c>
      <c r="M133" t="n">
        <v>0</v>
      </c>
      <c r="N133" t="n">
        <v>0</v>
      </c>
      <c r="O133" t="n">
        <v>4</v>
      </c>
      <c r="P133" t="n">
        <v>0</v>
      </c>
      <c r="Q133" t="n">
        <v>4</v>
      </c>
      <c r="R133" s="2" t="inlineStr">
        <is>
          <t>Granticka
Spillkråka
Tretåig hackspett
Ullticka</t>
        </is>
      </c>
      <c r="S133">
        <f>HYPERLINK("https://klasma.github.io/Logging_2361/artfynd/A 41068-2024 artfynd.xlsx", "A 41068-2024")</f>
        <v/>
      </c>
      <c r="T133">
        <f>HYPERLINK("https://klasma.github.io/Logging_2361/kartor/A 41068-2024 karta.png", "A 41068-2024")</f>
        <v/>
      </c>
      <c r="V133">
        <f>HYPERLINK("https://klasma.github.io/Logging_2361/klagomål/A 41068-2024 FSC-klagomål.docx", "A 41068-2024")</f>
        <v/>
      </c>
      <c r="W133">
        <f>HYPERLINK("https://klasma.github.io/Logging_2361/klagomålsmail/A 41068-2024 FSC-klagomål mail.docx", "A 41068-2024")</f>
        <v/>
      </c>
      <c r="X133">
        <f>HYPERLINK("https://klasma.github.io/Logging_2361/tillsyn/A 41068-2024 tillsynsbegäran.docx", "A 41068-2024")</f>
        <v/>
      </c>
      <c r="Y133">
        <f>HYPERLINK("https://klasma.github.io/Logging_2361/tillsynsmail/A 41068-2024 tillsynsbegäran mail.docx", "A 41068-2024")</f>
        <v/>
      </c>
      <c r="Z133">
        <f>HYPERLINK("https://klasma.github.io/Logging_2361/fåglar/A 41068-2024 prioriterade fågelarter.docx", "A 41068-2024")</f>
        <v/>
      </c>
    </row>
    <row r="134" ht="15" customHeight="1">
      <c r="A134" t="inlineStr">
        <is>
          <t>A 5795-2025</t>
        </is>
      </c>
      <c r="B134" s="1" t="n">
        <v>45694</v>
      </c>
      <c r="C134" s="1" t="n">
        <v>45784</v>
      </c>
      <c r="D134" t="inlineStr">
        <is>
          <t>JÄMTLANDS LÄN</t>
        </is>
      </c>
      <c r="E134" t="inlineStr">
        <is>
          <t>HÄRJEDALEN</t>
        </is>
      </c>
      <c r="G134" t="n">
        <v>8.4</v>
      </c>
      <c r="H134" t="n">
        <v>0</v>
      </c>
      <c r="I134" t="n">
        <v>1</v>
      </c>
      <c r="J134" t="n">
        <v>3</v>
      </c>
      <c r="K134" t="n">
        <v>0</v>
      </c>
      <c r="L134" t="n">
        <v>0</v>
      </c>
      <c r="M134" t="n">
        <v>0</v>
      </c>
      <c r="N134" t="n">
        <v>0</v>
      </c>
      <c r="O134" t="n">
        <v>3</v>
      </c>
      <c r="P134" t="n">
        <v>0</v>
      </c>
      <c r="Q134" t="n">
        <v>4</v>
      </c>
      <c r="R134" s="2" t="inlineStr">
        <is>
          <t>Garnlav
Granticka
Ullticka
Vedticka</t>
        </is>
      </c>
      <c r="S134">
        <f>HYPERLINK("https://klasma.github.io/Logging_2361/artfynd/A 5795-2025 artfynd.xlsx", "A 5795-2025")</f>
        <v/>
      </c>
      <c r="T134">
        <f>HYPERLINK("https://klasma.github.io/Logging_2361/kartor/A 5795-2025 karta.png", "A 5795-2025")</f>
        <v/>
      </c>
      <c r="V134">
        <f>HYPERLINK("https://klasma.github.io/Logging_2361/klagomål/A 5795-2025 FSC-klagomål.docx", "A 5795-2025")</f>
        <v/>
      </c>
      <c r="W134">
        <f>HYPERLINK("https://klasma.github.io/Logging_2361/klagomålsmail/A 5795-2025 FSC-klagomål mail.docx", "A 5795-2025")</f>
        <v/>
      </c>
      <c r="X134">
        <f>HYPERLINK("https://klasma.github.io/Logging_2361/tillsyn/A 5795-2025 tillsynsbegäran.docx", "A 5795-2025")</f>
        <v/>
      </c>
      <c r="Y134">
        <f>HYPERLINK("https://klasma.github.io/Logging_2361/tillsynsmail/A 5795-2025 tillsynsbegäran mail.docx", "A 5795-2025")</f>
        <v/>
      </c>
    </row>
    <row r="135" ht="15" customHeight="1">
      <c r="A135" t="inlineStr">
        <is>
          <t>A 18156-2019</t>
        </is>
      </c>
      <c r="B135" s="1" t="n">
        <v>43558</v>
      </c>
      <c r="C135" s="1" t="n">
        <v>45784</v>
      </c>
      <c r="D135" t="inlineStr">
        <is>
          <t>JÄMTLANDS LÄN</t>
        </is>
      </c>
      <c r="E135" t="inlineStr">
        <is>
          <t>HÄRJEDALEN</t>
        </is>
      </c>
      <c r="F135" t="inlineStr">
        <is>
          <t>Bergvik skog väst AB</t>
        </is>
      </c>
      <c r="G135" t="n">
        <v>102.9</v>
      </c>
      <c r="H135" t="n">
        <v>0</v>
      </c>
      <c r="I135" t="n">
        <v>0</v>
      </c>
      <c r="J135" t="n">
        <v>1</v>
      </c>
      <c r="K135" t="n">
        <v>2</v>
      </c>
      <c r="L135" t="n">
        <v>0</v>
      </c>
      <c r="M135" t="n">
        <v>0</v>
      </c>
      <c r="N135" t="n">
        <v>0</v>
      </c>
      <c r="O135" t="n">
        <v>3</v>
      </c>
      <c r="P135" t="n">
        <v>2</v>
      </c>
      <c r="Q135" t="n">
        <v>3</v>
      </c>
      <c r="R135" s="2" t="inlineStr">
        <is>
          <t>Fläckporing
Laxporing
Stiftgelélav</t>
        </is>
      </c>
      <c r="S135">
        <f>HYPERLINK("https://klasma.github.io/Logging_2361/artfynd/A 18156-2019 artfynd.xlsx", "A 18156-2019")</f>
        <v/>
      </c>
      <c r="T135">
        <f>HYPERLINK("https://klasma.github.io/Logging_2361/kartor/A 18156-2019 karta.png", "A 18156-2019")</f>
        <v/>
      </c>
      <c r="V135">
        <f>HYPERLINK("https://klasma.github.io/Logging_2361/klagomål/A 18156-2019 FSC-klagomål.docx", "A 18156-2019")</f>
        <v/>
      </c>
      <c r="W135">
        <f>HYPERLINK("https://klasma.github.io/Logging_2361/klagomålsmail/A 18156-2019 FSC-klagomål mail.docx", "A 18156-2019")</f>
        <v/>
      </c>
      <c r="X135">
        <f>HYPERLINK("https://klasma.github.io/Logging_2361/tillsyn/A 18156-2019 tillsynsbegäran.docx", "A 18156-2019")</f>
        <v/>
      </c>
      <c r="Y135">
        <f>HYPERLINK("https://klasma.github.io/Logging_2361/tillsynsmail/A 18156-2019 tillsynsbegäran mail.docx", "A 18156-2019")</f>
        <v/>
      </c>
    </row>
    <row r="136" ht="15" customHeight="1">
      <c r="A136" t="inlineStr">
        <is>
          <t>A 35719-2019</t>
        </is>
      </c>
      <c r="B136" s="1" t="n">
        <v>43664</v>
      </c>
      <c r="C136" s="1" t="n">
        <v>45784</v>
      </c>
      <c r="D136" t="inlineStr">
        <is>
          <t>JÄMTLANDS LÄN</t>
        </is>
      </c>
      <c r="E136" t="inlineStr">
        <is>
          <t>HÄRJEDALEN</t>
        </is>
      </c>
      <c r="F136" t="inlineStr">
        <is>
          <t>SCA</t>
        </is>
      </c>
      <c r="G136" t="n">
        <v>17.7</v>
      </c>
      <c r="H136" t="n">
        <v>0</v>
      </c>
      <c r="I136" t="n">
        <v>1</v>
      </c>
      <c r="J136" t="n">
        <v>2</v>
      </c>
      <c r="K136" t="n">
        <v>0</v>
      </c>
      <c r="L136" t="n">
        <v>0</v>
      </c>
      <c r="M136" t="n">
        <v>0</v>
      </c>
      <c r="N136" t="n">
        <v>0</v>
      </c>
      <c r="O136" t="n">
        <v>2</v>
      </c>
      <c r="P136" t="n">
        <v>0</v>
      </c>
      <c r="Q136" t="n">
        <v>3</v>
      </c>
      <c r="R136" s="2" t="inlineStr">
        <is>
          <t>Kolflarnlav
Tallticka
Dropptaggsvamp</t>
        </is>
      </c>
      <c r="S136">
        <f>HYPERLINK("https://klasma.github.io/Logging_2361/artfynd/A 35719-2019 artfynd.xlsx", "A 35719-2019")</f>
        <v/>
      </c>
      <c r="T136">
        <f>HYPERLINK("https://klasma.github.io/Logging_2361/kartor/A 35719-2019 karta.png", "A 35719-2019")</f>
        <v/>
      </c>
      <c r="V136">
        <f>HYPERLINK("https://klasma.github.io/Logging_2361/klagomål/A 35719-2019 FSC-klagomål.docx", "A 35719-2019")</f>
        <v/>
      </c>
      <c r="W136">
        <f>HYPERLINK("https://klasma.github.io/Logging_2361/klagomålsmail/A 35719-2019 FSC-klagomål mail.docx", "A 35719-2019")</f>
        <v/>
      </c>
      <c r="X136">
        <f>HYPERLINK("https://klasma.github.io/Logging_2361/tillsyn/A 35719-2019 tillsynsbegäran.docx", "A 35719-2019")</f>
        <v/>
      </c>
      <c r="Y136">
        <f>HYPERLINK("https://klasma.github.io/Logging_2361/tillsynsmail/A 35719-2019 tillsynsbegäran mail.docx", "A 35719-2019")</f>
        <v/>
      </c>
    </row>
    <row r="137" ht="15" customHeight="1">
      <c r="A137" t="inlineStr">
        <is>
          <t>A 41873-2020</t>
        </is>
      </c>
      <c r="B137" s="1" t="n">
        <v>44074</v>
      </c>
      <c r="C137" s="1" t="n">
        <v>45784</v>
      </c>
      <c r="D137" t="inlineStr">
        <is>
          <t>JÄMTLANDS LÄN</t>
        </is>
      </c>
      <c r="E137" t="inlineStr">
        <is>
          <t>HÄRJEDALEN</t>
        </is>
      </c>
      <c r="F137" t="inlineStr">
        <is>
          <t>SCA</t>
        </is>
      </c>
      <c r="G137" t="n">
        <v>2.4</v>
      </c>
      <c r="H137" t="n">
        <v>2</v>
      </c>
      <c r="I137" t="n">
        <v>1</v>
      </c>
      <c r="J137" t="n">
        <v>1</v>
      </c>
      <c r="K137" t="n">
        <v>1</v>
      </c>
      <c r="L137" t="n">
        <v>0</v>
      </c>
      <c r="M137" t="n">
        <v>0</v>
      </c>
      <c r="N137" t="n">
        <v>0</v>
      </c>
      <c r="O137" t="n">
        <v>2</v>
      </c>
      <c r="P137" t="n">
        <v>1</v>
      </c>
      <c r="Q137" t="n">
        <v>3</v>
      </c>
      <c r="R137" s="2" t="inlineStr">
        <is>
          <t>Knärot
Garnlav
Korallrot</t>
        </is>
      </c>
      <c r="S137">
        <f>HYPERLINK("https://klasma.github.io/Logging_2361/artfynd/A 41873-2020 artfynd.xlsx", "A 41873-2020")</f>
        <v/>
      </c>
      <c r="T137">
        <f>HYPERLINK("https://klasma.github.io/Logging_2361/kartor/A 41873-2020 karta.png", "A 41873-2020")</f>
        <v/>
      </c>
      <c r="U137">
        <f>HYPERLINK("https://klasma.github.io/Logging_2361/knärot/A 41873-2020 karta knärot.png", "A 41873-2020")</f>
        <v/>
      </c>
      <c r="V137">
        <f>HYPERLINK("https://klasma.github.io/Logging_2361/klagomål/A 41873-2020 FSC-klagomål.docx", "A 41873-2020")</f>
        <v/>
      </c>
      <c r="W137">
        <f>HYPERLINK("https://klasma.github.io/Logging_2361/klagomålsmail/A 41873-2020 FSC-klagomål mail.docx", "A 41873-2020")</f>
        <v/>
      </c>
      <c r="X137">
        <f>HYPERLINK("https://klasma.github.io/Logging_2361/tillsyn/A 41873-2020 tillsynsbegäran.docx", "A 41873-2020")</f>
        <v/>
      </c>
      <c r="Y137">
        <f>HYPERLINK("https://klasma.github.io/Logging_2361/tillsynsmail/A 41873-2020 tillsynsbegäran mail.docx", "A 41873-2020")</f>
        <v/>
      </c>
    </row>
    <row r="138" ht="15" customHeight="1">
      <c r="A138" t="inlineStr">
        <is>
          <t>A 49864-2020</t>
        </is>
      </c>
      <c r="B138" s="1" t="n">
        <v>44107</v>
      </c>
      <c r="C138" s="1" t="n">
        <v>45784</v>
      </c>
      <c r="D138" t="inlineStr">
        <is>
          <t>JÄMTLANDS LÄN</t>
        </is>
      </c>
      <c r="E138" t="inlineStr">
        <is>
          <t>HÄRJEDALEN</t>
        </is>
      </c>
      <c r="F138" t="inlineStr">
        <is>
          <t>Bergvik skog väst AB</t>
        </is>
      </c>
      <c r="G138" t="n">
        <v>3.2</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HYPERLINK("https://klasma.github.io/Logging_2361/artfynd/A 49864-2020 artfynd.xlsx", "A 49864-2020")</f>
        <v/>
      </c>
      <c r="T138">
        <f>HYPERLINK("https://klasma.github.io/Logging_2361/kartor/A 49864-2020 karta.png", "A 49864-2020")</f>
        <v/>
      </c>
      <c r="V138">
        <f>HYPERLINK("https://klasma.github.io/Logging_2361/klagomål/A 49864-2020 FSC-klagomål.docx", "A 49864-2020")</f>
        <v/>
      </c>
      <c r="W138">
        <f>HYPERLINK("https://klasma.github.io/Logging_2361/klagomålsmail/A 49864-2020 FSC-klagomål mail.docx", "A 49864-2020")</f>
        <v/>
      </c>
      <c r="X138">
        <f>HYPERLINK("https://klasma.github.io/Logging_2361/tillsyn/A 49864-2020 tillsynsbegäran.docx", "A 49864-2020")</f>
        <v/>
      </c>
      <c r="Y138">
        <f>HYPERLINK("https://klasma.github.io/Logging_2361/tillsynsmail/A 49864-2020 tillsynsbegäran mail.docx", "A 49864-2020")</f>
        <v/>
      </c>
      <c r="Z138">
        <f>HYPERLINK("https://klasma.github.io/Logging_2361/fåglar/A 49864-2020 prioriterade fågelarter.docx", "A 49864-2020")</f>
        <v/>
      </c>
    </row>
    <row r="139" ht="15" customHeight="1">
      <c r="A139" t="inlineStr">
        <is>
          <t>A 49863-2020</t>
        </is>
      </c>
      <c r="B139" s="1" t="n">
        <v>44107</v>
      </c>
      <c r="C139" s="1" t="n">
        <v>45784</v>
      </c>
      <c r="D139" t="inlineStr">
        <is>
          <t>JÄMTLANDS LÄN</t>
        </is>
      </c>
      <c r="E139" t="inlineStr">
        <is>
          <t>HÄRJEDALEN</t>
        </is>
      </c>
      <c r="F139" t="inlineStr">
        <is>
          <t>Bergvik skog väst AB</t>
        </is>
      </c>
      <c r="G139" t="n">
        <v>12.8</v>
      </c>
      <c r="H139" t="n">
        <v>1</v>
      </c>
      <c r="I139" t="n">
        <v>1</v>
      </c>
      <c r="J139" t="n">
        <v>2</v>
      </c>
      <c r="K139" t="n">
        <v>0</v>
      </c>
      <c r="L139" t="n">
        <v>0</v>
      </c>
      <c r="M139" t="n">
        <v>0</v>
      </c>
      <c r="N139" t="n">
        <v>0</v>
      </c>
      <c r="O139" t="n">
        <v>2</v>
      </c>
      <c r="P139" t="n">
        <v>0</v>
      </c>
      <c r="Q139" t="n">
        <v>3</v>
      </c>
      <c r="R139" s="2" t="inlineStr">
        <is>
          <t>Garnlav
Tretåig hackspett
Trådticka</t>
        </is>
      </c>
      <c r="S139">
        <f>HYPERLINK("https://klasma.github.io/Logging_2361/artfynd/A 49863-2020 artfynd.xlsx", "A 49863-2020")</f>
        <v/>
      </c>
      <c r="T139">
        <f>HYPERLINK("https://klasma.github.io/Logging_2361/kartor/A 49863-2020 karta.png", "A 49863-2020")</f>
        <v/>
      </c>
      <c r="V139">
        <f>HYPERLINK("https://klasma.github.io/Logging_2361/klagomål/A 49863-2020 FSC-klagomål.docx", "A 49863-2020")</f>
        <v/>
      </c>
      <c r="W139">
        <f>HYPERLINK("https://klasma.github.io/Logging_2361/klagomålsmail/A 49863-2020 FSC-klagomål mail.docx", "A 49863-2020")</f>
        <v/>
      </c>
      <c r="X139">
        <f>HYPERLINK("https://klasma.github.io/Logging_2361/tillsyn/A 49863-2020 tillsynsbegäran.docx", "A 49863-2020")</f>
        <v/>
      </c>
      <c r="Y139">
        <f>HYPERLINK("https://klasma.github.io/Logging_2361/tillsynsmail/A 49863-2020 tillsynsbegäran mail.docx", "A 49863-2020")</f>
        <v/>
      </c>
      <c r="Z139">
        <f>HYPERLINK("https://klasma.github.io/Logging_2361/fåglar/A 49863-2020 prioriterade fågelarter.docx", "A 49863-2020")</f>
        <v/>
      </c>
    </row>
    <row r="140" ht="15" customHeight="1">
      <c r="A140" t="inlineStr">
        <is>
          <t>A 65147-2020</t>
        </is>
      </c>
      <c r="B140" s="1" t="n">
        <v>44172</v>
      </c>
      <c r="C140" s="1" t="n">
        <v>45784</v>
      </c>
      <c r="D140" t="inlineStr">
        <is>
          <t>JÄMTLANDS LÄN</t>
        </is>
      </c>
      <c r="E140" t="inlineStr">
        <is>
          <t>HÄRJEDALEN</t>
        </is>
      </c>
      <c r="G140" t="n">
        <v>5.9</v>
      </c>
      <c r="H140" t="n">
        <v>1</v>
      </c>
      <c r="I140" t="n">
        <v>0</v>
      </c>
      <c r="J140" t="n">
        <v>3</v>
      </c>
      <c r="K140" t="n">
        <v>0</v>
      </c>
      <c r="L140" t="n">
        <v>0</v>
      </c>
      <c r="M140" t="n">
        <v>0</v>
      </c>
      <c r="N140" t="n">
        <v>0</v>
      </c>
      <c r="O140" t="n">
        <v>3</v>
      </c>
      <c r="P140" t="n">
        <v>0</v>
      </c>
      <c r="Q140" t="n">
        <v>3</v>
      </c>
      <c r="R140" s="2" t="inlineStr">
        <is>
          <t>Blanksvart spiklav
Garnlav
Varglav</t>
        </is>
      </c>
      <c r="S140">
        <f>HYPERLINK("https://klasma.github.io/Logging_2361/artfynd/A 65147-2020 artfynd.xlsx", "A 65147-2020")</f>
        <v/>
      </c>
      <c r="T140">
        <f>HYPERLINK("https://klasma.github.io/Logging_2361/kartor/A 65147-2020 karta.png", "A 65147-2020")</f>
        <v/>
      </c>
      <c r="V140">
        <f>HYPERLINK("https://klasma.github.io/Logging_2361/klagomål/A 65147-2020 FSC-klagomål.docx", "A 65147-2020")</f>
        <v/>
      </c>
      <c r="W140">
        <f>HYPERLINK("https://klasma.github.io/Logging_2361/klagomålsmail/A 65147-2020 FSC-klagomål mail.docx", "A 65147-2020")</f>
        <v/>
      </c>
      <c r="X140">
        <f>HYPERLINK("https://klasma.github.io/Logging_2361/tillsyn/A 65147-2020 tillsynsbegäran.docx", "A 65147-2020")</f>
        <v/>
      </c>
      <c r="Y140">
        <f>HYPERLINK("https://klasma.github.io/Logging_2361/tillsynsmail/A 65147-2020 tillsynsbegäran mail.docx", "A 65147-2020")</f>
        <v/>
      </c>
    </row>
    <row r="141" ht="15" customHeight="1">
      <c r="A141" t="inlineStr">
        <is>
          <t>A 67126-2020</t>
        </is>
      </c>
      <c r="B141" s="1" t="n">
        <v>44180</v>
      </c>
      <c r="C141" s="1" t="n">
        <v>45784</v>
      </c>
      <c r="D141" t="inlineStr">
        <is>
          <t>JÄMTLANDS LÄN</t>
        </is>
      </c>
      <c r="E141" t="inlineStr">
        <is>
          <t>HÄRJEDALEN</t>
        </is>
      </c>
      <c r="F141" t="inlineStr">
        <is>
          <t>Holmen skog AB</t>
        </is>
      </c>
      <c r="G141" t="n">
        <v>0.2</v>
      </c>
      <c r="H141" t="n">
        <v>0</v>
      </c>
      <c r="I141" t="n">
        <v>0</v>
      </c>
      <c r="J141" t="n">
        <v>3</v>
      </c>
      <c r="K141" t="n">
        <v>0</v>
      </c>
      <c r="L141" t="n">
        <v>0</v>
      </c>
      <c r="M141" t="n">
        <v>0</v>
      </c>
      <c r="N141" t="n">
        <v>0</v>
      </c>
      <c r="O141" t="n">
        <v>3</v>
      </c>
      <c r="P141" t="n">
        <v>0</v>
      </c>
      <c r="Q141" t="n">
        <v>3</v>
      </c>
      <c r="R141" s="2" t="inlineStr">
        <is>
          <t>Granticka
Mörk kolflarnlav
Ullticka</t>
        </is>
      </c>
      <c r="S141">
        <f>HYPERLINK("https://klasma.github.io/Logging_2361/artfynd/A 67126-2020 artfynd.xlsx", "A 67126-2020")</f>
        <v/>
      </c>
      <c r="T141">
        <f>HYPERLINK("https://klasma.github.io/Logging_2361/kartor/A 67126-2020 karta.png", "A 67126-2020")</f>
        <v/>
      </c>
      <c r="V141">
        <f>HYPERLINK("https://klasma.github.io/Logging_2361/klagomål/A 67126-2020 FSC-klagomål.docx", "A 67126-2020")</f>
        <v/>
      </c>
      <c r="W141">
        <f>HYPERLINK("https://klasma.github.io/Logging_2361/klagomålsmail/A 67126-2020 FSC-klagomål mail.docx", "A 67126-2020")</f>
        <v/>
      </c>
      <c r="X141">
        <f>HYPERLINK("https://klasma.github.io/Logging_2361/tillsyn/A 67126-2020 tillsynsbegäran.docx", "A 67126-2020")</f>
        <v/>
      </c>
      <c r="Y141">
        <f>HYPERLINK("https://klasma.github.io/Logging_2361/tillsynsmail/A 67126-2020 tillsynsbegäran mail.docx", "A 67126-2020")</f>
        <v/>
      </c>
    </row>
    <row r="142" ht="15" customHeight="1">
      <c r="A142" t="inlineStr">
        <is>
          <t>A 45717-2021</t>
        </is>
      </c>
      <c r="B142" s="1" t="n">
        <v>44441</v>
      </c>
      <c r="C142" s="1" t="n">
        <v>45784</v>
      </c>
      <c r="D142" t="inlineStr">
        <is>
          <t>JÄMTLANDS LÄN</t>
        </is>
      </c>
      <c r="E142" t="inlineStr">
        <is>
          <t>HÄRJEDALEN</t>
        </is>
      </c>
      <c r="G142" t="n">
        <v>1</v>
      </c>
      <c r="H142" t="n">
        <v>1</v>
      </c>
      <c r="I142" t="n">
        <v>2</v>
      </c>
      <c r="J142" t="n">
        <v>1</v>
      </c>
      <c r="K142" t="n">
        <v>0</v>
      </c>
      <c r="L142" t="n">
        <v>0</v>
      </c>
      <c r="M142" t="n">
        <v>0</v>
      </c>
      <c r="N142" t="n">
        <v>0</v>
      </c>
      <c r="O142" t="n">
        <v>1</v>
      </c>
      <c r="P142" t="n">
        <v>0</v>
      </c>
      <c r="Q142" t="n">
        <v>3</v>
      </c>
      <c r="R142" s="2" t="inlineStr">
        <is>
          <t>Granticka
Spindelblomster
Ögonpyrola</t>
        </is>
      </c>
      <c r="S142">
        <f>HYPERLINK("https://klasma.github.io/Logging_2361/artfynd/A 45717-2021 artfynd.xlsx", "A 45717-2021")</f>
        <v/>
      </c>
      <c r="T142">
        <f>HYPERLINK("https://klasma.github.io/Logging_2361/kartor/A 45717-2021 karta.png", "A 45717-2021")</f>
        <v/>
      </c>
      <c r="V142">
        <f>HYPERLINK("https://klasma.github.io/Logging_2361/klagomål/A 45717-2021 FSC-klagomål.docx", "A 45717-2021")</f>
        <v/>
      </c>
      <c r="W142">
        <f>HYPERLINK("https://klasma.github.io/Logging_2361/klagomålsmail/A 45717-2021 FSC-klagomål mail.docx", "A 45717-2021")</f>
        <v/>
      </c>
      <c r="X142">
        <f>HYPERLINK("https://klasma.github.io/Logging_2361/tillsyn/A 45717-2021 tillsynsbegäran.docx", "A 45717-2021")</f>
        <v/>
      </c>
      <c r="Y142">
        <f>HYPERLINK("https://klasma.github.io/Logging_2361/tillsynsmail/A 45717-2021 tillsynsbegäran mail.docx", "A 45717-2021")</f>
        <v/>
      </c>
    </row>
    <row r="143" ht="15" customHeight="1">
      <c r="A143" t="inlineStr">
        <is>
          <t>A 55244-2021</t>
        </is>
      </c>
      <c r="B143" s="1" t="n">
        <v>44475</v>
      </c>
      <c r="C143" s="1" t="n">
        <v>45784</v>
      </c>
      <c r="D143" t="inlineStr">
        <is>
          <t>JÄMTLANDS LÄN</t>
        </is>
      </c>
      <c r="E143" t="inlineStr">
        <is>
          <t>HÄRJEDALEN</t>
        </is>
      </c>
      <c r="G143" t="n">
        <v>1.6</v>
      </c>
      <c r="H143" t="n">
        <v>1</v>
      </c>
      <c r="I143" t="n">
        <v>0</v>
      </c>
      <c r="J143" t="n">
        <v>3</v>
      </c>
      <c r="K143" t="n">
        <v>0</v>
      </c>
      <c r="L143" t="n">
        <v>0</v>
      </c>
      <c r="M143" t="n">
        <v>0</v>
      </c>
      <c r="N143" t="n">
        <v>0</v>
      </c>
      <c r="O143" t="n">
        <v>3</v>
      </c>
      <c r="P143" t="n">
        <v>0</v>
      </c>
      <c r="Q143" t="n">
        <v>3</v>
      </c>
      <c r="R143" s="2" t="inlineStr">
        <is>
          <t>Tallticka
Varglav
Vedflamlav</t>
        </is>
      </c>
      <c r="S143">
        <f>HYPERLINK("https://klasma.github.io/Logging_2361/artfynd/A 55244-2021 artfynd.xlsx", "A 55244-2021")</f>
        <v/>
      </c>
      <c r="T143">
        <f>HYPERLINK("https://klasma.github.io/Logging_2361/kartor/A 55244-2021 karta.png", "A 55244-2021")</f>
        <v/>
      </c>
      <c r="V143">
        <f>HYPERLINK("https://klasma.github.io/Logging_2361/klagomål/A 55244-2021 FSC-klagomål.docx", "A 55244-2021")</f>
        <v/>
      </c>
      <c r="W143">
        <f>HYPERLINK("https://klasma.github.io/Logging_2361/klagomålsmail/A 55244-2021 FSC-klagomål mail.docx", "A 55244-2021")</f>
        <v/>
      </c>
      <c r="X143">
        <f>HYPERLINK("https://klasma.github.io/Logging_2361/tillsyn/A 55244-2021 tillsynsbegäran.docx", "A 55244-2021")</f>
        <v/>
      </c>
      <c r="Y143">
        <f>HYPERLINK("https://klasma.github.io/Logging_2361/tillsynsmail/A 55244-2021 tillsynsbegäran mail.docx", "A 55244-2021")</f>
        <v/>
      </c>
    </row>
    <row r="144" ht="15" customHeight="1">
      <c r="A144" t="inlineStr">
        <is>
          <t>A 55233-2021</t>
        </is>
      </c>
      <c r="B144" s="1" t="n">
        <v>44475</v>
      </c>
      <c r="C144" s="1" t="n">
        <v>45784</v>
      </c>
      <c r="D144" t="inlineStr">
        <is>
          <t>JÄMTLANDS LÄN</t>
        </is>
      </c>
      <c r="E144" t="inlineStr">
        <is>
          <t>HÄRJEDALEN</t>
        </is>
      </c>
      <c r="G144" t="n">
        <v>15.3</v>
      </c>
      <c r="H144" t="n">
        <v>1</v>
      </c>
      <c r="I144" t="n">
        <v>0</v>
      </c>
      <c r="J144" t="n">
        <v>3</v>
      </c>
      <c r="K144" t="n">
        <v>0</v>
      </c>
      <c r="L144" t="n">
        <v>0</v>
      </c>
      <c r="M144" t="n">
        <v>0</v>
      </c>
      <c r="N144" t="n">
        <v>0</v>
      </c>
      <c r="O144" t="n">
        <v>3</v>
      </c>
      <c r="P144" t="n">
        <v>0</v>
      </c>
      <c r="Q144" t="n">
        <v>3</v>
      </c>
      <c r="R144" s="2" t="inlineStr">
        <is>
          <t>Reliktbock
Varglav
Vedflamlav</t>
        </is>
      </c>
      <c r="S144">
        <f>HYPERLINK("https://klasma.github.io/Logging_2361/artfynd/A 55233-2021 artfynd.xlsx", "A 55233-2021")</f>
        <v/>
      </c>
      <c r="T144">
        <f>HYPERLINK("https://klasma.github.io/Logging_2361/kartor/A 55233-2021 karta.png", "A 55233-2021")</f>
        <v/>
      </c>
      <c r="V144">
        <f>HYPERLINK("https://klasma.github.io/Logging_2361/klagomål/A 55233-2021 FSC-klagomål.docx", "A 55233-2021")</f>
        <v/>
      </c>
      <c r="W144">
        <f>HYPERLINK("https://klasma.github.io/Logging_2361/klagomålsmail/A 55233-2021 FSC-klagomål mail.docx", "A 55233-2021")</f>
        <v/>
      </c>
      <c r="X144">
        <f>HYPERLINK("https://klasma.github.io/Logging_2361/tillsyn/A 55233-2021 tillsynsbegäran.docx", "A 55233-2021")</f>
        <v/>
      </c>
      <c r="Y144">
        <f>HYPERLINK("https://klasma.github.io/Logging_2361/tillsynsmail/A 55233-2021 tillsynsbegäran mail.docx", "A 55233-2021")</f>
        <v/>
      </c>
    </row>
    <row r="145" ht="15" customHeight="1">
      <c r="A145" t="inlineStr">
        <is>
          <t>A 55394-2021</t>
        </is>
      </c>
      <c r="B145" s="1" t="n">
        <v>44475</v>
      </c>
      <c r="C145" s="1" t="n">
        <v>45784</v>
      </c>
      <c r="D145" t="inlineStr">
        <is>
          <t>JÄMTLANDS LÄN</t>
        </is>
      </c>
      <c r="E145" t="inlineStr">
        <is>
          <t>HÄRJEDALEN</t>
        </is>
      </c>
      <c r="G145" t="n">
        <v>2.7</v>
      </c>
      <c r="H145" t="n">
        <v>1</v>
      </c>
      <c r="I145" t="n">
        <v>0</v>
      </c>
      <c r="J145" t="n">
        <v>3</v>
      </c>
      <c r="K145" t="n">
        <v>0</v>
      </c>
      <c r="L145" t="n">
        <v>0</v>
      </c>
      <c r="M145" t="n">
        <v>0</v>
      </c>
      <c r="N145" t="n">
        <v>0</v>
      </c>
      <c r="O145" t="n">
        <v>3</v>
      </c>
      <c r="P145" t="n">
        <v>0</v>
      </c>
      <c r="Q145" t="n">
        <v>3</v>
      </c>
      <c r="R145" s="2" t="inlineStr">
        <is>
          <t>Blanksvart spiklav
Varglav
Vedflamlav</t>
        </is>
      </c>
      <c r="S145">
        <f>HYPERLINK("https://klasma.github.io/Logging_2361/artfynd/A 55394-2021 artfynd.xlsx", "A 55394-2021")</f>
        <v/>
      </c>
      <c r="T145">
        <f>HYPERLINK("https://klasma.github.io/Logging_2361/kartor/A 55394-2021 karta.png", "A 55394-2021")</f>
        <v/>
      </c>
      <c r="V145">
        <f>HYPERLINK("https://klasma.github.io/Logging_2361/klagomål/A 55394-2021 FSC-klagomål.docx", "A 55394-2021")</f>
        <v/>
      </c>
      <c r="W145">
        <f>HYPERLINK("https://klasma.github.io/Logging_2361/klagomålsmail/A 55394-2021 FSC-klagomål mail.docx", "A 55394-2021")</f>
        <v/>
      </c>
      <c r="X145">
        <f>HYPERLINK("https://klasma.github.io/Logging_2361/tillsyn/A 55394-2021 tillsynsbegäran.docx", "A 55394-2021")</f>
        <v/>
      </c>
      <c r="Y145">
        <f>HYPERLINK("https://klasma.github.io/Logging_2361/tillsynsmail/A 55394-2021 tillsynsbegäran mail.docx", "A 55394-2021")</f>
        <v/>
      </c>
    </row>
    <row r="146" ht="15" customHeight="1">
      <c r="A146" t="inlineStr">
        <is>
          <t>A 33914-2022</t>
        </is>
      </c>
      <c r="B146" s="1" t="n">
        <v>44790</v>
      </c>
      <c r="C146" s="1" t="n">
        <v>45784</v>
      </c>
      <c r="D146" t="inlineStr">
        <is>
          <t>JÄMTLANDS LÄN</t>
        </is>
      </c>
      <c r="E146" t="inlineStr">
        <is>
          <t>HÄRJEDALEN</t>
        </is>
      </c>
      <c r="F146" t="inlineStr">
        <is>
          <t>Bergvik skog väst AB</t>
        </is>
      </c>
      <c r="G146" t="n">
        <v>38.1</v>
      </c>
      <c r="H146" t="n">
        <v>3</v>
      </c>
      <c r="I146" t="n">
        <v>0</v>
      </c>
      <c r="J146" t="n">
        <v>2</v>
      </c>
      <c r="K146" t="n">
        <v>0</v>
      </c>
      <c r="L146" t="n">
        <v>0</v>
      </c>
      <c r="M146" t="n">
        <v>0</v>
      </c>
      <c r="N146" t="n">
        <v>0</v>
      </c>
      <c r="O146" t="n">
        <v>2</v>
      </c>
      <c r="P146" t="n">
        <v>0</v>
      </c>
      <c r="Q146" t="n">
        <v>3</v>
      </c>
      <c r="R146" s="2" t="inlineStr">
        <is>
          <t>Spillkråka
Tretåig hackspett
Lavskrika</t>
        </is>
      </c>
      <c r="S146">
        <f>HYPERLINK("https://klasma.github.io/Logging_2361/artfynd/A 33914-2022 artfynd.xlsx", "A 33914-2022")</f>
        <v/>
      </c>
      <c r="T146">
        <f>HYPERLINK("https://klasma.github.io/Logging_2361/kartor/A 33914-2022 karta.png", "A 33914-2022")</f>
        <v/>
      </c>
      <c r="V146">
        <f>HYPERLINK("https://klasma.github.io/Logging_2361/klagomål/A 33914-2022 FSC-klagomål.docx", "A 33914-2022")</f>
        <v/>
      </c>
      <c r="W146">
        <f>HYPERLINK("https://klasma.github.io/Logging_2361/klagomålsmail/A 33914-2022 FSC-klagomål mail.docx", "A 33914-2022")</f>
        <v/>
      </c>
      <c r="X146">
        <f>HYPERLINK("https://klasma.github.io/Logging_2361/tillsyn/A 33914-2022 tillsynsbegäran.docx", "A 33914-2022")</f>
        <v/>
      </c>
      <c r="Y146">
        <f>HYPERLINK("https://klasma.github.io/Logging_2361/tillsynsmail/A 33914-2022 tillsynsbegäran mail.docx", "A 33914-2022")</f>
        <v/>
      </c>
      <c r="Z146">
        <f>HYPERLINK("https://klasma.github.io/Logging_2361/fåglar/A 33914-2022 prioriterade fågelarter.docx", "A 33914-2022")</f>
        <v/>
      </c>
    </row>
    <row r="147" ht="15" customHeight="1">
      <c r="A147" t="inlineStr">
        <is>
          <t>A 34035-2022</t>
        </is>
      </c>
      <c r="B147" s="1" t="n">
        <v>44791</v>
      </c>
      <c r="C147" s="1" t="n">
        <v>45784</v>
      </c>
      <c r="D147" t="inlineStr">
        <is>
          <t>JÄMTLANDS LÄN</t>
        </is>
      </c>
      <c r="E147" t="inlineStr">
        <is>
          <t>HÄRJEDALEN</t>
        </is>
      </c>
      <c r="F147" t="inlineStr">
        <is>
          <t>Naturvårdsverket</t>
        </is>
      </c>
      <c r="G147" t="n">
        <v>27.4</v>
      </c>
      <c r="H147" t="n">
        <v>0</v>
      </c>
      <c r="I147" t="n">
        <v>0</v>
      </c>
      <c r="J147" t="n">
        <v>3</v>
      </c>
      <c r="K147" t="n">
        <v>0</v>
      </c>
      <c r="L147" t="n">
        <v>0</v>
      </c>
      <c r="M147" t="n">
        <v>0</v>
      </c>
      <c r="N147" t="n">
        <v>0</v>
      </c>
      <c r="O147" t="n">
        <v>3</v>
      </c>
      <c r="P147" t="n">
        <v>0</v>
      </c>
      <c r="Q147" t="n">
        <v>3</v>
      </c>
      <c r="R147" s="2" t="inlineStr">
        <is>
          <t>Gammelgransskål
Garnlav
Gränsticka</t>
        </is>
      </c>
      <c r="S147">
        <f>HYPERLINK("https://klasma.github.io/Logging_2361/artfynd/A 34035-2022 artfynd.xlsx", "A 34035-2022")</f>
        <v/>
      </c>
      <c r="T147">
        <f>HYPERLINK("https://klasma.github.io/Logging_2361/kartor/A 34035-2022 karta.png", "A 34035-2022")</f>
        <v/>
      </c>
      <c r="V147">
        <f>HYPERLINK("https://klasma.github.io/Logging_2361/klagomål/A 34035-2022 FSC-klagomål.docx", "A 34035-2022")</f>
        <v/>
      </c>
      <c r="W147">
        <f>HYPERLINK("https://klasma.github.io/Logging_2361/klagomålsmail/A 34035-2022 FSC-klagomål mail.docx", "A 34035-2022")</f>
        <v/>
      </c>
      <c r="X147">
        <f>HYPERLINK("https://klasma.github.io/Logging_2361/tillsyn/A 34035-2022 tillsynsbegäran.docx", "A 34035-2022")</f>
        <v/>
      </c>
      <c r="Y147">
        <f>HYPERLINK("https://klasma.github.io/Logging_2361/tillsynsmail/A 34035-2022 tillsynsbegäran mail.docx", "A 34035-2022")</f>
        <v/>
      </c>
    </row>
    <row r="148" ht="15" customHeight="1">
      <c r="A148" t="inlineStr">
        <is>
          <t>A 14060-2023</t>
        </is>
      </c>
      <c r="B148" s="1" t="n">
        <v>45007</v>
      </c>
      <c r="C148" s="1" t="n">
        <v>45784</v>
      </c>
      <c r="D148" t="inlineStr">
        <is>
          <t>JÄMTLANDS LÄN</t>
        </is>
      </c>
      <c r="E148" t="inlineStr">
        <is>
          <t>HÄRJEDALEN</t>
        </is>
      </c>
      <c r="F148" t="inlineStr">
        <is>
          <t>Bergvik skog väst AB</t>
        </is>
      </c>
      <c r="G148" t="n">
        <v>6.7</v>
      </c>
      <c r="H148" t="n">
        <v>0</v>
      </c>
      <c r="I148" t="n">
        <v>0</v>
      </c>
      <c r="J148" t="n">
        <v>0</v>
      </c>
      <c r="K148" t="n">
        <v>2</v>
      </c>
      <c r="L148" t="n">
        <v>1</v>
      </c>
      <c r="M148" t="n">
        <v>0</v>
      </c>
      <c r="N148" t="n">
        <v>0</v>
      </c>
      <c r="O148" t="n">
        <v>3</v>
      </c>
      <c r="P148" t="n">
        <v>3</v>
      </c>
      <c r="Q148" t="n">
        <v>3</v>
      </c>
      <c r="R148" s="2" t="inlineStr">
        <is>
          <t>Urskogsporing
Fläckporing
Gräddporing</t>
        </is>
      </c>
      <c r="S148">
        <f>HYPERLINK("https://klasma.github.io/Logging_2361/artfynd/A 14060-2023 artfynd.xlsx", "A 14060-2023")</f>
        <v/>
      </c>
      <c r="T148">
        <f>HYPERLINK("https://klasma.github.io/Logging_2361/kartor/A 14060-2023 karta.png", "A 14060-2023")</f>
        <v/>
      </c>
      <c r="V148">
        <f>HYPERLINK("https://klasma.github.io/Logging_2361/klagomål/A 14060-2023 FSC-klagomål.docx", "A 14060-2023")</f>
        <v/>
      </c>
      <c r="W148">
        <f>HYPERLINK("https://klasma.github.io/Logging_2361/klagomålsmail/A 14060-2023 FSC-klagomål mail.docx", "A 14060-2023")</f>
        <v/>
      </c>
      <c r="X148">
        <f>HYPERLINK("https://klasma.github.io/Logging_2361/tillsyn/A 14060-2023 tillsynsbegäran.docx", "A 14060-2023")</f>
        <v/>
      </c>
      <c r="Y148">
        <f>HYPERLINK("https://klasma.github.io/Logging_2361/tillsynsmail/A 14060-2023 tillsynsbegäran mail.docx", "A 14060-2023")</f>
        <v/>
      </c>
    </row>
    <row r="149" ht="15" customHeight="1">
      <c r="A149" t="inlineStr">
        <is>
          <t>A 19659-2023</t>
        </is>
      </c>
      <c r="B149" s="1" t="n">
        <v>45050</v>
      </c>
      <c r="C149" s="1" t="n">
        <v>45784</v>
      </c>
      <c r="D149" t="inlineStr">
        <is>
          <t>JÄMTLANDS LÄN</t>
        </is>
      </c>
      <c r="E149" t="inlineStr">
        <is>
          <t>HÄRJEDALEN</t>
        </is>
      </c>
      <c r="F149" t="inlineStr">
        <is>
          <t>Bergvik skog väst AB</t>
        </is>
      </c>
      <c r="G149" t="n">
        <v>2.8</v>
      </c>
      <c r="H149" t="n">
        <v>0</v>
      </c>
      <c r="I149" t="n">
        <v>0</v>
      </c>
      <c r="J149" t="n">
        <v>3</v>
      </c>
      <c r="K149" t="n">
        <v>0</v>
      </c>
      <c r="L149" t="n">
        <v>0</v>
      </c>
      <c r="M149" t="n">
        <v>0</v>
      </c>
      <c r="N149" t="n">
        <v>0</v>
      </c>
      <c r="O149" t="n">
        <v>3</v>
      </c>
      <c r="P149" t="n">
        <v>0</v>
      </c>
      <c r="Q149" t="n">
        <v>3</v>
      </c>
      <c r="R149" s="2" t="inlineStr">
        <is>
          <t>Gäckporing
Nordtagging
Vedskivlav</t>
        </is>
      </c>
      <c r="S149">
        <f>HYPERLINK("https://klasma.github.io/Logging_2361/artfynd/A 19659-2023 artfynd.xlsx", "A 19659-2023")</f>
        <v/>
      </c>
      <c r="T149">
        <f>HYPERLINK("https://klasma.github.io/Logging_2361/kartor/A 19659-2023 karta.png", "A 19659-2023")</f>
        <v/>
      </c>
      <c r="V149">
        <f>HYPERLINK("https://klasma.github.io/Logging_2361/klagomål/A 19659-2023 FSC-klagomål.docx", "A 19659-2023")</f>
        <v/>
      </c>
      <c r="W149">
        <f>HYPERLINK("https://klasma.github.io/Logging_2361/klagomålsmail/A 19659-2023 FSC-klagomål mail.docx", "A 19659-2023")</f>
        <v/>
      </c>
      <c r="X149">
        <f>HYPERLINK("https://klasma.github.io/Logging_2361/tillsyn/A 19659-2023 tillsynsbegäran.docx", "A 19659-2023")</f>
        <v/>
      </c>
      <c r="Y149">
        <f>HYPERLINK("https://klasma.github.io/Logging_2361/tillsynsmail/A 19659-2023 tillsynsbegäran mail.docx", "A 19659-2023")</f>
        <v/>
      </c>
    </row>
    <row r="150" ht="15" customHeight="1">
      <c r="A150" t="inlineStr">
        <is>
          <t>A 57572-2023</t>
        </is>
      </c>
      <c r="B150" s="1" t="n">
        <v>45246</v>
      </c>
      <c r="C150" s="1" t="n">
        <v>45784</v>
      </c>
      <c r="D150" t="inlineStr">
        <is>
          <t>JÄMTLANDS LÄN</t>
        </is>
      </c>
      <c r="E150" t="inlineStr">
        <is>
          <t>HÄRJEDALEN</t>
        </is>
      </c>
      <c r="G150" t="n">
        <v>40.5</v>
      </c>
      <c r="H150" t="n">
        <v>0</v>
      </c>
      <c r="I150" t="n">
        <v>0</v>
      </c>
      <c r="J150" t="n">
        <v>2</v>
      </c>
      <c r="K150" t="n">
        <v>1</v>
      </c>
      <c r="L150" t="n">
        <v>0</v>
      </c>
      <c r="M150" t="n">
        <v>0</v>
      </c>
      <c r="N150" t="n">
        <v>0</v>
      </c>
      <c r="O150" t="n">
        <v>3</v>
      </c>
      <c r="P150" t="n">
        <v>1</v>
      </c>
      <c r="Q150" t="n">
        <v>3</v>
      </c>
      <c r="R150" s="2" t="inlineStr">
        <is>
          <t>Gräddporing
Nordtagging
Skrovellav</t>
        </is>
      </c>
      <c r="S150">
        <f>HYPERLINK("https://klasma.github.io/Logging_2361/artfynd/A 57572-2023 artfynd.xlsx", "A 57572-2023")</f>
        <v/>
      </c>
      <c r="T150">
        <f>HYPERLINK("https://klasma.github.io/Logging_2361/kartor/A 57572-2023 karta.png", "A 57572-2023")</f>
        <v/>
      </c>
      <c r="V150">
        <f>HYPERLINK("https://klasma.github.io/Logging_2361/klagomål/A 57572-2023 FSC-klagomål.docx", "A 57572-2023")</f>
        <v/>
      </c>
      <c r="W150">
        <f>HYPERLINK("https://klasma.github.io/Logging_2361/klagomålsmail/A 57572-2023 FSC-klagomål mail.docx", "A 57572-2023")</f>
        <v/>
      </c>
      <c r="X150">
        <f>HYPERLINK("https://klasma.github.io/Logging_2361/tillsyn/A 57572-2023 tillsynsbegäran.docx", "A 57572-2023")</f>
        <v/>
      </c>
      <c r="Y150">
        <f>HYPERLINK("https://klasma.github.io/Logging_2361/tillsynsmail/A 57572-2023 tillsynsbegäran mail.docx", "A 57572-2023")</f>
        <v/>
      </c>
    </row>
    <row r="151" ht="15" customHeight="1">
      <c r="A151" t="inlineStr">
        <is>
          <t>A 22781-2024</t>
        </is>
      </c>
      <c r="B151" s="1" t="n">
        <v>45448</v>
      </c>
      <c r="C151" s="1" t="n">
        <v>45784</v>
      </c>
      <c r="D151" t="inlineStr">
        <is>
          <t>JÄMTLANDS LÄN</t>
        </is>
      </c>
      <c r="E151" t="inlineStr">
        <is>
          <t>HÄRJEDALEN</t>
        </is>
      </c>
      <c r="F151" t="inlineStr">
        <is>
          <t>Holmen skog AB</t>
        </is>
      </c>
      <c r="G151" t="n">
        <v>5.8</v>
      </c>
      <c r="H151" t="n">
        <v>2</v>
      </c>
      <c r="I151" t="n">
        <v>0</v>
      </c>
      <c r="J151" t="n">
        <v>1</v>
      </c>
      <c r="K151" t="n">
        <v>1</v>
      </c>
      <c r="L151" t="n">
        <v>0</v>
      </c>
      <c r="M151" t="n">
        <v>0</v>
      </c>
      <c r="N151" t="n">
        <v>0</v>
      </c>
      <c r="O151" t="n">
        <v>2</v>
      </c>
      <c r="P151" t="n">
        <v>1</v>
      </c>
      <c r="Q151" t="n">
        <v>3</v>
      </c>
      <c r="R151" s="2" t="inlineStr">
        <is>
          <t>Knärot
Knottrig blåslav
Huggorm</t>
        </is>
      </c>
      <c r="S151">
        <f>HYPERLINK("https://klasma.github.io/Logging_2361/artfynd/A 22781-2024 artfynd.xlsx", "A 22781-2024")</f>
        <v/>
      </c>
      <c r="T151">
        <f>HYPERLINK("https://klasma.github.io/Logging_2361/kartor/A 22781-2024 karta.png", "A 22781-2024")</f>
        <v/>
      </c>
      <c r="U151">
        <f>HYPERLINK("https://klasma.github.io/Logging_2361/knärot/A 22781-2024 karta knärot.png", "A 22781-2024")</f>
        <v/>
      </c>
      <c r="V151">
        <f>HYPERLINK("https://klasma.github.io/Logging_2361/klagomål/A 22781-2024 FSC-klagomål.docx", "A 22781-2024")</f>
        <v/>
      </c>
      <c r="W151">
        <f>HYPERLINK("https://klasma.github.io/Logging_2361/klagomålsmail/A 22781-2024 FSC-klagomål mail.docx", "A 22781-2024")</f>
        <v/>
      </c>
      <c r="X151">
        <f>HYPERLINK("https://klasma.github.io/Logging_2361/tillsyn/A 22781-2024 tillsynsbegäran.docx", "A 22781-2024")</f>
        <v/>
      </c>
      <c r="Y151">
        <f>HYPERLINK("https://klasma.github.io/Logging_2361/tillsynsmail/A 22781-2024 tillsynsbegäran mail.docx", "A 22781-2024")</f>
        <v/>
      </c>
    </row>
    <row r="152" ht="15" customHeight="1">
      <c r="A152" t="inlineStr">
        <is>
          <t>A 26225-2024</t>
        </is>
      </c>
      <c r="B152" s="1" t="n">
        <v>45468</v>
      </c>
      <c r="C152" s="1" t="n">
        <v>45784</v>
      </c>
      <c r="D152" t="inlineStr">
        <is>
          <t>JÄMTLANDS LÄN</t>
        </is>
      </c>
      <c r="E152" t="inlineStr">
        <is>
          <t>HÄRJEDALEN</t>
        </is>
      </c>
      <c r="G152" t="n">
        <v>21.2</v>
      </c>
      <c r="H152" t="n">
        <v>1</v>
      </c>
      <c r="I152" t="n">
        <v>3</v>
      </c>
      <c r="J152" t="n">
        <v>0</v>
      </c>
      <c r="K152" t="n">
        <v>0</v>
      </c>
      <c r="L152" t="n">
        <v>0</v>
      </c>
      <c r="M152" t="n">
        <v>0</v>
      </c>
      <c r="N152" t="n">
        <v>0</v>
      </c>
      <c r="O152" t="n">
        <v>0</v>
      </c>
      <c r="P152" t="n">
        <v>0</v>
      </c>
      <c r="Q152" t="n">
        <v>3</v>
      </c>
      <c r="R152" s="2" t="inlineStr">
        <is>
          <t>Gräsull
Tibast
Tvåblad</t>
        </is>
      </c>
      <c r="S152">
        <f>HYPERLINK("https://klasma.github.io/Logging_2361/artfynd/A 26225-2024 artfynd.xlsx", "A 26225-2024")</f>
        <v/>
      </c>
      <c r="T152">
        <f>HYPERLINK("https://klasma.github.io/Logging_2361/kartor/A 26225-2024 karta.png", "A 26225-2024")</f>
        <v/>
      </c>
      <c r="V152">
        <f>HYPERLINK("https://klasma.github.io/Logging_2361/klagomål/A 26225-2024 FSC-klagomål.docx", "A 26225-2024")</f>
        <v/>
      </c>
      <c r="W152">
        <f>HYPERLINK("https://klasma.github.io/Logging_2361/klagomålsmail/A 26225-2024 FSC-klagomål mail.docx", "A 26225-2024")</f>
        <v/>
      </c>
      <c r="X152">
        <f>HYPERLINK("https://klasma.github.io/Logging_2361/tillsyn/A 26225-2024 tillsynsbegäran.docx", "A 26225-2024")</f>
        <v/>
      </c>
      <c r="Y152">
        <f>HYPERLINK("https://klasma.github.io/Logging_2361/tillsynsmail/A 26225-2024 tillsynsbegäran mail.docx", "A 26225-2024")</f>
        <v/>
      </c>
    </row>
    <row r="153" ht="15" customHeight="1">
      <c r="A153" t="inlineStr">
        <is>
          <t>A 54545-2024</t>
        </is>
      </c>
      <c r="B153" s="1" t="n">
        <v>45617</v>
      </c>
      <c r="C153" s="1" t="n">
        <v>45784</v>
      </c>
      <c r="D153" t="inlineStr">
        <is>
          <t>JÄMTLANDS LÄN</t>
        </is>
      </c>
      <c r="E153" t="inlineStr">
        <is>
          <t>HÄRJEDALEN</t>
        </is>
      </c>
      <c r="F153" t="inlineStr">
        <is>
          <t>Holmen skog AB</t>
        </is>
      </c>
      <c r="G153" t="n">
        <v>6.5</v>
      </c>
      <c r="H153" t="n">
        <v>1</v>
      </c>
      <c r="I153" t="n">
        <v>0</v>
      </c>
      <c r="J153" t="n">
        <v>3</v>
      </c>
      <c r="K153" t="n">
        <v>0</v>
      </c>
      <c r="L153" t="n">
        <v>0</v>
      </c>
      <c r="M153" t="n">
        <v>0</v>
      </c>
      <c r="N153" t="n">
        <v>0</v>
      </c>
      <c r="O153" t="n">
        <v>3</v>
      </c>
      <c r="P153" t="n">
        <v>0</v>
      </c>
      <c r="Q153" t="n">
        <v>3</v>
      </c>
      <c r="R153" s="2" t="inlineStr">
        <is>
          <t>Garnlav
Kolflarnlav
Talltita</t>
        </is>
      </c>
      <c r="S153">
        <f>HYPERLINK("https://klasma.github.io/Logging_2361/artfynd/A 54545-2024 artfynd.xlsx", "A 54545-2024")</f>
        <v/>
      </c>
      <c r="T153">
        <f>HYPERLINK("https://klasma.github.io/Logging_2361/kartor/A 54545-2024 karta.png", "A 54545-2024")</f>
        <v/>
      </c>
      <c r="V153">
        <f>HYPERLINK("https://klasma.github.io/Logging_2361/klagomål/A 54545-2024 FSC-klagomål.docx", "A 54545-2024")</f>
        <v/>
      </c>
      <c r="W153">
        <f>HYPERLINK("https://klasma.github.io/Logging_2361/klagomålsmail/A 54545-2024 FSC-klagomål mail.docx", "A 54545-2024")</f>
        <v/>
      </c>
      <c r="X153">
        <f>HYPERLINK("https://klasma.github.io/Logging_2361/tillsyn/A 54545-2024 tillsynsbegäran.docx", "A 54545-2024")</f>
        <v/>
      </c>
      <c r="Y153">
        <f>HYPERLINK("https://klasma.github.io/Logging_2361/tillsynsmail/A 54545-2024 tillsynsbegäran mail.docx", "A 54545-2024")</f>
        <v/>
      </c>
      <c r="Z153">
        <f>HYPERLINK("https://klasma.github.io/Logging_2361/fåglar/A 54545-2024 prioriterade fågelarter.docx", "A 54545-2024")</f>
        <v/>
      </c>
    </row>
    <row r="154" ht="15" customHeight="1">
      <c r="A154" t="inlineStr">
        <is>
          <t>A 9618-2025</t>
        </is>
      </c>
      <c r="B154" s="1" t="n">
        <v>45715</v>
      </c>
      <c r="C154" s="1" t="n">
        <v>45784</v>
      </c>
      <c r="D154" t="inlineStr">
        <is>
          <t>JÄMTLANDS LÄN</t>
        </is>
      </c>
      <c r="E154" t="inlineStr">
        <is>
          <t>HÄRJEDALEN</t>
        </is>
      </c>
      <c r="F154" t="inlineStr">
        <is>
          <t>Bergvik skog väst AB</t>
        </is>
      </c>
      <c r="G154" t="n">
        <v>11.5</v>
      </c>
      <c r="H154" t="n">
        <v>0</v>
      </c>
      <c r="I154" t="n">
        <v>0</v>
      </c>
      <c r="J154" t="n">
        <v>3</v>
      </c>
      <c r="K154" t="n">
        <v>0</v>
      </c>
      <c r="L154" t="n">
        <v>0</v>
      </c>
      <c r="M154" t="n">
        <v>0</v>
      </c>
      <c r="N154" t="n">
        <v>0</v>
      </c>
      <c r="O154" t="n">
        <v>3</v>
      </c>
      <c r="P154" t="n">
        <v>0</v>
      </c>
      <c r="Q154" t="n">
        <v>3</v>
      </c>
      <c r="R154" s="2" t="inlineStr">
        <is>
          <t>Doftskinn
Granticka
Vitgrynig nållav</t>
        </is>
      </c>
      <c r="S154">
        <f>HYPERLINK("https://klasma.github.io/Logging_232361/artfynd/A 9618-2025 artfynd.xlsx", "A 9618-2025")</f>
        <v/>
      </c>
      <c r="T154">
        <f>HYPERLINK("https://klasma.github.io/Logging_232361/kartor/A 9618-2025 karta.png", "A 9618-2025")</f>
        <v/>
      </c>
      <c r="V154">
        <f>HYPERLINK("https://klasma.github.io/Logging_232361/klagomål/A 9618-2025 FSC-klagomål.docx", "A 9618-2025")</f>
        <v/>
      </c>
      <c r="W154">
        <f>HYPERLINK("https://klasma.github.io/Logging_232361/klagomålsmail/A 9618-2025 FSC-klagomål mail.docx", "A 9618-2025")</f>
        <v/>
      </c>
      <c r="X154">
        <f>HYPERLINK("https://klasma.github.io/Logging_232361/tillsyn/A 9618-2025 tillsynsbegäran.docx", "A 9618-2025")</f>
        <v/>
      </c>
      <c r="Y154">
        <f>HYPERLINK("https://klasma.github.io/Logging_232361/tillsynsmail/A 9618-2025 tillsynsbegäran mail.docx", "A 9618-2025")</f>
        <v/>
      </c>
    </row>
    <row r="155" ht="15" customHeight="1">
      <c r="A155" t="inlineStr">
        <is>
          <t>A 18116-2025</t>
        </is>
      </c>
      <c r="B155" s="1" t="n">
        <v>45761</v>
      </c>
      <c r="C155" s="1" t="n">
        <v>45784</v>
      </c>
      <c r="D155" t="inlineStr">
        <is>
          <t>JÄMTLANDS LÄN</t>
        </is>
      </c>
      <c r="E155" t="inlineStr">
        <is>
          <t>HÄRJEDALEN</t>
        </is>
      </c>
      <c r="G155" t="n">
        <v>17.8</v>
      </c>
      <c r="H155" t="n">
        <v>0</v>
      </c>
      <c r="I155" t="n">
        <v>0</v>
      </c>
      <c r="J155" t="n">
        <v>3</v>
      </c>
      <c r="K155" t="n">
        <v>0</v>
      </c>
      <c r="L155" t="n">
        <v>0</v>
      </c>
      <c r="M155" t="n">
        <v>0</v>
      </c>
      <c r="N155" t="n">
        <v>0</v>
      </c>
      <c r="O155" t="n">
        <v>3</v>
      </c>
      <c r="P155" t="n">
        <v>0</v>
      </c>
      <c r="Q155" t="n">
        <v>3</v>
      </c>
      <c r="R155" s="2" t="inlineStr">
        <is>
          <t>Dvärgbägarlav
Lunglav
Mörk kolflarnlav</t>
        </is>
      </c>
      <c r="S155">
        <f>HYPERLINK("https://klasma.github.io/Logging_232361/artfynd/A 18116-2025 artfynd.xlsx", "A 18116-2025")</f>
        <v/>
      </c>
      <c r="T155">
        <f>HYPERLINK("https://klasma.github.io/Logging_232361/kartor/A 18116-2025 karta.png", "A 18116-2025")</f>
        <v/>
      </c>
      <c r="V155">
        <f>HYPERLINK("https://klasma.github.io/Logging_232361/klagomål/A 18116-2025 FSC-klagomål.docx", "A 18116-2025")</f>
        <v/>
      </c>
      <c r="W155">
        <f>HYPERLINK("https://klasma.github.io/Logging_232361/klagomålsmail/A 18116-2025 FSC-klagomål mail.docx", "A 18116-2025")</f>
        <v/>
      </c>
      <c r="X155">
        <f>HYPERLINK("https://klasma.github.io/Logging_232361/tillsyn/A 18116-2025 tillsynsbegäran.docx", "A 18116-2025")</f>
        <v/>
      </c>
      <c r="Y155">
        <f>HYPERLINK("https://klasma.github.io/Logging_232361/tillsynsmail/A 18116-2025 tillsynsbegäran mail.docx", "A 18116-2025")</f>
        <v/>
      </c>
    </row>
    <row r="156" ht="15" customHeight="1">
      <c r="A156" t="inlineStr">
        <is>
          <t>A 28321-2019</t>
        </is>
      </c>
      <c r="B156" s="1" t="n">
        <v>43623</v>
      </c>
      <c r="C156" s="1" t="n">
        <v>45784</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45784</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45784</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45784</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45784</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45784</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45784</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45784</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45784</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45784</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45784</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45784</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45784</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45784</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45784</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45784</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45784</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45784</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45784</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45784</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45784</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45784</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45784</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45784</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45784</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45784</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45784</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45784</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45784</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45784</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45784</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45784</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45784</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45784</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45784</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45784</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45784</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45784</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45784</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45784</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45784</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45784</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45781-2019</t>
        </is>
      </c>
      <c r="B198" s="1" t="n">
        <v>43717</v>
      </c>
      <c r="C198" s="1" t="n">
        <v>45784</v>
      </c>
      <c r="D198" t="inlineStr">
        <is>
          <t>JÄMTLANDS LÄN</t>
        </is>
      </c>
      <c r="E198" t="inlineStr">
        <is>
          <t>HÄRJEDALEN</t>
        </is>
      </c>
      <c r="F198" t="inlineStr">
        <is>
          <t>Holmen skog AB</t>
        </is>
      </c>
      <c r="G198" t="n">
        <v>13.8</v>
      </c>
      <c r="H198" t="n">
        <v>0</v>
      </c>
      <c r="I198" t="n">
        <v>0</v>
      </c>
      <c r="J198" t="n">
        <v>1</v>
      </c>
      <c r="K198" t="n">
        <v>0</v>
      </c>
      <c r="L198" t="n">
        <v>0</v>
      </c>
      <c r="M198" t="n">
        <v>0</v>
      </c>
      <c r="N198" t="n">
        <v>0</v>
      </c>
      <c r="O198" t="n">
        <v>1</v>
      </c>
      <c r="P198" t="n">
        <v>0</v>
      </c>
      <c r="Q198" t="n">
        <v>1</v>
      </c>
      <c r="R198" s="2" t="inlineStr">
        <is>
          <t>Kolflarnlav</t>
        </is>
      </c>
      <c r="S198">
        <f>HYPERLINK("https://klasma.github.io/Logging_2361/artfynd/A 45781-2019 artfynd.xlsx", "A 45781-2019")</f>
        <v/>
      </c>
      <c r="T198">
        <f>HYPERLINK("https://klasma.github.io/Logging_2361/kartor/A 45781-2019 karta.png", "A 45781-2019")</f>
        <v/>
      </c>
      <c r="V198">
        <f>HYPERLINK("https://klasma.github.io/Logging_2361/klagomål/A 45781-2019 FSC-klagomål.docx", "A 45781-2019")</f>
        <v/>
      </c>
      <c r="W198">
        <f>HYPERLINK("https://klasma.github.io/Logging_2361/klagomålsmail/A 45781-2019 FSC-klagomål mail.docx", "A 45781-2019")</f>
        <v/>
      </c>
      <c r="X198">
        <f>HYPERLINK("https://klasma.github.io/Logging_2361/tillsyn/A 45781-2019 tillsynsbegäran.docx", "A 45781-2019")</f>
        <v/>
      </c>
      <c r="Y198">
        <f>HYPERLINK("https://klasma.github.io/Logging_2361/tillsynsmail/A 45781-2019 tillsynsbegäran mail.docx", "A 45781-2019")</f>
        <v/>
      </c>
    </row>
    <row r="199" ht="15" customHeight="1">
      <c r="A199" t="inlineStr">
        <is>
          <t>A 24898-2020</t>
        </is>
      </c>
      <c r="B199" s="1" t="n">
        <v>43979</v>
      </c>
      <c r="C199" s="1" t="n">
        <v>45784</v>
      </c>
      <c r="D199" t="inlineStr">
        <is>
          <t>JÄMTLANDS LÄN</t>
        </is>
      </c>
      <c r="E199" t="inlineStr">
        <is>
          <t>HÄRJEDALEN</t>
        </is>
      </c>
      <c r="F199" t="inlineStr">
        <is>
          <t>Sveaskog</t>
        </is>
      </c>
      <c r="G199" t="n">
        <v>2.9</v>
      </c>
      <c r="H199" t="n">
        <v>0</v>
      </c>
      <c r="I199" t="n">
        <v>0</v>
      </c>
      <c r="J199" t="n">
        <v>1</v>
      </c>
      <c r="K199" t="n">
        <v>0</v>
      </c>
      <c r="L199" t="n">
        <v>0</v>
      </c>
      <c r="M199" t="n">
        <v>0</v>
      </c>
      <c r="N199" t="n">
        <v>0</v>
      </c>
      <c r="O199" t="n">
        <v>1</v>
      </c>
      <c r="P199" t="n">
        <v>0</v>
      </c>
      <c r="Q199" t="n">
        <v>1</v>
      </c>
      <c r="R199" s="2" t="inlineStr">
        <is>
          <t>Brunklöver</t>
        </is>
      </c>
      <c r="S199">
        <f>HYPERLINK("https://klasma.github.io/Logging_2361/artfynd/A 24898-2020 artfynd.xlsx", "A 24898-2020")</f>
        <v/>
      </c>
      <c r="T199">
        <f>HYPERLINK("https://klasma.github.io/Logging_2361/kartor/A 24898-2020 karta.png", "A 24898-2020")</f>
        <v/>
      </c>
      <c r="V199">
        <f>HYPERLINK("https://klasma.github.io/Logging_2361/klagomål/A 24898-2020 FSC-klagomål.docx", "A 24898-2020")</f>
        <v/>
      </c>
      <c r="W199">
        <f>HYPERLINK("https://klasma.github.io/Logging_2361/klagomålsmail/A 24898-2020 FSC-klagomål mail.docx", "A 24898-2020")</f>
        <v/>
      </c>
      <c r="X199">
        <f>HYPERLINK("https://klasma.github.io/Logging_2361/tillsyn/A 24898-2020 tillsynsbegäran.docx", "A 24898-2020")</f>
        <v/>
      </c>
      <c r="Y199">
        <f>HYPERLINK("https://klasma.github.io/Logging_2361/tillsynsmail/A 24898-2020 tillsynsbegäran mail.docx", "A 24898-2020")</f>
        <v/>
      </c>
    </row>
    <row r="200" ht="15" customHeight="1">
      <c r="A200" t="inlineStr">
        <is>
          <t>A 36954-2020</t>
        </is>
      </c>
      <c r="B200" s="1" t="n">
        <v>44053</v>
      </c>
      <c r="C200" s="1" t="n">
        <v>45784</v>
      </c>
      <c r="D200" t="inlineStr">
        <is>
          <t>JÄMTLANDS LÄN</t>
        </is>
      </c>
      <c r="E200" t="inlineStr">
        <is>
          <t>HÄRJEDALEN</t>
        </is>
      </c>
      <c r="F200" t="inlineStr">
        <is>
          <t>SCA</t>
        </is>
      </c>
      <c r="G200" t="n">
        <v>38.7</v>
      </c>
      <c r="H200" t="n">
        <v>0</v>
      </c>
      <c r="I200" t="n">
        <v>0</v>
      </c>
      <c r="J200" t="n">
        <v>1</v>
      </c>
      <c r="K200" t="n">
        <v>0</v>
      </c>
      <c r="L200" t="n">
        <v>0</v>
      </c>
      <c r="M200" t="n">
        <v>0</v>
      </c>
      <c r="N200" t="n">
        <v>0</v>
      </c>
      <c r="O200" t="n">
        <v>1</v>
      </c>
      <c r="P200" t="n">
        <v>0</v>
      </c>
      <c r="Q200" t="n">
        <v>1</v>
      </c>
      <c r="R200" s="2" t="inlineStr">
        <is>
          <t>Reliktbock</t>
        </is>
      </c>
      <c r="S200">
        <f>HYPERLINK("https://klasma.github.io/Logging_2361/artfynd/A 36954-2020 artfynd.xlsx", "A 36954-2020")</f>
        <v/>
      </c>
      <c r="T200">
        <f>HYPERLINK("https://klasma.github.io/Logging_2361/kartor/A 36954-2020 karta.png", "A 36954-2020")</f>
        <v/>
      </c>
      <c r="V200">
        <f>HYPERLINK("https://klasma.github.io/Logging_2361/klagomål/A 36954-2020 FSC-klagomål.docx", "A 36954-2020")</f>
        <v/>
      </c>
      <c r="W200">
        <f>HYPERLINK("https://klasma.github.io/Logging_2361/klagomålsmail/A 36954-2020 FSC-klagomål mail.docx", "A 36954-2020")</f>
        <v/>
      </c>
      <c r="X200">
        <f>HYPERLINK("https://klasma.github.io/Logging_2361/tillsyn/A 36954-2020 tillsynsbegäran.docx", "A 36954-2020")</f>
        <v/>
      </c>
      <c r="Y200">
        <f>HYPERLINK("https://klasma.github.io/Logging_2361/tillsynsmail/A 36954-2020 tillsynsbegäran mail.docx", "A 36954-2020")</f>
        <v/>
      </c>
    </row>
    <row r="201" ht="15" customHeight="1">
      <c r="A201" t="inlineStr">
        <is>
          <t>A 47685-2020</t>
        </is>
      </c>
      <c r="B201" s="1" t="n">
        <v>44096</v>
      </c>
      <c r="C201" s="1" t="n">
        <v>45784</v>
      </c>
      <c r="D201" t="inlineStr">
        <is>
          <t>JÄMTLANDS LÄN</t>
        </is>
      </c>
      <c r="E201" t="inlineStr">
        <is>
          <t>HÄRJEDALEN</t>
        </is>
      </c>
      <c r="F201" t="inlineStr">
        <is>
          <t>Sveaskog</t>
        </is>
      </c>
      <c r="G201" t="n">
        <v>2.3</v>
      </c>
      <c r="H201" t="n">
        <v>0</v>
      </c>
      <c r="I201" t="n">
        <v>0</v>
      </c>
      <c r="J201" t="n">
        <v>1</v>
      </c>
      <c r="K201" t="n">
        <v>0</v>
      </c>
      <c r="L201" t="n">
        <v>0</v>
      </c>
      <c r="M201" t="n">
        <v>0</v>
      </c>
      <c r="N201" t="n">
        <v>0</v>
      </c>
      <c r="O201" t="n">
        <v>1</v>
      </c>
      <c r="P201" t="n">
        <v>0</v>
      </c>
      <c r="Q201" t="n">
        <v>1</v>
      </c>
      <c r="R201" s="2" t="inlineStr">
        <is>
          <t>Lunglav</t>
        </is>
      </c>
      <c r="S201">
        <f>HYPERLINK("https://klasma.github.io/Logging_2361/artfynd/A 47685-2020 artfynd.xlsx", "A 47685-2020")</f>
        <v/>
      </c>
      <c r="T201">
        <f>HYPERLINK("https://klasma.github.io/Logging_2361/kartor/A 47685-2020 karta.png", "A 47685-2020")</f>
        <v/>
      </c>
      <c r="V201">
        <f>HYPERLINK("https://klasma.github.io/Logging_2361/klagomål/A 47685-2020 FSC-klagomål.docx", "A 47685-2020")</f>
        <v/>
      </c>
      <c r="W201">
        <f>HYPERLINK("https://klasma.github.io/Logging_2361/klagomålsmail/A 47685-2020 FSC-klagomål mail.docx", "A 47685-2020")</f>
        <v/>
      </c>
      <c r="X201">
        <f>HYPERLINK("https://klasma.github.io/Logging_2361/tillsyn/A 47685-2020 tillsynsbegäran.docx", "A 47685-2020")</f>
        <v/>
      </c>
      <c r="Y201">
        <f>HYPERLINK("https://klasma.github.io/Logging_2361/tillsynsmail/A 47685-2020 tillsynsbegäran mail.docx", "A 47685-2020")</f>
        <v/>
      </c>
    </row>
    <row r="202" ht="15" customHeight="1">
      <c r="A202" t="inlineStr">
        <is>
          <t>A 49246-2020</t>
        </is>
      </c>
      <c r="B202" s="1" t="n">
        <v>44105</v>
      </c>
      <c r="C202" s="1" t="n">
        <v>45784</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HYPERLINK("https://klasma.github.io/Logging_2361/artfynd/A 49246-2020 artfynd.xlsx", "A 49246-2020")</f>
        <v/>
      </c>
      <c r="T202">
        <f>HYPERLINK("https://klasma.github.io/Logging_2361/kartor/A 49246-2020 karta.png", "A 49246-2020")</f>
        <v/>
      </c>
      <c r="V202">
        <f>HYPERLINK("https://klasma.github.io/Logging_2361/klagomål/A 49246-2020 FSC-klagomål.docx", "A 49246-2020")</f>
        <v/>
      </c>
      <c r="W202">
        <f>HYPERLINK("https://klasma.github.io/Logging_2361/klagomålsmail/A 49246-2020 FSC-klagomål mail.docx", "A 49246-2020")</f>
        <v/>
      </c>
      <c r="X202">
        <f>HYPERLINK("https://klasma.github.io/Logging_2361/tillsyn/A 49246-2020 tillsynsbegäran.docx", "A 49246-2020")</f>
        <v/>
      </c>
      <c r="Y202">
        <f>HYPERLINK("https://klasma.github.io/Logging_2361/tillsynsmail/A 49246-2020 tillsynsbegäran mail.docx", "A 49246-2020")</f>
        <v/>
      </c>
    </row>
    <row r="203" ht="15" customHeight="1">
      <c r="A203" t="inlineStr">
        <is>
          <t>A 51387-2020</t>
        </is>
      </c>
      <c r="B203" s="1" t="n">
        <v>44113</v>
      </c>
      <c r="C203" s="1" t="n">
        <v>45784</v>
      </c>
      <c r="D203" t="inlineStr">
        <is>
          <t>JÄMTLANDS LÄN</t>
        </is>
      </c>
      <c r="E203" t="inlineStr">
        <is>
          <t>HÄRJEDALEN</t>
        </is>
      </c>
      <c r="G203" t="n">
        <v>1</v>
      </c>
      <c r="H203" t="n">
        <v>0</v>
      </c>
      <c r="I203" t="n">
        <v>0</v>
      </c>
      <c r="J203" t="n">
        <v>0</v>
      </c>
      <c r="K203" t="n">
        <v>1</v>
      </c>
      <c r="L203" t="n">
        <v>0</v>
      </c>
      <c r="M203" t="n">
        <v>0</v>
      </c>
      <c r="N203" t="n">
        <v>0</v>
      </c>
      <c r="O203" t="n">
        <v>1</v>
      </c>
      <c r="P203" t="n">
        <v>1</v>
      </c>
      <c r="Q203" t="n">
        <v>1</v>
      </c>
      <c r="R203" s="2" t="inlineStr">
        <is>
          <t>Goliatmusseron</t>
        </is>
      </c>
      <c r="S203">
        <f>HYPERLINK("https://klasma.github.io/Logging_2361/artfynd/A 51387-2020 artfynd.xlsx", "A 51387-2020")</f>
        <v/>
      </c>
      <c r="T203">
        <f>HYPERLINK("https://klasma.github.io/Logging_2361/kartor/A 51387-2020 karta.png", "A 51387-2020")</f>
        <v/>
      </c>
      <c r="V203">
        <f>HYPERLINK("https://klasma.github.io/Logging_2361/klagomål/A 51387-2020 FSC-klagomål.docx", "A 51387-2020")</f>
        <v/>
      </c>
      <c r="W203">
        <f>HYPERLINK("https://klasma.github.io/Logging_2361/klagomålsmail/A 51387-2020 FSC-klagomål mail.docx", "A 51387-2020")</f>
        <v/>
      </c>
      <c r="X203">
        <f>HYPERLINK("https://klasma.github.io/Logging_2361/tillsyn/A 51387-2020 tillsynsbegäran.docx", "A 51387-2020")</f>
        <v/>
      </c>
      <c r="Y203">
        <f>HYPERLINK("https://klasma.github.io/Logging_2361/tillsynsmail/A 51387-2020 tillsynsbegäran mail.docx", "A 51387-2020")</f>
        <v/>
      </c>
    </row>
    <row r="204" ht="15" customHeight="1">
      <c r="A204" t="inlineStr">
        <is>
          <t>A 21572-2021</t>
        </is>
      </c>
      <c r="B204" s="1" t="n">
        <v>44321</v>
      </c>
      <c r="C204" s="1" t="n">
        <v>45784</v>
      </c>
      <c r="D204" t="inlineStr">
        <is>
          <t>JÄMTLANDS LÄN</t>
        </is>
      </c>
      <c r="E204" t="inlineStr">
        <is>
          <t>HÄRJEDALEN</t>
        </is>
      </c>
      <c r="F204" t="inlineStr">
        <is>
          <t>Holmen skog AB</t>
        </is>
      </c>
      <c r="G204" t="n">
        <v>29</v>
      </c>
      <c r="H204" t="n">
        <v>0</v>
      </c>
      <c r="I204" t="n">
        <v>0</v>
      </c>
      <c r="J204" t="n">
        <v>1</v>
      </c>
      <c r="K204" t="n">
        <v>0</v>
      </c>
      <c r="L204" t="n">
        <v>0</v>
      </c>
      <c r="M204" t="n">
        <v>0</v>
      </c>
      <c r="N204" t="n">
        <v>0</v>
      </c>
      <c r="O204" t="n">
        <v>1</v>
      </c>
      <c r="P204" t="n">
        <v>0</v>
      </c>
      <c r="Q204" t="n">
        <v>1</v>
      </c>
      <c r="R204" s="2" t="inlineStr">
        <is>
          <t>Skrovlig taggsvamp</t>
        </is>
      </c>
      <c r="S204">
        <f>HYPERLINK("https://klasma.github.io/Logging_2361/artfynd/A 21572-2021 artfynd.xlsx", "A 21572-2021")</f>
        <v/>
      </c>
      <c r="T204">
        <f>HYPERLINK("https://klasma.github.io/Logging_2361/kartor/A 21572-2021 karta.png", "A 21572-2021")</f>
        <v/>
      </c>
      <c r="V204">
        <f>HYPERLINK("https://klasma.github.io/Logging_2361/klagomål/A 21572-2021 FSC-klagomål.docx", "A 21572-2021")</f>
        <v/>
      </c>
      <c r="W204">
        <f>HYPERLINK("https://klasma.github.io/Logging_2361/klagomålsmail/A 21572-2021 FSC-klagomål mail.docx", "A 21572-2021")</f>
        <v/>
      </c>
      <c r="X204">
        <f>HYPERLINK("https://klasma.github.io/Logging_2361/tillsyn/A 21572-2021 tillsynsbegäran.docx", "A 21572-2021")</f>
        <v/>
      </c>
      <c r="Y204">
        <f>HYPERLINK("https://klasma.github.io/Logging_2361/tillsynsmail/A 21572-2021 tillsynsbegäran mail.docx", "A 21572-2021")</f>
        <v/>
      </c>
    </row>
    <row r="205" ht="15" customHeight="1">
      <c r="A205" t="inlineStr">
        <is>
          <t>A 55223-2021</t>
        </is>
      </c>
      <c r="B205" s="1" t="n">
        <v>44475</v>
      </c>
      <c r="C205" s="1" t="n">
        <v>45784</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55222-2021</t>
        </is>
      </c>
      <c r="B206" s="1" t="n">
        <v>44475</v>
      </c>
      <c r="C206" s="1" t="n">
        <v>45784</v>
      </c>
      <c r="D206" t="inlineStr">
        <is>
          <t>JÄMTLANDS LÄN</t>
        </is>
      </c>
      <c r="E206" t="inlineStr">
        <is>
          <t>HÄRJEDALEN</t>
        </is>
      </c>
      <c r="G206" t="n">
        <v>1.1</v>
      </c>
      <c r="H206" t="n">
        <v>1</v>
      </c>
      <c r="I206" t="n">
        <v>0</v>
      </c>
      <c r="J206" t="n">
        <v>1</v>
      </c>
      <c r="K206" t="n">
        <v>0</v>
      </c>
      <c r="L206" t="n">
        <v>0</v>
      </c>
      <c r="M206" t="n">
        <v>0</v>
      </c>
      <c r="N206" t="n">
        <v>0</v>
      </c>
      <c r="O206" t="n">
        <v>1</v>
      </c>
      <c r="P206" t="n">
        <v>0</v>
      </c>
      <c r="Q206" t="n">
        <v>1</v>
      </c>
      <c r="R206" s="2" t="inlineStr">
        <is>
          <t>Varglav</t>
        </is>
      </c>
      <c r="S206">
        <f>HYPERLINK("https://klasma.github.io/Logging_2361/artfynd/A 55222-2021 artfynd.xlsx", "A 55222-2021")</f>
        <v/>
      </c>
      <c r="T206">
        <f>HYPERLINK("https://klasma.github.io/Logging_2361/kartor/A 55222-2021 karta.png", "A 55222-2021")</f>
        <v/>
      </c>
      <c r="V206">
        <f>HYPERLINK("https://klasma.github.io/Logging_2361/klagomål/A 55222-2021 FSC-klagomål.docx", "A 55222-2021")</f>
        <v/>
      </c>
      <c r="W206">
        <f>HYPERLINK("https://klasma.github.io/Logging_2361/klagomålsmail/A 55222-2021 FSC-klagomål mail.docx", "A 55222-2021")</f>
        <v/>
      </c>
      <c r="X206">
        <f>HYPERLINK("https://klasma.github.io/Logging_2361/tillsyn/A 55222-2021 tillsynsbegäran.docx", "A 55222-2021")</f>
        <v/>
      </c>
      <c r="Y206">
        <f>HYPERLINK("https://klasma.github.io/Logging_2361/tillsynsmail/A 55222-2021 tillsynsbegäran mail.docx", "A 55222-2021")</f>
        <v/>
      </c>
    </row>
    <row r="207" ht="15" customHeight="1">
      <c r="A207" t="inlineStr">
        <is>
          <t>A 55221-2021</t>
        </is>
      </c>
      <c r="B207" s="1" t="n">
        <v>44475</v>
      </c>
      <c r="C207" s="1" t="n">
        <v>45784</v>
      </c>
      <c r="D207" t="inlineStr">
        <is>
          <t>JÄMTLANDS LÄN</t>
        </is>
      </c>
      <c r="E207" t="inlineStr">
        <is>
          <t>HÄRJEDALEN</t>
        </is>
      </c>
      <c r="G207" t="n">
        <v>0.2</v>
      </c>
      <c r="H207" t="n">
        <v>1</v>
      </c>
      <c r="I207" t="n">
        <v>0</v>
      </c>
      <c r="J207" t="n">
        <v>1</v>
      </c>
      <c r="K207" t="n">
        <v>0</v>
      </c>
      <c r="L207" t="n">
        <v>0</v>
      </c>
      <c r="M207" t="n">
        <v>0</v>
      </c>
      <c r="N207" t="n">
        <v>0</v>
      </c>
      <c r="O207" t="n">
        <v>1</v>
      </c>
      <c r="P207" t="n">
        <v>0</v>
      </c>
      <c r="Q207" t="n">
        <v>1</v>
      </c>
      <c r="R207" s="2" t="inlineStr">
        <is>
          <t>Varglav</t>
        </is>
      </c>
      <c r="S207">
        <f>HYPERLINK("https://klasma.github.io/Logging_2361/artfynd/A 55221-2021 artfynd.xlsx", "A 55221-2021")</f>
        <v/>
      </c>
      <c r="T207">
        <f>HYPERLINK("https://klasma.github.io/Logging_2361/kartor/A 55221-2021 karta.png", "A 55221-2021")</f>
        <v/>
      </c>
      <c r="V207">
        <f>HYPERLINK("https://klasma.github.io/Logging_2361/klagomål/A 55221-2021 FSC-klagomål.docx", "A 55221-2021")</f>
        <v/>
      </c>
      <c r="W207">
        <f>HYPERLINK("https://klasma.github.io/Logging_2361/klagomålsmail/A 55221-2021 FSC-klagomål mail.docx", "A 55221-2021")</f>
        <v/>
      </c>
      <c r="X207">
        <f>HYPERLINK("https://klasma.github.io/Logging_2361/tillsyn/A 55221-2021 tillsynsbegäran.docx", "A 55221-2021")</f>
        <v/>
      </c>
      <c r="Y207">
        <f>HYPERLINK("https://klasma.github.io/Logging_2361/tillsynsmail/A 55221-2021 tillsynsbegäran mail.docx", "A 55221-2021")</f>
        <v/>
      </c>
    </row>
    <row r="208" ht="15" customHeight="1">
      <c r="A208" t="inlineStr">
        <is>
          <t>A 55245-2021</t>
        </is>
      </c>
      <c r="B208" s="1" t="n">
        <v>44475</v>
      </c>
      <c r="C208" s="1" t="n">
        <v>45784</v>
      </c>
      <c r="D208" t="inlineStr">
        <is>
          <t>JÄMTLANDS LÄN</t>
        </is>
      </c>
      <c r="E208" t="inlineStr">
        <is>
          <t>HÄRJEDALEN</t>
        </is>
      </c>
      <c r="G208" t="n">
        <v>5.1</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55245-2021 artfynd.xlsx", "A 55245-2021")</f>
        <v/>
      </c>
      <c r="T208">
        <f>HYPERLINK("https://klasma.github.io/Logging_2361/kartor/A 55245-2021 karta.png", "A 55245-2021")</f>
        <v/>
      </c>
      <c r="V208">
        <f>HYPERLINK("https://klasma.github.io/Logging_2361/klagomål/A 55245-2021 FSC-klagomål.docx", "A 55245-2021")</f>
        <v/>
      </c>
      <c r="W208">
        <f>HYPERLINK("https://klasma.github.io/Logging_2361/klagomålsmail/A 55245-2021 FSC-klagomål mail.docx", "A 55245-2021")</f>
        <v/>
      </c>
      <c r="X208">
        <f>HYPERLINK("https://klasma.github.io/Logging_2361/tillsyn/A 55245-2021 tillsynsbegäran.docx", "A 55245-2021")</f>
        <v/>
      </c>
      <c r="Y208">
        <f>HYPERLINK("https://klasma.github.io/Logging_2361/tillsynsmail/A 55245-2021 tillsynsbegäran mail.docx", "A 55245-2021")</f>
        <v/>
      </c>
    </row>
    <row r="209" ht="15" customHeight="1">
      <c r="A209" t="inlineStr">
        <is>
          <t>A 13982-2022</t>
        </is>
      </c>
      <c r="B209" s="1" t="n">
        <v>44650</v>
      </c>
      <c r="C209" s="1" t="n">
        <v>45784</v>
      </c>
      <c r="D209" t="inlineStr">
        <is>
          <t>JÄMTLANDS LÄN</t>
        </is>
      </c>
      <c r="E209" t="inlineStr">
        <is>
          <t>HÄRJEDALEN</t>
        </is>
      </c>
      <c r="F209" t="inlineStr">
        <is>
          <t>Holmen skog AB</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HYPERLINK("https://klasma.github.io/Logging_2361/artfynd/A 13982-2022 artfynd.xlsx", "A 13982-2022")</f>
        <v/>
      </c>
      <c r="T209">
        <f>HYPERLINK("https://klasma.github.io/Logging_2361/kartor/A 13982-2022 karta.png", "A 13982-2022")</f>
        <v/>
      </c>
      <c r="V209">
        <f>HYPERLINK("https://klasma.github.io/Logging_2361/klagomål/A 13982-2022 FSC-klagomål.docx", "A 13982-2022")</f>
        <v/>
      </c>
      <c r="W209">
        <f>HYPERLINK("https://klasma.github.io/Logging_2361/klagomålsmail/A 13982-2022 FSC-klagomål mail.docx", "A 13982-2022")</f>
        <v/>
      </c>
      <c r="X209">
        <f>HYPERLINK("https://klasma.github.io/Logging_2361/tillsyn/A 13982-2022 tillsynsbegäran.docx", "A 13982-2022")</f>
        <v/>
      </c>
      <c r="Y209">
        <f>HYPERLINK("https://klasma.github.io/Logging_2361/tillsynsmail/A 13982-2022 tillsynsbegäran mail.docx", "A 13982-2022")</f>
        <v/>
      </c>
    </row>
    <row r="210" ht="15" customHeight="1">
      <c r="A210" t="inlineStr">
        <is>
          <t>A 15360-2022</t>
        </is>
      </c>
      <c r="B210" s="1" t="n">
        <v>44659</v>
      </c>
      <c r="C210" s="1" t="n">
        <v>45784</v>
      </c>
      <c r="D210" t="inlineStr">
        <is>
          <t>JÄMTLANDS LÄN</t>
        </is>
      </c>
      <c r="E210" t="inlineStr">
        <is>
          <t>HÄRJEDALEN</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15360-2022 artfynd.xlsx", "A 15360-2022")</f>
        <v/>
      </c>
      <c r="T210">
        <f>HYPERLINK("https://klasma.github.io/Logging_2361/kartor/A 15360-2022 karta.png", "A 15360-2022")</f>
        <v/>
      </c>
      <c r="V210">
        <f>HYPERLINK("https://klasma.github.io/Logging_2361/klagomål/A 15360-2022 FSC-klagomål.docx", "A 15360-2022")</f>
        <v/>
      </c>
      <c r="W210">
        <f>HYPERLINK("https://klasma.github.io/Logging_2361/klagomålsmail/A 15360-2022 FSC-klagomål mail.docx", "A 15360-2022")</f>
        <v/>
      </c>
      <c r="X210">
        <f>HYPERLINK("https://klasma.github.io/Logging_2361/tillsyn/A 15360-2022 tillsynsbegäran.docx", "A 15360-2022")</f>
        <v/>
      </c>
      <c r="Y210">
        <f>HYPERLINK("https://klasma.github.io/Logging_2361/tillsynsmail/A 15360-2022 tillsynsbegäran mail.docx", "A 15360-2022")</f>
        <v/>
      </c>
    </row>
    <row r="211" ht="15" customHeight="1">
      <c r="A211" t="inlineStr">
        <is>
          <t>A 31061-2022</t>
        </is>
      </c>
      <c r="B211" s="1" t="n">
        <v>44769</v>
      </c>
      <c r="C211" s="1" t="n">
        <v>45784</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42214-2022</t>
        </is>
      </c>
      <c r="B212" s="1" t="n">
        <v>44830</v>
      </c>
      <c r="C212" s="1" t="n">
        <v>45784</v>
      </c>
      <c r="D212" t="inlineStr">
        <is>
          <t>JÄMTLANDS LÄN</t>
        </is>
      </c>
      <c r="E212" t="inlineStr">
        <is>
          <t>HÄRJEDALEN</t>
        </is>
      </c>
      <c r="F212" t="inlineStr">
        <is>
          <t>Sveaskog</t>
        </is>
      </c>
      <c r="G212" t="n">
        <v>8.800000000000001</v>
      </c>
      <c r="H212" t="n">
        <v>0</v>
      </c>
      <c r="I212" t="n">
        <v>0</v>
      </c>
      <c r="J212" t="n">
        <v>0</v>
      </c>
      <c r="K212" t="n">
        <v>1</v>
      </c>
      <c r="L212" t="n">
        <v>0</v>
      </c>
      <c r="M212" t="n">
        <v>0</v>
      </c>
      <c r="N212" t="n">
        <v>0</v>
      </c>
      <c r="O212" t="n">
        <v>1</v>
      </c>
      <c r="P212" t="n">
        <v>1</v>
      </c>
      <c r="Q212" t="n">
        <v>1</v>
      </c>
      <c r="R212" s="2" t="inlineStr">
        <is>
          <t>Rynkskinn</t>
        </is>
      </c>
      <c r="S212">
        <f>HYPERLINK("https://klasma.github.io/Logging_2361/artfynd/A 42214-2022 artfynd.xlsx", "A 42214-2022")</f>
        <v/>
      </c>
      <c r="T212">
        <f>HYPERLINK("https://klasma.github.io/Logging_2361/kartor/A 42214-2022 karta.png", "A 42214-2022")</f>
        <v/>
      </c>
      <c r="V212">
        <f>HYPERLINK("https://klasma.github.io/Logging_2361/klagomål/A 42214-2022 FSC-klagomål.docx", "A 42214-2022")</f>
        <v/>
      </c>
      <c r="W212">
        <f>HYPERLINK("https://klasma.github.io/Logging_2361/klagomålsmail/A 42214-2022 FSC-klagomål mail.docx", "A 42214-2022")</f>
        <v/>
      </c>
      <c r="X212">
        <f>HYPERLINK("https://klasma.github.io/Logging_2361/tillsyn/A 42214-2022 tillsynsbegäran.docx", "A 42214-2022")</f>
        <v/>
      </c>
      <c r="Y212">
        <f>HYPERLINK("https://klasma.github.io/Logging_2361/tillsynsmail/A 42214-2022 tillsynsbegäran mail.docx", "A 42214-2022")</f>
        <v/>
      </c>
    </row>
    <row r="213" ht="15" customHeight="1">
      <c r="A213" t="inlineStr">
        <is>
          <t>A 52328-2022</t>
        </is>
      </c>
      <c r="B213" s="1" t="n">
        <v>44873</v>
      </c>
      <c r="C213" s="1" t="n">
        <v>45784</v>
      </c>
      <c r="D213" t="inlineStr">
        <is>
          <t>JÄMTLANDS LÄN</t>
        </is>
      </c>
      <c r="E213" t="inlineStr">
        <is>
          <t>HÄRJEDALEN</t>
        </is>
      </c>
      <c r="G213" t="n">
        <v>30.5</v>
      </c>
      <c r="H213" t="n">
        <v>0</v>
      </c>
      <c r="I213" t="n">
        <v>0</v>
      </c>
      <c r="J213" t="n">
        <v>1</v>
      </c>
      <c r="K213" t="n">
        <v>0</v>
      </c>
      <c r="L213" t="n">
        <v>0</v>
      </c>
      <c r="M213" t="n">
        <v>0</v>
      </c>
      <c r="N213" t="n">
        <v>0</v>
      </c>
      <c r="O213" t="n">
        <v>1</v>
      </c>
      <c r="P213" t="n">
        <v>0</v>
      </c>
      <c r="Q213" t="n">
        <v>1</v>
      </c>
      <c r="R213" s="2" t="inlineStr">
        <is>
          <t>Stjärntagging</t>
        </is>
      </c>
      <c r="S213">
        <f>HYPERLINK("https://klasma.github.io/Logging_2361/artfynd/A 52328-2022 artfynd.xlsx", "A 52328-2022")</f>
        <v/>
      </c>
      <c r="T213">
        <f>HYPERLINK("https://klasma.github.io/Logging_2361/kartor/A 52328-2022 karta.png", "A 52328-2022")</f>
        <v/>
      </c>
      <c r="V213">
        <f>HYPERLINK("https://klasma.github.io/Logging_2361/klagomål/A 52328-2022 FSC-klagomål.docx", "A 52328-2022")</f>
        <v/>
      </c>
      <c r="W213">
        <f>HYPERLINK("https://klasma.github.io/Logging_2361/klagomålsmail/A 52328-2022 FSC-klagomål mail.docx", "A 52328-2022")</f>
        <v/>
      </c>
      <c r="X213">
        <f>HYPERLINK("https://klasma.github.io/Logging_2361/tillsyn/A 52328-2022 tillsynsbegäran.docx", "A 52328-2022")</f>
        <v/>
      </c>
      <c r="Y213">
        <f>HYPERLINK("https://klasma.github.io/Logging_2361/tillsynsmail/A 52328-2022 tillsynsbegäran mail.docx", "A 52328-2022")</f>
        <v/>
      </c>
    </row>
    <row r="214" ht="15" customHeight="1">
      <c r="A214" t="inlineStr">
        <is>
          <t>A 56084-2022</t>
        </is>
      </c>
      <c r="B214" s="1" t="n">
        <v>44886</v>
      </c>
      <c r="C214" s="1" t="n">
        <v>45784</v>
      </c>
      <c r="D214" t="inlineStr">
        <is>
          <t>JÄMTLANDS LÄN</t>
        </is>
      </c>
      <c r="E214" t="inlineStr">
        <is>
          <t>HÄRJEDALEN</t>
        </is>
      </c>
      <c r="F214" t="inlineStr">
        <is>
          <t>Övriga statliga verk och myndigheter</t>
        </is>
      </c>
      <c r="G214" t="n">
        <v>18.6</v>
      </c>
      <c r="H214" t="n">
        <v>0</v>
      </c>
      <c r="I214" t="n">
        <v>0</v>
      </c>
      <c r="J214" t="n">
        <v>1</v>
      </c>
      <c r="K214" t="n">
        <v>0</v>
      </c>
      <c r="L214" t="n">
        <v>0</v>
      </c>
      <c r="M214" t="n">
        <v>0</v>
      </c>
      <c r="N214" t="n">
        <v>0</v>
      </c>
      <c r="O214" t="n">
        <v>1</v>
      </c>
      <c r="P214" t="n">
        <v>0</v>
      </c>
      <c r="Q214" t="n">
        <v>1</v>
      </c>
      <c r="R214" s="2" t="inlineStr">
        <is>
          <t>Dvärgbägarlav</t>
        </is>
      </c>
      <c r="S214">
        <f>HYPERLINK("https://klasma.github.io/Logging_2361/artfynd/A 56084-2022 artfynd.xlsx", "A 56084-2022")</f>
        <v/>
      </c>
      <c r="T214">
        <f>HYPERLINK("https://klasma.github.io/Logging_2361/kartor/A 56084-2022 karta.png", "A 56084-2022")</f>
        <v/>
      </c>
      <c r="V214">
        <f>HYPERLINK("https://klasma.github.io/Logging_2361/klagomål/A 56084-2022 FSC-klagomål.docx", "A 56084-2022")</f>
        <v/>
      </c>
      <c r="W214">
        <f>HYPERLINK("https://klasma.github.io/Logging_2361/klagomålsmail/A 56084-2022 FSC-klagomål mail.docx", "A 56084-2022")</f>
        <v/>
      </c>
      <c r="X214">
        <f>HYPERLINK("https://klasma.github.io/Logging_2361/tillsyn/A 56084-2022 tillsynsbegäran.docx", "A 56084-2022")</f>
        <v/>
      </c>
      <c r="Y214">
        <f>HYPERLINK("https://klasma.github.io/Logging_2361/tillsynsmail/A 56084-2022 tillsynsbegäran mail.docx", "A 56084-2022")</f>
        <v/>
      </c>
    </row>
    <row r="215" ht="15" customHeight="1">
      <c r="A215" t="inlineStr">
        <is>
          <t>A 184-2023</t>
        </is>
      </c>
      <c r="B215" s="1" t="n">
        <v>44928</v>
      </c>
      <c r="C215" s="1" t="n">
        <v>45784</v>
      </c>
      <c r="D215" t="inlineStr">
        <is>
          <t>JÄMTLANDS LÄN</t>
        </is>
      </c>
      <c r="E215" t="inlineStr">
        <is>
          <t>HÄRJEDALEN</t>
        </is>
      </c>
      <c r="F215" t="inlineStr">
        <is>
          <t>Holmen skog AB</t>
        </is>
      </c>
      <c r="G215" t="n">
        <v>7.8</v>
      </c>
      <c r="H215" t="n">
        <v>1</v>
      </c>
      <c r="I215" t="n">
        <v>1</v>
      </c>
      <c r="J215" t="n">
        <v>0</v>
      </c>
      <c r="K215" t="n">
        <v>0</v>
      </c>
      <c r="L215" t="n">
        <v>0</v>
      </c>
      <c r="M215" t="n">
        <v>0</v>
      </c>
      <c r="N215" t="n">
        <v>0</v>
      </c>
      <c r="O215" t="n">
        <v>0</v>
      </c>
      <c r="P215" t="n">
        <v>0</v>
      </c>
      <c r="Q215" t="n">
        <v>1</v>
      </c>
      <c r="R215" s="2" t="inlineStr">
        <is>
          <t>Spindelblomster</t>
        </is>
      </c>
      <c r="S215">
        <f>HYPERLINK("https://klasma.github.io/Logging_2361/artfynd/A 184-2023 artfynd.xlsx", "A 184-2023")</f>
        <v/>
      </c>
      <c r="T215">
        <f>HYPERLINK("https://klasma.github.io/Logging_2361/kartor/A 184-2023 karta.png", "A 184-2023")</f>
        <v/>
      </c>
      <c r="U215">
        <f>HYPERLINK("https://klasma.github.io/Logging_2361/knärot/A 184-2023 karta knärot.png", "A 184-2023")</f>
        <v/>
      </c>
      <c r="V215">
        <f>HYPERLINK("https://klasma.github.io/Logging_2361/klagomål/A 184-2023 FSC-klagomål.docx", "A 184-2023")</f>
        <v/>
      </c>
      <c r="W215">
        <f>HYPERLINK("https://klasma.github.io/Logging_2361/klagomålsmail/A 184-2023 FSC-klagomål mail.docx", "A 184-2023")</f>
        <v/>
      </c>
      <c r="X215">
        <f>HYPERLINK("https://klasma.github.io/Logging_2361/tillsyn/A 184-2023 tillsynsbegäran.docx", "A 184-2023")</f>
        <v/>
      </c>
      <c r="Y215">
        <f>HYPERLINK("https://klasma.github.io/Logging_2361/tillsynsmail/A 184-2023 tillsynsbegäran mail.docx", "A 184-2023")</f>
        <v/>
      </c>
    </row>
    <row r="216" ht="15" customHeight="1">
      <c r="A216" t="inlineStr">
        <is>
          <t>A 30330-2023</t>
        </is>
      </c>
      <c r="B216" s="1" t="n">
        <v>45111</v>
      </c>
      <c r="C216" s="1" t="n">
        <v>45784</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39524-2023</t>
        </is>
      </c>
      <c r="B217" s="1" t="n">
        <v>45167</v>
      </c>
      <c r="C217" s="1" t="n">
        <v>45784</v>
      </c>
      <c r="D217" t="inlineStr">
        <is>
          <t>JÄMTLANDS LÄN</t>
        </is>
      </c>
      <c r="E217" t="inlineStr">
        <is>
          <t>HÄRJEDALEN</t>
        </is>
      </c>
      <c r="F217" t="inlineStr">
        <is>
          <t>Bergvik skog väst AB</t>
        </is>
      </c>
      <c r="G217" t="n">
        <v>4.1</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39524-2023 artfynd.xlsx", "A 39524-2023")</f>
        <v/>
      </c>
      <c r="T217">
        <f>HYPERLINK("https://klasma.github.io/Logging_2361/kartor/A 39524-2023 karta.png", "A 39524-2023")</f>
        <v/>
      </c>
      <c r="V217">
        <f>HYPERLINK("https://klasma.github.io/Logging_2361/klagomål/A 39524-2023 FSC-klagomål.docx", "A 39524-2023")</f>
        <v/>
      </c>
      <c r="W217">
        <f>HYPERLINK("https://klasma.github.io/Logging_2361/klagomålsmail/A 39524-2023 FSC-klagomål mail.docx", "A 39524-2023")</f>
        <v/>
      </c>
      <c r="X217">
        <f>HYPERLINK("https://klasma.github.io/Logging_2361/tillsyn/A 39524-2023 tillsynsbegäran.docx", "A 39524-2023")</f>
        <v/>
      </c>
      <c r="Y217">
        <f>HYPERLINK("https://klasma.github.io/Logging_2361/tillsynsmail/A 39524-2023 tillsynsbegäran mail.docx", "A 39524-2023")</f>
        <v/>
      </c>
      <c r="Z217">
        <f>HYPERLINK("https://klasma.github.io/Logging_2361/fåglar/A 39524-2023 prioriterade fågelarter.docx", "A 39524-2023")</f>
        <v/>
      </c>
    </row>
    <row r="218" ht="15" customHeight="1">
      <c r="A218" t="inlineStr">
        <is>
          <t>A 50470-2023</t>
        </is>
      </c>
      <c r="B218" s="1" t="n">
        <v>45216</v>
      </c>
      <c r="C218" s="1" t="n">
        <v>45784</v>
      </c>
      <c r="D218" t="inlineStr">
        <is>
          <t>JÄMTLANDS LÄN</t>
        </is>
      </c>
      <c r="E218" t="inlineStr">
        <is>
          <t>HÄRJEDALEN</t>
        </is>
      </c>
      <c r="F218" t="inlineStr">
        <is>
          <t>Sveaskog</t>
        </is>
      </c>
      <c r="G218" t="n">
        <v>3.5</v>
      </c>
      <c r="H218" t="n">
        <v>0</v>
      </c>
      <c r="I218" t="n">
        <v>0</v>
      </c>
      <c r="J218" t="n">
        <v>0</v>
      </c>
      <c r="K218" t="n">
        <v>1</v>
      </c>
      <c r="L218" t="n">
        <v>0</v>
      </c>
      <c r="M218" t="n">
        <v>0</v>
      </c>
      <c r="N218" t="n">
        <v>0</v>
      </c>
      <c r="O218" t="n">
        <v>1</v>
      </c>
      <c r="P218" t="n">
        <v>1</v>
      </c>
      <c r="Q218" t="n">
        <v>1</v>
      </c>
      <c r="R218" s="2" t="inlineStr">
        <is>
          <t>Gräddporing</t>
        </is>
      </c>
      <c r="S218">
        <f>HYPERLINK("https://klasma.github.io/Logging_2361/artfynd/A 50470-2023 artfynd.xlsx", "A 50470-2023")</f>
        <v/>
      </c>
      <c r="T218">
        <f>HYPERLINK("https://klasma.github.io/Logging_2361/kartor/A 50470-2023 karta.png", "A 50470-2023")</f>
        <v/>
      </c>
      <c r="V218">
        <f>HYPERLINK("https://klasma.github.io/Logging_2361/klagomål/A 50470-2023 FSC-klagomål.docx", "A 50470-2023")</f>
        <v/>
      </c>
      <c r="W218">
        <f>HYPERLINK("https://klasma.github.io/Logging_2361/klagomålsmail/A 50470-2023 FSC-klagomål mail.docx", "A 50470-2023")</f>
        <v/>
      </c>
      <c r="X218">
        <f>HYPERLINK("https://klasma.github.io/Logging_2361/tillsyn/A 50470-2023 tillsynsbegäran.docx", "A 50470-2023")</f>
        <v/>
      </c>
      <c r="Y218">
        <f>HYPERLINK("https://klasma.github.io/Logging_2361/tillsynsmail/A 50470-2023 tillsynsbegäran mail.docx", "A 50470-2023")</f>
        <v/>
      </c>
    </row>
    <row r="219" ht="15" customHeight="1">
      <c r="A219" t="inlineStr">
        <is>
          <t>A 51414-2023</t>
        </is>
      </c>
      <c r="B219" s="1" t="n">
        <v>45219</v>
      </c>
      <c r="C219" s="1" t="n">
        <v>45784</v>
      </c>
      <c r="D219" t="inlineStr">
        <is>
          <t>JÄMTLANDS LÄN</t>
        </is>
      </c>
      <c r="E219" t="inlineStr">
        <is>
          <t>HÄRJEDALEN</t>
        </is>
      </c>
      <c r="F219" t="inlineStr">
        <is>
          <t>Sveaskog</t>
        </is>
      </c>
      <c r="G219" t="n">
        <v>3.9</v>
      </c>
      <c r="H219" t="n">
        <v>0</v>
      </c>
      <c r="I219" t="n">
        <v>0</v>
      </c>
      <c r="J219" t="n">
        <v>1</v>
      </c>
      <c r="K219" t="n">
        <v>0</v>
      </c>
      <c r="L219" t="n">
        <v>0</v>
      </c>
      <c r="M219" t="n">
        <v>0</v>
      </c>
      <c r="N219" t="n">
        <v>0</v>
      </c>
      <c r="O219" t="n">
        <v>1</v>
      </c>
      <c r="P219" t="n">
        <v>0</v>
      </c>
      <c r="Q219" t="n">
        <v>1</v>
      </c>
      <c r="R219" s="2" t="inlineStr">
        <is>
          <t>Lunglav</t>
        </is>
      </c>
      <c r="S219">
        <f>HYPERLINK("https://klasma.github.io/Logging_2361/artfynd/A 51414-2023 artfynd.xlsx", "A 51414-2023")</f>
        <v/>
      </c>
      <c r="T219">
        <f>HYPERLINK("https://klasma.github.io/Logging_2361/kartor/A 51414-2023 karta.png", "A 51414-2023")</f>
        <v/>
      </c>
      <c r="V219">
        <f>HYPERLINK("https://klasma.github.io/Logging_2361/klagomål/A 51414-2023 FSC-klagomål.docx", "A 51414-2023")</f>
        <v/>
      </c>
      <c r="W219">
        <f>HYPERLINK("https://klasma.github.io/Logging_2361/klagomålsmail/A 51414-2023 FSC-klagomål mail.docx", "A 51414-2023")</f>
        <v/>
      </c>
      <c r="X219">
        <f>HYPERLINK("https://klasma.github.io/Logging_2361/tillsyn/A 51414-2023 tillsynsbegäran.docx", "A 51414-2023")</f>
        <v/>
      </c>
      <c r="Y219">
        <f>HYPERLINK("https://klasma.github.io/Logging_2361/tillsynsmail/A 51414-2023 tillsynsbegäran mail.docx", "A 51414-2023")</f>
        <v/>
      </c>
    </row>
    <row r="220" ht="15" customHeight="1">
      <c r="A220" t="inlineStr">
        <is>
          <t>A 62539-2023</t>
        </is>
      </c>
      <c r="B220" s="1" t="n">
        <v>45268</v>
      </c>
      <c r="C220" s="1" t="n">
        <v>45784</v>
      </c>
      <c r="D220" t="inlineStr">
        <is>
          <t>JÄMTLANDS LÄN</t>
        </is>
      </c>
      <c r="E220" t="inlineStr">
        <is>
          <t>HÄRJEDALEN</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HYPERLINK("https://klasma.github.io/Logging_2361/artfynd/A 62539-2023 artfynd.xlsx", "A 62539-2023")</f>
        <v/>
      </c>
      <c r="T220">
        <f>HYPERLINK("https://klasma.github.io/Logging_2361/kartor/A 62539-2023 karta.png", "A 62539-2023")</f>
        <v/>
      </c>
      <c r="V220">
        <f>HYPERLINK("https://klasma.github.io/Logging_2361/klagomål/A 62539-2023 FSC-klagomål.docx", "A 62539-2023")</f>
        <v/>
      </c>
      <c r="W220">
        <f>HYPERLINK("https://klasma.github.io/Logging_2361/klagomålsmail/A 62539-2023 FSC-klagomål mail.docx", "A 62539-2023")</f>
        <v/>
      </c>
      <c r="X220">
        <f>HYPERLINK("https://klasma.github.io/Logging_2361/tillsyn/A 62539-2023 tillsynsbegäran.docx", "A 62539-2023")</f>
        <v/>
      </c>
      <c r="Y220">
        <f>HYPERLINK("https://klasma.github.io/Logging_2361/tillsynsmail/A 62539-2023 tillsynsbegäran mail.docx", "A 62539-2023")</f>
        <v/>
      </c>
      <c r="Z220">
        <f>HYPERLINK("https://klasma.github.io/Logging_2361/fåglar/A 62539-2023 prioriterade fågelarter.docx", "A 62539-2023")</f>
        <v/>
      </c>
    </row>
    <row r="221" ht="15" customHeight="1">
      <c r="A221" t="inlineStr">
        <is>
          <t>A 63659-2023</t>
        </is>
      </c>
      <c r="B221" s="1" t="n">
        <v>45275</v>
      </c>
      <c r="C221" s="1" t="n">
        <v>45784</v>
      </c>
      <c r="D221" t="inlineStr">
        <is>
          <t>JÄMTLANDS LÄN</t>
        </is>
      </c>
      <c r="E221" t="inlineStr">
        <is>
          <t>HÄRJEDALEN</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HYPERLINK("https://klasma.github.io/Logging_2361/artfynd/A 63659-2023 artfynd.xlsx", "A 63659-2023")</f>
        <v/>
      </c>
      <c r="T221">
        <f>HYPERLINK("https://klasma.github.io/Logging_2361/kartor/A 63659-2023 karta.png", "A 63659-2023")</f>
        <v/>
      </c>
      <c r="V221">
        <f>HYPERLINK("https://klasma.github.io/Logging_2361/klagomål/A 63659-2023 FSC-klagomål.docx", "A 63659-2023")</f>
        <v/>
      </c>
      <c r="W221">
        <f>HYPERLINK("https://klasma.github.io/Logging_2361/klagomålsmail/A 63659-2023 FSC-klagomål mail.docx", "A 63659-2023")</f>
        <v/>
      </c>
      <c r="X221">
        <f>HYPERLINK("https://klasma.github.io/Logging_2361/tillsyn/A 63659-2023 tillsynsbegäran.docx", "A 63659-2023")</f>
        <v/>
      </c>
      <c r="Y221">
        <f>HYPERLINK("https://klasma.github.io/Logging_2361/tillsynsmail/A 63659-2023 tillsynsbegäran mail.docx", "A 63659-2023")</f>
        <v/>
      </c>
    </row>
    <row r="222" ht="15" customHeight="1">
      <c r="A222" t="inlineStr">
        <is>
          <t>A 2066-2024</t>
        </is>
      </c>
      <c r="B222" s="1" t="n">
        <v>45308</v>
      </c>
      <c r="C222" s="1" t="n">
        <v>45784</v>
      </c>
      <c r="D222" t="inlineStr">
        <is>
          <t>JÄMTLANDS LÄN</t>
        </is>
      </c>
      <c r="E222" t="inlineStr">
        <is>
          <t>HÄRJEDALEN</t>
        </is>
      </c>
      <c r="G222" t="n">
        <v>23.2</v>
      </c>
      <c r="H222" t="n">
        <v>1</v>
      </c>
      <c r="I222" t="n">
        <v>0</v>
      </c>
      <c r="J222" t="n">
        <v>1</v>
      </c>
      <c r="K222" t="n">
        <v>0</v>
      </c>
      <c r="L222" t="n">
        <v>0</v>
      </c>
      <c r="M222" t="n">
        <v>0</v>
      </c>
      <c r="N222" t="n">
        <v>0</v>
      </c>
      <c r="O222" t="n">
        <v>1</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3593-2024</t>
        </is>
      </c>
      <c r="B223" s="1" t="n">
        <v>45320</v>
      </c>
      <c r="C223" s="1" t="n">
        <v>45784</v>
      </c>
      <c r="D223" t="inlineStr">
        <is>
          <t>JÄMTLANDS LÄN</t>
        </is>
      </c>
      <c r="E223" t="inlineStr">
        <is>
          <t>HÄRJEDALEN</t>
        </is>
      </c>
      <c r="G223" t="n">
        <v>15.1</v>
      </c>
      <c r="H223" t="n">
        <v>0</v>
      </c>
      <c r="I223" t="n">
        <v>0</v>
      </c>
      <c r="J223" t="n">
        <v>1</v>
      </c>
      <c r="K223" t="n">
        <v>0</v>
      </c>
      <c r="L223" t="n">
        <v>0</v>
      </c>
      <c r="M223" t="n">
        <v>0</v>
      </c>
      <c r="N223" t="n">
        <v>0</v>
      </c>
      <c r="O223" t="n">
        <v>1</v>
      </c>
      <c r="P223" t="n">
        <v>0</v>
      </c>
      <c r="Q223" t="n">
        <v>1</v>
      </c>
      <c r="R223" s="2" t="inlineStr">
        <is>
          <t>Nordtagging</t>
        </is>
      </c>
      <c r="S223">
        <f>HYPERLINK("https://klasma.github.io/Logging_2361/artfynd/A 3593-2024 artfynd.xlsx", "A 3593-2024")</f>
        <v/>
      </c>
      <c r="T223">
        <f>HYPERLINK("https://klasma.github.io/Logging_2361/kartor/A 3593-2024 karta.png", "A 3593-2024")</f>
        <v/>
      </c>
      <c r="V223">
        <f>HYPERLINK("https://klasma.github.io/Logging_2361/klagomål/A 3593-2024 FSC-klagomål.docx", "A 3593-2024")</f>
        <v/>
      </c>
      <c r="W223">
        <f>HYPERLINK("https://klasma.github.io/Logging_2361/klagomålsmail/A 3593-2024 FSC-klagomål mail.docx", "A 3593-2024")</f>
        <v/>
      </c>
      <c r="X223">
        <f>HYPERLINK("https://klasma.github.io/Logging_2361/tillsyn/A 3593-2024 tillsynsbegäran.docx", "A 3593-2024")</f>
        <v/>
      </c>
      <c r="Y223">
        <f>HYPERLINK("https://klasma.github.io/Logging_2361/tillsynsmail/A 3593-2024 tillsynsbegäran mail.docx", "A 3593-2024")</f>
        <v/>
      </c>
    </row>
    <row r="224" ht="15" customHeight="1">
      <c r="A224" t="inlineStr">
        <is>
          <t>A 7327-2024</t>
        </is>
      </c>
      <c r="B224" s="1" t="n">
        <v>45345</v>
      </c>
      <c r="C224" s="1" t="n">
        <v>45784</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16471-2024</t>
        </is>
      </c>
      <c r="B225" s="1" t="n">
        <v>45408</v>
      </c>
      <c r="C225" s="1" t="n">
        <v>45784</v>
      </c>
      <c r="D225" t="inlineStr">
        <is>
          <t>JÄMTLANDS LÄN</t>
        </is>
      </c>
      <c r="E225" t="inlineStr">
        <is>
          <t>HÄRJEDALEN</t>
        </is>
      </c>
      <c r="G225" t="n">
        <v>31.7</v>
      </c>
      <c r="H225" t="n">
        <v>0</v>
      </c>
      <c r="I225" t="n">
        <v>0</v>
      </c>
      <c r="J225" t="n">
        <v>0</v>
      </c>
      <c r="K225" t="n">
        <v>0</v>
      </c>
      <c r="L225" t="n">
        <v>0</v>
      </c>
      <c r="M225" t="n">
        <v>1</v>
      </c>
      <c r="N225" t="n">
        <v>0</v>
      </c>
      <c r="O225" t="n">
        <v>1</v>
      </c>
      <c r="P225" t="n">
        <v>1</v>
      </c>
      <c r="Q225" t="n">
        <v>1</v>
      </c>
      <c r="R225" s="2" t="inlineStr">
        <is>
          <t>Limbergsfibbla</t>
        </is>
      </c>
      <c r="S225">
        <f>HYPERLINK("https://klasma.github.io/Logging_2361/artfynd/A 16471-2024 artfynd.xlsx", "A 16471-2024")</f>
        <v/>
      </c>
      <c r="T225">
        <f>HYPERLINK("https://klasma.github.io/Logging_2361/kartor/A 16471-2024 karta.png", "A 16471-2024")</f>
        <v/>
      </c>
      <c r="V225">
        <f>HYPERLINK("https://klasma.github.io/Logging_2361/klagomål/A 16471-2024 FSC-klagomål.docx", "A 16471-2024")</f>
        <v/>
      </c>
      <c r="W225">
        <f>HYPERLINK("https://klasma.github.io/Logging_2361/klagomålsmail/A 16471-2024 FSC-klagomål mail.docx", "A 16471-2024")</f>
        <v/>
      </c>
      <c r="X225">
        <f>HYPERLINK("https://klasma.github.io/Logging_2361/tillsyn/A 16471-2024 tillsynsbegäran.docx", "A 16471-2024")</f>
        <v/>
      </c>
      <c r="Y225">
        <f>HYPERLINK("https://klasma.github.io/Logging_2361/tillsynsmail/A 16471-2024 tillsynsbegäran mail.docx", "A 16471-2024")</f>
        <v/>
      </c>
    </row>
    <row r="226" ht="15" customHeight="1">
      <c r="A226" t="inlineStr">
        <is>
          <t>A 23680-2024</t>
        </is>
      </c>
      <c r="B226" s="1" t="n">
        <v>45454</v>
      </c>
      <c r="C226" s="1" t="n">
        <v>45784</v>
      </c>
      <c r="D226" t="inlineStr">
        <is>
          <t>JÄMTLANDS LÄN</t>
        </is>
      </c>
      <c r="E226" t="inlineStr">
        <is>
          <t>HÄRJEDALEN</t>
        </is>
      </c>
      <c r="G226" t="n">
        <v>3.9</v>
      </c>
      <c r="H226" t="n">
        <v>0</v>
      </c>
      <c r="I226" t="n">
        <v>1</v>
      </c>
      <c r="J226" t="n">
        <v>0</v>
      </c>
      <c r="K226" t="n">
        <v>0</v>
      </c>
      <c r="L226" t="n">
        <v>0</v>
      </c>
      <c r="M226" t="n">
        <v>0</v>
      </c>
      <c r="N226" t="n">
        <v>0</v>
      </c>
      <c r="O226" t="n">
        <v>0</v>
      </c>
      <c r="P226" t="n">
        <v>0</v>
      </c>
      <c r="Q226" t="n">
        <v>1</v>
      </c>
      <c r="R226" s="2" t="inlineStr">
        <is>
          <t>Ögonpyrola</t>
        </is>
      </c>
      <c r="S226">
        <f>HYPERLINK("https://klasma.github.io/Logging_2361/artfynd/A 23680-2024 artfynd.xlsx", "A 23680-2024")</f>
        <v/>
      </c>
      <c r="T226">
        <f>HYPERLINK("https://klasma.github.io/Logging_2361/kartor/A 23680-2024 karta.png", "A 23680-2024")</f>
        <v/>
      </c>
      <c r="V226">
        <f>HYPERLINK("https://klasma.github.io/Logging_2361/klagomål/A 23680-2024 FSC-klagomål.docx", "A 23680-2024")</f>
        <v/>
      </c>
      <c r="W226">
        <f>HYPERLINK("https://klasma.github.io/Logging_2361/klagomålsmail/A 23680-2024 FSC-klagomål mail.docx", "A 23680-2024")</f>
        <v/>
      </c>
      <c r="X226">
        <f>HYPERLINK("https://klasma.github.io/Logging_2361/tillsyn/A 23680-2024 tillsynsbegäran.docx", "A 23680-2024")</f>
        <v/>
      </c>
      <c r="Y226">
        <f>HYPERLINK("https://klasma.github.io/Logging_2361/tillsynsmail/A 23680-2024 tillsynsbegäran mail.docx", "A 23680-2024")</f>
        <v/>
      </c>
    </row>
    <row r="227" ht="15" customHeight="1">
      <c r="A227" t="inlineStr">
        <is>
          <t>A 24254-2024</t>
        </is>
      </c>
      <c r="B227" s="1" t="n">
        <v>45457</v>
      </c>
      <c r="C227" s="1" t="n">
        <v>45784</v>
      </c>
      <c r="D227" t="inlineStr">
        <is>
          <t>JÄMTLANDS LÄN</t>
        </is>
      </c>
      <c r="E227" t="inlineStr">
        <is>
          <t>HÄRJEDALEN</t>
        </is>
      </c>
      <c r="F227" t="inlineStr">
        <is>
          <t>Sveaskog</t>
        </is>
      </c>
      <c r="G227" t="n">
        <v>6</v>
      </c>
      <c r="H227" t="n">
        <v>0</v>
      </c>
      <c r="I227" t="n">
        <v>0</v>
      </c>
      <c r="J227" t="n">
        <v>1</v>
      </c>
      <c r="K227" t="n">
        <v>0</v>
      </c>
      <c r="L227" t="n">
        <v>0</v>
      </c>
      <c r="M227" t="n">
        <v>0</v>
      </c>
      <c r="N227" t="n">
        <v>0</v>
      </c>
      <c r="O227" t="n">
        <v>1</v>
      </c>
      <c r="P227" t="n">
        <v>0</v>
      </c>
      <c r="Q227" t="n">
        <v>1</v>
      </c>
      <c r="R227" s="2" t="inlineStr">
        <is>
          <t>Kolflarnlav</t>
        </is>
      </c>
      <c r="S227">
        <f>HYPERLINK("https://klasma.github.io/Logging_2361/artfynd/A 24254-2024 artfynd.xlsx", "A 24254-2024")</f>
        <v/>
      </c>
      <c r="T227">
        <f>HYPERLINK("https://klasma.github.io/Logging_2361/kartor/A 24254-2024 karta.png", "A 24254-2024")</f>
        <v/>
      </c>
      <c r="V227">
        <f>HYPERLINK("https://klasma.github.io/Logging_2361/klagomål/A 24254-2024 FSC-klagomål.docx", "A 24254-2024")</f>
        <v/>
      </c>
      <c r="W227">
        <f>HYPERLINK("https://klasma.github.io/Logging_2361/klagomålsmail/A 24254-2024 FSC-klagomål mail.docx", "A 24254-2024")</f>
        <v/>
      </c>
      <c r="X227">
        <f>HYPERLINK("https://klasma.github.io/Logging_2361/tillsyn/A 24254-2024 tillsynsbegäran.docx", "A 24254-2024")</f>
        <v/>
      </c>
      <c r="Y227">
        <f>HYPERLINK("https://klasma.github.io/Logging_2361/tillsynsmail/A 24254-2024 tillsynsbegäran mail.docx", "A 24254-2024")</f>
        <v/>
      </c>
    </row>
    <row r="228" ht="15" customHeight="1">
      <c r="A228" t="inlineStr">
        <is>
          <t>A 24251-2024</t>
        </is>
      </c>
      <c r="B228" s="1" t="n">
        <v>45457</v>
      </c>
      <c r="C228" s="1" t="n">
        <v>45784</v>
      </c>
      <c r="D228" t="inlineStr">
        <is>
          <t>JÄMTLANDS LÄN</t>
        </is>
      </c>
      <c r="E228" t="inlineStr">
        <is>
          <t>HÄRJEDALEN</t>
        </is>
      </c>
      <c r="F228" t="inlineStr">
        <is>
          <t>Sveaskog</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HYPERLINK("https://klasma.github.io/Logging_2361/artfynd/A 24251-2024 artfynd.xlsx", "A 24251-2024")</f>
        <v/>
      </c>
      <c r="T228">
        <f>HYPERLINK("https://klasma.github.io/Logging_2361/kartor/A 24251-2024 karta.png", "A 24251-2024")</f>
        <v/>
      </c>
      <c r="V228">
        <f>HYPERLINK("https://klasma.github.io/Logging_2361/klagomål/A 24251-2024 FSC-klagomål.docx", "A 24251-2024")</f>
        <v/>
      </c>
      <c r="W228">
        <f>HYPERLINK("https://klasma.github.io/Logging_2361/klagomålsmail/A 24251-2024 FSC-klagomål mail.docx", "A 24251-2024")</f>
        <v/>
      </c>
      <c r="X228">
        <f>HYPERLINK("https://klasma.github.io/Logging_2361/tillsyn/A 24251-2024 tillsynsbegäran.docx", "A 24251-2024")</f>
        <v/>
      </c>
      <c r="Y228">
        <f>HYPERLINK("https://klasma.github.io/Logging_2361/tillsynsmail/A 24251-2024 tillsynsbegäran mail.docx", "A 24251-2024")</f>
        <v/>
      </c>
    </row>
    <row r="229" ht="15" customHeight="1">
      <c r="A229" t="inlineStr">
        <is>
          <t>A 25942-2024</t>
        </is>
      </c>
      <c r="B229" s="1" t="n">
        <v>45467</v>
      </c>
      <c r="C229" s="1" t="n">
        <v>45784</v>
      </c>
      <c r="D229" t="inlineStr">
        <is>
          <t>JÄMTLANDS LÄN</t>
        </is>
      </c>
      <c r="E229" t="inlineStr">
        <is>
          <t>HÄRJEDALEN</t>
        </is>
      </c>
      <c r="F229" t="inlineStr">
        <is>
          <t>Sveaskog</t>
        </is>
      </c>
      <c r="G229" t="n">
        <v>6.4</v>
      </c>
      <c r="H229" t="n">
        <v>0</v>
      </c>
      <c r="I229" t="n">
        <v>0</v>
      </c>
      <c r="J229" t="n">
        <v>1</v>
      </c>
      <c r="K229" t="n">
        <v>0</v>
      </c>
      <c r="L229" t="n">
        <v>0</v>
      </c>
      <c r="M229" t="n">
        <v>0</v>
      </c>
      <c r="N229" t="n">
        <v>0</v>
      </c>
      <c r="O229" t="n">
        <v>1</v>
      </c>
      <c r="P229" t="n">
        <v>0</v>
      </c>
      <c r="Q229" t="n">
        <v>1</v>
      </c>
      <c r="R229" s="2" t="inlineStr">
        <is>
          <t>Lunglav</t>
        </is>
      </c>
      <c r="S229">
        <f>HYPERLINK("https://klasma.github.io/Logging_2361/artfynd/A 25942-2024 artfynd.xlsx", "A 25942-2024")</f>
        <v/>
      </c>
      <c r="T229">
        <f>HYPERLINK("https://klasma.github.io/Logging_2361/kartor/A 25942-2024 karta.png", "A 25942-2024")</f>
        <v/>
      </c>
      <c r="V229">
        <f>HYPERLINK("https://klasma.github.io/Logging_2361/klagomål/A 25942-2024 FSC-klagomål.docx", "A 25942-2024")</f>
        <v/>
      </c>
      <c r="W229">
        <f>HYPERLINK("https://klasma.github.io/Logging_2361/klagomålsmail/A 25942-2024 FSC-klagomål mail.docx", "A 25942-2024")</f>
        <v/>
      </c>
      <c r="X229">
        <f>HYPERLINK("https://klasma.github.io/Logging_2361/tillsyn/A 25942-2024 tillsynsbegäran.docx", "A 25942-2024")</f>
        <v/>
      </c>
      <c r="Y229">
        <f>HYPERLINK("https://klasma.github.io/Logging_2361/tillsynsmail/A 25942-2024 tillsynsbegäran mail.docx", "A 25942-2024")</f>
        <v/>
      </c>
    </row>
    <row r="230" ht="15" customHeight="1">
      <c r="A230" t="inlineStr">
        <is>
          <t>A 28629-2024</t>
        </is>
      </c>
      <c r="B230" s="1" t="n">
        <v>45478</v>
      </c>
      <c r="C230" s="1" t="n">
        <v>45784</v>
      </c>
      <c r="D230" t="inlineStr">
        <is>
          <t>JÄMTLANDS LÄN</t>
        </is>
      </c>
      <c r="E230" t="inlineStr">
        <is>
          <t>HÄRJEDALEN</t>
        </is>
      </c>
      <c r="G230" t="n">
        <v>8.699999999999999</v>
      </c>
      <c r="H230" t="n">
        <v>1</v>
      </c>
      <c r="I230" t="n">
        <v>0</v>
      </c>
      <c r="J230" t="n">
        <v>0</v>
      </c>
      <c r="K230" t="n">
        <v>0</v>
      </c>
      <c r="L230" t="n">
        <v>1</v>
      </c>
      <c r="M230" t="n">
        <v>0</v>
      </c>
      <c r="N230" t="n">
        <v>0</v>
      </c>
      <c r="O230" t="n">
        <v>1</v>
      </c>
      <c r="P230" t="n">
        <v>1</v>
      </c>
      <c r="Q230" t="n">
        <v>1</v>
      </c>
      <c r="R230" s="2" t="inlineStr">
        <is>
          <t>Mosippa</t>
        </is>
      </c>
      <c r="S230">
        <f>HYPERLINK("https://klasma.github.io/Logging_2361/artfynd/A 28629-2024 artfynd.xlsx", "A 28629-2024")</f>
        <v/>
      </c>
      <c r="T230">
        <f>HYPERLINK("https://klasma.github.io/Logging_2361/kartor/A 28629-2024 karta.png", "A 28629-2024")</f>
        <v/>
      </c>
      <c r="V230">
        <f>HYPERLINK("https://klasma.github.io/Logging_2361/klagomål/A 28629-2024 FSC-klagomål.docx", "A 28629-2024")</f>
        <v/>
      </c>
      <c r="W230">
        <f>HYPERLINK("https://klasma.github.io/Logging_2361/klagomålsmail/A 28629-2024 FSC-klagomål mail.docx", "A 28629-2024")</f>
        <v/>
      </c>
      <c r="X230">
        <f>HYPERLINK("https://klasma.github.io/Logging_2361/tillsyn/A 28629-2024 tillsynsbegäran.docx", "A 28629-2024")</f>
        <v/>
      </c>
      <c r="Y230">
        <f>HYPERLINK("https://klasma.github.io/Logging_2361/tillsynsmail/A 28629-2024 tillsynsbegäran mail.docx", "A 28629-2024")</f>
        <v/>
      </c>
    </row>
    <row r="231" ht="15" customHeight="1">
      <c r="A231" t="inlineStr">
        <is>
          <t>A 31607-2024</t>
        </is>
      </c>
      <c r="B231" s="1" t="n">
        <v>45506</v>
      </c>
      <c r="C231" s="1" t="n">
        <v>45784</v>
      </c>
      <c r="D231" t="inlineStr">
        <is>
          <t>JÄMTLANDS LÄN</t>
        </is>
      </c>
      <c r="E231" t="inlineStr">
        <is>
          <t>HÄRJEDALEN</t>
        </is>
      </c>
      <c r="F231" t="inlineStr">
        <is>
          <t>Sveaskog</t>
        </is>
      </c>
      <c r="G231" t="n">
        <v>9.1</v>
      </c>
      <c r="H231" t="n">
        <v>0</v>
      </c>
      <c r="I231" t="n">
        <v>1</v>
      </c>
      <c r="J231" t="n">
        <v>0</v>
      </c>
      <c r="K231" t="n">
        <v>0</v>
      </c>
      <c r="L231" t="n">
        <v>0</v>
      </c>
      <c r="M231" t="n">
        <v>0</v>
      </c>
      <c r="N231" t="n">
        <v>0</v>
      </c>
      <c r="O231" t="n">
        <v>0</v>
      </c>
      <c r="P231" t="n">
        <v>0</v>
      </c>
      <c r="Q231" t="n">
        <v>1</v>
      </c>
      <c r="R231" s="2" t="inlineStr">
        <is>
          <t>Dropptaggsvamp</t>
        </is>
      </c>
      <c r="S231">
        <f>HYPERLINK("https://klasma.github.io/Logging_2361/artfynd/A 31607-2024 artfynd.xlsx", "A 31607-2024")</f>
        <v/>
      </c>
      <c r="T231">
        <f>HYPERLINK("https://klasma.github.io/Logging_2361/kartor/A 31607-2024 karta.png", "A 31607-2024")</f>
        <v/>
      </c>
      <c r="V231">
        <f>HYPERLINK("https://klasma.github.io/Logging_2361/klagomål/A 31607-2024 FSC-klagomål.docx", "A 31607-2024")</f>
        <v/>
      </c>
      <c r="W231">
        <f>HYPERLINK("https://klasma.github.io/Logging_2361/klagomålsmail/A 31607-2024 FSC-klagomål mail.docx", "A 31607-2024")</f>
        <v/>
      </c>
      <c r="X231">
        <f>HYPERLINK("https://klasma.github.io/Logging_2361/tillsyn/A 31607-2024 tillsynsbegäran.docx", "A 31607-2024")</f>
        <v/>
      </c>
      <c r="Y231">
        <f>HYPERLINK("https://klasma.github.io/Logging_2361/tillsynsmail/A 31607-2024 tillsynsbegäran mail.docx", "A 31607-2024")</f>
        <v/>
      </c>
    </row>
    <row r="232" ht="15" customHeight="1">
      <c r="A232" t="inlineStr">
        <is>
          <t>A 37451-2024</t>
        </is>
      </c>
      <c r="B232" s="1" t="n">
        <v>45540</v>
      </c>
      <c r="C232" s="1" t="n">
        <v>45784</v>
      </c>
      <c r="D232" t="inlineStr">
        <is>
          <t>JÄMTLANDS LÄN</t>
        </is>
      </c>
      <c r="E232" t="inlineStr">
        <is>
          <t>HÄRJEDALEN</t>
        </is>
      </c>
      <c r="F232" t="inlineStr">
        <is>
          <t>Sveaskog</t>
        </is>
      </c>
      <c r="G232" t="n">
        <v>4.3</v>
      </c>
      <c r="H232" t="n">
        <v>0</v>
      </c>
      <c r="I232" t="n">
        <v>0</v>
      </c>
      <c r="J232" t="n">
        <v>1</v>
      </c>
      <c r="K232" t="n">
        <v>0</v>
      </c>
      <c r="L232" t="n">
        <v>0</v>
      </c>
      <c r="M232" t="n">
        <v>0</v>
      </c>
      <c r="N232" t="n">
        <v>0</v>
      </c>
      <c r="O232" t="n">
        <v>1</v>
      </c>
      <c r="P232" t="n">
        <v>0</v>
      </c>
      <c r="Q232" t="n">
        <v>1</v>
      </c>
      <c r="R232" s="2" t="inlineStr">
        <is>
          <t>Lunglav</t>
        </is>
      </c>
      <c r="S232">
        <f>HYPERLINK("https://klasma.github.io/Logging_2361/artfynd/A 37451-2024 artfynd.xlsx", "A 37451-2024")</f>
        <v/>
      </c>
      <c r="T232">
        <f>HYPERLINK("https://klasma.github.io/Logging_2361/kartor/A 37451-2024 karta.png", "A 37451-2024")</f>
        <v/>
      </c>
      <c r="V232">
        <f>HYPERLINK("https://klasma.github.io/Logging_2361/klagomål/A 37451-2024 FSC-klagomål.docx", "A 37451-2024")</f>
        <v/>
      </c>
      <c r="W232">
        <f>HYPERLINK("https://klasma.github.io/Logging_2361/klagomålsmail/A 37451-2024 FSC-klagomål mail.docx", "A 37451-2024")</f>
        <v/>
      </c>
      <c r="X232">
        <f>HYPERLINK("https://klasma.github.io/Logging_2361/tillsyn/A 37451-2024 tillsynsbegäran.docx", "A 37451-2024")</f>
        <v/>
      </c>
      <c r="Y232">
        <f>HYPERLINK("https://klasma.github.io/Logging_2361/tillsynsmail/A 37451-2024 tillsynsbegäran mail.docx", "A 37451-2024")</f>
        <v/>
      </c>
    </row>
    <row r="233" ht="15" customHeight="1">
      <c r="A233" t="inlineStr">
        <is>
          <t>A 38285-2024</t>
        </is>
      </c>
      <c r="B233" s="1" t="n">
        <v>45545</v>
      </c>
      <c r="C233" s="1" t="n">
        <v>45784</v>
      </c>
      <c r="D233" t="inlineStr">
        <is>
          <t>JÄMTLANDS LÄN</t>
        </is>
      </c>
      <c r="E233" t="inlineStr">
        <is>
          <t>HÄRJEDALEN</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HYPERLINK("https://klasma.github.io/Logging_2361/artfynd/A 38285-2024 artfynd.xlsx", "A 38285-2024")</f>
        <v/>
      </c>
      <c r="T233">
        <f>HYPERLINK("https://klasma.github.io/Logging_2361/kartor/A 38285-2024 karta.png", "A 38285-2024")</f>
        <v/>
      </c>
      <c r="V233">
        <f>HYPERLINK("https://klasma.github.io/Logging_2361/klagomål/A 38285-2024 FSC-klagomål.docx", "A 38285-2024")</f>
        <v/>
      </c>
      <c r="W233">
        <f>HYPERLINK("https://klasma.github.io/Logging_2361/klagomålsmail/A 38285-2024 FSC-klagomål mail.docx", "A 38285-2024")</f>
        <v/>
      </c>
      <c r="X233">
        <f>HYPERLINK("https://klasma.github.io/Logging_2361/tillsyn/A 38285-2024 tillsynsbegäran.docx", "A 38285-2024")</f>
        <v/>
      </c>
      <c r="Y233">
        <f>HYPERLINK("https://klasma.github.io/Logging_2361/tillsynsmail/A 38285-2024 tillsynsbegäran mail.docx", "A 38285-2024")</f>
        <v/>
      </c>
    </row>
    <row r="234" ht="15" customHeight="1">
      <c r="A234" t="inlineStr">
        <is>
          <t>A 43744-2024</t>
        </is>
      </c>
      <c r="B234" s="1" t="n">
        <v>45569</v>
      </c>
      <c r="C234" s="1" t="n">
        <v>45784</v>
      </c>
      <c r="D234" t="inlineStr">
        <is>
          <t>JÄMTLANDS LÄN</t>
        </is>
      </c>
      <c r="E234" t="inlineStr">
        <is>
          <t>HÄRJEDALEN</t>
        </is>
      </c>
      <c r="G234" t="n">
        <v>15.8</v>
      </c>
      <c r="H234" t="n">
        <v>1</v>
      </c>
      <c r="I234" t="n">
        <v>0</v>
      </c>
      <c r="J234" t="n">
        <v>1</v>
      </c>
      <c r="K234" t="n">
        <v>0</v>
      </c>
      <c r="L234" t="n">
        <v>0</v>
      </c>
      <c r="M234" t="n">
        <v>0</v>
      </c>
      <c r="N234" t="n">
        <v>0</v>
      </c>
      <c r="O234" t="n">
        <v>1</v>
      </c>
      <c r="P234" t="n">
        <v>0</v>
      </c>
      <c r="Q234" t="n">
        <v>1</v>
      </c>
      <c r="R234" s="2" t="inlineStr">
        <is>
          <t>Skogsfru</t>
        </is>
      </c>
      <c r="S234">
        <f>HYPERLINK("https://klasma.github.io/Logging_2361/artfynd/A 43744-2024 artfynd.xlsx", "A 43744-2024")</f>
        <v/>
      </c>
      <c r="T234">
        <f>HYPERLINK("https://klasma.github.io/Logging_2361/kartor/A 43744-2024 karta.png", "A 43744-2024")</f>
        <v/>
      </c>
      <c r="V234">
        <f>HYPERLINK("https://klasma.github.io/Logging_2361/klagomål/A 43744-2024 FSC-klagomål.docx", "A 43744-2024")</f>
        <v/>
      </c>
      <c r="W234">
        <f>HYPERLINK("https://klasma.github.io/Logging_2361/klagomålsmail/A 43744-2024 FSC-klagomål mail.docx", "A 43744-2024")</f>
        <v/>
      </c>
      <c r="X234">
        <f>HYPERLINK("https://klasma.github.io/Logging_2361/tillsyn/A 43744-2024 tillsynsbegäran.docx", "A 43744-2024")</f>
        <v/>
      </c>
      <c r="Y234">
        <f>HYPERLINK("https://klasma.github.io/Logging_2361/tillsynsmail/A 43744-2024 tillsynsbegäran mail.docx", "A 43744-2024")</f>
        <v/>
      </c>
    </row>
    <row r="235" ht="15" customHeight="1">
      <c r="A235" t="inlineStr">
        <is>
          <t>A 51234-2024</t>
        </is>
      </c>
      <c r="B235" s="1" t="n">
        <v>45603</v>
      </c>
      <c r="C235" s="1" t="n">
        <v>45784</v>
      </c>
      <c r="D235" t="inlineStr">
        <is>
          <t>JÄMTLANDS LÄN</t>
        </is>
      </c>
      <c r="E235" t="inlineStr">
        <is>
          <t>HÄRJEDALEN</t>
        </is>
      </c>
      <c r="F235" t="inlineStr">
        <is>
          <t>Holmen skog AB</t>
        </is>
      </c>
      <c r="G235" t="n">
        <v>2.6</v>
      </c>
      <c r="H235" t="n">
        <v>0</v>
      </c>
      <c r="I235" t="n">
        <v>0</v>
      </c>
      <c r="J235" t="n">
        <v>1</v>
      </c>
      <c r="K235" t="n">
        <v>0</v>
      </c>
      <c r="L235" t="n">
        <v>0</v>
      </c>
      <c r="M235" t="n">
        <v>0</v>
      </c>
      <c r="N235" t="n">
        <v>0</v>
      </c>
      <c r="O235" t="n">
        <v>1</v>
      </c>
      <c r="P235" t="n">
        <v>0</v>
      </c>
      <c r="Q235" t="n">
        <v>1</v>
      </c>
      <c r="R235" s="2" t="inlineStr">
        <is>
          <t>Blågrå svartspik</t>
        </is>
      </c>
      <c r="S235">
        <f>HYPERLINK("https://klasma.github.io/Logging_2361/artfynd/A 51234-2024 artfynd.xlsx", "A 51234-2024")</f>
        <v/>
      </c>
      <c r="T235">
        <f>HYPERLINK("https://klasma.github.io/Logging_2361/kartor/A 51234-2024 karta.png", "A 51234-2024")</f>
        <v/>
      </c>
      <c r="V235">
        <f>HYPERLINK("https://klasma.github.io/Logging_2361/klagomål/A 51234-2024 FSC-klagomål.docx", "A 51234-2024")</f>
        <v/>
      </c>
      <c r="W235">
        <f>HYPERLINK("https://klasma.github.io/Logging_2361/klagomålsmail/A 51234-2024 FSC-klagomål mail.docx", "A 51234-2024")</f>
        <v/>
      </c>
      <c r="X235">
        <f>HYPERLINK("https://klasma.github.io/Logging_2361/tillsyn/A 51234-2024 tillsynsbegäran.docx", "A 51234-2024")</f>
        <v/>
      </c>
      <c r="Y235">
        <f>HYPERLINK("https://klasma.github.io/Logging_2361/tillsynsmail/A 51234-2024 tillsynsbegäran mail.docx", "A 51234-2024")</f>
        <v/>
      </c>
    </row>
    <row r="236" ht="15" customHeight="1">
      <c r="A236" t="inlineStr">
        <is>
          <t>A 54520-2024</t>
        </is>
      </c>
      <c r="B236" s="1" t="n">
        <v>45617</v>
      </c>
      <c r="C236" s="1" t="n">
        <v>45784</v>
      </c>
      <c r="D236" t="inlineStr">
        <is>
          <t>JÄMTLANDS LÄN</t>
        </is>
      </c>
      <c r="E236" t="inlineStr">
        <is>
          <t>HÄRJEDALEN</t>
        </is>
      </c>
      <c r="F236" t="inlineStr">
        <is>
          <t>Holmen skog AB</t>
        </is>
      </c>
      <c r="G236" t="n">
        <v>4.6</v>
      </c>
      <c r="H236" t="n">
        <v>1</v>
      </c>
      <c r="I236" t="n">
        <v>0</v>
      </c>
      <c r="J236" t="n">
        <v>1</v>
      </c>
      <c r="K236" t="n">
        <v>0</v>
      </c>
      <c r="L236" t="n">
        <v>0</v>
      </c>
      <c r="M236" t="n">
        <v>0</v>
      </c>
      <c r="N236" t="n">
        <v>0</v>
      </c>
      <c r="O236" t="n">
        <v>1</v>
      </c>
      <c r="P236" t="n">
        <v>0</v>
      </c>
      <c r="Q236" t="n">
        <v>1</v>
      </c>
      <c r="R236" s="2" t="inlineStr">
        <is>
          <t>Talltita</t>
        </is>
      </c>
      <c r="S236">
        <f>HYPERLINK("https://klasma.github.io/Logging_2361/artfynd/A 54520-2024 artfynd.xlsx", "A 54520-2024")</f>
        <v/>
      </c>
      <c r="T236">
        <f>HYPERLINK("https://klasma.github.io/Logging_2361/kartor/A 54520-2024 karta.png", "A 54520-2024")</f>
        <v/>
      </c>
      <c r="V236">
        <f>HYPERLINK("https://klasma.github.io/Logging_2361/klagomål/A 54520-2024 FSC-klagomål.docx", "A 54520-2024")</f>
        <v/>
      </c>
      <c r="W236">
        <f>HYPERLINK("https://klasma.github.io/Logging_2361/klagomålsmail/A 54520-2024 FSC-klagomål mail.docx", "A 54520-2024")</f>
        <v/>
      </c>
      <c r="X236">
        <f>HYPERLINK("https://klasma.github.io/Logging_2361/tillsyn/A 54520-2024 tillsynsbegäran.docx", "A 54520-2024")</f>
        <v/>
      </c>
      <c r="Y236">
        <f>HYPERLINK("https://klasma.github.io/Logging_2361/tillsynsmail/A 54520-2024 tillsynsbegäran mail.docx", "A 54520-2024")</f>
        <v/>
      </c>
      <c r="Z236">
        <f>HYPERLINK("https://klasma.github.io/Logging_2361/fåglar/A 54520-2024 prioriterade fågelarter.docx", "A 54520-2024")</f>
        <v/>
      </c>
    </row>
    <row r="237" ht="15" customHeight="1">
      <c r="A237" t="inlineStr">
        <is>
          <t>A 55135-2024</t>
        </is>
      </c>
      <c r="B237" s="1" t="n">
        <v>45621</v>
      </c>
      <c r="C237" s="1" t="n">
        <v>45784</v>
      </c>
      <c r="D237" t="inlineStr">
        <is>
          <t>JÄMTLANDS LÄN</t>
        </is>
      </c>
      <c r="E237" t="inlineStr">
        <is>
          <t>HÄRJEDALEN</t>
        </is>
      </c>
      <c r="F237" t="inlineStr">
        <is>
          <t>Sveaskog</t>
        </is>
      </c>
      <c r="G237" t="n">
        <v>12.6</v>
      </c>
      <c r="H237" t="n">
        <v>0</v>
      </c>
      <c r="I237" t="n">
        <v>1</v>
      </c>
      <c r="J237" t="n">
        <v>0</v>
      </c>
      <c r="K237" t="n">
        <v>0</v>
      </c>
      <c r="L237" t="n">
        <v>0</v>
      </c>
      <c r="M237" t="n">
        <v>0</v>
      </c>
      <c r="N237" t="n">
        <v>0</v>
      </c>
      <c r="O237" t="n">
        <v>0</v>
      </c>
      <c r="P237" t="n">
        <v>0</v>
      </c>
      <c r="Q237" t="n">
        <v>1</v>
      </c>
      <c r="R237" s="2" t="inlineStr">
        <is>
          <t>Skarp dropptaggsvamp</t>
        </is>
      </c>
      <c r="S237">
        <f>HYPERLINK("https://klasma.github.io/Logging_2361/artfynd/A 55135-2024 artfynd.xlsx", "A 55135-2024")</f>
        <v/>
      </c>
      <c r="T237">
        <f>HYPERLINK("https://klasma.github.io/Logging_2361/kartor/A 55135-2024 karta.png", "A 55135-2024")</f>
        <v/>
      </c>
      <c r="V237">
        <f>HYPERLINK("https://klasma.github.io/Logging_2361/klagomål/A 55135-2024 FSC-klagomål.docx", "A 55135-2024")</f>
        <v/>
      </c>
      <c r="W237">
        <f>HYPERLINK("https://klasma.github.io/Logging_2361/klagomålsmail/A 55135-2024 FSC-klagomål mail.docx", "A 55135-2024")</f>
        <v/>
      </c>
      <c r="X237">
        <f>HYPERLINK("https://klasma.github.io/Logging_2361/tillsyn/A 55135-2024 tillsynsbegäran.docx", "A 55135-2024")</f>
        <v/>
      </c>
      <c r="Y237">
        <f>HYPERLINK("https://klasma.github.io/Logging_2361/tillsynsmail/A 55135-2024 tillsynsbegäran mail.docx", "A 55135-2024")</f>
        <v/>
      </c>
    </row>
    <row r="238" ht="15" customHeight="1">
      <c r="A238" t="inlineStr">
        <is>
          <t>A 55214-2024</t>
        </is>
      </c>
      <c r="B238" s="1" t="n">
        <v>45621</v>
      </c>
      <c r="C238" s="1" t="n">
        <v>45784</v>
      </c>
      <c r="D238" t="inlineStr">
        <is>
          <t>JÄMTLANDS LÄN</t>
        </is>
      </c>
      <c r="E238" t="inlineStr">
        <is>
          <t>HÄRJEDALEN</t>
        </is>
      </c>
      <c r="F238" t="inlineStr">
        <is>
          <t>Sveaskog</t>
        </is>
      </c>
      <c r="G238" t="n">
        <v>1.1</v>
      </c>
      <c r="H238" t="n">
        <v>0</v>
      </c>
      <c r="I238" t="n">
        <v>0</v>
      </c>
      <c r="J238" t="n">
        <v>1</v>
      </c>
      <c r="K238" t="n">
        <v>0</v>
      </c>
      <c r="L238" t="n">
        <v>0</v>
      </c>
      <c r="M238" t="n">
        <v>0</v>
      </c>
      <c r="N238" t="n">
        <v>0</v>
      </c>
      <c r="O238" t="n">
        <v>1</v>
      </c>
      <c r="P238" t="n">
        <v>0</v>
      </c>
      <c r="Q238" t="n">
        <v>1</v>
      </c>
      <c r="R238" s="2" t="inlineStr">
        <is>
          <t>Kolflarnlav</t>
        </is>
      </c>
      <c r="S238">
        <f>HYPERLINK("https://klasma.github.io/Logging_2361/artfynd/A 55214-2024 artfynd.xlsx", "A 55214-2024")</f>
        <v/>
      </c>
      <c r="T238">
        <f>HYPERLINK("https://klasma.github.io/Logging_2361/kartor/A 55214-2024 karta.png", "A 55214-2024")</f>
        <v/>
      </c>
      <c r="V238">
        <f>HYPERLINK("https://klasma.github.io/Logging_2361/klagomål/A 55214-2024 FSC-klagomål.docx", "A 55214-2024")</f>
        <v/>
      </c>
      <c r="W238">
        <f>HYPERLINK("https://klasma.github.io/Logging_2361/klagomålsmail/A 55214-2024 FSC-klagomål mail.docx", "A 55214-2024")</f>
        <v/>
      </c>
      <c r="X238">
        <f>HYPERLINK("https://klasma.github.io/Logging_2361/tillsyn/A 55214-2024 tillsynsbegäran.docx", "A 55214-2024")</f>
        <v/>
      </c>
      <c r="Y238">
        <f>HYPERLINK("https://klasma.github.io/Logging_2361/tillsynsmail/A 55214-2024 tillsynsbegäran mail.docx", "A 55214-2024")</f>
        <v/>
      </c>
    </row>
    <row r="239" ht="15" customHeight="1">
      <c r="A239" t="inlineStr">
        <is>
          <t>A 59367-2024</t>
        </is>
      </c>
      <c r="B239" s="1" t="n">
        <v>45638</v>
      </c>
      <c r="C239" s="1" t="n">
        <v>45784</v>
      </c>
      <c r="D239" t="inlineStr">
        <is>
          <t>JÄMTLANDS LÄN</t>
        </is>
      </c>
      <c r="E239" t="inlineStr">
        <is>
          <t>HÄRJEDALEN</t>
        </is>
      </c>
      <c r="F239" t="inlineStr">
        <is>
          <t>Holmen skog AB</t>
        </is>
      </c>
      <c r="G239" t="n">
        <v>5.9</v>
      </c>
      <c r="H239" t="n">
        <v>0</v>
      </c>
      <c r="I239" t="n">
        <v>0</v>
      </c>
      <c r="J239" t="n">
        <v>1</v>
      </c>
      <c r="K239" t="n">
        <v>0</v>
      </c>
      <c r="L239" t="n">
        <v>0</v>
      </c>
      <c r="M239" t="n">
        <v>0</v>
      </c>
      <c r="N239" t="n">
        <v>0</v>
      </c>
      <c r="O239" t="n">
        <v>1</v>
      </c>
      <c r="P239" t="n">
        <v>0</v>
      </c>
      <c r="Q239" t="n">
        <v>1</v>
      </c>
      <c r="R239" s="2" t="inlineStr">
        <is>
          <t>Vedflamlav</t>
        </is>
      </c>
      <c r="S239">
        <f>HYPERLINK("https://klasma.github.io/Logging_2361/artfynd/A 59367-2024 artfynd.xlsx", "A 59367-2024")</f>
        <v/>
      </c>
      <c r="T239">
        <f>HYPERLINK("https://klasma.github.io/Logging_2361/kartor/A 59367-2024 karta.png", "A 59367-2024")</f>
        <v/>
      </c>
      <c r="V239">
        <f>HYPERLINK("https://klasma.github.io/Logging_2361/klagomål/A 59367-2024 FSC-klagomål.docx", "A 59367-2024")</f>
        <v/>
      </c>
      <c r="W239">
        <f>HYPERLINK("https://klasma.github.io/Logging_2361/klagomålsmail/A 59367-2024 FSC-klagomål mail.docx", "A 59367-2024")</f>
        <v/>
      </c>
      <c r="X239">
        <f>HYPERLINK("https://klasma.github.io/Logging_2361/tillsyn/A 59367-2024 tillsynsbegäran.docx", "A 59367-2024")</f>
        <v/>
      </c>
      <c r="Y239">
        <f>HYPERLINK("https://klasma.github.io/Logging_2361/tillsynsmail/A 59367-2024 tillsynsbegäran mail.docx", "A 59367-2024")</f>
        <v/>
      </c>
    </row>
    <row r="240" ht="15" customHeight="1">
      <c r="A240" t="inlineStr">
        <is>
          <t>A 2041-2025</t>
        </is>
      </c>
      <c r="B240" s="1" t="n">
        <v>45672</v>
      </c>
      <c r="C240" s="1" t="n">
        <v>45784</v>
      </c>
      <c r="D240" t="inlineStr">
        <is>
          <t>JÄMTLANDS LÄN</t>
        </is>
      </c>
      <c r="E240" t="inlineStr">
        <is>
          <t>HÄRJEDALEN</t>
        </is>
      </c>
      <c r="G240" t="n">
        <v>10</v>
      </c>
      <c r="H240" t="n">
        <v>0</v>
      </c>
      <c r="I240" t="n">
        <v>0</v>
      </c>
      <c r="J240" t="n">
        <v>1</v>
      </c>
      <c r="K240" t="n">
        <v>0</v>
      </c>
      <c r="L240" t="n">
        <v>0</v>
      </c>
      <c r="M240" t="n">
        <v>0</v>
      </c>
      <c r="N240" t="n">
        <v>0</v>
      </c>
      <c r="O240" t="n">
        <v>1</v>
      </c>
      <c r="P240" t="n">
        <v>0</v>
      </c>
      <c r="Q240" t="n">
        <v>1</v>
      </c>
      <c r="R240" s="2" t="inlineStr">
        <is>
          <t>Gränsticka</t>
        </is>
      </c>
      <c r="S240">
        <f>HYPERLINK("https://klasma.github.io/Logging_2361/artfynd/A 2041-2025 artfynd.xlsx", "A 2041-2025")</f>
        <v/>
      </c>
      <c r="T240">
        <f>HYPERLINK("https://klasma.github.io/Logging_2361/kartor/A 2041-2025 karta.png", "A 2041-2025")</f>
        <v/>
      </c>
      <c r="V240">
        <f>HYPERLINK("https://klasma.github.io/Logging_2361/klagomål/A 2041-2025 FSC-klagomål.docx", "A 2041-2025")</f>
        <v/>
      </c>
      <c r="W240">
        <f>HYPERLINK("https://klasma.github.io/Logging_2361/klagomålsmail/A 2041-2025 FSC-klagomål mail.docx", "A 2041-2025")</f>
        <v/>
      </c>
      <c r="X240">
        <f>HYPERLINK("https://klasma.github.io/Logging_2361/tillsyn/A 2041-2025 tillsynsbegäran.docx", "A 2041-2025")</f>
        <v/>
      </c>
      <c r="Y240">
        <f>HYPERLINK("https://klasma.github.io/Logging_2361/tillsynsmail/A 2041-2025 tillsynsbegäran mail.docx", "A 2041-2025")</f>
        <v/>
      </c>
    </row>
    <row r="241" ht="15" customHeight="1">
      <c r="A241" t="inlineStr">
        <is>
          <t>A 9233-2025</t>
        </is>
      </c>
      <c r="B241" s="1" t="n">
        <v>45714</v>
      </c>
      <c r="C241" s="1" t="n">
        <v>45784</v>
      </c>
      <c r="D241" t="inlineStr">
        <is>
          <t>JÄMTLANDS LÄN</t>
        </is>
      </c>
      <c r="E241" t="inlineStr">
        <is>
          <t>HÄRJEDALEN</t>
        </is>
      </c>
      <c r="F241" t="inlineStr">
        <is>
          <t>SCA</t>
        </is>
      </c>
      <c r="G241" t="n">
        <v>16.8</v>
      </c>
      <c r="H241" t="n">
        <v>1</v>
      </c>
      <c r="I241" t="n">
        <v>0</v>
      </c>
      <c r="J241" t="n">
        <v>1</v>
      </c>
      <c r="K241" t="n">
        <v>0</v>
      </c>
      <c r="L241" t="n">
        <v>0</v>
      </c>
      <c r="M241" t="n">
        <v>0</v>
      </c>
      <c r="N241" t="n">
        <v>0</v>
      </c>
      <c r="O241" t="n">
        <v>1</v>
      </c>
      <c r="P241" t="n">
        <v>0</v>
      </c>
      <c r="Q241" t="n">
        <v>1</v>
      </c>
      <c r="R241" s="2" t="inlineStr">
        <is>
          <t>Järpe</t>
        </is>
      </c>
      <c r="S241">
        <f>HYPERLINK("https://klasma.github.io/Logging_2361/artfynd/A 9233-2025 artfynd.xlsx", "A 9233-2025")</f>
        <v/>
      </c>
      <c r="T241">
        <f>HYPERLINK("https://klasma.github.io/Logging_2361/kartor/A 9233-2025 karta.png", "A 9233-2025")</f>
        <v/>
      </c>
      <c r="V241">
        <f>HYPERLINK("https://klasma.github.io/Logging_2361/klagomål/A 9233-2025 FSC-klagomål.docx", "A 9233-2025")</f>
        <v/>
      </c>
      <c r="W241">
        <f>HYPERLINK("https://klasma.github.io/Logging_2361/klagomålsmail/A 9233-2025 FSC-klagomål mail.docx", "A 9233-2025")</f>
        <v/>
      </c>
      <c r="X241">
        <f>HYPERLINK("https://klasma.github.io/Logging_2361/tillsyn/A 9233-2025 tillsynsbegäran.docx", "A 9233-2025")</f>
        <v/>
      </c>
      <c r="Y241">
        <f>HYPERLINK("https://klasma.github.io/Logging_2361/tillsynsmail/A 9233-2025 tillsynsbegäran mail.docx", "A 9233-2025")</f>
        <v/>
      </c>
      <c r="Z241">
        <f>HYPERLINK("https://klasma.github.io/Logging_2361/fåglar/A 9233-2025 prioriterade fågelarter.docx", "A 9233-2025")</f>
        <v/>
      </c>
    </row>
    <row r="242" ht="15" customHeight="1">
      <c r="A242" t="inlineStr">
        <is>
          <t>A 12274-2025</t>
        </is>
      </c>
      <c r="B242" s="1" t="n">
        <v>45729</v>
      </c>
      <c r="C242" s="1" t="n">
        <v>45784</v>
      </c>
      <c r="D242" t="inlineStr">
        <is>
          <t>JÄMTLANDS LÄN</t>
        </is>
      </c>
      <c r="E242" t="inlineStr">
        <is>
          <t>HÄRJEDALEN</t>
        </is>
      </c>
      <c r="F242" t="inlineStr">
        <is>
          <t>Holmen skog AB</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HYPERLINK("https://klasma.github.io/Logging_232361/artfynd/A 12274-2025 artfynd.xlsx", "A 12274-2025")</f>
        <v/>
      </c>
      <c r="T242">
        <f>HYPERLINK("https://klasma.github.io/Logging_232361/kartor/A 12274-2025 karta.png", "A 12274-2025")</f>
        <v/>
      </c>
      <c r="V242">
        <f>HYPERLINK("https://klasma.github.io/Logging_232361/klagomål/A 12274-2025 FSC-klagomål.docx", "A 12274-2025")</f>
        <v/>
      </c>
      <c r="W242">
        <f>HYPERLINK("https://klasma.github.io/Logging_232361/klagomålsmail/A 12274-2025 FSC-klagomål mail.docx", "A 12274-2025")</f>
        <v/>
      </c>
      <c r="X242">
        <f>HYPERLINK("https://klasma.github.io/Logging_232361/tillsyn/A 12274-2025 tillsynsbegäran.docx", "A 12274-2025")</f>
        <v/>
      </c>
      <c r="Y242">
        <f>HYPERLINK("https://klasma.github.io/Logging_232361/tillsynsmail/A 12274-2025 tillsynsbegäran mail.docx", "A 12274-2025")</f>
        <v/>
      </c>
    </row>
    <row r="243" ht="15" customHeight="1">
      <c r="A243" t="inlineStr">
        <is>
          <t>A 17902-2025</t>
        </is>
      </c>
      <c r="B243" s="1" t="n">
        <v>45758</v>
      </c>
      <c r="C243" s="1" t="n">
        <v>45784</v>
      </c>
      <c r="D243" t="inlineStr">
        <is>
          <t>JÄMTLANDS LÄN</t>
        </is>
      </c>
      <c r="E243" t="inlineStr">
        <is>
          <t>HÄRJEDALEN</t>
        </is>
      </c>
      <c r="G243" t="n">
        <v>2.4</v>
      </c>
      <c r="H243" t="n">
        <v>0</v>
      </c>
      <c r="I243" t="n">
        <v>0</v>
      </c>
      <c r="J243" t="n">
        <v>1</v>
      </c>
      <c r="K243" t="n">
        <v>0</v>
      </c>
      <c r="L243" t="n">
        <v>0</v>
      </c>
      <c r="M243" t="n">
        <v>0</v>
      </c>
      <c r="N243" t="n">
        <v>0</v>
      </c>
      <c r="O243" t="n">
        <v>1</v>
      </c>
      <c r="P243" t="n">
        <v>0</v>
      </c>
      <c r="Q243" t="n">
        <v>1</v>
      </c>
      <c r="R243" s="2" t="inlineStr">
        <is>
          <t>Motaggsvamp</t>
        </is>
      </c>
      <c r="S243">
        <f>HYPERLINK("https://klasma.github.io/Logging_232361/artfynd/A 17902-2025 artfynd.xlsx", "A 17902-2025")</f>
        <v/>
      </c>
      <c r="T243">
        <f>HYPERLINK("https://klasma.github.io/Logging_232361/kartor/A 17902-2025 karta.png", "A 17902-2025")</f>
        <v/>
      </c>
      <c r="V243">
        <f>HYPERLINK("https://klasma.github.io/Logging_232361/klagomål/A 17902-2025 FSC-klagomål.docx", "A 17902-2025")</f>
        <v/>
      </c>
      <c r="W243">
        <f>HYPERLINK("https://klasma.github.io/Logging_232361/klagomålsmail/A 17902-2025 FSC-klagomål mail.docx", "A 17902-2025")</f>
        <v/>
      </c>
      <c r="X243">
        <f>HYPERLINK("https://klasma.github.io/Logging_232361/tillsyn/A 17902-2025 tillsynsbegäran.docx", "A 17902-2025")</f>
        <v/>
      </c>
      <c r="Y243">
        <f>HYPERLINK("https://klasma.github.io/Logging_232361/tillsynsmail/A 17902-2025 tillsynsbegäran mail.docx", "A 17902-2025")</f>
        <v/>
      </c>
    </row>
    <row r="244" ht="15" customHeight="1">
      <c r="A244" t="inlineStr">
        <is>
          <t>A 17811-2019</t>
        </is>
      </c>
      <c r="B244" s="1" t="n">
        <v>43556</v>
      </c>
      <c r="C244" s="1" t="n">
        <v>45784</v>
      </c>
      <c r="D244" t="inlineStr">
        <is>
          <t>JÄMTLANDS LÄN</t>
        </is>
      </c>
      <c r="E244" t="inlineStr">
        <is>
          <t>HÄRJEDALEN</t>
        </is>
      </c>
      <c r="G244" t="n">
        <v>10.3</v>
      </c>
      <c r="H244" t="n">
        <v>0</v>
      </c>
      <c r="I244" t="n">
        <v>0</v>
      </c>
      <c r="J244" t="n">
        <v>0</v>
      </c>
      <c r="K244" t="n">
        <v>0</v>
      </c>
      <c r="L244" t="n">
        <v>0</v>
      </c>
      <c r="M244" t="n">
        <v>0</v>
      </c>
      <c r="N244" t="n">
        <v>0</v>
      </c>
      <c r="O244" t="n">
        <v>0</v>
      </c>
      <c r="P244" t="n">
        <v>0</v>
      </c>
      <c r="Q244" t="n">
        <v>0</v>
      </c>
      <c r="R244" s="2" t="inlineStr"/>
    </row>
    <row r="245" ht="15" customHeight="1">
      <c r="A245" t="inlineStr">
        <is>
          <t>A 17986-2019</t>
        </is>
      </c>
      <c r="B245" s="1" t="n">
        <v>43557</v>
      </c>
      <c r="C245" s="1" t="n">
        <v>45784</v>
      </c>
      <c r="D245" t="inlineStr">
        <is>
          <t>JÄMTLANDS LÄN</t>
        </is>
      </c>
      <c r="E245" t="inlineStr">
        <is>
          <t>HÄRJEDALEN</t>
        </is>
      </c>
      <c r="F245" t="inlineStr">
        <is>
          <t>Kyrkan</t>
        </is>
      </c>
      <c r="G245" t="n">
        <v>17.5</v>
      </c>
      <c r="H245" t="n">
        <v>0</v>
      </c>
      <c r="I245" t="n">
        <v>0</v>
      </c>
      <c r="J245" t="n">
        <v>0</v>
      </c>
      <c r="K245" t="n">
        <v>0</v>
      </c>
      <c r="L245" t="n">
        <v>0</v>
      </c>
      <c r="M245" t="n">
        <v>0</v>
      </c>
      <c r="N245" t="n">
        <v>0</v>
      </c>
      <c r="O245" t="n">
        <v>0</v>
      </c>
      <c r="P245" t="n">
        <v>0</v>
      </c>
      <c r="Q245" t="n">
        <v>0</v>
      </c>
      <c r="R245" s="2" t="inlineStr"/>
    </row>
    <row r="246" ht="15" customHeight="1">
      <c r="A246" t="inlineStr">
        <is>
          <t>A 17917-2019</t>
        </is>
      </c>
      <c r="B246" s="1" t="n">
        <v>43557</v>
      </c>
      <c r="C246" s="1" t="n">
        <v>45784</v>
      </c>
      <c r="D246" t="inlineStr">
        <is>
          <t>JÄMTLANDS LÄN</t>
        </is>
      </c>
      <c r="E246" t="inlineStr">
        <is>
          <t>HÄRJEDALEN</t>
        </is>
      </c>
      <c r="F246" t="inlineStr">
        <is>
          <t>Bergvik skog väst AB</t>
        </is>
      </c>
      <c r="G246" t="n">
        <v>166.3</v>
      </c>
      <c r="H246" t="n">
        <v>0</v>
      </c>
      <c r="I246" t="n">
        <v>0</v>
      </c>
      <c r="J246" t="n">
        <v>0</v>
      </c>
      <c r="K246" t="n">
        <v>0</v>
      </c>
      <c r="L246" t="n">
        <v>0</v>
      </c>
      <c r="M246" t="n">
        <v>0</v>
      </c>
      <c r="N246" t="n">
        <v>0</v>
      </c>
      <c r="O246" t="n">
        <v>0</v>
      </c>
      <c r="P246" t="n">
        <v>0</v>
      </c>
      <c r="Q246" t="n">
        <v>0</v>
      </c>
      <c r="R246" s="2" t="inlineStr"/>
    </row>
    <row r="247" ht="15" customHeight="1">
      <c r="A247" t="inlineStr">
        <is>
          <t>A 18539-2019</t>
        </is>
      </c>
      <c r="B247" s="1" t="n">
        <v>43559</v>
      </c>
      <c r="C247" s="1" t="n">
        <v>45784</v>
      </c>
      <c r="D247" t="inlineStr">
        <is>
          <t>JÄMTLANDS LÄN</t>
        </is>
      </c>
      <c r="E247" t="inlineStr">
        <is>
          <t>HÄRJEDALEN</t>
        </is>
      </c>
      <c r="G247" t="n">
        <v>1.7</v>
      </c>
      <c r="H247" t="n">
        <v>0</v>
      </c>
      <c r="I247" t="n">
        <v>0</v>
      </c>
      <c r="J247" t="n">
        <v>0</v>
      </c>
      <c r="K247" t="n">
        <v>0</v>
      </c>
      <c r="L247" t="n">
        <v>0</v>
      </c>
      <c r="M247" t="n">
        <v>0</v>
      </c>
      <c r="N247" t="n">
        <v>0</v>
      </c>
      <c r="O247" t="n">
        <v>0</v>
      </c>
      <c r="P247" t="n">
        <v>0</v>
      </c>
      <c r="Q247" t="n">
        <v>0</v>
      </c>
      <c r="R247" s="2" t="inlineStr"/>
    </row>
    <row r="248" ht="15" customHeight="1">
      <c r="A248" t="inlineStr">
        <is>
          <t>A 18648-2019</t>
        </is>
      </c>
      <c r="B248" s="1" t="n">
        <v>43560</v>
      </c>
      <c r="C248" s="1" t="n">
        <v>45784</v>
      </c>
      <c r="D248" t="inlineStr">
        <is>
          <t>JÄMTLANDS LÄN</t>
        </is>
      </c>
      <c r="E248" t="inlineStr">
        <is>
          <t>HÄRJEDALEN</t>
        </is>
      </c>
      <c r="G248" t="n">
        <v>5.5</v>
      </c>
      <c r="H248" t="n">
        <v>0</v>
      </c>
      <c r="I248" t="n">
        <v>0</v>
      </c>
      <c r="J248" t="n">
        <v>0</v>
      </c>
      <c r="K248" t="n">
        <v>0</v>
      </c>
      <c r="L248" t="n">
        <v>0</v>
      </c>
      <c r="M248" t="n">
        <v>0</v>
      </c>
      <c r="N248" t="n">
        <v>0</v>
      </c>
      <c r="O248" t="n">
        <v>0</v>
      </c>
      <c r="P248" t="n">
        <v>0</v>
      </c>
      <c r="Q248" t="n">
        <v>0</v>
      </c>
      <c r="R248" s="2" t="inlineStr"/>
    </row>
    <row r="249" ht="15" customHeight="1">
      <c r="A249" t="inlineStr">
        <is>
          <t>A 19114-2019</t>
        </is>
      </c>
      <c r="B249" s="1" t="n">
        <v>43563</v>
      </c>
      <c r="C249" s="1" t="n">
        <v>45784</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20063-2019</t>
        </is>
      </c>
      <c r="B250" s="1" t="n">
        <v>43567</v>
      </c>
      <c r="C250" s="1" t="n">
        <v>45784</v>
      </c>
      <c r="D250" t="inlineStr">
        <is>
          <t>JÄMTLANDS LÄN</t>
        </is>
      </c>
      <c r="E250" t="inlineStr">
        <is>
          <t>HÄRJEDALEN</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19864-2019</t>
        </is>
      </c>
      <c r="B251" s="1" t="n">
        <v>43567</v>
      </c>
      <c r="C251" s="1" t="n">
        <v>45784</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20403-2019</t>
        </is>
      </c>
      <c r="B252" s="1" t="n">
        <v>43571</v>
      </c>
      <c r="C252" s="1" t="n">
        <v>45784</v>
      </c>
      <c r="D252" t="inlineStr">
        <is>
          <t>JÄMTLANDS LÄN</t>
        </is>
      </c>
      <c r="E252" t="inlineStr">
        <is>
          <t>HÄRJEDALEN</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20373-2019</t>
        </is>
      </c>
      <c r="B253" s="1" t="n">
        <v>43571</v>
      </c>
      <c r="C253" s="1" t="n">
        <v>45784</v>
      </c>
      <c r="D253" t="inlineStr">
        <is>
          <t>JÄMTLANDS LÄN</t>
        </is>
      </c>
      <c r="E253" t="inlineStr">
        <is>
          <t>HÄRJEDALEN</t>
        </is>
      </c>
      <c r="G253" t="n">
        <v>0.8</v>
      </c>
      <c r="H253" t="n">
        <v>0</v>
      </c>
      <c r="I253" t="n">
        <v>0</v>
      </c>
      <c r="J253" t="n">
        <v>0</v>
      </c>
      <c r="K253" t="n">
        <v>0</v>
      </c>
      <c r="L253" t="n">
        <v>0</v>
      </c>
      <c r="M253" t="n">
        <v>0</v>
      </c>
      <c r="N253" t="n">
        <v>0</v>
      </c>
      <c r="O253" t="n">
        <v>0</v>
      </c>
      <c r="P253" t="n">
        <v>0</v>
      </c>
      <c r="Q253" t="n">
        <v>0</v>
      </c>
      <c r="R253" s="2" t="inlineStr"/>
    </row>
    <row r="254" ht="15" customHeight="1">
      <c r="A254" t="inlineStr">
        <is>
          <t>A 20851-2019</t>
        </is>
      </c>
      <c r="B254" s="1" t="n">
        <v>43577</v>
      </c>
      <c r="C254" s="1" t="n">
        <v>45784</v>
      </c>
      <c r="D254" t="inlineStr">
        <is>
          <t>JÄMTLANDS LÄN</t>
        </is>
      </c>
      <c r="E254" t="inlineStr">
        <is>
          <t>HÄRJEDALEN</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21040-2019</t>
        </is>
      </c>
      <c r="B255" s="1" t="n">
        <v>43578</v>
      </c>
      <c r="C255" s="1" t="n">
        <v>45784</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21189-2019</t>
        </is>
      </c>
      <c r="B256" s="1" t="n">
        <v>43579</v>
      </c>
      <c r="C256" s="1" t="n">
        <v>45784</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22622-2019</t>
        </is>
      </c>
      <c r="B257" s="1" t="n">
        <v>43588</v>
      </c>
      <c r="C257" s="1" t="n">
        <v>45784</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24030-2019</t>
        </is>
      </c>
      <c r="B258" s="1" t="n">
        <v>43598</v>
      </c>
      <c r="C258" s="1" t="n">
        <v>45784</v>
      </c>
      <c r="D258" t="inlineStr">
        <is>
          <t>JÄMTLANDS LÄN</t>
        </is>
      </c>
      <c r="E258" t="inlineStr">
        <is>
          <t>HÄRJEDALEN</t>
        </is>
      </c>
      <c r="F258" t="inlineStr">
        <is>
          <t>Sveaskog</t>
        </is>
      </c>
      <c r="G258" t="n">
        <v>39.9</v>
      </c>
      <c r="H258" t="n">
        <v>0</v>
      </c>
      <c r="I258" t="n">
        <v>0</v>
      </c>
      <c r="J258" t="n">
        <v>0</v>
      </c>
      <c r="K258" t="n">
        <v>0</v>
      </c>
      <c r="L258" t="n">
        <v>0</v>
      </c>
      <c r="M258" t="n">
        <v>0</v>
      </c>
      <c r="N258" t="n">
        <v>0</v>
      </c>
      <c r="O258" t="n">
        <v>0</v>
      </c>
      <c r="P258" t="n">
        <v>0</v>
      </c>
      <c r="Q258" t="n">
        <v>0</v>
      </c>
      <c r="R258" s="2" t="inlineStr"/>
    </row>
    <row r="259" ht="15" customHeight="1">
      <c r="A259" t="inlineStr">
        <is>
          <t>A 24760-2019</t>
        </is>
      </c>
      <c r="B259" s="1" t="n">
        <v>43601</v>
      </c>
      <c r="C259" s="1" t="n">
        <v>45784</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25309-2019</t>
        </is>
      </c>
      <c r="B260" s="1" t="n">
        <v>43605</v>
      </c>
      <c r="C260" s="1" t="n">
        <v>45784</v>
      </c>
      <c r="D260" t="inlineStr">
        <is>
          <t>JÄMTLANDS LÄN</t>
        </is>
      </c>
      <c r="E260" t="inlineStr">
        <is>
          <t>HÄRJEDALEN</t>
        </is>
      </c>
      <c r="G260" t="n">
        <v>0.1</v>
      </c>
      <c r="H260" t="n">
        <v>0</v>
      </c>
      <c r="I260" t="n">
        <v>0</v>
      </c>
      <c r="J260" t="n">
        <v>0</v>
      </c>
      <c r="K260" t="n">
        <v>0</v>
      </c>
      <c r="L260" t="n">
        <v>0</v>
      </c>
      <c r="M260" t="n">
        <v>0</v>
      </c>
      <c r="N260" t="n">
        <v>0</v>
      </c>
      <c r="O260" t="n">
        <v>0</v>
      </c>
      <c r="P260" t="n">
        <v>0</v>
      </c>
      <c r="Q260" t="n">
        <v>0</v>
      </c>
      <c r="R260" s="2" t="inlineStr"/>
    </row>
    <row r="261" ht="15" customHeight="1">
      <c r="A261" t="inlineStr">
        <is>
          <t>A 25470-2019</t>
        </is>
      </c>
      <c r="B261" s="1" t="n">
        <v>43606</v>
      </c>
      <c r="C261" s="1" t="n">
        <v>45784</v>
      </c>
      <c r="D261" t="inlineStr">
        <is>
          <t>JÄMTLANDS LÄN</t>
        </is>
      </c>
      <c r="E261" t="inlineStr">
        <is>
          <t>HÄRJEDALEN</t>
        </is>
      </c>
      <c r="G261" t="n">
        <v>36.8</v>
      </c>
      <c r="H261" t="n">
        <v>0</v>
      </c>
      <c r="I261" t="n">
        <v>0</v>
      </c>
      <c r="J261" t="n">
        <v>0</v>
      </c>
      <c r="K261" t="n">
        <v>0</v>
      </c>
      <c r="L261" t="n">
        <v>0</v>
      </c>
      <c r="M261" t="n">
        <v>0</v>
      </c>
      <c r="N261" t="n">
        <v>0</v>
      </c>
      <c r="O261" t="n">
        <v>0</v>
      </c>
      <c r="P261" t="n">
        <v>0</v>
      </c>
      <c r="Q261" t="n">
        <v>0</v>
      </c>
      <c r="R261" s="2" t="inlineStr"/>
    </row>
    <row r="262" ht="15" customHeight="1">
      <c r="A262" t="inlineStr">
        <is>
          <t>A 26166-2019</t>
        </is>
      </c>
      <c r="B262" s="1" t="n">
        <v>43609</v>
      </c>
      <c r="C262" s="1" t="n">
        <v>45784</v>
      </c>
      <c r="D262" t="inlineStr">
        <is>
          <t>JÄMTLANDS LÄN</t>
        </is>
      </c>
      <c r="E262" t="inlineStr">
        <is>
          <t>HÄRJEDALEN</t>
        </is>
      </c>
      <c r="G262" t="n">
        <v>85.2</v>
      </c>
      <c r="H262" t="n">
        <v>0</v>
      </c>
      <c r="I262" t="n">
        <v>0</v>
      </c>
      <c r="J262" t="n">
        <v>0</v>
      </c>
      <c r="K262" t="n">
        <v>0</v>
      </c>
      <c r="L262" t="n">
        <v>0</v>
      </c>
      <c r="M262" t="n">
        <v>0</v>
      </c>
      <c r="N262" t="n">
        <v>0</v>
      </c>
      <c r="O262" t="n">
        <v>0</v>
      </c>
      <c r="P262" t="n">
        <v>0</v>
      </c>
      <c r="Q262" t="n">
        <v>0</v>
      </c>
      <c r="R262" s="2" t="inlineStr"/>
    </row>
    <row r="263" ht="15" customHeight="1">
      <c r="A263" t="inlineStr">
        <is>
          <t>A 26310-2019</t>
        </is>
      </c>
      <c r="B263" s="1" t="n">
        <v>43612</v>
      </c>
      <c r="C263" s="1" t="n">
        <v>45784</v>
      </c>
      <c r="D263" t="inlineStr">
        <is>
          <t>JÄMTLANDS LÄN</t>
        </is>
      </c>
      <c r="E263" t="inlineStr">
        <is>
          <t>HÄRJEDALEN</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26423-2019</t>
        </is>
      </c>
      <c r="B264" s="1" t="n">
        <v>43612</v>
      </c>
      <c r="C264" s="1" t="n">
        <v>45784</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27683-2019</t>
        </is>
      </c>
      <c r="B265" s="1" t="n">
        <v>43619</v>
      </c>
      <c r="C265" s="1" t="n">
        <v>45784</v>
      </c>
      <c r="D265" t="inlineStr">
        <is>
          <t>JÄMTLANDS LÄN</t>
        </is>
      </c>
      <c r="E265" t="inlineStr">
        <is>
          <t>HÄRJEDALEN</t>
        </is>
      </c>
      <c r="G265" t="n">
        <v>5.4</v>
      </c>
      <c r="H265" t="n">
        <v>0</v>
      </c>
      <c r="I265" t="n">
        <v>0</v>
      </c>
      <c r="J265" t="n">
        <v>0</v>
      </c>
      <c r="K265" t="n">
        <v>0</v>
      </c>
      <c r="L265" t="n">
        <v>0</v>
      </c>
      <c r="M265" t="n">
        <v>0</v>
      </c>
      <c r="N265" t="n">
        <v>0</v>
      </c>
      <c r="O265" t="n">
        <v>0</v>
      </c>
      <c r="P265" t="n">
        <v>0</v>
      </c>
      <c r="Q265" t="n">
        <v>0</v>
      </c>
      <c r="R265" s="2" t="inlineStr"/>
    </row>
    <row r="266" ht="15" customHeight="1">
      <c r="A266" t="inlineStr">
        <is>
          <t>A 27903-2019</t>
        </is>
      </c>
      <c r="B266" s="1" t="n">
        <v>43620</v>
      </c>
      <c r="C266" s="1" t="n">
        <v>45784</v>
      </c>
      <c r="D266" t="inlineStr">
        <is>
          <t>JÄMTLANDS LÄN</t>
        </is>
      </c>
      <c r="E266" t="inlineStr">
        <is>
          <t>HÄRJEDALEN</t>
        </is>
      </c>
      <c r="G266" t="n">
        <v>22</v>
      </c>
      <c r="H266" t="n">
        <v>0</v>
      </c>
      <c r="I266" t="n">
        <v>0</v>
      </c>
      <c r="J266" t="n">
        <v>0</v>
      </c>
      <c r="K266" t="n">
        <v>0</v>
      </c>
      <c r="L266" t="n">
        <v>0</v>
      </c>
      <c r="M266" t="n">
        <v>0</v>
      </c>
      <c r="N266" t="n">
        <v>0</v>
      </c>
      <c r="O266" t="n">
        <v>0</v>
      </c>
      <c r="P266" t="n">
        <v>0</v>
      </c>
      <c r="Q266" t="n">
        <v>0</v>
      </c>
      <c r="R266" s="2" t="inlineStr"/>
    </row>
    <row r="267" ht="15" customHeight="1">
      <c r="A267" t="inlineStr">
        <is>
          <t>A 28312-2019</t>
        </is>
      </c>
      <c r="B267" s="1" t="n">
        <v>43623</v>
      </c>
      <c r="C267" s="1" t="n">
        <v>45784</v>
      </c>
      <c r="D267" t="inlineStr">
        <is>
          <t>JÄMTLANDS LÄN</t>
        </is>
      </c>
      <c r="E267" t="inlineStr">
        <is>
          <t>HÄRJEDALEN</t>
        </is>
      </c>
      <c r="G267" t="n">
        <v>6.5</v>
      </c>
      <c r="H267" t="n">
        <v>0</v>
      </c>
      <c r="I267" t="n">
        <v>0</v>
      </c>
      <c r="J267" t="n">
        <v>0</v>
      </c>
      <c r="K267" t="n">
        <v>0</v>
      </c>
      <c r="L267" t="n">
        <v>0</v>
      </c>
      <c r="M267" t="n">
        <v>0</v>
      </c>
      <c r="N267" t="n">
        <v>0</v>
      </c>
      <c r="O267" t="n">
        <v>0</v>
      </c>
      <c r="P267" t="n">
        <v>0</v>
      </c>
      <c r="Q267" t="n">
        <v>0</v>
      </c>
      <c r="R267" s="2" t="inlineStr"/>
    </row>
    <row r="268" ht="15" customHeight="1">
      <c r="A268" t="inlineStr">
        <is>
          <t>A 28326-2019</t>
        </is>
      </c>
      <c r="B268" s="1" t="n">
        <v>43623</v>
      </c>
      <c r="C268" s="1" t="n">
        <v>45784</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28513-2019</t>
        </is>
      </c>
      <c r="B269" s="1" t="n">
        <v>43626</v>
      </c>
      <c r="C269" s="1" t="n">
        <v>45784</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29263-2019</t>
        </is>
      </c>
      <c r="B270" s="1" t="n">
        <v>43629</v>
      </c>
      <c r="C270" s="1" t="n">
        <v>45784</v>
      </c>
      <c r="D270" t="inlineStr">
        <is>
          <t>JÄMTLANDS LÄN</t>
        </is>
      </c>
      <c r="E270" t="inlineStr">
        <is>
          <t>HÄRJEDALEN</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29822-2019</t>
        </is>
      </c>
      <c r="B271" s="1" t="n">
        <v>43633</v>
      </c>
      <c r="C271" s="1" t="n">
        <v>45784</v>
      </c>
      <c r="D271" t="inlineStr">
        <is>
          <t>JÄMTLANDS LÄN</t>
        </is>
      </c>
      <c r="E271" t="inlineStr">
        <is>
          <t>HÄRJEDALEN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34618-2019</t>
        </is>
      </c>
      <c r="B272" s="1" t="n">
        <v>43647</v>
      </c>
      <c r="C272" s="1" t="n">
        <v>45784</v>
      </c>
      <c r="D272" t="inlineStr">
        <is>
          <t>JÄMTLANDS LÄN</t>
        </is>
      </c>
      <c r="E272" t="inlineStr">
        <is>
          <t>HÄRJEDALEN</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32878-2019</t>
        </is>
      </c>
      <c r="B273" s="1" t="n">
        <v>43648</v>
      </c>
      <c r="C273" s="1" t="n">
        <v>45784</v>
      </c>
      <c r="D273" t="inlineStr">
        <is>
          <t>JÄMTLANDS LÄN</t>
        </is>
      </c>
      <c r="E273" t="inlineStr">
        <is>
          <t>HÄRJEDALEN</t>
        </is>
      </c>
      <c r="F273" t="inlineStr">
        <is>
          <t>Övriga Aktiebolag</t>
        </is>
      </c>
      <c r="G273" t="n">
        <v>91.8</v>
      </c>
      <c r="H273" t="n">
        <v>0</v>
      </c>
      <c r="I273" t="n">
        <v>0</v>
      </c>
      <c r="J273" t="n">
        <v>0</v>
      </c>
      <c r="K273" t="n">
        <v>0</v>
      </c>
      <c r="L273" t="n">
        <v>0</v>
      </c>
      <c r="M273" t="n">
        <v>0</v>
      </c>
      <c r="N273" t="n">
        <v>0</v>
      </c>
      <c r="O273" t="n">
        <v>0</v>
      </c>
      <c r="P273" t="n">
        <v>0</v>
      </c>
      <c r="Q273" t="n">
        <v>0</v>
      </c>
      <c r="R273" s="2" t="inlineStr"/>
    </row>
    <row r="274" ht="15" customHeight="1">
      <c r="A274" t="inlineStr">
        <is>
          <t>A 33496-2019</t>
        </is>
      </c>
      <c r="B274" s="1" t="n">
        <v>43651</v>
      </c>
      <c r="C274" s="1" t="n">
        <v>45784</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33497-2019</t>
        </is>
      </c>
      <c r="B275" s="1" t="n">
        <v>43651</v>
      </c>
      <c r="C275" s="1" t="n">
        <v>45784</v>
      </c>
      <c r="D275" t="inlineStr">
        <is>
          <t>JÄMTLANDS LÄN</t>
        </is>
      </c>
      <c r="E275" t="inlineStr">
        <is>
          <t>HÄRJEDALEN</t>
        </is>
      </c>
      <c r="G275" t="n">
        <v>1.9</v>
      </c>
      <c r="H275" t="n">
        <v>0</v>
      </c>
      <c r="I275" t="n">
        <v>0</v>
      </c>
      <c r="J275" t="n">
        <v>0</v>
      </c>
      <c r="K275" t="n">
        <v>0</v>
      </c>
      <c r="L275" t="n">
        <v>0</v>
      </c>
      <c r="M275" t="n">
        <v>0</v>
      </c>
      <c r="N275" t="n">
        <v>0</v>
      </c>
      <c r="O275" t="n">
        <v>0</v>
      </c>
      <c r="P275" t="n">
        <v>0</v>
      </c>
      <c r="Q275" t="n">
        <v>0</v>
      </c>
      <c r="R275" s="2" t="inlineStr"/>
    </row>
    <row r="276" ht="15" customHeight="1">
      <c r="A276" t="inlineStr">
        <is>
          <t>A 34688-2019</t>
        </is>
      </c>
      <c r="B276" s="1" t="n">
        <v>43657</v>
      </c>
      <c r="C276" s="1" t="n">
        <v>45784</v>
      </c>
      <c r="D276" t="inlineStr">
        <is>
          <t>JÄMTLANDS LÄN</t>
        </is>
      </c>
      <c r="E276" t="inlineStr">
        <is>
          <t>HÄRJEDALEN</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34805-2019</t>
        </is>
      </c>
      <c r="B277" s="1" t="n">
        <v>43658</v>
      </c>
      <c r="C277" s="1" t="n">
        <v>45784</v>
      </c>
      <c r="D277" t="inlineStr">
        <is>
          <t>JÄMTLANDS LÄN</t>
        </is>
      </c>
      <c r="E277" t="inlineStr">
        <is>
          <t>HÄRJEDALEN</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35160-2019</t>
        </is>
      </c>
      <c r="B278" s="1" t="n">
        <v>43661</v>
      </c>
      <c r="C278" s="1" t="n">
        <v>45784</v>
      </c>
      <c r="D278" t="inlineStr">
        <is>
          <t>JÄMTLANDS LÄN</t>
        </is>
      </c>
      <c r="E278" t="inlineStr">
        <is>
          <t>HÄRJEDALEN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36343-2019</t>
        </is>
      </c>
      <c r="B279" s="1" t="n">
        <v>43662</v>
      </c>
      <c r="C279" s="1" t="n">
        <v>45784</v>
      </c>
      <c r="D279" t="inlineStr">
        <is>
          <t>JÄMTLANDS LÄN</t>
        </is>
      </c>
      <c r="E279" t="inlineStr">
        <is>
          <t>HÄRJEDALEN</t>
        </is>
      </c>
      <c r="G279" t="n">
        <v>8</v>
      </c>
      <c r="H279" t="n">
        <v>0</v>
      </c>
      <c r="I279" t="n">
        <v>0</v>
      </c>
      <c r="J279" t="n">
        <v>0</v>
      </c>
      <c r="K279" t="n">
        <v>0</v>
      </c>
      <c r="L279" t="n">
        <v>0</v>
      </c>
      <c r="M279" t="n">
        <v>0</v>
      </c>
      <c r="N279" t="n">
        <v>0</v>
      </c>
      <c r="O279" t="n">
        <v>0</v>
      </c>
      <c r="P279" t="n">
        <v>0</v>
      </c>
      <c r="Q279" t="n">
        <v>0</v>
      </c>
      <c r="R279" s="2" t="inlineStr"/>
    </row>
    <row r="280" ht="15" customHeight="1">
      <c r="A280" t="inlineStr">
        <is>
          <t>A 38283-2019</t>
        </is>
      </c>
      <c r="B280" s="1" t="n">
        <v>43684</v>
      </c>
      <c r="C280" s="1" t="n">
        <v>45784</v>
      </c>
      <c r="D280" t="inlineStr">
        <is>
          <t>JÄMTLANDS LÄN</t>
        </is>
      </c>
      <c r="E280" t="inlineStr">
        <is>
          <t>HÄRJEDALEN</t>
        </is>
      </c>
      <c r="F280" t="inlineStr">
        <is>
          <t>Bergvik skog väst AB</t>
        </is>
      </c>
      <c r="G280" t="n">
        <v>29.5</v>
      </c>
      <c r="H280" t="n">
        <v>0</v>
      </c>
      <c r="I280" t="n">
        <v>0</v>
      </c>
      <c r="J280" t="n">
        <v>0</v>
      </c>
      <c r="K280" t="n">
        <v>0</v>
      </c>
      <c r="L280" t="n">
        <v>0</v>
      </c>
      <c r="M280" t="n">
        <v>0</v>
      </c>
      <c r="N280" t="n">
        <v>0</v>
      </c>
      <c r="O280" t="n">
        <v>0</v>
      </c>
      <c r="P280" t="n">
        <v>0</v>
      </c>
      <c r="Q280" t="n">
        <v>0</v>
      </c>
      <c r="R280" s="2" t="inlineStr"/>
    </row>
    <row r="281" ht="15" customHeight="1">
      <c r="A281" t="inlineStr">
        <is>
          <t>A 38859-2019</t>
        </is>
      </c>
      <c r="B281" s="1" t="n">
        <v>43689</v>
      </c>
      <c r="C281" s="1" t="n">
        <v>45784</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38884-2019</t>
        </is>
      </c>
      <c r="B282" s="1" t="n">
        <v>43689</v>
      </c>
      <c r="C282" s="1" t="n">
        <v>45784</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40244-2019</t>
        </is>
      </c>
      <c r="B283" s="1" t="n">
        <v>43694</v>
      </c>
      <c r="C283" s="1" t="n">
        <v>45784</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42123-2019</t>
        </is>
      </c>
      <c r="B284" s="1" t="n">
        <v>43703</v>
      </c>
      <c r="C284" s="1" t="n">
        <v>45784</v>
      </c>
      <c r="D284" t="inlineStr">
        <is>
          <t>JÄMTLANDS LÄN</t>
        </is>
      </c>
      <c r="E284" t="inlineStr">
        <is>
          <t>HÄRJEDALEN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43103-2019</t>
        </is>
      </c>
      <c r="B285" s="1" t="n">
        <v>43705</v>
      </c>
      <c r="C285" s="1" t="n">
        <v>45784</v>
      </c>
      <c r="D285" t="inlineStr">
        <is>
          <t>JÄMTLANDS LÄN</t>
        </is>
      </c>
      <c r="E285" t="inlineStr">
        <is>
          <t>HÄRJEDALEN</t>
        </is>
      </c>
      <c r="G285" t="n">
        <v>38.6</v>
      </c>
      <c r="H285" t="n">
        <v>0</v>
      </c>
      <c r="I285" t="n">
        <v>0</v>
      </c>
      <c r="J285" t="n">
        <v>0</v>
      </c>
      <c r="K285" t="n">
        <v>0</v>
      </c>
      <c r="L285" t="n">
        <v>0</v>
      </c>
      <c r="M285" t="n">
        <v>0</v>
      </c>
      <c r="N285" t="n">
        <v>0</v>
      </c>
      <c r="O285" t="n">
        <v>0</v>
      </c>
      <c r="P285" t="n">
        <v>0</v>
      </c>
      <c r="Q285" t="n">
        <v>0</v>
      </c>
      <c r="R285" s="2" t="inlineStr"/>
    </row>
    <row r="286" ht="15" customHeight="1">
      <c r="A286" t="inlineStr">
        <is>
          <t>A 43142-2019</t>
        </is>
      </c>
      <c r="B286" s="1" t="n">
        <v>43705</v>
      </c>
      <c r="C286" s="1" t="n">
        <v>45784</v>
      </c>
      <c r="D286" t="inlineStr">
        <is>
          <t>JÄMTLANDS LÄN</t>
        </is>
      </c>
      <c r="E286" t="inlineStr">
        <is>
          <t>HÄRJEDALEN</t>
        </is>
      </c>
      <c r="G286" t="n">
        <v>3.2</v>
      </c>
      <c r="H286" t="n">
        <v>0</v>
      </c>
      <c r="I286" t="n">
        <v>0</v>
      </c>
      <c r="J286" t="n">
        <v>0</v>
      </c>
      <c r="K286" t="n">
        <v>0</v>
      </c>
      <c r="L286" t="n">
        <v>0</v>
      </c>
      <c r="M286" t="n">
        <v>0</v>
      </c>
      <c r="N286" t="n">
        <v>0</v>
      </c>
      <c r="O286" t="n">
        <v>0</v>
      </c>
      <c r="P286" t="n">
        <v>0</v>
      </c>
      <c r="Q286" t="n">
        <v>0</v>
      </c>
      <c r="R286" s="2" t="inlineStr"/>
    </row>
    <row r="287" ht="15" customHeight="1">
      <c r="A287" t="inlineStr">
        <is>
          <t>A 43649-2019</t>
        </is>
      </c>
      <c r="B287" s="1" t="n">
        <v>43707</v>
      </c>
      <c r="C287" s="1" t="n">
        <v>45784</v>
      </c>
      <c r="D287" t="inlineStr">
        <is>
          <t>JÄMTLANDS LÄN</t>
        </is>
      </c>
      <c r="E287" t="inlineStr">
        <is>
          <t>HÄRJEDALEN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43896-2019</t>
        </is>
      </c>
      <c r="B288" s="1" t="n">
        <v>43707</v>
      </c>
      <c r="C288" s="1" t="n">
        <v>45784</v>
      </c>
      <c r="D288" t="inlineStr">
        <is>
          <t>JÄMTLANDS LÄN</t>
        </is>
      </c>
      <c r="E288" t="inlineStr">
        <is>
          <t>HÄRJEDALEN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45167-2019</t>
        </is>
      </c>
      <c r="B289" s="1" t="n">
        <v>43713</v>
      </c>
      <c r="C289" s="1" t="n">
        <v>45784</v>
      </c>
      <c r="D289" t="inlineStr">
        <is>
          <t>JÄMTLANDS LÄN</t>
        </is>
      </c>
      <c r="E289" t="inlineStr">
        <is>
          <t>HÄRJEDALEN</t>
        </is>
      </c>
      <c r="F289" t="inlineStr">
        <is>
          <t>Holmen skog AB</t>
        </is>
      </c>
      <c r="G289" t="n">
        <v>15.9</v>
      </c>
      <c r="H289" t="n">
        <v>0</v>
      </c>
      <c r="I289" t="n">
        <v>0</v>
      </c>
      <c r="J289" t="n">
        <v>0</v>
      </c>
      <c r="K289" t="n">
        <v>0</v>
      </c>
      <c r="L289" t="n">
        <v>0</v>
      </c>
      <c r="M289" t="n">
        <v>0</v>
      </c>
      <c r="N289" t="n">
        <v>0</v>
      </c>
      <c r="O289" t="n">
        <v>0</v>
      </c>
      <c r="P289" t="n">
        <v>0</v>
      </c>
      <c r="Q289" t="n">
        <v>0</v>
      </c>
      <c r="R289" s="2" t="inlineStr"/>
    </row>
    <row r="290" ht="15" customHeight="1">
      <c r="A290" t="inlineStr">
        <is>
          <t>A 44939-2019</t>
        </is>
      </c>
      <c r="B290" s="1" t="n">
        <v>43713</v>
      </c>
      <c r="C290" s="1" t="n">
        <v>45784</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45858-2019</t>
        </is>
      </c>
      <c r="B291" s="1" t="n">
        <v>43717</v>
      </c>
      <c r="C291" s="1" t="n">
        <v>45784</v>
      </c>
      <c r="D291" t="inlineStr">
        <is>
          <t>JÄMTLANDS LÄN</t>
        </is>
      </c>
      <c r="E291" t="inlineStr">
        <is>
          <t>HÄRJEDALEN</t>
        </is>
      </c>
      <c r="F291" t="inlineStr">
        <is>
          <t>Holmen skog AB</t>
        </is>
      </c>
      <c r="G291" t="n">
        <v>3.9</v>
      </c>
      <c r="H291" t="n">
        <v>0</v>
      </c>
      <c r="I291" t="n">
        <v>0</v>
      </c>
      <c r="J291" t="n">
        <v>0</v>
      </c>
      <c r="K291" t="n">
        <v>0</v>
      </c>
      <c r="L291" t="n">
        <v>0</v>
      </c>
      <c r="M291" t="n">
        <v>0</v>
      </c>
      <c r="N291" t="n">
        <v>0</v>
      </c>
      <c r="O291" t="n">
        <v>0</v>
      </c>
      <c r="P291" t="n">
        <v>0</v>
      </c>
      <c r="Q291" t="n">
        <v>0</v>
      </c>
      <c r="R291" s="2" t="inlineStr"/>
    </row>
    <row r="292" ht="15" customHeight="1">
      <c r="A292" t="inlineStr">
        <is>
          <t>A 46156-2019</t>
        </is>
      </c>
      <c r="B292" s="1" t="n">
        <v>43718</v>
      </c>
      <c r="C292" s="1" t="n">
        <v>45784</v>
      </c>
      <c r="D292" t="inlineStr">
        <is>
          <t>JÄMTLANDS LÄN</t>
        </is>
      </c>
      <c r="E292" t="inlineStr">
        <is>
          <t>HÄRJEDALEN</t>
        </is>
      </c>
      <c r="G292" t="n">
        <v>3.9</v>
      </c>
      <c r="H292" t="n">
        <v>0</v>
      </c>
      <c r="I292" t="n">
        <v>0</v>
      </c>
      <c r="J292" t="n">
        <v>0</v>
      </c>
      <c r="K292" t="n">
        <v>0</v>
      </c>
      <c r="L292" t="n">
        <v>0</v>
      </c>
      <c r="M292" t="n">
        <v>0</v>
      </c>
      <c r="N292" t="n">
        <v>0</v>
      </c>
      <c r="O292" t="n">
        <v>0</v>
      </c>
      <c r="P292" t="n">
        <v>0</v>
      </c>
      <c r="Q292" t="n">
        <v>0</v>
      </c>
      <c r="R292" s="2" t="inlineStr"/>
    </row>
    <row r="293" ht="15" customHeight="1">
      <c r="A293" t="inlineStr">
        <is>
          <t>A 46133-2019</t>
        </is>
      </c>
      <c r="B293" s="1" t="n">
        <v>43718</v>
      </c>
      <c r="C293" s="1" t="n">
        <v>45784</v>
      </c>
      <c r="D293" t="inlineStr">
        <is>
          <t>JÄMTLANDS LÄN</t>
        </is>
      </c>
      <c r="E293" t="inlineStr">
        <is>
          <t>HÄRJEDALEN</t>
        </is>
      </c>
      <c r="G293" t="n">
        <v>17.6</v>
      </c>
      <c r="H293" t="n">
        <v>0</v>
      </c>
      <c r="I293" t="n">
        <v>0</v>
      </c>
      <c r="J293" t="n">
        <v>0</v>
      </c>
      <c r="K293" t="n">
        <v>0</v>
      </c>
      <c r="L293" t="n">
        <v>0</v>
      </c>
      <c r="M293" t="n">
        <v>0</v>
      </c>
      <c r="N293" t="n">
        <v>0</v>
      </c>
      <c r="O293" t="n">
        <v>0</v>
      </c>
      <c r="P293" t="n">
        <v>0</v>
      </c>
      <c r="Q293" t="n">
        <v>0</v>
      </c>
      <c r="R293" s="2" t="inlineStr"/>
    </row>
    <row r="294" ht="15" customHeight="1">
      <c r="A294" t="inlineStr">
        <is>
          <t>A 46163-2019</t>
        </is>
      </c>
      <c r="B294" s="1" t="n">
        <v>43718</v>
      </c>
      <c r="C294" s="1" t="n">
        <v>45784</v>
      </c>
      <c r="D294" t="inlineStr">
        <is>
          <t>JÄMTLANDS LÄN</t>
        </is>
      </c>
      <c r="E294" t="inlineStr">
        <is>
          <t>HÄRJEDALEN</t>
        </is>
      </c>
      <c r="G294" t="n">
        <v>28.9</v>
      </c>
      <c r="H294" t="n">
        <v>0</v>
      </c>
      <c r="I294" t="n">
        <v>0</v>
      </c>
      <c r="J294" t="n">
        <v>0</v>
      </c>
      <c r="K294" t="n">
        <v>0</v>
      </c>
      <c r="L294" t="n">
        <v>0</v>
      </c>
      <c r="M294" t="n">
        <v>0</v>
      </c>
      <c r="N294" t="n">
        <v>0</v>
      </c>
      <c r="O294" t="n">
        <v>0</v>
      </c>
      <c r="P294" t="n">
        <v>0</v>
      </c>
      <c r="Q294" t="n">
        <v>0</v>
      </c>
      <c r="R294" s="2" t="inlineStr"/>
    </row>
    <row r="295" ht="15" customHeight="1">
      <c r="A295" t="inlineStr">
        <is>
          <t>A 47004-2019</t>
        </is>
      </c>
      <c r="B295" s="1" t="n">
        <v>43720</v>
      </c>
      <c r="C295" s="1" t="n">
        <v>45784</v>
      </c>
      <c r="D295" t="inlineStr">
        <is>
          <t>JÄMTLANDS LÄN</t>
        </is>
      </c>
      <c r="E295" t="inlineStr">
        <is>
          <t>HÄRJEDALEN</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49328-2019</t>
        </is>
      </c>
      <c r="B296" s="1" t="n">
        <v>43731</v>
      </c>
      <c r="C296" s="1" t="n">
        <v>45784</v>
      </c>
      <c r="D296" t="inlineStr">
        <is>
          <t>JÄMTLANDS LÄN</t>
        </is>
      </c>
      <c r="E296" t="inlineStr">
        <is>
          <t>HÄRJEDALEN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49336-2019</t>
        </is>
      </c>
      <c r="B297" s="1" t="n">
        <v>43731</v>
      </c>
      <c r="C297" s="1" t="n">
        <v>45784</v>
      </c>
      <c r="D297" t="inlineStr">
        <is>
          <t>JÄMTLANDS LÄN</t>
        </is>
      </c>
      <c r="E297" t="inlineStr">
        <is>
          <t>HÄRJEDALEN</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50310-2019</t>
        </is>
      </c>
      <c r="B298" s="1" t="n">
        <v>43735</v>
      </c>
      <c r="C298" s="1" t="n">
        <v>45784</v>
      </c>
      <c r="D298" t="inlineStr">
        <is>
          <t>JÄMTLANDS LÄN</t>
        </is>
      </c>
      <c r="E298" t="inlineStr">
        <is>
          <t>HÄRJEDALEN</t>
        </is>
      </c>
      <c r="G298" t="n">
        <v>9.1</v>
      </c>
      <c r="H298" t="n">
        <v>0</v>
      </c>
      <c r="I298" t="n">
        <v>0</v>
      </c>
      <c r="J298" t="n">
        <v>0</v>
      </c>
      <c r="K298" t="n">
        <v>0</v>
      </c>
      <c r="L298" t="n">
        <v>0</v>
      </c>
      <c r="M298" t="n">
        <v>0</v>
      </c>
      <c r="N298" t="n">
        <v>0</v>
      </c>
      <c r="O298" t="n">
        <v>0</v>
      </c>
      <c r="P298" t="n">
        <v>0</v>
      </c>
      <c r="Q298" t="n">
        <v>0</v>
      </c>
      <c r="R298" s="2" t="inlineStr"/>
    </row>
    <row r="299" ht="15" customHeight="1">
      <c r="A299" t="inlineStr">
        <is>
          <t>A 50411-2019</t>
        </is>
      </c>
      <c r="B299" s="1" t="n">
        <v>43735</v>
      </c>
      <c r="C299" s="1" t="n">
        <v>45784</v>
      </c>
      <c r="D299" t="inlineStr">
        <is>
          <t>JÄMTLANDS LÄN</t>
        </is>
      </c>
      <c r="E299" t="inlineStr">
        <is>
          <t>HÄRJEDALEN</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50519-2019</t>
        </is>
      </c>
      <c r="B300" s="1" t="n">
        <v>43735</v>
      </c>
      <c r="C300" s="1" t="n">
        <v>45784</v>
      </c>
      <c r="D300" t="inlineStr">
        <is>
          <t>JÄMTLANDS LÄN</t>
        </is>
      </c>
      <c r="E300" t="inlineStr">
        <is>
          <t>HÄRJEDALEN</t>
        </is>
      </c>
      <c r="G300" t="n">
        <v>4.2</v>
      </c>
      <c r="H300" t="n">
        <v>0</v>
      </c>
      <c r="I300" t="n">
        <v>0</v>
      </c>
      <c r="J300" t="n">
        <v>0</v>
      </c>
      <c r="K300" t="n">
        <v>0</v>
      </c>
      <c r="L300" t="n">
        <v>0</v>
      </c>
      <c r="M300" t="n">
        <v>0</v>
      </c>
      <c r="N300" t="n">
        <v>0</v>
      </c>
      <c r="O300" t="n">
        <v>0</v>
      </c>
      <c r="P300" t="n">
        <v>0</v>
      </c>
      <c r="Q300" t="n">
        <v>0</v>
      </c>
      <c r="R300" s="2" t="inlineStr"/>
    </row>
    <row r="301" ht="15" customHeight="1">
      <c r="A301" t="inlineStr">
        <is>
          <t>A 50624-2019</t>
        </is>
      </c>
      <c r="B301" s="1" t="n">
        <v>43736</v>
      </c>
      <c r="C301" s="1" t="n">
        <v>45784</v>
      </c>
      <c r="D301" t="inlineStr">
        <is>
          <t>JÄMTLANDS LÄN</t>
        </is>
      </c>
      <c r="E301" t="inlineStr">
        <is>
          <t>HÄRJEDALEN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51108-2019</t>
        </is>
      </c>
      <c r="B302" s="1" t="n">
        <v>43739</v>
      </c>
      <c r="C302" s="1" t="n">
        <v>45784</v>
      </c>
      <c r="D302" t="inlineStr">
        <is>
          <t>JÄMTLANDS LÄN</t>
        </is>
      </c>
      <c r="E302" t="inlineStr">
        <is>
          <t>HÄRJEDALEN</t>
        </is>
      </c>
      <c r="G302" t="n">
        <v>4.2</v>
      </c>
      <c r="H302" t="n">
        <v>0</v>
      </c>
      <c r="I302" t="n">
        <v>0</v>
      </c>
      <c r="J302" t="n">
        <v>0</v>
      </c>
      <c r="K302" t="n">
        <v>0</v>
      </c>
      <c r="L302" t="n">
        <v>0</v>
      </c>
      <c r="M302" t="n">
        <v>0</v>
      </c>
      <c r="N302" t="n">
        <v>0</v>
      </c>
      <c r="O302" t="n">
        <v>0</v>
      </c>
      <c r="P302" t="n">
        <v>0</v>
      </c>
      <c r="Q302" t="n">
        <v>0</v>
      </c>
      <c r="R302" s="2" t="inlineStr"/>
    </row>
    <row r="303" ht="15" customHeight="1">
      <c r="A303" t="inlineStr">
        <is>
          <t>A 51118-2019</t>
        </is>
      </c>
      <c r="B303" s="1" t="n">
        <v>43739</v>
      </c>
      <c r="C303" s="1" t="n">
        <v>45784</v>
      </c>
      <c r="D303" t="inlineStr">
        <is>
          <t>JÄMTLANDS LÄN</t>
        </is>
      </c>
      <c r="E303" t="inlineStr">
        <is>
          <t>HÄRJEDALEN</t>
        </is>
      </c>
      <c r="G303" t="n">
        <v>12.5</v>
      </c>
      <c r="H303" t="n">
        <v>0</v>
      </c>
      <c r="I303" t="n">
        <v>0</v>
      </c>
      <c r="J303" t="n">
        <v>0</v>
      </c>
      <c r="K303" t="n">
        <v>0</v>
      </c>
      <c r="L303" t="n">
        <v>0</v>
      </c>
      <c r="M303" t="n">
        <v>0</v>
      </c>
      <c r="N303" t="n">
        <v>0</v>
      </c>
      <c r="O303" t="n">
        <v>0</v>
      </c>
      <c r="P303" t="n">
        <v>0</v>
      </c>
      <c r="Q303" t="n">
        <v>0</v>
      </c>
      <c r="R303" s="2" t="inlineStr"/>
    </row>
    <row r="304" ht="15" customHeight="1">
      <c r="A304" t="inlineStr">
        <is>
          <t>A 51123-2019</t>
        </is>
      </c>
      <c r="B304" s="1" t="n">
        <v>43739</v>
      </c>
      <c r="C304" s="1" t="n">
        <v>45784</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51105-2019</t>
        </is>
      </c>
      <c r="B305" s="1" t="n">
        <v>43739</v>
      </c>
      <c r="C305" s="1" t="n">
        <v>45784</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51111-2019</t>
        </is>
      </c>
      <c r="B306" s="1" t="n">
        <v>43739</v>
      </c>
      <c r="C306" s="1" t="n">
        <v>45784</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52304-2019</t>
        </is>
      </c>
      <c r="B307" s="1" t="n">
        <v>43745</v>
      </c>
      <c r="C307" s="1" t="n">
        <v>45784</v>
      </c>
      <c r="D307" t="inlineStr">
        <is>
          <t>JÄMTLANDS LÄN</t>
        </is>
      </c>
      <c r="E307" t="inlineStr">
        <is>
          <t>HÄRJEDALEN</t>
        </is>
      </c>
      <c r="G307" t="n">
        <v>4.8</v>
      </c>
      <c r="H307" t="n">
        <v>0</v>
      </c>
      <c r="I307" t="n">
        <v>0</v>
      </c>
      <c r="J307" t="n">
        <v>0</v>
      </c>
      <c r="K307" t="n">
        <v>0</v>
      </c>
      <c r="L307" t="n">
        <v>0</v>
      </c>
      <c r="M307" t="n">
        <v>0</v>
      </c>
      <c r="N307" t="n">
        <v>0</v>
      </c>
      <c r="O307" t="n">
        <v>0</v>
      </c>
      <c r="P307" t="n">
        <v>0</v>
      </c>
      <c r="Q307" t="n">
        <v>0</v>
      </c>
      <c r="R307" s="2" t="inlineStr"/>
    </row>
    <row r="308" ht="15" customHeight="1">
      <c r="A308" t="inlineStr">
        <is>
          <t>A 52709-2019</t>
        </is>
      </c>
      <c r="B308" s="1" t="n">
        <v>43746</v>
      </c>
      <c r="C308" s="1" t="n">
        <v>45784</v>
      </c>
      <c r="D308" t="inlineStr">
        <is>
          <t>JÄMTLANDS LÄN</t>
        </is>
      </c>
      <c r="E308" t="inlineStr">
        <is>
          <t>HÄRJEDALEN</t>
        </is>
      </c>
      <c r="G308" t="n">
        <v>10.6</v>
      </c>
      <c r="H308" t="n">
        <v>0</v>
      </c>
      <c r="I308" t="n">
        <v>0</v>
      </c>
      <c r="J308" t="n">
        <v>0</v>
      </c>
      <c r="K308" t="n">
        <v>0</v>
      </c>
      <c r="L308" t="n">
        <v>0</v>
      </c>
      <c r="M308" t="n">
        <v>0</v>
      </c>
      <c r="N308" t="n">
        <v>0</v>
      </c>
      <c r="O308" t="n">
        <v>0</v>
      </c>
      <c r="P308" t="n">
        <v>0</v>
      </c>
      <c r="Q308" t="n">
        <v>0</v>
      </c>
      <c r="R308" s="2" t="inlineStr"/>
    </row>
    <row r="309" ht="15" customHeight="1">
      <c r="A309" t="inlineStr">
        <is>
          <t>A 52992-2019</t>
        </is>
      </c>
      <c r="B309" s="1" t="n">
        <v>43747</v>
      </c>
      <c r="C309" s="1" t="n">
        <v>45784</v>
      </c>
      <c r="D309" t="inlineStr">
        <is>
          <t>JÄMTLANDS LÄN</t>
        </is>
      </c>
      <c r="E309" t="inlineStr">
        <is>
          <t>HÄRJEDALEN</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52991-2019</t>
        </is>
      </c>
      <c r="B310" s="1" t="n">
        <v>43747</v>
      </c>
      <c r="C310" s="1" t="n">
        <v>45784</v>
      </c>
      <c r="D310" t="inlineStr">
        <is>
          <t>JÄMTLANDS LÄN</t>
        </is>
      </c>
      <c r="E310" t="inlineStr">
        <is>
          <t>HÄRJEDALEN</t>
        </is>
      </c>
      <c r="F310" t="inlineStr">
        <is>
          <t>Sveaskog</t>
        </is>
      </c>
      <c r="G310" t="n">
        <v>13.6</v>
      </c>
      <c r="H310" t="n">
        <v>0</v>
      </c>
      <c r="I310" t="n">
        <v>0</v>
      </c>
      <c r="J310" t="n">
        <v>0</v>
      </c>
      <c r="K310" t="n">
        <v>0</v>
      </c>
      <c r="L310" t="n">
        <v>0</v>
      </c>
      <c r="M310" t="n">
        <v>0</v>
      </c>
      <c r="N310" t="n">
        <v>0</v>
      </c>
      <c r="O310" t="n">
        <v>0</v>
      </c>
      <c r="P310" t="n">
        <v>0</v>
      </c>
      <c r="Q310" t="n">
        <v>0</v>
      </c>
      <c r="R310" s="2" t="inlineStr"/>
    </row>
    <row r="311" ht="15" customHeight="1">
      <c r="A311" t="inlineStr">
        <is>
          <t>A 53418-2019</t>
        </is>
      </c>
      <c r="B311" s="1" t="n">
        <v>43748</v>
      </c>
      <c r="C311" s="1" t="n">
        <v>45784</v>
      </c>
      <c r="D311" t="inlineStr">
        <is>
          <t>JÄMTLANDS LÄN</t>
        </is>
      </c>
      <c r="E311" t="inlineStr">
        <is>
          <t>HÄRJEDALEN</t>
        </is>
      </c>
      <c r="G311" t="n">
        <v>0.4</v>
      </c>
      <c r="H311" t="n">
        <v>0</v>
      </c>
      <c r="I311" t="n">
        <v>0</v>
      </c>
      <c r="J311" t="n">
        <v>0</v>
      </c>
      <c r="K311" t="n">
        <v>0</v>
      </c>
      <c r="L311" t="n">
        <v>0</v>
      </c>
      <c r="M311" t="n">
        <v>0</v>
      </c>
      <c r="N311" t="n">
        <v>0</v>
      </c>
      <c r="O311" t="n">
        <v>0</v>
      </c>
      <c r="P311" t="n">
        <v>0</v>
      </c>
      <c r="Q311" t="n">
        <v>0</v>
      </c>
      <c r="R311" s="2" t="inlineStr"/>
    </row>
    <row r="312" ht="15" customHeight="1">
      <c r="A312" t="inlineStr">
        <is>
          <t>A 53952-2019</t>
        </is>
      </c>
      <c r="B312" s="1" t="n">
        <v>43752</v>
      </c>
      <c r="C312" s="1" t="n">
        <v>45784</v>
      </c>
      <c r="D312" t="inlineStr">
        <is>
          <t>JÄMTLANDS LÄN</t>
        </is>
      </c>
      <c r="E312" t="inlineStr">
        <is>
          <t>HÄRJEDALEN</t>
        </is>
      </c>
      <c r="G312" t="n">
        <v>8.6</v>
      </c>
      <c r="H312" t="n">
        <v>0</v>
      </c>
      <c r="I312" t="n">
        <v>0</v>
      </c>
      <c r="J312" t="n">
        <v>0</v>
      </c>
      <c r="K312" t="n">
        <v>0</v>
      </c>
      <c r="L312" t="n">
        <v>0</v>
      </c>
      <c r="M312" t="n">
        <v>0</v>
      </c>
      <c r="N312" t="n">
        <v>0</v>
      </c>
      <c r="O312" t="n">
        <v>0</v>
      </c>
      <c r="P312" t="n">
        <v>0</v>
      </c>
      <c r="Q312" t="n">
        <v>0</v>
      </c>
      <c r="R312" s="2" t="inlineStr"/>
    </row>
    <row r="313" ht="15" customHeight="1">
      <c r="A313" t="inlineStr">
        <is>
          <t>A 53962-2019</t>
        </is>
      </c>
      <c r="B313" s="1" t="n">
        <v>43752</v>
      </c>
      <c r="C313" s="1" t="n">
        <v>45784</v>
      </c>
      <c r="D313" t="inlineStr">
        <is>
          <t>JÄMTLANDS LÄN</t>
        </is>
      </c>
      <c r="E313" t="inlineStr">
        <is>
          <t>HÄRJEDALEN</t>
        </is>
      </c>
      <c r="G313" t="n">
        <v>19.4</v>
      </c>
      <c r="H313" t="n">
        <v>0</v>
      </c>
      <c r="I313" t="n">
        <v>0</v>
      </c>
      <c r="J313" t="n">
        <v>0</v>
      </c>
      <c r="K313" t="n">
        <v>0</v>
      </c>
      <c r="L313" t="n">
        <v>0</v>
      </c>
      <c r="M313" t="n">
        <v>0</v>
      </c>
      <c r="N313" t="n">
        <v>0</v>
      </c>
      <c r="O313" t="n">
        <v>0</v>
      </c>
      <c r="P313" t="n">
        <v>0</v>
      </c>
      <c r="Q313" t="n">
        <v>0</v>
      </c>
      <c r="R313" s="2" t="inlineStr"/>
    </row>
    <row r="314" ht="15" customHeight="1">
      <c r="A314" t="inlineStr">
        <is>
          <t>A 54905-2019</t>
        </is>
      </c>
      <c r="B314" s="1" t="n">
        <v>43755</v>
      </c>
      <c r="C314" s="1" t="n">
        <v>45784</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55197-2019</t>
        </is>
      </c>
      <c r="B315" s="1" t="n">
        <v>43756</v>
      </c>
      <c r="C315" s="1" t="n">
        <v>45784</v>
      </c>
      <c r="D315" t="inlineStr">
        <is>
          <t>JÄMTLANDS LÄN</t>
        </is>
      </c>
      <c r="E315" t="inlineStr">
        <is>
          <t>HÄRJEDALEN</t>
        </is>
      </c>
      <c r="F315" t="inlineStr">
        <is>
          <t>Sveaskog</t>
        </is>
      </c>
      <c r="G315" t="n">
        <v>9</v>
      </c>
      <c r="H315" t="n">
        <v>0</v>
      </c>
      <c r="I315" t="n">
        <v>0</v>
      </c>
      <c r="J315" t="n">
        <v>0</v>
      </c>
      <c r="K315" t="n">
        <v>0</v>
      </c>
      <c r="L315" t="n">
        <v>0</v>
      </c>
      <c r="M315" t="n">
        <v>0</v>
      </c>
      <c r="N315" t="n">
        <v>0</v>
      </c>
      <c r="O315" t="n">
        <v>0</v>
      </c>
      <c r="P315" t="n">
        <v>0</v>
      </c>
      <c r="Q315" t="n">
        <v>0</v>
      </c>
      <c r="R315" s="2" t="inlineStr"/>
    </row>
    <row r="316" ht="15" customHeight="1">
      <c r="A316" t="inlineStr">
        <is>
          <t>A 55241-2019</t>
        </is>
      </c>
      <c r="B316" s="1" t="n">
        <v>43756</v>
      </c>
      <c r="C316" s="1" t="n">
        <v>45784</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55193-2019</t>
        </is>
      </c>
      <c r="B317" s="1" t="n">
        <v>43756</v>
      </c>
      <c r="C317" s="1" t="n">
        <v>45784</v>
      </c>
      <c r="D317" t="inlineStr">
        <is>
          <t>JÄMTLANDS LÄN</t>
        </is>
      </c>
      <c r="E317" t="inlineStr">
        <is>
          <t>HÄRJEDALEN</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55238-2019</t>
        </is>
      </c>
      <c r="B318" s="1" t="n">
        <v>43756</v>
      </c>
      <c r="C318" s="1" t="n">
        <v>45784</v>
      </c>
      <c r="D318" t="inlineStr">
        <is>
          <t>JÄMTLANDS LÄN</t>
        </is>
      </c>
      <c r="E318" t="inlineStr">
        <is>
          <t>HÄRJEDALEN</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55801-2019</t>
        </is>
      </c>
      <c r="B319" s="1" t="n">
        <v>43759</v>
      </c>
      <c r="C319" s="1" t="n">
        <v>45784</v>
      </c>
      <c r="D319" t="inlineStr">
        <is>
          <t>JÄMTLANDS LÄN</t>
        </is>
      </c>
      <c r="E319" t="inlineStr">
        <is>
          <t>HÄRJEDALEN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55554-2019</t>
        </is>
      </c>
      <c r="B320" s="1" t="n">
        <v>43759</v>
      </c>
      <c r="C320" s="1" t="n">
        <v>45784</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57281-2019</t>
        </is>
      </c>
      <c r="B321" s="1" t="n">
        <v>43759</v>
      </c>
      <c r="C321" s="1" t="n">
        <v>45784</v>
      </c>
      <c r="D321" t="inlineStr">
        <is>
          <t>JÄMTLANDS LÄN</t>
        </is>
      </c>
      <c r="E321" t="inlineStr">
        <is>
          <t>HÄRJEDALEN</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55578-2019</t>
        </is>
      </c>
      <c r="B322" s="1" t="n">
        <v>43760</v>
      </c>
      <c r="C322" s="1" t="n">
        <v>45784</v>
      </c>
      <c r="D322" t="inlineStr">
        <is>
          <t>JÄMTLANDS LÄN</t>
        </is>
      </c>
      <c r="E322" t="inlineStr">
        <is>
          <t>HÄRJEDALEN</t>
        </is>
      </c>
      <c r="G322" t="n">
        <v>3.6</v>
      </c>
      <c r="H322" t="n">
        <v>0</v>
      </c>
      <c r="I322" t="n">
        <v>0</v>
      </c>
      <c r="J322" t="n">
        <v>0</v>
      </c>
      <c r="K322" t="n">
        <v>0</v>
      </c>
      <c r="L322" t="n">
        <v>0</v>
      </c>
      <c r="M322" t="n">
        <v>0</v>
      </c>
      <c r="N322" t="n">
        <v>0</v>
      </c>
      <c r="O322" t="n">
        <v>0</v>
      </c>
      <c r="P322" t="n">
        <v>0</v>
      </c>
      <c r="Q322" t="n">
        <v>0</v>
      </c>
      <c r="R322" s="2" t="inlineStr"/>
    </row>
    <row r="323" ht="15" customHeight="1">
      <c r="A323" t="inlineStr">
        <is>
          <t>A 55607-2019</t>
        </is>
      </c>
      <c r="B323" s="1" t="n">
        <v>43760</v>
      </c>
      <c r="C323" s="1" t="n">
        <v>45784</v>
      </c>
      <c r="D323" t="inlineStr">
        <is>
          <t>JÄMTLANDS LÄN</t>
        </is>
      </c>
      <c r="E323" t="inlineStr">
        <is>
          <t>HÄRJEDALEN</t>
        </is>
      </c>
      <c r="G323" t="n">
        <v>3.7</v>
      </c>
      <c r="H323" t="n">
        <v>0</v>
      </c>
      <c r="I323" t="n">
        <v>0</v>
      </c>
      <c r="J323" t="n">
        <v>0</v>
      </c>
      <c r="K323" t="n">
        <v>0</v>
      </c>
      <c r="L323" t="n">
        <v>0</v>
      </c>
      <c r="M323" t="n">
        <v>0</v>
      </c>
      <c r="N323" t="n">
        <v>0</v>
      </c>
      <c r="O323" t="n">
        <v>0</v>
      </c>
      <c r="P323" t="n">
        <v>0</v>
      </c>
      <c r="Q323" t="n">
        <v>0</v>
      </c>
      <c r="R323" s="2" t="inlineStr"/>
    </row>
    <row r="324" ht="15" customHeight="1">
      <c r="A324" t="inlineStr">
        <is>
          <t>A 56217-2019</t>
        </is>
      </c>
      <c r="B324" s="1" t="n">
        <v>43762</v>
      </c>
      <c r="C324" s="1" t="n">
        <v>45784</v>
      </c>
      <c r="D324" t="inlineStr">
        <is>
          <t>JÄMTLANDS LÄN</t>
        </is>
      </c>
      <c r="E324" t="inlineStr">
        <is>
          <t>HÄRJEDALEN</t>
        </is>
      </c>
      <c r="G324" t="n">
        <v>43.2</v>
      </c>
      <c r="H324" t="n">
        <v>0</v>
      </c>
      <c r="I324" t="n">
        <v>0</v>
      </c>
      <c r="J324" t="n">
        <v>0</v>
      </c>
      <c r="K324" t="n">
        <v>0</v>
      </c>
      <c r="L324" t="n">
        <v>0</v>
      </c>
      <c r="M324" t="n">
        <v>0</v>
      </c>
      <c r="N324" t="n">
        <v>0</v>
      </c>
      <c r="O324" t="n">
        <v>0</v>
      </c>
      <c r="P324" t="n">
        <v>0</v>
      </c>
      <c r="Q324" t="n">
        <v>0</v>
      </c>
      <c r="R324" s="2" t="inlineStr"/>
    </row>
    <row r="325" ht="15" customHeight="1">
      <c r="A325" t="inlineStr">
        <is>
          <t>A 58175-2019</t>
        </is>
      </c>
      <c r="B325" s="1" t="n">
        <v>43769</v>
      </c>
      <c r="C325" s="1" t="n">
        <v>45784</v>
      </c>
      <c r="D325" t="inlineStr">
        <is>
          <t>JÄMTLANDS LÄN</t>
        </is>
      </c>
      <c r="E325" t="inlineStr">
        <is>
          <t>HÄRJEDALEN</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59347-2019</t>
        </is>
      </c>
      <c r="B326" s="1" t="n">
        <v>43770</v>
      </c>
      <c r="C326" s="1" t="n">
        <v>45784</v>
      </c>
      <c r="D326" t="inlineStr">
        <is>
          <t>JÄMTLANDS LÄN</t>
        </is>
      </c>
      <c r="E326" t="inlineStr">
        <is>
          <t>HÄRJEDALEN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58742-2019</t>
        </is>
      </c>
      <c r="B327" s="1" t="n">
        <v>43773</v>
      </c>
      <c r="C327" s="1" t="n">
        <v>45784</v>
      </c>
      <c r="D327" t="inlineStr">
        <is>
          <t>JÄMTLANDS LÄN</t>
        </is>
      </c>
      <c r="E327" t="inlineStr">
        <is>
          <t>HÄRJEDALEN</t>
        </is>
      </c>
      <c r="G327" t="n">
        <v>4</v>
      </c>
      <c r="H327" t="n">
        <v>0</v>
      </c>
      <c r="I327" t="n">
        <v>0</v>
      </c>
      <c r="J327" t="n">
        <v>0</v>
      </c>
      <c r="K327" t="n">
        <v>0</v>
      </c>
      <c r="L327" t="n">
        <v>0</v>
      </c>
      <c r="M327" t="n">
        <v>0</v>
      </c>
      <c r="N327" t="n">
        <v>0</v>
      </c>
      <c r="O327" t="n">
        <v>0</v>
      </c>
      <c r="P327" t="n">
        <v>0</v>
      </c>
      <c r="Q327" t="n">
        <v>0</v>
      </c>
      <c r="R327" s="2" t="inlineStr"/>
    </row>
    <row r="328" ht="15" customHeight="1">
      <c r="A328" t="inlineStr">
        <is>
          <t>A 59984-2019</t>
        </is>
      </c>
      <c r="B328" s="1" t="n">
        <v>43775</v>
      </c>
      <c r="C328" s="1" t="n">
        <v>45784</v>
      </c>
      <c r="D328" t="inlineStr">
        <is>
          <t>JÄMTLANDS LÄN</t>
        </is>
      </c>
      <c r="E328" t="inlineStr">
        <is>
          <t>HÄRJEDALEN</t>
        </is>
      </c>
      <c r="G328" t="n">
        <v>20.4</v>
      </c>
      <c r="H328" t="n">
        <v>0</v>
      </c>
      <c r="I328" t="n">
        <v>0</v>
      </c>
      <c r="J328" t="n">
        <v>0</v>
      </c>
      <c r="K328" t="n">
        <v>0</v>
      </c>
      <c r="L328" t="n">
        <v>0</v>
      </c>
      <c r="M328" t="n">
        <v>0</v>
      </c>
      <c r="N328" t="n">
        <v>0</v>
      </c>
      <c r="O328" t="n">
        <v>0</v>
      </c>
      <c r="P328" t="n">
        <v>0</v>
      </c>
      <c r="Q328" t="n">
        <v>0</v>
      </c>
      <c r="R328" s="2" t="inlineStr"/>
    </row>
    <row r="329" ht="15" customHeight="1">
      <c r="A329" t="inlineStr">
        <is>
          <t>A 59733-2019</t>
        </is>
      </c>
      <c r="B329" s="1" t="n">
        <v>43776</v>
      </c>
      <c r="C329" s="1" t="n">
        <v>45784</v>
      </c>
      <c r="D329" t="inlineStr">
        <is>
          <t>JÄMTLANDS LÄN</t>
        </is>
      </c>
      <c r="E329" t="inlineStr">
        <is>
          <t>HÄRJEDALEN</t>
        </is>
      </c>
      <c r="G329" t="n">
        <v>1.9</v>
      </c>
      <c r="H329" t="n">
        <v>0</v>
      </c>
      <c r="I329" t="n">
        <v>0</v>
      </c>
      <c r="J329" t="n">
        <v>0</v>
      </c>
      <c r="K329" t="n">
        <v>0</v>
      </c>
      <c r="L329" t="n">
        <v>0</v>
      </c>
      <c r="M329" t="n">
        <v>0</v>
      </c>
      <c r="N329" t="n">
        <v>0</v>
      </c>
      <c r="O329" t="n">
        <v>0</v>
      </c>
      <c r="P329" t="n">
        <v>0</v>
      </c>
      <c r="Q329" t="n">
        <v>0</v>
      </c>
      <c r="R329" s="2" t="inlineStr"/>
    </row>
    <row r="330" ht="15" customHeight="1">
      <c r="A330" t="inlineStr">
        <is>
          <t>A 62342-2019</t>
        </is>
      </c>
      <c r="B330" s="1" t="n">
        <v>43782</v>
      </c>
      <c r="C330" s="1" t="n">
        <v>45784</v>
      </c>
      <c r="D330" t="inlineStr">
        <is>
          <t>JÄMTLANDS LÄN</t>
        </is>
      </c>
      <c r="E330" t="inlineStr">
        <is>
          <t>HÄRJEDALEN</t>
        </is>
      </c>
      <c r="G330" t="n">
        <v>1.6</v>
      </c>
      <c r="H330" t="n">
        <v>0</v>
      </c>
      <c r="I330" t="n">
        <v>0</v>
      </c>
      <c r="J330" t="n">
        <v>0</v>
      </c>
      <c r="K330" t="n">
        <v>0</v>
      </c>
      <c r="L330" t="n">
        <v>0</v>
      </c>
      <c r="M330" t="n">
        <v>0</v>
      </c>
      <c r="N330" t="n">
        <v>0</v>
      </c>
      <c r="O330" t="n">
        <v>0</v>
      </c>
      <c r="P330" t="n">
        <v>0</v>
      </c>
      <c r="Q330" t="n">
        <v>0</v>
      </c>
      <c r="R330" s="2" t="inlineStr"/>
    </row>
    <row r="331" ht="15" customHeight="1">
      <c r="A331" t="inlineStr">
        <is>
          <t>A 60919-2019</t>
        </is>
      </c>
      <c r="B331" s="1" t="n">
        <v>43782</v>
      </c>
      <c r="C331" s="1" t="n">
        <v>45784</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62115-2019</t>
        </is>
      </c>
      <c r="B332" s="1" t="n">
        <v>43787</v>
      </c>
      <c r="C332" s="1" t="n">
        <v>45784</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62451-2019</t>
        </is>
      </c>
      <c r="B333" s="1" t="n">
        <v>43788</v>
      </c>
      <c r="C333" s="1" t="n">
        <v>45784</v>
      </c>
      <c r="D333" t="inlineStr">
        <is>
          <t>JÄMTLANDS LÄN</t>
        </is>
      </c>
      <c r="E333" t="inlineStr">
        <is>
          <t>HÄRJEDALEN</t>
        </is>
      </c>
      <c r="F333" t="inlineStr">
        <is>
          <t>Bergvik skog väst AB</t>
        </is>
      </c>
      <c r="G333" t="n">
        <v>22.2</v>
      </c>
      <c r="H333" t="n">
        <v>0</v>
      </c>
      <c r="I333" t="n">
        <v>0</v>
      </c>
      <c r="J333" t="n">
        <v>0</v>
      </c>
      <c r="K333" t="n">
        <v>0</v>
      </c>
      <c r="L333" t="n">
        <v>0</v>
      </c>
      <c r="M333" t="n">
        <v>0</v>
      </c>
      <c r="N333" t="n">
        <v>0</v>
      </c>
      <c r="O333" t="n">
        <v>0</v>
      </c>
      <c r="P333" t="n">
        <v>0</v>
      </c>
      <c r="Q333" t="n">
        <v>0</v>
      </c>
      <c r="R333" s="2" t="inlineStr"/>
    </row>
    <row r="334" ht="15" customHeight="1">
      <c r="A334" t="inlineStr">
        <is>
          <t>A 62971-2019</t>
        </is>
      </c>
      <c r="B334" s="1" t="n">
        <v>43790</v>
      </c>
      <c r="C334" s="1" t="n">
        <v>45784</v>
      </c>
      <c r="D334" t="inlineStr">
        <is>
          <t>JÄMTLANDS LÄN</t>
        </is>
      </c>
      <c r="E334" t="inlineStr">
        <is>
          <t>HÄRJEDALEN</t>
        </is>
      </c>
      <c r="F334" t="inlineStr">
        <is>
          <t>Bergvik skog väst AB</t>
        </is>
      </c>
      <c r="G334" t="n">
        <v>18.2</v>
      </c>
      <c r="H334" t="n">
        <v>0</v>
      </c>
      <c r="I334" t="n">
        <v>0</v>
      </c>
      <c r="J334" t="n">
        <v>0</v>
      </c>
      <c r="K334" t="n">
        <v>0</v>
      </c>
      <c r="L334" t="n">
        <v>0</v>
      </c>
      <c r="M334" t="n">
        <v>0</v>
      </c>
      <c r="N334" t="n">
        <v>0</v>
      </c>
      <c r="O334" t="n">
        <v>0</v>
      </c>
      <c r="P334" t="n">
        <v>0</v>
      </c>
      <c r="Q334" t="n">
        <v>0</v>
      </c>
      <c r="R334" s="2" t="inlineStr"/>
    </row>
    <row r="335" ht="15" customHeight="1">
      <c r="A335" t="inlineStr">
        <is>
          <t>A 64417-2019</t>
        </is>
      </c>
      <c r="B335" s="1" t="n">
        <v>43794</v>
      </c>
      <c r="C335" s="1" t="n">
        <v>45784</v>
      </c>
      <c r="D335" t="inlineStr">
        <is>
          <t>JÄMTLANDS LÄN</t>
        </is>
      </c>
      <c r="E335" t="inlineStr">
        <is>
          <t>HÄRJEDALEN</t>
        </is>
      </c>
      <c r="G335" t="n">
        <v>6.9</v>
      </c>
      <c r="H335" t="n">
        <v>0</v>
      </c>
      <c r="I335" t="n">
        <v>0</v>
      </c>
      <c r="J335" t="n">
        <v>0</v>
      </c>
      <c r="K335" t="n">
        <v>0</v>
      </c>
      <c r="L335" t="n">
        <v>0</v>
      </c>
      <c r="M335" t="n">
        <v>0</v>
      </c>
      <c r="N335" t="n">
        <v>0</v>
      </c>
      <c r="O335" t="n">
        <v>0</v>
      </c>
      <c r="P335" t="n">
        <v>0</v>
      </c>
      <c r="Q335" t="n">
        <v>0</v>
      </c>
      <c r="R335" s="2" t="inlineStr"/>
    </row>
    <row r="336" ht="15" customHeight="1">
      <c r="A336" t="inlineStr">
        <is>
          <t>A 64229-2019</t>
        </is>
      </c>
      <c r="B336" s="1" t="n">
        <v>43797</v>
      </c>
      <c r="C336" s="1" t="n">
        <v>45784</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64689-2019</t>
        </is>
      </c>
      <c r="B337" s="1" t="n">
        <v>43798</v>
      </c>
      <c r="C337" s="1" t="n">
        <v>45784</v>
      </c>
      <c r="D337" t="inlineStr">
        <is>
          <t>JÄMTLANDS LÄN</t>
        </is>
      </c>
      <c r="E337" t="inlineStr">
        <is>
          <t>HÄRJEDALEN</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65759-2019</t>
        </is>
      </c>
      <c r="B338" s="1" t="n">
        <v>43804</v>
      </c>
      <c r="C338" s="1" t="n">
        <v>45784</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66255-2019</t>
        </is>
      </c>
      <c r="B339" s="1" t="n">
        <v>43808</v>
      </c>
      <c r="C339" s="1" t="n">
        <v>45784</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66735-2019</t>
        </is>
      </c>
      <c r="B340" s="1" t="n">
        <v>43810</v>
      </c>
      <c r="C340" s="1" t="n">
        <v>45784</v>
      </c>
      <c r="D340" t="inlineStr">
        <is>
          <t>JÄMTLANDS LÄN</t>
        </is>
      </c>
      <c r="E340" t="inlineStr">
        <is>
          <t>HÄRJEDALEN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67619-2019</t>
        </is>
      </c>
      <c r="B341" s="1" t="n">
        <v>43815</v>
      </c>
      <c r="C341" s="1" t="n">
        <v>45784</v>
      </c>
      <c r="D341" t="inlineStr">
        <is>
          <t>JÄMTLANDS LÄN</t>
        </is>
      </c>
      <c r="E341" t="inlineStr">
        <is>
          <t>HÄRJEDALEN</t>
        </is>
      </c>
      <c r="F341" t="inlineStr">
        <is>
          <t>Holmen skog AB</t>
        </is>
      </c>
      <c r="G341" t="n">
        <v>6.4</v>
      </c>
      <c r="H341" t="n">
        <v>0</v>
      </c>
      <c r="I341" t="n">
        <v>0</v>
      </c>
      <c r="J341" t="n">
        <v>0</v>
      </c>
      <c r="K341" t="n">
        <v>0</v>
      </c>
      <c r="L341" t="n">
        <v>0</v>
      </c>
      <c r="M341" t="n">
        <v>0</v>
      </c>
      <c r="N341" t="n">
        <v>0</v>
      </c>
      <c r="O341" t="n">
        <v>0</v>
      </c>
      <c r="P341" t="n">
        <v>0</v>
      </c>
      <c r="Q341" t="n">
        <v>0</v>
      </c>
      <c r="R341" s="2" t="inlineStr"/>
    </row>
    <row r="342" ht="15" customHeight="1">
      <c r="A342" t="inlineStr">
        <is>
          <t>A 67693-2019</t>
        </is>
      </c>
      <c r="B342" s="1" t="n">
        <v>43815</v>
      </c>
      <c r="C342" s="1" t="n">
        <v>45784</v>
      </c>
      <c r="D342" t="inlineStr">
        <is>
          <t>JÄMTLANDS LÄN</t>
        </is>
      </c>
      <c r="E342" t="inlineStr">
        <is>
          <t>HÄRJEDALEN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67500-2019</t>
        </is>
      </c>
      <c r="B343" s="1" t="n">
        <v>43815</v>
      </c>
      <c r="C343" s="1" t="n">
        <v>45784</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67695-2019</t>
        </is>
      </c>
      <c r="B344" s="1" t="n">
        <v>43815</v>
      </c>
      <c r="C344" s="1" t="n">
        <v>45784</v>
      </c>
      <c r="D344" t="inlineStr">
        <is>
          <t>JÄMTLANDS LÄN</t>
        </is>
      </c>
      <c r="E344" t="inlineStr">
        <is>
          <t>HÄRJEDALEN</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67757-2019</t>
        </is>
      </c>
      <c r="B345" s="1" t="n">
        <v>43815</v>
      </c>
      <c r="C345" s="1" t="n">
        <v>45784</v>
      </c>
      <c r="D345" t="inlineStr">
        <is>
          <t>JÄMTLANDS LÄN</t>
        </is>
      </c>
      <c r="E345" t="inlineStr">
        <is>
          <t>HÄRJEDALEN</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67688-2019</t>
        </is>
      </c>
      <c r="B346" s="1" t="n">
        <v>43815</v>
      </c>
      <c r="C346" s="1" t="n">
        <v>45784</v>
      </c>
      <c r="D346" t="inlineStr">
        <is>
          <t>JÄMTLANDS LÄN</t>
        </is>
      </c>
      <c r="E346" t="inlineStr">
        <is>
          <t>HÄRJEDALEN</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67738-2019</t>
        </is>
      </c>
      <c r="B347" s="1" t="n">
        <v>43815</v>
      </c>
      <c r="C347" s="1" t="n">
        <v>45784</v>
      </c>
      <c r="D347" t="inlineStr">
        <is>
          <t>JÄMTLANDS LÄN</t>
        </is>
      </c>
      <c r="E347" t="inlineStr">
        <is>
          <t>HÄRJEDALEN</t>
        </is>
      </c>
      <c r="F347" t="inlineStr">
        <is>
          <t>Holmen skog AB</t>
        </is>
      </c>
      <c r="G347" t="n">
        <v>15.9</v>
      </c>
      <c r="H347" t="n">
        <v>0</v>
      </c>
      <c r="I347" t="n">
        <v>0</v>
      </c>
      <c r="J347" t="n">
        <v>0</v>
      </c>
      <c r="K347" t="n">
        <v>0</v>
      </c>
      <c r="L347" t="n">
        <v>0</v>
      </c>
      <c r="M347" t="n">
        <v>0</v>
      </c>
      <c r="N347" t="n">
        <v>0</v>
      </c>
      <c r="O347" t="n">
        <v>0</v>
      </c>
      <c r="P347" t="n">
        <v>0</v>
      </c>
      <c r="Q347" t="n">
        <v>0</v>
      </c>
      <c r="R347" s="2" t="inlineStr"/>
    </row>
    <row r="348" ht="15" customHeight="1">
      <c r="A348" t="inlineStr">
        <is>
          <t>A 67506-2019</t>
        </is>
      </c>
      <c r="B348" s="1" t="n">
        <v>43815</v>
      </c>
      <c r="C348" s="1" t="n">
        <v>45784</v>
      </c>
      <c r="D348" t="inlineStr">
        <is>
          <t>JÄMTLANDS LÄN</t>
        </is>
      </c>
      <c r="E348" t="inlineStr">
        <is>
          <t>HÄRJEDALEN</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67692-2019</t>
        </is>
      </c>
      <c r="B349" s="1" t="n">
        <v>43815</v>
      </c>
      <c r="C349" s="1" t="n">
        <v>45784</v>
      </c>
      <c r="D349" t="inlineStr">
        <is>
          <t>JÄMTLANDS LÄN</t>
        </is>
      </c>
      <c r="E349" t="inlineStr">
        <is>
          <t>HÄRJEDALEN</t>
        </is>
      </c>
      <c r="F349" t="inlineStr">
        <is>
          <t>Holmen skog AB</t>
        </is>
      </c>
      <c r="G349" t="n">
        <v>12.9</v>
      </c>
      <c r="H349" t="n">
        <v>0</v>
      </c>
      <c r="I349" t="n">
        <v>0</v>
      </c>
      <c r="J349" t="n">
        <v>0</v>
      </c>
      <c r="K349" t="n">
        <v>0</v>
      </c>
      <c r="L349" t="n">
        <v>0</v>
      </c>
      <c r="M349" t="n">
        <v>0</v>
      </c>
      <c r="N349" t="n">
        <v>0</v>
      </c>
      <c r="O349" t="n">
        <v>0</v>
      </c>
      <c r="P349" t="n">
        <v>0</v>
      </c>
      <c r="Q349" t="n">
        <v>0</v>
      </c>
      <c r="R349" s="2" t="inlineStr"/>
    </row>
    <row r="350" ht="15" customHeight="1">
      <c r="A350" t="inlineStr">
        <is>
          <t>A 67733-2019</t>
        </is>
      </c>
      <c r="B350" s="1" t="n">
        <v>43815</v>
      </c>
      <c r="C350" s="1" t="n">
        <v>45784</v>
      </c>
      <c r="D350" t="inlineStr">
        <is>
          <t>JÄMTLANDS LÄN</t>
        </is>
      </c>
      <c r="E350" t="inlineStr">
        <is>
          <t>HÄRJEDALEN</t>
        </is>
      </c>
      <c r="F350" t="inlineStr">
        <is>
          <t>Holmen skog AB</t>
        </is>
      </c>
      <c r="G350" t="n">
        <v>15.5</v>
      </c>
      <c r="H350" t="n">
        <v>0</v>
      </c>
      <c r="I350" t="n">
        <v>0</v>
      </c>
      <c r="J350" t="n">
        <v>0</v>
      </c>
      <c r="K350" t="n">
        <v>0</v>
      </c>
      <c r="L350" t="n">
        <v>0</v>
      </c>
      <c r="M350" t="n">
        <v>0</v>
      </c>
      <c r="N350" t="n">
        <v>0</v>
      </c>
      <c r="O350" t="n">
        <v>0</v>
      </c>
      <c r="P350" t="n">
        <v>0</v>
      </c>
      <c r="Q350" t="n">
        <v>0</v>
      </c>
      <c r="R350" s="2" t="inlineStr"/>
    </row>
    <row r="351" ht="15" customHeight="1">
      <c r="A351" t="inlineStr">
        <is>
          <t>A 67593-2019</t>
        </is>
      </c>
      <c r="B351" s="1" t="n">
        <v>43815</v>
      </c>
      <c r="C351" s="1" t="n">
        <v>45784</v>
      </c>
      <c r="D351" t="inlineStr">
        <is>
          <t>JÄMTLANDS LÄN</t>
        </is>
      </c>
      <c r="E351" t="inlineStr">
        <is>
          <t>HÄRJEDALEN</t>
        </is>
      </c>
      <c r="F351" t="inlineStr">
        <is>
          <t>Holmen skog AB</t>
        </is>
      </c>
      <c r="G351" t="n">
        <v>7.9</v>
      </c>
      <c r="H351" t="n">
        <v>0</v>
      </c>
      <c r="I351" t="n">
        <v>0</v>
      </c>
      <c r="J351" t="n">
        <v>0</v>
      </c>
      <c r="K351" t="n">
        <v>0</v>
      </c>
      <c r="L351" t="n">
        <v>0</v>
      </c>
      <c r="M351" t="n">
        <v>0</v>
      </c>
      <c r="N351" t="n">
        <v>0</v>
      </c>
      <c r="O351" t="n">
        <v>0</v>
      </c>
      <c r="P351" t="n">
        <v>0</v>
      </c>
      <c r="Q351" t="n">
        <v>0</v>
      </c>
      <c r="R351" s="2" t="inlineStr"/>
    </row>
    <row r="352" ht="15" customHeight="1">
      <c r="A352" t="inlineStr">
        <is>
          <t>A 67535-2019</t>
        </is>
      </c>
      <c r="B352" s="1" t="n">
        <v>43815</v>
      </c>
      <c r="C352" s="1" t="n">
        <v>45784</v>
      </c>
      <c r="D352" t="inlineStr">
        <is>
          <t>JÄMTLANDS LÄN</t>
        </is>
      </c>
      <c r="E352" t="inlineStr">
        <is>
          <t>HÄRJEDALEN</t>
        </is>
      </c>
      <c r="F352" t="inlineStr">
        <is>
          <t>Holmen skog AB</t>
        </is>
      </c>
      <c r="G352" t="n">
        <v>34.3</v>
      </c>
      <c r="H352" t="n">
        <v>0</v>
      </c>
      <c r="I352" t="n">
        <v>0</v>
      </c>
      <c r="J352" t="n">
        <v>0</v>
      </c>
      <c r="K352" t="n">
        <v>0</v>
      </c>
      <c r="L352" t="n">
        <v>0</v>
      </c>
      <c r="M352" t="n">
        <v>0</v>
      </c>
      <c r="N352" t="n">
        <v>0</v>
      </c>
      <c r="O352" t="n">
        <v>0</v>
      </c>
      <c r="P352" t="n">
        <v>0</v>
      </c>
      <c r="Q352" t="n">
        <v>0</v>
      </c>
      <c r="R352" s="2" t="inlineStr"/>
    </row>
    <row r="353" ht="15" customHeight="1">
      <c r="A353" t="inlineStr">
        <is>
          <t>A 67972-2019</t>
        </is>
      </c>
      <c r="B353" s="1" t="n">
        <v>43816</v>
      </c>
      <c r="C353" s="1" t="n">
        <v>45784</v>
      </c>
      <c r="D353" t="inlineStr">
        <is>
          <t>JÄMTLANDS LÄN</t>
        </is>
      </c>
      <c r="E353" t="inlineStr">
        <is>
          <t>HÄRJEDALEN</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642-2020</t>
        </is>
      </c>
      <c r="B354" s="1" t="n">
        <v>43817</v>
      </c>
      <c r="C354" s="1" t="n">
        <v>45784</v>
      </c>
      <c r="D354" t="inlineStr">
        <is>
          <t>JÄMTLANDS LÄN</t>
        </is>
      </c>
      <c r="E354" t="inlineStr">
        <is>
          <t>HÄRJEDALEN</t>
        </is>
      </c>
      <c r="G354" t="n">
        <v>15.5</v>
      </c>
      <c r="H354" t="n">
        <v>0</v>
      </c>
      <c r="I354" t="n">
        <v>0</v>
      </c>
      <c r="J354" t="n">
        <v>0</v>
      </c>
      <c r="K354" t="n">
        <v>0</v>
      </c>
      <c r="L354" t="n">
        <v>0</v>
      </c>
      <c r="M354" t="n">
        <v>0</v>
      </c>
      <c r="N354" t="n">
        <v>0</v>
      </c>
      <c r="O354" t="n">
        <v>0</v>
      </c>
      <c r="P354" t="n">
        <v>0</v>
      </c>
      <c r="Q354" t="n">
        <v>0</v>
      </c>
      <c r="R354" s="2" t="inlineStr"/>
    </row>
    <row r="355" ht="15" customHeight="1">
      <c r="A355" t="inlineStr">
        <is>
          <t>A 159-2020</t>
        </is>
      </c>
      <c r="B355" s="1" t="n">
        <v>43833</v>
      </c>
      <c r="C355" s="1" t="n">
        <v>45784</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2320-2020</t>
        </is>
      </c>
      <c r="B356" s="1" t="n">
        <v>43846</v>
      </c>
      <c r="C356" s="1" t="n">
        <v>45784</v>
      </c>
      <c r="D356" t="inlineStr">
        <is>
          <t>JÄMTLANDS LÄN</t>
        </is>
      </c>
      <c r="E356" t="inlineStr">
        <is>
          <t>HÄRJEDALEN</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4663-2020</t>
        </is>
      </c>
      <c r="B357" s="1" t="n">
        <v>43858</v>
      </c>
      <c r="C357" s="1" t="n">
        <v>45784</v>
      </c>
      <c r="D357" t="inlineStr">
        <is>
          <t>JÄMTLANDS LÄN</t>
        </is>
      </c>
      <c r="E357" t="inlineStr">
        <is>
          <t>HÄRJEDALEN</t>
        </is>
      </c>
      <c r="G357" t="n">
        <v>10.2</v>
      </c>
      <c r="H357" t="n">
        <v>0</v>
      </c>
      <c r="I357" t="n">
        <v>0</v>
      </c>
      <c r="J357" t="n">
        <v>0</v>
      </c>
      <c r="K357" t="n">
        <v>0</v>
      </c>
      <c r="L357" t="n">
        <v>0</v>
      </c>
      <c r="M357" t="n">
        <v>0</v>
      </c>
      <c r="N357" t="n">
        <v>0</v>
      </c>
      <c r="O357" t="n">
        <v>0</v>
      </c>
      <c r="P357" t="n">
        <v>0</v>
      </c>
      <c r="Q357" t="n">
        <v>0</v>
      </c>
      <c r="R357" s="2" t="inlineStr"/>
    </row>
    <row r="358" ht="15" customHeight="1">
      <c r="A358" t="inlineStr">
        <is>
          <t>A 6719-2020</t>
        </is>
      </c>
      <c r="B358" s="1" t="n">
        <v>43866</v>
      </c>
      <c r="C358" s="1" t="n">
        <v>45784</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6715-2020</t>
        </is>
      </c>
      <c r="B359" s="1" t="n">
        <v>43866</v>
      </c>
      <c r="C359" s="1" t="n">
        <v>45784</v>
      </c>
      <c r="D359" t="inlineStr">
        <is>
          <t>JÄMTLANDS LÄN</t>
        </is>
      </c>
      <c r="E359" t="inlineStr">
        <is>
          <t>HÄRJEDALEN</t>
        </is>
      </c>
      <c r="G359" t="n">
        <v>7.5</v>
      </c>
      <c r="H359" t="n">
        <v>0</v>
      </c>
      <c r="I359" t="n">
        <v>0</v>
      </c>
      <c r="J359" t="n">
        <v>0</v>
      </c>
      <c r="K359" t="n">
        <v>0</v>
      </c>
      <c r="L359" t="n">
        <v>0</v>
      </c>
      <c r="M359" t="n">
        <v>0</v>
      </c>
      <c r="N359" t="n">
        <v>0</v>
      </c>
      <c r="O359" t="n">
        <v>0</v>
      </c>
      <c r="P359" t="n">
        <v>0</v>
      </c>
      <c r="Q359" t="n">
        <v>0</v>
      </c>
      <c r="R359" s="2" t="inlineStr"/>
    </row>
    <row r="360" ht="15" customHeight="1">
      <c r="A360" t="inlineStr">
        <is>
          <t>A 6675-2020</t>
        </is>
      </c>
      <c r="B360" s="1" t="n">
        <v>43866</v>
      </c>
      <c r="C360" s="1" t="n">
        <v>45784</v>
      </c>
      <c r="D360" t="inlineStr">
        <is>
          <t>JÄMTLANDS LÄN</t>
        </is>
      </c>
      <c r="E360" t="inlineStr">
        <is>
          <t>HÄRJEDALEN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6584-2020</t>
        </is>
      </c>
      <c r="B361" s="1" t="n">
        <v>43867</v>
      </c>
      <c r="C361" s="1" t="n">
        <v>45784</v>
      </c>
      <c r="D361" t="inlineStr">
        <is>
          <t>JÄMTLANDS LÄN</t>
        </is>
      </c>
      <c r="E361" t="inlineStr">
        <is>
          <t>HÄRJEDALEN</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6903-2020</t>
        </is>
      </c>
      <c r="B362" s="1" t="n">
        <v>43867</v>
      </c>
      <c r="C362" s="1" t="n">
        <v>45784</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7184-2020</t>
        </is>
      </c>
      <c r="B363" s="1" t="n">
        <v>43871</v>
      </c>
      <c r="C363" s="1" t="n">
        <v>45784</v>
      </c>
      <c r="D363" t="inlineStr">
        <is>
          <t>JÄMTLANDS LÄN</t>
        </is>
      </c>
      <c r="E363" t="inlineStr">
        <is>
          <t>HÄRJEDALEN</t>
        </is>
      </c>
      <c r="G363" t="n">
        <v>41.4</v>
      </c>
      <c r="H363" t="n">
        <v>0</v>
      </c>
      <c r="I363" t="n">
        <v>0</v>
      </c>
      <c r="J363" t="n">
        <v>0</v>
      </c>
      <c r="K363" t="n">
        <v>0</v>
      </c>
      <c r="L363" t="n">
        <v>0</v>
      </c>
      <c r="M363" t="n">
        <v>0</v>
      </c>
      <c r="N363" t="n">
        <v>0</v>
      </c>
      <c r="O363" t="n">
        <v>0</v>
      </c>
      <c r="P363" t="n">
        <v>0</v>
      </c>
      <c r="Q363" t="n">
        <v>0</v>
      </c>
      <c r="R363" s="2" t="inlineStr"/>
    </row>
    <row r="364" ht="15" customHeight="1">
      <c r="A364" t="inlineStr">
        <is>
          <t>A 8111-2020</t>
        </is>
      </c>
      <c r="B364" s="1" t="n">
        <v>43874</v>
      </c>
      <c r="C364" s="1" t="n">
        <v>45784</v>
      </c>
      <c r="D364" t="inlineStr">
        <is>
          <t>JÄMTLANDS LÄN</t>
        </is>
      </c>
      <c r="E364" t="inlineStr">
        <is>
          <t>HÄRJEDALEN</t>
        </is>
      </c>
      <c r="G364" t="n">
        <v>15.4</v>
      </c>
      <c r="H364" t="n">
        <v>0</v>
      </c>
      <c r="I364" t="n">
        <v>0</v>
      </c>
      <c r="J364" t="n">
        <v>0</v>
      </c>
      <c r="K364" t="n">
        <v>0</v>
      </c>
      <c r="L364" t="n">
        <v>0</v>
      </c>
      <c r="M364" t="n">
        <v>0</v>
      </c>
      <c r="N364" t="n">
        <v>0</v>
      </c>
      <c r="O364" t="n">
        <v>0</v>
      </c>
      <c r="P364" t="n">
        <v>0</v>
      </c>
      <c r="Q364" t="n">
        <v>0</v>
      </c>
      <c r="R364" s="2" t="inlineStr"/>
    </row>
    <row r="365" ht="15" customHeight="1">
      <c r="A365" t="inlineStr">
        <is>
          <t>A 8762-2020</t>
        </is>
      </c>
      <c r="B365" s="1" t="n">
        <v>43875</v>
      </c>
      <c r="C365" s="1" t="n">
        <v>45784</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8908-2020</t>
        </is>
      </c>
      <c r="B366" s="1" t="n">
        <v>43878</v>
      </c>
      <c r="C366" s="1" t="n">
        <v>45784</v>
      </c>
      <c r="D366" t="inlineStr">
        <is>
          <t>JÄMTLANDS LÄN</t>
        </is>
      </c>
      <c r="E366" t="inlineStr">
        <is>
          <t>HÄRJEDALEN</t>
        </is>
      </c>
      <c r="G366" t="n">
        <v>18.1</v>
      </c>
      <c r="H366" t="n">
        <v>0</v>
      </c>
      <c r="I366" t="n">
        <v>0</v>
      </c>
      <c r="J366" t="n">
        <v>0</v>
      </c>
      <c r="K366" t="n">
        <v>0</v>
      </c>
      <c r="L366" t="n">
        <v>0</v>
      </c>
      <c r="M366" t="n">
        <v>0</v>
      </c>
      <c r="N366" t="n">
        <v>0</v>
      </c>
      <c r="O366" t="n">
        <v>0</v>
      </c>
      <c r="P366" t="n">
        <v>0</v>
      </c>
      <c r="Q366" t="n">
        <v>0</v>
      </c>
      <c r="R366" s="2" t="inlineStr"/>
    </row>
    <row r="367" ht="15" customHeight="1">
      <c r="A367" t="inlineStr">
        <is>
          <t>A 9034-2020</t>
        </is>
      </c>
      <c r="B367" s="1" t="n">
        <v>43879</v>
      </c>
      <c r="C367" s="1" t="n">
        <v>45784</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9591-2020</t>
        </is>
      </c>
      <c r="B368" s="1" t="n">
        <v>43881</v>
      </c>
      <c r="C368" s="1" t="n">
        <v>45784</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11731-2020</t>
        </is>
      </c>
      <c r="B369" s="1" t="n">
        <v>43894</v>
      </c>
      <c r="C369" s="1" t="n">
        <v>45784</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11816-2020</t>
        </is>
      </c>
      <c r="B370" s="1" t="n">
        <v>43894</v>
      </c>
      <c r="C370" s="1" t="n">
        <v>45784</v>
      </c>
      <c r="D370" t="inlineStr">
        <is>
          <t>JÄMTLANDS LÄN</t>
        </is>
      </c>
      <c r="E370" t="inlineStr">
        <is>
          <t>HÄRJEDALEN</t>
        </is>
      </c>
      <c r="F370" t="inlineStr">
        <is>
          <t>Holmen skog AB</t>
        </is>
      </c>
      <c r="G370" t="n">
        <v>20.4</v>
      </c>
      <c r="H370" t="n">
        <v>0</v>
      </c>
      <c r="I370" t="n">
        <v>0</v>
      </c>
      <c r="J370" t="n">
        <v>0</v>
      </c>
      <c r="K370" t="n">
        <v>0</v>
      </c>
      <c r="L370" t="n">
        <v>0</v>
      </c>
      <c r="M370" t="n">
        <v>0</v>
      </c>
      <c r="N370" t="n">
        <v>0</v>
      </c>
      <c r="O370" t="n">
        <v>0</v>
      </c>
      <c r="P370" t="n">
        <v>0</v>
      </c>
      <c r="Q370" t="n">
        <v>0</v>
      </c>
      <c r="R370" s="2" t="inlineStr"/>
    </row>
    <row r="371" ht="15" customHeight="1">
      <c r="A371" t="inlineStr">
        <is>
          <t>A 11818-2020</t>
        </is>
      </c>
      <c r="B371" s="1" t="n">
        <v>43894</v>
      </c>
      <c r="C371" s="1" t="n">
        <v>45784</v>
      </c>
      <c r="D371" t="inlineStr">
        <is>
          <t>JÄMTLANDS LÄN</t>
        </is>
      </c>
      <c r="E371" t="inlineStr">
        <is>
          <t>HÄRJEDALEN</t>
        </is>
      </c>
      <c r="F371" t="inlineStr">
        <is>
          <t>Holmen skog AB</t>
        </is>
      </c>
      <c r="G371" t="n">
        <v>6</v>
      </c>
      <c r="H371" t="n">
        <v>0</v>
      </c>
      <c r="I371" t="n">
        <v>0</v>
      </c>
      <c r="J371" t="n">
        <v>0</v>
      </c>
      <c r="K371" t="n">
        <v>0</v>
      </c>
      <c r="L371" t="n">
        <v>0</v>
      </c>
      <c r="M371" t="n">
        <v>0</v>
      </c>
      <c r="N371" t="n">
        <v>0</v>
      </c>
      <c r="O371" t="n">
        <v>0</v>
      </c>
      <c r="P371" t="n">
        <v>0</v>
      </c>
      <c r="Q371" t="n">
        <v>0</v>
      </c>
      <c r="R371" s="2" t="inlineStr"/>
    </row>
    <row r="372" ht="15" customHeight="1">
      <c r="A372" t="inlineStr">
        <is>
          <t>A 11885-2020</t>
        </is>
      </c>
      <c r="B372" s="1" t="n">
        <v>43894</v>
      </c>
      <c r="C372" s="1" t="n">
        <v>45784</v>
      </c>
      <c r="D372" t="inlineStr">
        <is>
          <t>JÄMTLANDS LÄN</t>
        </is>
      </c>
      <c r="E372" t="inlineStr">
        <is>
          <t>HÄRJEDALEN</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11828-2020</t>
        </is>
      </c>
      <c r="B373" s="1" t="n">
        <v>43894</v>
      </c>
      <c r="C373" s="1" t="n">
        <v>45784</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11905-2020</t>
        </is>
      </c>
      <c r="B374" s="1" t="n">
        <v>43894</v>
      </c>
      <c r="C374" s="1" t="n">
        <v>45784</v>
      </c>
      <c r="D374" t="inlineStr">
        <is>
          <t>JÄMTLANDS LÄN</t>
        </is>
      </c>
      <c r="E374" t="inlineStr">
        <is>
          <t>HÄRJEDALEN</t>
        </is>
      </c>
      <c r="F374" t="inlineStr">
        <is>
          <t>Holmen skog AB</t>
        </is>
      </c>
      <c r="G374" t="n">
        <v>10.3</v>
      </c>
      <c r="H374" t="n">
        <v>0</v>
      </c>
      <c r="I374" t="n">
        <v>0</v>
      </c>
      <c r="J374" t="n">
        <v>0</v>
      </c>
      <c r="K374" t="n">
        <v>0</v>
      </c>
      <c r="L374" t="n">
        <v>0</v>
      </c>
      <c r="M374" t="n">
        <v>0</v>
      </c>
      <c r="N374" t="n">
        <v>0</v>
      </c>
      <c r="O374" t="n">
        <v>0</v>
      </c>
      <c r="P374" t="n">
        <v>0</v>
      </c>
      <c r="Q374" t="n">
        <v>0</v>
      </c>
      <c r="R374" s="2" t="inlineStr"/>
    </row>
    <row r="375" ht="15" customHeight="1">
      <c r="A375" t="inlineStr">
        <is>
          <t>A 13604-2020</t>
        </is>
      </c>
      <c r="B375" s="1" t="n">
        <v>43895</v>
      </c>
      <c r="C375" s="1" t="n">
        <v>45784</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12398-2020</t>
        </is>
      </c>
      <c r="B376" s="1" t="n">
        <v>43896</v>
      </c>
      <c r="C376" s="1" t="n">
        <v>45784</v>
      </c>
      <c r="D376" t="inlineStr">
        <is>
          <t>JÄMTLANDS LÄN</t>
        </is>
      </c>
      <c r="E376" t="inlineStr">
        <is>
          <t>HÄRJEDALEN</t>
        </is>
      </c>
      <c r="G376" t="n">
        <v>12.3</v>
      </c>
      <c r="H376" t="n">
        <v>0</v>
      </c>
      <c r="I376" t="n">
        <v>0</v>
      </c>
      <c r="J376" t="n">
        <v>0</v>
      </c>
      <c r="K376" t="n">
        <v>0</v>
      </c>
      <c r="L376" t="n">
        <v>0</v>
      </c>
      <c r="M376" t="n">
        <v>0</v>
      </c>
      <c r="N376" t="n">
        <v>0</v>
      </c>
      <c r="O376" t="n">
        <v>0</v>
      </c>
      <c r="P376" t="n">
        <v>0</v>
      </c>
      <c r="Q376" t="n">
        <v>0</v>
      </c>
      <c r="R376" s="2" t="inlineStr"/>
    </row>
    <row r="377" ht="15" customHeight="1">
      <c r="A377" t="inlineStr">
        <is>
          <t>A 12410-2020</t>
        </is>
      </c>
      <c r="B377" s="1" t="n">
        <v>43896</v>
      </c>
      <c r="C377" s="1" t="n">
        <v>45784</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13588-2020</t>
        </is>
      </c>
      <c r="B378" s="1" t="n">
        <v>43896</v>
      </c>
      <c r="C378" s="1" t="n">
        <v>45784</v>
      </c>
      <c r="D378" t="inlineStr">
        <is>
          <t>JÄMTLANDS LÄN</t>
        </is>
      </c>
      <c r="E378" t="inlineStr">
        <is>
          <t>HÄRJEDALEN</t>
        </is>
      </c>
      <c r="G378" t="n">
        <v>0.6</v>
      </c>
      <c r="H378" t="n">
        <v>0</v>
      </c>
      <c r="I378" t="n">
        <v>0</v>
      </c>
      <c r="J378" t="n">
        <v>0</v>
      </c>
      <c r="K378" t="n">
        <v>0</v>
      </c>
      <c r="L378" t="n">
        <v>0</v>
      </c>
      <c r="M378" t="n">
        <v>0</v>
      </c>
      <c r="N378" t="n">
        <v>0</v>
      </c>
      <c r="O378" t="n">
        <v>0</v>
      </c>
      <c r="P378" t="n">
        <v>0</v>
      </c>
      <c r="Q378" t="n">
        <v>0</v>
      </c>
      <c r="R378" s="2" t="inlineStr"/>
    </row>
    <row r="379" ht="15" customHeight="1">
      <c r="A379" t="inlineStr">
        <is>
          <t>A 12898-2020</t>
        </is>
      </c>
      <c r="B379" s="1" t="n">
        <v>43900</v>
      </c>
      <c r="C379" s="1" t="n">
        <v>45784</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15020-2020</t>
        </is>
      </c>
      <c r="B380" s="1" t="n">
        <v>43907</v>
      </c>
      <c r="C380" s="1" t="n">
        <v>45784</v>
      </c>
      <c r="D380" t="inlineStr">
        <is>
          <t>JÄMTLANDS LÄN</t>
        </is>
      </c>
      <c r="E380" t="inlineStr">
        <is>
          <t>HÄRJEDALEN</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15576-2020</t>
        </is>
      </c>
      <c r="B381" s="1" t="n">
        <v>43914</v>
      </c>
      <c r="C381" s="1" t="n">
        <v>45784</v>
      </c>
      <c r="D381" t="inlineStr">
        <is>
          <t>JÄMTLANDS LÄN</t>
        </is>
      </c>
      <c r="E381" t="inlineStr">
        <is>
          <t>HÄRJEDALEN</t>
        </is>
      </c>
      <c r="F381" t="inlineStr">
        <is>
          <t>Kyrkan</t>
        </is>
      </c>
      <c r="G381" t="n">
        <v>8.1</v>
      </c>
      <c r="H381" t="n">
        <v>0</v>
      </c>
      <c r="I381" t="n">
        <v>0</v>
      </c>
      <c r="J381" t="n">
        <v>0</v>
      </c>
      <c r="K381" t="n">
        <v>0</v>
      </c>
      <c r="L381" t="n">
        <v>0</v>
      </c>
      <c r="M381" t="n">
        <v>0</v>
      </c>
      <c r="N381" t="n">
        <v>0</v>
      </c>
      <c r="O381" t="n">
        <v>0</v>
      </c>
      <c r="P381" t="n">
        <v>0</v>
      </c>
      <c r="Q381" t="n">
        <v>0</v>
      </c>
      <c r="R381" s="2" t="inlineStr"/>
    </row>
    <row r="382" ht="15" customHeight="1">
      <c r="A382" t="inlineStr">
        <is>
          <t>A 17515-2020</t>
        </is>
      </c>
      <c r="B382" s="1" t="n">
        <v>43920</v>
      </c>
      <c r="C382" s="1" t="n">
        <v>45784</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17024-2020</t>
        </is>
      </c>
      <c r="B383" s="1" t="n">
        <v>43921</v>
      </c>
      <c r="C383" s="1" t="n">
        <v>45784</v>
      </c>
      <c r="D383" t="inlineStr">
        <is>
          <t>JÄMTLANDS LÄN</t>
        </is>
      </c>
      <c r="E383" t="inlineStr">
        <is>
          <t>HÄRJEDALEN</t>
        </is>
      </c>
      <c r="G383" t="n">
        <v>0.8</v>
      </c>
      <c r="H383" t="n">
        <v>0</v>
      </c>
      <c r="I383" t="n">
        <v>0</v>
      </c>
      <c r="J383" t="n">
        <v>0</v>
      </c>
      <c r="K383" t="n">
        <v>0</v>
      </c>
      <c r="L383" t="n">
        <v>0</v>
      </c>
      <c r="M383" t="n">
        <v>0</v>
      </c>
      <c r="N383" t="n">
        <v>0</v>
      </c>
      <c r="O383" t="n">
        <v>0</v>
      </c>
      <c r="P383" t="n">
        <v>0</v>
      </c>
      <c r="Q383" t="n">
        <v>0</v>
      </c>
      <c r="R383" s="2" t="inlineStr"/>
    </row>
    <row r="384" ht="15" customHeight="1">
      <c r="A384" t="inlineStr">
        <is>
          <t>A 17676-2020</t>
        </is>
      </c>
      <c r="B384" s="1" t="n">
        <v>43924</v>
      </c>
      <c r="C384" s="1" t="n">
        <v>45784</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18038-2020</t>
        </is>
      </c>
      <c r="B385" s="1" t="n">
        <v>43927</v>
      </c>
      <c r="C385" s="1" t="n">
        <v>45784</v>
      </c>
      <c r="D385" t="inlineStr">
        <is>
          <t>JÄMTLANDS LÄN</t>
        </is>
      </c>
      <c r="E385" t="inlineStr">
        <is>
          <t>HÄRJEDALEN</t>
        </is>
      </c>
      <c r="G385" t="n">
        <v>13.5</v>
      </c>
      <c r="H385" t="n">
        <v>0</v>
      </c>
      <c r="I385" t="n">
        <v>0</v>
      </c>
      <c r="J385" t="n">
        <v>0</v>
      </c>
      <c r="K385" t="n">
        <v>0</v>
      </c>
      <c r="L385" t="n">
        <v>0</v>
      </c>
      <c r="M385" t="n">
        <v>0</v>
      </c>
      <c r="N385" t="n">
        <v>0</v>
      </c>
      <c r="O385" t="n">
        <v>0</v>
      </c>
      <c r="P385" t="n">
        <v>0</v>
      </c>
      <c r="Q385" t="n">
        <v>0</v>
      </c>
      <c r="R385" s="2" t="inlineStr"/>
    </row>
    <row r="386" ht="15" customHeight="1">
      <c r="A386" t="inlineStr">
        <is>
          <t>A 18761-2020</t>
        </is>
      </c>
      <c r="B386" s="1" t="n">
        <v>43930</v>
      </c>
      <c r="C386" s="1" t="n">
        <v>45784</v>
      </c>
      <c r="D386" t="inlineStr">
        <is>
          <t>JÄMTLANDS LÄN</t>
        </is>
      </c>
      <c r="E386" t="inlineStr">
        <is>
          <t>HÄRJEDALEN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18760-2020</t>
        </is>
      </c>
      <c r="B387" s="1" t="n">
        <v>43930</v>
      </c>
      <c r="C387" s="1" t="n">
        <v>45784</v>
      </c>
      <c r="D387" t="inlineStr">
        <is>
          <t>JÄMTLANDS LÄN</t>
        </is>
      </c>
      <c r="E387" t="inlineStr">
        <is>
          <t>HÄRJEDALEN</t>
        </is>
      </c>
      <c r="F387" t="inlineStr">
        <is>
          <t>Sveaskog</t>
        </is>
      </c>
      <c r="G387" t="n">
        <v>16.1</v>
      </c>
      <c r="H387" t="n">
        <v>0</v>
      </c>
      <c r="I387" t="n">
        <v>0</v>
      </c>
      <c r="J387" t="n">
        <v>0</v>
      </c>
      <c r="K387" t="n">
        <v>0</v>
      </c>
      <c r="L387" t="n">
        <v>0</v>
      </c>
      <c r="M387" t="n">
        <v>0</v>
      </c>
      <c r="N387" t="n">
        <v>0</v>
      </c>
      <c r="O387" t="n">
        <v>0</v>
      </c>
      <c r="P387" t="n">
        <v>0</v>
      </c>
      <c r="Q387" t="n">
        <v>0</v>
      </c>
      <c r="R387" s="2" t="inlineStr"/>
    </row>
    <row r="388" ht="15" customHeight="1">
      <c r="A388" t="inlineStr">
        <is>
          <t>A 18759-2020</t>
        </is>
      </c>
      <c r="B388" s="1" t="n">
        <v>43930</v>
      </c>
      <c r="C388" s="1" t="n">
        <v>45784</v>
      </c>
      <c r="D388" t="inlineStr">
        <is>
          <t>JÄMTLANDS LÄN</t>
        </is>
      </c>
      <c r="E388" t="inlineStr">
        <is>
          <t>HÄRJEDALEN</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18877-2020</t>
        </is>
      </c>
      <c r="B389" s="1" t="n">
        <v>43935</v>
      </c>
      <c r="C389" s="1" t="n">
        <v>45784</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18879-2020</t>
        </is>
      </c>
      <c r="B390" s="1" t="n">
        <v>43935</v>
      </c>
      <c r="C390" s="1" t="n">
        <v>45784</v>
      </c>
      <c r="D390" t="inlineStr">
        <is>
          <t>JÄMTLANDS LÄN</t>
        </is>
      </c>
      <c r="E390" t="inlineStr">
        <is>
          <t>HÄRJEDALEN</t>
        </is>
      </c>
      <c r="G390" t="n">
        <v>5.5</v>
      </c>
      <c r="H390" t="n">
        <v>0</v>
      </c>
      <c r="I390" t="n">
        <v>0</v>
      </c>
      <c r="J390" t="n">
        <v>0</v>
      </c>
      <c r="K390" t="n">
        <v>0</v>
      </c>
      <c r="L390" t="n">
        <v>0</v>
      </c>
      <c r="M390" t="n">
        <v>0</v>
      </c>
      <c r="N390" t="n">
        <v>0</v>
      </c>
      <c r="O390" t="n">
        <v>0</v>
      </c>
      <c r="P390" t="n">
        <v>0</v>
      </c>
      <c r="Q390" t="n">
        <v>0</v>
      </c>
      <c r="R390" s="2" t="inlineStr"/>
    </row>
    <row r="391" ht="15" customHeight="1">
      <c r="A391" t="inlineStr">
        <is>
          <t>A 19304-2020</t>
        </is>
      </c>
      <c r="B391" s="1" t="n">
        <v>43937</v>
      </c>
      <c r="C391" s="1" t="n">
        <v>45784</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19506-2020</t>
        </is>
      </c>
      <c r="B392" s="1" t="n">
        <v>43938</v>
      </c>
      <c r="C392" s="1" t="n">
        <v>45784</v>
      </c>
      <c r="D392" t="inlineStr">
        <is>
          <t>JÄMTLANDS LÄN</t>
        </is>
      </c>
      <c r="E392" t="inlineStr">
        <is>
          <t>HÄRJEDALEN</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20781-2020</t>
        </is>
      </c>
      <c r="B393" s="1" t="n">
        <v>43949</v>
      </c>
      <c r="C393" s="1" t="n">
        <v>45784</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21537-2020</t>
        </is>
      </c>
      <c r="B394" s="1" t="n">
        <v>43956</v>
      </c>
      <c r="C394" s="1" t="n">
        <v>45784</v>
      </c>
      <c r="D394" t="inlineStr">
        <is>
          <t>JÄMTLANDS LÄN</t>
        </is>
      </c>
      <c r="E394" t="inlineStr">
        <is>
          <t>HÄRJEDALEN</t>
        </is>
      </c>
      <c r="G394" t="n">
        <v>4.3</v>
      </c>
      <c r="H394" t="n">
        <v>0</v>
      </c>
      <c r="I394" t="n">
        <v>0</v>
      </c>
      <c r="J394" t="n">
        <v>0</v>
      </c>
      <c r="K394" t="n">
        <v>0</v>
      </c>
      <c r="L394" t="n">
        <v>0</v>
      </c>
      <c r="M394" t="n">
        <v>0</v>
      </c>
      <c r="N394" t="n">
        <v>0</v>
      </c>
      <c r="O394" t="n">
        <v>0</v>
      </c>
      <c r="P394" t="n">
        <v>0</v>
      </c>
      <c r="Q394" t="n">
        <v>0</v>
      </c>
      <c r="R394" s="2" t="inlineStr"/>
    </row>
    <row r="395" ht="15" customHeight="1">
      <c r="A395" t="inlineStr">
        <is>
          <t>A 23082-2020</t>
        </is>
      </c>
      <c r="B395" s="1" t="n">
        <v>43964</v>
      </c>
      <c r="C395" s="1" t="n">
        <v>45784</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23310-2020</t>
        </is>
      </c>
      <c r="B396" s="1" t="n">
        <v>43966</v>
      </c>
      <c r="C396" s="1" t="n">
        <v>45784</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23174-2020</t>
        </is>
      </c>
      <c r="B397" s="1" t="n">
        <v>43966</v>
      </c>
      <c r="C397" s="1" t="n">
        <v>45784</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23560-2020</t>
        </is>
      </c>
      <c r="B398" s="1" t="n">
        <v>43969</v>
      </c>
      <c r="C398" s="1" t="n">
        <v>45784</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24077-2020</t>
        </is>
      </c>
      <c r="B399" s="1" t="n">
        <v>43972</v>
      </c>
      <c r="C399" s="1" t="n">
        <v>45784</v>
      </c>
      <c r="D399" t="inlineStr">
        <is>
          <t>JÄMTLANDS LÄN</t>
        </is>
      </c>
      <c r="E399" t="inlineStr">
        <is>
          <t>HÄRJEDALEN</t>
        </is>
      </c>
      <c r="F399" t="inlineStr">
        <is>
          <t>Sveaskog</t>
        </is>
      </c>
      <c r="G399" t="n">
        <v>9.6</v>
      </c>
      <c r="H399" t="n">
        <v>0</v>
      </c>
      <c r="I399" t="n">
        <v>0</v>
      </c>
      <c r="J399" t="n">
        <v>0</v>
      </c>
      <c r="K399" t="n">
        <v>0</v>
      </c>
      <c r="L399" t="n">
        <v>0</v>
      </c>
      <c r="M399" t="n">
        <v>0</v>
      </c>
      <c r="N399" t="n">
        <v>0</v>
      </c>
      <c r="O399" t="n">
        <v>0</v>
      </c>
      <c r="P399" t="n">
        <v>0</v>
      </c>
      <c r="Q399" t="n">
        <v>0</v>
      </c>
      <c r="R399" s="2" t="inlineStr"/>
    </row>
    <row r="400" ht="15" customHeight="1">
      <c r="A400" t="inlineStr">
        <is>
          <t>A 24127-2020</t>
        </is>
      </c>
      <c r="B400" s="1" t="n">
        <v>43973</v>
      </c>
      <c r="C400" s="1" t="n">
        <v>45784</v>
      </c>
      <c r="D400" t="inlineStr">
        <is>
          <t>JÄMTLANDS LÄN</t>
        </is>
      </c>
      <c r="E400" t="inlineStr">
        <is>
          <t>HÄRJEDALEN</t>
        </is>
      </c>
      <c r="G400" t="n">
        <v>4.6</v>
      </c>
      <c r="H400" t="n">
        <v>0</v>
      </c>
      <c r="I400" t="n">
        <v>0</v>
      </c>
      <c r="J400" t="n">
        <v>0</v>
      </c>
      <c r="K400" t="n">
        <v>0</v>
      </c>
      <c r="L400" t="n">
        <v>0</v>
      </c>
      <c r="M400" t="n">
        <v>0</v>
      </c>
      <c r="N400" t="n">
        <v>0</v>
      </c>
      <c r="O400" t="n">
        <v>0</v>
      </c>
      <c r="P400" t="n">
        <v>0</v>
      </c>
      <c r="Q400" t="n">
        <v>0</v>
      </c>
      <c r="R400" s="2" t="inlineStr"/>
    </row>
    <row r="401" ht="15" customHeight="1">
      <c r="A401" t="inlineStr">
        <is>
          <t>A 25240-2020</t>
        </is>
      </c>
      <c r="B401" s="1" t="n">
        <v>43980</v>
      </c>
      <c r="C401" s="1" t="n">
        <v>45784</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25341-2020</t>
        </is>
      </c>
      <c r="B402" s="1" t="n">
        <v>43980</v>
      </c>
      <c r="C402" s="1" t="n">
        <v>45784</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25232-2020</t>
        </is>
      </c>
      <c r="B403" s="1" t="n">
        <v>43980</v>
      </c>
      <c r="C403" s="1" t="n">
        <v>45784</v>
      </c>
      <c r="D403" t="inlineStr">
        <is>
          <t>JÄMTLANDS LÄN</t>
        </is>
      </c>
      <c r="E403" t="inlineStr">
        <is>
          <t>HÄRJEDALEN</t>
        </is>
      </c>
      <c r="G403" t="n">
        <v>14.9</v>
      </c>
      <c r="H403" t="n">
        <v>0</v>
      </c>
      <c r="I403" t="n">
        <v>0</v>
      </c>
      <c r="J403" t="n">
        <v>0</v>
      </c>
      <c r="K403" t="n">
        <v>0</v>
      </c>
      <c r="L403" t="n">
        <v>0</v>
      </c>
      <c r="M403" t="n">
        <v>0</v>
      </c>
      <c r="N403" t="n">
        <v>0</v>
      </c>
      <c r="O403" t="n">
        <v>0</v>
      </c>
      <c r="P403" t="n">
        <v>0</v>
      </c>
      <c r="Q403" t="n">
        <v>0</v>
      </c>
      <c r="R403" s="2" t="inlineStr"/>
    </row>
    <row r="404" ht="15" customHeight="1">
      <c r="A404" t="inlineStr">
        <is>
          <t>A 25238-2020</t>
        </is>
      </c>
      <c r="B404" s="1" t="n">
        <v>43980</v>
      </c>
      <c r="C404" s="1" t="n">
        <v>45784</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25236-2020</t>
        </is>
      </c>
      <c r="B405" s="1" t="n">
        <v>43980</v>
      </c>
      <c r="C405" s="1" t="n">
        <v>45784</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25779-2020</t>
        </is>
      </c>
      <c r="B406" s="1" t="n">
        <v>43984</v>
      </c>
      <c r="C406" s="1" t="n">
        <v>45784</v>
      </c>
      <c r="D406" t="inlineStr">
        <is>
          <t>JÄMTLANDS LÄN</t>
        </is>
      </c>
      <c r="E406" t="inlineStr">
        <is>
          <t>HÄRJEDALEN</t>
        </is>
      </c>
      <c r="G406" t="n">
        <v>22.2</v>
      </c>
      <c r="H406" t="n">
        <v>0</v>
      </c>
      <c r="I406" t="n">
        <v>0</v>
      </c>
      <c r="J406" t="n">
        <v>0</v>
      </c>
      <c r="K406" t="n">
        <v>0</v>
      </c>
      <c r="L406" t="n">
        <v>0</v>
      </c>
      <c r="M406" t="n">
        <v>0</v>
      </c>
      <c r="N406" t="n">
        <v>0</v>
      </c>
      <c r="O406" t="n">
        <v>0</v>
      </c>
      <c r="P406" t="n">
        <v>0</v>
      </c>
      <c r="Q406" t="n">
        <v>0</v>
      </c>
      <c r="R406" s="2" t="inlineStr"/>
    </row>
    <row r="407" ht="15" customHeight="1">
      <c r="A407" t="inlineStr">
        <is>
          <t>A 26056-2020</t>
        </is>
      </c>
      <c r="B407" s="1" t="n">
        <v>43984</v>
      </c>
      <c r="C407" s="1" t="n">
        <v>45784</v>
      </c>
      <c r="D407" t="inlineStr">
        <is>
          <t>JÄMTLANDS LÄN</t>
        </is>
      </c>
      <c r="E407" t="inlineStr">
        <is>
          <t>HÄRJEDALEN</t>
        </is>
      </c>
      <c r="G407" t="n">
        <v>53.1</v>
      </c>
      <c r="H407" t="n">
        <v>0</v>
      </c>
      <c r="I407" t="n">
        <v>0</v>
      </c>
      <c r="J407" t="n">
        <v>0</v>
      </c>
      <c r="K407" t="n">
        <v>0</v>
      </c>
      <c r="L407" t="n">
        <v>0</v>
      </c>
      <c r="M407" t="n">
        <v>0</v>
      </c>
      <c r="N407" t="n">
        <v>0</v>
      </c>
      <c r="O407" t="n">
        <v>0</v>
      </c>
      <c r="P407" t="n">
        <v>0</v>
      </c>
      <c r="Q407" t="n">
        <v>0</v>
      </c>
      <c r="R407" s="2" t="inlineStr"/>
    </row>
    <row r="408" ht="15" customHeight="1">
      <c r="A408" t="inlineStr">
        <is>
          <t>A 27854-2020</t>
        </is>
      </c>
      <c r="B408" s="1" t="n">
        <v>43994</v>
      </c>
      <c r="C408" s="1" t="n">
        <v>45784</v>
      </c>
      <c r="D408" t="inlineStr">
        <is>
          <t>JÄMTLANDS LÄN</t>
        </is>
      </c>
      <c r="E408" t="inlineStr">
        <is>
          <t>HÄRJEDALEN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28543-2020</t>
        </is>
      </c>
      <c r="B409" s="1" t="n">
        <v>43999</v>
      </c>
      <c r="C409" s="1" t="n">
        <v>45784</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29158-2020</t>
        </is>
      </c>
      <c r="B410" s="1" t="n">
        <v>44004</v>
      </c>
      <c r="C410" s="1" t="n">
        <v>45784</v>
      </c>
      <c r="D410" t="inlineStr">
        <is>
          <t>JÄMTLANDS LÄN</t>
        </is>
      </c>
      <c r="E410" t="inlineStr">
        <is>
          <t>HÄRJEDALEN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29154-2020</t>
        </is>
      </c>
      <c r="B411" s="1" t="n">
        <v>44004</v>
      </c>
      <c r="C411" s="1" t="n">
        <v>45784</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30963-2020</t>
        </is>
      </c>
      <c r="B412" s="1" t="n">
        <v>44011</v>
      </c>
      <c r="C412" s="1" t="n">
        <v>45784</v>
      </c>
      <c r="D412" t="inlineStr">
        <is>
          <t>JÄMTLANDS LÄN</t>
        </is>
      </c>
      <c r="E412" t="inlineStr">
        <is>
          <t>HÄRJEDALEN</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30936-2020</t>
        </is>
      </c>
      <c r="B413" s="1" t="n">
        <v>44011</v>
      </c>
      <c r="C413" s="1" t="n">
        <v>45784</v>
      </c>
      <c r="D413" t="inlineStr">
        <is>
          <t>JÄMTLANDS LÄN</t>
        </is>
      </c>
      <c r="E413" t="inlineStr">
        <is>
          <t>HÄRJEDALEN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30940-2020</t>
        </is>
      </c>
      <c r="B414" s="1" t="n">
        <v>44011</v>
      </c>
      <c r="C414" s="1" t="n">
        <v>45784</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31264-2020</t>
        </is>
      </c>
      <c r="B415" s="1" t="n">
        <v>44012</v>
      </c>
      <c r="C415" s="1" t="n">
        <v>45784</v>
      </c>
      <c r="D415" t="inlineStr">
        <is>
          <t>JÄMTLANDS LÄN</t>
        </is>
      </c>
      <c r="E415" t="inlineStr">
        <is>
          <t>HÄRJEDALEN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31872-2020</t>
        </is>
      </c>
      <c r="B416" s="1" t="n">
        <v>44014</v>
      </c>
      <c r="C416" s="1" t="n">
        <v>45784</v>
      </c>
      <c r="D416" t="inlineStr">
        <is>
          <t>JÄMTLANDS LÄN</t>
        </is>
      </c>
      <c r="E416" t="inlineStr">
        <is>
          <t>HÄRJEDALEN</t>
        </is>
      </c>
      <c r="G416" t="n">
        <v>21.4</v>
      </c>
      <c r="H416" t="n">
        <v>0</v>
      </c>
      <c r="I416" t="n">
        <v>0</v>
      </c>
      <c r="J416" t="n">
        <v>0</v>
      </c>
      <c r="K416" t="n">
        <v>0</v>
      </c>
      <c r="L416" t="n">
        <v>0</v>
      </c>
      <c r="M416" t="n">
        <v>0</v>
      </c>
      <c r="N416" t="n">
        <v>0</v>
      </c>
      <c r="O416" t="n">
        <v>0</v>
      </c>
      <c r="P416" t="n">
        <v>0</v>
      </c>
      <c r="Q416" t="n">
        <v>0</v>
      </c>
      <c r="R416" s="2" t="inlineStr"/>
    </row>
    <row r="417" ht="15" customHeight="1">
      <c r="A417" t="inlineStr">
        <is>
          <t>A 31920-2020</t>
        </is>
      </c>
      <c r="B417" s="1" t="n">
        <v>44014</v>
      </c>
      <c r="C417" s="1" t="n">
        <v>45784</v>
      </c>
      <c r="D417" t="inlineStr">
        <is>
          <t>JÄMTLANDS LÄN</t>
        </is>
      </c>
      <c r="E417" t="inlineStr">
        <is>
          <t>HÄRJEDALEN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33020-2020</t>
        </is>
      </c>
      <c r="B418" s="1" t="n">
        <v>44021</v>
      </c>
      <c r="C418" s="1" t="n">
        <v>45784</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33812-2020</t>
        </is>
      </c>
      <c r="B419" s="1" t="n">
        <v>44025</v>
      </c>
      <c r="C419" s="1" t="n">
        <v>45784</v>
      </c>
      <c r="D419" t="inlineStr">
        <is>
          <t>JÄMTLANDS LÄN</t>
        </is>
      </c>
      <c r="E419" t="inlineStr">
        <is>
          <t>HÄRJEDALEN</t>
        </is>
      </c>
      <c r="G419" t="n">
        <v>3.2</v>
      </c>
      <c r="H419" t="n">
        <v>0</v>
      </c>
      <c r="I419" t="n">
        <v>0</v>
      </c>
      <c r="J419" t="n">
        <v>0</v>
      </c>
      <c r="K419" t="n">
        <v>0</v>
      </c>
      <c r="L419" t="n">
        <v>0</v>
      </c>
      <c r="M419" t="n">
        <v>0</v>
      </c>
      <c r="N419" t="n">
        <v>0</v>
      </c>
      <c r="O419" t="n">
        <v>0</v>
      </c>
      <c r="P419" t="n">
        <v>0</v>
      </c>
      <c r="Q419" t="n">
        <v>0</v>
      </c>
      <c r="R419" s="2" t="inlineStr"/>
    </row>
    <row r="420" ht="15" customHeight="1">
      <c r="A420" t="inlineStr">
        <is>
          <t>A 33513-2020</t>
        </is>
      </c>
      <c r="B420" s="1" t="n">
        <v>44025</v>
      </c>
      <c r="C420" s="1" t="n">
        <v>45784</v>
      </c>
      <c r="D420" t="inlineStr">
        <is>
          <t>JÄMTLANDS LÄN</t>
        </is>
      </c>
      <c r="E420" t="inlineStr">
        <is>
          <t>HÄRJEDALEN</t>
        </is>
      </c>
      <c r="G420" t="n">
        <v>3.5</v>
      </c>
      <c r="H420" t="n">
        <v>0</v>
      </c>
      <c r="I420" t="n">
        <v>0</v>
      </c>
      <c r="J420" t="n">
        <v>0</v>
      </c>
      <c r="K420" t="n">
        <v>0</v>
      </c>
      <c r="L420" t="n">
        <v>0</v>
      </c>
      <c r="M420" t="n">
        <v>0</v>
      </c>
      <c r="N420" t="n">
        <v>0</v>
      </c>
      <c r="O420" t="n">
        <v>0</v>
      </c>
      <c r="P420" t="n">
        <v>0</v>
      </c>
      <c r="Q420" t="n">
        <v>0</v>
      </c>
      <c r="R420" s="2" t="inlineStr"/>
    </row>
    <row r="421" ht="15" customHeight="1">
      <c r="A421" t="inlineStr">
        <is>
          <t>A 33701-2020</t>
        </is>
      </c>
      <c r="B421" s="1" t="n">
        <v>44026</v>
      </c>
      <c r="C421" s="1" t="n">
        <v>45784</v>
      </c>
      <c r="D421" t="inlineStr">
        <is>
          <t>JÄMTLANDS LÄN</t>
        </is>
      </c>
      <c r="E421" t="inlineStr">
        <is>
          <t>HÄRJEDALEN</t>
        </is>
      </c>
      <c r="F421" t="inlineStr">
        <is>
          <t>Bergvik skog väst AB</t>
        </is>
      </c>
      <c r="G421" t="n">
        <v>7.2</v>
      </c>
      <c r="H421" t="n">
        <v>0</v>
      </c>
      <c r="I421" t="n">
        <v>0</v>
      </c>
      <c r="J421" t="n">
        <v>0</v>
      </c>
      <c r="K421" t="n">
        <v>0</v>
      </c>
      <c r="L421" t="n">
        <v>0</v>
      </c>
      <c r="M421" t="n">
        <v>0</v>
      </c>
      <c r="N421" t="n">
        <v>0</v>
      </c>
      <c r="O421" t="n">
        <v>0</v>
      </c>
      <c r="P421" t="n">
        <v>0</v>
      </c>
      <c r="Q421" t="n">
        <v>0</v>
      </c>
      <c r="R421" s="2" t="inlineStr"/>
    </row>
    <row r="422" ht="15" customHeight="1">
      <c r="A422" t="inlineStr">
        <is>
          <t>A 33942-2020</t>
        </is>
      </c>
      <c r="B422" s="1" t="n">
        <v>44028</v>
      </c>
      <c r="C422" s="1" t="n">
        <v>45784</v>
      </c>
      <c r="D422" t="inlineStr">
        <is>
          <t>JÄMTLANDS LÄN</t>
        </is>
      </c>
      <c r="E422" t="inlineStr">
        <is>
          <t>HÄRJEDALEN</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34894-2020</t>
        </is>
      </c>
      <c r="B423" s="1" t="n">
        <v>44036</v>
      </c>
      <c r="C423" s="1" t="n">
        <v>45784</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34900-2020</t>
        </is>
      </c>
      <c r="B424" s="1" t="n">
        <v>44036</v>
      </c>
      <c r="C424" s="1" t="n">
        <v>45784</v>
      </c>
      <c r="D424" t="inlineStr">
        <is>
          <t>JÄMTLANDS LÄN</t>
        </is>
      </c>
      <c r="E424" t="inlineStr">
        <is>
          <t>HÄRJEDALEN</t>
        </is>
      </c>
      <c r="G424" t="n">
        <v>13.1</v>
      </c>
      <c r="H424" t="n">
        <v>0</v>
      </c>
      <c r="I424" t="n">
        <v>0</v>
      </c>
      <c r="J424" t="n">
        <v>0</v>
      </c>
      <c r="K424" t="n">
        <v>0</v>
      </c>
      <c r="L424" t="n">
        <v>0</v>
      </c>
      <c r="M424" t="n">
        <v>0</v>
      </c>
      <c r="N424" t="n">
        <v>0</v>
      </c>
      <c r="O424" t="n">
        <v>0</v>
      </c>
      <c r="P424" t="n">
        <v>0</v>
      </c>
      <c r="Q424" t="n">
        <v>0</v>
      </c>
      <c r="R424" s="2" t="inlineStr"/>
    </row>
    <row r="425" ht="15" customHeight="1">
      <c r="A425" t="inlineStr">
        <is>
          <t>A 34975-2020</t>
        </is>
      </c>
      <c r="B425" s="1" t="n">
        <v>44039</v>
      </c>
      <c r="C425" s="1" t="n">
        <v>45784</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34963-2020</t>
        </is>
      </c>
      <c r="B426" s="1" t="n">
        <v>44039</v>
      </c>
      <c r="C426" s="1" t="n">
        <v>45784</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45784</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45784</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45784</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45784</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45784</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45784</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45784</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45784</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c r="U434">
        <f>HYPERLINK("https://klasma.github.io/Logging_2361/knärot/A 38403-2020 karta knärot.png", "A 38403-2020")</f>
        <v/>
      </c>
      <c r="V434">
        <f>HYPERLINK("https://klasma.github.io/Logging_2361/klagomål/A 38403-2020 FSC-klagomål.docx", "A 38403-2020")</f>
        <v/>
      </c>
      <c r="W434">
        <f>HYPERLINK("https://klasma.github.io/Logging_2361/klagomålsmail/A 38403-2020 FSC-klagomål mail.docx", "A 38403-2020")</f>
        <v/>
      </c>
      <c r="X434">
        <f>HYPERLINK("https://klasma.github.io/Logging_2361/tillsyn/A 38403-2020 tillsynsbegäran.docx", "A 38403-2020")</f>
        <v/>
      </c>
      <c r="Y434">
        <f>HYPERLINK("https://klasma.github.io/Logging_2361/tillsynsmail/A 38403-2020 tillsynsbegäran mail.docx", "A 38403-2020")</f>
        <v/>
      </c>
    </row>
    <row r="435" ht="15" customHeight="1">
      <c r="A435" t="inlineStr">
        <is>
          <t>A 42078-2020</t>
        </is>
      </c>
      <c r="B435" s="1" t="n">
        <v>44075</v>
      </c>
      <c r="C435" s="1" t="n">
        <v>45784</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45784</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45784</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45784</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45784</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45784</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45784</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45784</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45784</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49430-2020</t>
        </is>
      </c>
      <c r="B444" s="1" t="n">
        <v>44102</v>
      </c>
      <c r="C444" s="1" t="n">
        <v>45784</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49447-2020</t>
        </is>
      </c>
      <c r="B445" s="1" t="n">
        <v>44102</v>
      </c>
      <c r="C445" s="1" t="n">
        <v>45784</v>
      </c>
      <c r="D445" t="inlineStr">
        <is>
          <t>JÄMTLANDS LÄN</t>
        </is>
      </c>
      <c r="E445" t="inlineStr">
        <is>
          <t>HÄRJEDALEN</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49248-2020</t>
        </is>
      </c>
      <c r="B446" s="1" t="n">
        <v>44105</v>
      </c>
      <c r="C446" s="1" t="n">
        <v>45784</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49903-2020</t>
        </is>
      </c>
      <c r="B447" s="1" t="n">
        <v>44108</v>
      </c>
      <c r="C447" s="1" t="n">
        <v>45784</v>
      </c>
      <c r="D447" t="inlineStr">
        <is>
          <t>JÄMTLANDS LÄN</t>
        </is>
      </c>
      <c r="E447" t="inlineStr">
        <is>
          <t>HÄRJEDALEN</t>
        </is>
      </c>
      <c r="G447" t="n">
        <v>1.9</v>
      </c>
      <c r="H447" t="n">
        <v>0</v>
      </c>
      <c r="I447" t="n">
        <v>0</v>
      </c>
      <c r="J447" t="n">
        <v>0</v>
      </c>
      <c r="K447" t="n">
        <v>0</v>
      </c>
      <c r="L447" t="n">
        <v>0</v>
      </c>
      <c r="M447" t="n">
        <v>0</v>
      </c>
      <c r="N447" t="n">
        <v>0</v>
      </c>
      <c r="O447" t="n">
        <v>0</v>
      </c>
      <c r="P447" t="n">
        <v>0</v>
      </c>
      <c r="Q447" t="n">
        <v>0</v>
      </c>
      <c r="R447" s="2" t="inlineStr"/>
    </row>
    <row r="448" ht="15" customHeight="1">
      <c r="A448" t="inlineStr">
        <is>
          <t>A 50018-2020</t>
        </is>
      </c>
      <c r="B448" s="1" t="n">
        <v>44109</v>
      </c>
      <c r="C448" s="1" t="n">
        <v>45784</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54481-2020</t>
        </is>
      </c>
      <c r="B449" s="1" t="n">
        <v>44126</v>
      </c>
      <c r="C449" s="1" t="n">
        <v>45784</v>
      </c>
      <c r="D449" t="inlineStr">
        <is>
          <t>JÄMTLANDS LÄN</t>
        </is>
      </c>
      <c r="E449" t="inlineStr">
        <is>
          <t>HÄRJEDALEN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54537-2020</t>
        </is>
      </c>
      <c r="B450" s="1" t="n">
        <v>44126</v>
      </c>
      <c r="C450" s="1" t="n">
        <v>45784</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54593-2020</t>
        </is>
      </c>
      <c r="B451" s="1" t="n">
        <v>44126</v>
      </c>
      <c r="C451" s="1" t="n">
        <v>45784</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54716-2020</t>
        </is>
      </c>
      <c r="B452" s="1" t="n">
        <v>44127</v>
      </c>
      <c r="C452" s="1" t="n">
        <v>45784</v>
      </c>
      <c r="D452" t="inlineStr">
        <is>
          <t>JÄMTLANDS LÄN</t>
        </is>
      </c>
      <c r="E452" t="inlineStr">
        <is>
          <t>HÄRJEDALEN</t>
        </is>
      </c>
      <c r="F452" t="inlineStr">
        <is>
          <t>Kyrkan</t>
        </is>
      </c>
      <c r="G452" t="n">
        <v>21.3</v>
      </c>
      <c r="H452" t="n">
        <v>0</v>
      </c>
      <c r="I452" t="n">
        <v>0</v>
      </c>
      <c r="J452" t="n">
        <v>0</v>
      </c>
      <c r="K452" t="n">
        <v>0</v>
      </c>
      <c r="L452" t="n">
        <v>0</v>
      </c>
      <c r="M452" t="n">
        <v>0</v>
      </c>
      <c r="N452" t="n">
        <v>0</v>
      </c>
      <c r="O452" t="n">
        <v>0</v>
      </c>
      <c r="P452" t="n">
        <v>0</v>
      </c>
      <c r="Q452" t="n">
        <v>0</v>
      </c>
      <c r="R452" s="2" t="inlineStr"/>
    </row>
    <row r="453" ht="15" customHeight="1">
      <c r="A453" t="inlineStr">
        <is>
          <t>A 55834-2020</t>
        </is>
      </c>
      <c r="B453" s="1" t="n">
        <v>44132</v>
      </c>
      <c r="C453" s="1" t="n">
        <v>45784</v>
      </c>
      <c r="D453" t="inlineStr">
        <is>
          <t>JÄMTLANDS LÄN</t>
        </is>
      </c>
      <c r="E453" t="inlineStr">
        <is>
          <t>HÄRJEDALEN</t>
        </is>
      </c>
      <c r="G453" t="n">
        <v>2.8</v>
      </c>
      <c r="H453" t="n">
        <v>0</v>
      </c>
      <c r="I453" t="n">
        <v>0</v>
      </c>
      <c r="J453" t="n">
        <v>0</v>
      </c>
      <c r="K453" t="n">
        <v>0</v>
      </c>
      <c r="L453" t="n">
        <v>0</v>
      </c>
      <c r="M453" t="n">
        <v>0</v>
      </c>
      <c r="N453" t="n">
        <v>0</v>
      </c>
      <c r="O453" t="n">
        <v>0</v>
      </c>
      <c r="P453" t="n">
        <v>0</v>
      </c>
      <c r="Q453" t="n">
        <v>0</v>
      </c>
      <c r="R453" s="2" t="inlineStr"/>
    </row>
    <row r="454" ht="15" customHeight="1">
      <c r="A454" t="inlineStr">
        <is>
          <t>A 56001-2020</t>
        </is>
      </c>
      <c r="B454" s="1" t="n">
        <v>44133</v>
      </c>
      <c r="C454" s="1" t="n">
        <v>45784</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57196-2020</t>
        </is>
      </c>
      <c r="B455" s="1" t="n">
        <v>44139</v>
      </c>
      <c r="C455" s="1" t="n">
        <v>45784</v>
      </c>
      <c r="D455" t="inlineStr">
        <is>
          <t>JÄMTLANDS LÄN</t>
        </is>
      </c>
      <c r="E455" t="inlineStr">
        <is>
          <t>HÄRJEDALEN</t>
        </is>
      </c>
      <c r="G455" t="n">
        <v>15.1</v>
      </c>
      <c r="H455" t="n">
        <v>0</v>
      </c>
      <c r="I455" t="n">
        <v>0</v>
      </c>
      <c r="J455" t="n">
        <v>0</v>
      </c>
      <c r="K455" t="n">
        <v>0</v>
      </c>
      <c r="L455" t="n">
        <v>0</v>
      </c>
      <c r="M455" t="n">
        <v>0</v>
      </c>
      <c r="N455" t="n">
        <v>0</v>
      </c>
      <c r="O455" t="n">
        <v>0</v>
      </c>
      <c r="P455" t="n">
        <v>0</v>
      </c>
      <c r="Q455" t="n">
        <v>0</v>
      </c>
      <c r="R455" s="2" t="inlineStr"/>
    </row>
    <row r="456" ht="15" customHeight="1">
      <c r="A456" t="inlineStr">
        <is>
          <t>A 59533-2020</t>
        </is>
      </c>
      <c r="B456" s="1" t="n">
        <v>44148</v>
      </c>
      <c r="C456" s="1" t="n">
        <v>45784</v>
      </c>
      <c r="D456" t="inlineStr">
        <is>
          <t>JÄMTLANDS LÄN</t>
        </is>
      </c>
      <c r="E456" t="inlineStr">
        <is>
          <t>HÄRJEDALEN</t>
        </is>
      </c>
      <c r="F456" t="inlineStr">
        <is>
          <t>Holmen skog AB</t>
        </is>
      </c>
      <c r="G456" t="n">
        <v>38.3</v>
      </c>
      <c r="H456" t="n">
        <v>0</v>
      </c>
      <c r="I456" t="n">
        <v>0</v>
      </c>
      <c r="J456" t="n">
        <v>0</v>
      </c>
      <c r="K456" t="n">
        <v>0</v>
      </c>
      <c r="L456" t="n">
        <v>0</v>
      </c>
      <c r="M456" t="n">
        <v>0</v>
      </c>
      <c r="N456" t="n">
        <v>0</v>
      </c>
      <c r="O456" t="n">
        <v>0</v>
      </c>
      <c r="P456" t="n">
        <v>0</v>
      </c>
      <c r="Q456" t="n">
        <v>0</v>
      </c>
      <c r="R456" s="2" t="inlineStr"/>
    </row>
    <row r="457" ht="15" customHeight="1">
      <c r="A457" t="inlineStr">
        <is>
          <t>A 60087-2020</t>
        </is>
      </c>
      <c r="B457" s="1" t="n">
        <v>44151</v>
      </c>
      <c r="C457" s="1" t="n">
        <v>45784</v>
      </c>
      <c r="D457" t="inlineStr">
        <is>
          <t>JÄMTLANDS LÄN</t>
        </is>
      </c>
      <c r="E457" t="inlineStr">
        <is>
          <t>HÄRJEDALEN</t>
        </is>
      </c>
      <c r="G457" t="n">
        <v>9.4</v>
      </c>
      <c r="H457" t="n">
        <v>0</v>
      </c>
      <c r="I457" t="n">
        <v>0</v>
      </c>
      <c r="J457" t="n">
        <v>0</v>
      </c>
      <c r="K457" t="n">
        <v>0</v>
      </c>
      <c r="L457" t="n">
        <v>0</v>
      </c>
      <c r="M457" t="n">
        <v>0</v>
      </c>
      <c r="N457" t="n">
        <v>0</v>
      </c>
      <c r="O457" t="n">
        <v>0</v>
      </c>
      <c r="P457" t="n">
        <v>0</v>
      </c>
      <c r="Q457" t="n">
        <v>0</v>
      </c>
      <c r="R457" s="2" t="inlineStr"/>
    </row>
    <row r="458" ht="15" customHeight="1">
      <c r="A458" t="inlineStr">
        <is>
          <t>A 60424-2020</t>
        </is>
      </c>
      <c r="B458" s="1" t="n">
        <v>44153</v>
      </c>
      <c r="C458" s="1" t="n">
        <v>45784</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60429-2020</t>
        </is>
      </c>
      <c r="B459" s="1" t="n">
        <v>44153</v>
      </c>
      <c r="C459" s="1" t="n">
        <v>45784</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60606-2020</t>
        </is>
      </c>
      <c r="B460" s="1" t="n">
        <v>44153</v>
      </c>
      <c r="C460" s="1" t="n">
        <v>45784</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45784</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60836-2020</t>
        </is>
      </c>
      <c r="B462" s="1" t="n">
        <v>44154</v>
      </c>
      <c r="C462" s="1" t="n">
        <v>45784</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60794-2020</t>
        </is>
      </c>
      <c r="B463" s="1" t="n">
        <v>44154</v>
      </c>
      <c r="C463" s="1" t="n">
        <v>45784</v>
      </c>
      <c r="D463" t="inlineStr">
        <is>
          <t>JÄMTLANDS LÄN</t>
        </is>
      </c>
      <c r="E463" t="inlineStr">
        <is>
          <t>HÄRJEDALEN</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61232-2020</t>
        </is>
      </c>
      <c r="B464" s="1" t="n">
        <v>44155</v>
      </c>
      <c r="C464" s="1" t="n">
        <v>45784</v>
      </c>
      <c r="D464" t="inlineStr">
        <is>
          <t>JÄMTLANDS LÄN</t>
        </is>
      </c>
      <c r="E464" t="inlineStr">
        <is>
          <t>HÄRJEDALEN</t>
        </is>
      </c>
      <c r="G464" t="n">
        <v>8.5</v>
      </c>
      <c r="H464" t="n">
        <v>0</v>
      </c>
      <c r="I464" t="n">
        <v>0</v>
      </c>
      <c r="J464" t="n">
        <v>0</v>
      </c>
      <c r="K464" t="n">
        <v>0</v>
      </c>
      <c r="L464" t="n">
        <v>0</v>
      </c>
      <c r="M464" t="n">
        <v>0</v>
      </c>
      <c r="N464" t="n">
        <v>0</v>
      </c>
      <c r="O464" t="n">
        <v>0</v>
      </c>
      <c r="P464" t="n">
        <v>0</v>
      </c>
      <c r="Q464" t="n">
        <v>0</v>
      </c>
      <c r="R464" s="2" t="inlineStr"/>
    </row>
    <row r="465" ht="15" customHeight="1">
      <c r="A465" t="inlineStr">
        <is>
          <t>A 63133-2020</t>
        </is>
      </c>
      <c r="B465" s="1" t="n">
        <v>44162</v>
      </c>
      <c r="C465" s="1" t="n">
        <v>45784</v>
      </c>
      <c r="D465" t="inlineStr">
        <is>
          <t>JÄMTLANDS LÄN</t>
        </is>
      </c>
      <c r="E465" t="inlineStr">
        <is>
          <t>HÄRJEDALEN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64281-2020</t>
        </is>
      </c>
      <c r="B466" s="1" t="n">
        <v>44166</v>
      </c>
      <c r="C466" s="1" t="n">
        <v>45784</v>
      </c>
      <c r="D466" t="inlineStr">
        <is>
          <t>JÄMTLANDS LÄN</t>
        </is>
      </c>
      <c r="E466" t="inlineStr">
        <is>
          <t>HÄRJEDALEN</t>
        </is>
      </c>
      <c r="F466" t="inlineStr">
        <is>
          <t>Övriga statliga verk och myndigheter</t>
        </is>
      </c>
      <c r="G466" t="n">
        <v>4.1</v>
      </c>
      <c r="H466" t="n">
        <v>0</v>
      </c>
      <c r="I466" t="n">
        <v>0</v>
      </c>
      <c r="J466" t="n">
        <v>0</v>
      </c>
      <c r="K466" t="n">
        <v>0</v>
      </c>
      <c r="L466" t="n">
        <v>0</v>
      </c>
      <c r="M466" t="n">
        <v>0</v>
      </c>
      <c r="N466" t="n">
        <v>0</v>
      </c>
      <c r="O466" t="n">
        <v>0</v>
      </c>
      <c r="P466" t="n">
        <v>0</v>
      </c>
      <c r="Q466" t="n">
        <v>0</v>
      </c>
      <c r="R466" s="2" t="inlineStr"/>
    </row>
    <row r="467" ht="15" customHeight="1">
      <c r="A467" t="inlineStr">
        <is>
          <t>A 64300-2020</t>
        </is>
      </c>
      <c r="B467" s="1" t="n">
        <v>44166</v>
      </c>
      <c r="C467" s="1" t="n">
        <v>45784</v>
      </c>
      <c r="D467" t="inlineStr">
        <is>
          <t>JÄMTLANDS LÄN</t>
        </is>
      </c>
      <c r="E467" t="inlineStr">
        <is>
          <t>HÄRJEDALEN</t>
        </is>
      </c>
      <c r="F467" t="inlineStr">
        <is>
          <t>Övriga statliga verk och myndigheter</t>
        </is>
      </c>
      <c r="G467" t="n">
        <v>58</v>
      </c>
      <c r="H467" t="n">
        <v>0</v>
      </c>
      <c r="I467" t="n">
        <v>0</v>
      </c>
      <c r="J467" t="n">
        <v>0</v>
      </c>
      <c r="K467" t="n">
        <v>0</v>
      </c>
      <c r="L467" t="n">
        <v>0</v>
      </c>
      <c r="M467" t="n">
        <v>0</v>
      </c>
      <c r="N467" t="n">
        <v>0</v>
      </c>
      <c r="O467" t="n">
        <v>0</v>
      </c>
      <c r="P467" t="n">
        <v>0</v>
      </c>
      <c r="Q467" t="n">
        <v>0</v>
      </c>
      <c r="R467" s="2" t="inlineStr"/>
    </row>
    <row r="468" ht="15" customHeight="1">
      <c r="A468" t="inlineStr">
        <is>
          <t>A 63949-2020</t>
        </is>
      </c>
      <c r="B468" s="1" t="n">
        <v>44167</v>
      </c>
      <c r="C468" s="1" t="n">
        <v>45784</v>
      </c>
      <c r="D468" t="inlineStr">
        <is>
          <t>JÄMTLANDS LÄN</t>
        </is>
      </c>
      <c r="E468" t="inlineStr">
        <is>
          <t>HÄRJEDALEN</t>
        </is>
      </c>
      <c r="F468" t="inlineStr">
        <is>
          <t>Bergvik skog väst AB</t>
        </is>
      </c>
      <c r="G468" t="n">
        <v>10.8</v>
      </c>
      <c r="H468" t="n">
        <v>0</v>
      </c>
      <c r="I468" t="n">
        <v>0</v>
      </c>
      <c r="J468" t="n">
        <v>0</v>
      </c>
      <c r="K468" t="n">
        <v>0</v>
      </c>
      <c r="L468" t="n">
        <v>0</v>
      </c>
      <c r="M468" t="n">
        <v>0</v>
      </c>
      <c r="N468" t="n">
        <v>0</v>
      </c>
      <c r="O468" t="n">
        <v>0</v>
      </c>
      <c r="P468" t="n">
        <v>0</v>
      </c>
      <c r="Q468" t="n">
        <v>0</v>
      </c>
      <c r="R468" s="2" t="inlineStr"/>
    </row>
    <row r="469" ht="15" customHeight="1">
      <c r="A469" t="inlineStr">
        <is>
          <t>A 63979-2020</t>
        </is>
      </c>
      <c r="B469" s="1" t="n">
        <v>44167</v>
      </c>
      <c r="C469" s="1" t="n">
        <v>45784</v>
      </c>
      <c r="D469" t="inlineStr">
        <is>
          <t>JÄMTLANDS LÄN</t>
        </is>
      </c>
      <c r="E469" t="inlineStr">
        <is>
          <t>HÄRJEDALEN</t>
        </is>
      </c>
      <c r="G469" t="n">
        <v>10</v>
      </c>
      <c r="H469" t="n">
        <v>0</v>
      </c>
      <c r="I469" t="n">
        <v>0</v>
      </c>
      <c r="J469" t="n">
        <v>0</v>
      </c>
      <c r="K469" t="n">
        <v>0</v>
      </c>
      <c r="L469" t="n">
        <v>0</v>
      </c>
      <c r="M469" t="n">
        <v>0</v>
      </c>
      <c r="N469" t="n">
        <v>0</v>
      </c>
      <c r="O469" t="n">
        <v>0</v>
      </c>
      <c r="P469" t="n">
        <v>0</v>
      </c>
      <c r="Q469" t="n">
        <v>0</v>
      </c>
      <c r="R469" s="2" t="inlineStr"/>
    </row>
    <row r="470" ht="15" customHeight="1">
      <c r="A470" t="inlineStr">
        <is>
          <t>A 64539-2020</t>
        </is>
      </c>
      <c r="B470" s="1" t="n">
        <v>44169</v>
      </c>
      <c r="C470" s="1" t="n">
        <v>45784</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64579-2020</t>
        </is>
      </c>
      <c r="B471" s="1" t="n">
        <v>44169</v>
      </c>
      <c r="C471" s="1" t="n">
        <v>45784</v>
      </c>
      <c r="D471" t="inlineStr">
        <is>
          <t>JÄMTLANDS LÄN</t>
        </is>
      </c>
      <c r="E471" t="inlineStr">
        <is>
          <t>HÄRJEDALEN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65817-2020</t>
        </is>
      </c>
      <c r="B472" s="1" t="n">
        <v>44174</v>
      </c>
      <c r="C472" s="1" t="n">
        <v>45784</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66276-2020</t>
        </is>
      </c>
      <c r="B473" s="1" t="n">
        <v>44174</v>
      </c>
      <c r="C473" s="1" t="n">
        <v>45784</v>
      </c>
      <c r="D473" t="inlineStr">
        <is>
          <t>JÄMTLANDS LÄN</t>
        </is>
      </c>
      <c r="E473" t="inlineStr">
        <is>
          <t>HÄRJEDALEN</t>
        </is>
      </c>
      <c r="G473" t="n">
        <v>4</v>
      </c>
      <c r="H473" t="n">
        <v>0</v>
      </c>
      <c r="I473" t="n">
        <v>0</v>
      </c>
      <c r="J473" t="n">
        <v>0</v>
      </c>
      <c r="K473" t="n">
        <v>0</v>
      </c>
      <c r="L473" t="n">
        <v>0</v>
      </c>
      <c r="M473" t="n">
        <v>0</v>
      </c>
      <c r="N473" t="n">
        <v>0</v>
      </c>
      <c r="O473" t="n">
        <v>0</v>
      </c>
      <c r="P473" t="n">
        <v>0</v>
      </c>
      <c r="Q473" t="n">
        <v>0</v>
      </c>
      <c r="R473" s="2" t="inlineStr"/>
    </row>
    <row r="474" ht="15" customHeight="1">
      <c r="A474" t="inlineStr">
        <is>
          <t>A 66720-2020</t>
        </is>
      </c>
      <c r="B474" s="1" t="n">
        <v>44179</v>
      </c>
      <c r="C474" s="1" t="n">
        <v>45784</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67099-2020</t>
        </is>
      </c>
      <c r="B475" s="1" t="n">
        <v>44180</v>
      </c>
      <c r="C475" s="1" t="n">
        <v>45784</v>
      </c>
      <c r="D475" t="inlineStr">
        <is>
          <t>JÄMTLANDS LÄN</t>
        </is>
      </c>
      <c r="E475" t="inlineStr">
        <is>
          <t>HÄRJEDALEN</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67156-2020</t>
        </is>
      </c>
      <c r="B476" s="1" t="n">
        <v>44180</v>
      </c>
      <c r="C476" s="1" t="n">
        <v>45784</v>
      </c>
      <c r="D476" t="inlineStr">
        <is>
          <t>JÄMTLANDS LÄN</t>
        </is>
      </c>
      <c r="E476" t="inlineStr">
        <is>
          <t>HÄRJEDALEN</t>
        </is>
      </c>
      <c r="F476" t="inlineStr">
        <is>
          <t>Holmen skog AB</t>
        </is>
      </c>
      <c r="G476" t="n">
        <v>7.3</v>
      </c>
      <c r="H476" t="n">
        <v>0</v>
      </c>
      <c r="I476" t="n">
        <v>0</v>
      </c>
      <c r="J476" t="n">
        <v>0</v>
      </c>
      <c r="K476" t="n">
        <v>0</v>
      </c>
      <c r="L476" t="n">
        <v>0</v>
      </c>
      <c r="M476" t="n">
        <v>0</v>
      </c>
      <c r="N476" t="n">
        <v>0</v>
      </c>
      <c r="O476" t="n">
        <v>0</v>
      </c>
      <c r="P476" t="n">
        <v>0</v>
      </c>
      <c r="Q476" t="n">
        <v>0</v>
      </c>
      <c r="R476" s="2" t="inlineStr"/>
    </row>
    <row r="477" ht="15" customHeight="1">
      <c r="A477" t="inlineStr">
        <is>
          <t>A 67110-2020</t>
        </is>
      </c>
      <c r="B477" s="1" t="n">
        <v>44180</v>
      </c>
      <c r="C477" s="1" t="n">
        <v>45784</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67182-2020</t>
        </is>
      </c>
      <c r="B478" s="1" t="n">
        <v>44180</v>
      </c>
      <c r="C478" s="1" t="n">
        <v>45784</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67194-2020</t>
        </is>
      </c>
      <c r="B479" s="1" t="n">
        <v>44180</v>
      </c>
      <c r="C479" s="1" t="n">
        <v>45784</v>
      </c>
      <c r="D479" t="inlineStr">
        <is>
          <t>JÄMTLANDS LÄN</t>
        </is>
      </c>
      <c r="E479" t="inlineStr">
        <is>
          <t>HÄRJEDALEN</t>
        </is>
      </c>
      <c r="F479" t="inlineStr">
        <is>
          <t>Holmen skog AB</t>
        </is>
      </c>
      <c r="G479" t="n">
        <v>8.5</v>
      </c>
      <c r="H479" t="n">
        <v>0</v>
      </c>
      <c r="I479" t="n">
        <v>0</v>
      </c>
      <c r="J479" t="n">
        <v>0</v>
      </c>
      <c r="K479" t="n">
        <v>0</v>
      </c>
      <c r="L479" t="n">
        <v>0</v>
      </c>
      <c r="M479" t="n">
        <v>0</v>
      </c>
      <c r="N479" t="n">
        <v>0</v>
      </c>
      <c r="O479" t="n">
        <v>0</v>
      </c>
      <c r="P479" t="n">
        <v>0</v>
      </c>
      <c r="Q479" t="n">
        <v>0</v>
      </c>
      <c r="R479" s="2" t="inlineStr"/>
    </row>
    <row r="480" ht="15" customHeight="1">
      <c r="A480" t="inlineStr">
        <is>
          <t>A 67180-2020</t>
        </is>
      </c>
      <c r="B480" s="1" t="n">
        <v>44180</v>
      </c>
      <c r="C480" s="1" t="n">
        <v>45784</v>
      </c>
      <c r="D480" t="inlineStr">
        <is>
          <t>JÄMTLANDS LÄN</t>
        </is>
      </c>
      <c r="E480" t="inlineStr">
        <is>
          <t>HÄRJEDALEN</t>
        </is>
      </c>
      <c r="G480" t="n">
        <v>0</v>
      </c>
      <c r="H480" t="n">
        <v>0</v>
      </c>
      <c r="I480" t="n">
        <v>0</v>
      </c>
      <c r="J480" t="n">
        <v>0</v>
      </c>
      <c r="K480" t="n">
        <v>0</v>
      </c>
      <c r="L480" t="n">
        <v>0</v>
      </c>
      <c r="M480" t="n">
        <v>0</v>
      </c>
      <c r="N480" t="n">
        <v>0</v>
      </c>
      <c r="O480" t="n">
        <v>0</v>
      </c>
      <c r="P480" t="n">
        <v>0</v>
      </c>
      <c r="Q480" t="n">
        <v>0</v>
      </c>
      <c r="R480" s="2" t="inlineStr"/>
    </row>
    <row r="481" ht="15" customHeight="1">
      <c r="A481" t="inlineStr">
        <is>
          <t>A 67106-2020</t>
        </is>
      </c>
      <c r="B481" s="1" t="n">
        <v>44180</v>
      </c>
      <c r="C481" s="1" t="n">
        <v>45784</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67457-2020</t>
        </is>
      </c>
      <c r="B482" s="1" t="n">
        <v>44181</v>
      </c>
      <c r="C482" s="1" t="n">
        <v>45784</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67522-2020</t>
        </is>
      </c>
      <c r="B483" s="1" t="n">
        <v>44181</v>
      </c>
      <c r="C483" s="1" t="n">
        <v>45784</v>
      </c>
      <c r="D483" t="inlineStr">
        <is>
          <t>JÄMTLANDS LÄN</t>
        </is>
      </c>
      <c r="E483" t="inlineStr">
        <is>
          <t>HÄRJEDALEN</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67416-2020</t>
        </is>
      </c>
      <c r="B484" s="1" t="n">
        <v>44181</v>
      </c>
      <c r="C484" s="1" t="n">
        <v>45784</v>
      </c>
      <c r="D484" t="inlineStr">
        <is>
          <t>JÄMTLANDS LÄN</t>
        </is>
      </c>
      <c r="E484" t="inlineStr">
        <is>
          <t>HÄRJEDALEN</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67445-2020</t>
        </is>
      </c>
      <c r="B485" s="1" t="n">
        <v>44181</v>
      </c>
      <c r="C485" s="1" t="n">
        <v>45784</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67459-2020</t>
        </is>
      </c>
      <c r="B486" s="1" t="n">
        <v>44181</v>
      </c>
      <c r="C486" s="1" t="n">
        <v>45784</v>
      </c>
      <c r="D486" t="inlineStr">
        <is>
          <t>JÄMTLANDS LÄN</t>
        </is>
      </c>
      <c r="E486" t="inlineStr">
        <is>
          <t>HÄRJEDALEN</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67529-2020</t>
        </is>
      </c>
      <c r="B487" s="1" t="n">
        <v>44181</v>
      </c>
      <c r="C487" s="1" t="n">
        <v>45784</v>
      </c>
      <c r="D487" t="inlineStr">
        <is>
          <t>JÄMTLANDS LÄN</t>
        </is>
      </c>
      <c r="E487" t="inlineStr">
        <is>
          <t>HÄRJEDALEN</t>
        </is>
      </c>
      <c r="F487" t="inlineStr">
        <is>
          <t>Holmen skog AB</t>
        </is>
      </c>
      <c r="G487" t="n">
        <v>5.4</v>
      </c>
      <c r="H487" t="n">
        <v>0</v>
      </c>
      <c r="I487" t="n">
        <v>0</v>
      </c>
      <c r="J487" t="n">
        <v>0</v>
      </c>
      <c r="K487" t="n">
        <v>0</v>
      </c>
      <c r="L487" t="n">
        <v>0</v>
      </c>
      <c r="M487" t="n">
        <v>0</v>
      </c>
      <c r="N487" t="n">
        <v>0</v>
      </c>
      <c r="O487" t="n">
        <v>0</v>
      </c>
      <c r="P487" t="n">
        <v>0</v>
      </c>
      <c r="Q487" t="n">
        <v>0</v>
      </c>
      <c r="R487" s="2" t="inlineStr"/>
    </row>
    <row r="488" ht="15" customHeight="1">
      <c r="A488" t="inlineStr">
        <is>
          <t>A 67411-2020</t>
        </is>
      </c>
      <c r="B488" s="1" t="n">
        <v>44181</v>
      </c>
      <c r="C488" s="1" t="n">
        <v>45784</v>
      </c>
      <c r="D488" t="inlineStr">
        <is>
          <t>JÄMTLANDS LÄN</t>
        </is>
      </c>
      <c r="E488" t="inlineStr">
        <is>
          <t>HÄRJEDALEN</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67438-2020</t>
        </is>
      </c>
      <c r="B489" s="1" t="n">
        <v>44181</v>
      </c>
      <c r="C489" s="1" t="n">
        <v>45784</v>
      </c>
      <c r="D489" t="inlineStr">
        <is>
          <t>JÄMTLANDS LÄN</t>
        </is>
      </c>
      <c r="E489" t="inlineStr">
        <is>
          <t>HÄRJEDALEN</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67447-2020</t>
        </is>
      </c>
      <c r="B490" s="1" t="n">
        <v>44181</v>
      </c>
      <c r="C490" s="1" t="n">
        <v>45784</v>
      </c>
      <c r="D490" t="inlineStr">
        <is>
          <t>JÄMTLANDS LÄN</t>
        </is>
      </c>
      <c r="E490" t="inlineStr">
        <is>
          <t>HÄRJEDALEN</t>
        </is>
      </c>
      <c r="F490" t="inlineStr">
        <is>
          <t>Holmen skog AB</t>
        </is>
      </c>
      <c r="G490" t="n">
        <v>8.6</v>
      </c>
      <c r="H490" t="n">
        <v>0</v>
      </c>
      <c r="I490" t="n">
        <v>0</v>
      </c>
      <c r="J490" t="n">
        <v>0</v>
      </c>
      <c r="K490" t="n">
        <v>0</v>
      </c>
      <c r="L490" t="n">
        <v>0</v>
      </c>
      <c r="M490" t="n">
        <v>0</v>
      </c>
      <c r="N490" t="n">
        <v>0</v>
      </c>
      <c r="O490" t="n">
        <v>0</v>
      </c>
      <c r="P490" t="n">
        <v>0</v>
      </c>
      <c r="Q490" t="n">
        <v>0</v>
      </c>
      <c r="R490" s="2" t="inlineStr"/>
    </row>
    <row r="491" ht="15" customHeight="1">
      <c r="A491" t="inlineStr">
        <is>
          <t>A 67454-2020</t>
        </is>
      </c>
      <c r="B491" s="1" t="n">
        <v>44181</v>
      </c>
      <c r="C491" s="1" t="n">
        <v>45784</v>
      </c>
      <c r="D491" t="inlineStr">
        <is>
          <t>JÄMTLANDS LÄN</t>
        </is>
      </c>
      <c r="E491" t="inlineStr">
        <is>
          <t>HÄRJEDALEN</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67498-2020</t>
        </is>
      </c>
      <c r="B492" s="1" t="n">
        <v>44181</v>
      </c>
      <c r="C492" s="1" t="n">
        <v>45784</v>
      </c>
      <c r="D492" t="inlineStr">
        <is>
          <t>JÄMTLANDS LÄN</t>
        </is>
      </c>
      <c r="E492" t="inlineStr">
        <is>
          <t>HÄRJEDALEN</t>
        </is>
      </c>
      <c r="F492" t="inlineStr">
        <is>
          <t>Holmen skog AB</t>
        </is>
      </c>
      <c r="G492" t="n">
        <v>15.9</v>
      </c>
      <c r="H492" t="n">
        <v>0</v>
      </c>
      <c r="I492" t="n">
        <v>0</v>
      </c>
      <c r="J492" t="n">
        <v>0</v>
      </c>
      <c r="K492" t="n">
        <v>0</v>
      </c>
      <c r="L492" t="n">
        <v>0</v>
      </c>
      <c r="M492" t="n">
        <v>0</v>
      </c>
      <c r="N492" t="n">
        <v>0</v>
      </c>
      <c r="O492" t="n">
        <v>0</v>
      </c>
      <c r="P492" t="n">
        <v>0</v>
      </c>
      <c r="Q492" t="n">
        <v>0</v>
      </c>
      <c r="R492" s="2" t="inlineStr"/>
    </row>
    <row r="493" ht="15" customHeight="1">
      <c r="A493" t="inlineStr">
        <is>
          <t>A 67507-2020</t>
        </is>
      </c>
      <c r="B493" s="1" t="n">
        <v>44181</v>
      </c>
      <c r="C493" s="1" t="n">
        <v>45784</v>
      </c>
      <c r="D493" t="inlineStr">
        <is>
          <t>JÄMTLANDS LÄN</t>
        </is>
      </c>
      <c r="E493" t="inlineStr">
        <is>
          <t>HÄRJEDALEN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67526-2020</t>
        </is>
      </c>
      <c r="B494" s="1" t="n">
        <v>44181</v>
      </c>
      <c r="C494" s="1" t="n">
        <v>45784</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67409-2020</t>
        </is>
      </c>
      <c r="B495" s="1" t="n">
        <v>44181</v>
      </c>
      <c r="C495" s="1" t="n">
        <v>45784</v>
      </c>
      <c r="D495" t="inlineStr">
        <is>
          <t>JÄMTLANDS LÄN</t>
        </is>
      </c>
      <c r="E495" t="inlineStr">
        <is>
          <t>HÄRJEDALEN</t>
        </is>
      </c>
      <c r="F495" t="inlineStr">
        <is>
          <t>Holmen skog AB</t>
        </is>
      </c>
      <c r="G495" t="n">
        <v>3.1</v>
      </c>
      <c r="H495" t="n">
        <v>0</v>
      </c>
      <c r="I495" t="n">
        <v>0</v>
      </c>
      <c r="J495" t="n">
        <v>0</v>
      </c>
      <c r="K495" t="n">
        <v>0</v>
      </c>
      <c r="L495" t="n">
        <v>0</v>
      </c>
      <c r="M495" t="n">
        <v>0</v>
      </c>
      <c r="N495" t="n">
        <v>0</v>
      </c>
      <c r="O495" t="n">
        <v>0</v>
      </c>
      <c r="P495" t="n">
        <v>0</v>
      </c>
      <c r="Q495" t="n">
        <v>0</v>
      </c>
      <c r="R495" s="2" t="inlineStr"/>
    </row>
    <row r="496" ht="15" customHeight="1">
      <c r="A496" t="inlineStr">
        <is>
          <t>A 67720-2020</t>
        </is>
      </c>
      <c r="B496" s="1" t="n">
        <v>44182</v>
      </c>
      <c r="C496" s="1" t="n">
        <v>45784</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67697-2020</t>
        </is>
      </c>
      <c r="B497" s="1" t="n">
        <v>44182</v>
      </c>
      <c r="C497" s="1" t="n">
        <v>45784</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67714-2020</t>
        </is>
      </c>
      <c r="B498" s="1" t="n">
        <v>44182</v>
      </c>
      <c r="C498" s="1" t="n">
        <v>45784</v>
      </c>
      <c r="D498" t="inlineStr">
        <is>
          <t>JÄMTLANDS LÄN</t>
        </is>
      </c>
      <c r="E498" t="inlineStr">
        <is>
          <t>HÄRJEDALEN</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67821-2020</t>
        </is>
      </c>
      <c r="B499" s="1" t="n">
        <v>44182</v>
      </c>
      <c r="C499" s="1" t="n">
        <v>45784</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68141-2020</t>
        </is>
      </c>
      <c r="B500" s="1" t="n">
        <v>44183</v>
      </c>
      <c r="C500" s="1" t="n">
        <v>45784</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69108-2020</t>
        </is>
      </c>
      <c r="B501" s="1" t="n">
        <v>44188</v>
      </c>
      <c r="C501" s="1" t="n">
        <v>45784</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69168-2020</t>
        </is>
      </c>
      <c r="B502" s="1" t="n">
        <v>44188</v>
      </c>
      <c r="C502" s="1" t="n">
        <v>45784</v>
      </c>
      <c r="D502" t="inlineStr">
        <is>
          <t>JÄMTLANDS LÄN</t>
        </is>
      </c>
      <c r="E502" t="inlineStr">
        <is>
          <t>HÄRJEDALEN</t>
        </is>
      </c>
      <c r="F502" t="inlineStr">
        <is>
          <t>Sveaskog</t>
        </is>
      </c>
      <c r="G502" t="n">
        <v>20</v>
      </c>
      <c r="H502" t="n">
        <v>0</v>
      </c>
      <c r="I502" t="n">
        <v>0</v>
      </c>
      <c r="J502" t="n">
        <v>0</v>
      </c>
      <c r="K502" t="n">
        <v>0</v>
      </c>
      <c r="L502" t="n">
        <v>0</v>
      </c>
      <c r="M502" t="n">
        <v>0</v>
      </c>
      <c r="N502" t="n">
        <v>0</v>
      </c>
      <c r="O502" t="n">
        <v>0</v>
      </c>
      <c r="P502" t="n">
        <v>0</v>
      </c>
      <c r="Q502" t="n">
        <v>0</v>
      </c>
      <c r="R502" s="2" t="inlineStr"/>
    </row>
    <row r="503" ht="15" customHeight="1">
      <c r="A503" t="inlineStr">
        <is>
          <t>A 69101-2020</t>
        </is>
      </c>
      <c r="B503" s="1" t="n">
        <v>44188</v>
      </c>
      <c r="C503" s="1" t="n">
        <v>45784</v>
      </c>
      <c r="D503" t="inlineStr">
        <is>
          <t>JÄMTLANDS LÄN</t>
        </is>
      </c>
      <c r="E503" t="inlineStr">
        <is>
          <t>HÄRJEDALEN</t>
        </is>
      </c>
      <c r="G503" t="n">
        <v>3.1</v>
      </c>
      <c r="H503" t="n">
        <v>0</v>
      </c>
      <c r="I503" t="n">
        <v>0</v>
      </c>
      <c r="J503" t="n">
        <v>0</v>
      </c>
      <c r="K503" t="n">
        <v>0</v>
      </c>
      <c r="L503" t="n">
        <v>0</v>
      </c>
      <c r="M503" t="n">
        <v>0</v>
      </c>
      <c r="N503" t="n">
        <v>0</v>
      </c>
      <c r="O503" t="n">
        <v>0</v>
      </c>
      <c r="P503" t="n">
        <v>0</v>
      </c>
      <c r="Q503" t="n">
        <v>0</v>
      </c>
      <c r="R503" s="2" t="inlineStr"/>
    </row>
    <row r="504" ht="15" customHeight="1">
      <c r="A504" t="inlineStr">
        <is>
          <t>A 1088-2021</t>
        </is>
      </c>
      <c r="B504" s="1" t="n">
        <v>44207</v>
      </c>
      <c r="C504" s="1" t="n">
        <v>45784</v>
      </c>
      <c r="D504" t="inlineStr">
        <is>
          <t>JÄMTLANDS LÄN</t>
        </is>
      </c>
      <c r="E504" t="inlineStr">
        <is>
          <t>HÄRJEDALEN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1478-2021</t>
        </is>
      </c>
      <c r="B505" s="1" t="n">
        <v>44208</v>
      </c>
      <c r="C505" s="1" t="n">
        <v>45784</v>
      </c>
      <c r="D505" t="inlineStr">
        <is>
          <t>JÄMTLANDS LÄN</t>
        </is>
      </c>
      <c r="E505" t="inlineStr">
        <is>
          <t>HÄRJEDALEN</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1545-2021</t>
        </is>
      </c>
      <c r="B506" s="1" t="n">
        <v>44209</v>
      </c>
      <c r="C506" s="1" t="n">
        <v>45784</v>
      </c>
      <c r="D506" t="inlineStr">
        <is>
          <t>JÄMTLANDS LÄN</t>
        </is>
      </c>
      <c r="E506" t="inlineStr">
        <is>
          <t>HÄRJEDALEN</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1558-2021</t>
        </is>
      </c>
      <c r="B507" s="1" t="n">
        <v>44209</v>
      </c>
      <c r="C507" s="1" t="n">
        <v>45784</v>
      </c>
      <c r="D507" t="inlineStr">
        <is>
          <t>JÄMTLANDS LÄN</t>
        </is>
      </c>
      <c r="E507" t="inlineStr">
        <is>
          <t>HÄRJEDALEN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1602-2021</t>
        </is>
      </c>
      <c r="B508" s="1" t="n">
        <v>44209</v>
      </c>
      <c r="C508" s="1" t="n">
        <v>45784</v>
      </c>
      <c r="D508" t="inlineStr">
        <is>
          <t>JÄMTLANDS LÄN</t>
        </is>
      </c>
      <c r="E508" t="inlineStr">
        <is>
          <t>HÄRJEDALEN</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2531-2021</t>
        </is>
      </c>
      <c r="B509" s="1" t="n">
        <v>44214</v>
      </c>
      <c r="C509" s="1" t="n">
        <v>45784</v>
      </c>
      <c r="D509" t="inlineStr">
        <is>
          <t>JÄMTLANDS LÄN</t>
        </is>
      </c>
      <c r="E509" t="inlineStr">
        <is>
          <t>HÄRJEDALEN</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2855-2021</t>
        </is>
      </c>
      <c r="B510" s="1" t="n">
        <v>44216</v>
      </c>
      <c r="C510" s="1" t="n">
        <v>45784</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2862-2021</t>
        </is>
      </c>
      <c r="B511" s="1" t="n">
        <v>44216</v>
      </c>
      <c r="C511" s="1" t="n">
        <v>45784</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3536-2021</t>
        </is>
      </c>
      <c r="B512" s="1" t="n">
        <v>44218</v>
      </c>
      <c r="C512" s="1" t="n">
        <v>45784</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5277-2021</t>
        </is>
      </c>
      <c r="B513" s="1" t="n">
        <v>44225</v>
      </c>
      <c r="C513" s="1" t="n">
        <v>45784</v>
      </c>
      <c r="D513" t="inlineStr">
        <is>
          <t>JÄMTLANDS LÄN</t>
        </is>
      </c>
      <c r="E513" t="inlineStr">
        <is>
          <t>HÄRJEDALEN</t>
        </is>
      </c>
      <c r="G513" t="n">
        <v>20</v>
      </c>
      <c r="H513" t="n">
        <v>0</v>
      </c>
      <c r="I513" t="n">
        <v>0</v>
      </c>
      <c r="J513" t="n">
        <v>0</v>
      </c>
      <c r="K513" t="n">
        <v>0</v>
      </c>
      <c r="L513" t="n">
        <v>0</v>
      </c>
      <c r="M513" t="n">
        <v>0</v>
      </c>
      <c r="N513" t="n">
        <v>0</v>
      </c>
      <c r="O513" t="n">
        <v>0</v>
      </c>
      <c r="P513" t="n">
        <v>0</v>
      </c>
      <c r="Q513" t="n">
        <v>0</v>
      </c>
      <c r="R513" s="2" t="inlineStr"/>
    </row>
    <row r="514" ht="15" customHeight="1">
      <c r="A514" t="inlineStr">
        <is>
          <t>A 5283-2021</t>
        </is>
      </c>
      <c r="B514" s="1" t="n">
        <v>44225</v>
      </c>
      <c r="C514" s="1" t="n">
        <v>45784</v>
      </c>
      <c r="D514" t="inlineStr">
        <is>
          <t>JÄMTLANDS LÄN</t>
        </is>
      </c>
      <c r="E514" t="inlineStr">
        <is>
          <t>HÄRJEDALEN</t>
        </is>
      </c>
      <c r="G514" t="n">
        <v>20</v>
      </c>
      <c r="H514" t="n">
        <v>0</v>
      </c>
      <c r="I514" t="n">
        <v>0</v>
      </c>
      <c r="J514" t="n">
        <v>0</v>
      </c>
      <c r="K514" t="n">
        <v>0</v>
      </c>
      <c r="L514" t="n">
        <v>0</v>
      </c>
      <c r="M514" t="n">
        <v>0</v>
      </c>
      <c r="N514" t="n">
        <v>0</v>
      </c>
      <c r="O514" t="n">
        <v>0</v>
      </c>
      <c r="P514" t="n">
        <v>0</v>
      </c>
      <c r="Q514" t="n">
        <v>0</v>
      </c>
      <c r="R514" s="2" t="inlineStr"/>
    </row>
    <row r="515" ht="15" customHeight="1">
      <c r="A515" t="inlineStr">
        <is>
          <t>A 5343-2021</t>
        </is>
      </c>
      <c r="B515" s="1" t="n">
        <v>44228</v>
      </c>
      <c r="C515" s="1" t="n">
        <v>45784</v>
      </c>
      <c r="D515" t="inlineStr">
        <is>
          <t>JÄMTLANDS LÄN</t>
        </is>
      </c>
      <c r="E515" t="inlineStr">
        <is>
          <t>HÄRJEDALEN</t>
        </is>
      </c>
      <c r="G515" t="n">
        <v>1</v>
      </c>
      <c r="H515" t="n">
        <v>0</v>
      </c>
      <c r="I515" t="n">
        <v>0</v>
      </c>
      <c r="J515" t="n">
        <v>0</v>
      </c>
      <c r="K515" t="n">
        <v>0</v>
      </c>
      <c r="L515" t="n">
        <v>0</v>
      </c>
      <c r="M515" t="n">
        <v>0</v>
      </c>
      <c r="N515" t="n">
        <v>0</v>
      </c>
      <c r="O515" t="n">
        <v>0</v>
      </c>
      <c r="P515" t="n">
        <v>0</v>
      </c>
      <c r="Q515" t="n">
        <v>0</v>
      </c>
      <c r="R515" s="2" t="inlineStr"/>
    </row>
    <row r="516" ht="15" customHeight="1">
      <c r="A516" t="inlineStr">
        <is>
          <t>A 5353-2021</t>
        </is>
      </c>
      <c r="B516" s="1" t="n">
        <v>44228</v>
      </c>
      <c r="C516" s="1" t="n">
        <v>45784</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5273-2021</t>
        </is>
      </c>
      <c r="B517" s="1" t="n">
        <v>44229</v>
      </c>
      <c r="C517" s="1" t="n">
        <v>45784</v>
      </c>
      <c r="D517" t="inlineStr">
        <is>
          <t>JÄMTLANDS LÄN</t>
        </is>
      </c>
      <c r="E517" t="inlineStr">
        <is>
          <t>HÄRJEDALEN</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5237-2021</t>
        </is>
      </c>
      <c r="B518" s="1" t="n">
        <v>44229</v>
      </c>
      <c r="C518" s="1" t="n">
        <v>45784</v>
      </c>
      <c r="D518" t="inlineStr">
        <is>
          <t>JÄMTLANDS LÄN</t>
        </is>
      </c>
      <c r="E518" t="inlineStr">
        <is>
          <t>HÄRJEDALEN</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5519-2021</t>
        </is>
      </c>
      <c r="B519" s="1" t="n">
        <v>44230</v>
      </c>
      <c r="C519" s="1" t="n">
        <v>45784</v>
      </c>
      <c r="D519" t="inlineStr">
        <is>
          <t>JÄMTLANDS LÄN</t>
        </is>
      </c>
      <c r="E519" t="inlineStr">
        <is>
          <t>HÄRJEDALEN</t>
        </is>
      </c>
      <c r="G519" t="n">
        <v>10.8</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45784</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7087-2021</t>
        </is>
      </c>
      <c r="B521" s="1" t="n">
        <v>44238</v>
      </c>
      <c r="C521" s="1" t="n">
        <v>45784</v>
      </c>
      <c r="D521" t="inlineStr">
        <is>
          <t>JÄMTLANDS LÄN</t>
        </is>
      </c>
      <c r="E521" t="inlineStr">
        <is>
          <t>HÄRJEDALEN</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7112-2021</t>
        </is>
      </c>
      <c r="B522" s="1" t="n">
        <v>44238</v>
      </c>
      <c r="C522" s="1" t="n">
        <v>45784</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7097-2021</t>
        </is>
      </c>
      <c r="B523" s="1" t="n">
        <v>44238</v>
      </c>
      <c r="C523" s="1" t="n">
        <v>45784</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7086-2021</t>
        </is>
      </c>
      <c r="B524" s="1" t="n">
        <v>44238</v>
      </c>
      <c r="C524" s="1" t="n">
        <v>45784</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7110-2021</t>
        </is>
      </c>
      <c r="B525" s="1" t="n">
        <v>44238</v>
      </c>
      <c r="C525" s="1" t="n">
        <v>45784</v>
      </c>
      <c r="D525" t="inlineStr">
        <is>
          <t>JÄMTLANDS LÄN</t>
        </is>
      </c>
      <c r="E525" t="inlineStr">
        <is>
          <t>HÄRJEDALEN</t>
        </is>
      </c>
      <c r="F525" t="inlineStr">
        <is>
          <t>Holmen skog AB</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7427-2021</t>
        </is>
      </c>
      <c r="B526" s="1" t="n">
        <v>44239</v>
      </c>
      <c r="C526" s="1" t="n">
        <v>45784</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7570-2021</t>
        </is>
      </c>
      <c r="B527" s="1" t="n">
        <v>44239</v>
      </c>
      <c r="C527" s="1" t="n">
        <v>45784</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7731-2021</t>
        </is>
      </c>
      <c r="B528" s="1" t="n">
        <v>44242</v>
      </c>
      <c r="C528" s="1" t="n">
        <v>45784</v>
      </c>
      <c r="D528" t="inlineStr">
        <is>
          <t>JÄMTLANDS LÄN</t>
        </is>
      </c>
      <c r="E528" t="inlineStr">
        <is>
          <t>HÄRJEDALEN</t>
        </is>
      </c>
      <c r="G528" t="n">
        <v>13.6</v>
      </c>
      <c r="H528" t="n">
        <v>0</v>
      </c>
      <c r="I528" t="n">
        <v>0</v>
      </c>
      <c r="J528" t="n">
        <v>0</v>
      </c>
      <c r="K528" t="n">
        <v>0</v>
      </c>
      <c r="L528" t="n">
        <v>0</v>
      </c>
      <c r="M528" t="n">
        <v>0</v>
      </c>
      <c r="N528" t="n">
        <v>0</v>
      </c>
      <c r="O528" t="n">
        <v>0</v>
      </c>
      <c r="P528" t="n">
        <v>0</v>
      </c>
      <c r="Q528" t="n">
        <v>0</v>
      </c>
      <c r="R528" s="2" t="inlineStr"/>
    </row>
    <row r="529" ht="15" customHeight="1">
      <c r="A529" t="inlineStr">
        <is>
          <t>A 8055-2021</t>
        </is>
      </c>
      <c r="B529" s="1" t="n">
        <v>44243</v>
      </c>
      <c r="C529" s="1" t="n">
        <v>45784</v>
      </c>
      <c r="D529" t="inlineStr">
        <is>
          <t>JÄMTLANDS LÄN</t>
        </is>
      </c>
      <c r="E529" t="inlineStr">
        <is>
          <t>HÄRJEDALEN</t>
        </is>
      </c>
      <c r="G529" t="n">
        <v>1.6</v>
      </c>
      <c r="H529" t="n">
        <v>0</v>
      </c>
      <c r="I529" t="n">
        <v>0</v>
      </c>
      <c r="J529" t="n">
        <v>0</v>
      </c>
      <c r="K529" t="n">
        <v>0</v>
      </c>
      <c r="L529" t="n">
        <v>0</v>
      </c>
      <c r="M529" t="n">
        <v>0</v>
      </c>
      <c r="N529" t="n">
        <v>0</v>
      </c>
      <c r="O529" t="n">
        <v>0</v>
      </c>
      <c r="P529" t="n">
        <v>0</v>
      </c>
      <c r="Q529" t="n">
        <v>0</v>
      </c>
      <c r="R529" s="2" t="inlineStr"/>
    </row>
    <row r="530" ht="15" customHeight="1">
      <c r="A530" t="inlineStr">
        <is>
          <t>A 9470-2021</t>
        </is>
      </c>
      <c r="B530" s="1" t="n">
        <v>44251</v>
      </c>
      <c r="C530" s="1" t="n">
        <v>45784</v>
      </c>
      <c r="D530" t="inlineStr">
        <is>
          <t>JÄMTLANDS LÄN</t>
        </is>
      </c>
      <c r="E530" t="inlineStr">
        <is>
          <t>HÄRJEDALEN</t>
        </is>
      </c>
      <c r="G530" t="n">
        <v>12.4</v>
      </c>
      <c r="H530" t="n">
        <v>0</v>
      </c>
      <c r="I530" t="n">
        <v>0</v>
      </c>
      <c r="J530" t="n">
        <v>0</v>
      </c>
      <c r="K530" t="n">
        <v>0</v>
      </c>
      <c r="L530" t="n">
        <v>0</v>
      </c>
      <c r="M530" t="n">
        <v>0</v>
      </c>
      <c r="N530" t="n">
        <v>0</v>
      </c>
      <c r="O530" t="n">
        <v>0</v>
      </c>
      <c r="P530" t="n">
        <v>0</v>
      </c>
      <c r="Q530" t="n">
        <v>0</v>
      </c>
      <c r="R530" s="2" t="inlineStr"/>
    </row>
    <row r="531" ht="15" customHeight="1">
      <c r="A531" t="inlineStr">
        <is>
          <t>A 10530-2021</t>
        </is>
      </c>
      <c r="B531" s="1" t="n">
        <v>44258</v>
      </c>
      <c r="C531" s="1" t="n">
        <v>45784</v>
      </c>
      <c r="D531" t="inlineStr">
        <is>
          <t>JÄMTLANDS LÄN</t>
        </is>
      </c>
      <c r="E531" t="inlineStr">
        <is>
          <t>HÄRJEDALEN</t>
        </is>
      </c>
      <c r="G531" t="n">
        <v>19.5</v>
      </c>
      <c r="H531" t="n">
        <v>0</v>
      </c>
      <c r="I531" t="n">
        <v>0</v>
      </c>
      <c r="J531" t="n">
        <v>0</v>
      </c>
      <c r="K531" t="n">
        <v>0</v>
      </c>
      <c r="L531" t="n">
        <v>0</v>
      </c>
      <c r="M531" t="n">
        <v>0</v>
      </c>
      <c r="N531" t="n">
        <v>0</v>
      </c>
      <c r="O531" t="n">
        <v>0</v>
      </c>
      <c r="P531" t="n">
        <v>0</v>
      </c>
      <c r="Q531" t="n">
        <v>0</v>
      </c>
      <c r="R531" s="2" t="inlineStr"/>
    </row>
    <row r="532" ht="15" customHeight="1">
      <c r="A532" t="inlineStr">
        <is>
          <t>A 10536-2021</t>
        </is>
      </c>
      <c r="B532" s="1" t="n">
        <v>44258</v>
      </c>
      <c r="C532" s="1" t="n">
        <v>45784</v>
      </c>
      <c r="D532" t="inlineStr">
        <is>
          <t>JÄMTLANDS LÄN</t>
        </is>
      </c>
      <c r="E532" t="inlineStr">
        <is>
          <t>HÄRJEDALEN</t>
        </is>
      </c>
      <c r="G532" t="n">
        <v>18.7</v>
      </c>
      <c r="H532" t="n">
        <v>0</v>
      </c>
      <c r="I532" t="n">
        <v>0</v>
      </c>
      <c r="J532" t="n">
        <v>0</v>
      </c>
      <c r="K532" t="n">
        <v>0</v>
      </c>
      <c r="L532" t="n">
        <v>0</v>
      </c>
      <c r="M532" t="n">
        <v>0</v>
      </c>
      <c r="N532" t="n">
        <v>0</v>
      </c>
      <c r="O532" t="n">
        <v>0</v>
      </c>
      <c r="P532" t="n">
        <v>0</v>
      </c>
      <c r="Q532" t="n">
        <v>0</v>
      </c>
      <c r="R532" s="2" t="inlineStr"/>
    </row>
    <row r="533" ht="15" customHeight="1">
      <c r="A533" t="inlineStr">
        <is>
          <t>A 12629-2021</t>
        </is>
      </c>
      <c r="B533" s="1" t="n">
        <v>44270</v>
      </c>
      <c r="C533" s="1" t="n">
        <v>45784</v>
      </c>
      <c r="D533" t="inlineStr">
        <is>
          <t>JÄMTLANDS LÄN</t>
        </is>
      </c>
      <c r="E533" t="inlineStr">
        <is>
          <t>HÄRJEDALEN</t>
        </is>
      </c>
      <c r="G533" t="n">
        <v>20.7</v>
      </c>
      <c r="H533" t="n">
        <v>0</v>
      </c>
      <c r="I533" t="n">
        <v>0</v>
      </c>
      <c r="J533" t="n">
        <v>0</v>
      </c>
      <c r="K533" t="n">
        <v>0</v>
      </c>
      <c r="L533" t="n">
        <v>0</v>
      </c>
      <c r="M533" t="n">
        <v>0</v>
      </c>
      <c r="N533" t="n">
        <v>0</v>
      </c>
      <c r="O533" t="n">
        <v>0</v>
      </c>
      <c r="P533" t="n">
        <v>0</v>
      </c>
      <c r="Q533" t="n">
        <v>0</v>
      </c>
      <c r="R533" s="2" t="inlineStr"/>
    </row>
    <row r="534" ht="15" customHeight="1">
      <c r="A534" t="inlineStr">
        <is>
          <t>A 14798-2021</t>
        </is>
      </c>
      <c r="B534" s="1" t="n">
        <v>44280</v>
      </c>
      <c r="C534" s="1" t="n">
        <v>45784</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15580-2021</t>
        </is>
      </c>
      <c r="B535" s="1" t="n">
        <v>44285</v>
      </c>
      <c r="C535" s="1" t="n">
        <v>45784</v>
      </c>
      <c r="D535" t="inlineStr">
        <is>
          <t>JÄMTLANDS LÄN</t>
        </is>
      </c>
      <c r="E535" t="inlineStr">
        <is>
          <t>HÄRJEDALEN</t>
        </is>
      </c>
      <c r="G535" t="n">
        <v>22.1</v>
      </c>
      <c r="H535" t="n">
        <v>0</v>
      </c>
      <c r="I535" t="n">
        <v>0</v>
      </c>
      <c r="J535" t="n">
        <v>0</v>
      </c>
      <c r="K535" t="n">
        <v>0</v>
      </c>
      <c r="L535" t="n">
        <v>0</v>
      </c>
      <c r="M535" t="n">
        <v>0</v>
      </c>
      <c r="N535" t="n">
        <v>0</v>
      </c>
      <c r="O535" t="n">
        <v>0</v>
      </c>
      <c r="P535" t="n">
        <v>0</v>
      </c>
      <c r="Q535" t="n">
        <v>0</v>
      </c>
      <c r="R535" s="2" t="inlineStr"/>
    </row>
    <row r="536" ht="15" customHeight="1">
      <c r="A536" t="inlineStr">
        <is>
          <t>A 15585-2021</t>
        </is>
      </c>
      <c r="B536" s="1" t="n">
        <v>44285</v>
      </c>
      <c r="C536" s="1" t="n">
        <v>45784</v>
      </c>
      <c r="D536" t="inlineStr">
        <is>
          <t>JÄMTLANDS LÄN</t>
        </is>
      </c>
      <c r="E536" t="inlineStr">
        <is>
          <t>HÄRJEDALEN</t>
        </is>
      </c>
      <c r="G536" t="n">
        <v>21.2</v>
      </c>
      <c r="H536" t="n">
        <v>0</v>
      </c>
      <c r="I536" t="n">
        <v>0</v>
      </c>
      <c r="J536" t="n">
        <v>0</v>
      </c>
      <c r="K536" t="n">
        <v>0</v>
      </c>
      <c r="L536" t="n">
        <v>0</v>
      </c>
      <c r="M536" t="n">
        <v>0</v>
      </c>
      <c r="N536" t="n">
        <v>0</v>
      </c>
      <c r="O536" t="n">
        <v>0</v>
      </c>
      <c r="P536" t="n">
        <v>0</v>
      </c>
      <c r="Q536" t="n">
        <v>0</v>
      </c>
      <c r="R536" s="2" t="inlineStr"/>
    </row>
    <row r="537" ht="15" customHeight="1">
      <c r="A537" t="inlineStr">
        <is>
          <t>A 15594-2021</t>
        </is>
      </c>
      <c r="B537" s="1" t="n">
        <v>44285</v>
      </c>
      <c r="C537" s="1" t="n">
        <v>45784</v>
      </c>
      <c r="D537" t="inlineStr">
        <is>
          <t>JÄMTLANDS LÄN</t>
        </is>
      </c>
      <c r="E537" t="inlineStr">
        <is>
          <t>HÄRJEDALEN</t>
        </is>
      </c>
      <c r="G537" t="n">
        <v>28.5</v>
      </c>
      <c r="H537" t="n">
        <v>0</v>
      </c>
      <c r="I537" t="n">
        <v>0</v>
      </c>
      <c r="J537" t="n">
        <v>0</v>
      </c>
      <c r="K537" t="n">
        <v>0</v>
      </c>
      <c r="L537" t="n">
        <v>0</v>
      </c>
      <c r="M537" t="n">
        <v>0</v>
      </c>
      <c r="N537" t="n">
        <v>0</v>
      </c>
      <c r="O537" t="n">
        <v>0</v>
      </c>
      <c r="P537" t="n">
        <v>0</v>
      </c>
      <c r="Q537" t="n">
        <v>0</v>
      </c>
      <c r="R537" s="2" t="inlineStr"/>
    </row>
    <row r="538" ht="15" customHeight="1">
      <c r="A538" t="inlineStr">
        <is>
          <t>A 15681-2021</t>
        </is>
      </c>
      <c r="B538" s="1" t="n">
        <v>44286</v>
      </c>
      <c r="C538" s="1" t="n">
        <v>45784</v>
      </c>
      <c r="D538" t="inlineStr">
        <is>
          <t>JÄMTLANDS LÄN</t>
        </is>
      </c>
      <c r="E538" t="inlineStr">
        <is>
          <t>HÄRJEDALEN</t>
        </is>
      </c>
      <c r="G538" t="n">
        <v>9.6</v>
      </c>
      <c r="H538" t="n">
        <v>0</v>
      </c>
      <c r="I538" t="n">
        <v>0</v>
      </c>
      <c r="J538" t="n">
        <v>0</v>
      </c>
      <c r="K538" t="n">
        <v>0</v>
      </c>
      <c r="L538" t="n">
        <v>0</v>
      </c>
      <c r="M538" t="n">
        <v>0</v>
      </c>
      <c r="N538" t="n">
        <v>0</v>
      </c>
      <c r="O538" t="n">
        <v>0</v>
      </c>
      <c r="P538" t="n">
        <v>0</v>
      </c>
      <c r="Q538" t="n">
        <v>0</v>
      </c>
      <c r="R538" s="2" t="inlineStr"/>
    </row>
    <row r="539" ht="15" customHeight="1">
      <c r="A539" t="inlineStr">
        <is>
          <t>A 15685-2021</t>
        </is>
      </c>
      <c r="B539" s="1" t="n">
        <v>44286</v>
      </c>
      <c r="C539" s="1" t="n">
        <v>45784</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17187-2021</t>
        </is>
      </c>
      <c r="B540" s="1" t="n">
        <v>44298</v>
      </c>
      <c r="C540" s="1" t="n">
        <v>45784</v>
      </c>
      <c r="D540" t="inlineStr">
        <is>
          <t>JÄMTLANDS LÄN</t>
        </is>
      </c>
      <c r="E540" t="inlineStr">
        <is>
          <t>HÄRJEDALEN</t>
        </is>
      </c>
      <c r="G540" t="n">
        <v>20.1</v>
      </c>
      <c r="H540" t="n">
        <v>0</v>
      </c>
      <c r="I540" t="n">
        <v>0</v>
      </c>
      <c r="J540" t="n">
        <v>0</v>
      </c>
      <c r="K540" t="n">
        <v>0</v>
      </c>
      <c r="L540" t="n">
        <v>0</v>
      </c>
      <c r="M540" t="n">
        <v>0</v>
      </c>
      <c r="N540" t="n">
        <v>0</v>
      </c>
      <c r="O540" t="n">
        <v>0</v>
      </c>
      <c r="P540" t="n">
        <v>0</v>
      </c>
      <c r="Q540" t="n">
        <v>0</v>
      </c>
      <c r="R540" s="2" t="inlineStr"/>
    </row>
    <row r="541" ht="15" customHeight="1">
      <c r="A541" t="inlineStr">
        <is>
          <t>A 17705-2021</t>
        </is>
      </c>
      <c r="B541" s="1" t="n">
        <v>44300</v>
      </c>
      <c r="C541" s="1" t="n">
        <v>45784</v>
      </c>
      <c r="D541" t="inlineStr">
        <is>
          <t>JÄMTLANDS LÄN</t>
        </is>
      </c>
      <c r="E541" t="inlineStr">
        <is>
          <t>HÄRJEDALEN</t>
        </is>
      </c>
      <c r="G541" t="n">
        <v>5.2</v>
      </c>
      <c r="H541" t="n">
        <v>0</v>
      </c>
      <c r="I541" t="n">
        <v>0</v>
      </c>
      <c r="J541" t="n">
        <v>0</v>
      </c>
      <c r="K541" t="n">
        <v>0</v>
      </c>
      <c r="L541" t="n">
        <v>0</v>
      </c>
      <c r="M541" t="n">
        <v>0</v>
      </c>
      <c r="N541" t="n">
        <v>0</v>
      </c>
      <c r="O541" t="n">
        <v>0</v>
      </c>
      <c r="P541" t="n">
        <v>0</v>
      </c>
      <c r="Q541" t="n">
        <v>0</v>
      </c>
      <c r="R541" s="2" t="inlineStr"/>
    </row>
    <row r="542" ht="15" customHeight="1">
      <c r="A542" t="inlineStr">
        <is>
          <t>A 18389-2021</t>
        </is>
      </c>
      <c r="B542" s="1" t="n">
        <v>44305</v>
      </c>
      <c r="C542" s="1" t="n">
        <v>45784</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19958-2021</t>
        </is>
      </c>
      <c r="B543" s="1" t="n">
        <v>44312</v>
      </c>
      <c r="C543" s="1" t="n">
        <v>45784</v>
      </c>
      <c r="D543" t="inlineStr">
        <is>
          <t>JÄMTLANDS LÄN</t>
        </is>
      </c>
      <c r="E543" t="inlineStr">
        <is>
          <t>HÄRJEDALEN</t>
        </is>
      </c>
      <c r="G543" t="n">
        <v>10.7</v>
      </c>
      <c r="H543" t="n">
        <v>0</v>
      </c>
      <c r="I543" t="n">
        <v>0</v>
      </c>
      <c r="J543" t="n">
        <v>0</v>
      </c>
      <c r="K543" t="n">
        <v>0</v>
      </c>
      <c r="L543" t="n">
        <v>0</v>
      </c>
      <c r="M543" t="n">
        <v>0</v>
      </c>
      <c r="N543" t="n">
        <v>0</v>
      </c>
      <c r="O543" t="n">
        <v>0</v>
      </c>
      <c r="P543" t="n">
        <v>0</v>
      </c>
      <c r="Q543" t="n">
        <v>0</v>
      </c>
      <c r="R543" s="2" t="inlineStr"/>
    </row>
    <row r="544" ht="15" customHeight="1">
      <c r="A544" t="inlineStr">
        <is>
          <t>A 19955-2021</t>
        </is>
      </c>
      <c r="B544" s="1" t="n">
        <v>44312</v>
      </c>
      <c r="C544" s="1" t="n">
        <v>45784</v>
      </c>
      <c r="D544" t="inlineStr">
        <is>
          <t>JÄMTLANDS LÄN</t>
        </is>
      </c>
      <c r="E544" t="inlineStr">
        <is>
          <t>HÄRJEDALEN</t>
        </is>
      </c>
      <c r="G544" t="n">
        <v>4.6</v>
      </c>
      <c r="H544" t="n">
        <v>0</v>
      </c>
      <c r="I544" t="n">
        <v>0</v>
      </c>
      <c r="J544" t="n">
        <v>0</v>
      </c>
      <c r="K544" t="n">
        <v>0</v>
      </c>
      <c r="L544" t="n">
        <v>0</v>
      </c>
      <c r="M544" t="n">
        <v>0</v>
      </c>
      <c r="N544" t="n">
        <v>0</v>
      </c>
      <c r="O544" t="n">
        <v>0</v>
      </c>
      <c r="P544" t="n">
        <v>0</v>
      </c>
      <c r="Q544" t="n">
        <v>0</v>
      </c>
      <c r="R544" s="2" t="inlineStr"/>
    </row>
    <row r="545" ht="15" customHeight="1">
      <c r="A545" t="inlineStr">
        <is>
          <t>A 19962-2021</t>
        </is>
      </c>
      <c r="B545" s="1" t="n">
        <v>44312</v>
      </c>
      <c r="C545" s="1" t="n">
        <v>45784</v>
      </c>
      <c r="D545" t="inlineStr">
        <is>
          <t>JÄMTLANDS LÄN</t>
        </is>
      </c>
      <c r="E545" t="inlineStr">
        <is>
          <t>HÄRJEDALEN</t>
        </is>
      </c>
      <c r="G545" t="n">
        <v>3.7</v>
      </c>
      <c r="H545" t="n">
        <v>0</v>
      </c>
      <c r="I545" t="n">
        <v>0</v>
      </c>
      <c r="J545" t="n">
        <v>0</v>
      </c>
      <c r="K545" t="n">
        <v>0</v>
      </c>
      <c r="L545" t="n">
        <v>0</v>
      </c>
      <c r="M545" t="n">
        <v>0</v>
      </c>
      <c r="N545" t="n">
        <v>0</v>
      </c>
      <c r="O545" t="n">
        <v>0</v>
      </c>
      <c r="P545" t="n">
        <v>0</v>
      </c>
      <c r="Q545" t="n">
        <v>0</v>
      </c>
      <c r="R545" s="2" t="inlineStr"/>
    </row>
    <row r="546" ht="15" customHeight="1">
      <c r="A546" t="inlineStr">
        <is>
          <t>A 21593-2021</t>
        </is>
      </c>
      <c r="B546" s="1" t="n">
        <v>44314</v>
      </c>
      <c r="C546" s="1" t="n">
        <v>45784</v>
      </c>
      <c r="D546" t="inlineStr">
        <is>
          <t>JÄMTLANDS LÄN</t>
        </is>
      </c>
      <c r="E546" t="inlineStr">
        <is>
          <t>HÄRJEDALEN</t>
        </is>
      </c>
      <c r="G546" t="n">
        <v>7.7</v>
      </c>
      <c r="H546" t="n">
        <v>0</v>
      </c>
      <c r="I546" t="n">
        <v>0</v>
      </c>
      <c r="J546" t="n">
        <v>0</v>
      </c>
      <c r="K546" t="n">
        <v>0</v>
      </c>
      <c r="L546" t="n">
        <v>0</v>
      </c>
      <c r="M546" t="n">
        <v>0</v>
      </c>
      <c r="N546" t="n">
        <v>0</v>
      </c>
      <c r="O546" t="n">
        <v>0</v>
      </c>
      <c r="P546" t="n">
        <v>0</v>
      </c>
      <c r="Q546" t="n">
        <v>0</v>
      </c>
      <c r="R546" s="2" t="inlineStr"/>
    </row>
    <row r="547" ht="15" customHeight="1">
      <c r="A547" t="inlineStr">
        <is>
          <t>A 21596-2021</t>
        </is>
      </c>
      <c r="B547" s="1" t="n">
        <v>44314</v>
      </c>
      <c r="C547" s="1" t="n">
        <v>45784</v>
      </c>
      <c r="D547" t="inlineStr">
        <is>
          <t>JÄMTLANDS LÄN</t>
        </is>
      </c>
      <c r="E547" t="inlineStr">
        <is>
          <t>HÄRJEDALEN</t>
        </is>
      </c>
      <c r="G547" t="n">
        <v>18.2</v>
      </c>
      <c r="H547" t="n">
        <v>0</v>
      </c>
      <c r="I547" t="n">
        <v>0</v>
      </c>
      <c r="J547" t="n">
        <v>0</v>
      </c>
      <c r="K547" t="n">
        <v>0</v>
      </c>
      <c r="L547" t="n">
        <v>0</v>
      </c>
      <c r="M547" t="n">
        <v>0</v>
      </c>
      <c r="N547" t="n">
        <v>0</v>
      </c>
      <c r="O547" t="n">
        <v>0</v>
      </c>
      <c r="P547" t="n">
        <v>0</v>
      </c>
      <c r="Q547" t="n">
        <v>0</v>
      </c>
      <c r="R547" s="2" t="inlineStr"/>
    </row>
    <row r="548" ht="15" customHeight="1">
      <c r="A548" t="inlineStr">
        <is>
          <t>A 21837-2021</t>
        </is>
      </c>
      <c r="B548" s="1" t="n">
        <v>44316</v>
      </c>
      <c r="C548" s="1" t="n">
        <v>45784</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21702-2021</t>
        </is>
      </c>
      <c r="B549" s="1" t="n">
        <v>44316</v>
      </c>
      <c r="C549" s="1" t="n">
        <v>45784</v>
      </c>
      <c r="D549" t="inlineStr">
        <is>
          <t>JÄMTLANDS LÄN</t>
        </is>
      </c>
      <c r="E549" t="inlineStr">
        <is>
          <t>HÄRJEDALEN</t>
        </is>
      </c>
      <c r="G549" t="n">
        <v>2.9</v>
      </c>
      <c r="H549" t="n">
        <v>0</v>
      </c>
      <c r="I549" t="n">
        <v>0</v>
      </c>
      <c r="J549" t="n">
        <v>0</v>
      </c>
      <c r="K549" t="n">
        <v>0</v>
      </c>
      <c r="L549" t="n">
        <v>0</v>
      </c>
      <c r="M549" t="n">
        <v>0</v>
      </c>
      <c r="N549" t="n">
        <v>0</v>
      </c>
      <c r="O549" t="n">
        <v>0</v>
      </c>
      <c r="P549" t="n">
        <v>0</v>
      </c>
      <c r="Q549" t="n">
        <v>0</v>
      </c>
      <c r="R549" s="2" t="inlineStr"/>
    </row>
    <row r="550" ht="15" customHeight="1">
      <c r="A550" t="inlineStr">
        <is>
          <t>A 21833-2021</t>
        </is>
      </c>
      <c r="B550" s="1" t="n">
        <v>44316</v>
      </c>
      <c r="C550" s="1" t="n">
        <v>45784</v>
      </c>
      <c r="D550" t="inlineStr">
        <is>
          <t>JÄMTLANDS LÄN</t>
        </is>
      </c>
      <c r="E550" t="inlineStr">
        <is>
          <t>HÄRJEDALEN</t>
        </is>
      </c>
      <c r="G550" t="n">
        <v>20.2</v>
      </c>
      <c r="H550" t="n">
        <v>0</v>
      </c>
      <c r="I550" t="n">
        <v>0</v>
      </c>
      <c r="J550" t="n">
        <v>0</v>
      </c>
      <c r="K550" t="n">
        <v>0</v>
      </c>
      <c r="L550" t="n">
        <v>0</v>
      </c>
      <c r="M550" t="n">
        <v>0</v>
      </c>
      <c r="N550" t="n">
        <v>0</v>
      </c>
      <c r="O550" t="n">
        <v>0</v>
      </c>
      <c r="P550" t="n">
        <v>0</v>
      </c>
      <c r="Q550" t="n">
        <v>0</v>
      </c>
      <c r="R550" s="2" t="inlineStr"/>
    </row>
    <row r="551" ht="15" customHeight="1">
      <c r="A551" t="inlineStr">
        <is>
          <t>A 21854-2021</t>
        </is>
      </c>
      <c r="B551" s="1" t="n">
        <v>44316</v>
      </c>
      <c r="C551" s="1" t="n">
        <v>45784</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21848-2021</t>
        </is>
      </c>
      <c r="B552" s="1" t="n">
        <v>44316</v>
      </c>
      <c r="C552" s="1" t="n">
        <v>45784</v>
      </c>
      <c r="D552" t="inlineStr">
        <is>
          <t>JÄMTLANDS LÄN</t>
        </is>
      </c>
      <c r="E552" t="inlineStr">
        <is>
          <t>HÄRJEDALEN</t>
        </is>
      </c>
      <c r="G552" t="n">
        <v>19.4</v>
      </c>
      <c r="H552" t="n">
        <v>0</v>
      </c>
      <c r="I552" t="n">
        <v>0</v>
      </c>
      <c r="J552" t="n">
        <v>0</v>
      </c>
      <c r="K552" t="n">
        <v>0</v>
      </c>
      <c r="L552" t="n">
        <v>0</v>
      </c>
      <c r="M552" t="n">
        <v>0</v>
      </c>
      <c r="N552" t="n">
        <v>0</v>
      </c>
      <c r="O552" t="n">
        <v>0</v>
      </c>
      <c r="P552" t="n">
        <v>0</v>
      </c>
      <c r="Q552" t="n">
        <v>0</v>
      </c>
      <c r="R552" s="2" t="inlineStr"/>
    </row>
    <row r="553" ht="15" customHeight="1">
      <c r="A553" t="inlineStr">
        <is>
          <t>A 21699-2021</t>
        </is>
      </c>
      <c r="B553" s="1" t="n">
        <v>44316</v>
      </c>
      <c r="C553" s="1" t="n">
        <v>45784</v>
      </c>
      <c r="D553" t="inlineStr">
        <is>
          <t>JÄMTLANDS LÄN</t>
        </is>
      </c>
      <c r="E553" t="inlineStr">
        <is>
          <t>HÄRJEDALEN</t>
        </is>
      </c>
      <c r="G553" t="n">
        <v>6.8</v>
      </c>
      <c r="H553" t="n">
        <v>0</v>
      </c>
      <c r="I553" t="n">
        <v>0</v>
      </c>
      <c r="J553" t="n">
        <v>0</v>
      </c>
      <c r="K553" t="n">
        <v>0</v>
      </c>
      <c r="L553" t="n">
        <v>0</v>
      </c>
      <c r="M553" t="n">
        <v>0</v>
      </c>
      <c r="N553" t="n">
        <v>0</v>
      </c>
      <c r="O553" t="n">
        <v>0</v>
      </c>
      <c r="P553" t="n">
        <v>0</v>
      </c>
      <c r="Q553" t="n">
        <v>0</v>
      </c>
      <c r="R553" s="2" t="inlineStr"/>
    </row>
    <row r="554" ht="15" customHeight="1">
      <c r="A554" t="inlineStr">
        <is>
          <t>A 21703-2021</t>
        </is>
      </c>
      <c r="B554" s="1" t="n">
        <v>44316</v>
      </c>
      <c r="C554" s="1" t="n">
        <v>45784</v>
      </c>
      <c r="D554" t="inlineStr">
        <is>
          <t>JÄMTLANDS LÄN</t>
        </is>
      </c>
      <c r="E554" t="inlineStr">
        <is>
          <t>HÄRJEDALEN</t>
        </is>
      </c>
      <c r="G554" t="n">
        <v>11.9</v>
      </c>
      <c r="H554" t="n">
        <v>0</v>
      </c>
      <c r="I554" t="n">
        <v>0</v>
      </c>
      <c r="J554" t="n">
        <v>0</v>
      </c>
      <c r="K554" t="n">
        <v>0</v>
      </c>
      <c r="L554" t="n">
        <v>0</v>
      </c>
      <c r="M554" t="n">
        <v>0</v>
      </c>
      <c r="N554" t="n">
        <v>0</v>
      </c>
      <c r="O554" t="n">
        <v>0</v>
      </c>
      <c r="P554" t="n">
        <v>0</v>
      </c>
      <c r="Q554" t="n">
        <v>0</v>
      </c>
      <c r="R554" s="2" t="inlineStr"/>
    </row>
    <row r="555" ht="15" customHeight="1">
      <c r="A555" t="inlineStr">
        <is>
          <t>A 21843-2021</t>
        </is>
      </c>
      <c r="B555" s="1" t="n">
        <v>44316</v>
      </c>
      <c r="C555" s="1" t="n">
        <v>45784</v>
      </c>
      <c r="D555" t="inlineStr">
        <is>
          <t>JÄMTLANDS LÄN</t>
        </is>
      </c>
      <c r="E555" t="inlineStr">
        <is>
          <t>HÄRJEDALEN</t>
        </is>
      </c>
      <c r="G555" t="n">
        <v>15.1</v>
      </c>
      <c r="H555" t="n">
        <v>0</v>
      </c>
      <c r="I555" t="n">
        <v>0</v>
      </c>
      <c r="J555" t="n">
        <v>0</v>
      </c>
      <c r="K555" t="n">
        <v>0</v>
      </c>
      <c r="L555" t="n">
        <v>0</v>
      </c>
      <c r="M555" t="n">
        <v>0</v>
      </c>
      <c r="N555" t="n">
        <v>0</v>
      </c>
      <c r="O555" t="n">
        <v>0</v>
      </c>
      <c r="P555" t="n">
        <v>0</v>
      </c>
      <c r="Q555" t="n">
        <v>0</v>
      </c>
      <c r="R555" s="2" t="inlineStr"/>
    </row>
    <row r="556" ht="15" customHeight="1">
      <c r="A556" t="inlineStr">
        <is>
          <t>A 21705-2021</t>
        </is>
      </c>
      <c r="B556" s="1" t="n">
        <v>44316</v>
      </c>
      <c r="C556" s="1" t="n">
        <v>45784</v>
      </c>
      <c r="D556" t="inlineStr">
        <is>
          <t>JÄMTLANDS LÄN</t>
        </is>
      </c>
      <c r="E556" t="inlineStr">
        <is>
          <t>HÄRJEDALEN</t>
        </is>
      </c>
      <c r="G556" t="n">
        <v>6.1</v>
      </c>
      <c r="H556" t="n">
        <v>0</v>
      </c>
      <c r="I556" t="n">
        <v>0</v>
      </c>
      <c r="J556" t="n">
        <v>0</v>
      </c>
      <c r="K556" t="n">
        <v>0</v>
      </c>
      <c r="L556" t="n">
        <v>0</v>
      </c>
      <c r="M556" t="n">
        <v>0</v>
      </c>
      <c r="N556" t="n">
        <v>0</v>
      </c>
      <c r="O556" t="n">
        <v>0</v>
      </c>
      <c r="P556" t="n">
        <v>0</v>
      </c>
      <c r="Q556" t="n">
        <v>0</v>
      </c>
      <c r="R556" s="2" t="inlineStr"/>
    </row>
    <row r="557" ht="15" customHeight="1">
      <c r="A557" t="inlineStr">
        <is>
          <t>A 20804-2021</t>
        </is>
      </c>
      <c r="B557" s="1" t="n">
        <v>44316</v>
      </c>
      <c r="C557" s="1" t="n">
        <v>45784</v>
      </c>
      <c r="D557" t="inlineStr">
        <is>
          <t>JÄMTLANDS LÄN</t>
        </is>
      </c>
      <c r="E557" t="inlineStr">
        <is>
          <t>HÄRJEDALEN</t>
        </is>
      </c>
      <c r="F557" t="inlineStr">
        <is>
          <t>SCA</t>
        </is>
      </c>
      <c r="G557" t="n">
        <v>11.2</v>
      </c>
      <c r="H557" t="n">
        <v>0</v>
      </c>
      <c r="I557" t="n">
        <v>0</v>
      </c>
      <c r="J557" t="n">
        <v>0</v>
      </c>
      <c r="K557" t="n">
        <v>0</v>
      </c>
      <c r="L557" t="n">
        <v>0</v>
      </c>
      <c r="M557" t="n">
        <v>0</v>
      </c>
      <c r="N557" t="n">
        <v>0</v>
      </c>
      <c r="O557" t="n">
        <v>0</v>
      </c>
      <c r="P557" t="n">
        <v>0</v>
      </c>
      <c r="Q557" t="n">
        <v>0</v>
      </c>
      <c r="R557" s="2" t="inlineStr"/>
    </row>
    <row r="558" ht="15" customHeight="1">
      <c r="A558" t="inlineStr">
        <is>
          <t>A 21753-2021</t>
        </is>
      </c>
      <c r="B558" s="1" t="n">
        <v>44319</v>
      </c>
      <c r="C558" s="1" t="n">
        <v>45784</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21298-2021</t>
        </is>
      </c>
      <c r="B559" s="1" t="n">
        <v>44320</v>
      </c>
      <c r="C559" s="1" t="n">
        <v>45784</v>
      </c>
      <c r="D559" t="inlineStr">
        <is>
          <t>JÄMTLANDS LÄN</t>
        </is>
      </c>
      <c r="E559" t="inlineStr">
        <is>
          <t>HÄRJEDALEN</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21334-2021</t>
        </is>
      </c>
      <c r="B560" s="1" t="n">
        <v>44320</v>
      </c>
      <c r="C560" s="1" t="n">
        <v>45784</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21346-2021</t>
        </is>
      </c>
      <c r="B561" s="1" t="n">
        <v>44321</v>
      </c>
      <c r="C561" s="1" t="n">
        <v>45784</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21661-2021</t>
        </is>
      </c>
      <c r="B562" s="1" t="n">
        <v>44322</v>
      </c>
      <c r="C562" s="1" t="n">
        <v>45784</v>
      </c>
      <c r="D562" t="inlineStr">
        <is>
          <t>JÄMTLANDS LÄN</t>
        </is>
      </c>
      <c r="E562" t="inlineStr">
        <is>
          <t>HÄRJEDALEN</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22160-2021</t>
        </is>
      </c>
      <c r="B563" s="1" t="n">
        <v>44325</v>
      </c>
      <c r="C563" s="1" t="n">
        <v>45784</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23869-2021</t>
        </is>
      </c>
      <c r="B564" s="1" t="n">
        <v>44335</v>
      </c>
      <c r="C564" s="1" t="n">
        <v>45784</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25444-2021</t>
        </is>
      </c>
      <c r="B565" s="1" t="n">
        <v>44342</v>
      </c>
      <c r="C565" s="1" t="n">
        <v>45784</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26167-2021</t>
        </is>
      </c>
      <c r="B566" s="1" t="n">
        <v>44344</v>
      </c>
      <c r="C566" s="1" t="n">
        <v>45784</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26656-2021</t>
        </is>
      </c>
      <c r="B567" s="1" t="n">
        <v>44348</v>
      </c>
      <c r="C567" s="1" t="n">
        <v>45784</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28446-2021</t>
        </is>
      </c>
      <c r="B568" s="1" t="n">
        <v>44356</v>
      </c>
      <c r="C568" s="1" t="n">
        <v>45784</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28693-2021</t>
        </is>
      </c>
      <c r="B569" s="1" t="n">
        <v>44357</v>
      </c>
      <c r="C569" s="1" t="n">
        <v>45784</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29284-2021</t>
        </is>
      </c>
      <c r="B570" s="1" t="n">
        <v>44361</v>
      </c>
      <c r="C570" s="1" t="n">
        <v>45784</v>
      </c>
      <c r="D570" t="inlineStr">
        <is>
          <t>JÄMTLANDS LÄN</t>
        </is>
      </c>
      <c r="E570" t="inlineStr">
        <is>
          <t>HÄRJEDALEN</t>
        </is>
      </c>
      <c r="F570" t="inlineStr">
        <is>
          <t>Holmen skog AB</t>
        </is>
      </c>
      <c r="G570" t="n">
        <v>10.5</v>
      </c>
      <c r="H570" t="n">
        <v>0</v>
      </c>
      <c r="I570" t="n">
        <v>0</v>
      </c>
      <c r="J570" t="n">
        <v>0</v>
      </c>
      <c r="K570" t="n">
        <v>0</v>
      </c>
      <c r="L570" t="n">
        <v>0</v>
      </c>
      <c r="M570" t="n">
        <v>0</v>
      </c>
      <c r="N570" t="n">
        <v>0</v>
      </c>
      <c r="O570" t="n">
        <v>0</v>
      </c>
      <c r="P570" t="n">
        <v>0</v>
      </c>
      <c r="Q570" t="n">
        <v>0</v>
      </c>
      <c r="R570" s="2" t="inlineStr"/>
    </row>
    <row r="571" ht="15" customHeight="1">
      <c r="A571" t="inlineStr">
        <is>
          <t>A 29372-2021</t>
        </is>
      </c>
      <c r="B571" s="1" t="n">
        <v>44361</v>
      </c>
      <c r="C571" s="1" t="n">
        <v>45784</v>
      </c>
      <c r="D571" t="inlineStr">
        <is>
          <t>JÄMTLANDS LÄN</t>
        </is>
      </c>
      <c r="E571" t="inlineStr">
        <is>
          <t>HÄRJEDALEN</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29452-2021</t>
        </is>
      </c>
      <c r="B572" s="1" t="n">
        <v>44361</v>
      </c>
      <c r="C572" s="1" t="n">
        <v>45784</v>
      </c>
      <c r="D572" t="inlineStr">
        <is>
          <t>JÄMTLANDS LÄN</t>
        </is>
      </c>
      <c r="E572" t="inlineStr">
        <is>
          <t>HÄRJEDALEN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29581-2021</t>
        </is>
      </c>
      <c r="B573" s="1" t="n">
        <v>44361</v>
      </c>
      <c r="C573" s="1" t="n">
        <v>45784</v>
      </c>
      <c r="D573" t="inlineStr">
        <is>
          <t>JÄMTLANDS LÄN</t>
        </is>
      </c>
      <c r="E573" t="inlineStr">
        <is>
          <t>HÄRJEDALEN</t>
        </is>
      </c>
      <c r="G573" t="n">
        <v>50.9</v>
      </c>
      <c r="H573" t="n">
        <v>0</v>
      </c>
      <c r="I573" t="n">
        <v>0</v>
      </c>
      <c r="J573" t="n">
        <v>0</v>
      </c>
      <c r="K573" t="n">
        <v>0</v>
      </c>
      <c r="L573" t="n">
        <v>0</v>
      </c>
      <c r="M573" t="n">
        <v>0</v>
      </c>
      <c r="N573" t="n">
        <v>0</v>
      </c>
      <c r="O573" t="n">
        <v>0</v>
      </c>
      <c r="P573" t="n">
        <v>0</v>
      </c>
      <c r="Q573" t="n">
        <v>0</v>
      </c>
      <c r="R573" s="2" t="inlineStr"/>
    </row>
    <row r="574" ht="15" customHeight="1">
      <c r="A574" t="inlineStr">
        <is>
          <t>A 29585-2021</t>
        </is>
      </c>
      <c r="B574" s="1" t="n">
        <v>44361</v>
      </c>
      <c r="C574" s="1" t="n">
        <v>45784</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30302-2021</t>
        </is>
      </c>
      <c r="B575" s="1" t="n">
        <v>44364</v>
      </c>
      <c r="C575" s="1" t="n">
        <v>45784</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30323-2021</t>
        </is>
      </c>
      <c r="B576" s="1" t="n">
        <v>44364</v>
      </c>
      <c r="C576" s="1" t="n">
        <v>45784</v>
      </c>
      <c r="D576" t="inlineStr">
        <is>
          <t>JÄMTLANDS LÄN</t>
        </is>
      </c>
      <c r="E576" t="inlineStr">
        <is>
          <t>HÄRJEDALEN</t>
        </is>
      </c>
      <c r="F576" t="inlineStr">
        <is>
          <t>Holmen skog AB</t>
        </is>
      </c>
      <c r="G576" t="n">
        <v>11.2</v>
      </c>
      <c r="H576" t="n">
        <v>0</v>
      </c>
      <c r="I576" t="n">
        <v>0</v>
      </c>
      <c r="J576" t="n">
        <v>0</v>
      </c>
      <c r="K576" t="n">
        <v>0</v>
      </c>
      <c r="L576" t="n">
        <v>0</v>
      </c>
      <c r="M576" t="n">
        <v>0</v>
      </c>
      <c r="N576" t="n">
        <v>0</v>
      </c>
      <c r="O576" t="n">
        <v>0</v>
      </c>
      <c r="P576" t="n">
        <v>0</v>
      </c>
      <c r="Q576" t="n">
        <v>0</v>
      </c>
      <c r="R576" s="2" t="inlineStr"/>
    </row>
    <row r="577" ht="15" customHeight="1">
      <c r="A577" t="inlineStr">
        <is>
          <t>A 30315-2021</t>
        </is>
      </c>
      <c r="B577" s="1" t="n">
        <v>44364</v>
      </c>
      <c r="C577" s="1" t="n">
        <v>45784</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30311-2021</t>
        </is>
      </c>
      <c r="B578" s="1" t="n">
        <v>44364</v>
      </c>
      <c r="C578" s="1" t="n">
        <v>45784</v>
      </c>
      <c r="D578" t="inlineStr">
        <is>
          <t>JÄMTLANDS LÄN</t>
        </is>
      </c>
      <c r="E578" t="inlineStr">
        <is>
          <t>HÄRJEDALEN</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30321-2021</t>
        </is>
      </c>
      <c r="B579" s="1" t="n">
        <v>44364</v>
      </c>
      <c r="C579" s="1" t="n">
        <v>45784</v>
      </c>
      <c r="D579" t="inlineStr">
        <is>
          <t>JÄMTLANDS LÄN</t>
        </is>
      </c>
      <c r="E579" t="inlineStr">
        <is>
          <t>HÄRJEDALEN</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30317-2021</t>
        </is>
      </c>
      <c r="B580" s="1" t="n">
        <v>44364</v>
      </c>
      <c r="C580" s="1" t="n">
        <v>45784</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30684-2021</t>
        </is>
      </c>
      <c r="B581" s="1" t="n">
        <v>44365</v>
      </c>
      <c r="C581" s="1" t="n">
        <v>45784</v>
      </c>
      <c r="D581" t="inlineStr">
        <is>
          <t>JÄMTLANDS LÄN</t>
        </is>
      </c>
      <c r="E581" t="inlineStr">
        <is>
          <t>HÄRJEDALEN</t>
        </is>
      </c>
      <c r="G581" t="n">
        <v>4</v>
      </c>
      <c r="H581" t="n">
        <v>0</v>
      </c>
      <c r="I581" t="n">
        <v>0</v>
      </c>
      <c r="J581" t="n">
        <v>0</v>
      </c>
      <c r="K581" t="n">
        <v>0</v>
      </c>
      <c r="L581" t="n">
        <v>0</v>
      </c>
      <c r="M581" t="n">
        <v>0</v>
      </c>
      <c r="N581" t="n">
        <v>0</v>
      </c>
      <c r="O581" t="n">
        <v>0</v>
      </c>
      <c r="P581" t="n">
        <v>0</v>
      </c>
      <c r="Q581" t="n">
        <v>0</v>
      </c>
      <c r="R581" s="2" t="inlineStr"/>
    </row>
    <row r="582" ht="15" customHeight="1">
      <c r="A582" t="inlineStr">
        <is>
          <t>A 31212-2021</t>
        </is>
      </c>
      <c r="B582" s="1" t="n">
        <v>44368</v>
      </c>
      <c r="C582" s="1" t="n">
        <v>45784</v>
      </c>
      <c r="D582" t="inlineStr">
        <is>
          <t>JÄMTLANDS LÄN</t>
        </is>
      </c>
      <c r="E582" t="inlineStr">
        <is>
          <t>HÄRJEDALEN</t>
        </is>
      </c>
      <c r="G582" t="n">
        <v>5.5</v>
      </c>
      <c r="H582" t="n">
        <v>0</v>
      </c>
      <c r="I582" t="n">
        <v>0</v>
      </c>
      <c r="J582" t="n">
        <v>0</v>
      </c>
      <c r="K582" t="n">
        <v>0</v>
      </c>
      <c r="L582" t="n">
        <v>0</v>
      </c>
      <c r="M582" t="n">
        <v>0</v>
      </c>
      <c r="N582" t="n">
        <v>0</v>
      </c>
      <c r="O582" t="n">
        <v>0</v>
      </c>
      <c r="P582" t="n">
        <v>0</v>
      </c>
      <c r="Q582" t="n">
        <v>0</v>
      </c>
      <c r="R582" s="2" t="inlineStr"/>
    </row>
    <row r="583" ht="15" customHeight="1">
      <c r="A583" t="inlineStr">
        <is>
          <t>A 33424-2021</t>
        </is>
      </c>
      <c r="B583" s="1" t="n">
        <v>44377</v>
      </c>
      <c r="C583" s="1" t="n">
        <v>45784</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34453-2021</t>
        </is>
      </c>
      <c r="B584" s="1" t="n">
        <v>44381</v>
      </c>
      <c r="C584" s="1" t="n">
        <v>45784</v>
      </c>
      <c r="D584" t="inlineStr">
        <is>
          <t>JÄMTLANDS LÄN</t>
        </is>
      </c>
      <c r="E584" t="inlineStr">
        <is>
          <t>HÄRJEDALEN</t>
        </is>
      </c>
      <c r="G584" t="n">
        <v>12.7</v>
      </c>
      <c r="H584" t="n">
        <v>0</v>
      </c>
      <c r="I584" t="n">
        <v>0</v>
      </c>
      <c r="J584" t="n">
        <v>0</v>
      </c>
      <c r="K584" t="n">
        <v>0</v>
      </c>
      <c r="L584" t="n">
        <v>0</v>
      </c>
      <c r="M584" t="n">
        <v>0</v>
      </c>
      <c r="N584" t="n">
        <v>0</v>
      </c>
      <c r="O584" t="n">
        <v>0</v>
      </c>
      <c r="P584" t="n">
        <v>0</v>
      </c>
      <c r="Q584" t="n">
        <v>0</v>
      </c>
      <c r="R584" s="2" t="inlineStr"/>
    </row>
    <row r="585" ht="15" customHeight="1">
      <c r="A585" t="inlineStr">
        <is>
          <t>A 35194-2021</t>
        </is>
      </c>
      <c r="B585" s="1" t="n">
        <v>44384</v>
      </c>
      <c r="C585" s="1" t="n">
        <v>45784</v>
      </c>
      <c r="D585" t="inlineStr">
        <is>
          <t>JÄMTLANDS LÄN</t>
        </is>
      </c>
      <c r="E585" t="inlineStr">
        <is>
          <t>HÄRJEDALEN</t>
        </is>
      </c>
      <c r="G585" t="n">
        <v>46.4</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45784</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35572-2021</t>
        </is>
      </c>
      <c r="B587" s="1" t="n">
        <v>44386</v>
      </c>
      <c r="C587" s="1" t="n">
        <v>45784</v>
      </c>
      <c r="D587" t="inlineStr">
        <is>
          <t>JÄMTLANDS LÄN</t>
        </is>
      </c>
      <c r="E587" t="inlineStr">
        <is>
          <t>HÄRJEDALEN</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35573-2021</t>
        </is>
      </c>
      <c r="B588" s="1" t="n">
        <v>44386</v>
      </c>
      <c r="C588" s="1" t="n">
        <v>45784</v>
      </c>
      <c r="D588" t="inlineStr">
        <is>
          <t>JÄMTLANDS LÄN</t>
        </is>
      </c>
      <c r="E588" t="inlineStr">
        <is>
          <t>HÄRJEDALEN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36235-2021</t>
        </is>
      </c>
      <c r="B589" s="1" t="n">
        <v>44389</v>
      </c>
      <c r="C589" s="1" t="n">
        <v>45784</v>
      </c>
      <c r="D589" t="inlineStr">
        <is>
          <t>JÄMTLANDS LÄN</t>
        </is>
      </c>
      <c r="E589" t="inlineStr">
        <is>
          <t>HÄRJEDALEN</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37155-2021</t>
        </is>
      </c>
      <c r="B590" s="1" t="n">
        <v>44396</v>
      </c>
      <c r="C590" s="1" t="n">
        <v>45784</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37832-2021</t>
        </is>
      </c>
      <c r="B591" s="1" t="n">
        <v>44403</v>
      </c>
      <c r="C591" s="1" t="n">
        <v>45784</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37825-2021</t>
        </is>
      </c>
      <c r="B592" s="1" t="n">
        <v>44403</v>
      </c>
      <c r="C592" s="1" t="n">
        <v>45784</v>
      </c>
      <c r="D592" t="inlineStr">
        <is>
          <t>JÄMTLANDS LÄN</t>
        </is>
      </c>
      <c r="E592" t="inlineStr">
        <is>
          <t>HÄRJEDALEN</t>
        </is>
      </c>
      <c r="G592" t="n">
        <v>0.1</v>
      </c>
      <c r="H592" t="n">
        <v>0</v>
      </c>
      <c r="I592" t="n">
        <v>0</v>
      </c>
      <c r="J592" t="n">
        <v>0</v>
      </c>
      <c r="K592" t="n">
        <v>0</v>
      </c>
      <c r="L592" t="n">
        <v>0</v>
      </c>
      <c r="M592" t="n">
        <v>0</v>
      </c>
      <c r="N592" t="n">
        <v>0</v>
      </c>
      <c r="O592" t="n">
        <v>0</v>
      </c>
      <c r="P592" t="n">
        <v>0</v>
      </c>
      <c r="Q592" t="n">
        <v>0</v>
      </c>
      <c r="R592" s="2" t="inlineStr"/>
    </row>
    <row r="593" ht="15" customHeight="1">
      <c r="A593" t="inlineStr">
        <is>
          <t>A 38001-2021</t>
        </is>
      </c>
      <c r="B593" s="1" t="n">
        <v>44404</v>
      </c>
      <c r="C593" s="1" t="n">
        <v>45784</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38215-2021</t>
        </is>
      </c>
      <c r="B594" s="1" t="n">
        <v>44405</v>
      </c>
      <c r="C594" s="1" t="n">
        <v>45784</v>
      </c>
      <c r="D594" t="inlineStr">
        <is>
          <t>JÄMTLANDS LÄN</t>
        </is>
      </c>
      <c r="E594" t="inlineStr">
        <is>
          <t>HÄRJEDALEN</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38356-2021</t>
        </is>
      </c>
      <c r="B595" s="1" t="n">
        <v>44406</v>
      </c>
      <c r="C595" s="1" t="n">
        <v>45784</v>
      </c>
      <c r="D595" t="inlineStr">
        <is>
          <t>JÄMTLANDS LÄN</t>
        </is>
      </c>
      <c r="E595" t="inlineStr">
        <is>
          <t>HÄRJEDALEN</t>
        </is>
      </c>
      <c r="G595" t="n">
        <v>5.4</v>
      </c>
      <c r="H595" t="n">
        <v>0</v>
      </c>
      <c r="I595" t="n">
        <v>0</v>
      </c>
      <c r="J595" t="n">
        <v>0</v>
      </c>
      <c r="K595" t="n">
        <v>0</v>
      </c>
      <c r="L595" t="n">
        <v>0</v>
      </c>
      <c r="M595" t="n">
        <v>0</v>
      </c>
      <c r="N595" t="n">
        <v>0</v>
      </c>
      <c r="O595" t="n">
        <v>0</v>
      </c>
      <c r="P595" t="n">
        <v>0</v>
      </c>
      <c r="Q595" t="n">
        <v>0</v>
      </c>
      <c r="R595" s="2" t="inlineStr"/>
    </row>
    <row r="596" ht="15" customHeight="1">
      <c r="A596" t="inlineStr">
        <is>
          <t>A 38794-2021</t>
        </is>
      </c>
      <c r="B596" s="1" t="n">
        <v>44410</v>
      </c>
      <c r="C596" s="1" t="n">
        <v>45784</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39321-2021</t>
        </is>
      </c>
      <c r="B597" s="1" t="n">
        <v>44413</v>
      </c>
      <c r="C597" s="1" t="n">
        <v>45784</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39493-2021</t>
        </is>
      </c>
      <c r="B598" s="1" t="n">
        <v>44414</v>
      </c>
      <c r="C598" s="1" t="n">
        <v>45784</v>
      </c>
      <c r="D598" t="inlineStr">
        <is>
          <t>JÄMTLANDS LÄN</t>
        </is>
      </c>
      <c r="E598" t="inlineStr">
        <is>
          <t>HÄRJEDALEN</t>
        </is>
      </c>
      <c r="G598" t="n">
        <v>13.5</v>
      </c>
      <c r="H598" t="n">
        <v>0</v>
      </c>
      <c r="I598" t="n">
        <v>0</v>
      </c>
      <c r="J598" t="n">
        <v>0</v>
      </c>
      <c r="K598" t="n">
        <v>0</v>
      </c>
      <c r="L598" t="n">
        <v>0</v>
      </c>
      <c r="M598" t="n">
        <v>0</v>
      </c>
      <c r="N598" t="n">
        <v>0</v>
      </c>
      <c r="O598" t="n">
        <v>0</v>
      </c>
      <c r="P598" t="n">
        <v>0</v>
      </c>
      <c r="Q598" t="n">
        <v>0</v>
      </c>
      <c r="R598" s="2" t="inlineStr"/>
    </row>
    <row r="599" ht="15" customHeight="1">
      <c r="A599" t="inlineStr">
        <is>
          <t>A 39492-2021</t>
        </is>
      </c>
      <c r="B599" s="1" t="n">
        <v>44414</v>
      </c>
      <c r="C599" s="1" t="n">
        <v>45784</v>
      </c>
      <c r="D599" t="inlineStr">
        <is>
          <t>JÄMTLANDS LÄN</t>
        </is>
      </c>
      <c r="E599" t="inlineStr">
        <is>
          <t>HÄRJEDALEN</t>
        </is>
      </c>
      <c r="G599" t="n">
        <v>28.3</v>
      </c>
      <c r="H599" t="n">
        <v>0</v>
      </c>
      <c r="I599" t="n">
        <v>0</v>
      </c>
      <c r="J599" t="n">
        <v>0</v>
      </c>
      <c r="K599" t="n">
        <v>0</v>
      </c>
      <c r="L599" t="n">
        <v>0</v>
      </c>
      <c r="M599" t="n">
        <v>0</v>
      </c>
      <c r="N599" t="n">
        <v>0</v>
      </c>
      <c r="O599" t="n">
        <v>0</v>
      </c>
      <c r="P599" t="n">
        <v>0</v>
      </c>
      <c r="Q599" t="n">
        <v>0</v>
      </c>
      <c r="R599" s="2" t="inlineStr"/>
    </row>
    <row r="600" ht="15" customHeight="1">
      <c r="A600" t="inlineStr">
        <is>
          <t>A 39610-2021</t>
        </is>
      </c>
      <c r="B600" s="1" t="n">
        <v>44417</v>
      </c>
      <c r="C600" s="1" t="n">
        <v>45784</v>
      </c>
      <c r="D600" t="inlineStr">
        <is>
          <t>JÄMTLANDS LÄN</t>
        </is>
      </c>
      <c r="E600" t="inlineStr">
        <is>
          <t>HÄRJEDALEN</t>
        </is>
      </c>
      <c r="G600" t="n">
        <v>5.1</v>
      </c>
      <c r="H600" t="n">
        <v>0</v>
      </c>
      <c r="I600" t="n">
        <v>0</v>
      </c>
      <c r="J600" t="n">
        <v>0</v>
      </c>
      <c r="K600" t="n">
        <v>0</v>
      </c>
      <c r="L600" t="n">
        <v>0</v>
      </c>
      <c r="M600" t="n">
        <v>0</v>
      </c>
      <c r="N600" t="n">
        <v>0</v>
      </c>
      <c r="O600" t="n">
        <v>0</v>
      </c>
      <c r="P600" t="n">
        <v>0</v>
      </c>
      <c r="Q600" t="n">
        <v>0</v>
      </c>
      <c r="R600" s="2" t="inlineStr"/>
    </row>
    <row r="601" ht="15" customHeight="1">
      <c r="A601" t="inlineStr">
        <is>
          <t>A 39616-2021</t>
        </is>
      </c>
      <c r="B601" s="1" t="n">
        <v>44417</v>
      </c>
      <c r="C601" s="1" t="n">
        <v>45784</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39611-2021</t>
        </is>
      </c>
      <c r="B602" s="1" t="n">
        <v>44417</v>
      </c>
      <c r="C602" s="1" t="n">
        <v>45784</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39631-2021</t>
        </is>
      </c>
      <c r="B603" s="1" t="n">
        <v>44417</v>
      </c>
      <c r="C603" s="1" t="n">
        <v>45784</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39618-2021</t>
        </is>
      </c>
      <c r="B604" s="1" t="n">
        <v>44417</v>
      </c>
      <c r="C604" s="1" t="n">
        <v>45784</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39979-2021</t>
        </is>
      </c>
      <c r="B605" s="1" t="n">
        <v>44418</v>
      </c>
      <c r="C605" s="1" t="n">
        <v>45784</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39951-2021</t>
        </is>
      </c>
      <c r="B606" s="1" t="n">
        <v>44418</v>
      </c>
      <c r="C606" s="1" t="n">
        <v>45784</v>
      </c>
      <c r="D606" t="inlineStr">
        <is>
          <t>JÄMTLANDS LÄN</t>
        </is>
      </c>
      <c r="E606" t="inlineStr">
        <is>
          <t>HÄRJEDALEN</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39950-2021</t>
        </is>
      </c>
      <c r="B607" s="1" t="n">
        <v>44418</v>
      </c>
      <c r="C607" s="1" t="n">
        <v>45784</v>
      </c>
      <c r="D607" t="inlineStr">
        <is>
          <t>JÄMTLANDS LÄN</t>
        </is>
      </c>
      <c r="E607" t="inlineStr">
        <is>
          <t>HÄRJEDALEN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40412-2021</t>
        </is>
      </c>
      <c r="B608" s="1" t="n">
        <v>44419</v>
      </c>
      <c r="C608" s="1" t="n">
        <v>45784</v>
      </c>
      <c r="D608" t="inlineStr">
        <is>
          <t>JÄMTLANDS LÄN</t>
        </is>
      </c>
      <c r="E608" t="inlineStr">
        <is>
          <t>HÄRJEDALEN</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40497-2021</t>
        </is>
      </c>
      <c r="B609" s="1" t="n">
        <v>44420</v>
      </c>
      <c r="C609" s="1" t="n">
        <v>45784</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40808-2021</t>
        </is>
      </c>
      <c r="B610" s="1" t="n">
        <v>44421</v>
      </c>
      <c r="C610" s="1" t="n">
        <v>45784</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41149-2021</t>
        </is>
      </c>
      <c r="B611" s="1" t="n">
        <v>44423</v>
      </c>
      <c r="C611" s="1" t="n">
        <v>45784</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41147-2021</t>
        </is>
      </c>
      <c r="B612" s="1" t="n">
        <v>44423</v>
      </c>
      <c r="C612" s="1" t="n">
        <v>45784</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45784</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41387-2021</t>
        </is>
      </c>
      <c r="B614" s="1" t="n">
        <v>44424</v>
      </c>
      <c r="C614" s="1" t="n">
        <v>45784</v>
      </c>
      <c r="D614" t="inlineStr">
        <is>
          <t>JÄMTLANDS LÄN</t>
        </is>
      </c>
      <c r="E614" t="inlineStr">
        <is>
          <t>HÄRJEDALEN</t>
        </is>
      </c>
      <c r="G614" t="n">
        <v>9.5</v>
      </c>
      <c r="H614" t="n">
        <v>0</v>
      </c>
      <c r="I614" t="n">
        <v>0</v>
      </c>
      <c r="J614" t="n">
        <v>0</v>
      </c>
      <c r="K614" t="n">
        <v>0</v>
      </c>
      <c r="L614" t="n">
        <v>0</v>
      </c>
      <c r="M614" t="n">
        <v>0</v>
      </c>
      <c r="N614" t="n">
        <v>0</v>
      </c>
      <c r="O614" t="n">
        <v>0</v>
      </c>
      <c r="P614" t="n">
        <v>0</v>
      </c>
      <c r="Q614" t="n">
        <v>0</v>
      </c>
      <c r="R614" s="2" t="inlineStr"/>
    </row>
    <row r="615" ht="15" customHeight="1">
      <c r="A615" t="inlineStr">
        <is>
          <t>A 41395-2021</t>
        </is>
      </c>
      <c r="B615" s="1" t="n">
        <v>44424</v>
      </c>
      <c r="C615" s="1" t="n">
        <v>45784</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41400-2021</t>
        </is>
      </c>
      <c r="B616" s="1" t="n">
        <v>44424</v>
      </c>
      <c r="C616" s="1" t="n">
        <v>45784</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41391-2021</t>
        </is>
      </c>
      <c r="B617" s="1" t="n">
        <v>44424</v>
      </c>
      <c r="C617" s="1" t="n">
        <v>45784</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41978-2021</t>
        </is>
      </c>
      <c r="B618" s="1" t="n">
        <v>44426</v>
      </c>
      <c r="C618" s="1" t="n">
        <v>45784</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42827-2021</t>
        </is>
      </c>
      <c r="B619" s="1" t="n">
        <v>44430</v>
      </c>
      <c r="C619" s="1" t="n">
        <v>45784</v>
      </c>
      <c r="D619" t="inlineStr">
        <is>
          <t>JÄMTLANDS LÄN</t>
        </is>
      </c>
      <c r="E619" t="inlineStr">
        <is>
          <t>HÄRJEDALEN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44519-2021</t>
        </is>
      </c>
      <c r="B620" s="1" t="n">
        <v>44435</v>
      </c>
      <c r="C620" s="1" t="n">
        <v>45784</v>
      </c>
      <c r="D620" t="inlineStr">
        <is>
          <t>JÄMTLANDS LÄN</t>
        </is>
      </c>
      <c r="E620" t="inlineStr">
        <is>
          <t>HÄRJEDALEN</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45409-2021</t>
        </is>
      </c>
      <c r="B621" s="1" t="n">
        <v>44440</v>
      </c>
      <c r="C621" s="1" t="n">
        <v>45784</v>
      </c>
      <c r="D621" t="inlineStr">
        <is>
          <t>JÄMTLANDS LÄN</t>
        </is>
      </c>
      <c r="E621" t="inlineStr">
        <is>
          <t>HÄRJEDALEN</t>
        </is>
      </c>
      <c r="G621" t="n">
        <v>18.9</v>
      </c>
      <c r="H621" t="n">
        <v>0</v>
      </c>
      <c r="I621" t="n">
        <v>0</v>
      </c>
      <c r="J621" t="n">
        <v>0</v>
      </c>
      <c r="K621" t="n">
        <v>0</v>
      </c>
      <c r="L621" t="n">
        <v>0</v>
      </c>
      <c r="M621" t="n">
        <v>0</v>
      </c>
      <c r="N621" t="n">
        <v>0</v>
      </c>
      <c r="O621" t="n">
        <v>0</v>
      </c>
      <c r="P621" t="n">
        <v>0</v>
      </c>
      <c r="Q621" t="n">
        <v>0</v>
      </c>
      <c r="R621" s="2" t="inlineStr"/>
    </row>
    <row r="622" ht="15" customHeight="1">
      <c r="A622" t="inlineStr">
        <is>
          <t>A 45363-2021</t>
        </is>
      </c>
      <c r="B622" s="1" t="n">
        <v>44440</v>
      </c>
      <c r="C622" s="1" t="n">
        <v>45784</v>
      </c>
      <c r="D622" t="inlineStr">
        <is>
          <t>JÄMTLANDS LÄN</t>
        </is>
      </c>
      <c r="E622" t="inlineStr">
        <is>
          <t>HÄRJEDALEN</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45365-2021</t>
        </is>
      </c>
      <c r="B623" s="1" t="n">
        <v>44440</v>
      </c>
      <c r="C623" s="1" t="n">
        <v>45784</v>
      </c>
      <c r="D623" t="inlineStr">
        <is>
          <t>JÄMTLANDS LÄN</t>
        </is>
      </c>
      <c r="E623" t="inlineStr">
        <is>
          <t>HÄRJEDALEN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45744-2021</t>
        </is>
      </c>
      <c r="B624" s="1" t="n">
        <v>44441</v>
      </c>
      <c r="C624" s="1" t="n">
        <v>45784</v>
      </c>
      <c r="D624" t="inlineStr">
        <is>
          <t>JÄMTLANDS LÄN</t>
        </is>
      </c>
      <c r="E624" t="inlineStr">
        <is>
          <t>HÄRJEDALEN</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46352-2021</t>
        </is>
      </c>
      <c r="B625" s="1" t="n">
        <v>44442</v>
      </c>
      <c r="C625" s="1" t="n">
        <v>45784</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47289-2021</t>
        </is>
      </c>
      <c r="B626" s="1" t="n">
        <v>44447</v>
      </c>
      <c r="C626" s="1" t="n">
        <v>45784</v>
      </c>
      <c r="D626" t="inlineStr">
        <is>
          <t>JÄMTLANDS LÄN</t>
        </is>
      </c>
      <c r="E626" t="inlineStr">
        <is>
          <t>HÄRJEDALEN</t>
        </is>
      </c>
      <c r="F626" t="inlineStr">
        <is>
          <t>Holmen skog AB</t>
        </is>
      </c>
      <c r="G626" t="n">
        <v>31.7</v>
      </c>
      <c r="H626" t="n">
        <v>0</v>
      </c>
      <c r="I626" t="n">
        <v>0</v>
      </c>
      <c r="J626" t="n">
        <v>0</v>
      </c>
      <c r="K626" t="n">
        <v>0</v>
      </c>
      <c r="L626" t="n">
        <v>0</v>
      </c>
      <c r="M626" t="n">
        <v>0</v>
      </c>
      <c r="N626" t="n">
        <v>0</v>
      </c>
      <c r="O626" t="n">
        <v>0</v>
      </c>
      <c r="P626" t="n">
        <v>0</v>
      </c>
      <c r="Q626" t="n">
        <v>0</v>
      </c>
      <c r="R626" s="2" t="inlineStr"/>
    </row>
    <row r="627" ht="15" customHeight="1">
      <c r="A627" t="inlineStr">
        <is>
          <t>A 48079-2021</t>
        </is>
      </c>
      <c r="B627" s="1" t="n">
        <v>44449</v>
      </c>
      <c r="C627" s="1" t="n">
        <v>45784</v>
      </c>
      <c r="D627" t="inlineStr">
        <is>
          <t>JÄMTLANDS LÄN</t>
        </is>
      </c>
      <c r="E627" t="inlineStr">
        <is>
          <t>HÄRJEDALEN</t>
        </is>
      </c>
      <c r="G627" t="n">
        <v>12.5</v>
      </c>
      <c r="H627" t="n">
        <v>0</v>
      </c>
      <c r="I627" t="n">
        <v>0</v>
      </c>
      <c r="J627" t="n">
        <v>0</v>
      </c>
      <c r="K627" t="n">
        <v>0</v>
      </c>
      <c r="L627" t="n">
        <v>0</v>
      </c>
      <c r="M627" t="n">
        <v>0</v>
      </c>
      <c r="N627" t="n">
        <v>0</v>
      </c>
      <c r="O627" t="n">
        <v>0</v>
      </c>
      <c r="P627" t="n">
        <v>0</v>
      </c>
      <c r="Q627" t="n">
        <v>0</v>
      </c>
      <c r="R627" s="2" t="inlineStr"/>
    </row>
    <row r="628" ht="15" customHeight="1">
      <c r="A628" t="inlineStr">
        <is>
          <t>A 48132-2021</t>
        </is>
      </c>
      <c r="B628" s="1" t="n">
        <v>44449</v>
      </c>
      <c r="C628" s="1" t="n">
        <v>45784</v>
      </c>
      <c r="D628" t="inlineStr">
        <is>
          <t>JÄMTLANDS LÄN</t>
        </is>
      </c>
      <c r="E628" t="inlineStr">
        <is>
          <t>HÄRJEDALEN</t>
        </is>
      </c>
      <c r="F628" t="inlineStr">
        <is>
          <t>Holmen skog AB</t>
        </is>
      </c>
      <c r="G628" t="n">
        <v>3.8</v>
      </c>
      <c r="H628" t="n">
        <v>0</v>
      </c>
      <c r="I628" t="n">
        <v>0</v>
      </c>
      <c r="J628" t="n">
        <v>0</v>
      </c>
      <c r="K628" t="n">
        <v>0</v>
      </c>
      <c r="L628" t="n">
        <v>0</v>
      </c>
      <c r="M628" t="n">
        <v>0</v>
      </c>
      <c r="N628" t="n">
        <v>0</v>
      </c>
      <c r="O628" t="n">
        <v>0</v>
      </c>
      <c r="P628" t="n">
        <v>0</v>
      </c>
      <c r="Q628" t="n">
        <v>0</v>
      </c>
      <c r="R628" s="2" t="inlineStr"/>
    </row>
    <row r="629" ht="15" customHeight="1">
      <c r="A629" t="inlineStr">
        <is>
          <t>A 48142-2021</t>
        </is>
      </c>
      <c r="B629" s="1" t="n">
        <v>44449</v>
      </c>
      <c r="C629" s="1" t="n">
        <v>45784</v>
      </c>
      <c r="D629" t="inlineStr">
        <is>
          <t>JÄMTLANDS LÄN</t>
        </is>
      </c>
      <c r="E629" t="inlineStr">
        <is>
          <t>HÄRJEDALEN</t>
        </is>
      </c>
      <c r="F629" t="inlineStr">
        <is>
          <t>Holmen skog AB</t>
        </is>
      </c>
      <c r="G629" t="n">
        <v>3.8</v>
      </c>
      <c r="H629" t="n">
        <v>0</v>
      </c>
      <c r="I629" t="n">
        <v>0</v>
      </c>
      <c r="J629" t="n">
        <v>0</v>
      </c>
      <c r="K629" t="n">
        <v>0</v>
      </c>
      <c r="L629" t="n">
        <v>0</v>
      </c>
      <c r="M629" t="n">
        <v>0</v>
      </c>
      <c r="N629" t="n">
        <v>0</v>
      </c>
      <c r="O629" t="n">
        <v>0</v>
      </c>
      <c r="P629" t="n">
        <v>0</v>
      </c>
      <c r="Q629" t="n">
        <v>0</v>
      </c>
      <c r="R629" s="2" t="inlineStr"/>
    </row>
    <row r="630" ht="15" customHeight="1">
      <c r="A630" t="inlineStr">
        <is>
          <t>A 48444-2021</t>
        </is>
      </c>
      <c r="B630" s="1" t="n">
        <v>44452</v>
      </c>
      <c r="C630" s="1" t="n">
        <v>45784</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48586-2021</t>
        </is>
      </c>
      <c r="B631" s="1" t="n">
        <v>44452</v>
      </c>
      <c r="C631" s="1" t="n">
        <v>45784</v>
      </c>
      <c r="D631" t="inlineStr">
        <is>
          <t>JÄMTLANDS LÄN</t>
        </is>
      </c>
      <c r="E631" t="inlineStr">
        <is>
          <t>HÄRJEDALEN</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48769-2021</t>
        </is>
      </c>
      <c r="B632" s="1" t="n">
        <v>44452</v>
      </c>
      <c r="C632" s="1" t="n">
        <v>45784</v>
      </c>
      <c r="D632" t="inlineStr">
        <is>
          <t>JÄMTLANDS LÄN</t>
        </is>
      </c>
      <c r="E632" t="inlineStr">
        <is>
          <t>HÄRJEDALEN</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48681-2021</t>
        </is>
      </c>
      <c r="B633" s="1" t="n">
        <v>44452</v>
      </c>
      <c r="C633" s="1" t="n">
        <v>45784</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v>
      </c>
      <c r="C634" s="1" t="n">
        <v>45784</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52685-2021</t>
        </is>
      </c>
      <c r="B635" s="1" t="n">
        <v>44466</v>
      </c>
      <c r="C635" s="1" t="n">
        <v>45784</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54103-2021</t>
        </is>
      </c>
      <c r="B636" s="1" t="n">
        <v>44470</v>
      </c>
      <c r="C636" s="1" t="n">
        <v>45784</v>
      </c>
      <c r="D636" t="inlineStr">
        <is>
          <t>JÄMTLANDS LÄN</t>
        </is>
      </c>
      <c r="E636" t="inlineStr">
        <is>
          <t>HÄRJEDALEN</t>
        </is>
      </c>
      <c r="F636" t="inlineStr">
        <is>
          <t>Holmen skog AB</t>
        </is>
      </c>
      <c r="G636" t="n">
        <v>11.9</v>
      </c>
      <c r="H636" t="n">
        <v>0</v>
      </c>
      <c r="I636" t="n">
        <v>0</v>
      </c>
      <c r="J636" t="n">
        <v>0</v>
      </c>
      <c r="K636" t="n">
        <v>0</v>
      </c>
      <c r="L636" t="n">
        <v>0</v>
      </c>
      <c r="M636" t="n">
        <v>0</v>
      </c>
      <c r="N636" t="n">
        <v>0</v>
      </c>
      <c r="O636" t="n">
        <v>0</v>
      </c>
      <c r="P636" t="n">
        <v>0</v>
      </c>
      <c r="Q636" t="n">
        <v>0</v>
      </c>
      <c r="R636" s="2" t="inlineStr"/>
    </row>
    <row r="637" ht="15" customHeight="1">
      <c r="A637" t="inlineStr">
        <is>
          <t>A 54218-2021</t>
        </is>
      </c>
      <c r="B637" s="1" t="n">
        <v>44470</v>
      </c>
      <c r="C637" s="1" t="n">
        <v>45784</v>
      </c>
      <c r="D637" t="inlineStr">
        <is>
          <t>JÄMTLANDS LÄN</t>
        </is>
      </c>
      <c r="E637" t="inlineStr">
        <is>
          <t>HÄRJEDALEN</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54331-2021</t>
        </is>
      </c>
      <c r="B638" s="1" t="n">
        <v>44472</v>
      </c>
      <c r="C638" s="1" t="n">
        <v>45784</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54842-2021</t>
        </is>
      </c>
      <c r="B639" s="1" t="n">
        <v>44473</v>
      </c>
      <c r="C639" s="1" t="n">
        <v>45784</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45784</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55219-2021</t>
        </is>
      </c>
      <c r="B641" s="1" t="n">
        <v>44475</v>
      </c>
      <c r="C641" s="1" t="n">
        <v>45784</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55226-2021</t>
        </is>
      </c>
      <c r="B642" s="1" t="n">
        <v>44475</v>
      </c>
      <c r="C642" s="1" t="n">
        <v>45784</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55232-2021</t>
        </is>
      </c>
      <c r="B643" s="1" t="n">
        <v>44475</v>
      </c>
      <c r="C643" s="1" t="n">
        <v>45784</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55250-2021</t>
        </is>
      </c>
      <c r="B644" s="1" t="n">
        <v>44475</v>
      </c>
      <c r="C644" s="1" t="n">
        <v>45784</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55231-2021</t>
        </is>
      </c>
      <c r="B645" s="1" t="n">
        <v>44475</v>
      </c>
      <c r="C645" s="1" t="n">
        <v>45784</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55238-2021</t>
        </is>
      </c>
      <c r="B646" s="1" t="n">
        <v>44475</v>
      </c>
      <c r="C646" s="1" t="n">
        <v>45784</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55242-2021</t>
        </is>
      </c>
      <c r="B647" s="1" t="n">
        <v>44475</v>
      </c>
      <c r="C647" s="1" t="n">
        <v>45784</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55252-2021</t>
        </is>
      </c>
      <c r="B648" s="1" t="n">
        <v>44475</v>
      </c>
      <c r="C648" s="1" t="n">
        <v>45784</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55257-2021</t>
        </is>
      </c>
      <c r="B649" s="1" t="n">
        <v>44475</v>
      </c>
      <c r="C649" s="1" t="n">
        <v>45784</v>
      </c>
      <c r="D649" t="inlineStr">
        <is>
          <t>JÄMTLANDS LÄN</t>
        </is>
      </c>
      <c r="E649" t="inlineStr">
        <is>
          <t>HÄRJEDALEN</t>
        </is>
      </c>
      <c r="G649" t="n">
        <v>0</v>
      </c>
      <c r="H649" t="n">
        <v>0</v>
      </c>
      <c r="I649" t="n">
        <v>0</v>
      </c>
      <c r="J649" t="n">
        <v>0</v>
      </c>
      <c r="K649" t="n">
        <v>0</v>
      </c>
      <c r="L649" t="n">
        <v>0</v>
      </c>
      <c r="M649" t="n">
        <v>0</v>
      </c>
      <c r="N649" t="n">
        <v>0</v>
      </c>
      <c r="O649" t="n">
        <v>0</v>
      </c>
      <c r="P649" t="n">
        <v>0</v>
      </c>
      <c r="Q649" t="n">
        <v>0</v>
      </c>
      <c r="R649" s="2" t="inlineStr"/>
    </row>
    <row r="650" ht="15" customHeight="1">
      <c r="A650" t="inlineStr">
        <is>
          <t>A 55255-2021</t>
        </is>
      </c>
      <c r="B650" s="1" t="n">
        <v>44475</v>
      </c>
      <c r="C650" s="1" t="n">
        <v>45784</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55246-2021</t>
        </is>
      </c>
      <c r="B651" s="1" t="n">
        <v>44475</v>
      </c>
      <c r="C651" s="1" t="n">
        <v>45784</v>
      </c>
      <c r="D651" t="inlineStr">
        <is>
          <t>JÄMTLANDS LÄN</t>
        </is>
      </c>
      <c r="E651" t="inlineStr">
        <is>
          <t>HÄRJEDALEN</t>
        </is>
      </c>
      <c r="G651" t="n">
        <v>3.8</v>
      </c>
      <c r="H651" t="n">
        <v>0</v>
      </c>
      <c r="I651" t="n">
        <v>0</v>
      </c>
      <c r="J651" t="n">
        <v>0</v>
      </c>
      <c r="K651" t="n">
        <v>0</v>
      </c>
      <c r="L651" t="n">
        <v>0</v>
      </c>
      <c r="M651" t="n">
        <v>0</v>
      </c>
      <c r="N651" t="n">
        <v>0</v>
      </c>
      <c r="O651" t="n">
        <v>0</v>
      </c>
      <c r="P651" t="n">
        <v>0</v>
      </c>
      <c r="Q651" t="n">
        <v>0</v>
      </c>
      <c r="R651" s="2" t="inlineStr"/>
    </row>
    <row r="652" ht="15" customHeight="1">
      <c r="A652" t="inlineStr">
        <is>
          <t>A 55384-2021</t>
        </is>
      </c>
      <c r="B652" s="1" t="n">
        <v>44475</v>
      </c>
      <c r="C652" s="1" t="n">
        <v>45784</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55379-2021</t>
        </is>
      </c>
      <c r="B653" s="1" t="n">
        <v>44475</v>
      </c>
      <c r="C653" s="1" t="n">
        <v>45784</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55388-2021</t>
        </is>
      </c>
      <c r="B654" s="1" t="n">
        <v>44475</v>
      </c>
      <c r="C654" s="1" t="n">
        <v>45784</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55396-2021</t>
        </is>
      </c>
      <c r="B655" s="1" t="n">
        <v>44475</v>
      </c>
      <c r="C655" s="1" t="n">
        <v>45784</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55385-2021</t>
        </is>
      </c>
      <c r="B656" s="1" t="n">
        <v>44475</v>
      </c>
      <c r="C656" s="1" t="n">
        <v>45784</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55381-2021</t>
        </is>
      </c>
      <c r="B657" s="1" t="n">
        <v>44475</v>
      </c>
      <c r="C657" s="1" t="n">
        <v>45784</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55399-2021</t>
        </is>
      </c>
      <c r="B658" s="1" t="n">
        <v>44475</v>
      </c>
      <c r="C658" s="1" t="n">
        <v>45784</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55517-2021</t>
        </is>
      </c>
      <c r="B659" s="1" t="n">
        <v>44475</v>
      </c>
      <c r="C659" s="1" t="n">
        <v>45784</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55542-2021</t>
        </is>
      </c>
      <c r="B660" s="1" t="n">
        <v>44475</v>
      </c>
      <c r="C660" s="1" t="n">
        <v>45784</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55393-2021</t>
        </is>
      </c>
      <c r="B661" s="1" t="n">
        <v>44475</v>
      </c>
      <c r="C661" s="1" t="n">
        <v>45784</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55215-2021</t>
        </is>
      </c>
      <c r="B662" s="1" t="n">
        <v>44475</v>
      </c>
      <c r="C662" s="1" t="n">
        <v>45784</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56852-2021</t>
        </is>
      </c>
      <c r="B663" s="1" t="n">
        <v>44481</v>
      </c>
      <c r="C663" s="1" t="n">
        <v>45784</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57381-2021</t>
        </is>
      </c>
      <c r="B664" s="1" t="n">
        <v>44483</v>
      </c>
      <c r="C664" s="1" t="n">
        <v>45784</v>
      </c>
      <c r="D664" t="inlineStr">
        <is>
          <t>JÄMTLANDS LÄN</t>
        </is>
      </c>
      <c r="E664" t="inlineStr">
        <is>
          <t>HÄRJEDALEN</t>
        </is>
      </c>
      <c r="G664" t="n">
        <v>17.9</v>
      </c>
      <c r="H664" t="n">
        <v>0</v>
      </c>
      <c r="I664" t="n">
        <v>0</v>
      </c>
      <c r="J664" t="n">
        <v>0</v>
      </c>
      <c r="K664" t="n">
        <v>0</v>
      </c>
      <c r="L664" t="n">
        <v>0</v>
      </c>
      <c r="M664" t="n">
        <v>0</v>
      </c>
      <c r="N664" t="n">
        <v>0</v>
      </c>
      <c r="O664" t="n">
        <v>0</v>
      </c>
      <c r="P664" t="n">
        <v>0</v>
      </c>
      <c r="Q664" t="n">
        <v>0</v>
      </c>
      <c r="R664" s="2" t="inlineStr"/>
    </row>
    <row r="665" ht="15" customHeight="1">
      <c r="A665" t="inlineStr">
        <is>
          <t>A 57256-2021</t>
        </is>
      </c>
      <c r="B665" s="1" t="n">
        <v>44483</v>
      </c>
      <c r="C665" s="1" t="n">
        <v>45784</v>
      </c>
      <c r="D665" t="inlineStr">
        <is>
          <t>JÄMTLANDS LÄN</t>
        </is>
      </c>
      <c r="E665" t="inlineStr">
        <is>
          <t>HÄRJEDALEN</t>
        </is>
      </c>
      <c r="G665" t="n">
        <v>4.5</v>
      </c>
      <c r="H665" t="n">
        <v>0</v>
      </c>
      <c r="I665" t="n">
        <v>0</v>
      </c>
      <c r="J665" t="n">
        <v>0</v>
      </c>
      <c r="K665" t="n">
        <v>0</v>
      </c>
      <c r="L665" t="n">
        <v>0</v>
      </c>
      <c r="M665" t="n">
        <v>0</v>
      </c>
      <c r="N665" t="n">
        <v>0</v>
      </c>
      <c r="O665" t="n">
        <v>0</v>
      </c>
      <c r="P665" t="n">
        <v>0</v>
      </c>
      <c r="Q665" t="n">
        <v>0</v>
      </c>
      <c r="R665" s="2" t="inlineStr"/>
    </row>
    <row r="666" ht="15" customHeight="1">
      <c r="A666" t="inlineStr">
        <is>
          <t>A 57373-2021</t>
        </is>
      </c>
      <c r="B666" s="1" t="n">
        <v>44483</v>
      </c>
      <c r="C666" s="1" t="n">
        <v>45784</v>
      </c>
      <c r="D666" t="inlineStr">
        <is>
          <t>JÄMTLANDS LÄN</t>
        </is>
      </c>
      <c r="E666" t="inlineStr">
        <is>
          <t>HÄRJEDALEN</t>
        </is>
      </c>
      <c r="G666" t="n">
        <v>10.8</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v>
      </c>
      <c r="C667" s="1" t="n">
        <v>45784</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57782-2021</t>
        </is>
      </c>
      <c r="B668" s="1" t="n">
        <v>44484</v>
      </c>
      <c r="C668" s="1" t="n">
        <v>45784</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58451-2021</t>
        </is>
      </c>
      <c r="B669" s="1" t="n">
        <v>44488</v>
      </c>
      <c r="C669" s="1" t="n">
        <v>45784</v>
      </c>
      <c r="D669" t="inlineStr">
        <is>
          <t>JÄMTLANDS LÄN</t>
        </is>
      </c>
      <c r="E669" t="inlineStr">
        <is>
          <t>HÄRJEDALEN</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59928-2021</t>
        </is>
      </c>
      <c r="B670" s="1" t="n">
        <v>44494</v>
      </c>
      <c r="C670" s="1" t="n">
        <v>45784</v>
      </c>
      <c r="D670" t="inlineStr">
        <is>
          <t>JÄMTLANDS LÄN</t>
        </is>
      </c>
      <c r="E670" t="inlineStr">
        <is>
          <t>HÄRJEDALEN</t>
        </is>
      </c>
      <c r="G670" t="n">
        <v>28.6</v>
      </c>
      <c r="H670" t="n">
        <v>0</v>
      </c>
      <c r="I670" t="n">
        <v>0</v>
      </c>
      <c r="J670" t="n">
        <v>0</v>
      </c>
      <c r="K670" t="n">
        <v>0</v>
      </c>
      <c r="L670" t="n">
        <v>0</v>
      </c>
      <c r="M670" t="n">
        <v>0</v>
      </c>
      <c r="N670" t="n">
        <v>0</v>
      </c>
      <c r="O670" t="n">
        <v>0</v>
      </c>
      <c r="P670" t="n">
        <v>0</v>
      </c>
      <c r="Q670" t="n">
        <v>0</v>
      </c>
      <c r="R670" s="2" t="inlineStr"/>
    </row>
    <row r="671" ht="15" customHeight="1">
      <c r="A671" t="inlineStr">
        <is>
          <t>A 60841-2021</t>
        </is>
      </c>
      <c r="B671" s="1" t="n">
        <v>44497</v>
      </c>
      <c r="C671" s="1" t="n">
        <v>45784</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61547-2021</t>
        </is>
      </c>
      <c r="B672" s="1" t="n">
        <v>44501</v>
      </c>
      <c r="C672" s="1" t="n">
        <v>45784</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63774-2021</t>
        </is>
      </c>
      <c r="B673" s="1" t="n">
        <v>44508</v>
      </c>
      <c r="C673" s="1" t="n">
        <v>45784</v>
      </c>
      <c r="D673" t="inlineStr">
        <is>
          <t>JÄMTLANDS LÄN</t>
        </is>
      </c>
      <c r="E673" t="inlineStr">
        <is>
          <t>HÄRJEDALEN</t>
        </is>
      </c>
      <c r="F673" t="inlineStr">
        <is>
          <t>Holmen skog AB</t>
        </is>
      </c>
      <c r="G673" t="n">
        <v>14.8</v>
      </c>
      <c r="H673" t="n">
        <v>0</v>
      </c>
      <c r="I673" t="n">
        <v>0</v>
      </c>
      <c r="J673" t="n">
        <v>0</v>
      </c>
      <c r="K673" t="n">
        <v>0</v>
      </c>
      <c r="L673" t="n">
        <v>0</v>
      </c>
      <c r="M673" t="n">
        <v>0</v>
      </c>
      <c r="N673" t="n">
        <v>0</v>
      </c>
      <c r="O673" t="n">
        <v>0</v>
      </c>
      <c r="P673" t="n">
        <v>0</v>
      </c>
      <c r="Q673" t="n">
        <v>0</v>
      </c>
      <c r="R673" s="2" t="inlineStr"/>
    </row>
    <row r="674" ht="15" customHeight="1">
      <c r="A674" t="inlineStr">
        <is>
          <t>A 64937-2021</t>
        </is>
      </c>
      <c r="B674" s="1" t="n">
        <v>44512</v>
      </c>
      <c r="C674" s="1" t="n">
        <v>45784</v>
      </c>
      <c r="D674" t="inlineStr">
        <is>
          <t>JÄMTLANDS LÄN</t>
        </is>
      </c>
      <c r="E674" t="inlineStr">
        <is>
          <t>HÄRJEDALEN</t>
        </is>
      </c>
      <c r="G674" t="n">
        <v>7</v>
      </c>
      <c r="H674" t="n">
        <v>0</v>
      </c>
      <c r="I674" t="n">
        <v>0</v>
      </c>
      <c r="J674" t="n">
        <v>0</v>
      </c>
      <c r="K674" t="n">
        <v>0</v>
      </c>
      <c r="L674" t="n">
        <v>0</v>
      </c>
      <c r="M674" t="n">
        <v>0</v>
      </c>
      <c r="N674" t="n">
        <v>0</v>
      </c>
      <c r="O674" t="n">
        <v>0</v>
      </c>
      <c r="P674" t="n">
        <v>0</v>
      </c>
      <c r="Q674" t="n">
        <v>0</v>
      </c>
      <c r="R674" s="2" t="inlineStr"/>
    </row>
    <row r="675" ht="15" customHeight="1">
      <c r="A675" t="inlineStr">
        <is>
          <t>A 65125-2021</t>
        </is>
      </c>
      <c r="B675" s="1" t="n">
        <v>44515</v>
      </c>
      <c r="C675" s="1" t="n">
        <v>45784</v>
      </c>
      <c r="D675" t="inlineStr">
        <is>
          <t>JÄMTLANDS LÄN</t>
        </is>
      </c>
      <c r="E675" t="inlineStr">
        <is>
          <t>HÄRJEDALEN</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65549-2021</t>
        </is>
      </c>
      <c r="B676" s="1" t="n">
        <v>44516</v>
      </c>
      <c r="C676" s="1" t="n">
        <v>45784</v>
      </c>
      <c r="D676" t="inlineStr">
        <is>
          <t>JÄMTLANDS LÄN</t>
        </is>
      </c>
      <c r="E676" t="inlineStr">
        <is>
          <t>HÄRJEDALEN</t>
        </is>
      </c>
      <c r="F676" t="inlineStr">
        <is>
          <t>Bergvik skog väst AB</t>
        </is>
      </c>
      <c r="G676" t="n">
        <v>7</v>
      </c>
      <c r="H676" t="n">
        <v>0</v>
      </c>
      <c r="I676" t="n">
        <v>0</v>
      </c>
      <c r="J676" t="n">
        <v>0</v>
      </c>
      <c r="K676" t="n">
        <v>0</v>
      </c>
      <c r="L676" t="n">
        <v>0</v>
      </c>
      <c r="M676" t="n">
        <v>0</v>
      </c>
      <c r="N676" t="n">
        <v>0</v>
      </c>
      <c r="O676" t="n">
        <v>0</v>
      </c>
      <c r="P676" t="n">
        <v>0</v>
      </c>
      <c r="Q676" t="n">
        <v>0</v>
      </c>
      <c r="R676" s="2" t="inlineStr"/>
    </row>
    <row r="677" ht="15" customHeight="1">
      <c r="A677" t="inlineStr">
        <is>
          <t>A 68858-2021</t>
        </is>
      </c>
      <c r="B677" s="1" t="n">
        <v>44530</v>
      </c>
      <c r="C677" s="1" t="n">
        <v>45784</v>
      </c>
      <c r="D677" t="inlineStr">
        <is>
          <t>JÄMTLANDS LÄN</t>
        </is>
      </c>
      <c r="E677" t="inlineStr">
        <is>
          <t>HÄRJEDALEN</t>
        </is>
      </c>
      <c r="G677" t="n">
        <v>0.9</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v>
      </c>
      <c r="C678" s="1" t="n">
        <v>45784</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69501-2021</t>
        </is>
      </c>
      <c r="B679" s="1" t="n">
        <v>44531</v>
      </c>
      <c r="C679" s="1" t="n">
        <v>45784</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69490-2021</t>
        </is>
      </c>
      <c r="B680" s="1" t="n">
        <v>44531</v>
      </c>
      <c r="C680" s="1" t="n">
        <v>45784</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69504-2021</t>
        </is>
      </c>
      <c r="B681" s="1" t="n">
        <v>44531</v>
      </c>
      <c r="C681" s="1" t="n">
        <v>45784</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69499-2021</t>
        </is>
      </c>
      <c r="B682" s="1" t="n">
        <v>44531</v>
      </c>
      <c r="C682" s="1" t="n">
        <v>45784</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71649-2021</t>
        </is>
      </c>
      <c r="B683" s="1" t="n">
        <v>44538</v>
      </c>
      <c r="C683" s="1" t="n">
        <v>45784</v>
      </c>
      <c r="D683" t="inlineStr">
        <is>
          <t>JÄMTLANDS LÄN</t>
        </is>
      </c>
      <c r="E683" t="inlineStr">
        <is>
          <t>HÄRJEDALEN</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71668-2021</t>
        </is>
      </c>
      <c r="B684" s="1" t="n">
        <v>44538</v>
      </c>
      <c r="C684" s="1" t="n">
        <v>45784</v>
      </c>
      <c r="D684" t="inlineStr">
        <is>
          <t>JÄMTLANDS LÄN</t>
        </is>
      </c>
      <c r="E684" t="inlineStr">
        <is>
          <t>HÄRJEDALEN</t>
        </is>
      </c>
      <c r="F684" t="inlineStr">
        <is>
          <t>Övriga statliga verk och myndigheter</t>
        </is>
      </c>
      <c r="G684" t="n">
        <v>3.1</v>
      </c>
      <c r="H684" t="n">
        <v>0</v>
      </c>
      <c r="I684" t="n">
        <v>0</v>
      </c>
      <c r="J684" t="n">
        <v>0</v>
      </c>
      <c r="K684" t="n">
        <v>0</v>
      </c>
      <c r="L684" t="n">
        <v>0</v>
      </c>
      <c r="M684" t="n">
        <v>0</v>
      </c>
      <c r="N684" t="n">
        <v>0</v>
      </c>
      <c r="O684" t="n">
        <v>0</v>
      </c>
      <c r="P684" t="n">
        <v>0</v>
      </c>
      <c r="Q684" t="n">
        <v>0</v>
      </c>
      <c r="R684" s="2" t="inlineStr"/>
    </row>
    <row r="685" ht="15" customHeight="1">
      <c r="A685" t="inlineStr">
        <is>
          <t>A 71638-2021</t>
        </is>
      </c>
      <c r="B685" s="1" t="n">
        <v>44538</v>
      </c>
      <c r="C685" s="1" t="n">
        <v>45784</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71493-2021</t>
        </is>
      </c>
      <c r="B686" s="1" t="n">
        <v>44540</v>
      </c>
      <c r="C686" s="1" t="n">
        <v>45784</v>
      </c>
      <c r="D686" t="inlineStr">
        <is>
          <t>JÄMTLANDS LÄN</t>
        </is>
      </c>
      <c r="E686" t="inlineStr">
        <is>
          <t>HÄRJEDALEN</t>
        </is>
      </c>
      <c r="G686" t="n">
        <v>0.4</v>
      </c>
      <c r="H686" t="n">
        <v>0</v>
      </c>
      <c r="I686" t="n">
        <v>0</v>
      </c>
      <c r="J686" t="n">
        <v>0</v>
      </c>
      <c r="K686" t="n">
        <v>0</v>
      </c>
      <c r="L686" t="n">
        <v>0</v>
      </c>
      <c r="M686" t="n">
        <v>0</v>
      </c>
      <c r="N686" t="n">
        <v>0</v>
      </c>
      <c r="O686" t="n">
        <v>0</v>
      </c>
      <c r="P686" t="n">
        <v>0</v>
      </c>
      <c r="Q686" t="n">
        <v>0</v>
      </c>
      <c r="R686" s="2" t="inlineStr"/>
    </row>
    <row r="687" ht="15" customHeight="1">
      <c r="A687" t="inlineStr">
        <is>
          <t>A 71467-2021</t>
        </is>
      </c>
      <c r="B687" s="1" t="n">
        <v>44540</v>
      </c>
      <c r="C687" s="1" t="n">
        <v>45784</v>
      </c>
      <c r="D687" t="inlineStr">
        <is>
          <t>JÄMTLANDS LÄN</t>
        </is>
      </c>
      <c r="E687" t="inlineStr">
        <is>
          <t>HÄRJEDALEN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71501-2021</t>
        </is>
      </c>
      <c r="B688" s="1" t="n">
        <v>44540</v>
      </c>
      <c r="C688" s="1" t="n">
        <v>45784</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71864-2021</t>
        </is>
      </c>
      <c r="B689" s="1" t="n">
        <v>44543</v>
      </c>
      <c r="C689" s="1" t="n">
        <v>45784</v>
      </c>
      <c r="D689" t="inlineStr">
        <is>
          <t>JÄMTLANDS LÄN</t>
        </is>
      </c>
      <c r="E689" t="inlineStr">
        <is>
          <t>HÄRJEDALEN</t>
        </is>
      </c>
      <c r="F689" t="inlineStr">
        <is>
          <t>Holmen skog AB</t>
        </is>
      </c>
      <c r="G689" t="n">
        <v>0.2</v>
      </c>
      <c r="H689" t="n">
        <v>0</v>
      </c>
      <c r="I689" t="n">
        <v>0</v>
      </c>
      <c r="J689" t="n">
        <v>0</v>
      </c>
      <c r="K689" t="n">
        <v>0</v>
      </c>
      <c r="L689" t="n">
        <v>0</v>
      </c>
      <c r="M689" t="n">
        <v>0</v>
      </c>
      <c r="N689" t="n">
        <v>0</v>
      </c>
      <c r="O689" t="n">
        <v>0</v>
      </c>
      <c r="P689" t="n">
        <v>0</v>
      </c>
      <c r="Q689" t="n">
        <v>0</v>
      </c>
      <c r="R689" s="2" t="inlineStr"/>
    </row>
    <row r="690" ht="15" customHeight="1">
      <c r="A690" t="inlineStr">
        <is>
          <t>A 71756-2021</t>
        </is>
      </c>
      <c r="B690" s="1" t="n">
        <v>44543</v>
      </c>
      <c r="C690" s="1" t="n">
        <v>45784</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71989-2021</t>
        </is>
      </c>
      <c r="B691" s="1" t="n">
        <v>44544</v>
      </c>
      <c r="C691" s="1" t="n">
        <v>45784</v>
      </c>
      <c r="D691" t="inlineStr">
        <is>
          <t>JÄMTLANDS LÄN</t>
        </is>
      </c>
      <c r="E691" t="inlineStr">
        <is>
          <t>HÄRJEDALEN</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72374-2021</t>
        </is>
      </c>
      <c r="B692" s="1" t="n">
        <v>44545</v>
      </c>
      <c r="C692" s="1" t="n">
        <v>45784</v>
      </c>
      <c r="D692" t="inlineStr">
        <is>
          <t>JÄMTLANDS LÄN</t>
        </is>
      </c>
      <c r="E692" t="inlineStr">
        <is>
          <t>HÄRJEDALEN</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72790-2021</t>
        </is>
      </c>
      <c r="B693" s="1" t="n">
        <v>44547</v>
      </c>
      <c r="C693" s="1" t="n">
        <v>45784</v>
      </c>
      <c r="D693" t="inlineStr">
        <is>
          <t>JÄMTLANDS LÄN</t>
        </is>
      </c>
      <c r="E693" t="inlineStr">
        <is>
          <t>HÄRJEDALEN</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73051-2021</t>
        </is>
      </c>
      <c r="B694" s="1" t="n">
        <v>44550</v>
      </c>
      <c r="C694" s="1" t="n">
        <v>45784</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73211-2021</t>
        </is>
      </c>
      <c r="B695" s="1" t="n">
        <v>44550</v>
      </c>
      <c r="C695" s="1" t="n">
        <v>45784</v>
      </c>
      <c r="D695" t="inlineStr">
        <is>
          <t>JÄMTLANDS LÄN</t>
        </is>
      </c>
      <c r="E695" t="inlineStr">
        <is>
          <t>HÄRJEDALEN</t>
        </is>
      </c>
      <c r="G695" t="n">
        <v>0.8</v>
      </c>
      <c r="H695" t="n">
        <v>0</v>
      </c>
      <c r="I695" t="n">
        <v>0</v>
      </c>
      <c r="J695" t="n">
        <v>0</v>
      </c>
      <c r="K695" t="n">
        <v>0</v>
      </c>
      <c r="L695" t="n">
        <v>0</v>
      </c>
      <c r="M695" t="n">
        <v>0</v>
      </c>
      <c r="N695" t="n">
        <v>0</v>
      </c>
      <c r="O695" t="n">
        <v>0</v>
      </c>
      <c r="P695" t="n">
        <v>0</v>
      </c>
      <c r="Q695" t="n">
        <v>0</v>
      </c>
      <c r="R695" s="2" t="inlineStr"/>
    </row>
    <row r="696" ht="15" customHeight="1">
      <c r="A696" t="inlineStr">
        <is>
          <t>A 73573-2021</t>
        </is>
      </c>
      <c r="B696" s="1" t="n">
        <v>44552</v>
      </c>
      <c r="C696" s="1" t="n">
        <v>45784</v>
      </c>
      <c r="D696" t="inlineStr">
        <is>
          <t>JÄMTLANDS LÄN</t>
        </is>
      </c>
      <c r="E696" t="inlineStr">
        <is>
          <t>HÄRJEDALEN</t>
        </is>
      </c>
      <c r="F696" t="inlineStr">
        <is>
          <t>Holmen skog AB</t>
        </is>
      </c>
      <c r="G696" t="n">
        <v>10.5</v>
      </c>
      <c r="H696" t="n">
        <v>0</v>
      </c>
      <c r="I696" t="n">
        <v>0</v>
      </c>
      <c r="J696" t="n">
        <v>0</v>
      </c>
      <c r="K696" t="n">
        <v>0</v>
      </c>
      <c r="L696" t="n">
        <v>0</v>
      </c>
      <c r="M696" t="n">
        <v>0</v>
      </c>
      <c r="N696" t="n">
        <v>0</v>
      </c>
      <c r="O696" t="n">
        <v>0</v>
      </c>
      <c r="P696" t="n">
        <v>0</v>
      </c>
      <c r="Q696" t="n">
        <v>0</v>
      </c>
      <c r="R696" s="2" t="inlineStr"/>
    </row>
    <row r="697" ht="15" customHeight="1">
      <c r="A697" t="inlineStr">
        <is>
          <t>A 197-2022</t>
        </is>
      </c>
      <c r="B697" s="1" t="n">
        <v>44564</v>
      </c>
      <c r="C697" s="1" t="n">
        <v>45784</v>
      </c>
      <c r="D697" t="inlineStr">
        <is>
          <t>JÄMTLANDS LÄN</t>
        </is>
      </c>
      <c r="E697" t="inlineStr">
        <is>
          <t>HÄRJEDALEN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241-2022</t>
        </is>
      </c>
      <c r="B698" s="1" t="n">
        <v>44565</v>
      </c>
      <c r="C698" s="1" t="n">
        <v>45784</v>
      </c>
      <c r="D698" t="inlineStr">
        <is>
          <t>JÄMTLANDS LÄN</t>
        </is>
      </c>
      <c r="E698" t="inlineStr">
        <is>
          <t>HÄRJEDALEN</t>
        </is>
      </c>
      <c r="F698" t="inlineStr">
        <is>
          <t>Övriga Aktiebolag</t>
        </is>
      </c>
      <c r="G698" t="n">
        <v>16.5</v>
      </c>
      <c r="H698" t="n">
        <v>0</v>
      </c>
      <c r="I698" t="n">
        <v>0</v>
      </c>
      <c r="J698" t="n">
        <v>0</v>
      </c>
      <c r="K698" t="n">
        <v>0</v>
      </c>
      <c r="L698" t="n">
        <v>0</v>
      </c>
      <c r="M698" t="n">
        <v>0</v>
      </c>
      <c r="N698" t="n">
        <v>0</v>
      </c>
      <c r="O698" t="n">
        <v>0</v>
      </c>
      <c r="P698" t="n">
        <v>0</v>
      </c>
      <c r="Q698" t="n">
        <v>0</v>
      </c>
      <c r="R698" s="2" t="inlineStr"/>
    </row>
    <row r="699" ht="15" customHeight="1">
      <c r="A699" t="inlineStr">
        <is>
          <t>A 239-2022</t>
        </is>
      </c>
      <c r="B699" s="1" t="n">
        <v>44565</v>
      </c>
      <c r="C699" s="1" t="n">
        <v>45784</v>
      </c>
      <c r="D699" t="inlineStr">
        <is>
          <t>JÄMTLANDS LÄN</t>
        </is>
      </c>
      <c r="E699" t="inlineStr">
        <is>
          <t>HÄRJEDALEN</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240-2022</t>
        </is>
      </c>
      <c r="B700" s="1" t="n">
        <v>44565</v>
      </c>
      <c r="C700" s="1" t="n">
        <v>45784</v>
      </c>
      <c r="D700" t="inlineStr">
        <is>
          <t>JÄMTLANDS LÄN</t>
        </is>
      </c>
      <c r="E700" t="inlineStr">
        <is>
          <t>HÄRJEDALEN</t>
        </is>
      </c>
      <c r="F700" t="inlineStr">
        <is>
          <t>Övriga Aktiebolag</t>
        </is>
      </c>
      <c r="G700" t="n">
        <v>53.9</v>
      </c>
      <c r="H700" t="n">
        <v>0</v>
      </c>
      <c r="I700" t="n">
        <v>0</v>
      </c>
      <c r="J700" t="n">
        <v>0</v>
      </c>
      <c r="K700" t="n">
        <v>0</v>
      </c>
      <c r="L700" t="n">
        <v>0</v>
      </c>
      <c r="M700" t="n">
        <v>0</v>
      </c>
      <c r="N700" t="n">
        <v>0</v>
      </c>
      <c r="O700" t="n">
        <v>0</v>
      </c>
      <c r="P700" t="n">
        <v>0</v>
      </c>
      <c r="Q700" t="n">
        <v>0</v>
      </c>
      <c r="R700" s="2" t="inlineStr"/>
    </row>
    <row r="701" ht="15" customHeight="1">
      <c r="A701" t="inlineStr">
        <is>
          <t>A 537-2022</t>
        </is>
      </c>
      <c r="B701" s="1" t="n">
        <v>44566</v>
      </c>
      <c r="C701" s="1" t="n">
        <v>45784</v>
      </c>
      <c r="D701" t="inlineStr">
        <is>
          <t>JÄMTLANDS LÄN</t>
        </is>
      </c>
      <c r="E701" t="inlineStr">
        <is>
          <t>HÄRJEDALEN</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859-2022</t>
        </is>
      </c>
      <c r="B702" s="1" t="n">
        <v>44571</v>
      </c>
      <c r="C702" s="1" t="n">
        <v>45784</v>
      </c>
      <c r="D702" t="inlineStr">
        <is>
          <t>JÄMTLANDS LÄN</t>
        </is>
      </c>
      <c r="E702" t="inlineStr">
        <is>
          <t>HÄRJEDALEN</t>
        </is>
      </c>
      <c r="G702" t="n">
        <v>16.9</v>
      </c>
      <c r="H702" t="n">
        <v>0</v>
      </c>
      <c r="I702" t="n">
        <v>0</v>
      </c>
      <c r="J702" t="n">
        <v>0</v>
      </c>
      <c r="K702" t="n">
        <v>0</v>
      </c>
      <c r="L702" t="n">
        <v>0</v>
      </c>
      <c r="M702" t="n">
        <v>0</v>
      </c>
      <c r="N702" t="n">
        <v>0</v>
      </c>
      <c r="O702" t="n">
        <v>0</v>
      </c>
      <c r="P702" t="n">
        <v>0</v>
      </c>
      <c r="Q702" t="n">
        <v>0</v>
      </c>
      <c r="R702" s="2" t="inlineStr"/>
    </row>
    <row r="703" ht="15" customHeight="1">
      <c r="A703" t="inlineStr">
        <is>
          <t>A 2846-2022</t>
        </is>
      </c>
      <c r="B703" s="1" t="n">
        <v>44581</v>
      </c>
      <c r="C703" s="1" t="n">
        <v>45784</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3163-2022</t>
        </is>
      </c>
      <c r="B704" s="1" t="n">
        <v>44582</v>
      </c>
      <c r="C704" s="1" t="n">
        <v>45784</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3373-2022</t>
        </is>
      </c>
      <c r="B705" s="1" t="n">
        <v>44585</v>
      </c>
      <c r="C705" s="1" t="n">
        <v>45784</v>
      </c>
      <c r="D705" t="inlineStr">
        <is>
          <t>JÄMTLANDS LÄN</t>
        </is>
      </c>
      <c r="E705" t="inlineStr">
        <is>
          <t>HÄRJEDALEN</t>
        </is>
      </c>
      <c r="G705" t="n">
        <v>7.4</v>
      </c>
      <c r="H705" t="n">
        <v>0</v>
      </c>
      <c r="I705" t="n">
        <v>0</v>
      </c>
      <c r="J705" t="n">
        <v>0</v>
      </c>
      <c r="K705" t="n">
        <v>0</v>
      </c>
      <c r="L705" t="n">
        <v>0</v>
      </c>
      <c r="M705" t="n">
        <v>0</v>
      </c>
      <c r="N705" t="n">
        <v>0</v>
      </c>
      <c r="O705" t="n">
        <v>0</v>
      </c>
      <c r="P705" t="n">
        <v>0</v>
      </c>
      <c r="Q705" t="n">
        <v>0</v>
      </c>
      <c r="R705" s="2" t="inlineStr"/>
    </row>
    <row r="706" ht="15" customHeight="1">
      <c r="A706" t="inlineStr">
        <is>
          <t>A 4487-2022</t>
        </is>
      </c>
      <c r="B706" s="1" t="n">
        <v>44589</v>
      </c>
      <c r="C706" s="1" t="n">
        <v>45784</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4914-2022</t>
        </is>
      </c>
      <c r="B707" s="1" t="n">
        <v>44593</v>
      </c>
      <c r="C707" s="1" t="n">
        <v>45784</v>
      </c>
      <c r="D707" t="inlineStr">
        <is>
          <t>JÄMTLANDS LÄN</t>
        </is>
      </c>
      <c r="E707" t="inlineStr">
        <is>
          <t>HÄRJEDALEN</t>
        </is>
      </c>
      <c r="F707" t="inlineStr">
        <is>
          <t>Sveaskog</t>
        </is>
      </c>
      <c r="G707" t="n">
        <v>7.7</v>
      </c>
      <c r="H707" t="n">
        <v>0</v>
      </c>
      <c r="I707" t="n">
        <v>0</v>
      </c>
      <c r="J707" t="n">
        <v>0</v>
      </c>
      <c r="K707" t="n">
        <v>0</v>
      </c>
      <c r="L707" t="n">
        <v>0</v>
      </c>
      <c r="M707" t="n">
        <v>0</v>
      </c>
      <c r="N707" t="n">
        <v>0</v>
      </c>
      <c r="O707" t="n">
        <v>0</v>
      </c>
      <c r="P707" t="n">
        <v>0</v>
      </c>
      <c r="Q707" t="n">
        <v>0</v>
      </c>
      <c r="R707" s="2" t="inlineStr"/>
    </row>
    <row r="708" ht="15" customHeight="1">
      <c r="A708" t="inlineStr">
        <is>
          <t>A 6309-2022</t>
        </is>
      </c>
      <c r="B708" s="1" t="n">
        <v>44600</v>
      </c>
      <c r="C708" s="1" t="n">
        <v>45784</v>
      </c>
      <c r="D708" t="inlineStr">
        <is>
          <t>JÄMTLANDS LÄN</t>
        </is>
      </c>
      <c r="E708" t="inlineStr">
        <is>
          <t>HÄRJEDALEN</t>
        </is>
      </c>
      <c r="G708" t="n">
        <v>38.2</v>
      </c>
      <c r="H708" t="n">
        <v>0</v>
      </c>
      <c r="I708" t="n">
        <v>0</v>
      </c>
      <c r="J708" t="n">
        <v>0</v>
      </c>
      <c r="K708" t="n">
        <v>0</v>
      </c>
      <c r="L708" t="n">
        <v>0</v>
      </c>
      <c r="M708" t="n">
        <v>0</v>
      </c>
      <c r="N708" t="n">
        <v>0</v>
      </c>
      <c r="O708" t="n">
        <v>0</v>
      </c>
      <c r="P708" t="n">
        <v>0</v>
      </c>
      <c r="Q708" t="n">
        <v>0</v>
      </c>
      <c r="R708" s="2" t="inlineStr"/>
    </row>
    <row r="709" ht="15" customHeight="1">
      <c r="A709" t="inlineStr">
        <is>
          <t>A 6208-2022</t>
        </is>
      </c>
      <c r="B709" s="1" t="n">
        <v>44600</v>
      </c>
      <c r="C709" s="1" t="n">
        <v>45784</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6312-2022</t>
        </is>
      </c>
      <c r="B710" s="1" t="n">
        <v>44600</v>
      </c>
      <c r="C710" s="1" t="n">
        <v>45784</v>
      </c>
      <c r="D710" t="inlineStr">
        <is>
          <t>JÄMTLANDS LÄN</t>
        </is>
      </c>
      <c r="E710" t="inlineStr">
        <is>
          <t>HÄRJEDALEN</t>
        </is>
      </c>
      <c r="G710" t="n">
        <v>18.4</v>
      </c>
      <c r="H710" t="n">
        <v>0</v>
      </c>
      <c r="I710" t="n">
        <v>0</v>
      </c>
      <c r="J710" t="n">
        <v>0</v>
      </c>
      <c r="K710" t="n">
        <v>0</v>
      </c>
      <c r="L710" t="n">
        <v>0</v>
      </c>
      <c r="M710" t="n">
        <v>0</v>
      </c>
      <c r="N710" t="n">
        <v>0</v>
      </c>
      <c r="O710" t="n">
        <v>0</v>
      </c>
      <c r="P710" t="n">
        <v>0</v>
      </c>
      <c r="Q710" t="n">
        <v>0</v>
      </c>
      <c r="R710" s="2" t="inlineStr"/>
    </row>
    <row r="711" ht="15" customHeight="1">
      <c r="A711" t="inlineStr">
        <is>
          <t>A 6444-2022</t>
        </is>
      </c>
      <c r="B711" s="1" t="n">
        <v>44601</v>
      </c>
      <c r="C711" s="1" t="n">
        <v>45784</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6933-2022</t>
        </is>
      </c>
      <c r="B712" s="1" t="n">
        <v>44603</v>
      </c>
      <c r="C712" s="1" t="n">
        <v>45784</v>
      </c>
      <c r="D712" t="inlineStr">
        <is>
          <t>JÄMTLANDS LÄN</t>
        </is>
      </c>
      <c r="E712" t="inlineStr">
        <is>
          <t>HÄRJEDALEN</t>
        </is>
      </c>
      <c r="F712" t="inlineStr">
        <is>
          <t>Holmen skog AB</t>
        </is>
      </c>
      <c r="G712" t="n">
        <v>3.9</v>
      </c>
      <c r="H712" t="n">
        <v>0</v>
      </c>
      <c r="I712" t="n">
        <v>0</v>
      </c>
      <c r="J712" t="n">
        <v>0</v>
      </c>
      <c r="K712" t="n">
        <v>0</v>
      </c>
      <c r="L712" t="n">
        <v>0</v>
      </c>
      <c r="M712" t="n">
        <v>0</v>
      </c>
      <c r="N712" t="n">
        <v>0</v>
      </c>
      <c r="O712" t="n">
        <v>0</v>
      </c>
      <c r="P712" t="n">
        <v>0</v>
      </c>
      <c r="Q712" t="n">
        <v>0</v>
      </c>
      <c r="R712" s="2" t="inlineStr"/>
    </row>
    <row r="713" ht="15" customHeight="1">
      <c r="A713" t="inlineStr">
        <is>
          <t>A 6938-2022</t>
        </is>
      </c>
      <c r="B713" s="1" t="n">
        <v>44603</v>
      </c>
      <c r="C713" s="1" t="n">
        <v>45784</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6935-2022</t>
        </is>
      </c>
      <c r="B714" s="1" t="n">
        <v>44603</v>
      </c>
      <c r="C714" s="1" t="n">
        <v>45784</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6941-2022</t>
        </is>
      </c>
      <c r="B715" s="1" t="n">
        <v>44603</v>
      </c>
      <c r="C715" s="1" t="n">
        <v>45784</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8368-2022</t>
        </is>
      </c>
      <c r="B716" s="1" t="n">
        <v>44610</v>
      </c>
      <c r="C716" s="1" t="n">
        <v>45784</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8538-2022</t>
        </is>
      </c>
      <c r="B717" s="1" t="n">
        <v>44613</v>
      </c>
      <c r="C717" s="1" t="n">
        <v>45784</v>
      </c>
      <c r="D717" t="inlineStr">
        <is>
          <t>JÄMTLANDS LÄN</t>
        </is>
      </c>
      <c r="E717" t="inlineStr">
        <is>
          <t>HÄRJEDALEN</t>
        </is>
      </c>
      <c r="F717" t="inlineStr">
        <is>
          <t>Naturvårdsverket</t>
        </is>
      </c>
      <c r="G717" t="n">
        <v>0.4</v>
      </c>
      <c r="H717" t="n">
        <v>0</v>
      </c>
      <c r="I717" t="n">
        <v>0</v>
      </c>
      <c r="J717" t="n">
        <v>0</v>
      </c>
      <c r="K717" t="n">
        <v>0</v>
      </c>
      <c r="L717" t="n">
        <v>0</v>
      </c>
      <c r="M717" t="n">
        <v>0</v>
      </c>
      <c r="N717" t="n">
        <v>0</v>
      </c>
      <c r="O717" t="n">
        <v>0</v>
      </c>
      <c r="P717" t="n">
        <v>0</v>
      </c>
      <c r="Q717" t="n">
        <v>0</v>
      </c>
      <c r="R717" s="2" t="inlineStr"/>
    </row>
    <row r="718" ht="15" customHeight="1">
      <c r="A718" t="inlineStr">
        <is>
          <t>A 8823-2022</t>
        </is>
      </c>
      <c r="B718" s="1" t="n">
        <v>44614</v>
      </c>
      <c r="C718" s="1" t="n">
        <v>45784</v>
      </c>
      <c r="D718" t="inlineStr">
        <is>
          <t>JÄMTLANDS LÄN</t>
        </is>
      </c>
      <c r="E718" t="inlineStr">
        <is>
          <t>HÄRJEDALEN</t>
        </is>
      </c>
      <c r="F718" t="inlineStr">
        <is>
          <t>Naturvårdsverket</t>
        </is>
      </c>
      <c r="G718" t="n">
        <v>23.7</v>
      </c>
      <c r="H718" t="n">
        <v>0</v>
      </c>
      <c r="I718" t="n">
        <v>0</v>
      </c>
      <c r="J718" t="n">
        <v>0</v>
      </c>
      <c r="K718" t="n">
        <v>0</v>
      </c>
      <c r="L718" t="n">
        <v>0</v>
      </c>
      <c r="M718" t="n">
        <v>0</v>
      </c>
      <c r="N718" t="n">
        <v>0</v>
      </c>
      <c r="O718" t="n">
        <v>0</v>
      </c>
      <c r="P718" t="n">
        <v>0</v>
      </c>
      <c r="Q718" t="n">
        <v>0</v>
      </c>
      <c r="R718" s="2" t="inlineStr"/>
    </row>
    <row r="719" ht="15" customHeight="1">
      <c r="A719" t="inlineStr">
        <is>
          <t>A 9095-2022</t>
        </is>
      </c>
      <c r="B719" s="1" t="n">
        <v>44615</v>
      </c>
      <c r="C719" s="1" t="n">
        <v>45784</v>
      </c>
      <c r="D719" t="inlineStr">
        <is>
          <t>JÄMTLANDS LÄN</t>
        </is>
      </c>
      <c r="E719" t="inlineStr">
        <is>
          <t>HÄRJEDALEN</t>
        </is>
      </c>
      <c r="F719" t="inlineStr">
        <is>
          <t>Kyrkan</t>
        </is>
      </c>
      <c r="G719" t="n">
        <v>15.9</v>
      </c>
      <c r="H719" t="n">
        <v>0</v>
      </c>
      <c r="I719" t="n">
        <v>0</v>
      </c>
      <c r="J719" t="n">
        <v>0</v>
      </c>
      <c r="K719" t="n">
        <v>0</v>
      </c>
      <c r="L719" t="n">
        <v>0</v>
      </c>
      <c r="M719" t="n">
        <v>0</v>
      </c>
      <c r="N719" t="n">
        <v>0</v>
      </c>
      <c r="O719" t="n">
        <v>0</v>
      </c>
      <c r="P719" t="n">
        <v>0</v>
      </c>
      <c r="Q719" t="n">
        <v>0</v>
      </c>
      <c r="R719" s="2" t="inlineStr"/>
    </row>
    <row r="720" ht="15" customHeight="1">
      <c r="A720" t="inlineStr">
        <is>
          <t>A 10504-2022</t>
        </is>
      </c>
      <c r="B720" s="1" t="n">
        <v>44623</v>
      </c>
      <c r="C720" s="1" t="n">
        <v>45784</v>
      </c>
      <c r="D720" t="inlineStr">
        <is>
          <t>JÄMTLANDS LÄN</t>
        </is>
      </c>
      <c r="E720" t="inlineStr">
        <is>
          <t>HÄRJEDALEN</t>
        </is>
      </c>
      <c r="F720" t="inlineStr">
        <is>
          <t>Holmen skog AB</t>
        </is>
      </c>
      <c r="G720" t="n">
        <v>11.6</v>
      </c>
      <c r="H720" t="n">
        <v>0</v>
      </c>
      <c r="I720" t="n">
        <v>0</v>
      </c>
      <c r="J720" t="n">
        <v>0</v>
      </c>
      <c r="K720" t="n">
        <v>0</v>
      </c>
      <c r="L720" t="n">
        <v>0</v>
      </c>
      <c r="M720" t="n">
        <v>0</v>
      </c>
      <c r="N720" t="n">
        <v>0</v>
      </c>
      <c r="O720" t="n">
        <v>0</v>
      </c>
      <c r="P720" t="n">
        <v>0</v>
      </c>
      <c r="Q720" t="n">
        <v>0</v>
      </c>
      <c r="R720" s="2" t="inlineStr"/>
    </row>
    <row r="721" ht="15" customHeight="1">
      <c r="A721" t="inlineStr">
        <is>
          <t>A 10727-2022</t>
        </is>
      </c>
      <c r="B721" s="1" t="n">
        <v>44627</v>
      </c>
      <c r="C721" s="1" t="n">
        <v>45784</v>
      </c>
      <c r="D721" t="inlineStr">
        <is>
          <t>JÄMTLANDS LÄN</t>
        </is>
      </c>
      <c r="E721" t="inlineStr">
        <is>
          <t>HÄRJEDALEN</t>
        </is>
      </c>
      <c r="F721" t="inlineStr">
        <is>
          <t>Holmen skog AB</t>
        </is>
      </c>
      <c r="G721" t="n">
        <v>12.6</v>
      </c>
      <c r="H721" t="n">
        <v>0</v>
      </c>
      <c r="I721" t="n">
        <v>0</v>
      </c>
      <c r="J721" t="n">
        <v>0</v>
      </c>
      <c r="K721" t="n">
        <v>0</v>
      </c>
      <c r="L721" t="n">
        <v>0</v>
      </c>
      <c r="M721" t="n">
        <v>0</v>
      </c>
      <c r="N721" t="n">
        <v>0</v>
      </c>
      <c r="O721" t="n">
        <v>0</v>
      </c>
      <c r="P721" t="n">
        <v>0</v>
      </c>
      <c r="Q721" t="n">
        <v>0</v>
      </c>
      <c r="R721" s="2" t="inlineStr"/>
    </row>
    <row r="722" ht="15" customHeight="1">
      <c r="A722" t="inlineStr">
        <is>
          <t>A 10741-2022</t>
        </is>
      </c>
      <c r="B722" s="1" t="n">
        <v>44627</v>
      </c>
      <c r="C722" s="1" t="n">
        <v>45784</v>
      </c>
      <c r="D722" t="inlineStr">
        <is>
          <t>JÄMTLANDS LÄN</t>
        </is>
      </c>
      <c r="E722" t="inlineStr">
        <is>
          <t>HÄRJEDALEN</t>
        </is>
      </c>
      <c r="F722" t="inlineStr">
        <is>
          <t>Holmen skog AB</t>
        </is>
      </c>
      <c r="G722" t="n">
        <v>8</v>
      </c>
      <c r="H722" t="n">
        <v>0</v>
      </c>
      <c r="I722" t="n">
        <v>0</v>
      </c>
      <c r="J722" t="n">
        <v>0</v>
      </c>
      <c r="K722" t="n">
        <v>0</v>
      </c>
      <c r="L722" t="n">
        <v>0</v>
      </c>
      <c r="M722" t="n">
        <v>0</v>
      </c>
      <c r="N722" t="n">
        <v>0</v>
      </c>
      <c r="O722" t="n">
        <v>0</v>
      </c>
      <c r="P722" t="n">
        <v>0</v>
      </c>
      <c r="Q722" t="n">
        <v>0</v>
      </c>
      <c r="R722" s="2" t="inlineStr"/>
    </row>
    <row r="723" ht="15" customHeight="1">
      <c r="A723" t="inlineStr">
        <is>
          <t>A 10956-2022</t>
        </is>
      </c>
      <c r="B723" s="1" t="n">
        <v>44628</v>
      </c>
      <c r="C723" s="1" t="n">
        <v>45784</v>
      </c>
      <c r="D723" t="inlineStr">
        <is>
          <t>JÄMTLANDS LÄN</t>
        </is>
      </c>
      <c r="E723" t="inlineStr">
        <is>
          <t>HÄRJEDALEN</t>
        </is>
      </c>
      <c r="F723" t="inlineStr">
        <is>
          <t>Holmen skog AB</t>
        </is>
      </c>
      <c r="G723" t="n">
        <v>21.8</v>
      </c>
      <c r="H723" t="n">
        <v>0</v>
      </c>
      <c r="I723" t="n">
        <v>0</v>
      </c>
      <c r="J723" t="n">
        <v>0</v>
      </c>
      <c r="K723" t="n">
        <v>0</v>
      </c>
      <c r="L723" t="n">
        <v>0</v>
      </c>
      <c r="M723" t="n">
        <v>0</v>
      </c>
      <c r="N723" t="n">
        <v>0</v>
      </c>
      <c r="O723" t="n">
        <v>0</v>
      </c>
      <c r="P723" t="n">
        <v>0</v>
      </c>
      <c r="Q723" t="n">
        <v>0</v>
      </c>
      <c r="R723" s="2" t="inlineStr"/>
    </row>
    <row r="724" ht="15" customHeight="1">
      <c r="A724" t="inlineStr">
        <is>
          <t>A 10959-2022</t>
        </is>
      </c>
      <c r="B724" s="1" t="n">
        <v>44628</v>
      </c>
      <c r="C724" s="1" t="n">
        <v>45784</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11334-2022</t>
        </is>
      </c>
      <c r="B725" s="1" t="n">
        <v>44630</v>
      </c>
      <c r="C725" s="1" t="n">
        <v>45784</v>
      </c>
      <c r="D725" t="inlineStr">
        <is>
          <t>JÄMTLANDS LÄN</t>
        </is>
      </c>
      <c r="E725" t="inlineStr">
        <is>
          <t>HÄRJEDALEN</t>
        </is>
      </c>
      <c r="F725" t="inlineStr">
        <is>
          <t>Holmen skog AB</t>
        </is>
      </c>
      <c r="G725" t="n">
        <v>5.8</v>
      </c>
      <c r="H725" t="n">
        <v>0</v>
      </c>
      <c r="I725" t="n">
        <v>0</v>
      </c>
      <c r="J725" t="n">
        <v>0</v>
      </c>
      <c r="K725" t="n">
        <v>0</v>
      </c>
      <c r="L725" t="n">
        <v>0</v>
      </c>
      <c r="M725" t="n">
        <v>0</v>
      </c>
      <c r="N725" t="n">
        <v>0</v>
      </c>
      <c r="O725" t="n">
        <v>0</v>
      </c>
      <c r="P725" t="n">
        <v>0</v>
      </c>
      <c r="Q725" t="n">
        <v>0</v>
      </c>
      <c r="R725" s="2" t="inlineStr"/>
    </row>
    <row r="726" ht="15" customHeight="1">
      <c r="A726" t="inlineStr">
        <is>
          <t>A 11512-2022</t>
        </is>
      </c>
      <c r="B726" s="1" t="n">
        <v>44631</v>
      </c>
      <c r="C726" s="1" t="n">
        <v>45784</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11528-2022</t>
        </is>
      </c>
      <c r="B727" s="1" t="n">
        <v>44631</v>
      </c>
      <c r="C727" s="1" t="n">
        <v>45784</v>
      </c>
      <c r="D727" t="inlineStr">
        <is>
          <t>JÄMTLANDS LÄN</t>
        </is>
      </c>
      <c r="E727" t="inlineStr">
        <is>
          <t>HÄRJEDALEN</t>
        </is>
      </c>
      <c r="F727" t="inlineStr">
        <is>
          <t>Holmen skog AB</t>
        </is>
      </c>
      <c r="G727" t="n">
        <v>6.1</v>
      </c>
      <c r="H727" t="n">
        <v>0</v>
      </c>
      <c r="I727" t="n">
        <v>0</v>
      </c>
      <c r="J727" t="n">
        <v>0</v>
      </c>
      <c r="K727" t="n">
        <v>0</v>
      </c>
      <c r="L727" t="n">
        <v>0</v>
      </c>
      <c r="M727" t="n">
        <v>0</v>
      </c>
      <c r="N727" t="n">
        <v>0</v>
      </c>
      <c r="O727" t="n">
        <v>0</v>
      </c>
      <c r="P727" t="n">
        <v>0</v>
      </c>
      <c r="Q727" t="n">
        <v>0</v>
      </c>
      <c r="R727" s="2" t="inlineStr"/>
    </row>
    <row r="728" ht="15" customHeight="1">
      <c r="A728" t="inlineStr">
        <is>
          <t>A 11553-2022</t>
        </is>
      </c>
      <c r="B728" s="1" t="n">
        <v>44631</v>
      </c>
      <c r="C728" s="1" t="n">
        <v>45784</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11525-2022</t>
        </is>
      </c>
      <c r="B729" s="1" t="n">
        <v>44631</v>
      </c>
      <c r="C729" s="1" t="n">
        <v>45784</v>
      </c>
      <c r="D729" t="inlineStr">
        <is>
          <t>JÄMTLANDS LÄN</t>
        </is>
      </c>
      <c r="E729" t="inlineStr">
        <is>
          <t>HÄRJEDALEN</t>
        </is>
      </c>
      <c r="F729" t="inlineStr">
        <is>
          <t>Holmen skog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11545-2022</t>
        </is>
      </c>
      <c r="B730" s="1" t="n">
        <v>44631</v>
      </c>
      <c r="C730" s="1" t="n">
        <v>45784</v>
      </c>
      <c r="D730" t="inlineStr">
        <is>
          <t>JÄMTLANDS LÄN</t>
        </is>
      </c>
      <c r="E730" t="inlineStr">
        <is>
          <t>HÄRJEDALEN</t>
        </is>
      </c>
      <c r="F730" t="inlineStr">
        <is>
          <t>Holmen skog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11522-2022</t>
        </is>
      </c>
      <c r="B731" s="1" t="n">
        <v>44631</v>
      </c>
      <c r="C731" s="1" t="n">
        <v>45784</v>
      </c>
      <c r="D731" t="inlineStr">
        <is>
          <t>JÄMTLANDS LÄN</t>
        </is>
      </c>
      <c r="E731" t="inlineStr">
        <is>
          <t>HÄRJEDALEN</t>
        </is>
      </c>
      <c r="F731" t="inlineStr">
        <is>
          <t>Holmen skog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11527-2022</t>
        </is>
      </c>
      <c r="B732" s="1" t="n">
        <v>44631</v>
      </c>
      <c r="C732" s="1" t="n">
        <v>45784</v>
      </c>
      <c r="D732" t="inlineStr">
        <is>
          <t>JÄMTLANDS LÄN</t>
        </is>
      </c>
      <c r="E732" t="inlineStr">
        <is>
          <t>HÄRJEDALEN</t>
        </is>
      </c>
      <c r="F732" t="inlineStr">
        <is>
          <t>Holmen skog AB</t>
        </is>
      </c>
      <c r="G732" t="n">
        <v>4.6</v>
      </c>
      <c r="H732" t="n">
        <v>0</v>
      </c>
      <c r="I732" t="n">
        <v>0</v>
      </c>
      <c r="J732" t="n">
        <v>0</v>
      </c>
      <c r="K732" t="n">
        <v>0</v>
      </c>
      <c r="L732" t="n">
        <v>0</v>
      </c>
      <c r="M732" t="n">
        <v>0</v>
      </c>
      <c r="N732" t="n">
        <v>0</v>
      </c>
      <c r="O732" t="n">
        <v>0</v>
      </c>
      <c r="P732" t="n">
        <v>0</v>
      </c>
      <c r="Q732" t="n">
        <v>0</v>
      </c>
      <c r="R732" s="2" t="inlineStr"/>
    </row>
    <row r="733" ht="15" customHeight="1">
      <c r="A733" t="inlineStr">
        <is>
          <t>A 11557-2022</t>
        </is>
      </c>
      <c r="B733" s="1" t="n">
        <v>44631</v>
      </c>
      <c r="C733" s="1" t="n">
        <v>45784</v>
      </c>
      <c r="D733" t="inlineStr">
        <is>
          <t>JÄMTLANDS LÄN</t>
        </is>
      </c>
      <c r="E733" t="inlineStr">
        <is>
          <t>HÄRJEDALEN</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11541-2022</t>
        </is>
      </c>
      <c r="B734" s="1" t="n">
        <v>44631</v>
      </c>
      <c r="C734" s="1" t="n">
        <v>45784</v>
      </c>
      <c r="D734" t="inlineStr">
        <is>
          <t>JÄMTLANDS LÄN</t>
        </is>
      </c>
      <c r="E734" t="inlineStr">
        <is>
          <t>HÄRJEDALEN</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11551-2022</t>
        </is>
      </c>
      <c r="B735" s="1" t="n">
        <v>44631</v>
      </c>
      <c r="C735" s="1" t="n">
        <v>45784</v>
      </c>
      <c r="D735" t="inlineStr">
        <is>
          <t>JÄMTLANDS LÄN</t>
        </is>
      </c>
      <c r="E735" t="inlineStr">
        <is>
          <t>HÄRJEDALEN</t>
        </is>
      </c>
      <c r="F735" t="inlineStr">
        <is>
          <t>Holmen skog AB</t>
        </is>
      </c>
      <c r="G735" t="n">
        <v>17.6</v>
      </c>
      <c r="H735" t="n">
        <v>0</v>
      </c>
      <c r="I735" t="n">
        <v>0</v>
      </c>
      <c r="J735" t="n">
        <v>0</v>
      </c>
      <c r="K735" t="n">
        <v>0</v>
      </c>
      <c r="L735" t="n">
        <v>0</v>
      </c>
      <c r="M735" t="n">
        <v>0</v>
      </c>
      <c r="N735" t="n">
        <v>0</v>
      </c>
      <c r="O735" t="n">
        <v>0</v>
      </c>
      <c r="P735" t="n">
        <v>0</v>
      </c>
      <c r="Q735" t="n">
        <v>0</v>
      </c>
      <c r="R735" s="2" t="inlineStr"/>
    </row>
    <row r="736" ht="15" customHeight="1">
      <c r="A736" t="inlineStr">
        <is>
          <t>A 12468-2022</t>
        </is>
      </c>
      <c r="B736" s="1" t="n">
        <v>44638</v>
      </c>
      <c r="C736" s="1" t="n">
        <v>45784</v>
      </c>
      <c r="D736" t="inlineStr">
        <is>
          <t>JÄMTLANDS LÄN</t>
        </is>
      </c>
      <c r="E736" t="inlineStr">
        <is>
          <t>HÄRJEDALEN</t>
        </is>
      </c>
      <c r="G736" t="n">
        <v>2.5</v>
      </c>
      <c r="H736" t="n">
        <v>0</v>
      </c>
      <c r="I736" t="n">
        <v>0</v>
      </c>
      <c r="J736" t="n">
        <v>0</v>
      </c>
      <c r="K736" t="n">
        <v>0</v>
      </c>
      <c r="L736" t="n">
        <v>0</v>
      </c>
      <c r="M736" t="n">
        <v>0</v>
      </c>
      <c r="N736" t="n">
        <v>0</v>
      </c>
      <c r="O736" t="n">
        <v>0</v>
      </c>
      <c r="P736" t="n">
        <v>0</v>
      </c>
      <c r="Q736" t="n">
        <v>0</v>
      </c>
      <c r="R736" s="2" t="inlineStr"/>
    </row>
    <row r="737" ht="15" customHeight="1">
      <c r="A737" t="inlineStr">
        <is>
          <t>A 12810-2022</t>
        </is>
      </c>
      <c r="B737" s="1" t="n">
        <v>44642</v>
      </c>
      <c r="C737" s="1" t="n">
        <v>45784</v>
      </c>
      <c r="D737" t="inlineStr">
        <is>
          <t>JÄMTLANDS LÄN</t>
        </is>
      </c>
      <c r="E737" t="inlineStr">
        <is>
          <t>HÄRJEDALEN</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v>
      </c>
      <c r="C738" s="1" t="n">
        <v>45784</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13991-2022</t>
        </is>
      </c>
      <c r="B739" s="1" t="n">
        <v>44650</v>
      </c>
      <c r="C739" s="1" t="n">
        <v>45784</v>
      </c>
      <c r="D739" t="inlineStr">
        <is>
          <t>JÄMTLANDS LÄN</t>
        </is>
      </c>
      <c r="E739" t="inlineStr">
        <is>
          <t>HÄRJEDALEN</t>
        </is>
      </c>
      <c r="F739" t="inlineStr">
        <is>
          <t>Holmen skog AB</t>
        </is>
      </c>
      <c r="G739" t="n">
        <v>6.2</v>
      </c>
      <c r="H739" t="n">
        <v>0</v>
      </c>
      <c r="I739" t="n">
        <v>0</v>
      </c>
      <c r="J739" t="n">
        <v>0</v>
      </c>
      <c r="K739" t="n">
        <v>0</v>
      </c>
      <c r="L739" t="n">
        <v>0</v>
      </c>
      <c r="M739" t="n">
        <v>0</v>
      </c>
      <c r="N739" t="n">
        <v>0</v>
      </c>
      <c r="O739" t="n">
        <v>0</v>
      </c>
      <c r="P739" t="n">
        <v>0</v>
      </c>
      <c r="Q739" t="n">
        <v>0</v>
      </c>
      <c r="R739" s="2" t="inlineStr"/>
    </row>
    <row r="740" ht="15" customHeight="1">
      <c r="A740" t="inlineStr">
        <is>
          <t>A 15374-2022</t>
        </is>
      </c>
      <c r="B740" s="1" t="n">
        <v>44659</v>
      </c>
      <c r="C740" s="1" t="n">
        <v>45784</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15611-2022</t>
        </is>
      </c>
      <c r="B741" s="1" t="n">
        <v>44662</v>
      </c>
      <c r="C741" s="1" t="n">
        <v>45784</v>
      </c>
      <c r="D741" t="inlineStr">
        <is>
          <t>JÄMTLANDS LÄN</t>
        </is>
      </c>
      <c r="E741" t="inlineStr">
        <is>
          <t>HÄRJEDALEN</t>
        </is>
      </c>
      <c r="F741" t="inlineStr">
        <is>
          <t>Kyrkan</t>
        </is>
      </c>
      <c r="G741" t="n">
        <v>6.9</v>
      </c>
      <c r="H741" t="n">
        <v>0</v>
      </c>
      <c r="I741" t="n">
        <v>0</v>
      </c>
      <c r="J741" t="n">
        <v>0</v>
      </c>
      <c r="K741" t="n">
        <v>0</v>
      </c>
      <c r="L741" t="n">
        <v>0</v>
      </c>
      <c r="M741" t="n">
        <v>0</v>
      </c>
      <c r="N741" t="n">
        <v>0</v>
      </c>
      <c r="O741" t="n">
        <v>0</v>
      </c>
      <c r="P741" t="n">
        <v>0</v>
      </c>
      <c r="Q741" t="n">
        <v>0</v>
      </c>
      <c r="R741" s="2" t="inlineStr"/>
    </row>
    <row r="742" ht="15" customHeight="1">
      <c r="A742" t="inlineStr">
        <is>
          <t>A 15763-2022</t>
        </is>
      </c>
      <c r="B742" s="1" t="n">
        <v>44663</v>
      </c>
      <c r="C742" s="1" t="n">
        <v>45784</v>
      </c>
      <c r="D742" t="inlineStr">
        <is>
          <t>JÄMTLANDS LÄN</t>
        </is>
      </c>
      <c r="E742" t="inlineStr">
        <is>
          <t>HÄRJEDALEN</t>
        </is>
      </c>
      <c r="G742" t="n">
        <v>4.4</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45784</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17805-2022</t>
        </is>
      </c>
      <c r="B744" s="1" t="n">
        <v>44683</v>
      </c>
      <c r="C744" s="1" t="n">
        <v>45784</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17797-2022</t>
        </is>
      </c>
      <c r="B745" s="1" t="n">
        <v>44683</v>
      </c>
      <c r="C745" s="1" t="n">
        <v>45784</v>
      </c>
      <c r="D745" t="inlineStr">
        <is>
          <t>JÄMTLANDS LÄN</t>
        </is>
      </c>
      <c r="E745" t="inlineStr">
        <is>
          <t>HÄRJEDALEN</t>
        </is>
      </c>
      <c r="G745" t="n">
        <v>15.4</v>
      </c>
      <c r="H745" t="n">
        <v>0</v>
      </c>
      <c r="I745" t="n">
        <v>0</v>
      </c>
      <c r="J745" t="n">
        <v>0</v>
      </c>
      <c r="K745" t="n">
        <v>0</v>
      </c>
      <c r="L745" t="n">
        <v>0</v>
      </c>
      <c r="M745" t="n">
        <v>0</v>
      </c>
      <c r="N745" t="n">
        <v>0</v>
      </c>
      <c r="O745" t="n">
        <v>0</v>
      </c>
      <c r="P745" t="n">
        <v>0</v>
      </c>
      <c r="Q745" t="n">
        <v>0</v>
      </c>
      <c r="R745" s="2" t="inlineStr"/>
    </row>
    <row r="746" ht="15" customHeight="1">
      <c r="A746" t="inlineStr">
        <is>
          <t>A 17935-2022</t>
        </is>
      </c>
      <c r="B746" s="1" t="n">
        <v>44683</v>
      </c>
      <c r="C746" s="1" t="n">
        <v>45784</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18169-2022</t>
        </is>
      </c>
      <c r="B747" s="1" t="n">
        <v>44684</v>
      </c>
      <c r="C747" s="1" t="n">
        <v>45784</v>
      </c>
      <c r="D747" t="inlineStr">
        <is>
          <t>JÄMTLANDS LÄN</t>
        </is>
      </c>
      <c r="E747" t="inlineStr">
        <is>
          <t>HÄRJEDALEN</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18778-2022</t>
        </is>
      </c>
      <c r="B748" s="1" t="n">
        <v>44689</v>
      </c>
      <c r="C748" s="1" t="n">
        <v>45784</v>
      </c>
      <c r="D748" t="inlineStr">
        <is>
          <t>JÄMTLANDS LÄN</t>
        </is>
      </c>
      <c r="E748" t="inlineStr">
        <is>
          <t>HÄRJEDALEN</t>
        </is>
      </c>
      <c r="G748" t="n">
        <v>4.1</v>
      </c>
      <c r="H748" t="n">
        <v>0</v>
      </c>
      <c r="I748" t="n">
        <v>0</v>
      </c>
      <c r="J748" t="n">
        <v>0</v>
      </c>
      <c r="K748" t="n">
        <v>0</v>
      </c>
      <c r="L748" t="n">
        <v>0</v>
      </c>
      <c r="M748" t="n">
        <v>0</v>
      </c>
      <c r="N748" t="n">
        <v>0</v>
      </c>
      <c r="O748" t="n">
        <v>0</v>
      </c>
      <c r="P748" t="n">
        <v>0</v>
      </c>
      <c r="Q748" t="n">
        <v>0</v>
      </c>
      <c r="R748" s="2" t="inlineStr"/>
    </row>
    <row r="749" ht="15" customHeight="1">
      <c r="A749" t="inlineStr">
        <is>
          <t>A 18808-2022</t>
        </is>
      </c>
      <c r="B749" s="1" t="n">
        <v>44690</v>
      </c>
      <c r="C749" s="1" t="n">
        <v>45784</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20059-2022</t>
        </is>
      </c>
      <c r="B750" s="1" t="n">
        <v>44698</v>
      </c>
      <c r="C750" s="1" t="n">
        <v>45784</v>
      </c>
      <c r="D750" t="inlineStr">
        <is>
          <t>JÄMTLANDS LÄN</t>
        </is>
      </c>
      <c r="E750" t="inlineStr">
        <is>
          <t>HÄRJEDALEN</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20206-2022</t>
        </is>
      </c>
      <c r="B751" s="1" t="n">
        <v>44698</v>
      </c>
      <c r="C751" s="1" t="n">
        <v>45784</v>
      </c>
      <c r="D751" t="inlineStr">
        <is>
          <t>JÄMTLANDS LÄN</t>
        </is>
      </c>
      <c r="E751" t="inlineStr">
        <is>
          <t>HÄRJEDALEN</t>
        </is>
      </c>
      <c r="F751" t="inlineStr">
        <is>
          <t>Bergvik skog väst AB</t>
        </is>
      </c>
      <c r="G751" t="n">
        <v>5.8</v>
      </c>
      <c r="H751" t="n">
        <v>0</v>
      </c>
      <c r="I751" t="n">
        <v>0</v>
      </c>
      <c r="J751" t="n">
        <v>0</v>
      </c>
      <c r="K751" t="n">
        <v>0</v>
      </c>
      <c r="L751" t="n">
        <v>0</v>
      </c>
      <c r="M751" t="n">
        <v>0</v>
      </c>
      <c r="N751" t="n">
        <v>0</v>
      </c>
      <c r="O751" t="n">
        <v>0</v>
      </c>
      <c r="P751" t="n">
        <v>0</v>
      </c>
      <c r="Q751" t="n">
        <v>0</v>
      </c>
      <c r="R751" s="2" t="inlineStr"/>
    </row>
    <row r="752" ht="15" customHeight="1">
      <c r="A752" t="inlineStr">
        <is>
          <t>A 21610-2022</t>
        </is>
      </c>
      <c r="B752" s="1" t="n">
        <v>44706</v>
      </c>
      <c r="C752" s="1" t="n">
        <v>45784</v>
      </c>
      <c r="D752" t="inlineStr">
        <is>
          <t>JÄMTLANDS LÄN</t>
        </is>
      </c>
      <c r="E752" t="inlineStr">
        <is>
          <t>HÄRJEDALEN</t>
        </is>
      </c>
      <c r="F752" t="inlineStr">
        <is>
          <t>Holmen skog AB</t>
        </is>
      </c>
      <c r="G752" t="n">
        <v>15.3</v>
      </c>
      <c r="H752" t="n">
        <v>0</v>
      </c>
      <c r="I752" t="n">
        <v>0</v>
      </c>
      <c r="J752" t="n">
        <v>0</v>
      </c>
      <c r="K752" t="n">
        <v>0</v>
      </c>
      <c r="L752" t="n">
        <v>0</v>
      </c>
      <c r="M752" t="n">
        <v>0</v>
      </c>
      <c r="N752" t="n">
        <v>0</v>
      </c>
      <c r="O752" t="n">
        <v>0</v>
      </c>
      <c r="P752" t="n">
        <v>0</v>
      </c>
      <c r="Q752" t="n">
        <v>0</v>
      </c>
      <c r="R752" s="2" t="inlineStr"/>
    </row>
    <row r="753" ht="15" customHeight="1">
      <c r="A753" t="inlineStr">
        <is>
          <t>A 21767-2022</t>
        </is>
      </c>
      <c r="B753" s="1" t="n">
        <v>44708</v>
      </c>
      <c r="C753" s="1" t="n">
        <v>45784</v>
      </c>
      <c r="D753" t="inlineStr">
        <is>
          <t>JÄMTLANDS LÄN</t>
        </is>
      </c>
      <c r="E753" t="inlineStr">
        <is>
          <t>HÄRJEDALEN</t>
        </is>
      </c>
      <c r="F753" t="inlineStr">
        <is>
          <t>Holmen skog AB</t>
        </is>
      </c>
      <c r="G753" t="n">
        <v>8.1</v>
      </c>
      <c r="H753" t="n">
        <v>0</v>
      </c>
      <c r="I753" t="n">
        <v>0</v>
      </c>
      <c r="J753" t="n">
        <v>0</v>
      </c>
      <c r="K753" t="n">
        <v>0</v>
      </c>
      <c r="L753" t="n">
        <v>0</v>
      </c>
      <c r="M753" t="n">
        <v>0</v>
      </c>
      <c r="N753" t="n">
        <v>0</v>
      </c>
      <c r="O753" t="n">
        <v>0</v>
      </c>
      <c r="P753" t="n">
        <v>0</v>
      </c>
      <c r="Q753" t="n">
        <v>0</v>
      </c>
      <c r="R753" s="2" t="inlineStr"/>
    </row>
    <row r="754" ht="15" customHeight="1">
      <c r="A754" t="inlineStr">
        <is>
          <t>A 21774-2022</t>
        </is>
      </c>
      <c r="B754" s="1" t="n">
        <v>44708</v>
      </c>
      <c r="C754" s="1" t="n">
        <v>45784</v>
      </c>
      <c r="D754" t="inlineStr">
        <is>
          <t>JÄMTLANDS LÄN</t>
        </is>
      </c>
      <c r="E754" t="inlineStr">
        <is>
          <t>HÄRJEDALEN</t>
        </is>
      </c>
      <c r="F754" t="inlineStr">
        <is>
          <t>Holmen skog AB</t>
        </is>
      </c>
      <c r="G754" t="n">
        <v>17.3</v>
      </c>
      <c r="H754" t="n">
        <v>0</v>
      </c>
      <c r="I754" t="n">
        <v>0</v>
      </c>
      <c r="J754" t="n">
        <v>0</v>
      </c>
      <c r="K754" t="n">
        <v>0</v>
      </c>
      <c r="L754" t="n">
        <v>0</v>
      </c>
      <c r="M754" t="n">
        <v>0</v>
      </c>
      <c r="N754" t="n">
        <v>0</v>
      </c>
      <c r="O754" t="n">
        <v>0</v>
      </c>
      <c r="P754" t="n">
        <v>0</v>
      </c>
      <c r="Q754" t="n">
        <v>0</v>
      </c>
      <c r="R754" s="2" t="inlineStr"/>
    </row>
    <row r="755" ht="15" customHeight="1">
      <c r="A755" t="inlineStr">
        <is>
          <t>A 21778-2022</t>
        </is>
      </c>
      <c r="B755" s="1" t="n">
        <v>44708</v>
      </c>
      <c r="C755" s="1" t="n">
        <v>45784</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21770-2022</t>
        </is>
      </c>
      <c r="B756" s="1" t="n">
        <v>44708</v>
      </c>
      <c r="C756" s="1" t="n">
        <v>45784</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21781-2022</t>
        </is>
      </c>
      <c r="B757" s="1" t="n">
        <v>44708</v>
      </c>
      <c r="C757" s="1" t="n">
        <v>45784</v>
      </c>
      <c r="D757" t="inlineStr">
        <is>
          <t>JÄMTLANDS LÄN</t>
        </is>
      </c>
      <c r="E757" t="inlineStr">
        <is>
          <t>HÄRJEDALEN</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21796-2022</t>
        </is>
      </c>
      <c r="B758" s="1" t="n">
        <v>44708</v>
      </c>
      <c r="C758" s="1" t="n">
        <v>45784</v>
      </c>
      <c r="D758" t="inlineStr">
        <is>
          <t>JÄMTLANDS LÄN</t>
        </is>
      </c>
      <c r="E758" t="inlineStr">
        <is>
          <t>HÄRJEDALEN</t>
        </is>
      </c>
      <c r="F758" t="inlineStr">
        <is>
          <t>Holmen skog AB</t>
        </is>
      </c>
      <c r="G758" t="n">
        <v>22.3</v>
      </c>
      <c r="H758" t="n">
        <v>0</v>
      </c>
      <c r="I758" t="n">
        <v>0</v>
      </c>
      <c r="J758" t="n">
        <v>0</v>
      </c>
      <c r="K758" t="n">
        <v>0</v>
      </c>
      <c r="L758" t="n">
        <v>0</v>
      </c>
      <c r="M758" t="n">
        <v>0</v>
      </c>
      <c r="N758" t="n">
        <v>0</v>
      </c>
      <c r="O758" t="n">
        <v>0</v>
      </c>
      <c r="P758" t="n">
        <v>0</v>
      </c>
      <c r="Q758" t="n">
        <v>0</v>
      </c>
      <c r="R758" s="2" t="inlineStr"/>
    </row>
    <row r="759" ht="15" customHeight="1">
      <c r="A759" t="inlineStr">
        <is>
          <t>A 22166-2022</t>
        </is>
      </c>
      <c r="B759" s="1" t="n">
        <v>44712</v>
      </c>
      <c r="C759" s="1" t="n">
        <v>45784</v>
      </c>
      <c r="D759" t="inlineStr">
        <is>
          <t>JÄMTLANDS LÄN</t>
        </is>
      </c>
      <c r="E759" t="inlineStr">
        <is>
          <t>HÄRJEDALEN</t>
        </is>
      </c>
      <c r="F759" t="inlineStr">
        <is>
          <t>Holmen skog AB</t>
        </is>
      </c>
      <c r="G759" t="n">
        <v>5.6</v>
      </c>
      <c r="H759" t="n">
        <v>0</v>
      </c>
      <c r="I759" t="n">
        <v>0</v>
      </c>
      <c r="J759" t="n">
        <v>0</v>
      </c>
      <c r="K759" t="n">
        <v>0</v>
      </c>
      <c r="L759" t="n">
        <v>0</v>
      </c>
      <c r="M759" t="n">
        <v>0</v>
      </c>
      <c r="N759" t="n">
        <v>0</v>
      </c>
      <c r="O759" t="n">
        <v>0</v>
      </c>
      <c r="P759" t="n">
        <v>0</v>
      </c>
      <c r="Q759" t="n">
        <v>0</v>
      </c>
      <c r="R759" s="2" t="inlineStr"/>
    </row>
    <row r="760" ht="15" customHeight="1">
      <c r="A760" t="inlineStr">
        <is>
          <t>A 23074-2022</t>
        </is>
      </c>
      <c r="B760" s="1" t="n">
        <v>44719</v>
      </c>
      <c r="C760" s="1" t="n">
        <v>45784</v>
      </c>
      <c r="D760" t="inlineStr">
        <is>
          <t>JÄMTLANDS LÄN</t>
        </is>
      </c>
      <c r="E760" t="inlineStr">
        <is>
          <t>HÄRJEDALEN</t>
        </is>
      </c>
      <c r="F760" t="inlineStr">
        <is>
          <t>Bergvik skog väst AB</t>
        </is>
      </c>
      <c r="G760" t="n">
        <v>23.2</v>
      </c>
      <c r="H760" t="n">
        <v>0</v>
      </c>
      <c r="I760" t="n">
        <v>0</v>
      </c>
      <c r="J760" t="n">
        <v>0</v>
      </c>
      <c r="K760" t="n">
        <v>0</v>
      </c>
      <c r="L760" t="n">
        <v>0</v>
      </c>
      <c r="M760" t="n">
        <v>0</v>
      </c>
      <c r="N760" t="n">
        <v>0</v>
      </c>
      <c r="O760" t="n">
        <v>0</v>
      </c>
      <c r="P760" t="n">
        <v>0</v>
      </c>
      <c r="Q760" t="n">
        <v>0</v>
      </c>
      <c r="R760" s="2" t="inlineStr"/>
    </row>
    <row r="761" ht="15" customHeight="1">
      <c r="A761" t="inlineStr">
        <is>
          <t>A 23140-2022</t>
        </is>
      </c>
      <c r="B761" s="1" t="n">
        <v>44719</v>
      </c>
      <c r="C761" s="1" t="n">
        <v>45784</v>
      </c>
      <c r="D761" t="inlineStr">
        <is>
          <t>JÄMTLANDS LÄN</t>
        </is>
      </c>
      <c r="E761" t="inlineStr">
        <is>
          <t>HÄRJEDALEN</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23731-2022</t>
        </is>
      </c>
      <c r="B762" s="1" t="n">
        <v>44722</v>
      </c>
      <c r="C762" s="1" t="n">
        <v>45784</v>
      </c>
      <c r="D762" t="inlineStr">
        <is>
          <t>JÄMTLANDS LÄN</t>
        </is>
      </c>
      <c r="E762" t="inlineStr">
        <is>
          <t>HÄRJEDALEN</t>
        </is>
      </c>
      <c r="G762" t="n">
        <v>15.6</v>
      </c>
      <c r="H762" t="n">
        <v>0</v>
      </c>
      <c r="I762" t="n">
        <v>0</v>
      </c>
      <c r="J762" t="n">
        <v>0</v>
      </c>
      <c r="K762" t="n">
        <v>0</v>
      </c>
      <c r="L762" t="n">
        <v>0</v>
      </c>
      <c r="M762" t="n">
        <v>0</v>
      </c>
      <c r="N762" t="n">
        <v>0</v>
      </c>
      <c r="O762" t="n">
        <v>0</v>
      </c>
      <c r="P762" t="n">
        <v>0</v>
      </c>
      <c r="Q762" t="n">
        <v>0</v>
      </c>
      <c r="R762" s="2" t="inlineStr"/>
    </row>
    <row r="763" ht="15" customHeight="1">
      <c r="A763" t="inlineStr">
        <is>
          <t>A 24214-2022</t>
        </is>
      </c>
      <c r="B763" s="1" t="n">
        <v>44725</v>
      </c>
      <c r="C763" s="1" t="n">
        <v>45784</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24426-2022</t>
        </is>
      </c>
      <c r="B764" s="1" t="n">
        <v>44726</v>
      </c>
      <c r="C764" s="1" t="n">
        <v>45784</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24530-2022</t>
        </is>
      </c>
      <c r="B765" s="1" t="n">
        <v>44726</v>
      </c>
      <c r="C765" s="1" t="n">
        <v>45784</v>
      </c>
      <c r="D765" t="inlineStr">
        <is>
          <t>JÄMTLANDS LÄN</t>
        </is>
      </c>
      <c r="E765" t="inlineStr">
        <is>
          <t>HÄRJEDALEN</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24571-2022</t>
        </is>
      </c>
      <c r="B766" s="1" t="n">
        <v>44727</v>
      </c>
      <c r="C766" s="1" t="n">
        <v>45784</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24690-2022</t>
        </is>
      </c>
      <c r="B767" s="1" t="n">
        <v>44727</v>
      </c>
      <c r="C767" s="1" t="n">
        <v>45784</v>
      </c>
      <c r="D767" t="inlineStr">
        <is>
          <t>JÄMTLANDS LÄN</t>
        </is>
      </c>
      <c r="E767" t="inlineStr">
        <is>
          <t>HÄRJEDALEN</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24693-2022</t>
        </is>
      </c>
      <c r="B768" s="1" t="n">
        <v>44727</v>
      </c>
      <c r="C768" s="1" t="n">
        <v>45784</v>
      </c>
      <c r="D768" t="inlineStr">
        <is>
          <t>JÄMTLANDS LÄN</t>
        </is>
      </c>
      <c r="E768" t="inlineStr">
        <is>
          <t>HÄRJEDALEN</t>
        </is>
      </c>
      <c r="F768" t="inlineStr">
        <is>
          <t>Kyrkan</t>
        </is>
      </c>
      <c r="G768" t="n">
        <v>0.9</v>
      </c>
      <c r="H768" t="n">
        <v>0</v>
      </c>
      <c r="I768" t="n">
        <v>0</v>
      </c>
      <c r="J768" t="n">
        <v>0</v>
      </c>
      <c r="K768" t="n">
        <v>0</v>
      </c>
      <c r="L768" t="n">
        <v>0</v>
      </c>
      <c r="M768" t="n">
        <v>0</v>
      </c>
      <c r="N768" t="n">
        <v>0</v>
      </c>
      <c r="O768" t="n">
        <v>0</v>
      </c>
      <c r="P768" t="n">
        <v>0</v>
      </c>
      <c r="Q768" t="n">
        <v>0</v>
      </c>
      <c r="R768" s="2" t="inlineStr"/>
    </row>
    <row r="769" ht="15" customHeight="1">
      <c r="A769" t="inlineStr">
        <is>
          <t>A 24824-2022</t>
        </is>
      </c>
      <c r="B769" s="1" t="n">
        <v>44728</v>
      </c>
      <c r="C769" s="1" t="n">
        <v>45784</v>
      </c>
      <c r="D769" t="inlineStr">
        <is>
          <t>JÄMTLANDS LÄN</t>
        </is>
      </c>
      <c r="E769" t="inlineStr">
        <is>
          <t>HÄRJEDALEN</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24834-2022</t>
        </is>
      </c>
      <c r="B770" s="1" t="n">
        <v>44728</v>
      </c>
      <c r="C770" s="1" t="n">
        <v>45784</v>
      </c>
      <c r="D770" t="inlineStr">
        <is>
          <t>JÄMTLANDS LÄN</t>
        </is>
      </c>
      <c r="E770" t="inlineStr">
        <is>
          <t>HÄRJEDALEN</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24792-2022</t>
        </is>
      </c>
      <c r="B771" s="1" t="n">
        <v>44728</v>
      </c>
      <c r="C771" s="1" t="n">
        <v>45784</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25500-2022</t>
        </is>
      </c>
      <c r="B772" s="1" t="n">
        <v>44732</v>
      </c>
      <c r="C772" s="1" t="n">
        <v>45784</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25583-2022</t>
        </is>
      </c>
      <c r="B773" s="1" t="n">
        <v>44732</v>
      </c>
      <c r="C773" s="1" t="n">
        <v>45784</v>
      </c>
      <c r="D773" t="inlineStr">
        <is>
          <t>JÄMTLANDS LÄN</t>
        </is>
      </c>
      <c r="E773" t="inlineStr">
        <is>
          <t>HÄRJEDALEN</t>
        </is>
      </c>
      <c r="F773" t="inlineStr">
        <is>
          <t>Bergvik skog väst AB</t>
        </is>
      </c>
      <c r="G773" t="n">
        <v>7.5</v>
      </c>
      <c r="H773" t="n">
        <v>0</v>
      </c>
      <c r="I773" t="n">
        <v>0</v>
      </c>
      <c r="J773" t="n">
        <v>0</v>
      </c>
      <c r="K773" t="n">
        <v>0</v>
      </c>
      <c r="L773" t="n">
        <v>0</v>
      </c>
      <c r="M773" t="n">
        <v>0</v>
      </c>
      <c r="N773" t="n">
        <v>0</v>
      </c>
      <c r="O773" t="n">
        <v>0</v>
      </c>
      <c r="P773" t="n">
        <v>0</v>
      </c>
      <c r="Q773" t="n">
        <v>0</v>
      </c>
      <c r="R773" s="2" t="inlineStr"/>
    </row>
    <row r="774" ht="15" customHeight="1">
      <c r="A774" t="inlineStr">
        <is>
          <t>A 25780-2022</t>
        </is>
      </c>
      <c r="B774" s="1" t="n">
        <v>44733</v>
      </c>
      <c r="C774" s="1" t="n">
        <v>45784</v>
      </c>
      <c r="D774" t="inlineStr">
        <is>
          <t>JÄMTLANDS LÄN</t>
        </is>
      </c>
      <c r="E774" t="inlineStr">
        <is>
          <t>HÄRJEDALEN</t>
        </is>
      </c>
      <c r="F774" t="inlineStr">
        <is>
          <t>Kyrkan</t>
        </is>
      </c>
      <c r="G774" t="n">
        <v>7.7</v>
      </c>
      <c r="H774" t="n">
        <v>0</v>
      </c>
      <c r="I774" t="n">
        <v>0</v>
      </c>
      <c r="J774" t="n">
        <v>0</v>
      </c>
      <c r="K774" t="n">
        <v>0</v>
      </c>
      <c r="L774" t="n">
        <v>0</v>
      </c>
      <c r="M774" t="n">
        <v>0</v>
      </c>
      <c r="N774" t="n">
        <v>0</v>
      </c>
      <c r="O774" t="n">
        <v>0</v>
      </c>
      <c r="P774" t="n">
        <v>0</v>
      </c>
      <c r="Q774" t="n">
        <v>0</v>
      </c>
      <c r="R774" s="2" t="inlineStr"/>
    </row>
    <row r="775" ht="15" customHeight="1">
      <c r="A775" t="inlineStr">
        <is>
          <t>A 25725-2022</t>
        </is>
      </c>
      <c r="B775" s="1" t="n">
        <v>44733</v>
      </c>
      <c r="C775" s="1" t="n">
        <v>45784</v>
      </c>
      <c r="D775" t="inlineStr">
        <is>
          <t>JÄMTLANDS LÄN</t>
        </is>
      </c>
      <c r="E775" t="inlineStr">
        <is>
          <t>HÄRJEDALEN</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25912-2022</t>
        </is>
      </c>
      <c r="B776" s="1" t="n">
        <v>44734</v>
      </c>
      <c r="C776" s="1" t="n">
        <v>45784</v>
      </c>
      <c r="D776" t="inlineStr">
        <is>
          <t>JÄMTLANDS LÄN</t>
        </is>
      </c>
      <c r="E776" t="inlineStr">
        <is>
          <t>HÄRJEDALEN</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26613-2022</t>
        </is>
      </c>
      <c r="B777" s="1" t="n">
        <v>44739</v>
      </c>
      <c r="C777" s="1" t="n">
        <v>45784</v>
      </c>
      <c r="D777" t="inlineStr">
        <is>
          <t>JÄMTLANDS LÄN</t>
        </is>
      </c>
      <c r="E777" t="inlineStr">
        <is>
          <t>HÄRJEDALEN</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26935-2022</t>
        </is>
      </c>
      <c r="B778" s="1" t="n">
        <v>44740</v>
      </c>
      <c r="C778" s="1" t="n">
        <v>45784</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27483-2022</t>
        </is>
      </c>
      <c r="B779" s="1" t="n">
        <v>44742</v>
      </c>
      <c r="C779" s="1" t="n">
        <v>45784</v>
      </c>
      <c r="D779" t="inlineStr">
        <is>
          <t>JÄMTLANDS LÄN</t>
        </is>
      </c>
      <c r="E779" t="inlineStr">
        <is>
          <t>HÄRJEDALEN</t>
        </is>
      </c>
      <c r="F779" t="inlineStr">
        <is>
          <t>Holmen skog AB</t>
        </is>
      </c>
      <c r="G779" t="n">
        <v>0</v>
      </c>
      <c r="H779" t="n">
        <v>0</v>
      </c>
      <c r="I779" t="n">
        <v>0</v>
      </c>
      <c r="J779" t="n">
        <v>0</v>
      </c>
      <c r="K779" t="n">
        <v>0</v>
      </c>
      <c r="L779" t="n">
        <v>0</v>
      </c>
      <c r="M779" t="n">
        <v>0</v>
      </c>
      <c r="N779" t="n">
        <v>0</v>
      </c>
      <c r="O779" t="n">
        <v>0</v>
      </c>
      <c r="P779" t="n">
        <v>0</v>
      </c>
      <c r="Q779" t="n">
        <v>0</v>
      </c>
      <c r="R779" s="2" t="inlineStr"/>
    </row>
    <row r="780" ht="15" customHeight="1">
      <c r="A780" t="inlineStr">
        <is>
          <t>A 29000-2022</t>
        </is>
      </c>
      <c r="B780" s="1" t="n">
        <v>44749</v>
      </c>
      <c r="C780" s="1" t="n">
        <v>45784</v>
      </c>
      <c r="D780" t="inlineStr">
        <is>
          <t>JÄMTLANDS LÄN</t>
        </is>
      </c>
      <c r="E780" t="inlineStr">
        <is>
          <t>HÄRJEDALEN</t>
        </is>
      </c>
      <c r="F780" t="inlineStr">
        <is>
          <t>Kyrkan</t>
        </is>
      </c>
      <c r="G780" t="n">
        <v>16.7</v>
      </c>
      <c r="H780" t="n">
        <v>0</v>
      </c>
      <c r="I780" t="n">
        <v>0</v>
      </c>
      <c r="J780" t="n">
        <v>0</v>
      </c>
      <c r="K780" t="n">
        <v>0</v>
      </c>
      <c r="L780" t="n">
        <v>0</v>
      </c>
      <c r="M780" t="n">
        <v>0</v>
      </c>
      <c r="N780" t="n">
        <v>0</v>
      </c>
      <c r="O780" t="n">
        <v>0</v>
      </c>
      <c r="P780" t="n">
        <v>0</v>
      </c>
      <c r="Q780" t="n">
        <v>0</v>
      </c>
      <c r="R780" s="2" t="inlineStr"/>
    </row>
    <row r="781" ht="15" customHeight="1">
      <c r="A781" t="inlineStr">
        <is>
          <t>A 29455-2022</t>
        </is>
      </c>
      <c r="B781" s="1" t="n">
        <v>44753</v>
      </c>
      <c r="C781" s="1" t="n">
        <v>45784</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30082-2022</t>
        </is>
      </c>
      <c r="B782" s="1" t="n">
        <v>44757</v>
      </c>
      <c r="C782" s="1" t="n">
        <v>45784</v>
      </c>
      <c r="D782" t="inlineStr">
        <is>
          <t>JÄMTLANDS LÄN</t>
        </is>
      </c>
      <c r="E782" t="inlineStr">
        <is>
          <t>HÄRJEDALEN</t>
        </is>
      </c>
      <c r="G782" t="n">
        <v>3</v>
      </c>
      <c r="H782" t="n">
        <v>0</v>
      </c>
      <c r="I782" t="n">
        <v>0</v>
      </c>
      <c r="J782" t="n">
        <v>0</v>
      </c>
      <c r="K782" t="n">
        <v>0</v>
      </c>
      <c r="L782" t="n">
        <v>0</v>
      </c>
      <c r="M782" t="n">
        <v>0</v>
      </c>
      <c r="N782" t="n">
        <v>0</v>
      </c>
      <c r="O782" t="n">
        <v>0</v>
      </c>
      <c r="P782" t="n">
        <v>0</v>
      </c>
      <c r="Q782" t="n">
        <v>0</v>
      </c>
      <c r="R782" s="2" t="inlineStr"/>
    </row>
    <row r="783" ht="15" customHeight="1">
      <c r="A783" t="inlineStr">
        <is>
          <t>A 30537-2022</t>
        </is>
      </c>
      <c r="B783" s="1" t="n">
        <v>44762</v>
      </c>
      <c r="C783" s="1" t="n">
        <v>45784</v>
      </c>
      <c r="D783" t="inlineStr">
        <is>
          <t>JÄMTLANDS LÄN</t>
        </is>
      </c>
      <c r="E783" t="inlineStr">
        <is>
          <t>HÄRJEDALEN</t>
        </is>
      </c>
      <c r="F783" t="inlineStr">
        <is>
          <t>Bergvik skog väst AB</t>
        </is>
      </c>
      <c r="G783" t="n">
        <v>18.5</v>
      </c>
      <c r="H783" t="n">
        <v>0</v>
      </c>
      <c r="I783" t="n">
        <v>0</v>
      </c>
      <c r="J783" t="n">
        <v>0</v>
      </c>
      <c r="K783" t="n">
        <v>0</v>
      </c>
      <c r="L783" t="n">
        <v>0</v>
      </c>
      <c r="M783" t="n">
        <v>0</v>
      </c>
      <c r="N783" t="n">
        <v>0</v>
      </c>
      <c r="O783" t="n">
        <v>0</v>
      </c>
      <c r="P783" t="n">
        <v>0</v>
      </c>
      <c r="Q783" t="n">
        <v>0</v>
      </c>
      <c r="R783" s="2" t="inlineStr"/>
    </row>
    <row r="784" ht="15" customHeight="1">
      <c r="A784" t="inlineStr">
        <is>
          <t>A 30643-2022</t>
        </is>
      </c>
      <c r="B784" s="1" t="n">
        <v>44763</v>
      </c>
      <c r="C784" s="1" t="n">
        <v>45784</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30962-2022</t>
        </is>
      </c>
      <c r="B785" s="1" t="n">
        <v>44768</v>
      </c>
      <c r="C785" s="1" t="n">
        <v>45784</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31167-2022</t>
        </is>
      </c>
      <c r="B786" s="1" t="n">
        <v>44770</v>
      </c>
      <c r="C786" s="1" t="n">
        <v>45784</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32910-2022</t>
        </is>
      </c>
      <c r="B787" s="1" t="n">
        <v>44784</v>
      </c>
      <c r="C787" s="1" t="n">
        <v>45784</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32974-2022</t>
        </is>
      </c>
      <c r="B788" s="1" t="n">
        <v>44784</v>
      </c>
      <c r="C788" s="1" t="n">
        <v>45784</v>
      </c>
      <c r="D788" t="inlineStr">
        <is>
          <t>JÄMTLANDS LÄN</t>
        </is>
      </c>
      <c r="E788" t="inlineStr">
        <is>
          <t>HÄRJEDALEN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33465-2022</t>
        </is>
      </c>
      <c r="B789" s="1" t="n">
        <v>44788</v>
      </c>
      <c r="C789" s="1" t="n">
        <v>45784</v>
      </c>
      <c r="D789" t="inlineStr">
        <is>
          <t>JÄMTLANDS LÄN</t>
        </is>
      </c>
      <c r="E789" t="inlineStr">
        <is>
          <t>HÄRJEDALEN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33900-2022</t>
        </is>
      </c>
      <c r="B790" s="1" t="n">
        <v>44790</v>
      </c>
      <c r="C790" s="1" t="n">
        <v>45784</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33889-2022</t>
        </is>
      </c>
      <c r="B791" s="1" t="n">
        <v>44790</v>
      </c>
      <c r="C791" s="1" t="n">
        <v>45784</v>
      </c>
      <c r="D791" t="inlineStr">
        <is>
          <t>JÄMTLANDS LÄN</t>
        </is>
      </c>
      <c r="E791" t="inlineStr">
        <is>
          <t>HÄRJEDALEN</t>
        </is>
      </c>
      <c r="F791" t="inlineStr">
        <is>
          <t>Bergvik skog väst AB</t>
        </is>
      </c>
      <c r="G791" t="n">
        <v>6.6</v>
      </c>
      <c r="H791" t="n">
        <v>0</v>
      </c>
      <c r="I791" t="n">
        <v>0</v>
      </c>
      <c r="J791" t="n">
        <v>0</v>
      </c>
      <c r="K791" t="n">
        <v>0</v>
      </c>
      <c r="L791" t="n">
        <v>0</v>
      </c>
      <c r="M791" t="n">
        <v>0</v>
      </c>
      <c r="N791" t="n">
        <v>0</v>
      </c>
      <c r="O791" t="n">
        <v>0</v>
      </c>
      <c r="P791" t="n">
        <v>0</v>
      </c>
      <c r="Q791" t="n">
        <v>0</v>
      </c>
      <c r="R791" s="2" t="inlineStr"/>
    </row>
    <row r="792" ht="15" customHeight="1">
      <c r="A792" t="inlineStr">
        <is>
          <t>A 34112-2022</t>
        </is>
      </c>
      <c r="B792" s="1" t="n">
        <v>44791</v>
      </c>
      <c r="C792" s="1" t="n">
        <v>45784</v>
      </c>
      <c r="D792" t="inlineStr">
        <is>
          <t>JÄMTLANDS LÄN</t>
        </is>
      </c>
      <c r="E792" t="inlineStr">
        <is>
          <t>HÄRJEDALEN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34359-2022</t>
        </is>
      </c>
      <c r="B793" s="1" t="n">
        <v>44792</v>
      </c>
      <c r="C793" s="1" t="n">
        <v>45784</v>
      </c>
      <c r="D793" t="inlineStr">
        <is>
          <t>JÄMTLANDS LÄN</t>
        </is>
      </c>
      <c r="E793" t="inlineStr">
        <is>
          <t>HÄRJEDALEN</t>
        </is>
      </c>
      <c r="F793" t="inlineStr">
        <is>
          <t>Bergvik skog väst AB</t>
        </is>
      </c>
      <c r="G793" t="n">
        <v>23.1</v>
      </c>
      <c r="H793" t="n">
        <v>0</v>
      </c>
      <c r="I793" t="n">
        <v>0</v>
      </c>
      <c r="J793" t="n">
        <v>0</v>
      </c>
      <c r="K793" t="n">
        <v>0</v>
      </c>
      <c r="L793" t="n">
        <v>0</v>
      </c>
      <c r="M793" t="n">
        <v>0</v>
      </c>
      <c r="N793" t="n">
        <v>0</v>
      </c>
      <c r="O793" t="n">
        <v>0</v>
      </c>
      <c r="P793" t="n">
        <v>0</v>
      </c>
      <c r="Q793" t="n">
        <v>0</v>
      </c>
      <c r="R793" s="2" t="inlineStr"/>
    </row>
    <row r="794" ht="15" customHeight="1">
      <c r="A794" t="inlineStr">
        <is>
          <t>A 34361-2022</t>
        </is>
      </c>
      <c r="B794" s="1" t="n">
        <v>44792</v>
      </c>
      <c r="C794" s="1" t="n">
        <v>45784</v>
      </c>
      <c r="D794" t="inlineStr">
        <is>
          <t>JÄMTLANDS LÄN</t>
        </is>
      </c>
      <c r="E794" t="inlineStr">
        <is>
          <t>HÄRJEDALEN</t>
        </is>
      </c>
      <c r="F794" t="inlineStr">
        <is>
          <t>Bergvik skog väst AB</t>
        </is>
      </c>
      <c r="G794" t="n">
        <v>2.9</v>
      </c>
      <c r="H794" t="n">
        <v>0</v>
      </c>
      <c r="I794" t="n">
        <v>0</v>
      </c>
      <c r="J794" t="n">
        <v>0</v>
      </c>
      <c r="K794" t="n">
        <v>0</v>
      </c>
      <c r="L794" t="n">
        <v>0</v>
      </c>
      <c r="M794" t="n">
        <v>0</v>
      </c>
      <c r="N794" t="n">
        <v>0</v>
      </c>
      <c r="O794" t="n">
        <v>0</v>
      </c>
      <c r="P794" t="n">
        <v>0</v>
      </c>
      <c r="Q794" t="n">
        <v>0</v>
      </c>
      <c r="R794" s="2" t="inlineStr"/>
    </row>
    <row r="795" ht="15" customHeight="1">
      <c r="A795" t="inlineStr">
        <is>
          <t>A 34392-2022</t>
        </is>
      </c>
      <c r="B795" s="1" t="n">
        <v>44792</v>
      </c>
      <c r="C795" s="1" t="n">
        <v>45784</v>
      </c>
      <c r="D795" t="inlineStr">
        <is>
          <t>JÄMTLANDS LÄN</t>
        </is>
      </c>
      <c r="E795" t="inlineStr">
        <is>
          <t>HÄRJEDALEN</t>
        </is>
      </c>
      <c r="G795" t="n">
        <v>23.5</v>
      </c>
      <c r="H795" t="n">
        <v>0</v>
      </c>
      <c r="I795" t="n">
        <v>0</v>
      </c>
      <c r="J795" t="n">
        <v>0</v>
      </c>
      <c r="K795" t="n">
        <v>0</v>
      </c>
      <c r="L795" t="n">
        <v>0</v>
      </c>
      <c r="M795" t="n">
        <v>0</v>
      </c>
      <c r="N795" t="n">
        <v>0</v>
      </c>
      <c r="O795" t="n">
        <v>0</v>
      </c>
      <c r="P795" t="n">
        <v>0</v>
      </c>
      <c r="Q795" t="n">
        <v>0</v>
      </c>
      <c r="R795" s="2" t="inlineStr"/>
    </row>
    <row r="796" ht="15" customHeight="1">
      <c r="A796" t="inlineStr">
        <is>
          <t>A 34492-2022</t>
        </is>
      </c>
      <c r="B796" s="1" t="n">
        <v>44792</v>
      </c>
      <c r="C796" s="1" t="n">
        <v>45784</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45784</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34621-2022</t>
        </is>
      </c>
      <c r="B798" s="1" t="n">
        <v>44795</v>
      </c>
      <c r="C798" s="1" t="n">
        <v>45784</v>
      </c>
      <c r="D798" t="inlineStr">
        <is>
          <t>JÄMTLANDS LÄN</t>
        </is>
      </c>
      <c r="E798" t="inlineStr">
        <is>
          <t>HÄRJEDALEN</t>
        </is>
      </c>
      <c r="G798" t="n">
        <v>3.8</v>
      </c>
      <c r="H798" t="n">
        <v>0</v>
      </c>
      <c r="I798" t="n">
        <v>0</v>
      </c>
      <c r="J798" t="n">
        <v>0</v>
      </c>
      <c r="K798" t="n">
        <v>0</v>
      </c>
      <c r="L798" t="n">
        <v>0</v>
      </c>
      <c r="M798" t="n">
        <v>0</v>
      </c>
      <c r="N798" t="n">
        <v>0</v>
      </c>
      <c r="O798" t="n">
        <v>0</v>
      </c>
      <c r="P798" t="n">
        <v>0</v>
      </c>
      <c r="Q798" t="n">
        <v>0</v>
      </c>
      <c r="R798" s="2" t="inlineStr"/>
    </row>
    <row r="799" ht="15" customHeight="1">
      <c r="A799" t="inlineStr">
        <is>
          <t>A 35614-2022</t>
        </is>
      </c>
      <c r="B799" s="1" t="n">
        <v>44799</v>
      </c>
      <c r="C799" s="1" t="n">
        <v>45784</v>
      </c>
      <c r="D799" t="inlineStr">
        <is>
          <t>JÄMTLANDS LÄN</t>
        </is>
      </c>
      <c r="E799" t="inlineStr">
        <is>
          <t>HÄRJEDALEN</t>
        </is>
      </c>
      <c r="F799" t="inlineStr">
        <is>
          <t>Bergvik skog väst AB</t>
        </is>
      </c>
      <c r="G799" t="n">
        <v>72.09999999999999</v>
      </c>
      <c r="H799" t="n">
        <v>0</v>
      </c>
      <c r="I799" t="n">
        <v>0</v>
      </c>
      <c r="J799" t="n">
        <v>0</v>
      </c>
      <c r="K799" t="n">
        <v>0</v>
      </c>
      <c r="L799" t="n">
        <v>0</v>
      </c>
      <c r="M799" t="n">
        <v>0</v>
      </c>
      <c r="N799" t="n">
        <v>0</v>
      </c>
      <c r="O799" t="n">
        <v>0</v>
      </c>
      <c r="P799" t="n">
        <v>0</v>
      </c>
      <c r="Q799" t="n">
        <v>0</v>
      </c>
      <c r="R799" s="2" t="inlineStr"/>
    </row>
    <row r="800" ht="15" customHeight="1">
      <c r="A800" t="inlineStr">
        <is>
          <t>A 36249-2022</t>
        </is>
      </c>
      <c r="B800" s="1" t="n">
        <v>44803</v>
      </c>
      <c r="C800" s="1" t="n">
        <v>45784</v>
      </c>
      <c r="D800" t="inlineStr">
        <is>
          <t>JÄMTLANDS LÄN</t>
        </is>
      </c>
      <c r="E800" t="inlineStr">
        <is>
          <t>HÄRJEDALEN</t>
        </is>
      </c>
      <c r="G800" t="n">
        <v>7.2</v>
      </c>
      <c r="H800" t="n">
        <v>0</v>
      </c>
      <c r="I800" t="n">
        <v>0</v>
      </c>
      <c r="J800" t="n">
        <v>0</v>
      </c>
      <c r="K800" t="n">
        <v>0</v>
      </c>
      <c r="L800" t="n">
        <v>0</v>
      </c>
      <c r="M800" t="n">
        <v>0</v>
      </c>
      <c r="N800" t="n">
        <v>0</v>
      </c>
      <c r="O800" t="n">
        <v>0</v>
      </c>
      <c r="P800" t="n">
        <v>0</v>
      </c>
      <c r="Q800" t="n">
        <v>0</v>
      </c>
      <c r="R800" s="2" t="inlineStr"/>
    </row>
    <row r="801" ht="15" customHeight="1">
      <c r="A801" t="inlineStr">
        <is>
          <t>A 36170-2022</t>
        </is>
      </c>
      <c r="B801" s="1" t="n">
        <v>44803</v>
      </c>
      <c r="C801" s="1" t="n">
        <v>45784</v>
      </c>
      <c r="D801" t="inlineStr">
        <is>
          <t>JÄMTLANDS LÄN</t>
        </is>
      </c>
      <c r="E801" t="inlineStr">
        <is>
          <t>HÄRJEDALEN</t>
        </is>
      </c>
      <c r="G801" t="n">
        <v>14.7</v>
      </c>
      <c r="H801" t="n">
        <v>0</v>
      </c>
      <c r="I801" t="n">
        <v>0</v>
      </c>
      <c r="J801" t="n">
        <v>0</v>
      </c>
      <c r="K801" t="n">
        <v>0</v>
      </c>
      <c r="L801" t="n">
        <v>0</v>
      </c>
      <c r="M801" t="n">
        <v>0</v>
      </c>
      <c r="N801" t="n">
        <v>0</v>
      </c>
      <c r="O801" t="n">
        <v>0</v>
      </c>
      <c r="P801" t="n">
        <v>0</v>
      </c>
      <c r="Q801" t="n">
        <v>0</v>
      </c>
      <c r="R801" s="2" t="inlineStr"/>
    </row>
    <row r="802" ht="15" customHeight="1">
      <c r="A802" t="inlineStr">
        <is>
          <t>A 36182-2022</t>
        </is>
      </c>
      <c r="B802" s="1" t="n">
        <v>44803</v>
      </c>
      <c r="C802" s="1" t="n">
        <v>45784</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36187-2022</t>
        </is>
      </c>
      <c r="B803" s="1" t="n">
        <v>44803</v>
      </c>
      <c r="C803" s="1" t="n">
        <v>45784</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36448-2022</t>
        </is>
      </c>
      <c r="B804" s="1" t="n">
        <v>44804</v>
      </c>
      <c r="C804" s="1" t="n">
        <v>45784</v>
      </c>
      <c r="D804" t="inlineStr">
        <is>
          <t>JÄMTLANDS LÄN</t>
        </is>
      </c>
      <c r="E804" t="inlineStr">
        <is>
          <t>HÄRJEDALEN</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37515-2022</t>
        </is>
      </c>
      <c r="B805" s="1" t="n">
        <v>44809</v>
      </c>
      <c r="C805" s="1" t="n">
        <v>45784</v>
      </c>
      <c r="D805" t="inlineStr">
        <is>
          <t>JÄMTLANDS LÄN</t>
        </is>
      </c>
      <c r="E805" t="inlineStr">
        <is>
          <t>HÄRJEDALEN</t>
        </is>
      </c>
      <c r="F805" t="inlineStr">
        <is>
          <t>Bergvik skog väst AB</t>
        </is>
      </c>
      <c r="G805" t="n">
        <v>3.2</v>
      </c>
      <c r="H805" t="n">
        <v>0</v>
      </c>
      <c r="I805" t="n">
        <v>0</v>
      </c>
      <c r="J805" t="n">
        <v>0</v>
      </c>
      <c r="K805" t="n">
        <v>0</v>
      </c>
      <c r="L805" t="n">
        <v>0</v>
      </c>
      <c r="M805" t="n">
        <v>0</v>
      </c>
      <c r="N805" t="n">
        <v>0</v>
      </c>
      <c r="O805" t="n">
        <v>0</v>
      </c>
      <c r="P805" t="n">
        <v>0</v>
      </c>
      <c r="Q805" t="n">
        <v>0</v>
      </c>
      <c r="R805" s="2" t="inlineStr"/>
    </row>
    <row r="806" ht="15" customHeight="1">
      <c r="A806" t="inlineStr">
        <is>
          <t>A 37666-2022</t>
        </is>
      </c>
      <c r="B806" s="1" t="n">
        <v>44810</v>
      </c>
      <c r="C806" s="1" t="n">
        <v>45784</v>
      </c>
      <c r="D806" t="inlineStr">
        <is>
          <t>JÄMTLANDS LÄN</t>
        </is>
      </c>
      <c r="E806" t="inlineStr">
        <is>
          <t>HÄRJEDALEN</t>
        </is>
      </c>
      <c r="F806" t="inlineStr">
        <is>
          <t>Holmen skog AB</t>
        </is>
      </c>
      <c r="G806" t="n">
        <v>7.2</v>
      </c>
      <c r="H806" t="n">
        <v>0</v>
      </c>
      <c r="I806" t="n">
        <v>0</v>
      </c>
      <c r="J806" t="n">
        <v>0</v>
      </c>
      <c r="K806" t="n">
        <v>0</v>
      </c>
      <c r="L806" t="n">
        <v>0</v>
      </c>
      <c r="M806" t="n">
        <v>0</v>
      </c>
      <c r="N806" t="n">
        <v>0</v>
      </c>
      <c r="O806" t="n">
        <v>0</v>
      </c>
      <c r="P806" t="n">
        <v>0</v>
      </c>
      <c r="Q806" t="n">
        <v>0</v>
      </c>
      <c r="R806" s="2" t="inlineStr"/>
    </row>
    <row r="807" ht="15" customHeight="1">
      <c r="A807" t="inlineStr">
        <is>
          <t>A 37690-2022</t>
        </is>
      </c>
      <c r="B807" s="1" t="n">
        <v>44810</v>
      </c>
      <c r="C807" s="1" t="n">
        <v>45784</v>
      </c>
      <c r="D807" t="inlineStr">
        <is>
          <t>JÄMTLANDS LÄN</t>
        </is>
      </c>
      <c r="E807" t="inlineStr">
        <is>
          <t>HÄRJEDALEN</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37678-2022</t>
        </is>
      </c>
      <c r="B808" s="1" t="n">
        <v>44810</v>
      </c>
      <c r="C808" s="1" t="n">
        <v>45784</v>
      </c>
      <c r="D808" t="inlineStr">
        <is>
          <t>JÄMTLANDS LÄN</t>
        </is>
      </c>
      <c r="E808" t="inlineStr">
        <is>
          <t>HÄRJEDALEN</t>
        </is>
      </c>
      <c r="F808" t="inlineStr">
        <is>
          <t>Bergvik skog väst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37873-2022</t>
        </is>
      </c>
      <c r="B809" s="1" t="n">
        <v>44811</v>
      </c>
      <c r="C809" s="1" t="n">
        <v>45784</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37990-2022</t>
        </is>
      </c>
      <c r="B810" s="1" t="n">
        <v>44811</v>
      </c>
      <c r="C810" s="1" t="n">
        <v>45784</v>
      </c>
      <c r="D810" t="inlineStr">
        <is>
          <t>JÄMTLANDS LÄN</t>
        </is>
      </c>
      <c r="E810" t="inlineStr">
        <is>
          <t>HÄRJEDALEN</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37988-2022</t>
        </is>
      </c>
      <c r="B811" s="1" t="n">
        <v>44811</v>
      </c>
      <c r="C811" s="1" t="n">
        <v>45784</v>
      </c>
      <c r="D811" t="inlineStr">
        <is>
          <t>JÄMTLANDS LÄN</t>
        </is>
      </c>
      <c r="E811" t="inlineStr">
        <is>
          <t>HÄRJEDALEN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39396-2022</t>
        </is>
      </c>
      <c r="B812" s="1" t="n">
        <v>44818</v>
      </c>
      <c r="C812" s="1" t="n">
        <v>45784</v>
      </c>
      <c r="D812" t="inlineStr">
        <is>
          <t>JÄMTLANDS LÄN</t>
        </is>
      </c>
      <c r="E812" t="inlineStr">
        <is>
          <t>HÄRJEDALEN</t>
        </is>
      </c>
      <c r="F812" t="inlineStr">
        <is>
          <t>SCA</t>
        </is>
      </c>
      <c r="G812" t="n">
        <v>11.4</v>
      </c>
      <c r="H812" t="n">
        <v>0</v>
      </c>
      <c r="I812" t="n">
        <v>0</v>
      </c>
      <c r="J812" t="n">
        <v>0</v>
      </c>
      <c r="K812" t="n">
        <v>0</v>
      </c>
      <c r="L812" t="n">
        <v>0</v>
      </c>
      <c r="M812" t="n">
        <v>0</v>
      </c>
      <c r="N812" t="n">
        <v>0</v>
      </c>
      <c r="O812" t="n">
        <v>0</v>
      </c>
      <c r="P812" t="n">
        <v>0</v>
      </c>
      <c r="Q812" t="n">
        <v>0</v>
      </c>
      <c r="R812" s="2" t="inlineStr"/>
    </row>
    <row r="813" ht="15" customHeight="1">
      <c r="A813" t="inlineStr">
        <is>
          <t>A 39625-2022</t>
        </is>
      </c>
      <c r="B813" s="1" t="n">
        <v>44818</v>
      </c>
      <c r="C813" s="1" t="n">
        <v>45784</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39618-2022</t>
        </is>
      </c>
      <c r="B814" s="1" t="n">
        <v>44818</v>
      </c>
      <c r="C814" s="1" t="n">
        <v>45784</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39820-2022</t>
        </is>
      </c>
      <c r="B815" s="1" t="n">
        <v>44819</v>
      </c>
      <c r="C815" s="1" t="n">
        <v>45784</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40084-2022</t>
        </is>
      </c>
      <c r="B816" s="1" t="n">
        <v>44820</v>
      </c>
      <c r="C816" s="1" t="n">
        <v>45784</v>
      </c>
      <c r="D816" t="inlineStr">
        <is>
          <t>JÄMTLANDS LÄN</t>
        </is>
      </c>
      <c r="E816" t="inlineStr">
        <is>
          <t>HÄRJEDALEN</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40201-2022</t>
        </is>
      </c>
      <c r="B817" s="1" t="n">
        <v>44820</v>
      </c>
      <c r="C817" s="1" t="n">
        <v>45784</v>
      </c>
      <c r="D817" t="inlineStr">
        <is>
          <t>JÄMTLANDS LÄN</t>
        </is>
      </c>
      <c r="E817" t="inlineStr">
        <is>
          <t>HÄRJEDALEN</t>
        </is>
      </c>
      <c r="F817" t="inlineStr">
        <is>
          <t>Kyrkan</t>
        </is>
      </c>
      <c r="G817" t="n">
        <v>14.6</v>
      </c>
      <c r="H817" t="n">
        <v>0</v>
      </c>
      <c r="I817" t="n">
        <v>0</v>
      </c>
      <c r="J817" t="n">
        <v>0</v>
      </c>
      <c r="K817" t="n">
        <v>0</v>
      </c>
      <c r="L817" t="n">
        <v>0</v>
      </c>
      <c r="M817" t="n">
        <v>0</v>
      </c>
      <c r="N817" t="n">
        <v>0</v>
      </c>
      <c r="O817" t="n">
        <v>0</v>
      </c>
      <c r="P817" t="n">
        <v>0</v>
      </c>
      <c r="Q817" t="n">
        <v>0</v>
      </c>
      <c r="R817" s="2" t="inlineStr"/>
    </row>
    <row r="818" ht="15" customHeight="1">
      <c r="A818" t="inlineStr">
        <is>
          <t>A 40596-2022</t>
        </is>
      </c>
      <c r="B818" s="1" t="n">
        <v>44823</v>
      </c>
      <c r="C818" s="1" t="n">
        <v>45784</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40561-2022</t>
        </is>
      </c>
      <c r="B819" s="1" t="n">
        <v>44823</v>
      </c>
      <c r="C819" s="1" t="n">
        <v>45784</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40578-2022</t>
        </is>
      </c>
      <c r="B820" s="1" t="n">
        <v>44823</v>
      </c>
      <c r="C820" s="1" t="n">
        <v>45784</v>
      </c>
      <c r="D820" t="inlineStr">
        <is>
          <t>JÄMTLANDS LÄN</t>
        </is>
      </c>
      <c r="E820" t="inlineStr">
        <is>
          <t>HÄRJEDALEN</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41080-2022</t>
        </is>
      </c>
      <c r="B821" s="1" t="n">
        <v>44825</v>
      </c>
      <c r="C821" s="1" t="n">
        <v>45784</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41164-2022</t>
        </is>
      </c>
      <c r="B822" s="1" t="n">
        <v>44825</v>
      </c>
      <c r="C822" s="1" t="n">
        <v>45784</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41209-2022</t>
        </is>
      </c>
      <c r="B823" s="1" t="n">
        <v>44825</v>
      </c>
      <c r="C823" s="1" t="n">
        <v>45784</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41293-2022</t>
        </is>
      </c>
      <c r="B824" s="1" t="n">
        <v>44826</v>
      </c>
      <c r="C824" s="1" t="n">
        <v>45784</v>
      </c>
      <c r="D824" t="inlineStr">
        <is>
          <t>JÄMTLANDS LÄN</t>
        </is>
      </c>
      <c r="E824" t="inlineStr">
        <is>
          <t>HÄRJEDALEN</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41759-2022</t>
        </is>
      </c>
      <c r="B825" s="1" t="n">
        <v>44827</v>
      </c>
      <c r="C825" s="1" t="n">
        <v>45784</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41711-2022</t>
        </is>
      </c>
      <c r="B826" s="1" t="n">
        <v>44827</v>
      </c>
      <c r="C826" s="1" t="n">
        <v>45784</v>
      </c>
      <c r="D826" t="inlineStr">
        <is>
          <t>JÄMTLANDS LÄN</t>
        </is>
      </c>
      <c r="E826" t="inlineStr">
        <is>
          <t>HÄRJEDALEN</t>
        </is>
      </c>
      <c r="G826" t="n">
        <v>18.3</v>
      </c>
      <c r="H826" t="n">
        <v>0</v>
      </c>
      <c r="I826" t="n">
        <v>0</v>
      </c>
      <c r="J826" t="n">
        <v>0</v>
      </c>
      <c r="K826" t="n">
        <v>0</v>
      </c>
      <c r="L826" t="n">
        <v>0</v>
      </c>
      <c r="M826" t="n">
        <v>0</v>
      </c>
      <c r="N826" t="n">
        <v>0</v>
      </c>
      <c r="O826" t="n">
        <v>0</v>
      </c>
      <c r="P826" t="n">
        <v>0</v>
      </c>
      <c r="Q826" t="n">
        <v>0</v>
      </c>
      <c r="R826" s="2" t="inlineStr"/>
    </row>
    <row r="827" ht="15" customHeight="1">
      <c r="A827" t="inlineStr">
        <is>
          <t>A 41771-2022</t>
        </is>
      </c>
      <c r="B827" s="1" t="n">
        <v>44827</v>
      </c>
      <c r="C827" s="1" t="n">
        <v>45784</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41766-2022</t>
        </is>
      </c>
      <c r="B828" s="1" t="n">
        <v>44827</v>
      </c>
      <c r="C828" s="1" t="n">
        <v>45784</v>
      </c>
      <c r="D828" t="inlineStr">
        <is>
          <t>JÄMTLANDS LÄN</t>
        </is>
      </c>
      <c r="E828" t="inlineStr">
        <is>
          <t>HÄRJEDALEN</t>
        </is>
      </c>
      <c r="G828" t="n">
        <v>12.5</v>
      </c>
      <c r="H828" t="n">
        <v>0</v>
      </c>
      <c r="I828" t="n">
        <v>0</v>
      </c>
      <c r="J828" t="n">
        <v>0</v>
      </c>
      <c r="K828" t="n">
        <v>0</v>
      </c>
      <c r="L828" t="n">
        <v>0</v>
      </c>
      <c r="M828" t="n">
        <v>0</v>
      </c>
      <c r="N828" t="n">
        <v>0</v>
      </c>
      <c r="O828" t="n">
        <v>0</v>
      </c>
      <c r="P828" t="n">
        <v>0</v>
      </c>
      <c r="Q828" t="n">
        <v>0</v>
      </c>
      <c r="R828" s="2" t="inlineStr"/>
    </row>
    <row r="829" ht="15" customHeight="1">
      <c r="A829" t="inlineStr">
        <is>
          <t>A 42673-2022</t>
        </is>
      </c>
      <c r="B829" s="1" t="n">
        <v>44832</v>
      </c>
      <c r="C829" s="1" t="n">
        <v>45784</v>
      </c>
      <c r="D829" t="inlineStr">
        <is>
          <t>JÄMTLANDS LÄN</t>
        </is>
      </c>
      <c r="E829" t="inlineStr">
        <is>
          <t>HÄRJEDALEN</t>
        </is>
      </c>
      <c r="F829" t="inlineStr">
        <is>
          <t>Bergvik skog väst AB</t>
        </is>
      </c>
      <c r="G829" t="n">
        <v>18.6</v>
      </c>
      <c r="H829" t="n">
        <v>0</v>
      </c>
      <c r="I829" t="n">
        <v>0</v>
      </c>
      <c r="J829" t="n">
        <v>0</v>
      </c>
      <c r="K829" t="n">
        <v>0</v>
      </c>
      <c r="L829" t="n">
        <v>0</v>
      </c>
      <c r="M829" t="n">
        <v>0</v>
      </c>
      <c r="N829" t="n">
        <v>0</v>
      </c>
      <c r="O829" t="n">
        <v>0</v>
      </c>
      <c r="P829" t="n">
        <v>0</v>
      </c>
      <c r="Q829" t="n">
        <v>0</v>
      </c>
      <c r="R829" s="2" t="inlineStr"/>
    </row>
    <row r="830" ht="15" customHeight="1">
      <c r="A830" t="inlineStr">
        <is>
          <t>A 42916-2022</t>
        </is>
      </c>
      <c r="B830" s="1" t="n">
        <v>44833</v>
      </c>
      <c r="C830" s="1" t="n">
        <v>45784</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43293-2022</t>
        </is>
      </c>
      <c r="B831" s="1" t="n">
        <v>44834</v>
      </c>
      <c r="C831" s="1" t="n">
        <v>45784</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43531-2022</t>
        </is>
      </c>
      <c r="B832" s="1" t="n">
        <v>44837</v>
      </c>
      <c r="C832" s="1" t="n">
        <v>45784</v>
      </c>
      <c r="D832" t="inlineStr">
        <is>
          <t>JÄMTLANDS LÄN</t>
        </is>
      </c>
      <c r="E832" t="inlineStr">
        <is>
          <t>HÄRJEDALEN</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43552-2022</t>
        </is>
      </c>
      <c r="B833" s="1" t="n">
        <v>44837</v>
      </c>
      <c r="C833" s="1" t="n">
        <v>45784</v>
      </c>
      <c r="D833" t="inlineStr">
        <is>
          <t>JÄMTLANDS LÄN</t>
        </is>
      </c>
      <c r="E833" t="inlineStr">
        <is>
          <t>HÄRJEDALEN</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43825-2022</t>
        </is>
      </c>
      <c r="B834" s="1" t="n">
        <v>44838</v>
      </c>
      <c r="C834" s="1" t="n">
        <v>45784</v>
      </c>
      <c r="D834" t="inlineStr">
        <is>
          <t>JÄMTLANDS LÄN</t>
        </is>
      </c>
      <c r="E834" t="inlineStr">
        <is>
          <t>HÄRJEDALEN</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45017-2022</t>
        </is>
      </c>
      <c r="B835" s="1" t="n">
        <v>44841</v>
      </c>
      <c r="C835" s="1" t="n">
        <v>45784</v>
      </c>
      <c r="D835" t="inlineStr">
        <is>
          <t>JÄMTLANDS LÄN</t>
        </is>
      </c>
      <c r="E835" t="inlineStr">
        <is>
          <t>HÄRJEDALEN</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47351-2022</t>
        </is>
      </c>
      <c r="B836" s="1" t="n">
        <v>44853</v>
      </c>
      <c r="C836" s="1" t="n">
        <v>45784</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47450-2022</t>
        </is>
      </c>
      <c r="B837" s="1" t="n">
        <v>44853</v>
      </c>
      <c r="C837" s="1" t="n">
        <v>45784</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47635-2022</t>
        </is>
      </c>
      <c r="B838" s="1" t="n">
        <v>44854</v>
      </c>
      <c r="C838" s="1" t="n">
        <v>45784</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45784</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47975-2022</t>
        </is>
      </c>
      <c r="B840" s="1" t="n">
        <v>44855</v>
      </c>
      <c r="C840" s="1" t="n">
        <v>45784</v>
      </c>
      <c r="D840" t="inlineStr">
        <is>
          <t>JÄMTLANDS LÄN</t>
        </is>
      </c>
      <c r="E840" t="inlineStr">
        <is>
          <t>HÄRJEDALEN</t>
        </is>
      </c>
      <c r="G840" t="n">
        <v>3</v>
      </c>
      <c r="H840" t="n">
        <v>0</v>
      </c>
      <c r="I840" t="n">
        <v>0</v>
      </c>
      <c r="J840" t="n">
        <v>0</v>
      </c>
      <c r="K840" t="n">
        <v>0</v>
      </c>
      <c r="L840" t="n">
        <v>0</v>
      </c>
      <c r="M840" t="n">
        <v>0</v>
      </c>
      <c r="N840" t="n">
        <v>0</v>
      </c>
      <c r="O840" t="n">
        <v>0</v>
      </c>
      <c r="P840" t="n">
        <v>0</v>
      </c>
      <c r="Q840" t="n">
        <v>0</v>
      </c>
      <c r="R840" s="2" t="inlineStr"/>
    </row>
    <row r="841" ht="15" customHeight="1">
      <c r="A841" t="inlineStr">
        <is>
          <t>A 48438-2022</t>
        </is>
      </c>
      <c r="B841" s="1" t="n">
        <v>44858</v>
      </c>
      <c r="C841" s="1" t="n">
        <v>45784</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48583-2022</t>
        </is>
      </c>
      <c r="B842" s="1" t="n">
        <v>44859</v>
      </c>
      <c r="C842" s="1" t="n">
        <v>45784</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49237-2022</t>
        </is>
      </c>
      <c r="B843" s="1" t="n">
        <v>44861</v>
      </c>
      <c r="C843" s="1" t="n">
        <v>45784</v>
      </c>
      <c r="D843" t="inlineStr">
        <is>
          <t>JÄMTLANDS LÄN</t>
        </is>
      </c>
      <c r="E843" t="inlineStr">
        <is>
          <t>HÄRJEDALEN</t>
        </is>
      </c>
      <c r="G843" t="n">
        <v>5.8</v>
      </c>
      <c r="H843" t="n">
        <v>0</v>
      </c>
      <c r="I843" t="n">
        <v>0</v>
      </c>
      <c r="J843" t="n">
        <v>0</v>
      </c>
      <c r="K843" t="n">
        <v>0</v>
      </c>
      <c r="L843" t="n">
        <v>0</v>
      </c>
      <c r="M843" t="n">
        <v>0</v>
      </c>
      <c r="N843" t="n">
        <v>0</v>
      </c>
      <c r="O843" t="n">
        <v>0</v>
      </c>
      <c r="P843" t="n">
        <v>0</v>
      </c>
      <c r="Q843" t="n">
        <v>0</v>
      </c>
      <c r="R843" s="2" t="inlineStr"/>
    </row>
    <row r="844" ht="15" customHeight="1">
      <c r="A844" t="inlineStr">
        <is>
          <t>A 49295-2022</t>
        </is>
      </c>
      <c r="B844" s="1" t="n">
        <v>44861</v>
      </c>
      <c r="C844" s="1" t="n">
        <v>45784</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49663-2022</t>
        </is>
      </c>
      <c r="B845" s="1" t="n">
        <v>44862</v>
      </c>
      <c r="C845" s="1" t="n">
        <v>45784</v>
      </c>
      <c r="D845" t="inlineStr">
        <is>
          <t>JÄMTLANDS LÄN</t>
        </is>
      </c>
      <c r="E845" t="inlineStr">
        <is>
          <t>HÄRJEDALEN</t>
        </is>
      </c>
      <c r="F845" t="inlineStr">
        <is>
          <t>Bergvik skog väst AB</t>
        </is>
      </c>
      <c r="G845" t="n">
        <v>17.5</v>
      </c>
      <c r="H845" t="n">
        <v>0</v>
      </c>
      <c r="I845" t="n">
        <v>0</v>
      </c>
      <c r="J845" t="n">
        <v>0</v>
      </c>
      <c r="K845" t="n">
        <v>0</v>
      </c>
      <c r="L845" t="n">
        <v>0</v>
      </c>
      <c r="M845" t="n">
        <v>0</v>
      </c>
      <c r="N845" t="n">
        <v>0</v>
      </c>
      <c r="O845" t="n">
        <v>0</v>
      </c>
      <c r="P845" t="n">
        <v>0</v>
      </c>
      <c r="Q845" t="n">
        <v>0</v>
      </c>
      <c r="R845" s="2" t="inlineStr"/>
    </row>
    <row r="846" ht="15" customHeight="1">
      <c r="A846" t="inlineStr">
        <is>
          <t>A 49689-2022</t>
        </is>
      </c>
      <c r="B846" s="1" t="n">
        <v>44862</v>
      </c>
      <c r="C846" s="1" t="n">
        <v>45784</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49995-2022</t>
        </is>
      </c>
      <c r="B847" s="1" t="n">
        <v>44865</v>
      </c>
      <c r="C847" s="1" t="n">
        <v>45784</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51948-2022</t>
        </is>
      </c>
      <c r="B848" s="1" t="n">
        <v>44872</v>
      </c>
      <c r="C848" s="1" t="n">
        <v>45784</v>
      </c>
      <c r="D848" t="inlineStr">
        <is>
          <t>JÄMTLANDS LÄN</t>
        </is>
      </c>
      <c r="E848" t="inlineStr">
        <is>
          <t>HÄRJEDALEN</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52852-2022</t>
        </is>
      </c>
      <c r="B849" s="1" t="n">
        <v>44872</v>
      </c>
      <c r="C849" s="1" t="n">
        <v>45784</v>
      </c>
      <c r="D849" t="inlineStr">
        <is>
          <t>JÄMTLANDS LÄN</t>
        </is>
      </c>
      <c r="E849" t="inlineStr">
        <is>
          <t>HÄRJEDALEN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52867-2022</t>
        </is>
      </c>
      <c r="B850" s="1" t="n">
        <v>44872</v>
      </c>
      <c r="C850" s="1" t="n">
        <v>45784</v>
      </c>
      <c r="D850" t="inlineStr">
        <is>
          <t>JÄMTLANDS LÄN</t>
        </is>
      </c>
      <c r="E850" t="inlineStr">
        <is>
          <t>HÄRJEDALEN</t>
        </is>
      </c>
      <c r="G850" t="n">
        <v>0.3</v>
      </c>
      <c r="H850" t="n">
        <v>0</v>
      </c>
      <c r="I850" t="n">
        <v>0</v>
      </c>
      <c r="J850" t="n">
        <v>0</v>
      </c>
      <c r="K850" t="n">
        <v>0</v>
      </c>
      <c r="L850" t="n">
        <v>0</v>
      </c>
      <c r="M850" t="n">
        <v>0</v>
      </c>
      <c r="N850" t="n">
        <v>0</v>
      </c>
      <c r="O850" t="n">
        <v>0</v>
      </c>
      <c r="P850" t="n">
        <v>0</v>
      </c>
      <c r="Q850" t="n">
        <v>0</v>
      </c>
      <c r="R850" s="2" t="inlineStr"/>
    </row>
    <row r="851" ht="15" customHeight="1">
      <c r="A851" t="inlineStr">
        <is>
          <t>A 52339-2022</t>
        </is>
      </c>
      <c r="B851" s="1" t="n">
        <v>44873</v>
      </c>
      <c r="C851" s="1" t="n">
        <v>45784</v>
      </c>
      <c r="D851" t="inlineStr">
        <is>
          <t>JÄMTLANDS LÄN</t>
        </is>
      </c>
      <c r="E851" t="inlineStr">
        <is>
          <t>HÄRJEDALEN</t>
        </is>
      </c>
      <c r="G851" t="n">
        <v>28.1</v>
      </c>
      <c r="H851" t="n">
        <v>0</v>
      </c>
      <c r="I851" t="n">
        <v>0</v>
      </c>
      <c r="J851" t="n">
        <v>0</v>
      </c>
      <c r="K851" t="n">
        <v>0</v>
      </c>
      <c r="L851" t="n">
        <v>0</v>
      </c>
      <c r="M851" t="n">
        <v>0</v>
      </c>
      <c r="N851" t="n">
        <v>0</v>
      </c>
      <c r="O851" t="n">
        <v>0</v>
      </c>
      <c r="P851" t="n">
        <v>0</v>
      </c>
      <c r="Q851" t="n">
        <v>0</v>
      </c>
      <c r="R851" s="2" t="inlineStr"/>
    </row>
    <row r="852" ht="15" customHeight="1">
      <c r="A852" t="inlineStr">
        <is>
          <t>A 52586-2022</t>
        </is>
      </c>
      <c r="B852" s="1" t="n">
        <v>44874</v>
      </c>
      <c r="C852" s="1" t="n">
        <v>45784</v>
      </c>
      <c r="D852" t="inlineStr">
        <is>
          <t>JÄMTLANDS LÄN</t>
        </is>
      </c>
      <c r="E852" t="inlineStr">
        <is>
          <t>HÄRJEDALEN</t>
        </is>
      </c>
      <c r="F852" t="inlineStr">
        <is>
          <t>Bergvik skog väst AB</t>
        </is>
      </c>
      <c r="G852" t="n">
        <v>6.1</v>
      </c>
      <c r="H852" t="n">
        <v>0</v>
      </c>
      <c r="I852" t="n">
        <v>0</v>
      </c>
      <c r="J852" t="n">
        <v>0</v>
      </c>
      <c r="K852" t="n">
        <v>0</v>
      </c>
      <c r="L852" t="n">
        <v>0</v>
      </c>
      <c r="M852" t="n">
        <v>0</v>
      </c>
      <c r="N852" t="n">
        <v>0</v>
      </c>
      <c r="O852" t="n">
        <v>0</v>
      </c>
      <c r="P852" t="n">
        <v>0</v>
      </c>
      <c r="Q852" t="n">
        <v>0</v>
      </c>
      <c r="R852" s="2" t="inlineStr"/>
    </row>
    <row r="853" ht="15" customHeight="1">
      <c r="A853" t="inlineStr">
        <is>
          <t>A 53104-2022</t>
        </is>
      </c>
      <c r="B853" s="1" t="n">
        <v>44876</v>
      </c>
      <c r="C853" s="1" t="n">
        <v>45784</v>
      </c>
      <c r="D853" t="inlineStr">
        <is>
          <t>JÄMTLANDS LÄN</t>
        </is>
      </c>
      <c r="E853" t="inlineStr">
        <is>
          <t>HÄRJEDALEN</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53107-2022</t>
        </is>
      </c>
      <c r="B854" s="1" t="n">
        <v>44876</v>
      </c>
      <c r="C854" s="1" t="n">
        <v>45784</v>
      </c>
      <c r="D854" t="inlineStr">
        <is>
          <t>JÄMTLANDS LÄN</t>
        </is>
      </c>
      <c r="E854" t="inlineStr">
        <is>
          <t>HÄRJEDALEN</t>
        </is>
      </c>
      <c r="F854" t="inlineStr">
        <is>
          <t>Bergvik skog väst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53120-2022</t>
        </is>
      </c>
      <c r="B855" s="1" t="n">
        <v>44876</v>
      </c>
      <c r="C855" s="1" t="n">
        <v>45784</v>
      </c>
      <c r="D855" t="inlineStr">
        <is>
          <t>JÄMTLANDS LÄN</t>
        </is>
      </c>
      <c r="E855" t="inlineStr">
        <is>
          <t>HÄRJEDALEN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53563-2022</t>
        </is>
      </c>
      <c r="B856" s="1" t="n">
        <v>44879</v>
      </c>
      <c r="C856" s="1" t="n">
        <v>45784</v>
      </c>
      <c r="D856" t="inlineStr">
        <is>
          <t>JÄMTLANDS LÄN</t>
        </is>
      </c>
      <c r="E856" t="inlineStr">
        <is>
          <t>HÄRJEDALEN</t>
        </is>
      </c>
      <c r="G856" t="n">
        <v>8.6</v>
      </c>
      <c r="H856" t="n">
        <v>0</v>
      </c>
      <c r="I856" t="n">
        <v>0</v>
      </c>
      <c r="J856" t="n">
        <v>0</v>
      </c>
      <c r="K856" t="n">
        <v>0</v>
      </c>
      <c r="L856" t="n">
        <v>0</v>
      </c>
      <c r="M856" t="n">
        <v>0</v>
      </c>
      <c r="N856" t="n">
        <v>0</v>
      </c>
      <c r="O856" t="n">
        <v>0</v>
      </c>
      <c r="P856" t="n">
        <v>0</v>
      </c>
      <c r="Q856" t="n">
        <v>0</v>
      </c>
      <c r="R856" s="2" t="inlineStr"/>
    </row>
    <row r="857" ht="15" customHeight="1">
      <c r="A857" t="inlineStr">
        <is>
          <t>A 54059-2022</t>
        </is>
      </c>
      <c r="B857" s="1" t="n">
        <v>44881</v>
      </c>
      <c r="C857" s="1" t="n">
        <v>45784</v>
      </c>
      <c r="D857" t="inlineStr">
        <is>
          <t>JÄMTLANDS LÄN</t>
        </is>
      </c>
      <c r="E857" t="inlineStr">
        <is>
          <t>HÄRJEDALEN</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54065-2022</t>
        </is>
      </c>
      <c r="B858" s="1" t="n">
        <v>44881</v>
      </c>
      <c r="C858" s="1" t="n">
        <v>45784</v>
      </c>
      <c r="D858" t="inlineStr">
        <is>
          <t>JÄMTLANDS LÄN</t>
        </is>
      </c>
      <c r="E858" t="inlineStr">
        <is>
          <t>HÄRJEDALEN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54305-2022</t>
        </is>
      </c>
      <c r="B859" s="1" t="n">
        <v>44882</v>
      </c>
      <c r="C859" s="1" t="n">
        <v>45784</v>
      </c>
      <c r="D859" t="inlineStr">
        <is>
          <t>JÄMTLANDS LÄN</t>
        </is>
      </c>
      <c r="E859" t="inlineStr">
        <is>
          <t>HÄRJEDALEN</t>
        </is>
      </c>
      <c r="G859" t="n">
        <v>2.3</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45784</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54762-2022</t>
        </is>
      </c>
      <c r="B861" s="1" t="n">
        <v>44883</v>
      </c>
      <c r="C861" s="1" t="n">
        <v>45784</v>
      </c>
      <c r="D861" t="inlineStr">
        <is>
          <t>JÄMTLANDS LÄN</t>
        </is>
      </c>
      <c r="E861" t="inlineStr">
        <is>
          <t>HÄRJEDALEN</t>
        </is>
      </c>
      <c r="G861" t="n">
        <v>1.8</v>
      </c>
      <c r="H861" t="n">
        <v>0</v>
      </c>
      <c r="I861" t="n">
        <v>0</v>
      </c>
      <c r="J861" t="n">
        <v>0</v>
      </c>
      <c r="K861" t="n">
        <v>0</v>
      </c>
      <c r="L861" t="n">
        <v>0</v>
      </c>
      <c r="M861" t="n">
        <v>0</v>
      </c>
      <c r="N861" t="n">
        <v>0</v>
      </c>
      <c r="O861" t="n">
        <v>0</v>
      </c>
      <c r="P861" t="n">
        <v>0</v>
      </c>
      <c r="Q861" t="n">
        <v>0</v>
      </c>
      <c r="R861" s="2" t="inlineStr"/>
    </row>
    <row r="862" ht="15" customHeight="1">
      <c r="A862" t="inlineStr">
        <is>
          <t>A 55100-2022</t>
        </is>
      </c>
      <c r="B862" s="1" t="n">
        <v>44886</v>
      </c>
      <c r="C862" s="1" t="n">
        <v>45784</v>
      </c>
      <c r="D862" t="inlineStr">
        <is>
          <t>JÄMTLANDS LÄN</t>
        </is>
      </c>
      <c r="E862" t="inlineStr">
        <is>
          <t>HÄRJEDALEN</t>
        </is>
      </c>
      <c r="G862" t="n">
        <v>4.4</v>
      </c>
      <c r="H862" t="n">
        <v>0</v>
      </c>
      <c r="I862" t="n">
        <v>0</v>
      </c>
      <c r="J862" t="n">
        <v>0</v>
      </c>
      <c r="K862" t="n">
        <v>0</v>
      </c>
      <c r="L862" t="n">
        <v>0</v>
      </c>
      <c r="M862" t="n">
        <v>0</v>
      </c>
      <c r="N862" t="n">
        <v>0</v>
      </c>
      <c r="O862" t="n">
        <v>0</v>
      </c>
      <c r="P862" t="n">
        <v>0</v>
      </c>
      <c r="Q862" t="n">
        <v>0</v>
      </c>
      <c r="R862" s="2" t="inlineStr"/>
    </row>
    <row r="863" ht="15" customHeight="1">
      <c r="A863" t="inlineStr">
        <is>
          <t>A 55103-2022</t>
        </is>
      </c>
      <c r="B863" s="1" t="n">
        <v>44886</v>
      </c>
      <c r="C863" s="1" t="n">
        <v>45784</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55931-2022</t>
        </is>
      </c>
      <c r="B864" s="1" t="n">
        <v>44886</v>
      </c>
      <c r="C864" s="1" t="n">
        <v>45784</v>
      </c>
      <c r="D864" t="inlineStr">
        <is>
          <t>JÄMTLANDS LÄN</t>
        </is>
      </c>
      <c r="E864" t="inlineStr">
        <is>
          <t>HÄRJEDALEN</t>
        </is>
      </c>
      <c r="F864" t="inlineStr">
        <is>
          <t>Övriga statliga verk och myndigheter</t>
        </is>
      </c>
      <c r="G864" t="n">
        <v>2.9</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45784</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56043-2022</t>
        </is>
      </c>
      <c r="B866" s="1" t="n">
        <v>44889</v>
      </c>
      <c r="C866" s="1" t="n">
        <v>45784</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57223-2022</t>
        </is>
      </c>
      <c r="B867" s="1" t="n">
        <v>44889</v>
      </c>
      <c r="C867" s="1" t="n">
        <v>45784</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56533-2022</t>
        </is>
      </c>
      <c r="B868" s="1" t="n">
        <v>44893</v>
      </c>
      <c r="C868" s="1" t="n">
        <v>45784</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56992-2022</t>
        </is>
      </c>
      <c r="B869" s="1" t="n">
        <v>44894</v>
      </c>
      <c r="C869" s="1" t="n">
        <v>45784</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58425-2022</t>
        </is>
      </c>
      <c r="B870" s="1" t="n">
        <v>44901</v>
      </c>
      <c r="C870" s="1" t="n">
        <v>45784</v>
      </c>
      <c r="D870" t="inlineStr">
        <is>
          <t>JÄMTLANDS LÄN</t>
        </is>
      </c>
      <c r="E870" t="inlineStr">
        <is>
          <t>HÄRJEDALEN</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59094-2022</t>
        </is>
      </c>
      <c r="B871" s="1" t="n">
        <v>44904</v>
      </c>
      <c r="C871" s="1" t="n">
        <v>45784</v>
      </c>
      <c r="D871" t="inlineStr">
        <is>
          <t>JÄMTLANDS LÄN</t>
        </is>
      </c>
      <c r="E871" t="inlineStr">
        <is>
          <t>HÄRJEDALEN</t>
        </is>
      </c>
      <c r="F871" t="inlineStr">
        <is>
          <t>Bergvik skog väst AB</t>
        </is>
      </c>
      <c r="G871" t="n">
        <v>49.8</v>
      </c>
      <c r="H871" t="n">
        <v>0</v>
      </c>
      <c r="I871" t="n">
        <v>0</v>
      </c>
      <c r="J871" t="n">
        <v>0</v>
      </c>
      <c r="K871" t="n">
        <v>0</v>
      </c>
      <c r="L871" t="n">
        <v>0</v>
      </c>
      <c r="M871" t="n">
        <v>0</v>
      </c>
      <c r="N871" t="n">
        <v>0</v>
      </c>
      <c r="O871" t="n">
        <v>0</v>
      </c>
      <c r="P871" t="n">
        <v>0</v>
      </c>
      <c r="Q871" t="n">
        <v>0</v>
      </c>
      <c r="R871" s="2" t="inlineStr"/>
    </row>
    <row r="872" ht="15" customHeight="1">
      <c r="A872" t="inlineStr">
        <is>
          <t>A 59112-2022</t>
        </is>
      </c>
      <c r="B872" s="1" t="n">
        <v>44904</v>
      </c>
      <c r="C872" s="1" t="n">
        <v>45784</v>
      </c>
      <c r="D872" t="inlineStr">
        <is>
          <t>JÄMTLANDS LÄN</t>
        </is>
      </c>
      <c r="E872" t="inlineStr">
        <is>
          <t>HÄRJEDALEN</t>
        </is>
      </c>
      <c r="F872" t="inlineStr">
        <is>
          <t>Bergvik skog väst AB</t>
        </is>
      </c>
      <c r="G872" t="n">
        <v>5.7</v>
      </c>
      <c r="H872" t="n">
        <v>0</v>
      </c>
      <c r="I872" t="n">
        <v>0</v>
      </c>
      <c r="J872" t="n">
        <v>0</v>
      </c>
      <c r="K872" t="n">
        <v>0</v>
      </c>
      <c r="L872" t="n">
        <v>0</v>
      </c>
      <c r="M872" t="n">
        <v>0</v>
      </c>
      <c r="N872" t="n">
        <v>0</v>
      </c>
      <c r="O872" t="n">
        <v>0</v>
      </c>
      <c r="P872" t="n">
        <v>0</v>
      </c>
      <c r="Q872" t="n">
        <v>0</v>
      </c>
      <c r="R872" s="2" t="inlineStr"/>
    </row>
    <row r="873" ht="15" customHeight="1">
      <c r="A873" t="inlineStr">
        <is>
          <t>A 59824-2022</t>
        </is>
      </c>
      <c r="B873" s="1" t="n">
        <v>44908</v>
      </c>
      <c r="C873" s="1" t="n">
        <v>45784</v>
      </c>
      <c r="D873" t="inlineStr">
        <is>
          <t>JÄMTLANDS LÄN</t>
        </is>
      </c>
      <c r="E873" t="inlineStr">
        <is>
          <t>HÄRJEDALEN</t>
        </is>
      </c>
      <c r="G873" t="n">
        <v>4.9</v>
      </c>
      <c r="H873" t="n">
        <v>0</v>
      </c>
      <c r="I873" t="n">
        <v>0</v>
      </c>
      <c r="J873" t="n">
        <v>0</v>
      </c>
      <c r="K873" t="n">
        <v>0</v>
      </c>
      <c r="L873" t="n">
        <v>0</v>
      </c>
      <c r="M873" t="n">
        <v>0</v>
      </c>
      <c r="N873" t="n">
        <v>0</v>
      </c>
      <c r="O873" t="n">
        <v>0</v>
      </c>
      <c r="P873" t="n">
        <v>0</v>
      </c>
      <c r="Q873" t="n">
        <v>0</v>
      </c>
      <c r="R873" s="2" t="inlineStr"/>
    </row>
    <row r="874" ht="15" customHeight="1">
      <c r="A874" t="inlineStr">
        <is>
          <t>A 59851-2022</t>
        </is>
      </c>
      <c r="B874" s="1" t="n">
        <v>44908</v>
      </c>
      <c r="C874" s="1" t="n">
        <v>45784</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59828-2022</t>
        </is>
      </c>
      <c r="B875" s="1" t="n">
        <v>44908</v>
      </c>
      <c r="C875" s="1" t="n">
        <v>45784</v>
      </c>
      <c r="D875" t="inlineStr">
        <is>
          <t>JÄMTLANDS LÄN</t>
        </is>
      </c>
      <c r="E875" t="inlineStr">
        <is>
          <t>HÄRJEDALEN</t>
        </is>
      </c>
      <c r="G875" t="n">
        <v>7.4</v>
      </c>
      <c r="H875" t="n">
        <v>0</v>
      </c>
      <c r="I875" t="n">
        <v>0</v>
      </c>
      <c r="J875" t="n">
        <v>0</v>
      </c>
      <c r="K875" t="n">
        <v>0</v>
      </c>
      <c r="L875" t="n">
        <v>0</v>
      </c>
      <c r="M875" t="n">
        <v>0</v>
      </c>
      <c r="N875" t="n">
        <v>0</v>
      </c>
      <c r="O875" t="n">
        <v>0</v>
      </c>
      <c r="P875" t="n">
        <v>0</v>
      </c>
      <c r="Q875" t="n">
        <v>0</v>
      </c>
      <c r="R875" s="2" t="inlineStr"/>
    </row>
    <row r="876" ht="15" customHeight="1">
      <c r="A876" t="inlineStr">
        <is>
          <t>A 59818-2022</t>
        </is>
      </c>
      <c r="B876" s="1" t="n">
        <v>44908</v>
      </c>
      <c r="C876" s="1" t="n">
        <v>45784</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61300-2022</t>
        </is>
      </c>
      <c r="B877" s="1" t="n">
        <v>44909</v>
      </c>
      <c r="C877" s="1" t="n">
        <v>45784</v>
      </c>
      <c r="D877" t="inlineStr">
        <is>
          <t>JÄMTLANDS LÄN</t>
        </is>
      </c>
      <c r="E877" t="inlineStr">
        <is>
          <t>HÄRJEDALEN</t>
        </is>
      </c>
      <c r="F877" t="inlineStr">
        <is>
          <t>Bergvik skog väst AB</t>
        </is>
      </c>
      <c r="G877" t="n">
        <v>14.1</v>
      </c>
      <c r="H877" t="n">
        <v>0</v>
      </c>
      <c r="I877" t="n">
        <v>0</v>
      </c>
      <c r="J877" t="n">
        <v>0</v>
      </c>
      <c r="K877" t="n">
        <v>0</v>
      </c>
      <c r="L877" t="n">
        <v>0</v>
      </c>
      <c r="M877" t="n">
        <v>0</v>
      </c>
      <c r="N877" t="n">
        <v>0</v>
      </c>
      <c r="O877" t="n">
        <v>0</v>
      </c>
      <c r="P877" t="n">
        <v>0</v>
      </c>
      <c r="Q877" t="n">
        <v>0</v>
      </c>
      <c r="R877" s="2" t="inlineStr"/>
    </row>
    <row r="878" ht="15" customHeight="1">
      <c r="A878" t="inlineStr">
        <is>
          <t>A 60236-2022</t>
        </is>
      </c>
      <c r="B878" s="1" t="n">
        <v>44910</v>
      </c>
      <c r="C878" s="1" t="n">
        <v>45784</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60542-2022</t>
        </is>
      </c>
      <c r="B879" s="1" t="n">
        <v>44911</v>
      </c>
      <c r="C879" s="1" t="n">
        <v>45784</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60887-2022</t>
        </is>
      </c>
      <c r="B880" s="1" t="n">
        <v>44914</v>
      </c>
      <c r="C880" s="1" t="n">
        <v>45784</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60983-2022</t>
        </is>
      </c>
      <c r="B881" s="1" t="n">
        <v>44914</v>
      </c>
      <c r="C881" s="1" t="n">
        <v>45784</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60897-2022</t>
        </is>
      </c>
      <c r="B882" s="1" t="n">
        <v>44914</v>
      </c>
      <c r="C882" s="1" t="n">
        <v>45784</v>
      </c>
      <c r="D882" t="inlineStr">
        <is>
          <t>JÄMTLANDS LÄN</t>
        </is>
      </c>
      <c r="E882" t="inlineStr">
        <is>
          <t>HÄRJEDALEN</t>
        </is>
      </c>
      <c r="F882" t="inlineStr">
        <is>
          <t>Holmen skog AB</t>
        </is>
      </c>
      <c r="G882" t="n">
        <v>0.3</v>
      </c>
      <c r="H882" t="n">
        <v>0</v>
      </c>
      <c r="I882" t="n">
        <v>0</v>
      </c>
      <c r="J882" t="n">
        <v>0</v>
      </c>
      <c r="K882" t="n">
        <v>0</v>
      </c>
      <c r="L882" t="n">
        <v>0</v>
      </c>
      <c r="M882" t="n">
        <v>0</v>
      </c>
      <c r="N882" t="n">
        <v>0</v>
      </c>
      <c r="O882" t="n">
        <v>0</v>
      </c>
      <c r="P882" t="n">
        <v>0</v>
      </c>
      <c r="Q882" t="n">
        <v>0</v>
      </c>
      <c r="R882" s="2" t="inlineStr"/>
      <c r="U882">
        <f>HYPERLINK("https://klasma.github.io/Logging_2361/knärot/A 60897-2022 karta knärot.png", "A 60897-2022")</f>
        <v/>
      </c>
      <c r="V882">
        <f>HYPERLINK("https://klasma.github.io/Logging_2361/klagomål/A 60897-2022 FSC-klagomål.docx", "A 60897-2022")</f>
        <v/>
      </c>
      <c r="W882">
        <f>HYPERLINK("https://klasma.github.io/Logging_2361/klagomålsmail/A 60897-2022 FSC-klagomål mail.docx", "A 60897-2022")</f>
        <v/>
      </c>
      <c r="X882">
        <f>HYPERLINK("https://klasma.github.io/Logging_2361/tillsyn/A 60897-2022 tillsynsbegäran.docx", "A 60897-2022")</f>
        <v/>
      </c>
      <c r="Y882">
        <f>HYPERLINK("https://klasma.github.io/Logging_2361/tillsynsmail/A 60897-2022 tillsynsbegäran mail.docx", "A 60897-2022")</f>
        <v/>
      </c>
    </row>
    <row r="883" ht="15" customHeight="1">
      <c r="A883" t="inlineStr">
        <is>
          <t>A 60933-2022</t>
        </is>
      </c>
      <c r="B883" s="1" t="n">
        <v>44914</v>
      </c>
      <c r="C883" s="1" t="n">
        <v>45784</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61571-2022</t>
        </is>
      </c>
      <c r="B884" s="1" t="n">
        <v>44916</v>
      </c>
      <c r="C884" s="1" t="n">
        <v>45784</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62500-2022</t>
        </is>
      </c>
      <c r="B885" s="1" t="n">
        <v>44924</v>
      </c>
      <c r="C885" s="1" t="n">
        <v>45784</v>
      </c>
      <c r="D885" t="inlineStr">
        <is>
          <t>JÄMTLANDS LÄN</t>
        </is>
      </c>
      <c r="E885" t="inlineStr">
        <is>
          <t>HÄRJEDALEN</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62513-2022</t>
        </is>
      </c>
      <c r="B886" s="1" t="n">
        <v>44924</v>
      </c>
      <c r="C886" s="1" t="n">
        <v>45784</v>
      </c>
      <c r="D886" t="inlineStr">
        <is>
          <t>JÄMTLANDS LÄN</t>
        </is>
      </c>
      <c r="E886" t="inlineStr">
        <is>
          <t>HÄRJEDALEN</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62535-2022</t>
        </is>
      </c>
      <c r="B887" s="1" t="n">
        <v>44924</v>
      </c>
      <c r="C887" s="1" t="n">
        <v>45784</v>
      </c>
      <c r="D887" t="inlineStr">
        <is>
          <t>JÄMTLANDS LÄN</t>
        </is>
      </c>
      <c r="E887" t="inlineStr">
        <is>
          <t>HÄRJEDALEN</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62505-2022</t>
        </is>
      </c>
      <c r="B888" s="1" t="n">
        <v>44924</v>
      </c>
      <c r="C888" s="1" t="n">
        <v>45784</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62533-2022</t>
        </is>
      </c>
      <c r="B889" s="1" t="n">
        <v>44924</v>
      </c>
      <c r="C889" s="1" t="n">
        <v>45784</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62639-2022</t>
        </is>
      </c>
      <c r="B890" s="1" t="n">
        <v>44925</v>
      </c>
      <c r="C890" s="1" t="n">
        <v>45784</v>
      </c>
      <c r="D890" t="inlineStr">
        <is>
          <t>JÄMTLANDS LÄN</t>
        </is>
      </c>
      <c r="E890" t="inlineStr">
        <is>
          <t>HÄRJEDALEN</t>
        </is>
      </c>
      <c r="G890" t="n">
        <v>4.3</v>
      </c>
      <c r="H890" t="n">
        <v>0</v>
      </c>
      <c r="I890" t="n">
        <v>0</v>
      </c>
      <c r="J890" t="n">
        <v>0</v>
      </c>
      <c r="K890" t="n">
        <v>0</v>
      </c>
      <c r="L890" t="n">
        <v>0</v>
      </c>
      <c r="M890" t="n">
        <v>0</v>
      </c>
      <c r="N890" t="n">
        <v>0</v>
      </c>
      <c r="O890" t="n">
        <v>0</v>
      </c>
      <c r="P890" t="n">
        <v>0</v>
      </c>
      <c r="Q890" t="n">
        <v>0</v>
      </c>
      <c r="R890" s="2" t="inlineStr"/>
    </row>
    <row r="891" ht="15" customHeight="1">
      <c r="A891" t="inlineStr">
        <is>
          <t>A 62696-2022</t>
        </is>
      </c>
      <c r="B891" s="1" t="n">
        <v>44925</v>
      </c>
      <c r="C891" s="1" t="n">
        <v>45784</v>
      </c>
      <c r="D891" t="inlineStr">
        <is>
          <t>JÄMTLANDS LÄN</t>
        </is>
      </c>
      <c r="E891" t="inlineStr">
        <is>
          <t>HÄRJEDALEN</t>
        </is>
      </c>
      <c r="F891" t="inlineStr">
        <is>
          <t>Holmen skog AB</t>
        </is>
      </c>
      <c r="G891" t="n">
        <v>2.9</v>
      </c>
      <c r="H891" t="n">
        <v>0</v>
      </c>
      <c r="I891" t="n">
        <v>0</v>
      </c>
      <c r="J891" t="n">
        <v>0</v>
      </c>
      <c r="K891" t="n">
        <v>0</v>
      </c>
      <c r="L891" t="n">
        <v>0</v>
      </c>
      <c r="M891" t="n">
        <v>0</v>
      </c>
      <c r="N891" t="n">
        <v>0</v>
      </c>
      <c r="O891" t="n">
        <v>0</v>
      </c>
      <c r="P891" t="n">
        <v>0</v>
      </c>
      <c r="Q891" t="n">
        <v>0</v>
      </c>
      <c r="R891" s="2" t="inlineStr"/>
    </row>
    <row r="892" ht="15" customHeight="1">
      <c r="A892" t="inlineStr">
        <is>
          <t>A 62702-2022</t>
        </is>
      </c>
      <c r="B892" s="1" t="n">
        <v>44925</v>
      </c>
      <c r="C892" s="1" t="n">
        <v>45784</v>
      </c>
      <c r="D892" t="inlineStr">
        <is>
          <t>JÄMTLANDS LÄN</t>
        </is>
      </c>
      <c r="E892" t="inlineStr">
        <is>
          <t>HÄRJEDALEN</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62719-2022</t>
        </is>
      </c>
      <c r="B893" s="1" t="n">
        <v>44925</v>
      </c>
      <c r="C893" s="1" t="n">
        <v>45784</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62724-2022</t>
        </is>
      </c>
      <c r="B894" s="1" t="n">
        <v>44925</v>
      </c>
      <c r="C894" s="1" t="n">
        <v>45784</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62599-2022</t>
        </is>
      </c>
      <c r="B895" s="1" t="n">
        <v>44925</v>
      </c>
      <c r="C895" s="1" t="n">
        <v>45784</v>
      </c>
      <c r="D895" t="inlineStr">
        <is>
          <t>JÄMTLANDS LÄN</t>
        </is>
      </c>
      <c r="E895" t="inlineStr">
        <is>
          <t>HÄRJEDALEN</t>
        </is>
      </c>
      <c r="F895" t="inlineStr">
        <is>
          <t>Holmen skog AB</t>
        </is>
      </c>
      <c r="G895" t="n">
        <v>8.1</v>
      </c>
      <c r="H895" t="n">
        <v>0</v>
      </c>
      <c r="I895" t="n">
        <v>0</v>
      </c>
      <c r="J895" t="n">
        <v>0</v>
      </c>
      <c r="K895" t="n">
        <v>0</v>
      </c>
      <c r="L895" t="n">
        <v>0</v>
      </c>
      <c r="M895" t="n">
        <v>0</v>
      </c>
      <c r="N895" t="n">
        <v>0</v>
      </c>
      <c r="O895" t="n">
        <v>0</v>
      </c>
      <c r="P895" t="n">
        <v>0</v>
      </c>
      <c r="Q895" t="n">
        <v>0</v>
      </c>
      <c r="R895" s="2" t="inlineStr"/>
    </row>
    <row r="896" ht="15" customHeight="1">
      <c r="A896" t="inlineStr">
        <is>
          <t>A 62641-2022</t>
        </is>
      </c>
      <c r="B896" s="1" t="n">
        <v>44925</v>
      </c>
      <c r="C896" s="1" t="n">
        <v>45784</v>
      </c>
      <c r="D896" t="inlineStr">
        <is>
          <t>JÄMTLANDS LÄN</t>
        </is>
      </c>
      <c r="E896" t="inlineStr">
        <is>
          <t>HÄRJEDALEN</t>
        </is>
      </c>
      <c r="G896" t="n">
        <v>2.7</v>
      </c>
      <c r="H896" t="n">
        <v>0</v>
      </c>
      <c r="I896" t="n">
        <v>0</v>
      </c>
      <c r="J896" t="n">
        <v>0</v>
      </c>
      <c r="K896" t="n">
        <v>0</v>
      </c>
      <c r="L896" t="n">
        <v>0</v>
      </c>
      <c r="M896" t="n">
        <v>0</v>
      </c>
      <c r="N896" t="n">
        <v>0</v>
      </c>
      <c r="O896" t="n">
        <v>0</v>
      </c>
      <c r="P896" t="n">
        <v>0</v>
      </c>
      <c r="Q896" t="n">
        <v>0</v>
      </c>
      <c r="R896" s="2" t="inlineStr"/>
    </row>
    <row r="897" ht="15" customHeight="1">
      <c r="A897" t="inlineStr">
        <is>
          <t>A 62591-2022</t>
        </is>
      </c>
      <c r="B897" s="1" t="n">
        <v>44925</v>
      </c>
      <c r="C897" s="1" t="n">
        <v>45784</v>
      </c>
      <c r="D897" t="inlineStr">
        <is>
          <t>JÄMTLANDS LÄN</t>
        </is>
      </c>
      <c r="E897" t="inlineStr">
        <is>
          <t>HÄRJEDALEN</t>
        </is>
      </c>
      <c r="G897" t="n">
        <v>32.7</v>
      </c>
      <c r="H897" t="n">
        <v>0</v>
      </c>
      <c r="I897" t="n">
        <v>0</v>
      </c>
      <c r="J897" t="n">
        <v>0</v>
      </c>
      <c r="K897" t="n">
        <v>0</v>
      </c>
      <c r="L897" t="n">
        <v>0</v>
      </c>
      <c r="M897" t="n">
        <v>0</v>
      </c>
      <c r="N897" t="n">
        <v>0</v>
      </c>
      <c r="O897" t="n">
        <v>0</v>
      </c>
      <c r="P897" t="n">
        <v>0</v>
      </c>
      <c r="Q897" t="n">
        <v>0</v>
      </c>
      <c r="R897" s="2" t="inlineStr"/>
    </row>
    <row r="898" ht="15" customHeight="1">
      <c r="A898" t="inlineStr">
        <is>
          <t>A 62653-2022</t>
        </is>
      </c>
      <c r="B898" s="1" t="n">
        <v>44925</v>
      </c>
      <c r="C898" s="1" t="n">
        <v>45784</v>
      </c>
      <c r="D898" t="inlineStr">
        <is>
          <t>JÄMTLANDS LÄN</t>
        </is>
      </c>
      <c r="E898" t="inlineStr">
        <is>
          <t>HÄRJEDALEN</t>
        </is>
      </c>
      <c r="G898" t="n">
        <v>3.8</v>
      </c>
      <c r="H898" t="n">
        <v>0</v>
      </c>
      <c r="I898" t="n">
        <v>0</v>
      </c>
      <c r="J898" t="n">
        <v>0</v>
      </c>
      <c r="K898" t="n">
        <v>0</v>
      </c>
      <c r="L898" t="n">
        <v>0</v>
      </c>
      <c r="M898" t="n">
        <v>0</v>
      </c>
      <c r="N898" t="n">
        <v>0</v>
      </c>
      <c r="O898" t="n">
        <v>0</v>
      </c>
      <c r="P898" t="n">
        <v>0</v>
      </c>
      <c r="Q898" t="n">
        <v>0</v>
      </c>
      <c r="R898" s="2" t="inlineStr"/>
    </row>
    <row r="899" ht="15" customHeight="1">
      <c r="A899" t="inlineStr">
        <is>
          <t>A 62687-2022</t>
        </is>
      </c>
      <c r="B899" s="1" t="n">
        <v>44925</v>
      </c>
      <c r="C899" s="1" t="n">
        <v>45784</v>
      </c>
      <c r="D899" t="inlineStr">
        <is>
          <t>JÄMTLANDS LÄN</t>
        </is>
      </c>
      <c r="E899" t="inlineStr">
        <is>
          <t>HÄRJEDALEN</t>
        </is>
      </c>
      <c r="F899" t="inlineStr">
        <is>
          <t>Holmen skog AB</t>
        </is>
      </c>
      <c r="G899" t="n">
        <v>5.7</v>
      </c>
      <c r="H899" t="n">
        <v>0</v>
      </c>
      <c r="I899" t="n">
        <v>0</v>
      </c>
      <c r="J899" t="n">
        <v>0</v>
      </c>
      <c r="K899" t="n">
        <v>0</v>
      </c>
      <c r="L899" t="n">
        <v>0</v>
      </c>
      <c r="M899" t="n">
        <v>0</v>
      </c>
      <c r="N899" t="n">
        <v>0</v>
      </c>
      <c r="O899" t="n">
        <v>0</v>
      </c>
      <c r="P899" t="n">
        <v>0</v>
      </c>
      <c r="Q899" t="n">
        <v>0</v>
      </c>
      <c r="R899" s="2" t="inlineStr"/>
    </row>
    <row r="900" ht="15" customHeight="1">
      <c r="A900" t="inlineStr">
        <is>
          <t>A 62694-2022</t>
        </is>
      </c>
      <c r="B900" s="1" t="n">
        <v>44925</v>
      </c>
      <c r="C900" s="1" t="n">
        <v>45784</v>
      </c>
      <c r="D900" t="inlineStr">
        <is>
          <t>JÄMTLANDS LÄN</t>
        </is>
      </c>
      <c r="E900" t="inlineStr">
        <is>
          <t>HÄRJEDALEN</t>
        </is>
      </c>
      <c r="F900" t="inlineStr">
        <is>
          <t>Holmen skog AB</t>
        </is>
      </c>
      <c r="G900" t="n">
        <v>4.5</v>
      </c>
      <c r="H900" t="n">
        <v>0</v>
      </c>
      <c r="I900" t="n">
        <v>0</v>
      </c>
      <c r="J900" t="n">
        <v>0</v>
      </c>
      <c r="K900" t="n">
        <v>0</v>
      </c>
      <c r="L900" t="n">
        <v>0</v>
      </c>
      <c r="M900" t="n">
        <v>0</v>
      </c>
      <c r="N900" t="n">
        <v>0</v>
      </c>
      <c r="O900" t="n">
        <v>0</v>
      </c>
      <c r="P900" t="n">
        <v>0</v>
      </c>
      <c r="Q900" t="n">
        <v>0</v>
      </c>
      <c r="R900" s="2" t="inlineStr"/>
    </row>
    <row r="901" ht="15" customHeight="1">
      <c r="A901" t="inlineStr">
        <is>
          <t>A 62708-2022</t>
        </is>
      </c>
      <c r="B901" s="1" t="n">
        <v>44925</v>
      </c>
      <c r="C901" s="1" t="n">
        <v>45784</v>
      </c>
      <c r="D901" t="inlineStr">
        <is>
          <t>JÄMTLANDS LÄN</t>
        </is>
      </c>
      <c r="E901" t="inlineStr">
        <is>
          <t>HÄRJEDALEN</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62590-2022</t>
        </is>
      </c>
      <c r="B902" s="1" t="n">
        <v>44925</v>
      </c>
      <c r="C902" s="1" t="n">
        <v>45784</v>
      </c>
      <c r="D902" t="inlineStr">
        <is>
          <t>JÄMTLANDS LÄN</t>
        </is>
      </c>
      <c r="E902" t="inlineStr">
        <is>
          <t>HÄRJEDALEN</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62684-2022</t>
        </is>
      </c>
      <c r="B903" s="1" t="n">
        <v>44925</v>
      </c>
      <c r="C903" s="1" t="n">
        <v>45784</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62699-2022</t>
        </is>
      </c>
      <c r="B904" s="1" t="n">
        <v>44925</v>
      </c>
      <c r="C904" s="1" t="n">
        <v>45784</v>
      </c>
      <c r="D904" t="inlineStr">
        <is>
          <t>JÄMTLANDS LÄN</t>
        </is>
      </c>
      <c r="E904" t="inlineStr">
        <is>
          <t>HÄRJEDALEN</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62706-2022</t>
        </is>
      </c>
      <c r="B905" s="1" t="n">
        <v>44925</v>
      </c>
      <c r="C905" s="1" t="n">
        <v>45784</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62721-2022</t>
        </is>
      </c>
      <c r="B906" s="1" t="n">
        <v>44925</v>
      </c>
      <c r="C906" s="1" t="n">
        <v>45784</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105-2023</t>
        </is>
      </c>
      <c r="B907" s="1" t="n">
        <v>44928</v>
      </c>
      <c r="C907" s="1" t="n">
        <v>45784</v>
      </c>
      <c r="D907" t="inlineStr">
        <is>
          <t>JÄMTLANDS LÄN</t>
        </is>
      </c>
      <c r="E907" t="inlineStr">
        <is>
          <t>HÄRJEDALEN</t>
        </is>
      </c>
      <c r="F907" t="inlineStr">
        <is>
          <t>Holmen skog AB</t>
        </is>
      </c>
      <c r="G907" t="n">
        <v>17.5</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45784</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35-2023</t>
        </is>
      </c>
      <c r="B909" s="1" t="n">
        <v>44928</v>
      </c>
      <c r="C909" s="1" t="n">
        <v>45784</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78-2023</t>
        </is>
      </c>
      <c r="B910" s="1" t="n">
        <v>44928</v>
      </c>
      <c r="C910" s="1" t="n">
        <v>45784</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103-2023</t>
        </is>
      </c>
      <c r="B911" s="1" t="n">
        <v>44928</v>
      </c>
      <c r="C911" s="1" t="n">
        <v>45784</v>
      </c>
      <c r="D911" t="inlineStr">
        <is>
          <t>JÄMTLANDS LÄN</t>
        </is>
      </c>
      <c r="E911" t="inlineStr">
        <is>
          <t>HÄRJEDALEN</t>
        </is>
      </c>
      <c r="F911" t="inlineStr">
        <is>
          <t>Holmen skog AB</t>
        </is>
      </c>
      <c r="G911" t="n">
        <v>6.9</v>
      </c>
      <c r="H911" t="n">
        <v>0</v>
      </c>
      <c r="I911" t="n">
        <v>0</v>
      </c>
      <c r="J911" t="n">
        <v>0</v>
      </c>
      <c r="K911" t="n">
        <v>0</v>
      </c>
      <c r="L911" t="n">
        <v>0</v>
      </c>
      <c r="M911" t="n">
        <v>0</v>
      </c>
      <c r="N911" t="n">
        <v>0</v>
      </c>
      <c r="O911" t="n">
        <v>0</v>
      </c>
      <c r="P911" t="n">
        <v>0</v>
      </c>
      <c r="Q911" t="n">
        <v>0</v>
      </c>
      <c r="R911" s="2" t="inlineStr"/>
    </row>
    <row r="912" ht="15" customHeight="1">
      <c r="A912" t="inlineStr">
        <is>
          <t>A 166-2023</t>
        </is>
      </c>
      <c r="B912" s="1" t="n">
        <v>44928</v>
      </c>
      <c r="C912" s="1" t="n">
        <v>45784</v>
      </c>
      <c r="D912" t="inlineStr">
        <is>
          <t>JÄMTLANDS LÄN</t>
        </is>
      </c>
      <c r="E912" t="inlineStr">
        <is>
          <t>HÄRJEDALEN</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176-2023</t>
        </is>
      </c>
      <c r="B913" s="1" t="n">
        <v>44928</v>
      </c>
      <c r="C913" s="1" t="n">
        <v>45784</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171-2023</t>
        </is>
      </c>
      <c r="B914" s="1" t="n">
        <v>44928</v>
      </c>
      <c r="C914" s="1" t="n">
        <v>45784</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1907-2023</t>
        </is>
      </c>
      <c r="B915" s="1" t="n">
        <v>44939</v>
      </c>
      <c r="C915" s="1" t="n">
        <v>45784</v>
      </c>
      <c r="D915" t="inlineStr">
        <is>
          <t>JÄMTLANDS LÄN</t>
        </is>
      </c>
      <c r="E915" t="inlineStr">
        <is>
          <t>HÄRJEDALEN</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1954-2023</t>
        </is>
      </c>
      <c r="B916" s="1" t="n">
        <v>44939</v>
      </c>
      <c r="C916" s="1" t="n">
        <v>45784</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4196-2023</t>
        </is>
      </c>
      <c r="B917" s="1" t="n">
        <v>44953</v>
      </c>
      <c r="C917" s="1" t="n">
        <v>45784</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4694-2023</t>
        </is>
      </c>
      <c r="B918" s="1" t="n">
        <v>44957</v>
      </c>
      <c r="C918" s="1" t="n">
        <v>45784</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4712-2023</t>
        </is>
      </c>
      <c r="B919" s="1" t="n">
        <v>44957</v>
      </c>
      <c r="C919" s="1" t="n">
        <v>45784</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4711-2023</t>
        </is>
      </c>
      <c r="B920" s="1" t="n">
        <v>44957</v>
      </c>
      <c r="C920" s="1" t="n">
        <v>45784</v>
      </c>
      <c r="D920" t="inlineStr">
        <is>
          <t>JÄMTLANDS LÄN</t>
        </is>
      </c>
      <c r="E920" t="inlineStr">
        <is>
          <t>HÄRJEDALEN</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4782-2023</t>
        </is>
      </c>
      <c r="B921" s="1" t="n">
        <v>44957</v>
      </c>
      <c r="C921" s="1" t="n">
        <v>45784</v>
      </c>
      <c r="D921" t="inlineStr">
        <is>
          <t>JÄMTLANDS LÄN</t>
        </is>
      </c>
      <c r="E921" t="inlineStr">
        <is>
          <t>HÄRJEDALEN</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5013-2023</t>
        </is>
      </c>
      <c r="B922" s="1" t="n">
        <v>44958</v>
      </c>
      <c r="C922" s="1" t="n">
        <v>45784</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5640-2023</t>
        </is>
      </c>
      <c r="B923" s="1" t="n">
        <v>44960</v>
      </c>
      <c r="C923" s="1" t="n">
        <v>45784</v>
      </c>
      <c r="D923" t="inlineStr">
        <is>
          <t>JÄMTLANDS LÄN</t>
        </is>
      </c>
      <c r="E923" t="inlineStr">
        <is>
          <t>HÄRJEDALEN</t>
        </is>
      </c>
      <c r="G923" t="n">
        <v>8.4</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45784</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6124-2023</t>
        </is>
      </c>
      <c r="B925" s="1" t="n">
        <v>44964</v>
      </c>
      <c r="C925" s="1" t="n">
        <v>45784</v>
      </c>
      <c r="D925" t="inlineStr">
        <is>
          <t>JÄMTLANDS LÄN</t>
        </is>
      </c>
      <c r="E925" t="inlineStr">
        <is>
          <t>HÄRJEDALEN</t>
        </is>
      </c>
      <c r="G925" t="n">
        <v>20</v>
      </c>
      <c r="H925" t="n">
        <v>0</v>
      </c>
      <c r="I925" t="n">
        <v>0</v>
      </c>
      <c r="J925" t="n">
        <v>0</v>
      </c>
      <c r="K925" t="n">
        <v>0</v>
      </c>
      <c r="L925" t="n">
        <v>0</v>
      </c>
      <c r="M925" t="n">
        <v>0</v>
      </c>
      <c r="N925" t="n">
        <v>0</v>
      </c>
      <c r="O925" t="n">
        <v>0</v>
      </c>
      <c r="P925" t="n">
        <v>0</v>
      </c>
      <c r="Q925" t="n">
        <v>0</v>
      </c>
      <c r="R925" s="2" t="inlineStr"/>
    </row>
    <row r="926" ht="15" customHeight="1">
      <c r="A926" t="inlineStr">
        <is>
          <t>A 7636-2023</t>
        </is>
      </c>
      <c r="B926" s="1" t="n">
        <v>44972</v>
      </c>
      <c r="C926" s="1" t="n">
        <v>45784</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8365-2023</t>
        </is>
      </c>
      <c r="B927" s="1" t="n">
        <v>44977</v>
      </c>
      <c r="C927" s="1" t="n">
        <v>45784</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8420-2023</t>
        </is>
      </c>
      <c r="B928" s="1" t="n">
        <v>44977</v>
      </c>
      <c r="C928" s="1" t="n">
        <v>45784</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8577-2023</t>
        </is>
      </c>
      <c r="B929" s="1" t="n">
        <v>44977</v>
      </c>
      <c r="C929" s="1" t="n">
        <v>45784</v>
      </c>
      <c r="D929" t="inlineStr">
        <is>
          <t>JÄMTLANDS LÄN</t>
        </is>
      </c>
      <c r="E929" t="inlineStr">
        <is>
          <t>HÄRJEDALEN</t>
        </is>
      </c>
      <c r="G929" t="n">
        <v>19.6</v>
      </c>
      <c r="H929" t="n">
        <v>0</v>
      </c>
      <c r="I929" t="n">
        <v>0</v>
      </c>
      <c r="J929" t="n">
        <v>0</v>
      </c>
      <c r="K929" t="n">
        <v>0</v>
      </c>
      <c r="L929" t="n">
        <v>0</v>
      </c>
      <c r="M929" t="n">
        <v>0</v>
      </c>
      <c r="N929" t="n">
        <v>0</v>
      </c>
      <c r="O929" t="n">
        <v>0</v>
      </c>
      <c r="P929" t="n">
        <v>0</v>
      </c>
      <c r="Q929" t="n">
        <v>0</v>
      </c>
      <c r="R929" s="2" t="inlineStr"/>
    </row>
    <row r="930" ht="15" customHeight="1">
      <c r="A930" t="inlineStr">
        <is>
          <t>A 8804-2023</t>
        </is>
      </c>
      <c r="B930" s="1" t="n">
        <v>44978</v>
      </c>
      <c r="C930" s="1" t="n">
        <v>45784</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9188-2023</t>
        </is>
      </c>
      <c r="B931" s="1" t="n">
        <v>44980</v>
      </c>
      <c r="C931" s="1" t="n">
        <v>45784</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9998-2023</t>
        </is>
      </c>
      <c r="B932" s="1" t="n">
        <v>44985</v>
      </c>
      <c r="C932" s="1" t="n">
        <v>45784</v>
      </c>
      <c r="D932" t="inlineStr">
        <is>
          <t>JÄMTLANDS LÄN</t>
        </is>
      </c>
      <c r="E932" t="inlineStr">
        <is>
          <t>HÄRJEDALEN</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10002-2023</t>
        </is>
      </c>
      <c r="B933" s="1" t="n">
        <v>44985</v>
      </c>
      <c r="C933" s="1" t="n">
        <v>45784</v>
      </c>
      <c r="D933" t="inlineStr">
        <is>
          <t>JÄMTLANDS LÄN</t>
        </is>
      </c>
      <c r="E933" t="inlineStr">
        <is>
          <t>HÄRJEDALEN</t>
        </is>
      </c>
      <c r="F933" t="inlineStr">
        <is>
          <t>Holmen skog AB</t>
        </is>
      </c>
      <c r="G933" t="n">
        <v>8.6</v>
      </c>
      <c r="H933" t="n">
        <v>0</v>
      </c>
      <c r="I933" t="n">
        <v>0</v>
      </c>
      <c r="J933" t="n">
        <v>0</v>
      </c>
      <c r="K933" t="n">
        <v>0</v>
      </c>
      <c r="L933" t="n">
        <v>0</v>
      </c>
      <c r="M933" t="n">
        <v>0</v>
      </c>
      <c r="N933" t="n">
        <v>0</v>
      </c>
      <c r="O933" t="n">
        <v>0</v>
      </c>
      <c r="P933" t="n">
        <v>0</v>
      </c>
      <c r="Q933" t="n">
        <v>0</v>
      </c>
      <c r="R933" s="2" t="inlineStr"/>
    </row>
    <row r="934" ht="15" customHeight="1">
      <c r="A934" t="inlineStr">
        <is>
          <t>A 10006-2023</t>
        </is>
      </c>
      <c r="B934" s="1" t="n">
        <v>44985</v>
      </c>
      <c r="C934" s="1" t="n">
        <v>45784</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10000-2023</t>
        </is>
      </c>
      <c r="B935" s="1" t="n">
        <v>44985</v>
      </c>
      <c r="C935" s="1" t="n">
        <v>45784</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9997-2023</t>
        </is>
      </c>
      <c r="B936" s="1" t="n">
        <v>44985</v>
      </c>
      <c r="C936" s="1" t="n">
        <v>45784</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10014-2023</t>
        </is>
      </c>
      <c r="B937" s="1" t="n">
        <v>44985</v>
      </c>
      <c r="C937" s="1" t="n">
        <v>45784</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10008-2023</t>
        </is>
      </c>
      <c r="B938" s="1" t="n">
        <v>44985</v>
      </c>
      <c r="C938" s="1" t="n">
        <v>45784</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10046-2023</t>
        </is>
      </c>
      <c r="B939" s="1" t="n">
        <v>44985</v>
      </c>
      <c r="C939" s="1" t="n">
        <v>45784</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10015-2023</t>
        </is>
      </c>
      <c r="B940" s="1" t="n">
        <v>44985</v>
      </c>
      <c r="C940" s="1" t="n">
        <v>45784</v>
      </c>
      <c r="D940" t="inlineStr">
        <is>
          <t>JÄMTLANDS LÄN</t>
        </is>
      </c>
      <c r="E940" t="inlineStr">
        <is>
          <t>HÄRJEDALEN</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10043-2023</t>
        </is>
      </c>
      <c r="B941" s="1" t="n">
        <v>44985</v>
      </c>
      <c r="C941" s="1" t="n">
        <v>45784</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9993-2023</t>
        </is>
      </c>
      <c r="B942" s="1" t="n">
        <v>44985</v>
      </c>
      <c r="C942" s="1" t="n">
        <v>45784</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10003-2023</t>
        </is>
      </c>
      <c r="B943" s="1" t="n">
        <v>44985</v>
      </c>
      <c r="C943" s="1" t="n">
        <v>45784</v>
      </c>
      <c r="D943" t="inlineStr">
        <is>
          <t>JÄMTLANDS LÄN</t>
        </is>
      </c>
      <c r="E943" t="inlineStr">
        <is>
          <t>HÄRJEDALEN</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10007-2023</t>
        </is>
      </c>
      <c r="B944" s="1" t="n">
        <v>44985</v>
      </c>
      <c r="C944" s="1" t="n">
        <v>45784</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v>
      </c>
      <c r="C945" s="1" t="n">
        <v>45784</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10040-2023</t>
        </is>
      </c>
      <c r="B946" s="1" t="n">
        <v>44985</v>
      </c>
      <c r="C946" s="1" t="n">
        <v>45784</v>
      </c>
      <c r="D946" t="inlineStr">
        <is>
          <t>JÄMTLANDS LÄN</t>
        </is>
      </c>
      <c r="E946" t="inlineStr">
        <is>
          <t>HÄRJEDALEN</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10329-2023</t>
        </is>
      </c>
      <c r="B947" s="1" t="n">
        <v>44987</v>
      </c>
      <c r="C947" s="1" t="n">
        <v>45784</v>
      </c>
      <c r="D947" t="inlineStr">
        <is>
          <t>JÄMTLANDS LÄN</t>
        </is>
      </c>
      <c r="E947" t="inlineStr">
        <is>
          <t>HÄRJEDALEN</t>
        </is>
      </c>
      <c r="F947" t="inlineStr">
        <is>
          <t>Holmen skog AB</t>
        </is>
      </c>
      <c r="G947" t="n">
        <v>4.7</v>
      </c>
      <c r="H947" t="n">
        <v>0</v>
      </c>
      <c r="I947" t="n">
        <v>0</v>
      </c>
      <c r="J947" t="n">
        <v>0</v>
      </c>
      <c r="K947" t="n">
        <v>0</v>
      </c>
      <c r="L947" t="n">
        <v>0</v>
      </c>
      <c r="M947" t="n">
        <v>0</v>
      </c>
      <c r="N947" t="n">
        <v>0</v>
      </c>
      <c r="O947" t="n">
        <v>0</v>
      </c>
      <c r="P947" t="n">
        <v>0</v>
      </c>
      <c r="Q947" t="n">
        <v>0</v>
      </c>
      <c r="R947" s="2" t="inlineStr"/>
    </row>
    <row r="948" ht="15" customHeight="1">
      <c r="A948" t="inlineStr">
        <is>
          <t>A 10353-2023</t>
        </is>
      </c>
      <c r="B948" s="1" t="n">
        <v>44987</v>
      </c>
      <c r="C948" s="1" t="n">
        <v>45784</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10342-2023</t>
        </is>
      </c>
      <c r="B949" s="1" t="n">
        <v>44987</v>
      </c>
      <c r="C949" s="1" t="n">
        <v>45784</v>
      </c>
      <c r="D949" t="inlineStr">
        <is>
          <t>JÄMTLANDS LÄN</t>
        </is>
      </c>
      <c r="E949" t="inlineStr">
        <is>
          <t>HÄRJEDALEN</t>
        </is>
      </c>
      <c r="F949" t="inlineStr">
        <is>
          <t>Holmen skog AB</t>
        </is>
      </c>
      <c r="G949" t="n">
        <v>32.6</v>
      </c>
      <c r="H949" t="n">
        <v>0</v>
      </c>
      <c r="I949" t="n">
        <v>0</v>
      </c>
      <c r="J949" t="n">
        <v>0</v>
      </c>
      <c r="K949" t="n">
        <v>0</v>
      </c>
      <c r="L949" t="n">
        <v>0</v>
      </c>
      <c r="M949" t="n">
        <v>0</v>
      </c>
      <c r="N949" t="n">
        <v>0</v>
      </c>
      <c r="O949" t="n">
        <v>0</v>
      </c>
      <c r="P949" t="n">
        <v>0</v>
      </c>
      <c r="Q949" t="n">
        <v>0</v>
      </c>
      <c r="R949" s="2" t="inlineStr"/>
    </row>
    <row r="950" ht="15" customHeight="1">
      <c r="A950" t="inlineStr">
        <is>
          <t>A 10340-2023</t>
        </is>
      </c>
      <c r="B950" s="1" t="n">
        <v>44987</v>
      </c>
      <c r="C950" s="1" t="n">
        <v>45784</v>
      </c>
      <c r="D950" t="inlineStr">
        <is>
          <t>JÄMTLANDS LÄN</t>
        </is>
      </c>
      <c r="E950" t="inlineStr">
        <is>
          <t>HÄRJEDALEN</t>
        </is>
      </c>
      <c r="F950" t="inlineStr">
        <is>
          <t>Holmen skog AB</t>
        </is>
      </c>
      <c r="G950" t="n">
        <v>5.7</v>
      </c>
      <c r="H950" t="n">
        <v>0</v>
      </c>
      <c r="I950" t="n">
        <v>0</v>
      </c>
      <c r="J950" t="n">
        <v>0</v>
      </c>
      <c r="K950" t="n">
        <v>0</v>
      </c>
      <c r="L950" t="n">
        <v>0</v>
      </c>
      <c r="M950" t="n">
        <v>0</v>
      </c>
      <c r="N950" t="n">
        <v>0</v>
      </c>
      <c r="O950" t="n">
        <v>0</v>
      </c>
      <c r="P950" t="n">
        <v>0</v>
      </c>
      <c r="Q950" t="n">
        <v>0</v>
      </c>
      <c r="R950" s="2" t="inlineStr"/>
    </row>
    <row r="951" ht="15" customHeight="1">
      <c r="A951" t="inlineStr">
        <is>
          <t>A 10348-2023</t>
        </is>
      </c>
      <c r="B951" s="1" t="n">
        <v>44987</v>
      </c>
      <c r="C951" s="1" t="n">
        <v>45784</v>
      </c>
      <c r="D951" t="inlineStr">
        <is>
          <t>JÄMTLANDS LÄN</t>
        </is>
      </c>
      <c r="E951" t="inlineStr">
        <is>
          <t>HÄRJEDALEN</t>
        </is>
      </c>
      <c r="F951" t="inlineStr">
        <is>
          <t>Holmen skog AB</t>
        </is>
      </c>
      <c r="G951" t="n">
        <v>17.8</v>
      </c>
      <c r="H951" t="n">
        <v>0</v>
      </c>
      <c r="I951" t="n">
        <v>0</v>
      </c>
      <c r="J951" t="n">
        <v>0</v>
      </c>
      <c r="K951" t="n">
        <v>0</v>
      </c>
      <c r="L951" t="n">
        <v>0</v>
      </c>
      <c r="M951" t="n">
        <v>0</v>
      </c>
      <c r="N951" t="n">
        <v>0</v>
      </c>
      <c r="O951" t="n">
        <v>0</v>
      </c>
      <c r="P951" t="n">
        <v>0</v>
      </c>
      <c r="Q951" t="n">
        <v>0</v>
      </c>
      <c r="R951" s="2" t="inlineStr"/>
    </row>
    <row r="952" ht="15" customHeight="1">
      <c r="A952" t="inlineStr">
        <is>
          <t>A 10338-2023</t>
        </is>
      </c>
      <c r="B952" s="1" t="n">
        <v>44987</v>
      </c>
      <c r="C952" s="1" t="n">
        <v>45784</v>
      </c>
      <c r="D952" t="inlineStr">
        <is>
          <t>JÄMTLANDS LÄN</t>
        </is>
      </c>
      <c r="E952" t="inlineStr">
        <is>
          <t>HÄRJEDALEN</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11448-2023</t>
        </is>
      </c>
      <c r="B953" s="1" t="n">
        <v>44993</v>
      </c>
      <c r="C953" s="1" t="n">
        <v>45784</v>
      </c>
      <c r="D953" t="inlineStr">
        <is>
          <t>JÄMTLANDS LÄN</t>
        </is>
      </c>
      <c r="E953" t="inlineStr">
        <is>
          <t>HÄRJEDALEN</t>
        </is>
      </c>
      <c r="G953" t="n">
        <v>12.1</v>
      </c>
      <c r="H953" t="n">
        <v>0</v>
      </c>
      <c r="I953" t="n">
        <v>0</v>
      </c>
      <c r="J953" t="n">
        <v>0</v>
      </c>
      <c r="K953" t="n">
        <v>0</v>
      </c>
      <c r="L953" t="n">
        <v>0</v>
      </c>
      <c r="M953" t="n">
        <v>0</v>
      </c>
      <c r="N953" t="n">
        <v>0</v>
      </c>
      <c r="O953" t="n">
        <v>0</v>
      </c>
      <c r="P953" t="n">
        <v>0</v>
      </c>
      <c r="Q953" t="n">
        <v>0</v>
      </c>
      <c r="R953" s="2" t="inlineStr"/>
    </row>
    <row r="954" ht="15" customHeight="1">
      <c r="A954" t="inlineStr">
        <is>
          <t>A 11818-2023</t>
        </is>
      </c>
      <c r="B954" s="1" t="n">
        <v>44994</v>
      </c>
      <c r="C954" s="1" t="n">
        <v>45784</v>
      </c>
      <c r="D954" t="inlineStr">
        <is>
          <t>JÄMTLANDS LÄN</t>
        </is>
      </c>
      <c r="E954" t="inlineStr">
        <is>
          <t>HÄRJEDALEN</t>
        </is>
      </c>
      <c r="G954" t="n">
        <v>8.9</v>
      </c>
      <c r="H954" t="n">
        <v>0</v>
      </c>
      <c r="I954" t="n">
        <v>0</v>
      </c>
      <c r="J954" t="n">
        <v>0</v>
      </c>
      <c r="K954" t="n">
        <v>0</v>
      </c>
      <c r="L954" t="n">
        <v>0</v>
      </c>
      <c r="M954" t="n">
        <v>0</v>
      </c>
      <c r="N954" t="n">
        <v>0</v>
      </c>
      <c r="O954" t="n">
        <v>0</v>
      </c>
      <c r="P954" t="n">
        <v>0</v>
      </c>
      <c r="Q954" t="n">
        <v>0</v>
      </c>
      <c r="R954" s="2" t="inlineStr"/>
    </row>
    <row r="955" ht="15" customHeight="1">
      <c r="A955" t="inlineStr">
        <is>
          <t>A 12484-2023</t>
        </is>
      </c>
      <c r="B955" s="1" t="n">
        <v>44998</v>
      </c>
      <c r="C955" s="1" t="n">
        <v>45784</v>
      </c>
      <c r="D955" t="inlineStr">
        <is>
          <t>JÄMTLANDS LÄN</t>
        </is>
      </c>
      <c r="E955" t="inlineStr">
        <is>
          <t>HÄRJEDALEN</t>
        </is>
      </c>
      <c r="G955" t="n">
        <v>43.1</v>
      </c>
      <c r="H955" t="n">
        <v>0</v>
      </c>
      <c r="I955" t="n">
        <v>0</v>
      </c>
      <c r="J955" t="n">
        <v>0</v>
      </c>
      <c r="K955" t="n">
        <v>0</v>
      </c>
      <c r="L955" t="n">
        <v>0</v>
      </c>
      <c r="M955" t="n">
        <v>0</v>
      </c>
      <c r="N955" t="n">
        <v>0</v>
      </c>
      <c r="O955" t="n">
        <v>0</v>
      </c>
      <c r="P955" t="n">
        <v>0</v>
      </c>
      <c r="Q955" t="n">
        <v>0</v>
      </c>
      <c r="R955" s="2" t="inlineStr"/>
    </row>
    <row r="956" ht="15" customHeight="1">
      <c r="A956" t="inlineStr">
        <is>
          <t>A 12462-2023</t>
        </is>
      </c>
      <c r="B956" s="1" t="n">
        <v>44999</v>
      </c>
      <c r="C956" s="1" t="n">
        <v>45784</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12625-2023</t>
        </is>
      </c>
      <c r="B957" s="1" t="n">
        <v>45000</v>
      </c>
      <c r="C957" s="1" t="n">
        <v>45784</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12921-2023</t>
        </is>
      </c>
      <c r="B958" s="1" t="n">
        <v>45001</v>
      </c>
      <c r="C958" s="1" t="n">
        <v>45784</v>
      </c>
      <c r="D958" t="inlineStr">
        <is>
          <t>JÄMTLANDS LÄN</t>
        </is>
      </c>
      <c r="E958" t="inlineStr">
        <is>
          <t>HÄRJEDALEN</t>
        </is>
      </c>
      <c r="G958" t="n">
        <v>13.9</v>
      </c>
      <c r="H958" t="n">
        <v>0</v>
      </c>
      <c r="I958" t="n">
        <v>0</v>
      </c>
      <c r="J958" t="n">
        <v>0</v>
      </c>
      <c r="K958" t="n">
        <v>0</v>
      </c>
      <c r="L958" t="n">
        <v>0</v>
      </c>
      <c r="M958" t="n">
        <v>0</v>
      </c>
      <c r="N958" t="n">
        <v>0</v>
      </c>
      <c r="O958" t="n">
        <v>0</v>
      </c>
      <c r="P958" t="n">
        <v>0</v>
      </c>
      <c r="Q958" t="n">
        <v>0</v>
      </c>
      <c r="R958" s="2" t="inlineStr"/>
    </row>
    <row r="959" ht="15" customHeight="1">
      <c r="A959" t="inlineStr">
        <is>
          <t>A 13774-2023</t>
        </is>
      </c>
      <c r="B959" s="1" t="n">
        <v>45007</v>
      </c>
      <c r="C959" s="1" t="n">
        <v>45784</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14631-2023</t>
        </is>
      </c>
      <c r="B960" s="1" t="n">
        <v>45012</v>
      </c>
      <c r="C960" s="1" t="n">
        <v>45784</v>
      </c>
      <c r="D960" t="inlineStr">
        <is>
          <t>JÄMTLANDS LÄN</t>
        </is>
      </c>
      <c r="E960" t="inlineStr">
        <is>
          <t>HÄRJEDALEN</t>
        </is>
      </c>
      <c r="F960" t="inlineStr">
        <is>
          <t>Bergvik skog väst AB</t>
        </is>
      </c>
      <c r="G960" t="n">
        <v>14.2</v>
      </c>
      <c r="H960" t="n">
        <v>0</v>
      </c>
      <c r="I960" t="n">
        <v>0</v>
      </c>
      <c r="J960" t="n">
        <v>0</v>
      </c>
      <c r="K960" t="n">
        <v>0</v>
      </c>
      <c r="L960" t="n">
        <v>0</v>
      </c>
      <c r="M960" t="n">
        <v>0</v>
      </c>
      <c r="N960" t="n">
        <v>0</v>
      </c>
      <c r="O960" t="n">
        <v>0</v>
      </c>
      <c r="P960" t="n">
        <v>0</v>
      </c>
      <c r="Q960" t="n">
        <v>0</v>
      </c>
      <c r="R960" s="2" t="inlineStr"/>
    </row>
    <row r="961" ht="15" customHeight="1">
      <c r="A961" t="inlineStr">
        <is>
          <t>A 15511-2023</t>
        </is>
      </c>
      <c r="B961" s="1" t="n">
        <v>45020</v>
      </c>
      <c r="C961" s="1" t="n">
        <v>45784</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15747-2023</t>
        </is>
      </c>
      <c r="B962" s="1" t="n">
        <v>45020</v>
      </c>
      <c r="C962" s="1" t="n">
        <v>45784</v>
      </c>
      <c r="D962" t="inlineStr">
        <is>
          <t>JÄMTLANDS LÄN</t>
        </is>
      </c>
      <c r="E962" t="inlineStr">
        <is>
          <t>HÄRJEDALEN</t>
        </is>
      </c>
      <c r="G962" t="n">
        <v>0.1</v>
      </c>
      <c r="H962" t="n">
        <v>0</v>
      </c>
      <c r="I962" t="n">
        <v>0</v>
      </c>
      <c r="J962" t="n">
        <v>0</v>
      </c>
      <c r="K962" t="n">
        <v>0</v>
      </c>
      <c r="L962" t="n">
        <v>0</v>
      </c>
      <c r="M962" t="n">
        <v>0</v>
      </c>
      <c r="N962" t="n">
        <v>0</v>
      </c>
      <c r="O962" t="n">
        <v>0</v>
      </c>
      <c r="P962" t="n">
        <v>0</v>
      </c>
      <c r="Q962" t="n">
        <v>0</v>
      </c>
      <c r="R962" s="2" t="inlineStr"/>
    </row>
    <row r="963" ht="15" customHeight="1">
      <c r="A963" t="inlineStr">
        <is>
          <t>A 16115-2023</t>
        </is>
      </c>
      <c r="B963" s="1" t="n">
        <v>45027</v>
      </c>
      <c r="C963" s="1" t="n">
        <v>45784</v>
      </c>
      <c r="D963" t="inlineStr">
        <is>
          <t>JÄMTLANDS LÄN</t>
        </is>
      </c>
      <c r="E963" t="inlineStr">
        <is>
          <t>HÄRJEDALEN</t>
        </is>
      </c>
      <c r="G963" t="n">
        <v>26</v>
      </c>
      <c r="H963" t="n">
        <v>0</v>
      </c>
      <c r="I963" t="n">
        <v>0</v>
      </c>
      <c r="J963" t="n">
        <v>0</v>
      </c>
      <c r="K963" t="n">
        <v>0</v>
      </c>
      <c r="L963" t="n">
        <v>0</v>
      </c>
      <c r="M963" t="n">
        <v>0</v>
      </c>
      <c r="N963" t="n">
        <v>0</v>
      </c>
      <c r="O963" t="n">
        <v>0</v>
      </c>
      <c r="P963" t="n">
        <v>0</v>
      </c>
      <c r="Q963" t="n">
        <v>0</v>
      </c>
      <c r="R963" s="2" t="inlineStr"/>
    </row>
    <row r="964" ht="15" customHeight="1">
      <c r="A964" t="inlineStr">
        <is>
          <t>A 16468-2023</t>
        </is>
      </c>
      <c r="B964" s="1" t="n">
        <v>45029</v>
      </c>
      <c r="C964" s="1" t="n">
        <v>45784</v>
      </c>
      <c r="D964" t="inlineStr">
        <is>
          <t>JÄMTLANDS LÄN</t>
        </is>
      </c>
      <c r="E964" t="inlineStr">
        <is>
          <t>HÄRJEDALEN</t>
        </is>
      </c>
      <c r="G964" t="n">
        <v>6.7</v>
      </c>
      <c r="H964" t="n">
        <v>0</v>
      </c>
      <c r="I964" t="n">
        <v>0</v>
      </c>
      <c r="J964" t="n">
        <v>0</v>
      </c>
      <c r="K964" t="n">
        <v>0</v>
      </c>
      <c r="L964" t="n">
        <v>0</v>
      </c>
      <c r="M964" t="n">
        <v>0</v>
      </c>
      <c r="N964" t="n">
        <v>0</v>
      </c>
      <c r="O964" t="n">
        <v>0</v>
      </c>
      <c r="P964" t="n">
        <v>0</v>
      </c>
      <c r="Q964" t="n">
        <v>0</v>
      </c>
      <c r="R964" s="2" t="inlineStr"/>
    </row>
    <row r="965" ht="15" customHeight="1">
      <c r="A965" t="inlineStr">
        <is>
          <t>A 17121-2023</t>
        </is>
      </c>
      <c r="B965" s="1" t="n">
        <v>45034</v>
      </c>
      <c r="C965" s="1" t="n">
        <v>45784</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17105-2023</t>
        </is>
      </c>
      <c r="B966" s="1" t="n">
        <v>45034</v>
      </c>
      <c r="C966" s="1" t="n">
        <v>45784</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17122-2023</t>
        </is>
      </c>
      <c r="B967" s="1" t="n">
        <v>45034</v>
      </c>
      <c r="C967" s="1" t="n">
        <v>45784</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17153-2023</t>
        </is>
      </c>
      <c r="B968" s="1" t="n">
        <v>45034</v>
      </c>
      <c r="C968" s="1" t="n">
        <v>45784</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17118-2023</t>
        </is>
      </c>
      <c r="B969" s="1" t="n">
        <v>45034</v>
      </c>
      <c r="C969" s="1" t="n">
        <v>45784</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17238-2023</t>
        </is>
      </c>
      <c r="B970" s="1" t="n">
        <v>45035</v>
      </c>
      <c r="C970" s="1" t="n">
        <v>45784</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17246-2023</t>
        </is>
      </c>
      <c r="B971" s="1" t="n">
        <v>45035</v>
      </c>
      <c r="C971" s="1" t="n">
        <v>45784</v>
      </c>
      <c r="D971" t="inlineStr">
        <is>
          <t>JÄMTLANDS LÄN</t>
        </is>
      </c>
      <c r="E971" t="inlineStr">
        <is>
          <t>HÄRJEDALEN</t>
        </is>
      </c>
      <c r="G971" t="n">
        <v>2.4</v>
      </c>
      <c r="H971" t="n">
        <v>0</v>
      </c>
      <c r="I971" t="n">
        <v>0</v>
      </c>
      <c r="J971" t="n">
        <v>0</v>
      </c>
      <c r="K971" t="n">
        <v>0</v>
      </c>
      <c r="L971" t="n">
        <v>0</v>
      </c>
      <c r="M971" t="n">
        <v>0</v>
      </c>
      <c r="N971" t="n">
        <v>0</v>
      </c>
      <c r="O971" t="n">
        <v>0</v>
      </c>
      <c r="P971" t="n">
        <v>0</v>
      </c>
      <c r="Q971" t="n">
        <v>0</v>
      </c>
      <c r="R971" s="2" t="inlineStr"/>
    </row>
    <row r="972" ht="15" customHeight="1">
      <c r="A972" t="inlineStr">
        <is>
          <t>A 17232-2023</t>
        </is>
      </c>
      <c r="B972" s="1" t="n">
        <v>45035</v>
      </c>
      <c r="C972" s="1" t="n">
        <v>45784</v>
      </c>
      <c r="D972" t="inlineStr">
        <is>
          <t>JÄMTLANDS LÄN</t>
        </is>
      </c>
      <c r="E972" t="inlineStr">
        <is>
          <t>HÄRJEDALEN</t>
        </is>
      </c>
      <c r="G972" t="n">
        <v>6.9</v>
      </c>
      <c r="H972" t="n">
        <v>0</v>
      </c>
      <c r="I972" t="n">
        <v>0</v>
      </c>
      <c r="J972" t="n">
        <v>0</v>
      </c>
      <c r="K972" t="n">
        <v>0</v>
      </c>
      <c r="L972" t="n">
        <v>0</v>
      </c>
      <c r="M972" t="n">
        <v>0</v>
      </c>
      <c r="N972" t="n">
        <v>0</v>
      </c>
      <c r="O972" t="n">
        <v>0</v>
      </c>
      <c r="P972" t="n">
        <v>0</v>
      </c>
      <c r="Q972" t="n">
        <v>0</v>
      </c>
      <c r="R972" s="2" t="inlineStr"/>
    </row>
    <row r="973" ht="15" customHeight="1">
      <c r="A973" t="inlineStr">
        <is>
          <t>A 17368-2023</t>
        </is>
      </c>
      <c r="B973" s="1" t="n">
        <v>45035</v>
      </c>
      <c r="C973" s="1" t="n">
        <v>45784</v>
      </c>
      <c r="D973" t="inlineStr">
        <is>
          <t>JÄMTLANDS LÄN</t>
        </is>
      </c>
      <c r="E973" t="inlineStr">
        <is>
          <t>HÄRJEDALEN</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18334-2023</t>
        </is>
      </c>
      <c r="B974" s="1" t="n">
        <v>45041</v>
      </c>
      <c r="C974" s="1" t="n">
        <v>45784</v>
      </c>
      <c r="D974" t="inlineStr">
        <is>
          <t>JÄMTLANDS LÄN</t>
        </is>
      </c>
      <c r="E974" t="inlineStr">
        <is>
          <t>HÄRJEDALEN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18258-2023</t>
        </is>
      </c>
      <c r="B975" s="1" t="n">
        <v>45041</v>
      </c>
      <c r="C975" s="1" t="n">
        <v>45784</v>
      </c>
      <c r="D975" t="inlineStr">
        <is>
          <t>JÄMTLANDS LÄN</t>
        </is>
      </c>
      <c r="E975" t="inlineStr">
        <is>
          <t>HÄRJEDALEN</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45784</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18646-2023</t>
        </is>
      </c>
      <c r="B977" s="1" t="n">
        <v>45041</v>
      </c>
      <c r="C977" s="1" t="n">
        <v>45784</v>
      </c>
      <c r="D977" t="inlineStr">
        <is>
          <t>JÄMTLANDS LÄN</t>
        </is>
      </c>
      <c r="E977" t="inlineStr">
        <is>
          <t>HÄRJEDALEN</t>
        </is>
      </c>
      <c r="G977" t="n">
        <v>0.2</v>
      </c>
      <c r="H977" t="n">
        <v>0</v>
      </c>
      <c r="I977" t="n">
        <v>0</v>
      </c>
      <c r="J977" t="n">
        <v>0</v>
      </c>
      <c r="K977" t="n">
        <v>0</v>
      </c>
      <c r="L977" t="n">
        <v>0</v>
      </c>
      <c r="M977" t="n">
        <v>0</v>
      </c>
      <c r="N977" t="n">
        <v>0</v>
      </c>
      <c r="O977" t="n">
        <v>0</v>
      </c>
      <c r="P977" t="n">
        <v>0</v>
      </c>
      <c r="Q977" t="n">
        <v>0</v>
      </c>
      <c r="R977" s="2" t="inlineStr"/>
    </row>
    <row r="978" ht="15" customHeight="1">
      <c r="A978" t="inlineStr">
        <is>
          <t>A 18659-2023</t>
        </is>
      </c>
      <c r="B978" s="1" t="n">
        <v>45041</v>
      </c>
      <c r="C978" s="1" t="n">
        <v>45784</v>
      </c>
      <c r="D978" t="inlineStr">
        <is>
          <t>JÄMTLANDS LÄN</t>
        </is>
      </c>
      <c r="E978" t="inlineStr">
        <is>
          <t>HÄRJEDALEN</t>
        </is>
      </c>
      <c r="G978" t="n">
        <v>0.9</v>
      </c>
      <c r="H978" t="n">
        <v>0</v>
      </c>
      <c r="I978" t="n">
        <v>0</v>
      </c>
      <c r="J978" t="n">
        <v>0</v>
      </c>
      <c r="K978" t="n">
        <v>0</v>
      </c>
      <c r="L978" t="n">
        <v>0</v>
      </c>
      <c r="M978" t="n">
        <v>0</v>
      </c>
      <c r="N978" t="n">
        <v>0</v>
      </c>
      <c r="O978" t="n">
        <v>0</v>
      </c>
      <c r="P978" t="n">
        <v>0</v>
      </c>
      <c r="Q978" t="n">
        <v>0</v>
      </c>
      <c r="R978" s="2" t="inlineStr"/>
    </row>
    <row r="979" ht="15" customHeight="1">
      <c r="A979" t="inlineStr">
        <is>
          <t>A 18617-2023</t>
        </is>
      </c>
      <c r="B979" s="1" t="n">
        <v>45043</v>
      </c>
      <c r="C979" s="1" t="n">
        <v>45784</v>
      </c>
      <c r="D979" t="inlineStr">
        <is>
          <t>JÄMTLANDS LÄN</t>
        </is>
      </c>
      <c r="E979" t="inlineStr">
        <is>
          <t>HÄRJEDALEN</t>
        </is>
      </c>
      <c r="G979" t="n">
        <v>15.1</v>
      </c>
      <c r="H979" t="n">
        <v>0</v>
      </c>
      <c r="I979" t="n">
        <v>0</v>
      </c>
      <c r="J979" t="n">
        <v>0</v>
      </c>
      <c r="K979" t="n">
        <v>0</v>
      </c>
      <c r="L979" t="n">
        <v>0</v>
      </c>
      <c r="M979" t="n">
        <v>0</v>
      </c>
      <c r="N979" t="n">
        <v>0</v>
      </c>
      <c r="O979" t="n">
        <v>0</v>
      </c>
      <c r="P979" t="n">
        <v>0</v>
      </c>
      <c r="Q979" t="n">
        <v>0</v>
      </c>
      <c r="R979" s="2" t="inlineStr"/>
    </row>
    <row r="980" ht="15" customHeight="1">
      <c r="A980" t="inlineStr">
        <is>
          <t>A 18875-2023</t>
        </is>
      </c>
      <c r="B980" s="1" t="n">
        <v>45044</v>
      </c>
      <c r="C980" s="1" t="n">
        <v>45784</v>
      </c>
      <c r="D980" t="inlineStr">
        <is>
          <t>JÄMTLANDS LÄN</t>
        </is>
      </c>
      <c r="E980" t="inlineStr">
        <is>
          <t>HÄRJEDALEN</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v>
      </c>
      <c r="C981" s="1" t="n">
        <v>45784</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19337-2023</t>
        </is>
      </c>
      <c r="B982" s="1" t="n">
        <v>45049</v>
      </c>
      <c r="C982" s="1" t="n">
        <v>45784</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19730-2023</t>
        </is>
      </c>
      <c r="B983" s="1" t="n">
        <v>45050</v>
      </c>
      <c r="C983" s="1" t="n">
        <v>45784</v>
      </c>
      <c r="D983" t="inlineStr">
        <is>
          <t>JÄMTLANDS LÄN</t>
        </is>
      </c>
      <c r="E983" t="inlineStr">
        <is>
          <t>HÄRJEDALEN</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19915-2023</t>
        </is>
      </c>
      <c r="B984" s="1" t="n">
        <v>45054</v>
      </c>
      <c r="C984" s="1" t="n">
        <v>45784</v>
      </c>
      <c r="D984" t="inlineStr">
        <is>
          <t>JÄMTLANDS LÄN</t>
        </is>
      </c>
      <c r="E984" t="inlineStr">
        <is>
          <t>HÄRJEDALEN</t>
        </is>
      </c>
      <c r="F984" t="inlineStr">
        <is>
          <t>Sveaskog</t>
        </is>
      </c>
      <c r="G984" t="n">
        <v>0.1</v>
      </c>
      <c r="H984" t="n">
        <v>0</v>
      </c>
      <c r="I984" t="n">
        <v>0</v>
      </c>
      <c r="J984" t="n">
        <v>0</v>
      </c>
      <c r="K984" t="n">
        <v>0</v>
      </c>
      <c r="L984" t="n">
        <v>0</v>
      </c>
      <c r="M984" t="n">
        <v>0</v>
      </c>
      <c r="N984" t="n">
        <v>0</v>
      </c>
      <c r="O984" t="n">
        <v>0</v>
      </c>
      <c r="P984" t="n">
        <v>0</v>
      </c>
      <c r="Q984" t="n">
        <v>0</v>
      </c>
      <c r="R984" s="2" t="inlineStr"/>
    </row>
    <row r="985" ht="15" customHeight="1">
      <c r="A985" t="inlineStr">
        <is>
          <t>A 19981-2023</t>
        </is>
      </c>
      <c r="B985" s="1" t="n">
        <v>45054</v>
      </c>
      <c r="C985" s="1" t="n">
        <v>45784</v>
      </c>
      <c r="D985" t="inlineStr">
        <is>
          <t>JÄMTLANDS LÄN</t>
        </is>
      </c>
      <c r="E985" t="inlineStr">
        <is>
          <t>HÄRJEDALEN</t>
        </is>
      </c>
      <c r="G985" t="n">
        <v>13.5</v>
      </c>
      <c r="H985" t="n">
        <v>0</v>
      </c>
      <c r="I985" t="n">
        <v>0</v>
      </c>
      <c r="J985" t="n">
        <v>0</v>
      </c>
      <c r="K985" t="n">
        <v>0</v>
      </c>
      <c r="L985" t="n">
        <v>0</v>
      </c>
      <c r="M985" t="n">
        <v>0</v>
      </c>
      <c r="N985" t="n">
        <v>0</v>
      </c>
      <c r="O985" t="n">
        <v>0</v>
      </c>
      <c r="P985" t="n">
        <v>0</v>
      </c>
      <c r="Q985" t="n">
        <v>0</v>
      </c>
      <c r="R985" s="2" t="inlineStr"/>
    </row>
    <row r="986" ht="15" customHeight="1">
      <c r="A986" t="inlineStr">
        <is>
          <t>A 20539-2023</t>
        </is>
      </c>
      <c r="B986" s="1" t="n">
        <v>45055</v>
      </c>
      <c r="C986" s="1" t="n">
        <v>45784</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20851-2023</t>
        </is>
      </c>
      <c r="B987" s="1" t="n">
        <v>45056</v>
      </c>
      <c r="C987" s="1" t="n">
        <v>45784</v>
      </c>
      <c r="D987" t="inlineStr">
        <is>
          <t>JÄMTLANDS LÄN</t>
        </is>
      </c>
      <c r="E987" t="inlineStr">
        <is>
          <t>HÄRJEDALEN</t>
        </is>
      </c>
      <c r="F987" t="inlineStr">
        <is>
          <t>Holmen skog AB</t>
        </is>
      </c>
      <c r="G987" t="n">
        <v>41.1</v>
      </c>
      <c r="H987" t="n">
        <v>0</v>
      </c>
      <c r="I987" t="n">
        <v>0</v>
      </c>
      <c r="J987" t="n">
        <v>0</v>
      </c>
      <c r="K987" t="n">
        <v>0</v>
      </c>
      <c r="L987" t="n">
        <v>0</v>
      </c>
      <c r="M987" t="n">
        <v>0</v>
      </c>
      <c r="N987" t="n">
        <v>0</v>
      </c>
      <c r="O987" t="n">
        <v>0</v>
      </c>
      <c r="P987" t="n">
        <v>0</v>
      </c>
      <c r="Q987" t="n">
        <v>0</v>
      </c>
      <c r="R987" s="2" t="inlineStr"/>
    </row>
    <row r="988" ht="15" customHeight="1">
      <c r="A988" t="inlineStr">
        <is>
          <t>A 20609-2023</t>
        </is>
      </c>
      <c r="B988" s="1" t="n">
        <v>45057</v>
      </c>
      <c r="C988" s="1" t="n">
        <v>45784</v>
      </c>
      <c r="D988" t="inlineStr">
        <is>
          <t>JÄMTLANDS LÄN</t>
        </is>
      </c>
      <c r="E988" t="inlineStr">
        <is>
          <t>HÄRJEDALEN</t>
        </is>
      </c>
      <c r="F988" t="inlineStr">
        <is>
          <t>SCA</t>
        </is>
      </c>
      <c r="G988" t="n">
        <v>15.6</v>
      </c>
      <c r="H988" t="n">
        <v>0</v>
      </c>
      <c r="I988" t="n">
        <v>0</v>
      </c>
      <c r="J988" t="n">
        <v>0</v>
      </c>
      <c r="K988" t="n">
        <v>0</v>
      </c>
      <c r="L988" t="n">
        <v>0</v>
      </c>
      <c r="M988" t="n">
        <v>0</v>
      </c>
      <c r="N988" t="n">
        <v>0</v>
      </c>
      <c r="O988" t="n">
        <v>0</v>
      </c>
      <c r="P988" t="n">
        <v>0</v>
      </c>
      <c r="Q988" t="n">
        <v>0</v>
      </c>
      <c r="R988" s="2" t="inlineStr"/>
      <c r="U988">
        <f>HYPERLINK("https://klasma.github.io/Logging_2361/knärot/A 20609-2023 karta knärot.png", "A 20609-2023")</f>
        <v/>
      </c>
      <c r="V988">
        <f>HYPERLINK("https://klasma.github.io/Logging_2361/klagomål/A 20609-2023 FSC-klagomål.docx", "A 20609-2023")</f>
        <v/>
      </c>
      <c r="W988">
        <f>HYPERLINK("https://klasma.github.io/Logging_2361/klagomålsmail/A 20609-2023 FSC-klagomål mail.docx", "A 20609-2023")</f>
        <v/>
      </c>
      <c r="X988">
        <f>HYPERLINK("https://klasma.github.io/Logging_2361/tillsyn/A 20609-2023 tillsynsbegäran.docx", "A 20609-2023")</f>
        <v/>
      </c>
      <c r="Y988">
        <f>HYPERLINK("https://klasma.github.io/Logging_2361/tillsynsmail/A 20609-2023 tillsynsbegäran mail.docx", "A 20609-2023")</f>
        <v/>
      </c>
    </row>
    <row r="989" ht="15" customHeight="1">
      <c r="A989" t="inlineStr">
        <is>
          <t>A 20768-2023</t>
        </is>
      </c>
      <c r="B989" s="1" t="n">
        <v>45058</v>
      </c>
      <c r="C989" s="1" t="n">
        <v>45784</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20718-2023</t>
        </is>
      </c>
      <c r="B990" s="1" t="n">
        <v>45058</v>
      </c>
      <c r="C990" s="1" t="n">
        <v>45784</v>
      </c>
      <c r="D990" t="inlineStr">
        <is>
          <t>JÄMTLANDS LÄN</t>
        </is>
      </c>
      <c r="E990" t="inlineStr">
        <is>
          <t>HÄRJEDALEN</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20935-2023</t>
        </is>
      </c>
      <c r="B991" s="1" t="n">
        <v>45061</v>
      </c>
      <c r="C991" s="1" t="n">
        <v>45784</v>
      </c>
      <c r="D991" t="inlineStr">
        <is>
          <t>JÄMTLANDS LÄN</t>
        </is>
      </c>
      <c r="E991" t="inlineStr">
        <is>
          <t>HÄRJEDALEN</t>
        </is>
      </c>
      <c r="G991" t="n">
        <v>7.3</v>
      </c>
      <c r="H991" t="n">
        <v>0</v>
      </c>
      <c r="I991" t="n">
        <v>0</v>
      </c>
      <c r="J991" t="n">
        <v>0</v>
      </c>
      <c r="K991" t="n">
        <v>0</v>
      </c>
      <c r="L991" t="n">
        <v>0</v>
      </c>
      <c r="M991" t="n">
        <v>0</v>
      </c>
      <c r="N991" t="n">
        <v>0</v>
      </c>
      <c r="O991" t="n">
        <v>0</v>
      </c>
      <c r="P991" t="n">
        <v>0</v>
      </c>
      <c r="Q991" t="n">
        <v>0</v>
      </c>
      <c r="R991" s="2" t="inlineStr"/>
    </row>
    <row r="992" ht="15" customHeight="1">
      <c r="A992" t="inlineStr">
        <is>
          <t>A 21050-2023</t>
        </is>
      </c>
      <c r="B992" s="1" t="n">
        <v>45061</v>
      </c>
      <c r="C992" s="1" t="n">
        <v>45784</v>
      </c>
      <c r="D992" t="inlineStr">
        <is>
          <t>JÄMTLANDS LÄN</t>
        </is>
      </c>
      <c r="E992" t="inlineStr">
        <is>
          <t>HÄRJEDALEN</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21054-2023</t>
        </is>
      </c>
      <c r="B993" s="1" t="n">
        <v>45061</v>
      </c>
      <c r="C993" s="1" t="n">
        <v>45784</v>
      </c>
      <c r="D993" t="inlineStr">
        <is>
          <t>JÄMTLANDS LÄN</t>
        </is>
      </c>
      <c r="E993" t="inlineStr">
        <is>
          <t>HÄRJEDALEN</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21517-2023</t>
        </is>
      </c>
      <c r="B994" s="1" t="n">
        <v>45063</v>
      </c>
      <c r="C994" s="1" t="n">
        <v>45784</v>
      </c>
      <c r="D994" t="inlineStr">
        <is>
          <t>JÄMTLANDS LÄN</t>
        </is>
      </c>
      <c r="E994" t="inlineStr">
        <is>
          <t>HÄRJEDALEN</t>
        </is>
      </c>
      <c r="G994" t="n">
        <v>9</v>
      </c>
      <c r="H994" t="n">
        <v>0</v>
      </c>
      <c r="I994" t="n">
        <v>0</v>
      </c>
      <c r="J994" t="n">
        <v>0</v>
      </c>
      <c r="K994" t="n">
        <v>0</v>
      </c>
      <c r="L994" t="n">
        <v>0</v>
      </c>
      <c r="M994" t="n">
        <v>0</v>
      </c>
      <c r="N994" t="n">
        <v>0</v>
      </c>
      <c r="O994" t="n">
        <v>0</v>
      </c>
      <c r="P994" t="n">
        <v>0</v>
      </c>
      <c r="Q994" t="n">
        <v>0</v>
      </c>
      <c r="R994" s="2" t="inlineStr"/>
    </row>
    <row r="995" ht="15" customHeight="1">
      <c r="A995" t="inlineStr">
        <is>
          <t>A 21531-2023</t>
        </is>
      </c>
      <c r="B995" s="1" t="n">
        <v>45063</v>
      </c>
      <c r="C995" s="1" t="n">
        <v>45784</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21439-2023</t>
        </is>
      </c>
      <c r="B996" s="1" t="n">
        <v>45063</v>
      </c>
      <c r="C996" s="1" t="n">
        <v>45784</v>
      </c>
      <c r="D996" t="inlineStr">
        <is>
          <t>JÄMTLANDS LÄN</t>
        </is>
      </c>
      <c r="E996" t="inlineStr">
        <is>
          <t>HÄRJEDALEN</t>
        </is>
      </c>
      <c r="G996" t="n">
        <v>57</v>
      </c>
      <c r="H996" t="n">
        <v>0</v>
      </c>
      <c r="I996" t="n">
        <v>0</v>
      </c>
      <c r="J996" t="n">
        <v>0</v>
      </c>
      <c r="K996" t="n">
        <v>0</v>
      </c>
      <c r="L996" t="n">
        <v>0</v>
      </c>
      <c r="M996" t="n">
        <v>0</v>
      </c>
      <c r="N996" t="n">
        <v>0</v>
      </c>
      <c r="O996" t="n">
        <v>0</v>
      </c>
      <c r="P996" t="n">
        <v>0</v>
      </c>
      <c r="Q996" t="n">
        <v>0</v>
      </c>
      <c r="R996" s="2" t="inlineStr"/>
    </row>
    <row r="997" ht="15" customHeight="1">
      <c r="A997" t="inlineStr">
        <is>
          <t>A 21521-2023</t>
        </is>
      </c>
      <c r="B997" s="1" t="n">
        <v>45063</v>
      </c>
      <c r="C997" s="1" t="n">
        <v>45784</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21525-2023</t>
        </is>
      </c>
      <c r="B998" s="1" t="n">
        <v>45063</v>
      </c>
      <c r="C998" s="1" t="n">
        <v>45784</v>
      </c>
      <c r="D998" t="inlineStr">
        <is>
          <t>JÄMTLANDS LÄN</t>
        </is>
      </c>
      <c r="E998" t="inlineStr">
        <is>
          <t>HÄRJEDALEN</t>
        </is>
      </c>
      <c r="G998" t="n">
        <v>20</v>
      </c>
      <c r="H998" t="n">
        <v>0</v>
      </c>
      <c r="I998" t="n">
        <v>0</v>
      </c>
      <c r="J998" t="n">
        <v>0</v>
      </c>
      <c r="K998" t="n">
        <v>0</v>
      </c>
      <c r="L998" t="n">
        <v>0</v>
      </c>
      <c r="M998" t="n">
        <v>0</v>
      </c>
      <c r="N998" t="n">
        <v>0</v>
      </c>
      <c r="O998" t="n">
        <v>0</v>
      </c>
      <c r="P998" t="n">
        <v>0</v>
      </c>
      <c r="Q998" t="n">
        <v>0</v>
      </c>
      <c r="R998" s="2" t="inlineStr"/>
    </row>
    <row r="999" ht="15" customHeight="1">
      <c r="A999" t="inlineStr">
        <is>
          <t>A 21530-2023</t>
        </is>
      </c>
      <c r="B999" s="1" t="n">
        <v>45063</v>
      </c>
      <c r="C999" s="1" t="n">
        <v>45784</v>
      </c>
      <c r="D999" t="inlineStr">
        <is>
          <t>JÄMTLANDS LÄN</t>
        </is>
      </c>
      <c r="E999" t="inlineStr">
        <is>
          <t>HÄRJEDALEN</t>
        </is>
      </c>
      <c r="G999" t="n">
        <v>15.3</v>
      </c>
      <c r="H999" t="n">
        <v>0</v>
      </c>
      <c r="I999" t="n">
        <v>0</v>
      </c>
      <c r="J999" t="n">
        <v>0</v>
      </c>
      <c r="K999" t="n">
        <v>0</v>
      </c>
      <c r="L999" t="n">
        <v>0</v>
      </c>
      <c r="M999" t="n">
        <v>0</v>
      </c>
      <c r="N999" t="n">
        <v>0</v>
      </c>
      <c r="O999" t="n">
        <v>0</v>
      </c>
      <c r="P999" t="n">
        <v>0</v>
      </c>
      <c r="Q999" t="n">
        <v>0</v>
      </c>
      <c r="R999" s="2" t="inlineStr"/>
    </row>
    <row r="1000" ht="15" customHeight="1">
      <c r="A1000" t="inlineStr">
        <is>
          <t>A 21645-2023</t>
        </is>
      </c>
      <c r="B1000" s="1" t="n">
        <v>45063</v>
      </c>
      <c r="C1000" s="1" t="n">
        <v>45784</v>
      </c>
      <c r="D1000" t="inlineStr">
        <is>
          <t>JÄMTLANDS LÄN</t>
        </is>
      </c>
      <c r="E1000" t="inlineStr">
        <is>
          <t>HÄRJEDALEN</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21646-2023</t>
        </is>
      </c>
      <c r="B1001" s="1" t="n">
        <v>45063</v>
      </c>
      <c r="C1001" s="1" t="n">
        <v>45784</v>
      </c>
      <c r="D1001" t="inlineStr">
        <is>
          <t>JÄMTLANDS LÄN</t>
        </is>
      </c>
      <c r="E1001" t="inlineStr">
        <is>
          <t>HÄRJEDALEN</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21665-2023</t>
        </is>
      </c>
      <c r="B1002" s="1" t="n">
        <v>45063</v>
      </c>
      <c r="C1002" s="1" t="n">
        <v>45784</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45064</v>
      </c>
      <c r="C1003" s="1" t="n">
        <v>45784</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22674-2023</t>
        </is>
      </c>
      <c r="B1004" s="1" t="n">
        <v>45071</v>
      </c>
      <c r="C1004" s="1" t="n">
        <v>45784</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22728-2023</t>
        </is>
      </c>
      <c r="B1005" s="1" t="n">
        <v>45072</v>
      </c>
      <c r="C1005" s="1" t="n">
        <v>45784</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22747-2023</t>
        </is>
      </c>
      <c r="B1006" s="1" t="n">
        <v>45071</v>
      </c>
      <c r="C1006" s="1" t="n">
        <v>45784</v>
      </c>
      <c r="D1006" t="inlineStr">
        <is>
          <t>JÄMTLANDS LÄN</t>
        </is>
      </c>
      <c r="E1006" t="inlineStr">
        <is>
          <t>HÄRJEDALEN</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22746-2023</t>
        </is>
      </c>
      <c r="B1007" s="1" t="n">
        <v>45071</v>
      </c>
      <c r="C1007" s="1" t="n">
        <v>45784</v>
      </c>
      <c r="D1007" t="inlineStr">
        <is>
          <t>JÄMTLANDS LÄN</t>
        </is>
      </c>
      <c r="E1007" t="inlineStr">
        <is>
          <t>HÄRJEDALEN</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22729-2023</t>
        </is>
      </c>
      <c r="B1008" s="1" t="n">
        <v>45072</v>
      </c>
      <c r="C1008" s="1" t="n">
        <v>45784</v>
      </c>
      <c r="D1008" t="inlineStr">
        <is>
          <t>JÄMTLANDS LÄN</t>
        </is>
      </c>
      <c r="E1008" t="inlineStr">
        <is>
          <t>HÄRJEDALEN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23186-2023</t>
        </is>
      </c>
      <c r="B1009" s="1" t="n">
        <v>45075</v>
      </c>
      <c r="C1009" s="1" t="n">
        <v>45784</v>
      </c>
      <c r="D1009" t="inlineStr">
        <is>
          <t>JÄMTLANDS LÄN</t>
        </is>
      </c>
      <c r="E1009" t="inlineStr">
        <is>
          <t>HÄRJEDALEN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23185-2023</t>
        </is>
      </c>
      <c r="B1010" s="1" t="n">
        <v>45075</v>
      </c>
      <c r="C1010" s="1" t="n">
        <v>45784</v>
      </c>
      <c r="D1010" t="inlineStr">
        <is>
          <t>JÄMTLANDS LÄN</t>
        </is>
      </c>
      <c r="E1010" t="inlineStr">
        <is>
          <t>HÄRJEDALEN</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23356-2023</t>
        </is>
      </c>
      <c r="B1011" s="1" t="n">
        <v>45076</v>
      </c>
      <c r="C1011" s="1" t="n">
        <v>45784</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23465-2023</t>
        </is>
      </c>
      <c r="B1012" s="1" t="n">
        <v>45076</v>
      </c>
      <c r="C1012" s="1" t="n">
        <v>45784</v>
      </c>
      <c r="D1012" t="inlineStr">
        <is>
          <t>JÄMTLANDS LÄN</t>
        </is>
      </c>
      <c r="E1012" t="inlineStr">
        <is>
          <t>HÄRJEDALEN</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23895-2023</t>
        </is>
      </c>
      <c r="B1013" s="1" t="n">
        <v>45078</v>
      </c>
      <c r="C1013" s="1" t="n">
        <v>45784</v>
      </c>
      <c r="D1013" t="inlineStr">
        <is>
          <t>JÄMTLANDS LÄN</t>
        </is>
      </c>
      <c r="E1013" t="inlineStr">
        <is>
          <t>HÄRJEDALEN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23908-2023</t>
        </is>
      </c>
      <c r="B1014" s="1" t="n">
        <v>45078</v>
      </c>
      <c r="C1014" s="1" t="n">
        <v>45784</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24240-2023</t>
        </is>
      </c>
      <c r="B1015" s="1" t="n">
        <v>45079</v>
      </c>
      <c r="C1015" s="1" t="n">
        <v>45784</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24238-2023</t>
        </is>
      </c>
      <c r="B1016" s="1" t="n">
        <v>45079</v>
      </c>
      <c r="C1016" s="1" t="n">
        <v>45784</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24255-2023</t>
        </is>
      </c>
      <c r="B1017" s="1" t="n">
        <v>45079</v>
      </c>
      <c r="C1017" s="1" t="n">
        <v>45784</v>
      </c>
      <c r="D1017" t="inlineStr">
        <is>
          <t>JÄMTLANDS LÄN</t>
        </is>
      </c>
      <c r="E1017" t="inlineStr">
        <is>
          <t>HÄRJEDALEN</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24220-2023</t>
        </is>
      </c>
      <c r="B1018" s="1" t="n">
        <v>45079</v>
      </c>
      <c r="C1018" s="1" t="n">
        <v>45784</v>
      </c>
      <c r="D1018" t="inlineStr">
        <is>
          <t>JÄMTLANDS LÄN</t>
        </is>
      </c>
      <c r="E1018" t="inlineStr">
        <is>
          <t>HÄRJEDALEN</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25536-2023</t>
        </is>
      </c>
      <c r="B1019" s="1" t="n">
        <v>45082</v>
      </c>
      <c r="C1019" s="1" t="n">
        <v>45784</v>
      </c>
      <c r="D1019" t="inlineStr">
        <is>
          <t>JÄMTLANDS LÄN</t>
        </is>
      </c>
      <c r="E1019" t="inlineStr">
        <is>
          <t>HÄRJEDALEN</t>
        </is>
      </c>
      <c r="F1019" t="inlineStr">
        <is>
          <t>Bergvik skog väst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25526-2023</t>
        </is>
      </c>
      <c r="B1020" s="1" t="n">
        <v>45082</v>
      </c>
      <c r="C1020" s="1" t="n">
        <v>45784</v>
      </c>
      <c r="D1020" t="inlineStr">
        <is>
          <t>JÄMTLANDS LÄN</t>
        </is>
      </c>
      <c r="E1020" t="inlineStr">
        <is>
          <t>HÄRJEDALEN</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25582-2023</t>
        </is>
      </c>
      <c r="B1021" s="1" t="n">
        <v>45082</v>
      </c>
      <c r="C1021" s="1" t="n">
        <v>45784</v>
      </c>
      <c r="D1021" t="inlineStr">
        <is>
          <t>JÄMTLANDS LÄN</t>
        </is>
      </c>
      <c r="E1021" t="inlineStr">
        <is>
          <t>HÄRJEDALEN</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24834-2023</t>
        </is>
      </c>
      <c r="B1022" s="1" t="n">
        <v>45084</v>
      </c>
      <c r="C1022" s="1" t="n">
        <v>45784</v>
      </c>
      <c r="D1022" t="inlineStr">
        <is>
          <t>JÄMTLANDS LÄN</t>
        </is>
      </c>
      <c r="E1022" t="inlineStr">
        <is>
          <t>HÄRJEDALEN</t>
        </is>
      </c>
      <c r="F1022" t="inlineStr">
        <is>
          <t>SCA</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24835-2023</t>
        </is>
      </c>
      <c r="B1023" s="1" t="n">
        <v>45084</v>
      </c>
      <c r="C1023" s="1" t="n">
        <v>45784</v>
      </c>
      <c r="D1023" t="inlineStr">
        <is>
          <t>JÄMTLANDS LÄN</t>
        </is>
      </c>
      <c r="E1023" t="inlineStr">
        <is>
          <t>HÄRJEDALEN</t>
        </is>
      </c>
      <c r="F1023" t="inlineStr">
        <is>
          <t>SCA</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25018-2023</t>
        </is>
      </c>
      <c r="B1024" s="1" t="n">
        <v>45085</v>
      </c>
      <c r="C1024" s="1" t="n">
        <v>45784</v>
      </c>
      <c r="D1024" t="inlineStr">
        <is>
          <t>JÄMTLANDS LÄN</t>
        </is>
      </c>
      <c r="E1024" t="inlineStr">
        <is>
          <t>HÄRJEDALEN</t>
        </is>
      </c>
      <c r="F1024" t="inlineStr">
        <is>
          <t>Sveaskog</t>
        </is>
      </c>
      <c r="G1024" t="n">
        <v>39.7</v>
      </c>
      <c r="H1024" t="n">
        <v>0</v>
      </c>
      <c r="I1024" t="n">
        <v>0</v>
      </c>
      <c r="J1024" t="n">
        <v>0</v>
      </c>
      <c r="K1024" t="n">
        <v>0</v>
      </c>
      <c r="L1024" t="n">
        <v>0</v>
      </c>
      <c r="M1024" t="n">
        <v>0</v>
      </c>
      <c r="N1024" t="n">
        <v>0</v>
      </c>
      <c r="O1024" t="n">
        <v>0</v>
      </c>
      <c r="P1024" t="n">
        <v>0</v>
      </c>
      <c r="Q1024" t="n">
        <v>0</v>
      </c>
      <c r="R1024" s="2" t="inlineStr"/>
    </row>
    <row r="1025" ht="15" customHeight="1">
      <c r="A1025" t="inlineStr">
        <is>
          <t>A 24964-2023</t>
        </is>
      </c>
      <c r="B1025" s="1" t="n">
        <v>45085</v>
      </c>
      <c r="C1025" s="1" t="n">
        <v>45784</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25181-2023</t>
        </is>
      </c>
      <c r="B1026" s="1" t="n">
        <v>45086</v>
      </c>
      <c r="C1026" s="1" t="n">
        <v>45784</v>
      </c>
      <c r="D1026" t="inlineStr">
        <is>
          <t>JÄMTLANDS LÄN</t>
        </is>
      </c>
      <c r="E1026" t="inlineStr">
        <is>
          <t>HÄRJEDALEN</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25485-2023</t>
        </is>
      </c>
      <c r="B1027" s="1" t="n">
        <v>45089</v>
      </c>
      <c r="C1027" s="1" t="n">
        <v>45784</v>
      </c>
      <c r="D1027" t="inlineStr">
        <is>
          <t>JÄMTLANDS LÄN</t>
        </is>
      </c>
      <c r="E1027" t="inlineStr">
        <is>
          <t>HÄRJEDALEN</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26411-2023</t>
        </is>
      </c>
      <c r="B1028" s="1" t="n">
        <v>45092</v>
      </c>
      <c r="C1028" s="1" t="n">
        <v>45784</v>
      </c>
      <c r="D1028" t="inlineStr">
        <is>
          <t>JÄMTLANDS LÄN</t>
        </is>
      </c>
      <c r="E1028" t="inlineStr">
        <is>
          <t>HÄRJEDALEN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26701-2023</t>
        </is>
      </c>
      <c r="B1029" s="1" t="n">
        <v>45093</v>
      </c>
      <c r="C1029" s="1" t="n">
        <v>45784</v>
      </c>
      <c r="D1029" t="inlineStr">
        <is>
          <t>JÄMTLANDS LÄN</t>
        </is>
      </c>
      <c r="E1029" t="inlineStr">
        <is>
          <t>HÄRJEDALEN</t>
        </is>
      </c>
      <c r="F1029" t="inlineStr">
        <is>
          <t>Bergvik skog väst AB</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26902-2023</t>
        </is>
      </c>
      <c r="B1030" s="1" t="n">
        <v>45093</v>
      </c>
      <c r="C1030" s="1" t="n">
        <v>45784</v>
      </c>
      <c r="D1030" t="inlineStr">
        <is>
          <t>JÄMTLANDS LÄN</t>
        </is>
      </c>
      <c r="E1030" t="inlineStr">
        <is>
          <t>HÄRJEDALEN</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26905-2023</t>
        </is>
      </c>
      <c r="B1031" s="1" t="n">
        <v>45093</v>
      </c>
      <c r="C1031" s="1" t="n">
        <v>45784</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27136-2023</t>
        </is>
      </c>
      <c r="B1032" s="1" t="n">
        <v>45096</v>
      </c>
      <c r="C1032" s="1" t="n">
        <v>45784</v>
      </c>
      <c r="D1032" t="inlineStr">
        <is>
          <t>JÄMTLANDS LÄN</t>
        </is>
      </c>
      <c r="E1032" t="inlineStr">
        <is>
          <t>HÄRJEDALEN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27261-2023</t>
        </is>
      </c>
      <c r="B1033" s="1" t="n">
        <v>45096</v>
      </c>
      <c r="C1033" s="1" t="n">
        <v>45784</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27541-2023</t>
        </is>
      </c>
      <c r="B1034" s="1" t="n">
        <v>45097</v>
      </c>
      <c r="C1034" s="1" t="n">
        <v>45784</v>
      </c>
      <c r="D1034" t="inlineStr">
        <is>
          <t>JÄMTLANDS LÄN</t>
        </is>
      </c>
      <c r="E1034" t="inlineStr">
        <is>
          <t>HÄRJEDALEN</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27764-2023</t>
        </is>
      </c>
      <c r="B1035" s="1" t="n">
        <v>45098</v>
      </c>
      <c r="C1035" s="1" t="n">
        <v>45784</v>
      </c>
      <c r="D1035" t="inlineStr">
        <is>
          <t>JÄMTLANDS LÄN</t>
        </is>
      </c>
      <c r="E1035" t="inlineStr">
        <is>
          <t>HÄRJEDALEN</t>
        </is>
      </c>
      <c r="G1035" t="n">
        <v>66.40000000000001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27812-2023</t>
        </is>
      </c>
      <c r="B1036" s="1" t="n">
        <v>45098</v>
      </c>
      <c r="C1036" s="1" t="n">
        <v>45784</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27940-2023</t>
        </is>
      </c>
      <c r="B1037" s="1" t="n">
        <v>45098</v>
      </c>
      <c r="C1037" s="1" t="n">
        <v>45784</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28078-2023</t>
        </is>
      </c>
      <c r="B1038" s="1" t="n">
        <v>45099</v>
      </c>
      <c r="C1038" s="1" t="n">
        <v>45784</v>
      </c>
      <c r="D1038" t="inlineStr">
        <is>
          <t>JÄMTLANDS LÄN</t>
        </is>
      </c>
      <c r="E1038" t="inlineStr">
        <is>
          <t>HÄRJEDALEN</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28059-2023</t>
        </is>
      </c>
      <c r="B1039" s="1" t="n">
        <v>45099</v>
      </c>
      <c r="C1039" s="1" t="n">
        <v>45784</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28209-2023</t>
        </is>
      </c>
      <c r="B1040" s="1" t="n">
        <v>45099</v>
      </c>
      <c r="C1040" s="1" t="n">
        <v>45784</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28802-2023</t>
        </is>
      </c>
      <c r="B1041" s="1" t="n">
        <v>45104</v>
      </c>
      <c r="C1041" s="1" t="n">
        <v>45784</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29067-2023</t>
        </is>
      </c>
      <c r="B1042" s="1" t="n">
        <v>45104</v>
      </c>
      <c r="C1042" s="1" t="n">
        <v>45784</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29194-2023</t>
        </is>
      </c>
      <c r="B1043" s="1" t="n">
        <v>45105</v>
      </c>
      <c r="C1043" s="1" t="n">
        <v>45784</v>
      </c>
      <c r="D1043" t="inlineStr">
        <is>
          <t>JÄMTLANDS LÄN</t>
        </is>
      </c>
      <c r="E1043" t="inlineStr">
        <is>
          <t>HÄRJEDALEN</t>
        </is>
      </c>
      <c r="F1043" t="inlineStr">
        <is>
          <t>Bergvik skog väst AB</t>
        </is>
      </c>
      <c r="G1043" t="n">
        <v>21.4</v>
      </c>
      <c r="H1043" t="n">
        <v>0</v>
      </c>
      <c r="I1043" t="n">
        <v>0</v>
      </c>
      <c r="J1043" t="n">
        <v>0</v>
      </c>
      <c r="K1043" t="n">
        <v>0</v>
      </c>
      <c r="L1043" t="n">
        <v>0</v>
      </c>
      <c r="M1043" t="n">
        <v>0</v>
      </c>
      <c r="N1043" t="n">
        <v>0</v>
      </c>
      <c r="O1043" t="n">
        <v>0</v>
      </c>
      <c r="P1043" t="n">
        <v>0</v>
      </c>
      <c r="Q1043" t="n">
        <v>0</v>
      </c>
      <c r="R1043" s="2" t="inlineStr"/>
    </row>
    <row r="1044" ht="15" customHeight="1">
      <c r="A1044" t="inlineStr">
        <is>
          <t>A 29094-2023</t>
        </is>
      </c>
      <c r="B1044" s="1" t="n">
        <v>45105</v>
      </c>
      <c r="C1044" s="1" t="n">
        <v>45784</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29431-2023</t>
        </is>
      </c>
      <c r="B1045" s="1" t="n">
        <v>45106</v>
      </c>
      <c r="C1045" s="1" t="n">
        <v>45784</v>
      </c>
      <c r="D1045" t="inlineStr">
        <is>
          <t>JÄMTLANDS LÄN</t>
        </is>
      </c>
      <c r="E1045" t="inlineStr">
        <is>
          <t>HÄRJEDALEN</t>
        </is>
      </c>
      <c r="F1045" t="inlineStr">
        <is>
          <t>Bergvik skog väst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29772-2023</t>
        </is>
      </c>
      <c r="B1046" s="1" t="n">
        <v>45107</v>
      </c>
      <c r="C1046" s="1" t="n">
        <v>45784</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30411-2023</t>
        </is>
      </c>
      <c r="B1047" s="1" t="n">
        <v>45111</v>
      </c>
      <c r="C1047" s="1" t="n">
        <v>45784</v>
      </c>
      <c r="D1047" t="inlineStr">
        <is>
          <t>JÄMTLANDS LÄN</t>
        </is>
      </c>
      <c r="E1047" t="inlineStr">
        <is>
          <t>HÄRJEDALEN</t>
        </is>
      </c>
      <c r="F1047" t="inlineStr">
        <is>
          <t>Bergvik skog väst AB</t>
        </is>
      </c>
      <c r="G1047" t="n">
        <v>28.3</v>
      </c>
      <c r="H1047" t="n">
        <v>0</v>
      </c>
      <c r="I1047" t="n">
        <v>0</v>
      </c>
      <c r="J1047" t="n">
        <v>0</v>
      </c>
      <c r="K1047" t="n">
        <v>0</v>
      </c>
      <c r="L1047" t="n">
        <v>0</v>
      </c>
      <c r="M1047" t="n">
        <v>0</v>
      </c>
      <c r="N1047" t="n">
        <v>0</v>
      </c>
      <c r="O1047" t="n">
        <v>0</v>
      </c>
      <c r="P1047" t="n">
        <v>0</v>
      </c>
      <c r="Q1047" t="n">
        <v>0</v>
      </c>
      <c r="R1047" s="2" t="inlineStr"/>
    </row>
    <row r="1048" ht="15" customHeight="1">
      <c r="A1048" t="inlineStr">
        <is>
          <t>A 30435-2023</t>
        </is>
      </c>
      <c r="B1048" s="1" t="n">
        <v>45111</v>
      </c>
      <c r="C1048" s="1" t="n">
        <v>45784</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30751-2023</t>
        </is>
      </c>
      <c r="B1049" s="1" t="n">
        <v>45112</v>
      </c>
      <c r="C1049" s="1" t="n">
        <v>45784</v>
      </c>
      <c r="D1049" t="inlineStr">
        <is>
          <t>JÄMTLANDS LÄN</t>
        </is>
      </c>
      <c r="E1049" t="inlineStr">
        <is>
          <t>HÄRJEDALEN</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30709-2023</t>
        </is>
      </c>
      <c r="B1050" s="1" t="n">
        <v>45112</v>
      </c>
      <c r="C1050" s="1" t="n">
        <v>45784</v>
      </c>
      <c r="D1050" t="inlineStr">
        <is>
          <t>JÄMTLANDS LÄN</t>
        </is>
      </c>
      <c r="E1050" t="inlineStr">
        <is>
          <t>HÄRJEDALEN</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30984-2023</t>
        </is>
      </c>
      <c r="B1051" s="1" t="n">
        <v>45113</v>
      </c>
      <c r="C1051" s="1" t="n">
        <v>45784</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31269-2023</t>
        </is>
      </c>
      <c r="B1052" s="1" t="n">
        <v>45114</v>
      </c>
      <c r="C1052" s="1" t="n">
        <v>45784</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31435-2023</t>
        </is>
      </c>
      <c r="B1053" s="1" t="n">
        <v>45114</v>
      </c>
      <c r="C1053" s="1" t="n">
        <v>45784</v>
      </c>
      <c r="D1053" t="inlineStr">
        <is>
          <t>JÄMTLANDS LÄN</t>
        </is>
      </c>
      <c r="E1053" t="inlineStr">
        <is>
          <t>HÄRJEDALEN</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31778-2023</t>
        </is>
      </c>
      <c r="B1054" s="1" t="n">
        <v>45118</v>
      </c>
      <c r="C1054" s="1" t="n">
        <v>45784</v>
      </c>
      <c r="D1054" t="inlineStr">
        <is>
          <t>JÄMTLANDS LÄN</t>
        </is>
      </c>
      <c r="E1054" t="inlineStr">
        <is>
          <t>HÄRJEDALEN</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v>
      </c>
      <c r="C1055" s="1" t="n">
        <v>45784</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31910-2023</t>
        </is>
      </c>
      <c r="B1056" s="1" t="n">
        <v>45118</v>
      </c>
      <c r="C1056" s="1" t="n">
        <v>45784</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v>
      </c>
      <c r="C1057" s="1" t="n">
        <v>45784</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31996-2023</t>
        </is>
      </c>
      <c r="B1058" s="1" t="n">
        <v>45119</v>
      </c>
      <c r="C1058" s="1" t="n">
        <v>45784</v>
      </c>
      <c r="D1058" t="inlineStr">
        <is>
          <t>JÄMTLANDS LÄN</t>
        </is>
      </c>
      <c r="E1058" t="inlineStr">
        <is>
          <t>HÄRJEDALEN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31960-2023</t>
        </is>
      </c>
      <c r="B1059" s="1" t="n">
        <v>45119</v>
      </c>
      <c r="C1059" s="1" t="n">
        <v>45784</v>
      </c>
      <c r="D1059" t="inlineStr">
        <is>
          <t>JÄMTLANDS LÄN</t>
        </is>
      </c>
      <c r="E1059" t="inlineStr">
        <is>
          <t>HÄRJEDALEN</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31956-2023</t>
        </is>
      </c>
      <c r="B1060" s="1" t="n">
        <v>45119</v>
      </c>
      <c r="C1060" s="1" t="n">
        <v>45784</v>
      </c>
      <c r="D1060" t="inlineStr">
        <is>
          <t>JÄMTLANDS LÄN</t>
        </is>
      </c>
      <c r="E1060" t="inlineStr">
        <is>
          <t>HÄRJEDALEN</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31961-2023</t>
        </is>
      </c>
      <c r="B1061" s="1" t="n">
        <v>45119</v>
      </c>
      <c r="C1061" s="1" t="n">
        <v>45784</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33257-2023</t>
        </is>
      </c>
      <c r="B1062" s="1" t="n">
        <v>45127</v>
      </c>
      <c r="C1062" s="1" t="n">
        <v>45784</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33232-2023</t>
        </is>
      </c>
      <c r="B1063" s="1" t="n">
        <v>45127</v>
      </c>
      <c r="C1063" s="1" t="n">
        <v>45784</v>
      </c>
      <c r="D1063" t="inlineStr">
        <is>
          <t>JÄMTLANDS LÄN</t>
        </is>
      </c>
      <c r="E1063" t="inlineStr">
        <is>
          <t>HÄRJEDALEN</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33992-2023</t>
        </is>
      </c>
      <c r="B1064" s="1" t="n">
        <v>45134</v>
      </c>
      <c r="C1064" s="1" t="n">
        <v>45784</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34260-2023</t>
        </is>
      </c>
      <c r="B1065" s="1" t="n">
        <v>45138</v>
      </c>
      <c r="C1065" s="1" t="n">
        <v>45784</v>
      </c>
      <c r="D1065" t="inlineStr">
        <is>
          <t>JÄMTLANDS LÄN</t>
        </is>
      </c>
      <c r="E1065" t="inlineStr">
        <is>
          <t>HÄRJEDALEN</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34313-2023</t>
        </is>
      </c>
      <c r="B1066" s="1" t="n">
        <v>45139</v>
      </c>
      <c r="C1066" s="1" t="n">
        <v>45784</v>
      </c>
      <c r="D1066" t="inlineStr">
        <is>
          <t>JÄMTLANDS LÄN</t>
        </is>
      </c>
      <c r="E1066" t="inlineStr">
        <is>
          <t>HÄRJEDALEN</t>
        </is>
      </c>
      <c r="F1066" t="inlineStr">
        <is>
          <t>SCA</t>
        </is>
      </c>
      <c r="G1066" t="n">
        <v>31.6</v>
      </c>
      <c r="H1066" t="n">
        <v>0</v>
      </c>
      <c r="I1066" t="n">
        <v>0</v>
      </c>
      <c r="J1066" t="n">
        <v>0</v>
      </c>
      <c r="K1066" t="n">
        <v>0</v>
      </c>
      <c r="L1066" t="n">
        <v>0</v>
      </c>
      <c r="M1066" t="n">
        <v>0</v>
      </c>
      <c r="N1066" t="n">
        <v>0</v>
      </c>
      <c r="O1066" t="n">
        <v>0</v>
      </c>
      <c r="P1066" t="n">
        <v>0</v>
      </c>
      <c r="Q1066" t="n">
        <v>0</v>
      </c>
      <c r="R1066" s="2" t="inlineStr"/>
    </row>
    <row r="1067" ht="15" customHeight="1">
      <c r="A1067" t="inlineStr">
        <is>
          <t>A 34314-2023</t>
        </is>
      </c>
      <c r="B1067" s="1" t="n">
        <v>45138</v>
      </c>
      <c r="C1067" s="1" t="n">
        <v>45784</v>
      </c>
      <c r="D1067" t="inlineStr">
        <is>
          <t>JÄMTLANDS LÄN</t>
        </is>
      </c>
      <c r="E1067" t="inlineStr">
        <is>
          <t>HÄRJEDALEN</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35396-2023</t>
        </is>
      </c>
      <c r="B1068" s="1" t="n">
        <v>45146</v>
      </c>
      <c r="C1068" s="1" t="n">
        <v>45784</v>
      </c>
      <c r="D1068" t="inlineStr">
        <is>
          <t>JÄMTLANDS LÄN</t>
        </is>
      </c>
      <c r="E1068" t="inlineStr">
        <is>
          <t>HÄRJEDALEN</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35813-2023</t>
        </is>
      </c>
      <c r="B1069" s="1" t="n">
        <v>45147</v>
      </c>
      <c r="C1069" s="1" t="n">
        <v>45784</v>
      </c>
      <c r="D1069" t="inlineStr">
        <is>
          <t>JÄMTLANDS LÄN</t>
        </is>
      </c>
      <c r="E1069" t="inlineStr">
        <is>
          <t>HÄRJEDALEN</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35891-2023</t>
        </is>
      </c>
      <c r="B1070" s="1" t="n">
        <v>45148</v>
      </c>
      <c r="C1070" s="1" t="n">
        <v>45784</v>
      </c>
      <c r="D1070" t="inlineStr">
        <is>
          <t>JÄMTLANDS LÄN</t>
        </is>
      </c>
      <c r="E1070" t="inlineStr">
        <is>
          <t>HÄRJEDALEN</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36027-2023</t>
        </is>
      </c>
      <c r="B1071" s="1" t="n">
        <v>45149</v>
      </c>
      <c r="C1071" s="1" t="n">
        <v>45784</v>
      </c>
      <c r="D1071" t="inlineStr">
        <is>
          <t>JÄMTLANDS LÄN</t>
        </is>
      </c>
      <c r="E1071" t="inlineStr">
        <is>
          <t>HÄRJEDALEN</t>
        </is>
      </c>
      <c r="F1071" t="inlineStr">
        <is>
          <t>Bergvik skog väst AB</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36111-2023</t>
        </is>
      </c>
      <c r="B1072" s="1" t="n">
        <v>45149</v>
      </c>
      <c r="C1072" s="1" t="n">
        <v>45784</v>
      </c>
      <c r="D1072" t="inlineStr">
        <is>
          <t>JÄMTLANDS LÄN</t>
        </is>
      </c>
      <c r="E1072" t="inlineStr">
        <is>
          <t>HÄRJEDALEN</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36143-2023</t>
        </is>
      </c>
      <c r="B1073" s="1" t="n">
        <v>45149</v>
      </c>
      <c r="C1073" s="1" t="n">
        <v>45784</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36570-2023</t>
        </is>
      </c>
      <c r="B1074" s="1" t="n">
        <v>45153</v>
      </c>
      <c r="C1074" s="1" t="n">
        <v>45784</v>
      </c>
      <c r="D1074" t="inlineStr">
        <is>
          <t>JÄMTLANDS LÄN</t>
        </is>
      </c>
      <c r="E1074" t="inlineStr">
        <is>
          <t>HÄRJEDALEN</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36565-2023</t>
        </is>
      </c>
      <c r="B1075" s="1" t="n">
        <v>45153</v>
      </c>
      <c r="C1075" s="1" t="n">
        <v>45784</v>
      </c>
      <c r="D1075" t="inlineStr">
        <is>
          <t>JÄMTLANDS LÄN</t>
        </is>
      </c>
      <c r="E1075" t="inlineStr">
        <is>
          <t>HÄRJEDALEN</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36568-2023</t>
        </is>
      </c>
      <c r="B1076" s="1" t="n">
        <v>45153</v>
      </c>
      <c r="C1076" s="1" t="n">
        <v>45784</v>
      </c>
      <c r="D1076" t="inlineStr">
        <is>
          <t>JÄMTLANDS LÄN</t>
        </is>
      </c>
      <c r="E1076" t="inlineStr">
        <is>
          <t>HÄRJEDALEN</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36651-2023</t>
        </is>
      </c>
      <c r="B1077" s="1" t="n">
        <v>45153</v>
      </c>
      <c r="C1077" s="1" t="n">
        <v>45784</v>
      </c>
      <c r="D1077" t="inlineStr">
        <is>
          <t>JÄMTLANDS LÄN</t>
        </is>
      </c>
      <c r="E1077" t="inlineStr">
        <is>
          <t>HÄRJEDALEN</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36720-2023</t>
        </is>
      </c>
      <c r="B1078" s="1" t="n">
        <v>45153</v>
      </c>
      <c r="C1078" s="1" t="n">
        <v>45784</v>
      </c>
      <c r="D1078" t="inlineStr">
        <is>
          <t>JÄMTLANDS LÄN</t>
        </is>
      </c>
      <c r="E1078" t="inlineStr">
        <is>
          <t>HÄRJEDALEN</t>
        </is>
      </c>
      <c r="F1078" t="inlineStr">
        <is>
          <t>Bergvik skog väst AB</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36677-2023</t>
        </is>
      </c>
      <c r="B1079" s="1" t="n">
        <v>45153</v>
      </c>
      <c r="C1079" s="1" t="n">
        <v>45784</v>
      </c>
      <c r="D1079" t="inlineStr">
        <is>
          <t>JÄMTLANDS LÄN</t>
        </is>
      </c>
      <c r="E1079" t="inlineStr">
        <is>
          <t>HÄRJEDALEN</t>
        </is>
      </c>
      <c r="F1079" t="inlineStr">
        <is>
          <t>Bergvik skog väst AB</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45784</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45784</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36930-2023</t>
        </is>
      </c>
      <c r="B1082" s="1" t="n">
        <v>45154</v>
      </c>
      <c r="C1082" s="1" t="n">
        <v>45784</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36946-2023</t>
        </is>
      </c>
      <c r="B1083" s="1" t="n">
        <v>45154</v>
      </c>
      <c r="C1083" s="1" t="n">
        <v>45784</v>
      </c>
      <c r="D1083" t="inlineStr">
        <is>
          <t>JÄMTLANDS LÄN</t>
        </is>
      </c>
      <c r="E1083" t="inlineStr">
        <is>
          <t>HÄRJEDALEN</t>
        </is>
      </c>
      <c r="F1083" t="inlineStr">
        <is>
          <t>Kyrkan</t>
        </is>
      </c>
      <c r="G1083" t="n">
        <v>43.1</v>
      </c>
      <c r="H1083" t="n">
        <v>0</v>
      </c>
      <c r="I1083" t="n">
        <v>0</v>
      </c>
      <c r="J1083" t="n">
        <v>0</v>
      </c>
      <c r="K1083" t="n">
        <v>0</v>
      </c>
      <c r="L1083" t="n">
        <v>0</v>
      </c>
      <c r="M1083" t="n">
        <v>0</v>
      </c>
      <c r="N1083" t="n">
        <v>0</v>
      </c>
      <c r="O1083" t="n">
        <v>0</v>
      </c>
      <c r="P1083" t="n">
        <v>0</v>
      </c>
      <c r="Q1083" t="n">
        <v>0</v>
      </c>
      <c r="R1083" s="2" t="inlineStr"/>
    </row>
    <row r="1084" ht="15" customHeight="1">
      <c r="A1084" t="inlineStr">
        <is>
          <t>A 36840-2023</t>
        </is>
      </c>
      <c r="B1084" s="1" t="n">
        <v>45154</v>
      </c>
      <c r="C1084" s="1" t="n">
        <v>45784</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c r="U1084">
        <f>HYPERLINK("https://klasma.github.io/Logging_2361/knärot/A 36840-2023 karta knärot.png", "A 36840-2023")</f>
        <v/>
      </c>
      <c r="V1084">
        <f>HYPERLINK("https://klasma.github.io/Logging_2361/klagomål/A 36840-2023 FSC-klagomål.docx", "A 36840-2023")</f>
        <v/>
      </c>
      <c r="W1084">
        <f>HYPERLINK("https://klasma.github.io/Logging_2361/klagomålsmail/A 36840-2023 FSC-klagomål mail.docx", "A 36840-2023")</f>
        <v/>
      </c>
      <c r="X1084">
        <f>HYPERLINK("https://klasma.github.io/Logging_2361/tillsyn/A 36840-2023 tillsynsbegäran.docx", "A 36840-2023")</f>
        <v/>
      </c>
      <c r="Y1084">
        <f>HYPERLINK("https://klasma.github.io/Logging_2361/tillsynsmail/A 36840-2023 tillsynsbegäran mail.docx", "A 36840-2023")</f>
        <v/>
      </c>
    </row>
    <row r="1085" ht="15" customHeight="1">
      <c r="A1085" t="inlineStr">
        <is>
          <t>A 37054-2023</t>
        </is>
      </c>
      <c r="B1085" s="1" t="n">
        <v>45154</v>
      </c>
      <c r="C1085" s="1" t="n">
        <v>45784</v>
      </c>
      <c r="D1085" t="inlineStr">
        <is>
          <t>JÄMTLANDS LÄN</t>
        </is>
      </c>
      <c r="E1085" t="inlineStr">
        <is>
          <t>HÄRJEDALEN</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36931-2023</t>
        </is>
      </c>
      <c r="B1086" s="1" t="n">
        <v>45154</v>
      </c>
      <c r="C1086" s="1" t="n">
        <v>45784</v>
      </c>
      <c r="D1086" t="inlineStr">
        <is>
          <t>JÄMTLANDS LÄN</t>
        </is>
      </c>
      <c r="E1086" t="inlineStr">
        <is>
          <t>HÄRJEDALEN</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37315-2023</t>
        </is>
      </c>
      <c r="B1087" s="1" t="n">
        <v>45156</v>
      </c>
      <c r="C1087" s="1" t="n">
        <v>45784</v>
      </c>
      <c r="D1087" t="inlineStr">
        <is>
          <t>JÄMTLANDS LÄN</t>
        </is>
      </c>
      <c r="E1087" t="inlineStr">
        <is>
          <t>HÄRJEDALEN</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37345-2023</t>
        </is>
      </c>
      <c r="B1088" s="1" t="n">
        <v>45156</v>
      </c>
      <c r="C1088" s="1" t="n">
        <v>45784</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37365-2023</t>
        </is>
      </c>
      <c r="B1089" s="1" t="n">
        <v>45156</v>
      </c>
      <c r="C1089" s="1" t="n">
        <v>45784</v>
      </c>
      <c r="D1089" t="inlineStr">
        <is>
          <t>JÄMTLANDS LÄN</t>
        </is>
      </c>
      <c r="E1089" t="inlineStr">
        <is>
          <t>HÄRJEDALEN</t>
        </is>
      </c>
      <c r="F1089" t="inlineStr">
        <is>
          <t>Bergvik skog väst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37363-2023</t>
        </is>
      </c>
      <c r="B1090" s="1" t="n">
        <v>45156</v>
      </c>
      <c r="C1090" s="1" t="n">
        <v>45784</v>
      </c>
      <c r="D1090" t="inlineStr">
        <is>
          <t>JÄMTLANDS LÄN</t>
        </is>
      </c>
      <c r="E1090" t="inlineStr">
        <is>
          <t>HÄRJEDALEN</t>
        </is>
      </c>
      <c r="F1090" t="inlineStr">
        <is>
          <t>Bergvik skog väst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37638-2023</t>
        </is>
      </c>
      <c r="B1091" s="1" t="n">
        <v>45159</v>
      </c>
      <c r="C1091" s="1" t="n">
        <v>45784</v>
      </c>
      <c r="D1091" t="inlineStr">
        <is>
          <t>JÄMTLANDS LÄN</t>
        </is>
      </c>
      <c r="E1091" t="inlineStr">
        <is>
          <t>HÄRJEDALEN</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37764-2023</t>
        </is>
      </c>
      <c r="B1092" s="1" t="n">
        <v>45159</v>
      </c>
      <c r="C1092" s="1" t="n">
        <v>45784</v>
      </c>
      <c r="D1092" t="inlineStr">
        <is>
          <t>JÄMTLANDS LÄN</t>
        </is>
      </c>
      <c r="E1092" t="inlineStr">
        <is>
          <t>HÄRJEDALEN</t>
        </is>
      </c>
      <c r="F1092" t="inlineStr">
        <is>
          <t>Bergvik skog väst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37715-2023</t>
        </is>
      </c>
      <c r="B1093" s="1" t="n">
        <v>45159</v>
      </c>
      <c r="C1093" s="1" t="n">
        <v>45784</v>
      </c>
      <c r="D1093" t="inlineStr">
        <is>
          <t>JÄMTLANDS LÄN</t>
        </is>
      </c>
      <c r="E1093" t="inlineStr">
        <is>
          <t>HÄRJEDALEN</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37719-2023</t>
        </is>
      </c>
      <c r="B1094" s="1" t="n">
        <v>45159</v>
      </c>
      <c r="C1094" s="1" t="n">
        <v>45784</v>
      </c>
      <c r="D1094" t="inlineStr">
        <is>
          <t>JÄMTLANDS LÄN</t>
        </is>
      </c>
      <c r="E1094" t="inlineStr">
        <is>
          <t>HÄRJEDALEN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37747-2023</t>
        </is>
      </c>
      <c r="B1095" s="1" t="n">
        <v>45159</v>
      </c>
      <c r="C1095" s="1" t="n">
        <v>45784</v>
      </c>
      <c r="D1095" t="inlineStr">
        <is>
          <t>JÄMTLANDS LÄN</t>
        </is>
      </c>
      <c r="E1095" t="inlineStr">
        <is>
          <t>HÄRJEDALEN</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37762-2023</t>
        </is>
      </c>
      <c r="B1096" s="1" t="n">
        <v>45159</v>
      </c>
      <c r="C1096" s="1" t="n">
        <v>45784</v>
      </c>
      <c r="D1096" t="inlineStr">
        <is>
          <t>JÄMTLANDS LÄN</t>
        </is>
      </c>
      <c r="E1096" t="inlineStr">
        <is>
          <t>HÄRJEDALEN</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38683-2023</t>
        </is>
      </c>
      <c r="B1097" s="1" t="n">
        <v>45162</v>
      </c>
      <c r="C1097" s="1" t="n">
        <v>45784</v>
      </c>
      <c r="D1097" t="inlineStr">
        <is>
          <t>JÄMTLANDS LÄN</t>
        </is>
      </c>
      <c r="E1097" t="inlineStr">
        <is>
          <t>HÄRJEDALEN</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38929-2023</t>
        </is>
      </c>
      <c r="B1098" s="1" t="n">
        <v>45163</v>
      </c>
      <c r="C1098" s="1" t="n">
        <v>45784</v>
      </c>
      <c r="D1098" t="inlineStr">
        <is>
          <t>JÄMTLANDS LÄN</t>
        </is>
      </c>
      <c r="E1098" t="inlineStr">
        <is>
          <t>HÄRJEDALEN</t>
        </is>
      </c>
      <c r="G1098" t="n">
        <v>23.1</v>
      </c>
      <c r="H1098" t="n">
        <v>0</v>
      </c>
      <c r="I1098" t="n">
        <v>0</v>
      </c>
      <c r="J1098" t="n">
        <v>0</v>
      </c>
      <c r="K1098" t="n">
        <v>0</v>
      </c>
      <c r="L1098" t="n">
        <v>0</v>
      </c>
      <c r="M1098" t="n">
        <v>0</v>
      </c>
      <c r="N1098" t="n">
        <v>0</v>
      </c>
      <c r="O1098" t="n">
        <v>0</v>
      </c>
      <c r="P1098" t="n">
        <v>0</v>
      </c>
      <c r="Q1098" t="n">
        <v>0</v>
      </c>
      <c r="R1098" s="2" t="inlineStr"/>
    </row>
    <row r="1099" ht="15" customHeight="1">
      <c r="A1099" t="inlineStr">
        <is>
          <t>A 39158-2023</t>
        </is>
      </c>
      <c r="B1099" s="1" t="n">
        <v>45166</v>
      </c>
      <c r="C1099" s="1" t="n">
        <v>45784</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39355-2023</t>
        </is>
      </c>
      <c r="B1100" s="1" t="n">
        <v>45166</v>
      </c>
      <c r="C1100" s="1" t="n">
        <v>45784</v>
      </c>
      <c r="D1100" t="inlineStr">
        <is>
          <t>JÄMTLANDS LÄN</t>
        </is>
      </c>
      <c r="E1100" t="inlineStr">
        <is>
          <t>HÄRJEDALEN</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39614-2023</t>
        </is>
      </c>
      <c r="B1101" s="1" t="n">
        <v>45167</v>
      </c>
      <c r="C1101" s="1" t="n">
        <v>45784</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39612-2023</t>
        </is>
      </c>
      <c r="B1102" s="1" t="n">
        <v>45167</v>
      </c>
      <c r="C1102" s="1" t="n">
        <v>45784</v>
      </c>
      <c r="D1102" t="inlineStr">
        <is>
          <t>JÄMTLANDS LÄN</t>
        </is>
      </c>
      <c r="E1102" t="inlineStr">
        <is>
          <t>HÄRJEDALEN</t>
        </is>
      </c>
      <c r="F1102" t="inlineStr">
        <is>
          <t>Bergvik skog väst AB</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39649-2023</t>
        </is>
      </c>
      <c r="B1103" s="1" t="n">
        <v>45167</v>
      </c>
      <c r="C1103" s="1" t="n">
        <v>45784</v>
      </c>
      <c r="D1103" t="inlineStr">
        <is>
          <t>JÄMTLANDS LÄN</t>
        </is>
      </c>
      <c r="E1103" t="inlineStr">
        <is>
          <t>HÄRJEDALEN</t>
        </is>
      </c>
      <c r="F1103" t="inlineStr">
        <is>
          <t>Bergvik skog väst AB</t>
        </is>
      </c>
      <c r="G1103" t="n">
        <v>23.6</v>
      </c>
      <c r="H1103" t="n">
        <v>0</v>
      </c>
      <c r="I1103" t="n">
        <v>0</v>
      </c>
      <c r="J1103" t="n">
        <v>0</v>
      </c>
      <c r="K1103" t="n">
        <v>0</v>
      </c>
      <c r="L1103" t="n">
        <v>0</v>
      </c>
      <c r="M1103" t="n">
        <v>0</v>
      </c>
      <c r="N1103" t="n">
        <v>0</v>
      </c>
      <c r="O1103" t="n">
        <v>0</v>
      </c>
      <c r="P1103" t="n">
        <v>0</v>
      </c>
      <c r="Q1103" t="n">
        <v>0</v>
      </c>
      <c r="R1103" s="2" t="inlineStr"/>
      <c r="U1103">
        <f>HYPERLINK("https://klasma.github.io/Logging_2361/knärot/A 39649-2023 karta knärot.png", "A 39649-2023")</f>
        <v/>
      </c>
      <c r="V1103">
        <f>HYPERLINK("https://klasma.github.io/Logging_2361/klagomål/A 39649-2023 FSC-klagomål.docx", "A 39649-2023")</f>
        <v/>
      </c>
      <c r="W1103">
        <f>HYPERLINK("https://klasma.github.io/Logging_2361/klagomålsmail/A 39649-2023 FSC-klagomål mail.docx", "A 39649-2023")</f>
        <v/>
      </c>
      <c r="X1103">
        <f>HYPERLINK("https://klasma.github.io/Logging_2361/tillsyn/A 39649-2023 tillsynsbegäran.docx", "A 39649-2023")</f>
        <v/>
      </c>
      <c r="Y1103">
        <f>HYPERLINK("https://klasma.github.io/Logging_2361/tillsynsmail/A 39649-2023 tillsynsbegäran mail.docx", "A 39649-2023")</f>
        <v/>
      </c>
    </row>
    <row r="1104" ht="15" customHeight="1">
      <c r="A1104" t="inlineStr">
        <is>
          <t>A 40215-2023</t>
        </is>
      </c>
      <c r="B1104" s="1" t="n">
        <v>45169</v>
      </c>
      <c r="C1104" s="1" t="n">
        <v>45784</v>
      </c>
      <c r="D1104" t="inlineStr">
        <is>
          <t>JÄMTLANDS LÄN</t>
        </is>
      </c>
      <c r="E1104" t="inlineStr">
        <is>
          <t>HÄRJEDALEN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40217-2023</t>
        </is>
      </c>
      <c r="B1105" s="1" t="n">
        <v>45169</v>
      </c>
      <c r="C1105" s="1" t="n">
        <v>45784</v>
      </c>
      <c r="D1105" t="inlineStr">
        <is>
          <t>JÄMTLANDS LÄN</t>
        </is>
      </c>
      <c r="E1105" t="inlineStr">
        <is>
          <t>HÄRJEDALEN</t>
        </is>
      </c>
      <c r="G1105" t="n">
        <v>23.5</v>
      </c>
      <c r="H1105" t="n">
        <v>0</v>
      </c>
      <c r="I1105" t="n">
        <v>0</v>
      </c>
      <c r="J1105" t="n">
        <v>0</v>
      </c>
      <c r="K1105" t="n">
        <v>0</v>
      </c>
      <c r="L1105" t="n">
        <v>0</v>
      </c>
      <c r="M1105" t="n">
        <v>0</v>
      </c>
      <c r="N1105" t="n">
        <v>0</v>
      </c>
      <c r="O1105" t="n">
        <v>0</v>
      </c>
      <c r="P1105" t="n">
        <v>0</v>
      </c>
      <c r="Q1105" t="n">
        <v>0</v>
      </c>
      <c r="R1105" s="2" t="inlineStr"/>
    </row>
    <row r="1106" ht="15" customHeight="1">
      <c r="A1106" t="inlineStr">
        <is>
          <t>A 40560-2023</t>
        </is>
      </c>
      <c r="B1106" s="1" t="n">
        <v>45170</v>
      </c>
      <c r="C1106" s="1" t="n">
        <v>45784</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40569-2023</t>
        </is>
      </c>
      <c r="B1107" s="1" t="n">
        <v>45170</v>
      </c>
      <c r="C1107" s="1" t="n">
        <v>45784</v>
      </c>
      <c r="D1107" t="inlineStr">
        <is>
          <t>JÄMTLANDS LÄN</t>
        </is>
      </c>
      <c r="E1107" t="inlineStr">
        <is>
          <t>HÄRJEDALEN</t>
        </is>
      </c>
      <c r="F1107" t="inlineStr">
        <is>
          <t>Holmen skog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40578-2023</t>
        </is>
      </c>
      <c r="B1108" s="1" t="n">
        <v>45170</v>
      </c>
      <c r="C1108" s="1" t="n">
        <v>45784</v>
      </c>
      <c r="D1108" t="inlineStr">
        <is>
          <t>JÄMTLANDS LÄN</t>
        </is>
      </c>
      <c r="E1108" t="inlineStr">
        <is>
          <t>HÄRJEDALEN</t>
        </is>
      </c>
      <c r="F1108" t="inlineStr">
        <is>
          <t>Holmen skog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40664-2023</t>
        </is>
      </c>
      <c r="B1109" s="1" t="n">
        <v>45170</v>
      </c>
      <c r="C1109" s="1" t="n">
        <v>45784</v>
      </c>
      <c r="D1109" t="inlineStr">
        <is>
          <t>JÄMTLANDS LÄN</t>
        </is>
      </c>
      <c r="E1109" t="inlineStr">
        <is>
          <t>HÄRJEDALEN</t>
        </is>
      </c>
      <c r="G1109" t="n">
        <v>65.3</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v>
      </c>
      <c r="C1110" s="1" t="n">
        <v>45784</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40573-2023</t>
        </is>
      </c>
      <c r="B1111" s="1" t="n">
        <v>45170</v>
      </c>
      <c r="C1111" s="1" t="n">
        <v>45784</v>
      </c>
      <c r="D1111" t="inlineStr">
        <is>
          <t>JÄMTLANDS LÄN</t>
        </is>
      </c>
      <c r="E1111" t="inlineStr">
        <is>
          <t>HÄRJEDALEN</t>
        </is>
      </c>
      <c r="F1111" t="inlineStr">
        <is>
          <t>Holmen skog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40900-2023</t>
        </is>
      </c>
      <c r="B1112" s="1" t="n">
        <v>45173</v>
      </c>
      <c r="C1112" s="1" t="n">
        <v>45784</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40904-2023</t>
        </is>
      </c>
      <c r="B1113" s="1" t="n">
        <v>45173</v>
      </c>
      <c r="C1113" s="1" t="n">
        <v>45784</v>
      </c>
      <c r="D1113" t="inlineStr">
        <is>
          <t>JÄMTLANDS LÄN</t>
        </is>
      </c>
      <c r="E1113" t="inlineStr">
        <is>
          <t>HÄRJEDALEN</t>
        </is>
      </c>
      <c r="F1113" t="inlineStr">
        <is>
          <t>Bergvik skog väst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41058-2023</t>
        </is>
      </c>
      <c r="B1114" s="1" t="n">
        <v>45173</v>
      </c>
      <c r="C1114" s="1" t="n">
        <v>45784</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45784</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45784</v>
      </c>
      <c r="D1116" t="inlineStr">
        <is>
          <t>JÄMTLANDS LÄN</t>
        </is>
      </c>
      <c r="E1116" t="inlineStr">
        <is>
          <t>HÄRJEDALEN</t>
        </is>
      </c>
      <c r="G1116" t="n">
        <v>60.4</v>
      </c>
      <c r="H1116" t="n">
        <v>0</v>
      </c>
      <c r="I1116" t="n">
        <v>0</v>
      </c>
      <c r="J1116" t="n">
        <v>0</v>
      </c>
      <c r="K1116" t="n">
        <v>0</v>
      </c>
      <c r="L1116" t="n">
        <v>0</v>
      </c>
      <c r="M1116" t="n">
        <v>0</v>
      </c>
      <c r="N1116" t="n">
        <v>0</v>
      </c>
      <c r="O1116" t="n">
        <v>0</v>
      </c>
      <c r="P1116" t="n">
        <v>0</v>
      </c>
      <c r="Q1116" t="n">
        <v>0</v>
      </c>
      <c r="R1116" s="2" t="inlineStr"/>
    </row>
    <row r="1117" ht="15" customHeight="1">
      <c r="A1117" t="inlineStr">
        <is>
          <t>A 42146-2023</t>
        </is>
      </c>
      <c r="B1117" s="1" t="n">
        <v>45178</v>
      </c>
      <c r="C1117" s="1" t="n">
        <v>45784</v>
      </c>
      <c r="D1117" t="inlineStr">
        <is>
          <t>JÄMTLANDS LÄN</t>
        </is>
      </c>
      <c r="E1117" t="inlineStr">
        <is>
          <t>HÄRJEDALEN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45178</v>
      </c>
      <c r="C1118" s="1" t="n">
        <v>45784</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43192-2023</t>
        </is>
      </c>
      <c r="B1119" s="1" t="n">
        <v>45180</v>
      </c>
      <c r="C1119" s="1" t="n">
        <v>45784</v>
      </c>
      <c r="D1119" t="inlineStr">
        <is>
          <t>JÄMTLANDS LÄN</t>
        </is>
      </c>
      <c r="E1119" t="inlineStr">
        <is>
          <t>HÄRJEDALEN</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43211-2023</t>
        </is>
      </c>
      <c r="B1120" s="1" t="n">
        <v>45180</v>
      </c>
      <c r="C1120" s="1" t="n">
        <v>45784</v>
      </c>
      <c r="D1120" t="inlineStr">
        <is>
          <t>JÄMTLANDS LÄN</t>
        </is>
      </c>
      <c r="E1120" t="inlineStr">
        <is>
          <t>HÄRJEDALEN</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42720-2023</t>
        </is>
      </c>
      <c r="B1121" s="1" t="n">
        <v>45181</v>
      </c>
      <c r="C1121" s="1" t="n">
        <v>45784</v>
      </c>
      <c r="D1121" t="inlineStr">
        <is>
          <t>JÄMTLANDS LÄN</t>
        </is>
      </c>
      <c r="E1121" t="inlineStr">
        <is>
          <t>HÄRJEDALEN</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43503-2023</t>
        </is>
      </c>
      <c r="B1122" s="1" t="n">
        <v>45184</v>
      </c>
      <c r="C1122" s="1" t="n">
        <v>45784</v>
      </c>
      <c r="D1122" t="inlineStr">
        <is>
          <t>JÄMTLANDS LÄN</t>
        </is>
      </c>
      <c r="E1122" t="inlineStr">
        <is>
          <t>HÄRJEDALEN</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43481-2023</t>
        </is>
      </c>
      <c r="B1123" s="1" t="n">
        <v>45184</v>
      </c>
      <c r="C1123" s="1" t="n">
        <v>45784</v>
      </c>
      <c r="D1123" t="inlineStr">
        <is>
          <t>JÄMTLANDS LÄN</t>
        </is>
      </c>
      <c r="E1123" t="inlineStr">
        <is>
          <t>HÄRJEDALEN</t>
        </is>
      </c>
      <c r="F1123" t="inlineStr">
        <is>
          <t>Bergvik skog väst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43870-2023</t>
        </is>
      </c>
      <c r="B1124" s="1" t="n">
        <v>45187</v>
      </c>
      <c r="C1124" s="1" t="n">
        <v>45784</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43804-2023</t>
        </is>
      </c>
      <c r="B1125" s="1" t="n">
        <v>45187</v>
      </c>
      <c r="C1125" s="1" t="n">
        <v>45784</v>
      </c>
      <c r="D1125" t="inlineStr">
        <is>
          <t>JÄMTLANDS LÄN</t>
        </is>
      </c>
      <c r="E1125" t="inlineStr">
        <is>
          <t>HÄRJEDALEN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43811-2023</t>
        </is>
      </c>
      <c r="B1126" s="1" t="n">
        <v>45187</v>
      </c>
      <c r="C1126" s="1" t="n">
        <v>45784</v>
      </c>
      <c r="D1126" t="inlineStr">
        <is>
          <t>JÄMTLANDS LÄN</t>
        </is>
      </c>
      <c r="E1126" t="inlineStr">
        <is>
          <t>HÄRJEDALEN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43820-2023</t>
        </is>
      </c>
      <c r="B1127" s="1" t="n">
        <v>45187</v>
      </c>
      <c r="C1127" s="1" t="n">
        <v>45784</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44102-2023</t>
        </is>
      </c>
      <c r="B1128" s="1" t="n">
        <v>45188</v>
      </c>
      <c r="C1128" s="1" t="n">
        <v>45784</v>
      </c>
      <c r="D1128" t="inlineStr">
        <is>
          <t>JÄMTLANDS LÄN</t>
        </is>
      </c>
      <c r="E1128" t="inlineStr">
        <is>
          <t>HÄRJEDALEN</t>
        </is>
      </c>
      <c r="F1128" t="inlineStr">
        <is>
          <t>Bergvik skog väst AB</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44270-2023</t>
        </is>
      </c>
      <c r="B1129" s="1" t="n">
        <v>45188</v>
      </c>
      <c r="C1129" s="1" t="n">
        <v>45784</v>
      </c>
      <c r="D1129" t="inlineStr">
        <is>
          <t>JÄMTLANDS LÄN</t>
        </is>
      </c>
      <c r="E1129" t="inlineStr">
        <is>
          <t>HÄRJEDALEN</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45640-2023</t>
        </is>
      </c>
      <c r="B1130" s="1" t="n">
        <v>45188</v>
      </c>
      <c r="C1130" s="1" t="n">
        <v>45784</v>
      </c>
      <c r="D1130" t="inlineStr">
        <is>
          <t>JÄMTLANDS LÄN</t>
        </is>
      </c>
      <c r="E1130" t="inlineStr">
        <is>
          <t>HÄRJEDALEN</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45179-2023</t>
        </is>
      </c>
      <c r="B1131" s="1" t="n">
        <v>45191</v>
      </c>
      <c r="C1131" s="1" t="n">
        <v>45784</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45143-2023</t>
        </is>
      </c>
      <c r="B1132" s="1" t="n">
        <v>45191</v>
      </c>
      <c r="C1132" s="1" t="n">
        <v>45784</v>
      </c>
      <c r="D1132" t="inlineStr">
        <is>
          <t>JÄMTLANDS LÄN</t>
        </is>
      </c>
      <c r="E1132" t="inlineStr">
        <is>
          <t>HÄRJEDALEN</t>
        </is>
      </c>
      <c r="G1132" t="n">
        <v>24.8</v>
      </c>
      <c r="H1132" t="n">
        <v>0</v>
      </c>
      <c r="I1132" t="n">
        <v>0</v>
      </c>
      <c r="J1132" t="n">
        <v>0</v>
      </c>
      <c r="K1132" t="n">
        <v>0</v>
      </c>
      <c r="L1132" t="n">
        <v>0</v>
      </c>
      <c r="M1132" t="n">
        <v>0</v>
      </c>
      <c r="N1132" t="n">
        <v>0</v>
      </c>
      <c r="O1132" t="n">
        <v>0</v>
      </c>
      <c r="P1132" t="n">
        <v>0</v>
      </c>
      <c r="Q1132" t="n">
        <v>0</v>
      </c>
      <c r="R1132" s="2" t="inlineStr"/>
    </row>
    <row r="1133" ht="15" customHeight="1">
      <c r="A1133" t="inlineStr">
        <is>
          <t>A 45274-2023</t>
        </is>
      </c>
      <c r="B1133" s="1" t="n">
        <v>45191</v>
      </c>
      <c r="C1133" s="1" t="n">
        <v>45784</v>
      </c>
      <c r="D1133" t="inlineStr">
        <is>
          <t>JÄMTLANDS LÄN</t>
        </is>
      </c>
      <c r="E1133" t="inlineStr">
        <is>
          <t>HÄRJEDALEN</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45491-2023</t>
        </is>
      </c>
      <c r="B1134" s="1" t="n">
        <v>45194</v>
      </c>
      <c r="C1134" s="1" t="n">
        <v>45784</v>
      </c>
      <c r="D1134" t="inlineStr">
        <is>
          <t>JÄMTLANDS LÄN</t>
        </is>
      </c>
      <c r="E1134" t="inlineStr">
        <is>
          <t>HÄRJEDALEN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45495-2023</t>
        </is>
      </c>
      <c r="B1135" s="1" t="n">
        <v>45194</v>
      </c>
      <c r="C1135" s="1" t="n">
        <v>45784</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45613-2023</t>
        </is>
      </c>
      <c r="B1136" s="1" t="n">
        <v>45194</v>
      </c>
      <c r="C1136" s="1" t="n">
        <v>45784</v>
      </c>
      <c r="D1136" t="inlineStr">
        <is>
          <t>JÄMTLANDS LÄN</t>
        </is>
      </c>
      <c r="E1136" t="inlineStr">
        <is>
          <t>HÄRJEDALEN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45636-2023</t>
        </is>
      </c>
      <c r="B1137" s="1" t="n">
        <v>45194</v>
      </c>
      <c r="C1137" s="1" t="n">
        <v>45784</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45616-2023</t>
        </is>
      </c>
      <c r="B1138" s="1" t="n">
        <v>45194</v>
      </c>
      <c r="C1138" s="1" t="n">
        <v>45784</v>
      </c>
      <c r="D1138" t="inlineStr">
        <is>
          <t>JÄMTLANDS LÄN</t>
        </is>
      </c>
      <c r="E1138" t="inlineStr">
        <is>
          <t>HÄRJEDALEN</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45684-2023</t>
        </is>
      </c>
      <c r="B1139" s="1" t="n">
        <v>45195</v>
      </c>
      <c r="C1139" s="1" t="n">
        <v>45784</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v>
      </c>
      <c r="C1140" s="1" t="n">
        <v>45784</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45720-2023</t>
        </is>
      </c>
      <c r="B1141" s="1" t="n">
        <v>45195</v>
      </c>
      <c r="C1141" s="1" t="n">
        <v>45784</v>
      </c>
      <c r="D1141" t="inlineStr">
        <is>
          <t>JÄMTLANDS LÄN</t>
        </is>
      </c>
      <c r="E1141" t="inlineStr">
        <is>
          <t>HÄRJEDALEN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45747-2023</t>
        </is>
      </c>
      <c r="B1142" s="1" t="n">
        <v>45195</v>
      </c>
      <c r="C1142" s="1" t="n">
        <v>45784</v>
      </c>
      <c r="D1142" t="inlineStr">
        <is>
          <t>JÄMTLANDS LÄN</t>
        </is>
      </c>
      <c r="E1142" t="inlineStr">
        <is>
          <t>HÄRJEDALEN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45864-2023</t>
        </is>
      </c>
      <c r="B1143" s="1" t="n">
        <v>45195</v>
      </c>
      <c r="C1143" s="1" t="n">
        <v>45784</v>
      </c>
      <c r="D1143" t="inlineStr">
        <is>
          <t>JÄMTLANDS LÄN</t>
        </is>
      </c>
      <c r="E1143" t="inlineStr">
        <is>
          <t>HÄRJEDALEN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45843-2023</t>
        </is>
      </c>
      <c r="B1144" s="1" t="n">
        <v>45195</v>
      </c>
      <c r="C1144" s="1" t="n">
        <v>45784</v>
      </c>
      <c r="D1144" t="inlineStr">
        <is>
          <t>JÄMTLANDS LÄN</t>
        </is>
      </c>
      <c r="E1144" t="inlineStr">
        <is>
          <t>HÄRJEDALEN</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45999-2023</t>
        </is>
      </c>
      <c r="B1145" s="1" t="n">
        <v>45196</v>
      </c>
      <c r="C1145" s="1" t="n">
        <v>45784</v>
      </c>
      <c r="D1145" t="inlineStr">
        <is>
          <t>JÄMTLANDS LÄN</t>
        </is>
      </c>
      <c r="E1145" t="inlineStr">
        <is>
          <t>HÄRJEDALEN</t>
        </is>
      </c>
      <c r="F1145" t="inlineStr">
        <is>
          <t>Bergvik skog väst AB</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46383-2023</t>
        </is>
      </c>
      <c r="B1146" s="1" t="n">
        <v>45197</v>
      </c>
      <c r="C1146" s="1" t="n">
        <v>45784</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46394-2023</t>
        </is>
      </c>
      <c r="B1147" s="1" t="n">
        <v>45197</v>
      </c>
      <c r="C1147" s="1" t="n">
        <v>45784</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46977-2023</t>
        </is>
      </c>
      <c r="B1148" s="1" t="n">
        <v>45201</v>
      </c>
      <c r="C1148" s="1" t="n">
        <v>45784</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46993-2023</t>
        </is>
      </c>
      <c r="B1149" s="1" t="n">
        <v>45201</v>
      </c>
      <c r="C1149" s="1" t="n">
        <v>45784</v>
      </c>
      <c r="D1149" t="inlineStr">
        <is>
          <t>JÄMTLANDS LÄN</t>
        </is>
      </c>
      <c r="E1149" t="inlineStr">
        <is>
          <t>HÄRJEDALEN</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47095-2023</t>
        </is>
      </c>
      <c r="B1150" s="1" t="n">
        <v>45201</v>
      </c>
      <c r="C1150" s="1" t="n">
        <v>45784</v>
      </c>
      <c r="D1150" t="inlineStr">
        <is>
          <t>JÄMTLANDS LÄN</t>
        </is>
      </c>
      <c r="E1150" t="inlineStr">
        <is>
          <t>HÄRJEDALEN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47244-2023</t>
        </is>
      </c>
      <c r="B1151" s="1" t="n">
        <v>45202</v>
      </c>
      <c r="C1151" s="1" t="n">
        <v>45784</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47546-2023</t>
        </is>
      </c>
      <c r="B1152" s="1" t="n">
        <v>45203</v>
      </c>
      <c r="C1152" s="1" t="n">
        <v>45784</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47705-2023</t>
        </is>
      </c>
      <c r="B1153" s="1" t="n">
        <v>45203</v>
      </c>
      <c r="C1153" s="1" t="n">
        <v>45784</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47510-2023</t>
        </is>
      </c>
      <c r="B1154" s="1" t="n">
        <v>45203</v>
      </c>
      <c r="C1154" s="1" t="n">
        <v>45784</v>
      </c>
      <c r="D1154" t="inlineStr">
        <is>
          <t>JÄMTLANDS LÄN</t>
        </is>
      </c>
      <c r="E1154" t="inlineStr">
        <is>
          <t>HÄRJEDALEN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47795-2023</t>
        </is>
      </c>
      <c r="B1155" s="1" t="n">
        <v>45204</v>
      </c>
      <c r="C1155" s="1" t="n">
        <v>45784</v>
      </c>
      <c r="D1155" t="inlineStr">
        <is>
          <t>JÄMTLANDS LÄN</t>
        </is>
      </c>
      <c r="E1155" t="inlineStr">
        <is>
          <t>HÄRJEDALEN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48669-2023</t>
        </is>
      </c>
      <c r="B1156" s="1" t="n">
        <v>45203</v>
      </c>
      <c r="C1156" s="1" t="n">
        <v>45784</v>
      </c>
      <c r="D1156" t="inlineStr">
        <is>
          <t>JÄMTLANDS LÄN</t>
        </is>
      </c>
      <c r="E1156" t="inlineStr">
        <is>
          <t>HÄRJEDALEN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47955-2023</t>
        </is>
      </c>
      <c r="B1157" s="1" t="n">
        <v>45204</v>
      </c>
      <c r="C1157" s="1" t="n">
        <v>45784</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48051-2023</t>
        </is>
      </c>
      <c r="B1158" s="1" t="n">
        <v>45204</v>
      </c>
      <c r="C1158" s="1" t="n">
        <v>45784</v>
      </c>
      <c r="D1158" t="inlineStr">
        <is>
          <t>JÄMTLANDS LÄN</t>
        </is>
      </c>
      <c r="E1158" t="inlineStr">
        <is>
          <t>HÄRJEDALEN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48050-2023</t>
        </is>
      </c>
      <c r="B1159" s="1" t="n">
        <v>45204</v>
      </c>
      <c r="C1159" s="1" t="n">
        <v>45784</v>
      </c>
      <c r="D1159" t="inlineStr">
        <is>
          <t>JÄMTLANDS LÄN</t>
        </is>
      </c>
      <c r="E1159" t="inlineStr">
        <is>
          <t>HÄRJEDALEN</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48048-2023</t>
        </is>
      </c>
      <c r="B1160" s="1" t="n">
        <v>45204</v>
      </c>
      <c r="C1160" s="1" t="n">
        <v>45784</v>
      </c>
      <c r="D1160" t="inlineStr">
        <is>
          <t>JÄMTLANDS LÄN</t>
        </is>
      </c>
      <c r="E1160" t="inlineStr">
        <is>
          <t>HÄRJEDALEN</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48100-2023</t>
        </is>
      </c>
      <c r="B1161" s="1" t="n">
        <v>45205</v>
      </c>
      <c r="C1161" s="1" t="n">
        <v>45784</v>
      </c>
      <c r="D1161" t="inlineStr">
        <is>
          <t>JÄMTLANDS LÄN</t>
        </is>
      </c>
      <c r="E1161" t="inlineStr">
        <is>
          <t>HÄRJEDALEN</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48213-2023</t>
        </is>
      </c>
      <c r="B1162" s="1" t="n">
        <v>45205</v>
      </c>
      <c r="C1162" s="1" t="n">
        <v>45784</v>
      </c>
      <c r="D1162" t="inlineStr">
        <is>
          <t>JÄMTLANDS LÄN</t>
        </is>
      </c>
      <c r="E1162" t="inlineStr">
        <is>
          <t>HÄRJEDALEN</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48179-2023</t>
        </is>
      </c>
      <c r="B1163" s="1" t="n">
        <v>45205</v>
      </c>
      <c r="C1163" s="1" t="n">
        <v>45784</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48299-2023</t>
        </is>
      </c>
      <c r="B1164" s="1" t="n">
        <v>45205</v>
      </c>
      <c r="C1164" s="1" t="n">
        <v>45784</v>
      </c>
      <c r="D1164" t="inlineStr">
        <is>
          <t>JÄMTLANDS LÄN</t>
        </is>
      </c>
      <c r="E1164" t="inlineStr">
        <is>
          <t>HÄRJEDALEN</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48318-2023</t>
        </is>
      </c>
      <c r="B1165" s="1" t="n">
        <v>45205</v>
      </c>
      <c r="C1165" s="1" t="n">
        <v>45784</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48226-2023</t>
        </is>
      </c>
      <c r="B1166" s="1" t="n">
        <v>45205</v>
      </c>
      <c r="C1166" s="1" t="n">
        <v>45784</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48364-2023</t>
        </is>
      </c>
      <c r="B1167" s="1" t="n">
        <v>45205</v>
      </c>
      <c r="C1167" s="1" t="n">
        <v>45784</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48438-2023</t>
        </is>
      </c>
      <c r="B1168" s="1" t="n">
        <v>45205</v>
      </c>
      <c r="C1168" s="1" t="n">
        <v>45784</v>
      </c>
      <c r="D1168" t="inlineStr">
        <is>
          <t>JÄMTLANDS LÄN</t>
        </is>
      </c>
      <c r="E1168" t="inlineStr">
        <is>
          <t>HÄRJEDALEN</t>
        </is>
      </c>
      <c r="F1168" t="inlineStr">
        <is>
          <t>SCA</t>
        </is>
      </c>
      <c r="G1168" t="n">
        <v>23.3</v>
      </c>
      <c r="H1168" t="n">
        <v>0</v>
      </c>
      <c r="I1168" t="n">
        <v>0</v>
      </c>
      <c r="J1168" t="n">
        <v>0</v>
      </c>
      <c r="K1168" t="n">
        <v>0</v>
      </c>
      <c r="L1168" t="n">
        <v>0</v>
      </c>
      <c r="M1168" t="n">
        <v>0</v>
      </c>
      <c r="N1168" t="n">
        <v>0</v>
      </c>
      <c r="O1168" t="n">
        <v>0</v>
      </c>
      <c r="P1168" t="n">
        <v>0</v>
      </c>
      <c r="Q1168" t="n">
        <v>0</v>
      </c>
      <c r="R1168" s="2" t="inlineStr"/>
    </row>
    <row r="1169" ht="15" customHeight="1">
      <c r="A1169" t="inlineStr">
        <is>
          <t>A 48201-2023</t>
        </is>
      </c>
      <c r="B1169" s="1" t="n">
        <v>45205</v>
      </c>
      <c r="C1169" s="1" t="n">
        <v>45784</v>
      </c>
      <c r="D1169" t="inlineStr">
        <is>
          <t>JÄMTLANDS LÄN</t>
        </is>
      </c>
      <c r="E1169" t="inlineStr">
        <is>
          <t>HÄRJEDALEN</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48485-2023</t>
        </is>
      </c>
      <c r="B1170" s="1" t="n">
        <v>45206</v>
      </c>
      <c r="C1170" s="1" t="n">
        <v>45784</v>
      </c>
      <c r="D1170" t="inlineStr">
        <is>
          <t>JÄMTLANDS LÄN</t>
        </is>
      </c>
      <c r="E1170" t="inlineStr">
        <is>
          <t>HÄRJEDALEN</t>
        </is>
      </c>
      <c r="F1170" t="inlineStr">
        <is>
          <t>SCA</t>
        </is>
      </c>
      <c r="G1170" t="n">
        <v>23.3</v>
      </c>
      <c r="H1170" t="n">
        <v>0</v>
      </c>
      <c r="I1170" t="n">
        <v>0</v>
      </c>
      <c r="J1170" t="n">
        <v>0</v>
      </c>
      <c r="K1170" t="n">
        <v>0</v>
      </c>
      <c r="L1170" t="n">
        <v>0</v>
      </c>
      <c r="M1170" t="n">
        <v>0</v>
      </c>
      <c r="N1170" t="n">
        <v>0</v>
      </c>
      <c r="O1170" t="n">
        <v>0</v>
      </c>
      <c r="P1170" t="n">
        <v>0</v>
      </c>
      <c r="Q1170" t="n">
        <v>0</v>
      </c>
      <c r="R1170" s="2" t="inlineStr"/>
    </row>
    <row r="1171" ht="15" customHeight="1">
      <c r="A1171" t="inlineStr">
        <is>
          <t>A 48583-2023</t>
        </is>
      </c>
      <c r="B1171" s="1" t="n">
        <v>45208</v>
      </c>
      <c r="C1171" s="1" t="n">
        <v>45784</v>
      </c>
      <c r="D1171" t="inlineStr">
        <is>
          <t>JÄMTLANDS LÄN</t>
        </is>
      </c>
      <c r="E1171" t="inlineStr">
        <is>
          <t>HÄRJEDALEN</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48675-2023</t>
        </is>
      </c>
      <c r="B1172" s="1" t="n">
        <v>45208</v>
      </c>
      <c r="C1172" s="1" t="n">
        <v>45784</v>
      </c>
      <c r="D1172" t="inlineStr">
        <is>
          <t>JÄMTLANDS LÄN</t>
        </is>
      </c>
      <c r="E1172" t="inlineStr">
        <is>
          <t>HÄRJEDALEN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48689-2023</t>
        </is>
      </c>
      <c r="B1173" s="1" t="n">
        <v>45208</v>
      </c>
      <c r="C1173" s="1" t="n">
        <v>45784</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48708-2023</t>
        </is>
      </c>
      <c r="B1174" s="1" t="n">
        <v>45208</v>
      </c>
      <c r="C1174" s="1" t="n">
        <v>45784</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48854-2023</t>
        </is>
      </c>
      <c r="B1175" s="1" t="n">
        <v>45209</v>
      </c>
      <c r="C1175" s="1" t="n">
        <v>45784</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48867-2023</t>
        </is>
      </c>
      <c r="B1176" s="1" t="n">
        <v>45209</v>
      </c>
      <c r="C1176" s="1" t="n">
        <v>45784</v>
      </c>
      <c r="D1176" t="inlineStr">
        <is>
          <t>JÄMTLANDS LÄN</t>
        </is>
      </c>
      <c r="E1176" t="inlineStr">
        <is>
          <t>HÄRJEDALEN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49120-2023</t>
        </is>
      </c>
      <c r="B1177" s="1" t="n">
        <v>45210</v>
      </c>
      <c r="C1177" s="1" t="n">
        <v>45784</v>
      </c>
      <c r="D1177" t="inlineStr">
        <is>
          <t>JÄMTLANDS LÄN</t>
        </is>
      </c>
      <c r="E1177" t="inlineStr">
        <is>
          <t>HÄRJEDALEN</t>
        </is>
      </c>
      <c r="G1177" t="n">
        <v>38.2</v>
      </c>
      <c r="H1177" t="n">
        <v>0</v>
      </c>
      <c r="I1177" t="n">
        <v>0</v>
      </c>
      <c r="J1177" t="n">
        <v>0</v>
      </c>
      <c r="K1177" t="n">
        <v>0</v>
      </c>
      <c r="L1177" t="n">
        <v>0</v>
      </c>
      <c r="M1177" t="n">
        <v>0</v>
      </c>
      <c r="N1177" t="n">
        <v>0</v>
      </c>
      <c r="O1177" t="n">
        <v>0</v>
      </c>
      <c r="P1177" t="n">
        <v>0</v>
      </c>
      <c r="Q1177" t="n">
        <v>0</v>
      </c>
      <c r="R1177" s="2" t="inlineStr"/>
    </row>
    <row r="1178" ht="15" customHeight="1">
      <c r="A1178" t="inlineStr">
        <is>
          <t>A 49134-2023</t>
        </is>
      </c>
      <c r="B1178" s="1" t="n">
        <v>45210</v>
      </c>
      <c r="C1178" s="1" t="n">
        <v>45784</v>
      </c>
      <c r="D1178" t="inlineStr">
        <is>
          <t>JÄMTLANDS LÄN</t>
        </is>
      </c>
      <c r="E1178" t="inlineStr">
        <is>
          <t>HÄRJEDALEN</t>
        </is>
      </c>
      <c r="G1178" t="n">
        <v>25.8</v>
      </c>
      <c r="H1178" t="n">
        <v>0</v>
      </c>
      <c r="I1178" t="n">
        <v>0</v>
      </c>
      <c r="J1178" t="n">
        <v>0</v>
      </c>
      <c r="K1178" t="n">
        <v>0</v>
      </c>
      <c r="L1178" t="n">
        <v>0</v>
      </c>
      <c r="M1178" t="n">
        <v>0</v>
      </c>
      <c r="N1178" t="n">
        <v>0</v>
      </c>
      <c r="O1178" t="n">
        <v>0</v>
      </c>
      <c r="P1178" t="n">
        <v>0</v>
      </c>
      <c r="Q1178" t="n">
        <v>0</v>
      </c>
      <c r="R1178" s="2" t="inlineStr"/>
    </row>
    <row r="1179" ht="15" customHeight="1">
      <c r="A1179" t="inlineStr">
        <is>
          <t>A 49712-2023</t>
        </is>
      </c>
      <c r="B1179" s="1" t="n">
        <v>45212</v>
      </c>
      <c r="C1179" s="1" t="n">
        <v>45784</v>
      </c>
      <c r="D1179" t="inlineStr">
        <is>
          <t>JÄMTLANDS LÄN</t>
        </is>
      </c>
      <c r="E1179" t="inlineStr">
        <is>
          <t>HÄRJEDALEN</t>
        </is>
      </c>
      <c r="G1179" t="n">
        <v>42.9</v>
      </c>
      <c r="H1179" t="n">
        <v>0</v>
      </c>
      <c r="I1179" t="n">
        <v>0</v>
      </c>
      <c r="J1179" t="n">
        <v>0</v>
      </c>
      <c r="K1179" t="n">
        <v>0</v>
      </c>
      <c r="L1179" t="n">
        <v>0</v>
      </c>
      <c r="M1179" t="n">
        <v>0</v>
      </c>
      <c r="N1179" t="n">
        <v>0</v>
      </c>
      <c r="O1179" t="n">
        <v>0</v>
      </c>
      <c r="P1179" t="n">
        <v>0</v>
      </c>
      <c r="Q1179" t="n">
        <v>0</v>
      </c>
      <c r="R1179" s="2" t="inlineStr"/>
    </row>
    <row r="1180" ht="15" customHeight="1">
      <c r="A1180" t="inlineStr">
        <is>
          <t>A 49792-2023</t>
        </is>
      </c>
      <c r="B1180" s="1" t="n">
        <v>45212</v>
      </c>
      <c r="C1180" s="1" t="n">
        <v>45784</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49969-2023</t>
        </is>
      </c>
      <c r="B1181" s="1" t="n">
        <v>45215</v>
      </c>
      <c r="C1181" s="1" t="n">
        <v>45784</v>
      </c>
      <c r="D1181" t="inlineStr">
        <is>
          <t>JÄMTLANDS LÄN</t>
        </is>
      </c>
      <c r="E1181" t="inlineStr">
        <is>
          <t>HÄRJEDALEN</t>
        </is>
      </c>
      <c r="G1181" t="n">
        <v>43.7</v>
      </c>
      <c r="H1181" t="n">
        <v>0</v>
      </c>
      <c r="I1181" t="n">
        <v>0</v>
      </c>
      <c r="J1181" t="n">
        <v>0</v>
      </c>
      <c r="K1181" t="n">
        <v>0</v>
      </c>
      <c r="L1181" t="n">
        <v>0</v>
      </c>
      <c r="M1181" t="n">
        <v>0</v>
      </c>
      <c r="N1181" t="n">
        <v>0</v>
      </c>
      <c r="O1181" t="n">
        <v>0</v>
      </c>
      <c r="P1181" t="n">
        <v>0</v>
      </c>
      <c r="Q1181" t="n">
        <v>0</v>
      </c>
      <c r="R1181" s="2" t="inlineStr"/>
    </row>
    <row r="1182" ht="15" customHeight="1">
      <c r="A1182" t="inlineStr">
        <is>
          <t>A 50360-2023</t>
        </is>
      </c>
      <c r="B1182" s="1" t="n">
        <v>45216</v>
      </c>
      <c r="C1182" s="1" t="n">
        <v>45784</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45784</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50291-2023</t>
        </is>
      </c>
      <c r="B1184" s="1" t="n">
        <v>45216</v>
      </c>
      <c r="C1184" s="1" t="n">
        <v>45784</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50424-2023</t>
        </is>
      </c>
      <c r="B1185" s="1" t="n">
        <v>45216</v>
      </c>
      <c r="C1185" s="1" t="n">
        <v>45784</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50328-2023</t>
        </is>
      </c>
      <c r="B1186" s="1" t="n">
        <v>45216</v>
      </c>
      <c r="C1186" s="1" t="n">
        <v>45784</v>
      </c>
      <c r="D1186" t="inlineStr">
        <is>
          <t>JÄMTLANDS LÄN</t>
        </is>
      </c>
      <c r="E1186" t="inlineStr">
        <is>
          <t>HÄRJEDALEN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50539-2023</t>
        </is>
      </c>
      <c r="B1187" s="1" t="n">
        <v>45217</v>
      </c>
      <c r="C1187" s="1" t="n">
        <v>45784</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51017-2023</t>
        </is>
      </c>
      <c r="B1188" s="1" t="n">
        <v>45218</v>
      </c>
      <c r="C1188" s="1" t="n">
        <v>45784</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51351-2023</t>
        </is>
      </c>
      <c r="B1189" s="1" t="n">
        <v>45219</v>
      </c>
      <c r="C1189" s="1" t="n">
        <v>45784</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51898-2023</t>
        </is>
      </c>
      <c r="B1190" s="1" t="n">
        <v>45223</v>
      </c>
      <c r="C1190" s="1" t="n">
        <v>45784</v>
      </c>
      <c r="D1190" t="inlineStr">
        <is>
          <t>JÄMTLANDS LÄN</t>
        </is>
      </c>
      <c r="E1190" t="inlineStr">
        <is>
          <t>HÄRJEDALEN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52565-2023</t>
        </is>
      </c>
      <c r="B1191" s="1" t="n">
        <v>45225</v>
      </c>
      <c r="C1191" s="1" t="n">
        <v>45784</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52554-2023</t>
        </is>
      </c>
      <c r="B1192" s="1" t="n">
        <v>45225</v>
      </c>
      <c r="C1192" s="1" t="n">
        <v>45784</v>
      </c>
      <c r="D1192" t="inlineStr">
        <is>
          <t>JÄMTLANDS LÄN</t>
        </is>
      </c>
      <c r="E1192" t="inlineStr">
        <is>
          <t>HÄRJEDALEN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52567-2023</t>
        </is>
      </c>
      <c r="B1193" s="1" t="n">
        <v>45225</v>
      </c>
      <c r="C1193" s="1" t="n">
        <v>45784</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52683-2023</t>
        </is>
      </c>
      <c r="B1194" s="1" t="n">
        <v>45225</v>
      </c>
      <c r="C1194" s="1" t="n">
        <v>45784</v>
      </c>
      <c r="D1194" t="inlineStr">
        <is>
          <t>JÄMTLANDS LÄN</t>
        </is>
      </c>
      <c r="E1194" t="inlineStr">
        <is>
          <t>HÄRJEDALEN</t>
        </is>
      </c>
      <c r="F1194" t="inlineStr">
        <is>
          <t>Bergvik skog väst AB</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52741-2023</t>
        </is>
      </c>
      <c r="B1195" s="1" t="n">
        <v>45225</v>
      </c>
      <c r="C1195" s="1" t="n">
        <v>45784</v>
      </c>
      <c r="D1195" t="inlineStr">
        <is>
          <t>JÄMTLANDS LÄN</t>
        </is>
      </c>
      <c r="E1195" t="inlineStr">
        <is>
          <t>HÄRJEDALEN</t>
        </is>
      </c>
      <c r="F1195" t="inlineStr">
        <is>
          <t>SCA</t>
        </is>
      </c>
      <c r="G1195" t="n">
        <v>75.40000000000001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53003-2023</t>
        </is>
      </c>
      <c r="B1196" s="1" t="n">
        <v>45226</v>
      </c>
      <c r="C1196" s="1" t="n">
        <v>45784</v>
      </c>
      <c r="D1196" t="inlineStr">
        <is>
          <t>JÄMTLANDS LÄN</t>
        </is>
      </c>
      <c r="E1196" t="inlineStr">
        <is>
          <t>HÄRJEDALEN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53431-2023</t>
        </is>
      </c>
      <c r="B1197" s="1" t="n">
        <v>45229</v>
      </c>
      <c r="C1197" s="1" t="n">
        <v>45784</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53432-2023</t>
        </is>
      </c>
      <c r="B1198" s="1" t="n">
        <v>45229</v>
      </c>
      <c r="C1198" s="1" t="n">
        <v>45784</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53681-2023</t>
        </is>
      </c>
      <c r="B1199" s="1" t="n">
        <v>45230</v>
      </c>
      <c r="C1199" s="1" t="n">
        <v>45784</v>
      </c>
      <c r="D1199" t="inlineStr">
        <is>
          <t>JÄMTLANDS LÄN</t>
        </is>
      </c>
      <c r="E1199" t="inlineStr">
        <is>
          <t>HÄRJEDALEN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53804-2023</t>
        </is>
      </c>
      <c r="B1200" s="1" t="n">
        <v>45231</v>
      </c>
      <c r="C1200" s="1" t="n">
        <v>45784</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53993-2023</t>
        </is>
      </c>
      <c r="B1201" s="1" t="n">
        <v>45231</v>
      </c>
      <c r="C1201" s="1" t="n">
        <v>45784</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54382-2023</t>
        </is>
      </c>
      <c r="B1202" s="1" t="n">
        <v>45233</v>
      </c>
      <c r="C1202" s="1" t="n">
        <v>45784</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55127-2023</t>
        </is>
      </c>
      <c r="B1203" s="1" t="n">
        <v>45237</v>
      </c>
      <c r="C1203" s="1" t="n">
        <v>45784</v>
      </c>
      <c r="D1203" t="inlineStr">
        <is>
          <t>JÄMTLANDS LÄN</t>
        </is>
      </c>
      <c r="E1203" t="inlineStr">
        <is>
          <t>HÄRJEDALEN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55150-2023</t>
        </is>
      </c>
      <c r="B1204" s="1" t="n">
        <v>45237</v>
      </c>
      <c r="C1204" s="1" t="n">
        <v>45784</v>
      </c>
      <c r="D1204" t="inlineStr">
        <is>
          <t>JÄMTLANDS LÄN</t>
        </is>
      </c>
      <c r="E1204" t="inlineStr">
        <is>
          <t>HÄRJEDALEN</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55183-2023</t>
        </is>
      </c>
      <c r="B1205" s="1" t="n">
        <v>45237</v>
      </c>
      <c r="C1205" s="1" t="n">
        <v>45784</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55195-2023</t>
        </is>
      </c>
      <c r="B1206" s="1" t="n">
        <v>45237</v>
      </c>
      <c r="C1206" s="1" t="n">
        <v>45784</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55220-2023</t>
        </is>
      </c>
      <c r="B1207" s="1" t="n">
        <v>45237</v>
      </c>
      <c r="C1207" s="1" t="n">
        <v>45784</v>
      </c>
      <c r="D1207" t="inlineStr">
        <is>
          <t>JÄMTLANDS LÄN</t>
        </is>
      </c>
      <c r="E1207" t="inlineStr">
        <is>
          <t>HÄRJEDALEN</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55180-2023</t>
        </is>
      </c>
      <c r="B1208" s="1" t="n">
        <v>45237</v>
      </c>
      <c r="C1208" s="1" t="n">
        <v>45784</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55185-2023</t>
        </is>
      </c>
      <c r="B1209" s="1" t="n">
        <v>45237</v>
      </c>
      <c r="C1209" s="1" t="n">
        <v>45784</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55189-2023</t>
        </is>
      </c>
      <c r="B1210" s="1" t="n">
        <v>45237</v>
      </c>
      <c r="C1210" s="1" t="n">
        <v>45784</v>
      </c>
      <c r="D1210" t="inlineStr">
        <is>
          <t>JÄMTLANDS LÄN</t>
        </is>
      </c>
      <c r="E1210" t="inlineStr">
        <is>
          <t>HÄRJEDALEN</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55193-2023</t>
        </is>
      </c>
      <c r="B1211" s="1" t="n">
        <v>45237</v>
      </c>
      <c r="C1211" s="1" t="n">
        <v>45784</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55500-2023</t>
        </is>
      </c>
      <c r="B1212" s="1" t="n">
        <v>45238</v>
      </c>
      <c r="C1212" s="1" t="n">
        <v>45784</v>
      </c>
      <c r="D1212" t="inlineStr">
        <is>
          <t>JÄMTLANDS LÄN</t>
        </is>
      </c>
      <c r="E1212" t="inlineStr">
        <is>
          <t>HÄRJEDALEN</t>
        </is>
      </c>
      <c r="F1212" t="inlineStr">
        <is>
          <t>Kyrkan</t>
        </is>
      </c>
      <c r="G1212" t="n">
        <v>81.2</v>
      </c>
      <c r="H1212" t="n">
        <v>0</v>
      </c>
      <c r="I1212" t="n">
        <v>0</v>
      </c>
      <c r="J1212" t="n">
        <v>0</v>
      </c>
      <c r="K1212" t="n">
        <v>0</v>
      </c>
      <c r="L1212" t="n">
        <v>0</v>
      </c>
      <c r="M1212" t="n">
        <v>0</v>
      </c>
      <c r="N1212" t="n">
        <v>0</v>
      </c>
      <c r="O1212" t="n">
        <v>0</v>
      </c>
      <c r="P1212" t="n">
        <v>0</v>
      </c>
      <c r="Q1212" t="n">
        <v>0</v>
      </c>
      <c r="R1212" s="2" t="inlineStr"/>
    </row>
    <row r="1213" ht="15" customHeight="1">
      <c r="A1213" t="inlineStr">
        <is>
          <t>A 55562-2023</t>
        </is>
      </c>
      <c r="B1213" s="1" t="n">
        <v>45238</v>
      </c>
      <c r="C1213" s="1" t="n">
        <v>45784</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55463-2023</t>
        </is>
      </c>
      <c r="B1214" s="1" t="n">
        <v>45238</v>
      </c>
      <c r="C1214" s="1" t="n">
        <v>45784</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55555-2023</t>
        </is>
      </c>
      <c r="B1215" s="1" t="n">
        <v>45238</v>
      </c>
      <c r="C1215" s="1" t="n">
        <v>45784</v>
      </c>
      <c r="D1215" t="inlineStr">
        <is>
          <t>JÄMTLANDS LÄN</t>
        </is>
      </c>
      <c r="E1215" t="inlineStr">
        <is>
          <t>HÄRJEDALEN</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55566-2023</t>
        </is>
      </c>
      <c r="B1216" s="1" t="n">
        <v>45238</v>
      </c>
      <c r="C1216" s="1" t="n">
        <v>45784</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55844-2023</t>
        </is>
      </c>
      <c r="B1217" s="1" t="n">
        <v>45239</v>
      </c>
      <c r="C1217" s="1" t="n">
        <v>45784</v>
      </c>
      <c r="D1217" t="inlineStr">
        <is>
          <t>JÄMTLANDS LÄN</t>
        </is>
      </c>
      <c r="E1217" t="inlineStr">
        <is>
          <t>HÄRJEDALEN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55736-2023</t>
        </is>
      </c>
      <c r="B1218" s="1" t="n">
        <v>45239</v>
      </c>
      <c r="C1218" s="1" t="n">
        <v>45784</v>
      </c>
      <c r="D1218" t="inlineStr">
        <is>
          <t>JÄMTLANDS LÄN</t>
        </is>
      </c>
      <c r="E1218" t="inlineStr">
        <is>
          <t>HÄRJEDALEN</t>
        </is>
      </c>
      <c r="F1218" t="inlineStr">
        <is>
          <t>Holmen skog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55766-2023</t>
        </is>
      </c>
      <c r="B1219" s="1" t="n">
        <v>45239</v>
      </c>
      <c r="C1219" s="1" t="n">
        <v>45784</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55834-2023</t>
        </is>
      </c>
      <c r="B1220" s="1" t="n">
        <v>45239</v>
      </c>
      <c r="C1220" s="1" t="n">
        <v>45784</v>
      </c>
      <c r="D1220" t="inlineStr">
        <is>
          <t>JÄMTLANDS LÄN</t>
        </is>
      </c>
      <c r="E1220" t="inlineStr">
        <is>
          <t>HÄRJEDALEN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56013-2023</t>
        </is>
      </c>
      <c r="B1221" s="1" t="n">
        <v>45240</v>
      </c>
      <c r="C1221" s="1" t="n">
        <v>45784</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56512-2023</t>
        </is>
      </c>
      <c r="B1222" s="1" t="n">
        <v>45243</v>
      </c>
      <c r="C1222" s="1" t="n">
        <v>45784</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56587-2023</t>
        </is>
      </c>
      <c r="B1223" s="1" t="n">
        <v>45243</v>
      </c>
      <c r="C1223" s="1" t="n">
        <v>45784</v>
      </c>
      <c r="D1223" t="inlineStr">
        <is>
          <t>JÄMTLANDS LÄN</t>
        </is>
      </c>
      <c r="E1223" t="inlineStr">
        <is>
          <t>HÄRJEDALEN</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56909-2023</t>
        </is>
      </c>
      <c r="B1224" s="1" t="n">
        <v>45244</v>
      </c>
      <c r="C1224" s="1" t="n">
        <v>45784</v>
      </c>
      <c r="D1224" t="inlineStr">
        <is>
          <t>JÄMTLANDS LÄN</t>
        </is>
      </c>
      <c r="E1224" t="inlineStr">
        <is>
          <t>HÄRJEDALEN</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56912-2023</t>
        </is>
      </c>
      <c r="B1225" s="1" t="n">
        <v>45244</v>
      </c>
      <c r="C1225" s="1" t="n">
        <v>45784</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56906-2023</t>
        </is>
      </c>
      <c r="B1226" s="1" t="n">
        <v>45244</v>
      </c>
      <c r="C1226" s="1" t="n">
        <v>45784</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57313-2023</t>
        </is>
      </c>
      <c r="B1227" s="1" t="n">
        <v>45245</v>
      </c>
      <c r="C1227" s="1" t="n">
        <v>45784</v>
      </c>
      <c r="D1227" t="inlineStr">
        <is>
          <t>JÄMTLANDS LÄN</t>
        </is>
      </c>
      <c r="E1227" t="inlineStr">
        <is>
          <t>HÄRJEDALEN</t>
        </is>
      </c>
      <c r="F1227" t="inlineStr">
        <is>
          <t>Bergvik skog väst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57099-2023</t>
        </is>
      </c>
      <c r="B1228" s="1" t="n">
        <v>45245</v>
      </c>
      <c r="C1228" s="1" t="n">
        <v>45784</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57181-2023</t>
        </is>
      </c>
      <c r="B1229" s="1" t="n">
        <v>45245</v>
      </c>
      <c r="C1229" s="1" t="n">
        <v>45784</v>
      </c>
      <c r="D1229" t="inlineStr">
        <is>
          <t>JÄMTLANDS LÄN</t>
        </is>
      </c>
      <c r="E1229" t="inlineStr">
        <is>
          <t>HÄRJEDALEN</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57202-2023</t>
        </is>
      </c>
      <c r="B1230" s="1" t="n">
        <v>45245</v>
      </c>
      <c r="C1230" s="1" t="n">
        <v>45784</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57140-2023</t>
        </is>
      </c>
      <c r="B1231" s="1" t="n">
        <v>45245</v>
      </c>
      <c r="C1231" s="1" t="n">
        <v>45784</v>
      </c>
      <c r="D1231" t="inlineStr">
        <is>
          <t>JÄMTLANDS LÄN</t>
        </is>
      </c>
      <c r="E1231" t="inlineStr">
        <is>
          <t>HÄRJEDALEN</t>
        </is>
      </c>
      <c r="F1231" t="inlineStr">
        <is>
          <t>Bergvik skog väst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57281-2023</t>
        </is>
      </c>
      <c r="B1232" s="1" t="n">
        <v>45245</v>
      </c>
      <c r="C1232" s="1" t="n">
        <v>45784</v>
      </c>
      <c r="D1232" t="inlineStr">
        <is>
          <t>JÄMTLANDS LÄN</t>
        </is>
      </c>
      <c r="E1232" t="inlineStr">
        <is>
          <t>HÄRJEDALEN</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57661-2023</t>
        </is>
      </c>
      <c r="B1233" s="1" t="n">
        <v>45246</v>
      </c>
      <c r="C1233" s="1" t="n">
        <v>45784</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58146-2023</t>
        </is>
      </c>
      <c r="B1234" s="1" t="n">
        <v>45250</v>
      </c>
      <c r="C1234" s="1" t="n">
        <v>45784</v>
      </c>
      <c r="D1234" t="inlineStr">
        <is>
          <t>JÄMTLANDS LÄN</t>
        </is>
      </c>
      <c r="E1234" t="inlineStr">
        <is>
          <t>HÄRJEDALEN</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58144-2023</t>
        </is>
      </c>
      <c r="B1235" s="1" t="n">
        <v>45250</v>
      </c>
      <c r="C1235" s="1" t="n">
        <v>45784</v>
      </c>
      <c r="D1235" t="inlineStr">
        <is>
          <t>JÄMTLANDS LÄN</t>
        </is>
      </c>
      <c r="E1235" t="inlineStr">
        <is>
          <t>HÄRJEDALEN</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v>
      </c>
      <c r="C1236" s="1" t="n">
        <v>45784</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45784</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58866-2023</t>
        </is>
      </c>
      <c r="B1238" s="1" t="n">
        <v>45252</v>
      </c>
      <c r="C1238" s="1" t="n">
        <v>45784</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59092-2023</t>
        </is>
      </c>
      <c r="B1239" s="1" t="n">
        <v>45253</v>
      </c>
      <c r="C1239" s="1" t="n">
        <v>45784</v>
      </c>
      <c r="D1239" t="inlineStr">
        <is>
          <t>JÄMTLANDS LÄN</t>
        </is>
      </c>
      <c r="E1239" t="inlineStr">
        <is>
          <t>HÄRJEDALEN</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59279-2023</t>
        </is>
      </c>
      <c r="B1240" s="1" t="n">
        <v>45253</v>
      </c>
      <c r="C1240" s="1" t="n">
        <v>45784</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59424-2023</t>
        </is>
      </c>
      <c r="B1241" s="1" t="n">
        <v>45254</v>
      </c>
      <c r="C1241" s="1" t="n">
        <v>45784</v>
      </c>
      <c r="D1241" t="inlineStr">
        <is>
          <t>JÄMTLANDS LÄN</t>
        </is>
      </c>
      <c r="E1241" t="inlineStr">
        <is>
          <t>HÄRJEDALEN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59577-2023</t>
        </is>
      </c>
      <c r="B1242" s="1" t="n">
        <v>45254</v>
      </c>
      <c r="C1242" s="1" t="n">
        <v>45784</v>
      </c>
      <c r="D1242" t="inlineStr">
        <is>
          <t>JÄMTLANDS LÄN</t>
        </is>
      </c>
      <c r="E1242" t="inlineStr">
        <is>
          <t>HÄRJEDALEN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59594-2023</t>
        </is>
      </c>
      <c r="B1243" s="1" t="n">
        <v>45254</v>
      </c>
      <c r="C1243" s="1" t="n">
        <v>45784</v>
      </c>
      <c r="D1243" t="inlineStr">
        <is>
          <t>JÄMTLANDS LÄN</t>
        </is>
      </c>
      <c r="E1243" t="inlineStr">
        <is>
          <t>HÄRJEDALEN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59620-2023</t>
        </is>
      </c>
      <c r="B1244" s="1" t="n">
        <v>45254</v>
      </c>
      <c r="C1244" s="1" t="n">
        <v>45784</v>
      </c>
      <c r="D1244" t="inlineStr">
        <is>
          <t>JÄMTLANDS LÄN</t>
        </is>
      </c>
      <c r="E1244" t="inlineStr">
        <is>
          <t>HÄRJEDALEN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59738-2023</t>
        </is>
      </c>
      <c r="B1245" s="1" t="n">
        <v>45257</v>
      </c>
      <c r="C1245" s="1" t="n">
        <v>45784</v>
      </c>
      <c r="D1245" t="inlineStr">
        <is>
          <t>JÄMTLANDS LÄN</t>
        </is>
      </c>
      <c r="E1245" t="inlineStr">
        <is>
          <t>HÄRJEDALEN</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59750-2023</t>
        </is>
      </c>
      <c r="B1246" s="1" t="n">
        <v>45257</v>
      </c>
      <c r="C1246" s="1" t="n">
        <v>45784</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60062-2023</t>
        </is>
      </c>
      <c r="B1247" s="1" t="n">
        <v>45257</v>
      </c>
      <c r="C1247" s="1" t="n">
        <v>45784</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60611-2023</t>
        </is>
      </c>
      <c r="B1248" s="1" t="n">
        <v>45260</v>
      </c>
      <c r="C1248" s="1" t="n">
        <v>45784</v>
      </c>
      <c r="D1248" t="inlineStr">
        <is>
          <t>JÄMTLANDS LÄN</t>
        </is>
      </c>
      <c r="E1248" t="inlineStr">
        <is>
          <t>HÄRJEDALEN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60749-2023</t>
        </is>
      </c>
      <c r="B1249" s="1" t="n">
        <v>45260</v>
      </c>
      <c r="C1249" s="1" t="n">
        <v>45784</v>
      </c>
      <c r="D1249" t="inlineStr">
        <is>
          <t>JÄMTLANDS LÄN</t>
        </is>
      </c>
      <c r="E1249" t="inlineStr">
        <is>
          <t>HÄRJEDALEN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v>
      </c>
      <c r="C1250" s="1" t="n">
        <v>45784</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61751-2023</t>
        </is>
      </c>
      <c r="B1251" s="1" t="n">
        <v>45265</v>
      </c>
      <c r="C1251" s="1" t="n">
        <v>45784</v>
      </c>
      <c r="D1251" t="inlineStr">
        <is>
          <t>JÄMTLANDS LÄN</t>
        </is>
      </c>
      <c r="E1251" t="inlineStr">
        <is>
          <t>HÄRJEDALEN</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62482-2023</t>
        </is>
      </c>
      <c r="B1252" s="1" t="n">
        <v>45268</v>
      </c>
      <c r="C1252" s="1" t="n">
        <v>45784</v>
      </c>
      <c r="D1252" t="inlineStr">
        <is>
          <t>JÄMTLANDS LÄN</t>
        </is>
      </c>
      <c r="E1252" t="inlineStr">
        <is>
          <t>HÄRJEDALEN</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62784-2023</t>
        </is>
      </c>
      <c r="B1253" s="1" t="n">
        <v>45271</v>
      </c>
      <c r="C1253" s="1" t="n">
        <v>45784</v>
      </c>
      <c r="D1253" t="inlineStr">
        <is>
          <t>JÄMTLANDS LÄN</t>
        </is>
      </c>
      <c r="E1253" t="inlineStr">
        <is>
          <t>HÄRJEDALEN</t>
        </is>
      </c>
      <c r="G1253" t="n">
        <v>15.1</v>
      </c>
      <c r="H1253" t="n">
        <v>0</v>
      </c>
      <c r="I1253" t="n">
        <v>0</v>
      </c>
      <c r="J1253" t="n">
        <v>0</v>
      </c>
      <c r="K1253" t="n">
        <v>0</v>
      </c>
      <c r="L1253" t="n">
        <v>0</v>
      </c>
      <c r="M1253" t="n">
        <v>0</v>
      </c>
      <c r="N1253" t="n">
        <v>0</v>
      </c>
      <c r="O1253" t="n">
        <v>0</v>
      </c>
      <c r="P1253" t="n">
        <v>0</v>
      </c>
      <c r="Q1253" t="n">
        <v>0</v>
      </c>
      <c r="R1253" s="2" t="inlineStr"/>
    </row>
    <row r="1254" ht="15" customHeight="1">
      <c r="A1254" t="inlineStr">
        <is>
          <t>A 63323-2023</t>
        </is>
      </c>
      <c r="B1254" s="1" t="n">
        <v>45274</v>
      </c>
      <c r="C1254" s="1" t="n">
        <v>45784</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63546-2023</t>
        </is>
      </c>
      <c r="B1255" s="1" t="n">
        <v>45275</v>
      </c>
      <c r="C1255" s="1" t="n">
        <v>45784</v>
      </c>
      <c r="D1255" t="inlineStr">
        <is>
          <t>JÄMTLANDS LÄN</t>
        </is>
      </c>
      <c r="E1255" t="inlineStr">
        <is>
          <t>HÄRJEDALEN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63577-2023</t>
        </is>
      </c>
      <c r="B1256" s="1" t="n">
        <v>45275</v>
      </c>
      <c r="C1256" s="1" t="n">
        <v>45784</v>
      </c>
      <c r="D1256" t="inlineStr">
        <is>
          <t>JÄMTLANDS LÄN</t>
        </is>
      </c>
      <c r="E1256" t="inlineStr">
        <is>
          <t>HÄRJEDALEN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63934-2023</t>
        </is>
      </c>
      <c r="B1257" s="1" t="n">
        <v>45278</v>
      </c>
      <c r="C1257" s="1" t="n">
        <v>45784</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63802-2023</t>
        </is>
      </c>
      <c r="B1258" s="1" t="n">
        <v>45278</v>
      </c>
      <c r="C1258" s="1" t="n">
        <v>45784</v>
      </c>
      <c r="D1258" t="inlineStr">
        <is>
          <t>JÄMTLANDS LÄN</t>
        </is>
      </c>
      <c r="E1258" t="inlineStr">
        <is>
          <t>HÄRJEDALEN</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64144-2023</t>
        </is>
      </c>
      <c r="B1259" s="1" t="n">
        <v>45279</v>
      </c>
      <c r="C1259" s="1" t="n">
        <v>45784</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64157-2023</t>
        </is>
      </c>
      <c r="B1260" s="1" t="n">
        <v>45279</v>
      </c>
      <c r="C1260" s="1" t="n">
        <v>45784</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64165-2023</t>
        </is>
      </c>
      <c r="B1261" s="1" t="n">
        <v>45279</v>
      </c>
      <c r="C1261" s="1" t="n">
        <v>45784</v>
      </c>
      <c r="D1261" t="inlineStr">
        <is>
          <t>JÄMTLANDS LÄN</t>
        </is>
      </c>
      <c r="E1261" t="inlineStr">
        <is>
          <t>HÄRJEDALEN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64484-2023</t>
        </is>
      </c>
      <c r="B1262" s="1" t="n">
        <v>45280</v>
      </c>
      <c r="C1262" s="1" t="n">
        <v>45784</v>
      </c>
      <c r="D1262" t="inlineStr">
        <is>
          <t>JÄMTLANDS LÄN</t>
        </is>
      </c>
      <c r="E1262" t="inlineStr">
        <is>
          <t>HÄRJEDALEN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64371-2023</t>
        </is>
      </c>
      <c r="B1263" s="1" t="n">
        <v>45280</v>
      </c>
      <c r="C1263" s="1" t="n">
        <v>45784</v>
      </c>
      <c r="D1263" t="inlineStr">
        <is>
          <t>JÄMTLANDS LÄN</t>
        </is>
      </c>
      <c r="E1263" t="inlineStr">
        <is>
          <t>HÄRJEDALEN</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64485-2023</t>
        </is>
      </c>
      <c r="B1264" s="1" t="n">
        <v>45280</v>
      </c>
      <c r="C1264" s="1" t="n">
        <v>45784</v>
      </c>
      <c r="D1264" t="inlineStr">
        <is>
          <t>JÄMTLANDS LÄN</t>
        </is>
      </c>
      <c r="E1264" t="inlineStr">
        <is>
          <t>HÄRJEDALEN</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64630-2023</t>
        </is>
      </c>
      <c r="B1265" s="1" t="n">
        <v>45281</v>
      </c>
      <c r="C1265" s="1" t="n">
        <v>45784</v>
      </c>
      <c r="D1265" t="inlineStr">
        <is>
          <t>JÄMTLANDS LÄN</t>
        </is>
      </c>
      <c r="E1265" t="inlineStr">
        <is>
          <t>HÄRJEDALEN</t>
        </is>
      </c>
      <c r="G1265" t="n">
        <v>82.2</v>
      </c>
      <c r="H1265" t="n">
        <v>0</v>
      </c>
      <c r="I1265" t="n">
        <v>0</v>
      </c>
      <c r="J1265" t="n">
        <v>0</v>
      </c>
      <c r="K1265" t="n">
        <v>0</v>
      </c>
      <c r="L1265" t="n">
        <v>0</v>
      </c>
      <c r="M1265" t="n">
        <v>0</v>
      </c>
      <c r="N1265" t="n">
        <v>0</v>
      </c>
      <c r="O1265" t="n">
        <v>0</v>
      </c>
      <c r="P1265" t="n">
        <v>0</v>
      </c>
      <c r="Q1265" t="n">
        <v>0</v>
      </c>
      <c r="R1265" s="2" t="inlineStr"/>
    </row>
    <row r="1266" ht="15" customHeight="1">
      <c r="A1266" t="inlineStr">
        <is>
          <t>A 64648-2023</t>
        </is>
      </c>
      <c r="B1266" s="1" t="n">
        <v>45281</v>
      </c>
      <c r="C1266" s="1" t="n">
        <v>45784</v>
      </c>
      <c r="D1266" t="inlineStr">
        <is>
          <t>JÄMTLANDS LÄN</t>
        </is>
      </c>
      <c r="E1266" t="inlineStr">
        <is>
          <t>HÄRJEDALEN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64645-2023</t>
        </is>
      </c>
      <c r="B1267" s="1" t="n">
        <v>45281</v>
      </c>
      <c r="C1267" s="1" t="n">
        <v>45784</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64647-2023</t>
        </is>
      </c>
      <c r="B1268" s="1" t="n">
        <v>45281</v>
      </c>
      <c r="C1268" s="1" t="n">
        <v>45784</v>
      </c>
      <c r="D1268" t="inlineStr">
        <is>
          <t>JÄMTLANDS LÄN</t>
        </is>
      </c>
      <c r="E1268" t="inlineStr">
        <is>
          <t>HÄRJEDALEN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64909-2023</t>
        </is>
      </c>
      <c r="B1269" s="1" t="n">
        <v>45282</v>
      </c>
      <c r="C1269" s="1" t="n">
        <v>45784</v>
      </c>
      <c r="D1269" t="inlineStr">
        <is>
          <t>JÄMTLANDS LÄN</t>
        </is>
      </c>
      <c r="E1269" t="inlineStr">
        <is>
          <t>HÄRJEDALEN</t>
        </is>
      </c>
      <c r="F1269" t="inlineStr">
        <is>
          <t>Holmen skog AB</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65032-2023</t>
        </is>
      </c>
      <c r="B1270" s="1" t="n">
        <v>45287</v>
      </c>
      <c r="C1270" s="1" t="n">
        <v>45784</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65152-2023</t>
        </is>
      </c>
      <c r="B1271" s="1" t="n">
        <v>45288</v>
      </c>
      <c r="C1271" s="1" t="n">
        <v>45784</v>
      </c>
      <c r="D1271" t="inlineStr">
        <is>
          <t>JÄMTLANDS LÄN</t>
        </is>
      </c>
      <c r="E1271" t="inlineStr">
        <is>
          <t>HÄRJEDALEN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65150-2023</t>
        </is>
      </c>
      <c r="B1272" s="1" t="n">
        <v>45288</v>
      </c>
      <c r="C1272" s="1" t="n">
        <v>45784</v>
      </c>
      <c r="D1272" t="inlineStr">
        <is>
          <t>JÄMTLANDS LÄN</t>
        </is>
      </c>
      <c r="E1272" t="inlineStr">
        <is>
          <t>HÄRJEDALEN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65248-2023</t>
        </is>
      </c>
      <c r="B1273" s="1" t="n">
        <v>45290</v>
      </c>
      <c r="C1273" s="1" t="n">
        <v>45784</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54-2024</t>
        </is>
      </c>
      <c r="B1274" s="1" t="n">
        <v>45293</v>
      </c>
      <c r="C1274" s="1" t="n">
        <v>45784</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40-2024</t>
        </is>
      </c>
      <c r="B1275" s="1" t="n">
        <v>45293</v>
      </c>
      <c r="C1275" s="1" t="n">
        <v>45784</v>
      </c>
      <c r="D1275" t="inlineStr">
        <is>
          <t>JÄMTLANDS LÄN</t>
        </is>
      </c>
      <c r="E1275" t="inlineStr">
        <is>
          <t>HÄRJEDALEN</t>
        </is>
      </c>
      <c r="G1275" t="n">
        <v>24.2</v>
      </c>
      <c r="H1275" t="n">
        <v>0</v>
      </c>
      <c r="I1275" t="n">
        <v>0</v>
      </c>
      <c r="J1275" t="n">
        <v>0</v>
      </c>
      <c r="K1275" t="n">
        <v>0</v>
      </c>
      <c r="L1275" t="n">
        <v>0</v>
      </c>
      <c r="M1275" t="n">
        <v>0</v>
      </c>
      <c r="N1275" t="n">
        <v>0</v>
      </c>
      <c r="O1275" t="n">
        <v>0</v>
      </c>
      <c r="P1275" t="n">
        <v>0</v>
      </c>
      <c r="Q1275" t="n">
        <v>0</v>
      </c>
      <c r="R1275" s="2" t="inlineStr"/>
    </row>
    <row r="1276" ht="15" customHeight="1">
      <c r="A1276" t="inlineStr">
        <is>
          <t>A 1211-2024</t>
        </is>
      </c>
      <c r="B1276" s="1" t="n">
        <v>45302</v>
      </c>
      <c r="C1276" s="1" t="n">
        <v>45784</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1366-2024</t>
        </is>
      </c>
      <c r="B1277" s="1" t="n">
        <v>45303</v>
      </c>
      <c r="C1277" s="1" t="n">
        <v>45784</v>
      </c>
      <c r="D1277" t="inlineStr">
        <is>
          <t>JÄMTLANDS LÄN</t>
        </is>
      </c>
      <c r="E1277" t="inlineStr">
        <is>
          <t>HÄRJEDALEN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1398-2024</t>
        </is>
      </c>
      <c r="B1278" s="1" t="n">
        <v>45303</v>
      </c>
      <c r="C1278" s="1" t="n">
        <v>45784</v>
      </c>
      <c r="D1278" t="inlineStr">
        <is>
          <t>JÄMTLANDS LÄN</t>
        </is>
      </c>
      <c r="E1278" t="inlineStr">
        <is>
          <t>HÄRJEDALEN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1361-2024</t>
        </is>
      </c>
      <c r="B1279" s="1" t="n">
        <v>45303</v>
      </c>
      <c r="C1279" s="1" t="n">
        <v>45784</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1364-2024</t>
        </is>
      </c>
      <c r="B1280" s="1" t="n">
        <v>45303</v>
      </c>
      <c r="C1280" s="1" t="n">
        <v>45784</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1587-2024</t>
        </is>
      </c>
      <c r="B1281" s="1" t="n">
        <v>45306</v>
      </c>
      <c r="C1281" s="1" t="n">
        <v>45784</v>
      </c>
      <c r="D1281" t="inlineStr">
        <is>
          <t>JÄMTLANDS LÄN</t>
        </is>
      </c>
      <c r="E1281" t="inlineStr">
        <is>
          <t>HÄRJEDALEN</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1952-2024</t>
        </is>
      </c>
      <c r="B1282" s="1" t="n">
        <v>45308</v>
      </c>
      <c r="C1282" s="1" t="n">
        <v>45784</v>
      </c>
      <c r="D1282" t="inlineStr">
        <is>
          <t>JÄMTLANDS LÄN</t>
        </is>
      </c>
      <c r="E1282" t="inlineStr">
        <is>
          <t>HÄRJEDALEN</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2185-2024</t>
        </is>
      </c>
      <c r="B1283" s="1" t="n">
        <v>45309</v>
      </c>
      <c r="C1283" s="1" t="n">
        <v>45784</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4533-2024</t>
        </is>
      </c>
      <c r="B1284" s="1" t="n">
        <v>45327</v>
      </c>
      <c r="C1284" s="1" t="n">
        <v>45784</v>
      </c>
      <c r="D1284" t="inlineStr">
        <is>
          <t>JÄMTLANDS LÄN</t>
        </is>
      </c>
      <c r="E1284" t="inlineStr">
        <is>
          <t>HÄRJEDALEN</t>
        </is>
      </c>
      <c r="F1284" t="inlineStr">
        <is>
          <t>Övriga statliga verk och myndigheter</t>
        </is>
      </c>
      <c r="G1284" t="n">
        <v>21.1</v>
      </c>
      <c r="H1284" t="n">
        <v>0</v>
      </c>
      <c r="I1284" t="n">
        <v>0</v>
      </c>
      <c r="J1284" t="n">
        <v>0</v>
      </c>
      <c r="K1284" t="n">
        <v>0</v>
      </c>
      <c r="L1284" t="n">
        <v>0</v>
      </c>
      <c r="M1284" t="n">
        <v>0</v>
      </c>
      <c r="N1284" t="n">
        <v>0</v>
      </c>
      <c r="O1284" t="n">
        <v>0</v>
      </c>
      <c r="P1284" t="n">
        <v>0</v>
      </c>
      <c r="Q1284" t="n">
        <v>0</v>
      </c>
      <c r="R1284" s="2" t="inlineStr"/>
    </row>
    <row r="1285" ht="15" customHeight="1">
      <c r="A1285" t="inlineStr">
        <is>
          <t>A 5630-2024</t>
        </is>
      </c>
      <c r="B1285" s="1" t="n">
        <v>45334</v>
      </c>
      <c r="C1285" s="1" t="n">
        <v>45784</v>
      </c>
      <c r="D1285" t="inlineStr">
        <is>
          <t>JÄMTLANDS LÄN</t>
        </is>
      </c>
      <c r="E1285" t="inlineStr">
        <is>
          <t>HÄRJEDALEN</t>
        </is>
      </c>
      <c r="F1285" t="inlineStr">
        <is>
          <t>Övriga statliga verk och myndigheter</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5912-2024</t>
        </is>
      </c>
      <c r="B1286" s="1" t="n">
        <v>45335</v>
      </c>
      <c r="C1286" s="1" t="n">
        <v>45784</v>
      </c>
      <c r="D1286" t="inlineStr">
        <is>
          <t>JÄMTLANDS LÄN</t>
        </is>
      </c>
      <c r="E1286" t="inlineStr">
        <is>
          <t>HÄRJEDALEN</t>
        </is>
      </c>
      <c r="G1286" t="n">
        <v>39.3</v>
      </c>
      <c r="H1286" t="n">
        <v>0</v>
      </c>
      <c r="I1286" t="n">
        <v>0</v>
      </c>
      <c r="J1286" t="n">
        <v>0</v>
      </c>
      <c r="K1286" t="n">
        <v>0</v>
      </c>
      <c r="L1286" t="n">
        <v>0</v>
      </c>
      <c r="M1286" t="n">
        <v>0</v>
      </c>
      <c r="N1286" t="n">
        <v>0</v>
      </c>
      <c r="O1286" t="n">
        <v>0</v>
      </c>
      <c r="P1286" t="n">
        <v>0</v>
      </c>
      <c r="Q1286" t="n">
        <v>0</v>
      </c>
      <c r="R1286" s="2" t="inlineStr"/>
    </row>
    <row r="1287" ht="15" customHeight="1">
      <c r="A1287" t="inlineStr">
        <is>
          <t>A 5913-2024</t>
        </is>
      </c>
      <c r="B1287" s="1" t="n">
        <v>45335</v>
      </c>
      <c r="C1287" s="1" t="n">
        <v>45784</v>
      </c>
      <c r="D1287" t="inlineStr">
        <is>
          <t>JÄMTLANDS LÄN</t>
        </is>
      </c>
      <c r="E1287" t="inlineStr">
        <is>
          <t>HÄRJEDALEN</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6218-2024</t>
        </is>
      </c>
      <c r="B1288" s="1" t="n">
        <v>45337</v>
      </c>
      <c r="C1288" s="1" t="n">
        <v>45784</v>
      </c>
      <c r="D1288" t="inlineStr">
        <is>
          <t>JÄMTLANDS LÄN</t>
        </is>
      </c>
      <c r="E1288" t="inlineStr">
        <is>
          <t>HÄRJEDALEN</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6286-2024</t>
        </is>
      </c>
      <c r="B1289" s="1" t="n">
        <v>45337</v>
      </c>
      <c r="C1289" s="1" t="n">
        <v>45784</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6313-2024</t>
        </is>
      </c>
      <c r="B1290" s="1" t="n">
        <v>45338</v>
      </c>
      <c r="C1290" s="1" t="n">
        <v>45784</v>
      </c>
      <c r="D1290" t="inlineStr">
        <is>
          <t>JÄMTLANDS LÄN</t>
        </is>
      </c>
      <c r="E1290" t="inlineStr">
        <is>
          <t>HÄRJEDALEN</t>
        </is>
      </c>
      <c r="F1290" t="inlineStr">
        <is>
          <t>Bergvik skog väst AB</t>
        </is>
      </c>
      <c r="G1290" t="n">
        <v>60.7</v>
      </c>
      <c r="H1290" t="n">
        <v>0</v>
      </c>
      <c r="I1290" t="n">
        <v>0</v>
      </c>
      <c r="J1290" t="n">
        <v>0</v>
      </c>
      <c r="K1290" t="n">
        <v>0</v>
      </c>
      <c r="L1290" t="n">
        <v>0</v>
      </c>
      <c r="M1290" t="n">
        <v>0</v>
      </c>
      <c r="N1290" t="n">
        <v>0</v>
      </c>
      <c r="O1290" t="n">
        <v>0</v>
      </c>
      <c r="P1290" t="n">
        <v>0</v>
      </c>
      <c r="Q1290" t="n">
        <v>0</v>
      </c>
      <c r="R1290" s="2" t="inlineStr"/>
    </row>
    <row r="1291" ht="15" customHeight="1">
      <c r="A1291" t="inlineStr">
        <is>
          <t>A 6304-2024</t>
        </is>
      </c>
      <c r="B1291" s="1" t="n">
        <v>45338</v>
      </c>
      <c r="C1291" s="1" t="n">
        <v>45784</v>
      </c>
      <c r="D1291" t="inlineStr">
        <is>
          <t>JÄMTLANDS LÄN</t>
        </is>
      </c>
      <c r="E1291" t="inlineStr">
        <is>
          <t>HÄRJEDALEN</t>
        </is>
      </c>
      <c r="F1291" t="inlineStr">
        <is>
          <t>Bergvik skog väst AB</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6756-2024</t>
        </is>
      </c>
      <c r="B1292" s="1" t="n">
        <v>45342</v>
      </c>
      <c r="C1292" s="1" t="n">
        <v>45784</v>
      </c>
      <c r="D1292" t="inlineStr">
        <is>
          <t>JÄMTLANDS LÄN</t>
        </is>
      </c>
      <c r="E1292" t="inlineStr">
        <is>
          <t>HÄRJEDALEN</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7205-2024</t>
        </is>
      </c>
      <c r="B1293" s="1" t="n">
        <v>45344</v>
      </c>
      <c r="C1293" s="1" t="n">
        <v>45784</v>
      </c>
      <c r="D1293" t="inlineStr">
        <is>
          <t>JÄMTLANDS LÄN</t>
        </is>
      </c>
      <c r="E1293" t="inlineStr">
        <is>
          <t>HÄRJEDALEN</t>
        </is>
      </c>
      <c r="F1293" t="inlineStr">
        <is>
          <t>Holmen skog AB</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7199-2024</t>
        </is>
      </c>
      <c r="B1294" s="1" t="n">
        <v>45344</v>
      </c>
      <c r="C1294" s="1" t="n">
        <v>45784</v>
      </c>
      <c r="D1294" t="inlineStr">
        <is>
          <t>JÄMTLANDS LÄN</t>
        </is>
      </c>
      <c r="E1294" t="inlineStr">
        <is>
          <t>HÄRJEDALEN</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7235-2024</t>
        </is>
      </c>
      <c r="B1295" s="1" t="n">
        <v>45344</v>
      </c>
      <c r="C1295" s="1" t="n">
        <v>45784</v>
      </c>
      <c r="D1295" t="inlineStr">
        <is>
          <t>JÄMTLANDS LÄN</t>
        </is>
      </c>
      <c r="E1295" t="inlineStr">
        <is>
          <t>HÄRJEDALEN</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7239-2024</t>
        </is>
      </c>
      <c r="B1296" s="1" t="n">
        <v>45344</v>
      </c>
      <c r="C1296" s="1" t="n">
        <v>45784</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7243-2024</t>
        </is>
      </c>
      <c r="B1297" s="1" t="n">
        <v>45344</v>
      </c>
      <c r="C1297" s="1" t="n">
        <v>45784</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7200-2024</t>
        </is>
      </c>
      <c r="B1298" s="1" t="n">
        <v>45344</v>
      </c>
      <c r="C1298" s="1" t="n">
        <v>45784</v>
      </c>
      <c r="D1298" t="inlineStr">
        <is>
          <t>JÄMTLANDS LÄN</t>
        </is>
      </c>
      <c r="E1298" t="inlineStr">
        <is>
          <t>HÄRJEDALEN</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7313-2024</t>
        </is>
      </c>
      <c r="B1299" s="1" t="n">
        <v>45345</v>
      </c>
      <c r="C1299" s="1" t="n">
        <v>45784</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7311-2024</t>
        </is>
      </c>
      <c r="B1300" s="1" t="n">
        <v>45345</v>
      </c>
      <c r="C1300" s="1" t="n">
        <v>45784</v>
      </c>
      <c r="D1300" t="inlineStr">
        <is>
          <t>JÄMTLANDS LÄN</t>
        </is>
      </c>
      <c r="E1300" t="inlineStr">
        <is>
          <t>HÄRJEDALEN</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7392-2024</t>
        </is>
      </c>
      <c r="B1301" s="1" t="n">
        <v>45345</v>
      </c>
      <c r="C1301" s="1" t="n">
        <v>45784</v>
      </c>
      <c r="D1301" t="inlineStr">
        <is>
          <t>JÄMTLANDS LÄN</t>
        </is>
      </c>
      <c r="E1301" t="inlineStr">
        <is>
          <t>HÄRJEDALEN</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7396-2024</t>
        </is>
      </c>
      <c r="B1302" s="1" t="n">
        <v>45345</v>
      </c>
      <c r="C1302" s="1" t="n">
        <v>45784</v>
      </c>
      <c r="D1302" t="inlineStr">
        <is>
          <t>JÄMTLANDS LÄN</t>
        </is>
      </c>
      <c r="E1302" t="inlineStr">
        <is>
          <t>HÄRJEDALEN</t>
        </is>
      </c>
      <c r="F1302" t="inlineStr">
        <is>
          <t>Holmen skog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7368-2024</t>
        </is>
      </c>
      <c r="B1303" s="1" t="n">
        <v>45345</v>
      </c>
      <c r="C1303" s="1" t="n">
        <v>45784</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7433-2024</t>
        </is>
      </c>
      <c r="B1304" s="1" t="n">
        <v>45345</v>
      </c>
      <c r="C1304" s="1" t="n">
        <v>45784</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7424-2024</t>
        </is>
      </c>
      <c r="B1305" s="1" t="n">
        <v>45345</v>
      </c>
      <c r="C1305" s="1" t="n">
        <v>45784</v>
      </c>
      <c r="D1305" t="inlineStr">
        <is>
          <t>JÄMTLANDS LÄN</t>
        </is>
      </c>
      <c r="E1305" t="inlineStr">
        <is>
          <t>HÄRJEDALEN</t>
        </is>
      </c>
      <c r="F1305" t="inlineStr">
        <is>
          <t>Holmen skog AB</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7328-2024</t>
        </is>
      </c>
      <c r="B1306" s="1" t="n">
        <v>45345</v>
      </c>
      <c r="C1306" s="1" t="n">
        <v>45784</v>
      </c>
      <c r="D1306" t="inlineStr">
        <is>
          <t>JÄMTLANDS LÄN</t>
        </is>
      </c>
      <c r="E1306" t="inlineStr">
        <is>
          <t>HÄRJEDALEN</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7320-2024</t>
        </is>
      </c>
      <c r="B1307" s="1" t="n">
        <v>45345</v>
      </c>
      <c r="C1307" s="1" t="n">
        <v>45784</v>
      </c>
      <c r="D1307" t="inlineStr">
        <is>
          <t>JÄMTLANDS LÄN</t>
        </is>
      </c>
      <c r="E1307" t="inlineStr">
        <is>
          <t>HÄRJEDALEN</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7402-2024</t>
        </is>
      </c>
      <c r="B1308" s="1" t="n">
        <v>45345</v>
      </c>
      <c r="C1308" s="1" t="n">
        <v>45784</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7370-2024</t>
        </is>
      </c>
      <c r="B1309" s="1" t="n">
        <v>45345</v>
      </c>
      <c r="C1309" s="1" t="n">
        <v>45784</v>
      </c>
      <c r="D1309" t="inlineStr">
        <is>
          <t>JÄMTLANDS LÄN</t>
        </is>
      </c>
      <c r="E1309" t="inlineStr">
        <is>
          <t>HÄRJEDALEN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7362-2024</t>
        </is>
      </c>
      <c r="B1310" s="1" t="n">
        <v>45345</v>
      </c>
      <c r="C1310" s="1" t="n">
        <v>45784</v>
      </c>
      <c r="D1310" t="inlineStr">
        <is>
          <t>JÄMTLANDS LÄN</t>
        </is>
      </c>
      <c r="E1310" t="inlineStr">
        <is>
          <t>HÄRJEDALEN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7358-2024</t>
        </is>
      </c>
      <c r="B1311" s="1" t="n">
        <v>45345</v>
      </c>
      <c r="C1311" s="1" t="n">
        <v>45784</v>
      </c>
      <c r="D1311" t="inlineStr">
        <is>
          <t>JÄMTLANDS LÄN</t>
        </is>
      </c>
      <c r="E1311" t="inlineStr">
        <is>
          <t>HÄRJEDALEN</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7318-2024</t>
        </is>
      </c>
      <c r="B1312" s="1" t="n">
        <v>45345</v>
      </c>
      <c r="C1312" s="1" t="n">
        <v>45784</v>
      </c>
      <c r="D1312" t="inlineStr">
        <is>
          <t>JÄMTLANDS LÄN</t>
        </is>
      </c>
      <c r="E1312" t="inlineStr">
        <is>
          <t>HÄRJEDALEN</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7430-2024</t>
        </is>
      </c>
      <c r="B1313" s="1" t="n">
        <v>45345</v>
      </c>
      <c r="C1313" s="1" t="n">
        <v>45784</v>
      </c>
      <c r="D1313" t="inlineStr">
        <is>
          <t>JÄMTLANDS LÄN</t>
        </is>
      </c>
      <c r="E1313" t="inlineStr">
        <is>
          <t>HÄRJEDALEN</t>
        </is>
      </c>
      <c r="F1313" t="inlineStr">
        <is>
          <t>Holmen skog AB</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7371-2024</t>
        </is>
      </c>
      <c r="B1314" s="1" t="n">
        <v>45345</v>
      </c>
      <c r="C1314" s="1" t="n">
        <v>45784</v>
      </c>
      <c r="D1314" t="inlineStr">
        <is>
          <t>JÄMTLANDS LÄN</t>
        </is>
      </c>
      <c r="E1314" t="inlineStr">
        <is>
          <t>HÄRJEDALEN</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7405-2024</t>
        </is>
      </c>
      <c r="B1315" s="1" t="n">
        <v>45345</v>
      </c>
      <c r="C1315" s="1" t="n">
        <v>45784</v>
      </c>
      <c r="D1315" t="inlineStr">
        <is>
          <t>JÄMTLANDS LÄN</t>
        </is>
      </c>
      <c r="E1315" t="inlineStr">
        <is>
          <t>HÄRJEDALEN</t>
        </is>
      </c>
      <c r="F1315" t="inlineStr">
        <is>
          <t>Holmen skog AB</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7349-2024</t>
        </is>
      </c>
      <c r="B1316" s="1" t="n">
        <v>45345</v>
      </c>
      <c r="C1316" s="1" t="n">
        <v>45784</v>
      </c>
      <c r="D1316" t="inlineStr">
        <is>
          <t>JÄMTLANDS LÄN</t>
        </is>
      </c>
      <c r="E1316" t="inlineStr">
        <is>
          <t>HÄRJEDALEN</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7341-2024</t>
        </is>
      </c>
      <c r="B1317" s="1" t="n">
        <v>45345</v>
      </c>
      <c r="C1317" s="1" t="n">
        <v>45784</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7647-2024</t>
        </is>
      </c>
      <c r="B1318" s="1" t="n">
        <v>45348</v>
      </c>
      <c r="C1318" s="1" t="n">
        <v>45784</v>
      </c>
      <c r="D1318" t="inlineStr">
        <is>
          <t>JÄMTLANDS LÄN</t>
        </is>
      </c>
      <c r="E1318" t="inlineStr">
        <is>
          <t>HÄRJEDALEN</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7528-2024</t>
        </is>
      </c>
      <c r="B1319" s="1" t="n">
        <v>45348</v>
      </c>
      <c r="C1319" s="1" t="n">
        <v>45784</v>
      </c>
      <c r="D1319" t="inlineStr">
        <is>
          <t>JÄMTLANDS LÄN</t>
        </is>
      </c>
      <c r="E1319" t="inlineStr">
        <is>
          <t>HÄRJEDALEN</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7530-2024</t>
        </is>
      </c>
      <c r="B1320" s="1" t="n">
        <v>45348</v>
      </c>
      <c r="C1320" s="1" t="n">
        <v>45784</v>
      </c>
      <c r="D1320" t="inlineStr">
        <is>
          <t>JÄMTLANDS LÄN</t>
        </is>
      </c>
      <c r="E1320" t="inlineStr">
        <is>
          <t>HÄRJEDALEN</t>
        </is>
      </c>
      <c r="F1320" t="inlineStr">
        <is>
          <t>Holmen skog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7639-2024</t>
        </is>
      </c>
      <c r="B1321" s="1" t="n">
        <v>45348</v>
      </c>
      <c r="C1321" s="1" t="n">
        <v>45784</v>
      </c>
      <c r="D1321" t="inlineStr">
        <is>
          <t>JÄMTLANDS LÄN</t>
        </is>
      </c>
      <c r="E1321" t="inlineStr">
        <is>
          <t>HÄRJEDALEN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7684-2024</t>
        </is>
      </c>
      <c r="B1322" s="1" t="n">
        <v>45348</v>
      </c>
      <c r="C1322" s="1" t="n">
        <v>45784</v>
      </c>
      <c r="D1322" t="inlineStr">
        <is>
          <t>JÄMTLANDS LÄN</t>
        </is>
      </c>
      <c r="E1322" t="inlineStr">
        <is>
          <t>HÄRJEDALEN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7896-2024</t>
        </is>
      </c>
      <c r="B1323" s="1" t="n">
        <v>45350</v>
      </c>
      <c r="C1323" s="1" t="n">
        <v>45784</v>
      </c>
      <c r="D1323" t="inlineStr">
        <is>
          <t>JÄMTLANDS LÄN</t>
        </is>
      </c>
      <c r="E1323" t="inlineStr">
        <is>
          <t>HÄRJEDALEN</t>
        </is>
      </c>
      <c r="F1323" t="inlineStr">
        <is>
          <t>Holmen skog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7880-2024</t>
        </is>
      </c>
      <c r="B1324" s="1" t="n">
        <v>45350</v>
      </c>
      <c r="C1324" s="1" t="n">
        <v>45784</v>
      </c>
      <c r="D1324" t="inlineStr">
        <is>
          <t>JÄMTLANDS LÄN</t>
        </is>
      </c>
      <c r="E1324" t="inlineStr">
        <is>
          <t>HÄRJEDALEN</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7995-2024</t>
        </is>
      </c>
      <c r="B1325" s="1" t="n">
        <v>45350</v>
      </c>
      <c r="C1325" s="1" t="n">
        <v>45784</v>
      </c>
      <c r="D1325" t="inlineStr">
        <is>
          <t>JÄMTLANDS LÄN</t>
        </is>
      </c>
      <c r="E1325" t="inlineStr">
        <is>
          <t>HÄRJEDALEN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8178-2024</t>
        </is>
      </c>
      <c r="B1326" s="1" t="n">
        <v>45350</v>
      </c>
      <c r="C1326" s="1" t="n">
        <v>45784</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8158-2024</t>
        </is>
      </c>
      <c r="B1327" s="1" t="n">
        <v>45351</v>
      </c>
      <c r="C1327" s="1" t="n">
        <v>45784</v>
      </c>
      <c r="D1327" t="inlineStr">
        <is>
          <t>JÄMTLANDS LÄN</t>
        </is>
      </c>
      <c r="E1327" t="inlineStr">
        <is>
          <t>HÄRJEDALEN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8215-2024</t>
        </is>
      </c>
      <c r="B1328" s="1" t="n">
        <v>45351</v>
      </c>
      <c r="C1328" s="1" t="n">
        <v>45784</v>
      </c>
      <c r="D1328" t="inlineStr">
        <is>
          <t>JÄMTLANDS LÄN</t>
        </is>
      </c>
      <c r="E1328" t="inlineStr">
        <is>
          <t>HÄRJEDALEN</t>
        </is>
      </c>
      <c r="G1328" t="n">
        <v>49.2</v>
      </c>
      <c r="H1328" t="n">
        <v>0</v>
      </c>
      <c r="I1328" t="n">
        <v>0</v>
      </c>
      <c r="J1328" t="n">
        <v>0</v>
      </c>
      <c r="K1328" t="n">
        <v>0</v>
      </c>
      <c r="L1328" t="n">
        <v>0</v>
      </c>
      <c r="M1328" t="n">
        <v>0</v>
      </c>
      <c r="N1328" t="n">
        <v>0</v>
      </c>
      <c r="O1328" t="n">
        <v>0</v>
      </c>
      <c r="P1328" t="n">
        <v>0</v>
      </c>
      <c r="Q1328" t="n">
        <v>0</v>
      </c>
      <c r="R1328" s="2" t="inlineStr"/>
    </row>
    <row r="1329" ht="15" customHeight="1">
      <c r="A1329" t="inlineStr">
        <is>
          <t>A 8136-2024</t>
        </is>
      </c>
      <c r="B1329" s="1" t="n">
        <v>45351</v>
      </c>
      <c r="C1329" s="1" t="n">
        <v>45784</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8376-2024</t>
        </is>
      </c>
      <c r="B1330" s="1" t="n">
        <v>45352</v>
      </c>
      <c r="C1330" s="1" t="n">
        <v>45784</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9013-2024</t>
        </is>
      </c>
      <c r="B1331" s="1" t="n">
        <v>45357</v>
      </c>
      <c r="C1331" s="1" t="n">
        <v>45784</v>
      </c>
      <c r="D1331" t="inlineStr">
        <is>
          <t>JÄMTLANDS LÄN</t>
        </is>
      </c>
      <c r="E1331" t="inlineStr">
        <is>
          <t>HÄRJEDALEN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9778-2024</t>
        </is>
      </c>
      <c r="B1332" s="1" t="n">
        <v>45362</v>
      </c>
      <c r="C1332" s="1" t="n">
        <v>45784</v>
      </c>
      <c r="D1332" t="inlineStr">
        <is>
          <t>JÄMTLANDS LÄN</t>
        </is>
      </c>
      <c r="E1332" t="inlineStr">
        <is>
          <t>HÄRJEDALEN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9782-2024</t>
        </is>
      </c>
      <c r="B1333" s="1" t="n">
        <v>45362</v>
      </c>
      <c r="C1333" s="1" t="n">
        <v>45784</v>
      </c>
      <c r="D1333" t="inlineStr">
        <is>
          <t>JÄMTLANDS LÄN</t>
        </is>
      </c>
      <c r="E1333" t="inlineStr">
        <is>
          <t>HÄRJEDALEN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9767-2024</t>
        </is>
      </c>
      <c r="B1334" s="1" t="n">
        <v>45362</v>
      </c>
      <c r="C1334" s="1" t="n">
        <v>45784</v>
      </c>
      <c r="D1334" t="inlineStr">
        <is>
          <t>JÄMTLANDS LÄN</t>
        </is>
      </c>
      <c r="E1334" t="inlineStr">
        <is>
          <t>HÄRJEDALEN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9780-2024</t>
        </is>
      </c>
      <c r="B1335" s="1" t="n">
        <v>45362</v>
      </c>
      <c r="C1335" s="1" t="n">
        <v>45784</v>
      </c>
      <c r="D1335" t="inlineStr">
        <is>
          <t>JÄMTLANDS LÄN</t>
        </is>
      </c>
      <c r="E1335" t="inlineStr">
        <is>
          <t>HÄRJEDALEN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9784-2024</t>
        </is>
      </c>
      <c r="B1336" s="1" t="n">
        <v>45362</v>
      </c>
      <c r="C1336" s="1" t="n">
        <v>45784</v>
      </c>
      <c r="D1336" t="inlineStr">
        <is>
          <t>JÄMTLANDS LÄN</t>
        </is>
      </c>
      <c r="E1336" t="inlineStr">
        <is>
          <t>HÄRJEDALEN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9788-2024</t>
        </is>
      </c>
      <c r="B1337" s="1" t="n">
        <v>45362</v>
      </c>
      <c r="C1337" s="1" t="n">
        <v>45784</v>
      </c>
      <c r="D1337" t="inlineStr">
        <is>
          <t>JÄMTLANDS LÄN</t>
        </is>
      </c>
      <c r="E1337" t="inlineStr">
        <is>
          <t>HÄRJEDALEN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9775-2024</t>
        </is>
      </c>
      <c r="B1338" s="1" t="n">
        <v>45362</v>
      </c>
      <c r="C1338" s="1" t="n">
        <v>45784</v>
      </c>
      <c r="D1338" t="inlineStr">
        <is>
          <t>JÄMTLANDS LÄN</t>
        </is>
      </c>
      <c r="E1338" t="inlineStr">
        <is>
          <t>HÄRJEDALEN</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10566-2024</t>
        </is>
      </c>
      <c r="B1339" s="1" t="n">
        <v>45366</v>
      </c>
      <c r="C1339" s="1" t="n">
        <v>45784</v>
      </c>
      <c r="D1339" t="inlineStr">
        <is>
          <t>JÄMTLANDS LÄN</t>
        </is>
      </c>
      <c r="E1339" t="inlineStr">
        <is>
          <t>HÄRJEDALEN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10564-2024</t>
        </is>
      </c>
      <c r="B1340" s="1" t="n">
        <v>45366</v>
      </c>
      <c r="C1340" s="1" t="n">
        <v>45784</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10563-2024</t>
        </is>
      </c>
      <c r="B1341" s="1" t="n">
        <v>45366</v>
      </c>
      <c r="C1341" s="1" t="n">
        <v>45784</v>
      </c>
      <c r="D1341" t="inlineStr">
        <is>
          <t>JÄMTLANDS LÄN</t>
        </is>
      </c>
      <c r="E1341" t="inlineStr">
        <is>
          <t>HÄRJEDALEN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11257-2024</t>
        </is>
      </c>
      <c r="B1342" s="1" t="n">
        <v>45371</v>
      </c>
      <c r="C1342" s="1" t="n">
        <v>45784</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11255-2024</t>
        </is>
      </c>
      <c r="B1343" s="1" t="n">
        <v>45371</v>
      </c>
      <c r="C1343" s="1" t="n">
        <v>45784</v>
      </c>
      <c r="D1343" t="inlineStr">
        <is>
          <t>JÄMTLANDS LÄN</t>
        </is>
      </c>
      <c r="E1343" t="inlineStr">
        <is>
          <t>HÄRJEDALEN</t>
        </is>
      </c>
      <c r="F1343" t="inlineStr">
        <is>
          <t>Holmen skog AB</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11494-2024</t>
        </is>
      </c>
      <c r="B1344" s="1" t="n">
        <v>45372</v>
      </c>
      <c r="C1344" s="1" t="n">
        <v>45784</v>
      </c>
      <c r="D1344" t="inlineStr">
        <is>
          <t>JÄMTLANDS LÄN</t>
        </is>
      </c>
      <c r="E1344" t="inlineStr">
        <is>
          <t>HÄRJEDALEN</t>
        </is>
      </c>
      <c r="G1344" t="n">
        <v>28.8</v>
      </c>
      <c r="H1344" t="n">
        <v>0</v>
      </c>
      <c r="I1344" t="n">
        <v>0</v>
      </c>
      <c r="J1344" t="n">
        <v>0</v>
      </c>
      <c r="K1344" t="n">
        <v>0</v>
      </c>
      <c r="L1344" t="n">
        <v>0</v>
      </c>
      <c r="M1344" t="n">
        <v>0</v>
      </c>
      <c r="N1344" t="n">
        <v>0</v>
      </c>
      <c r="O1344" t="n">
        <v>0</v>
      </c>
      <c r="P1344" t="n">
        <v>0</v>
      </c>
      <c r="Q1344" t="n">
        <v>0</v>
      </c>
      <c r="R1344" s="2" t="inlineStr"/>
    </row>
    <row r="1345" ht="15" customHeight="1">
      <c r="A1345" t="inlineStr">
        <is>
          <t>A 11624-2024</t>
        </is>
      </c>
      <c r="B1345" s="1" t="n">
        <v>45373</v>
      </c>
      <c r="C1345" s="1" t="n">
        <v>45784</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11612-2024</t>
        </is>
      </c>
      <c r="B1346" s="1" t="n">
        <v>45373</v>
      </c>
      <c r="C1346" s="1" t="n">
        <v>45784</v>
      </c>
      <c r="D1346" t="inlineStr">
        <is>
          <t>JÄMTLANDS LÄN</t>
        </is>
      </c>
      <c r="E1346" t="inlineStr">
        <is>
          <t>HÄRJEDALEN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12043-2024</t>
        </is>
      </c>
      <c r="B1347" s="1" t="n">
        <v>45377</v>
      </c>
      <c r="C1347" s="1" t="n">
        <v>45784</v>
      </c>
      <c r="D1347" t="inlineStr">
        <is>
          <t>JÄMTLANDS LÄN</t>
        </is>
      </c>
      <c r="E1347" t="inlineStr">
        <is>
          <t>HÄRJEDALEN</t>
        </is>
      </c>
      <c r="F1347" t="inlineStr">
        <is>
          <t>Bergvik skog väst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12929-2024</t>
        </is>
      </c>
      <c r="B1348" s="1" t="n">
        <v>45385</v>
      </c>
      <c r="C1348" s="1" t="n">
        <v>45784</v>
      </c>
      <c r="D1348" t="inlineStr">
        <is>
          <t>JÄMTLANDS LÄN</t>
        </is>
      </c>
      <c r="E1348" t="inlineStr">
        <is>
          <t>HÄRJEDALEN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13542-2024</t>
        </is>
      </c>
      <c r="B1349" s="1" t="n">
        <v>45387</v>
      </c>
      <c r="C1349" s="1" t="n">
        <v>45784</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13543-2024</t>
        </is>
      </c>
      <c r="B1350" s="1" t="n">
        <v>45387</v>
      </c>
      <c r="C1350" s="1" t="n">
        <v>45784</v>
      </c>
      <c r="D1350" t="inlineStr">
        <is>
          <t>JÄMTLANDS LÄN</t>
        </is>
      </c>
      <c r="E1350" t="inlineStr">
        <is>
          <t>HÄRJEDALEN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13544-2024</t>
        </is>
      </c>
      <c r="B1351" s="1" t="n">
        <v>45387</v>
      </c>
      <c r="C1351" s="1" t="n">
        <v>45784</v>
      </c>
      <c r="D1351" t="inlineStr">
        <is>
          <t>JÄMTLANDS LÄN</t>
        </is>
      </c>
      <c r="E1351" t="inlineStr">
        <is>
          <t>HÄRJEDALEN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13545-2024</t>
        </is>
      </c>
      <c r="B1352" s="1" t="n">
        <v>45387</v>
      </c>
      <c r="C1352" s="1" t="n">
        <v>45784</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13541-2024</t>
        </is>
      </c>
      <c r="B1353" s="1" t="n">
        <v>45387</v>
      </c>
      <c r="C1353" s="1" t="n">
        <v>45784</v>
      </c>
      <c r="D1353" t="inlineStr">
        <is>
          <t>JÄMTLANDS LÄN</t>
        </is>
      </c>
      <c r="E1353" t="inlineStr">
        <is>
          <t>HÄRJEDALEN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13723-2024</t>
        </is>
      </c>
      <c r="B1354" s="1" t="n">
        <v>45390</v>
      </c>
      <c r="C1354" s="1" t="n">
        <v>45784</v>
      </c>
      <c r="D1354" t="inlineStr">
        <is>
          <t>JÄMTLANDS LÄN</t>
        </is>
      </c>
      <c r="E1354" t="inlineStr">
        <is>
          <t>HÄRJEDALEN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14301-2024</t>
        </is>
      </c>
      <c r="B1355" s="1" t="n">
        <v>45393</v>
      </c>
      <c r="C1355" s="1" t="n">
        <v>45784</v>
      </c>
      <c r="D1355" t="inlineStr">
        <is>
          <t>JÄMTLANDS LÄN</t>
        </is>
      </c>
      <c r="E1355" t="inlineStr">
        <is>
          <t>HÄRJEDALEN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14306-2024</t>
        </is>
      </c>
      <c r="B1356" s="1" t="n">
        <v>45393</v>
      </c>
      <c r="C1356" s="1" t="n">
        <v>45784</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14752-2024</t>
        </is>
      </c>
      <c r="B1357" s="1" t="n">
        <v>45397</v>
      </c>
      <c r="C1357" s="1" t="n">
        <v>45784</v>
      </c>
      <c r="D1357" t="inlineStr">
        <is>
          <t>JÄMTLANDS LÄN</t>
        </is>
      </c>
      <c r="E1357" t="inlineStr">
        <is>
          <t>HÄRJEDALEN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15525-2024</t>
        </is>
      </c>
      <c r="B1358" s="1" t="n">
        <v>45401</v>
      </c>
      <c r="C1358" s="1" t="n">
        <v>45784</v>
      </c>
      <c r="D1358" t="inlineStr">
        <is>
          <t>JÄMTLANDS LÄN</t>
        </is>
      </c>
      <c r="E1358" t="inlineStr">
        <is>
          <t>HÄRJEDALEN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16185-2024</t>
        </is>
      </c>
      <c r="B1359" s="1" t="n">
        <v>45406</v>
      </c>
      <c r="C1359" s="1" t="n">
        <v>45784</v>
      </c>
      <c r="D1359" t="inlineStr">
        <is>
          <t>JÄMTLANDS LÄN</t>
        </is>
      </c>
      <c r="E1359" t="inlineStr">
        <is>
          <t>HÄRJEDALEN</t>
        </is>
      </c>
      <c r="F1359" t="inlineStr">
        <is>
          <t>Holmen skog AB</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16151-2024</t>
        </is>
      </c>
      <c r="B1360" s="1" t="n">
        <v>45406</v>
      </c>
      <c r="C1360" s="1" t="n">
        <v>45784</v>
      </c>
      <c r="D1360" t="inlineStr">
        <is>
          <t>JÄMTLANDS LÄN</t>
        </is>
      </c>
      <c r="E1360" t="inlineStr">
        <is>
          <t>HÄRJEDALEN</t>
        </is>
      </c>
      <c r="F1360" t="inlineStr">
        <is>
          <t>Holmen skog AB</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16175-2024</t>
        </is>
      </c>
      <c r="B1361" s="1" t="n">
        <v>45406</v>
      </c>
      <c r="C1361" s="1" t="n">
        <v>45784</v>
      </c>
      <c r="D1361" t="inlineStr">
        <is>
          <t>JÄMTLANDS LÄN</t>
        </is>
      </c>
      <c r="E1361" t="inlineStr">
        <is>
          <t>HÄRJEDALEN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16176-2024</t>
        </is>
      </c>
      <c r="B1362" s="1" t="n">
        <v>45406</v>
      </c>
      <c r="C1362" s="1" t="n">
        <v>45784</v>
      </c>
      <c r="D1362" t="inlineStr">
        <is>
          <t>JÄMTLANDS LÄN</t>
        </is>
      </c>
      <c r="E1362" t="inlineStr">
        <is>
          <t>HÄRJEDALEN</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16283-2024</t>
        </is>
      </c>
      <c r="B1363" s="1" t="n">
        <v>45407</v>
      </c>
      <c r="C1363" s="1" t="n">
        <v>45784</v>
      </c>
      <c r="D1363" t="inlineStr">
        <is>
          <t>JÄMTLANDS LÄN</t>
        </is>
      </c>
      <c r="E1363" t="inlineStr">
        <is>
          <t>HÄRJEDALEN</t>
        </is>
      </c>
      <c r="F1363" t="inlineStr">
        <is>
          <t>Holmen skog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16511-2024</t>
        </is>
      </c>
      <c r="B1364" s="1" t="n">
        <v>45408</v>
      </c>
      <c r="C1364" s="1" t="n">
        <v>45784</v>
      </c>
      <c r="D1364" t="inlineStr">
        <is>
          <t>JÄMTLANDS LÄN</t>
        </is>
      </c>
      <c r="E1364" t="inlineStr">
        <is>
          <t>HÄRJEDALEN</t>
        </is>
      </c>
      <c r="G1364" t="n">
        <v>54.2</v>
      </c>
      <c r="H1364" t="n">
        <v>0</v>
      </c>
      <c r="I1364" t="n">
        <v>0</v>
      </c>
      <c r="J1364" t="n">
        <v>0</v>
      </c>
      <c r="K1364" t="n">
        <v>0</v>
      </c>
      <c r="L1364" t="n">
        <v>0</v>
      </c>
      <c r="M1364" t="n">
        <v>0</v>
      </c>
      <c r="N1364" t="n">
        <v>0</v>
      </c>
      <c r="O1364" t="n">
        <v>0</v>
      </c>
      <c r="P1364" t="n">
        <v>0</v>
      </c>
      <c r="Q1364" t="n">
        <v>0</v>
      </c>
      <c r="R1364" s="2" t="inlineStr"/>
    </row>
    <row r="1365" ht="15" customHeight="1">
      <c r="A1365" t="inlineStr">
        <is>
          <t>A 16535-2024</t>
        </is>
      </c>
      <c r="B1365" s="1" t="n">
        <v>45408</v>
      </c>
      <c r="C1365" s="1" t="n">
        <v>45784</v>
      </c>
      <c r="D1365" t="inlineStr">
        <is>
          <t>JÄMTLANDS LÄN</t>
        </is>
      </c>
      <c r="E1365" t="inlineStr">
        <is>
          <t>HÄRJEDALEN</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16801-2024</t>
        </is>
      </c>
      <c r="B1366" s="1" t="n">
        <v>45411</v>
      </c>
      <c r="C1366" s="1" t="n">
        <v>45784</v>
      </c>
      <c r="D1366" t="inlineStr">
        <is>
          <t>JÄMTLANDS LÄN</t>
        </is>
      </c>
      <c r="E1366" t="inlineStr">
        <is>
          <t>HÄRJEDALEN</t>
        </is>
      </c>
      <c r="F1366" t="inlineStr">
        <is>
          <t>Bergvik skog väst AB</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17416-2024</t>
        </is>
      </c>
      <c r="B1367" s="1" t="n">
        <v>45415</v>
      </c>
      <c r="C1367" s="1" t="n">
        <v>45784</v>
      </c>
      <c r="D1367" t="inlineStr">
        <is>
          <t>JÄMTLANDS LÄN</t>
        </is>
      </c>
      <c r="E1367" t="inlineStr">
        <is>
          <t>HÄRJEDALEN</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17773-2024</t>
        </is>
      </c>
      <c r="B1368" s="1" t="n">
        <v>45418</v>
      </c>
      <c r="C1368" s="1" t="n">
        <v>45784</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17865-2024</t>
        </is>
      </c>
      <c r="B1369" s="1" t="n">
        <v>45419</v>
      </c>
      <c r="C1369" s="1" t="n">
        <v>45784</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18036-2024</t>
        </is>
      </c>
      <c r="B1370" s="1" t="n">
        <v>45420</v>
      </c>
      <c r="C1370" s="1" t="n">
        <v>45784</v>
      </c>
      <c r="D1370" t="inlineStr">
        <is>
          <t>JÄMTLANDS LÄN</t>
        </is>
      </c>
      <c r="E1370" t="inlineStr">
        <is>
          <t>HÄRJEDALEN</t>
        </is>
      </c>
      <c r="F1370" t="inlineStr">
        <is>
          <t>Holmen skog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18068-2024</t>
        </is>
      </c>
      <c r="B1371" s="1" t="n">
        <v>45420</v>
      </c>
      <c r="C1371" s="1" t="n">
        <v>45784</v>
      </c>
      <c r="D1371" t="inlineStr">
        <is>
          <t>JÄMTLANDS LÄN</t>
        </is>
      </c>
      <c r="E1371" t="inlineStr">
        <is>
          <t>HÄRJEDALEN</t>
        </is>
      </c>
      <c r="F1371" t="inlineStr">
        <is>
          <t>Bergvik skog väst AB</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18076-2024</t>
        </is>
      </c>
      <c r="B1372" s="1" t="n">
        <v>45420</v>
      </c>
      <c r="C1372" s="1" t="n">
        <v>45784</v>
      </c>
      <c r="D1372" t="inlineStr">
        <is>
          <t>JÄMTLANDS LÄN</t>
        </is>
      </c>
      <c r="E1372" t="inlineStr">
        <is>
          <t>HÄRJEDALEN</t>
        </is>
      </c>
      <c r="F1372" t="inlineStr">
        <is>
          <t>Holmen skog AB</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18080-2024</t>
        </is>
      </c>
      <c r="B1373" s="1" t="n">
        <v>45420</v>
      </c>
      <c r="C1373" s="1" t="n">
        <v>45784</v>
      </c>
      <c r="D1373" t="inlineStr">
        <is>
          <t>JÄMTLANDS LÄN</t>
        </is>
      </c>
      <c r="E1373" t="inlineStr">
        <is>
          <t>HÄRJEDALEN</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18107-2024</t>
        </is>
      </c>
      <c r="B1374" s="1" t="n">
        <v>45420</v>
      </c>
      <c r="C1374" s="1" t="n">
        <v>45784</v>
      </c>
      <c r="D1374" t="inlineStr">
        <is>
          <t>JÄMTLANDS LÄN</t>
        </is>
      </c>
      <c r="E1374" t="inlineStr">
        <is>
          <t>HÄRJEDALEN</t>
        </is>
      </c>
      <c r="F1374" t="inlineStr">
        <is>
          <t>Holmen skog AB</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18554-2024</t>
        </is>
      </c>
      <c r="B1375" s="1" t="n">
        <v>45425</v>
      </c>
      <c r="C1375" s="1" t="n">
        <v>45784</v>
      </c>
      <c r="D1375" t="inlineStr">
        <is>
          <t>JÄMTLANDS LÄN</t>
        </is>
      </c>
      <c r="E1375" t="inlineStr">
        <is>
          <t>HÄRJEDALEN</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18550-2024</t>
        </is>
      </c>
      <c r="B1376" s="1" t="n">
        <v>45425</v>
      </c>
      <c r="C1376" s="1" t="n">
        <v>45784</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18644-2024</t>
        </is>
      </c>
      <c r="B1377" s="1" t="n">
        <v>45426</v>
      </c>
      <c r="C1377" s="1" t="n">
        <v>45784</v>
      </c>
      <c r="D1377" t="inlineStr">
        <is>
          <t>JÄMTLANDS LÄN</t>
        </is>
      </c>
      <c r="E1377" t="inlineStr">
        <is>
          <t>HÄRJEDALEN</t>
        </is>
      </c>
      <c r="F1377" t="inlineStr">
        <is>
          <t>SCA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18903-2024</t>
        </is>
      </c>
      <c r="B1378" s="1" t="n">
        <v>45427</v>
      </c>
      <c r="C1378" s="1" t="n">
        <v>45784</v>
      </c>
      <c r="D1378" t="inlineStr">
        <is>
          <t>JÄMTLANDS LÄN</t>
        </is>
      </c>
      <c r="E1378" t="inlineStr">
        <is>
          <t>HÄRJEDALEN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19001-2024</t>
        </is>
      </c>
      <c r="B1379" s="1" t="n">
        <v>45427</v>
      </c>
      <c r="C1379" s="1" t="n">
        <v>45784</v>
      </c>
      <c r="D1379" t="inlineStr">
        <is>
          <t>JÄMTLANDS LÄN</t>
        </is>
      </c>
      <c r="E1379" t="inlineStr">
        <is>
          <t>HÄRJEDALEN</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19453-2024</t>
        </is>
      </c>
      <c r="B1380" s="1" t="n">
        <v>45429</v>
      </c>
      <c r="C1380" s="1" t="n">
        <v>45784</v>
      </c>
      <c r="D1380" t="inlineStr">
        <is>
          <t>JÄMTLANDS LÄN</t>
        </is>
      </c>
      <c r="E1380" t="inlineStr">
        <is>
          <t>HÄRJEDALEN</t>
        </is>
      </c>
      <c r="G1380" t="n">
        <v>31.6</v>
      </c>
      <c r="H1380" t="n">
        <v>0</v>
      </c>
      <c r="I1380" t="n">
        <v>0</v>
      </c>
      <c r="J1380" t="n">
        <v>0</v>
      </c>
      <c r="K1380" t="n">
        <v>0</v>
      </c>
      <c r="L1380" t="n">
        <v>0</v>
      </c>
      <c r="M1380" t="n">
        <v>0</v>
      </c>
      <c r="N1380" t="n">
        <v>0</v>
      </c>
      <c r="O1380" t="n">
        <v>0</v>
      </c>
      <c r="P1380" t="n">
        <v>0</v>
      </c>
      <c r="Q1380" t="n">
        <v>0</v>
      </c>
      <c r="R1380" s="2" t="inlineStr"/>
    </row>
    <row r="1381" ht="15" customHeight="1">
      <c r="A1381" t="inlineStr">
        <is>
          <t>A 19488-2024</t>
        </is>
      </c>
      <c r="B1381" s="1" t="n">
        <v>45429</v>
      </c>
      <c r="C1381" s="1" t="n">
        <v>45784</v>
      </c>
      <c r="D1381" t="inlineStr">
        <is>
          <t>JÄMTLANDS LÄN</t>
        </is>
      </c>
      <c r="E1381" t="inlineStr">
        <is>
          <t>HÄRJEDALEN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19492-2024</t>
        </is>
      </c>
      <c r="B1382" s="1" t="n">
        <v>45429</v>
      </c>
      <c r="C1382" s="1" t="n">
        <v>45784</v>
      </c>
      <c r="D1382" t="inlineStr">
        <is>
          <t>JÄMTLANDS LÄN</t>
        </is>
      </c>
      <c r="E1382" t="inlineStr">
        <is>
          <t>HÄRJEDALEN</t>
        </is>
      </c>
      <c r="G1382" t="n">
        <v>58.7</v>
      </c>
      <c r="H1382" t="n">
        <v>0</v>
      </c>
      <c r="I1382" t="n">
        <v>0</v>
      </c>
      <c r="J1382" t="n">
        <v>0</v>
      </c>
      <c r="K1382" t="n">
        <v>0</v>
      </c>
      <c r="L1382" t="n">
        <v>0</v>
      </c>
      <c r="M1382" t="n">
        <v>0</v>
      </c>
      <c r="N1382" t="n">
        <v>0</v>
      </c>
      <c r="O1382" t="n">
        <v>0</v>
      </c>
      <c r="P1382" t="n">
        <v>0</v>
      </c>
      <c r="Q1382" t="n">
        <v>0</v>
      </c>
      <c r="R1382" s="2" t="inlineStr"/>
    </row>
    <row r="1383" ht="15" customHeight="1">
      <c r="A1383" t="inlineStr">
        <is>
          <t>A 19402-2024</t>
        </is>
      </c>
      <c r="B1383" s="1" t="n">
        <v>45429</v>
      </c>
      <c r="C1383" s="1" t="n">
        <v>45784</v>
      </c>
      <c r="D1383" t="inlineStr">
        <is>
          <t>JÄMTLANDS LÄN</t>
        </is>
      </c>
      <c r="E1383" t="inlineStr">
        <is>
          <t>HÄRJEDALEN</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19426-2024</t>
        </is>
      </c>
      <c r="B1384" s="1" t="n">
        <v>45429</v>
      </c>
      <c r="C1384" s="1" t="n">
        <v>45784</v>
      </c>
      <c r="D1384" t="inlineStr">
        <is>
          <t>JÄMTLANDS LÄN</t>
        </is>
      </c>
      <c r="E1384" t="inlineStr">
        <is>
          <t>HÄRJEDALEN</t>
        </is>
      </c>
      <c r="G1384" t="n">
        <v>30.6</v>
      </c>
      <c r="H1384" t="n">
        <v>0</v>
      </c>
      <c r="I1384" t="n">
        <v>0</v>
      </c>
      <c r="J1384" t="n">
        <v>0</v>
      </c>
      <c r="K1384" t="n">
        <v>0</v>
      </c>
      <c r="L1384" t="n">
        <v>0</v>
      </c>
      <c r="M1384" t="n">
        <v>0</v>
      </c>
      <c r="N1384" t="n">
        <v>0</v>
      </c>
      <c r="O1384" t="n">
        <v>0</v>
      </c>
      <c r="P1384" t="n">
        <v>0</v>
      </c>
      <c r="Q1384" t="n">
        <v>0</v>
      </c>
      <c r="R1384" s="2" t="inlineStr"/>
    </row>
    <row r="1385" ht="15" customHeight="1">
      <c r="A1385" t="inlineStr">
        <is>
          <t>A 19661-2024</t>
        </is>
      </c>
      <c r="B1385" s="1" t="n">
        <v>45432</v>
      </c>
      <c r="C1385" s="1" t="n">
        <v>45784</v>
      </c>
      <c r="D1385" t="inlineStr">
        <is>
          <t>JÄMTLANDS LÄN</t>
        </is>
      </c>
      <c r="E1385" t="inlineStr">
        <is>
          <t>HÄRJEDALEN</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19677-2024</t>
        </is>
      </c>
      <c r="B1386" s="1" t="n">
        <v>45432</v>
      </c>
      <c r="C1386" s="1" t="n">
        <v>45784</v>
      </c>
      <c r="D1386" t="inlineStr">
        <is>
          <t>JÄMTLANDS LÄN</t>
        </is>
      </c>
      <c r="E1386" t="inlineStr">
        <is>
          <t>HÄRJEDALEN</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20005-2024</t>
        </is>
      </c>
      <c r="B1387" s="1" t="n">
        <v>45434</v>
      </c>
      <c r="C1387" s="1" t="n">
        <v>45784</v>
      </c>
      <c r="D1387" t="inlineStr">
        <is>
          <t>JÄMTLANDS LÄN</t>
        </is>
      </c>
      <c r="E1387" t="inlineStr">
        <is>
          <t>HÄRJEDALEN</t>
        </is>
      </c>
      <c r="F1387" t="inlineStr">
        <is>
          <t>SCA</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20701-2024</t>
        </is>
      </c>
      <c r="B1388" s="1" t="n">
        <v>45436</v>
      </c>
      <c r="C1388" s="1" t="n">
        <v>45784</v>
      </c>
      <c r="D1388" t="inlineStr">
        <is>
          <t>JÄMTLANDS LÄN</t>
        </is>
      </c>
      <c r="E1388" t="inlineStr">
        <is>
          <t>HÄRJEDALEN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20865-2024</t>
        </is>
      </c>
      <c r="B1389" s="1" t="n">
        <v>45439</v>
      </c>
      <c r="C1389" s="1" t="n">
        <v>45784</v>
      </c>
      <c r="D1389" t="inlineStr">
        <is>
          <t>JÄMTLANDS LÄN</t>
        </is>
      </c>
      <c r="E1389" t="inlineStr">
        <is>
          <t>HÄRJEDALEN</t>
        </is>
      </c>
      <c r="F1389" t="inlineStr">
        <is>
          <t>Holmen skog AB</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21011-2024</t>
        </is>
      </c>
      <c r="B1390" s="1" t="n">
        <v>45439</v>
      </c>
      <c r="C1390" s="1" t="n">
        <v>45784</v>
      </c>
      <c r="D1390" t="inlineStr">
        <is>
          <t>JÄMTLANDS LÄN</t>
        </is>
      </c>
      <c r="E1390" t="inlineStr">
        <is>
          <t>HÄRJEDALEN</t>
        </is>
      </c>
      <c r="G1390" t="n">
        <v>92.40000000000001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20853-2024</t>
        </is>
      </c>
      <c r="B1391" s="1" t="n">
        <v>45439</v>
      </c>
      <c r="C1391" s="1" t="n">
        <v>45784</v>
      </c>
      <c r="D1391" t="inlineStr">
        <is>
          <t>JÄMTLANDS LÄN</t>
        </is>
      </c>
      <c r="E1391" t="inlineStr">
        <is>
          <t>HÄRJEDALEN</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21478-2024</t>
        </is>
      </c>
      <c r="B1392" s="1" t="n">
        <v>45441</v>
      </c>
      <c r="C1392" s="1" t="n">
        <v>45784</v>
      </c>
      <c r="D1392" t="inlineStr">
        <is>
          <t>JÄMTLANDS LÄN</t>
        </is>
      </c>
      <c r="E1392" t="inlineStr">
        <is>
          <t>HÄRJEDALEN</t>
        </is>
      </c>
      <c r="G1392" t="n">
        <v>44.9</v>
      </c>
      <c r="H1392" t="n">
        <v>0</v>
      </c>
      <c r="I1392" t="n">
        <v>0</v>
      </c>
      <c r="J1392" t="n">
        <v>0</v>
      </c>
      <c r="K1392" t="n">
        <v>0</v>
      </c>
      <c r="L1392" t="n">
        <v>0</v>
      </c>
      <c r="M1392" t="n">
        <v>0</v>
      </c>
      <c r="N1392" t="n">
        <v>0</v>
      </c>
      <c r="O1392" t="n">
        <v>0</v>
      </c>
      <c r="P1392" t="n">
        <v>0</v>
      </c>
      <c r="Q1392" t="n">
        <v>0</v>
      </c>
      <c r="R1392" s="2" t="inlineStr"/>
    </row>
    <row r="1393" ht="15" customHeight="1">
      <c r="A1393" t="inlineStr">
        <is>
          <t>A 21621-2024</t>
        </is>
      </c>
      <c r="B1393" s="1" t="n">
        <v>45442</v>
      </c>
      <c r="C1393" s="1" t="n">
        <v>45784</v>
      </c>
      <c r="D1393" t="inlineStr">
        <is>
          <t>JÄMTLANDS LÄN</t>
        </is>
      </c>
      <c r="E1393" t="inlineStr">
        <is>
          <t>HÄRJEDALEN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21624-2024</t>
        </is>
      </c>
      <c r="B1394" s="1" t="n">
        <v>45442</v>
      </c>
      <c r="C1394" s="1" t="n">
        <v>45784</v>
      </c>
      <c r="D1394" t="inlineStr">
        <is>
          <t>JÄMTLANDS LÄN</t>
        </is>
      </c>
      <c r="E1394" t="inlineStr">
        <is>
          <t>HÄRJEDALEN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21816-2024</t>
        </is>
      </c>
      <c r="B1395" s="1" t="n">
        <v>45442</v>
      </c>
      <c r="C1395" s="1" t="n">
        <v>45784</v>
      </c>
      <c r="D1395" t="inlineStr">
        <is>
          <t>JÄMTLANDS LÄN</t>
        </is>
      </c>
      <c r="E1395" t="inlineStr">
        <is>
          <t>HÄRJEDALEN</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22499-2024</t>
        </is>
      </c>
      <c r="B1396" s="1" t="n">
        <v>45447</v>
      </c>
      <c r="C1396" s="1" t="n">
        <v>45784</v>
      </c>
      <c r="D1396" t="inlineStr">
        <is>
          <t>JÄMTLANDS LÄN</t>
        </is>
      </c>
      <c r="E1396" t="inlineStr">
        <is>
          <t>HÄRJEDALEN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22685-2024</t>
        </is>
      </c>
      <c r="B1397" s="1" t="n">
        <v>45448</v>
      </c>
      <c r="C1397" s="1" t="n">
        <v>45784</v>
      </c>
      <c r="D1397" t="inlineStr">
        <is>
          <t>JÄMTLANDS LÄN</t>
        </is>
      </c>
      <c r="E1397" t="inlineStr">
        <is>
          <t>HÄRJEDALEN</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22706-2024</t>
        </is>
      </c>
      <c r="B1398" s="1" t="n">
        <v>45448</v>
      </c>
      <c r="C1398" s="1" t="n">
        <v>45784</v>
      </c>
      <c r="D1398" t="inlineStr">
        <is>
          <t>JÄMTLANDS LÄN</t>
        </is>
      </c>
      <c r="E1398" t="inlineStr">
        <is>
          <t>HÄRJEDALEN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22838-2024</t>
        </is>
      </c>
      <c r="B1399" s="1" t="n">
        <v>45448</v>
      </c>
      <c r="C1399" s="1" t="n">
        <v>45784</v>
      </c>
      <c r="D1399" t="inlineStr">
        <is>
          <t>JÄMTLANDS LÄN</t>
        </is>
      </c>
      <c r="E1399" t="inlineStr">
        <is>
          <t>HÄRJEDALEN</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23474-2024</t>
        </is>
      </c>
      <c r="B1400" s="1" t="n">
        <v>45453</v>
      </c>
      <c r="C1400" s="1" t="n">
        <v>45784</v>
      </c>
      <c r="D1400" t="inlineStr">
        <is>
          <t>JÄMTLANDS LÄN</t>
        </is>
      </c>
      <c r="E1400" t="inlineStr">
        <is>
          <t>HÄRJEDALEN</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23467-2024</t>
        </is>
      </c>
      <c r="B1401" s="1" t="n">
        <v>45453</v>
      </c>
      <c r="C1401" s="1" t="n">
        <v>45784</v>
      </c>
      <c r="D1401" t="inlineStr">
        <is>
          <t>JÄMTLANDS LÄN</t>
        </is>
      </c>
      <c r="E1401" t="inlineStr">
        <is>
          <t>HÄRJEDALEN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23965-2024</t>
        </is>
      </c>
      <c r="B1402" s="1" t="n">
        <v>45456</v>
      </c>
      <c r="C1402" s="1" t="n">
        <v>45784</v>
      </c>
      <c r="D1402" t="inlineStr">
        <is>
          <t>JÄMTLANDS LÄN</t>
        </is>
      </c>
      <c r="E1402" t="inlineStr">
        <is>
          <t>HÄRJEDALEN</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23964-2024</t>
        </is>
      </c>
      <c r="B1403" s="1" t="n">
        <v>45456</v>
      </c>
      <c r="C1403" s="1" t="n">
        <v>45784</v>
      </c>
      <c r="D1403" t="inlineStr">
        <is>
          <t>JÄMTLANDS LÄN</t>
        </is>
      </c>
      <c r="E1403" t="inlineStr">
        <is>
          <t>HÄRJEDALEN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24250-2024</t>
        </is>
      </c>
      <c r="B1404" s="1" t="n">
        <v>45457</v>
      </c>
      <c r="C1404" s="1" t="n">
        <v>45784</v>
      </c>
      <c r="D1404" t="inlineStr">
        <is>
          <t>JÄMTLANDS LÄN</t>
        </is>
      </c>
      <c r="E1404" t="inlineStr">
        <is>
          <t>HÄRJEDALEN</t>
        </is>
      </c>
      <c r="F1404" t="inlineStr">
        <is>
          <t>Sveaskog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24423-2024</t>
        </is>
      </c>
      <c r="B1405" s="1" t="n">
        <v>45458</v>
      </c>
      <c r="C1405" s="1" t="n">
        <v>45784</v>
      </c>
      <c r="D1405" t="inlineStr">
        <is>
          <t>JÄMTLANDS LÄN</t>
        </is>
      </c>
      <c r="E1405" t="inlineStr">
        <is>
          <t>HÄRJEDALEN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24453-2024</t>
        </is>
      </c>
      <c r="B1406" s="1" t="n">
        <v>45458</v>
      </c>
      <c r="C1406" s="1" t="n">
        <v>45784</v>
      </c>
      <c r="D1406" t="inlineStr">
        <is>
          <t>JÄMTLANDS LÄN</t>
        </is>
      </c>
      <c r="E1406" t="inlineStr">
        <is>
          <t>HÄRJEDALEN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24240-2024</t>
        </is>
      </c>
      <c r="B1407" s="1" t="n">
        <v>45457</v>
      </c>
      <c r="C1407" s="1" t="n">
        <v>45784</v>
      </c>
      <c r="D1407" t="inlineStr">
        <is>
          <t>JÄMTLANDS LÄN</t>
        </is>
      </c>
      <c r="E1407" t="inlineStr">
        <is>
          <t>HÄRJEDALEN</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24421-2024</t>
        </is>
      </c>
      <c r="B1408" s="1" t="n">
        <v>45458</v>
      </c>
      <c r="C1408" s="1" t="n">
        <v>45784</v>
      </c>
      <c r="D1408" t="inlineStr">
        <is>
          <t>JÄMTLANDS LÄN</t>
        </is>
      </c>
      <c r="E1408" t="inlineStr">
        <is>
          <t>HÄRJEDALEN</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24452-2024</t>
        </is>
      </c>
      <c r="B1409" s="1" t="n">
        <v>45458</v>
      </c>
      <c r="C1409" s="1" t="n">
        <v>45784</v>
      </c>
      <c r="D1409" t="inlineStr">
        <is>
          <t>JÄMTLANDS LÄN</t>
        </is>
      </c>
      <c r="E1409" t="inlineStr">
        <is>
          <t>HÄRJEDALEN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24275-2024</t>
        </is>
      </c>
      <c r="B1410" s="1" t="n">
        <v>45457</v>
      </c>
      <c r="C1410" s="1" t="n">
        <v>45784</v>
      </c>
      <c r="D1410" t="inlineStr">
        <is>
          <t>JÄMTLANDS LÄN</t>
        </is>
      </c>
      <c r="E1410" t="inlineStr">
        <is>
          <t>HÄRJEDALEN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24295-2024</t>
        </is>
      </c>
      <c r="B1411" s="1" t="n">
        <v>45457</v>
      </c>
      <c r="C1411" s="1" t="n">
        <v>45784</v>
      </c>
      <c r="D1411" t="inlineStr">
        <is>
          <t>JÄMTLANDS LÄN</t>
        </is>
      </c>
      <c r="E1411" t="inlineStr">
        <is>
          <t>HÄRJEDALEN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24335-2024</t>
        </is>
      </c>
      <c r="B1412" s="1" t="n">
        <v>45457</v>
      </c>
      <c r="C1412" s="1" t="n">
        <v>45784</v>
      </c>
      <c r="D1412" t="inlineStr">
        <is>
          <t>JÄMTLANDS LÄN</t>
        </is>
      </c>
      <c r="E1412" t="inlineStr">
        <is>
          <t>HÄRJEDALEN</t>
        </is>
      </c>
      <c r="F1412" t="inlineStr">
        <is>
          <t>Naturvårdsverket</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24425-2024</t>
        </is>
      </c>
      <c r="B1413" s="1" t="n">
        <v>45458</v>
      </c>
      <c r="C1413" s="1" t="n">
        <v>45784</v>
      </c>
      <c r="D1413" t="inlineStr">
        <is>
          <t>JÄMTLANDS LÄN</t>
        </is>
      </c>
      <c r="E1413" t="inlineStr">
        <is>
          <t>HÄRJEDALEN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24494-2024</t>
        </is>
      </c>
      <c r="B1414" s="1" t="n">
        <v>45459</v>
      </c>
      <c r="C1414" s="1" t="n">
        <v>45784</v>
      </c>
      <c r="D1414" t="inlineStr">
        <is>
          <t>JÄMTLANDS LÄN</t>
        </is>
      </c>
      <c r="E1414" t="inlineStr">
        <is>
          <t>HÄRJEDALEN</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24711-2024</t>
        </is>
      </c>
      <c r="B1415" s="1" t="n">
        <v>45460</v>
      </c>
      <c r="C1415" s="1" t="n">
        <v>45784</v>
      </c>
      <c r="D1415" t="inlineStr">
        <is>
          <t>JÄMTLANDS LÄN</t>
        </is>
      </c>
      <c r="E1415" t="inlineStr">
        <is>
          <t>HÄRJEDALEN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24608-2024</t>
        </is>
      </c>
      <c r="B1416" s="1" t="n">
        <v>45460</v>
      </c>
      <c r="C1416" s="1" t="n">
        <v>45784</v>
      </c>
      <c r="D1416" t="inlineStr">
        <is>
          <t>JÄMTLANDS LÄN</t>
        </is>
      </c>
      <c r="E1416" t="inlineStr">
        <is>
          <t>HÄRJEDALEN</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24526-2024</t>
        </is>
      </c>
      <c r="B1417" s="1" t="n">
        <v>45460</v>
      </c>
      <c r="C1417" s="1" t="n">
        <v>45784</v>
      </c>
      <c r="D1417" t="inlineStr">
        <is>
          <t>JÄMTLANDS LÄN</t>
        </is>
      </c>
      <c r="E1417" t="inlineStr">
        <is>
          <t>HÄRJEDALEN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24613-2024</t>
        </is>
      </c>
      <c r="B1418" s="1" t="n">
        <v>45460</v>
      </c>
      <c r="C1418" s="1" t="n">
        <v>45784</v>
      </c>
      <c r="D1418" t="inlineStr">
        <is>
          <t>JÄMTLANDS LÄN</t>
        </is>
      </c>
      <c r="E1418" t="inlineStr">
        <is>
          <t>HÄRJEDALEN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25049-2024</t>
        </is>
      </c>
      <c r="B1419" s="1" t="n">
        <v>45462</v>
      </c>
      <c r="C1419" s="1" t="n">
        <v>45784</v>
      </c>
      <c r="D1419" t="inlineStr">
        <is>
          <t>JÄMTLANDS LÄN</t>
        </is>
      </c>
      <c r="E1419" t="inlineStr">
        <is>
          <t>HÄRJEDALEN</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25502-2024</t>
        </is>
      </c>
      <c r="B1420" s="1" t="n">
        <v>45463</v>
      </c>
      <c r="C1420" s="1" t="n">
        <v>45784</v>
      </c>
      <c r="D1420" t="inlineStr">
        <is>
          <t>JÄMTLANDS LÄN</t>
        </is>
      </c>
      <c r="E1420" t="inlineStr">
        <is>
          <t>HÄRJEDALEN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25893-2024</t>
        </is>
      </c>
      <c r="B1421" s="1" t="n">
        <v>45467</v>
      </c>
      <c r="C1421" s="1" t="n">
        <v>45784</v>
      </c>
      <c r="D1421" t="inlineStr">
        <is>
          <t>JÄMTLANDS LÄN</t>
        </is>
      </c>
      <c r="E1421" t="inlineStr">
        <is>
          <t>HÄRJEDALEN</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26001-2024</t>
        </is>
      </c>
      <c r="B1422" s="1" t="n">
        <v>45468</v>
      </c>
      <c r="C1422" s="1" t="n">
        <v>45784</v>
      </c>
      <c r="D1422" t="inlineStr">
        <is>
          <t>JÄMTLANDS LÄN</t>
        </is>
      </c>
      <c r="E1422" t="inlineStr">
        <is>
          <t>HÄRJEDALEN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27068-2024</t>
        </is>
      </c>
      <c r="B1423" s="1" t="n">
        <v>45471</v>
      </c>
      <c r="C1423" s="1" t="n">
        <v>45784</v>
      </c>
      <c r="D1423" t="inlineStr">
        <is>
          <t>JÄMTLANDS LÄN</t>
        </is>
      </c>
      <c r="E1423" t="inlineStr">
        <is>
          <t>HÄRJEDALEN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27075-2024</t>
        </is>
      </c>
      <c r="B1424" s="1" t="n">
        <v>45471</v>
      </c>
      <c r="C1424" s="1" t="n">
        <v>45784</v>
      </c>
      <c r="D1424" t="inlineStr">
        <is>
          <t>JÄMTLANDS LÄN</t>
        </is>
      </c>
      <c r="E1424" t="inlineStr">
        <is>
          <t>HÄRJEDALEN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27245-2024</t>
        </is>
      </c>
      <c r="B1425" s="1" t="n">
        <v>45471</v>
      </c>
      <c r="C1425" s="1" t="n">
        <v>45784</v>
      </c>
      <c r="D1425" t="inlineStr">
        <is>
          <t>JÄMTLANDS LÄN</t>
        </is>
      </c>
      <c r="E1425" t="inlineStr">
        <is>
          <t>HÄRJEDALEN</t>
        </is>
      </c>
      <c r="F1425" t="inlineStr">
        <is>
          <t>Bergvik skog väst AB</t>
        </is>
      </c>
      <c r="G1425" t="n">
        <v>31.2</v>
      </c>
      <c r="H1425" t="n">
        <v>0</v>
      </c>
      <c r="I1425" t="n">
        <v>0</v>
      </c>
      <c r="J1425" t="n">
        <v>0</v>
      </c>
      <c r="K1425" t="n">
        <v>0</v>
      </c>
      <c r="L1425" t="n">
        <v>0</v>
      </c>
      <c r="M1425" t="n">
        <v>0</v>
      </c>
      <c r="N1425" t="n">
        <v>0</v>
      </c>
      <c r="O1425" t="n">
        <v>0</v>
      </c>
      <c r="P1425" t="n">
        <v>0</v>
      </c>
      <c r="Q1425" t="n">
        <v>0</v>
      </c>
      <c r="R1425" s="2" t="inlineStr"/>
    </row>
    <row r="1426" ht="15" customHeight="1">
      <c r="A1426" t="inlineStr">
        <is>
          <t>A 27065-2024</t>
        </is>
      </c>
      <c r="B1426" s="1" t="n">
        <v>45471</v>
      </c>
      <c r="C1426" s="1" t="n">
        <v>45784</v>
      </c>
      <c r="D1426" t="inlineStr">
        <is>
          <t>JÄMTLANDS LÄN</t>
        </is>
      </c>
      <c r="E1426" t="inlineStr">
        <is>
          <t>HÄRJEDALEN</t>
        </is>
      </c>
      <c r="F1426" t="inlineStr">
        <is>
          <t>Bergvik skog väst AB</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27066-2024</t>
        </is>
      </c>
      <c r="B1427" s="1" t="n">
        <v>45471</v>
      </c>
      <c r="C1427" s="1" t="n">
        <v>45784</v>
      </c>
      <c r="D1427" t="inlineStr">
        <is>
          <t>JÄMTLANDS LÄN</t>
        </is>
      </c>
      <c r="E1427" t="inlineStr">
        <is>
          <t>HÄRJEDALEN</t>
        </is>
      </c>
      <c r="F1427" t="inlineStr">
        <is>
          <t>Bergvik skog väst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27235-2024</t>
        </is>
      </c>
      <c r="B1428" s="1" t="n">
        <v>45471</v>
      </c>
      <c r="C1428" s="1" t="n">
        <v>45784</v>
      </c>
      <c r="D1428" t="inlineStr">
        <is>
          <t>JÄMTLANDS LÄN</t>
        </is>
      </c>
      <c r="E1428" t="inlineStr">
        <is>
          <t>HÄRJEDALEN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27076-2024</t>
        </is>
      </c>
      <c r="B1429" s="1" t="n">
        <v>45471</v>
      </c>
      <c r="C1429" s="1" t="n">
        <v>45784</v>
      </c>
      <c r="D1429" t="inlineStr">
        <is>
          <t>JÄMTLANDS LÄN</t>
        </is>
      </c>
      <c r="E1429" t="inlineStr">
        <is>
          <t>HÄRJEDALEN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27512-2024</t>
        </is>
      </c>
      <c r="B1430" s="1" t="n">
        <v>45474</v>
      </c>
      <c r="C1430" s="1" t="n">
        <v>45784</v>
      </c>
      <c r="D1430" t="inlineStr">
        <is>
          <t>JÄMTLANDS LÄN</t>
        </is>
      </c>
      <c r="E1430" t="inlineStr">
        <is>
          <t>HÄRJEDALEN</t>
        </is>
      </c>
      <c r="G1430" t="n">
        <v>19.3</v>
      </c>
      <c r="H1430" t="n">
        <v>0</v>
      </c>
      <c r="I1430" t="n">
        <v>0</v>
      </c>
      <c r="J1430" t="n">
        <v>0</v>
      </c>
      <c r="K1430" t="n">
        <v>0</v>
      </c>
      <c r="L1430" t="n">
        <v>0</v>
      </c>
      <c r="M1430" t="n">
        <v>0</v>
      </c>
      <c r="N1430" t="n">
        <v>0</v>
      </c>
      <c r="O1430" t="n">
        <v>0</v>
      </c>
      <c r="P1430" t="n">
        <v>0</v>
      </c>
      <c r="Q1430" t="n">
        <v>0</v>
      </c>
      <c r="R1430" s="2" t="inlineStr"/>
    </row>
    <row r="1431" ht="15" customHeight="1">
      <c r="A1431" t="inlineStr">
        <is>
          <t>A 28406-2024</t>
        </is>
      </c>
      <c r="B1431" s="1" t="n">
        <v>45477</v>
      </c>
      <c r="C1431" s="1" t="n">
        <v>45784</v>
      </c>
      <c r="D1431" t="inlineStr">
        <is>
          <t>JÄMTLANDS LÄN</t>
        </is>
      </c>
      <c r="E1431" t="inlineStr">
        <is>
          <t>HÄRJEDALEN</t>
        </is>
      </c>
      <c r="F1431" t="inlineStr">
        <is>
          <t>Holmen skog AB</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28444-2024</t>
        </is>
      </c>
      <c r="B1432" s="1" t="n">
        <v>45477</v>
      </c>
      <c r="C1432" s="1" t="n">
        <v>45784</v>
      </c>
      <c r="D1432" t="inlineStr">
        <is>
          <t>JÄMTLANDS LÄN</t>
        </is>
      </c>
      <c r="E1432" t="inlineStr">
        <is>
          <t>HÄRJEDALEN</t>
        </is>
      </c>
      <c r="F1432" t="inlineStr">
        <is>
          <t>Holmen skog AB</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28408-2024</t>
        </is>
      </c>
      <c r="B1433" s="1" t="n">
        <v>45477</v>
      </c>
      <c r="C1433" s="1" t="n">
        <v>45784</v>
      </c>
      <c r="D1433" t="inlineStr">
        <is>
          <t>JÄMTLANDS LÄN</t>
        </is>
      </c>
      <c r="E1433" t="inlineStr">
        <is>
          <t>HÄRJEDALEN</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28400-2024</t>
        </is>
      </c>
      <c r="B1434" s="1" t="n">
        <v>45477</v>
      </c>
      <c r="C1434" s="1" t="n">
        <v>45784</v>
      </c>
      <c r="D1434" t="inlineStr">
        <is>
          <t>JÄMTLANDS LÄN</t>
        </is>
      </c>
      <c r="E1434" t="inlineStr">
        <is>
          <t>HÄRJEDALEN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28403-2024</t>
        </is>
      </c>
      <c r="B1435" s="1" t="n">
        <v>45477</v>
      </c>
      <c r="C1435" s="1" t="n">
        <v>45784</v>
      </c>
      <c r="D1435" t="inlineStr">
        <is>
          <t>JÄMTLANDS LÄN</t>
        </is>
      </c>
      <c r="E1435" t="inlineStr">
        <is>
          <t>HÄRJEDALEN</t>
        </is>
      </c>
      <c r="F1435" t="inlineStr">
        <is>
          <t>Holmen skog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28426-2024</t>
        </is>
      </c>
      <c r="B1436" s="1" t="n">
        <v>45477</v>
      </c>
      <c r="C1436" s="1" t="n">
        <v>45784</v>
      </c>
      <c r="D1436" t="inlineStr">
        <is>
          <t>JÄMTLANDS LÄN</t>
        </is>
      </c>
      <c r="E1436" t="inlineStr">
        <is>
          <t>HÄRJEDALEN</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28627-2024</t>
        </is>
      </c>
      <c r="B1437" s="1" t="n">
        <v>45478</v>
      </c>
      <c r="C1437" s="1" t="n">
        <v>45784</v>
      </c>
      <c r="D1437" t="inlineStr">
        <is>
          <t>JÄMTLANDS LÄN</t>
        </is>
      </c>
      <c r="E1437" t="inlineStr">
        <is>
          <t>HÄRJEDALEN</t>
        </is>
      </c>
      <c r="F1437" t="inlineStr">
        <is>
          <t>Bergvik skog väst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28686-2024</t>
        </is>
      </c>
      <c r="B1438" s="1" t="n">
        <v>45478</v>
      </c>
      <c r="C1438" s="1" t="n">
        <v>45784</v>
      </c>
      <c r="D1438" t="inlineStr">
        <is>
          <t>JÄMTLANDS LÄN</t>
        </is>
      </c>
      <c r="E1438" t="inlineStr">
        <is>
          <t>HÄRJEDALEN</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28930-2024</t>
        </is>
      </c>
      <c r="B1439" s="1" t="n">
        <v>45481</v>
      </c>
      <c r="C1439" s="1" t="n">
        <v>45784</v>
      </c>
      <c r="D1439" t="inlineStr">
        <is>
          <t>JÄMTLANDS LÄN</t>
        </is>
      </c>
      <c r="E1439" t="inlineStr">
        <is>
          <t>HÄRJEDALEN</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29330-2024</t>
        </is>
      </c>
      <c r="B1440" s="1" t="n">
        <v>45483</v>
      </c>
      <c r="C1440" s="1" t="n">
        <v>45784</v>
      </c>
      <c r="D1440" t="inlineStr">
        <is>
          <t>JÄMTLANDS LÄN</t>
        </is>
      </c>
      <c r="E1440" t="inlineStr">
        <is>
          <t>HÄRJEDALEN</t>
        </is>
      </c>
      <c r="G1440" t="n">
        <v>21.4</v>
      </c>
      <c r="H1440" t="n">
        <v>0</v>
      </c>
      <c r="I1440" t="n">
        <v>0</v>
      </c>
      <c r="J1440" t="n">
        <v>0</v>
      </c>
      <c r="K1440" t="n">
        <v>0</v>
      </c>
      <c r="L1440" t="n">
        <v>0</v>
      </c>
      <c r="M1440" t="n">
        <v>0</v>
      </c>
      <c r="N1440" t="n">
        <v>0</v>
      </c>
      <c r="O1440" t="n">
        <v>0</v>
      </c>
      <c r="P1440" t="n">
        <v>0</v>
      </c>
      <c r="Q1440" t="n">
        <v>0</v>
      </c>
      <c r="R1440" s="2" t="inlineStr"/>
    </row>
    <row r="1441" ht="15" customHeight="1">
      <c r="A1441" t="inlineStr">
        <is>
          <t>A 29334-2024</t>
        </is>
      </c>
      <c r="B1441" s="1" t="n">
        <v>45483</v>
      </c>
      <c r="C1441" s="1" t="n">
        <v>45784</v>
      </c>
      <c r="D1441" t="inlineStr">
        <is>
          <t>JÄMTLANDS LÄN</t>
        </is>
      </c>
      <c r="E1441" t="inlineStr">
        <is>
          <t>HÄRJEDALEN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29343-2024</t>
        </is>
      </c>
      <c r="B1442" s="1" t="n">
        <v>45483</v>
      </c>
      <c r="C1442" s="1" t="n">
        <v>45784</v>
      </c>
      <c r="D1442" t="inlineStr">
        <is>
          <t>JÄMTLANDS LÄN</t>
        </is>
      </c>
      <c r="E1442" t="inlineStr">
        <is>
          <t>HÄRJEDALEN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29304-2024</t>
        </is>
      </c>
      <c r="B1443" s="1" t="n">
        <v>45483</v>
      </c>
      <c r="C1443" s="1" t="n">
        <v>45784</v>
      </c>
      <c r="D1443" t="inlineStr">
        <is>
          <t>JÄMTLANDS LÄN</t>
        </is>
      </c>
      <c r="E1443" t="inlineStr">
        <is>
          <t>HÄRJEDALEN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29347-2024</t>
        </is>
      </c>
      <c r="B1444" s="1" t="n">
        <v>45483</v>
      </c>
      <c r="C1444" s="1" t="n">
        <v>45784</v>
      </c>
      <c r="D1444" t="inlineStr">
        <is>
          <t>JÄMTLANDS LÄN</t>
        </is>
      </c>
      <c r="E1444" t="inlineStr">
        <is>
          <t>HÄRJEDALEN</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29536-2024</t>
        </is>
      </c>
      <c r="B1445" s="1" t="n">
        <v>45484</v>
      </c>
      <c r="C1445" s="1" t="n">
        <v>45784</v>
      </c>
      <c r="D1445" t="inlineStr">
        <is>
          <t>JÄMTLANDS LÄN</t>
        </is>
      </c>
      <c r="E1445" t="inlineStr">
        <is>
          <t>HÄRJEDALEN</t>
        </is>
      </c>
      <c r="F1445" t="inlineStr">
        <is>
          <t>Holmen skog AB</t>
        </is>
      </c>
      <c r="G1445" t="n">
        <v>25.2</v>
      </c>
      <c r="H1445" t="n">
        <v>0</v>
      </c>
      <c r="I1445" t="n">
        <v>0</v>
      </c>
      <c r="J1445" t="n">
        <v>0</v>
      </c>
      <c r="K1445" t="n">
        <v>0</v>
      </c>
      <c r="L1445" t="n">
        <v>0</v>
      </c>
      <c r="M1445" t="n">
        <v>0</v>
      </c>
      <c r="N1445" t="n">
        <v>0</v>
      </c>
      <c r="O1445" t="n">
        <v>0</v>
      </c>
      <c r="P1445" t="n">
        <v>0</v>
      </c>
      <c r="Q1445" t="n">
        <v>0</v>
      </c>
      <c r="R1445" s="2" t="inlineStr"/>
    </row>
    <row r="1446" ht="15" customHeight="1">
      <c r="A1446" t="inlineStr">
        <is>
          <t>A 29624-2024</t>
        </is>
      </c>
      <c r="B1446" s="1" t="n">
        <v>45484</v>
      </c>
      <c r="C1446" s="1" t="n">
        <v>45784</v>
      </c>
      <c r="D1446" t="inlineStr">
        <is>
          <t>JÄMTLANDS LÄN</t>
        </is>
      </c>
      <c r="E1446" t="inlineStr">
        <is>
          <t>HÄRJEDALEN</t>
        </is>
      </c>
      <c r="F1446" t="inlineStr">
        <is>
          <t>Holmen skog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29584-2024</t>
        </is>
      </c>
      <c r="B1447" s="1" t="n">
        <v>45484</v>
      </c>
      <c r="C1447" s="1" t="n">
        <v>45784</v>
      </c>
      <c r="D1447" t="inlineStr">
        <is>
          <t>JÄMTLANDS LÄN</t>
        </is>
      </c>
      <c r="E1447" t="inlineStr">
        <is>
          <t>HÄRJEDALEN</t>
        </is>
      </c>
      <c r="F1447" t="inlineStr">
        <is>
          <t>Holmen skog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29580-2024</t>
        </is>
      </c>
      <c r="B1448" s="1" t="n">
        <v>45484</v>
      </c>
      <c r="C1448" s="1" t="n">
        <v>45784</v>
      </c>
      <c r="D1448" t="inlineStr">
        <is>
          <t>JÄMTLANDS LÄN</t>
        </is>
      </c>
      <c r="E1448" t="inlineStr">
        <is>
          <t>HÄRJEDALEN</t>
        </is>
      </c>
      <c r="F1448" t="inlineStr">
        <is>
          <t>Holmen skog AB</t>
        </is>
      </c>
      <c r="G1448" t="n">
        <v>38.1</v>
      </c>
      <c r="H1448" t="n">
        <v>0</v>
      </c>
      <c r="I1448" t="n">
        <v>0</v>
      </c>
      <c r="J1448" t="n">
        <v>0</v>
      </c>
      <c r="K1448" t="n">
        <v>0</v>
      </c>
      <c r="L1448" t="n">
        <v>0</v>
      </c>
      <c r="M1448" t="n">
        <v>0</v>
      </c>
      <c r="N1448" t="n">
        <v>0</v>
      </c>
      <c r="O1448" t="n">
        <v>0</v>
      </c>
      <c r="P1448" t="n">
        <v>0</v>
      </c>
      <c r="Q1448" t="n">
        <v>0</v>
      </c>
      <c r="R1448" s="2" t="inlineStr"/>
    </row>
    <row r="1449" ht="15" customHeight="1">
      <c r="A1449" t="inlineStr">
        <is>
          <t>A 29631-2024</t>
        </is>
      </c>
      <c r="B1449" s="1" t="n">
        <v>45484</v>
      </c>
      <c r="C1449" s="1" t="n">
        <v>45784</v>
      </c>
      <c r="D1449" t="inlineStr">
        <is>
          <t>JÄMTLANDS LÄN</t>
        </is>
      </c>
      <c r="E1449" t="inlineStr">
        <is>
          <t>HÄRJEDALEN</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29538-2024</t>
        </is>
      </c>
      <c r="B1450" s="1" t="n">
        <v>45484</v>
      </c>
      <c r="C1450" s="1" t="n">
        <v>45784</v>
      </c>
      <c r="D1450" t="inlineStr">
        <is>
          <t>JÄMTLANDS LÄN</t>
        </is>
      </c>
      <c r="E1450" t="inlineStr">
        <is>
          <t>HÄRJEDALEN</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29626-2024</t>
        </is>
      </c>
      <c r="B1451" s="1" t="n">
        <v>45484</v>
      </c>
      <c r="C1451" s="1" t="n">
        <v>45784</v>
      </c>
      <c r="D1451" t="inlineStr">
        <is>
          <t>JÄMTLANDS LÄN</t>
        </is>
      </c>
      <c r="E1451" t="inlineStr">
        <is>
          <t>HÄRJEDALEN</t>
        </is>
      </c>
      <c r="F1451" t="inlineStr">
        <is>
          <t>Holmen skog AB</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29602-2024</t>
        </is>
      </c>
      <c r="B1452" s="1" t="n">
        <v>45484</v>
      </c>
      <c r="C1452" s="1" t="n">
        <v>45784</v>
      </c>
      <c r="D1452" t="inlineStr">
        <is>
          <t>JÄMTLANDS LÄN</t>
        </is>
      </c>
      <c r="E1452" t="inlineStr">
        <is>
          <t>HÄRJEDALEN</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29594-2024</t>
        </is>
      </c>
      <c r="B1453" s="1" t="n">
        <v>45484</v>
      </c>
      <c r="C1453" s="1" t="n">
        <v>45784</v>
      </c>
      <c r="D1453" t="inlineStr">
        <is>
          <t>JÄMTLANDS LÄN</t>
        </is>
      </c>
      <c r="E1453" t="inlineStr">
        <is>
          <t>HÄRJEDALEN</t>
        </is>
      </c>
      <c r="F1453" t="inlineStr">
        <is>
          <t>Holmen skog AB</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29803-2024</t>
        </is>
      </c>
      <c r="B1454" s="1" t="n">
        <v>45485</v>
      </c>
      <c r="C1454" s="1" t="n">
        <v>45784</v>
      </c>
      <c r="D1454" t="inlineStr">
        <is>
          <t>JÄMTLANDS LÄN</t>
        </is>
      </c>
      <c r="E1454" t="inlineStr">
        <is>
          <t>HÄRJEDALEN</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29791-2024</t>
        </is>
      </c>
      <c r="B1455" s="1" t="n">
        <v>45485</v>
      </c>
      <c r="C1455" s="1" t="n">
        <v>45784</v>
      </c>
      <c r="D1455" t="inlineStr">
        <is>
          <t>JÄMTLANDS LÄN</t>
        </is>
      </c>
      <c r="E1455" t="inlineStr">
        <is>
          <t>HÄRJEDALEN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29706-2024</t>
        </is>
      </c>
      <c r="B1456" s="1" t="n">
        <v>45485</v>
      </c>
      <c r="C1456" s="1" t="n">
        <v>45784</v>
      </c>
      <c r="D1456" t="inlineStr">
        <is>
          <t>JÄMTLANDS LÄN</t>
        </is>
      </c>
      <c r="E1456" t="inlineStr">
        <is>
          <t>HÄRJEDALEN</t>
        </is>
      </c>
      <c r="F1456" t="inlineStr">
        <is>
          <t>Holmen skog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29710-2024</t>
        </is>
      </c>
      <c r="B1457" s="1" t="n">
        <v>45485</v>
      </c>
      <c r="C1457" s="1" t="n">
        <v>45784</v>
      </c>
      <c r="D1457" t="inlineStr">
        <is>
          <t>JÄMTLANDS LÄN</t>
        </is>
      </c>
      <c r="E1457" t="inlineStr">
        <is>
          <t>HÄRJEDALEN</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29766-2024</t>
        </is>
      </c>
      <c r="B1458" s="1" t="n">
        <v>45485</v>
      </c>
      <c r="C1458" s="1" t="n">
        <v>45784</v>
      </c>
      <c r="D1458" t="inlineStr">
        <is>
          <t>JÄMTLANDS LÄN</t>
        </is>
      </c>
      <c r="E1458" t="inlineStr">
        <is>
          <t>HÄRJEDALEN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29774-2024</t>
        </is>
      </c>
      <c r="B1459" s="1" t="n">
        <v>45485</v>
      </c>
      <c r="C1459" s="1" t="n">
        <v>45784</v>
      </c>
      <c r="D1459" t="inlineStr">
        <is>
          <t>JÄMTLANDS LÄN</t>
        </is>
      </c>
      <c r="E1459" t="inlineStr">
        <is>
          <t>HÄRJEDALEN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29712-2024</t>
        </is>
      </c>
      <c r="B1460" s="1" t="n">
        <v>45485</v>
      </c>
      <c r="C1460" s="1" t="n">
        <v>45784</v>
      </c>
      <c r="D1460" t="inlineStr">
        <is>
          <t>JÄMTLANDS LÄN</t>
        </is>
      </c>
      <c r="E1460" t="inlineStr">
        <is>
          <t>HÄRJEDALEN</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29768-2024</t>
        </is>
      </c>
      <c r="B1461" s="1" t="n">
        <v>45485</v>
      </c>
      <c r="C1461" s="1" t="n">
        <v>45784</v>
      </c>
      <c r="D1461" t="inlineStr">
        <is>
          <t>JÄMTLANDS LÄN</t>
        </is>
      </c>
      <c r="E1461" t="inlineStr">
        <is>
          <t>HÄRJEDALEN</t>
        </is>
      </c>
      <c r="F1461" t="inlineStr">
        <is>
          <t>Holmen skog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29717-2024</t>
        </is>
      </c>
      <c r="B1462" s="1" t="n">
        <v>45485</v>
      </c>
      <c r="C1462" s="1" t="n">
        <v>45784</v>
      </c>
      <c r="D1462" t="inlineStr">
        <is>
          <t>JÄMTLANDS LÄN</t>
        </is>
      </c>
      <c r="E1462" t="inlineStr">
        <is>
          <t>HÄRJEDALEN</t>
        </is>
      </c>
      <c r="F1462" t="inlineStr">
        <is>
          <t>Holmen skog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29729-2024</t>
        </is>
      </c>
      <c r="B1463" s="1" t="n">
        <v>45485</v>
      </c>
      <c r="C1463" s="1" t="n">
        <v>45784</v>
      </c>
      <c r="D1463" t="inlineStr">
        <is>
          <t>JÄMTLANDS LÄN</t>
        </is>
      </c>
      <c r="E1463" t="inlineStr">
        <is>
          <t>HÄRJEDALEN</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29749-2024</t>
        </is>
      </c>
      <c r="B1464" s="1" t="n">
        <v>45485</v>
      </c>
      <c r="C1464" s="1" t="n">
        <v>45784</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29935-2024</t>
        </is>
      </c>
      <c r="B1465" s="1" t="n">
        <v>45488</v>
      </c>
      <c r="C1465" s="1" t="n">
        <v>45784</v>
      </c>
      <c r="D1465" t="inlineStr">
        <is>
          <t>JÄMTLANDS LÄN</t>
        </is>
      </c>
      <c r="E1465" t="inlineStr">
        <is>
          <t>HÄRJEDALEN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30404-2024</t>
        </is>
      </c>
      <c r="B1466" s="1" t="n">
        <v>45491</v>
      </c>
      <c r="C1466" s="1" t="n">
        <v>45784</v>
      </c>
      <c r="D1466" t="inlineStr">
        <is>
          <t>JÄMTLANDS LÄN</t>
        </is>
      </c>
      <c r="E1466" t="inlineStr">
        <is>
          <t>HÄRJEDALEN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30626-2024</t>
        </is>
      </c>
      <c r="B1467" s="1" t="n">
        <v>45495</v>
      </c>
      <c r="C1467" s="1" t="n">
        <v>45784</v>
      </c>
      <c r="D1467" t="inlineStr">
        <is>
          <t>JÄMTLANDS LÄN</t>
        </is>
      </c>
      <c r="E1467" t="inlineStr">
        <is>
          <t>HÄRJEDALEN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30742-2024</t>
        </is>
      </c>
      <c r="B1468" s="1" t="n">
        <v>45496</v>
      </c>
      <c r="C1468" s="1" t="n">
        <v>45784</v>
      </c>
      <c r="D1468" t="inlineStr">
        <is>
          <t>JÄMTLANDS LÄN</t>
        </is>
      </c>
      <c r="E1468" t="inlineStr">
        <is>
          <t>HÄRJEDALEN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30776-2024</t>
        </is>
      </c>
      <c r="B1469" s="1" t="n">
        <v>45497</v>
      </c>
      <c r="C1469" s="1" t="n">
        <v>45784</v>
      </c>
      <c r="D1469" t="inlineStr">
        <is>
          <t>JÄMTLANDS LÄN</t>
        </is>
      </c>
      <c r="E1469" t="inlineStr">
        <is>
          <t>HÄRJEDALEN</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30744-2024</t>
        </is>
      </c>
      <c r="B1470" s="1" t="n">
        <v>45496</v>
      </c>
      <c r="C1470" s="1" t="n">
        <v>45784</v>
      </c>
      <c r="D1470" t="inlineStr">
        <is>
          <t>JÄMTLANDS LÄN</t>
        </is>
      </c>
      <c r="E1470" t="inlineStr">
        <is>
          <t>HÄRJEDALEN</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30781-2024</t>
        </is>
      </c>
      <c r="B1471" s="1" t="n">
        <v>45497</v>
      </c>
      <c r="C1471" s="1" t="n">
        <v>45784</v>
      </c>
      <c r="D1471" t="inlineStr">
        <is>
          <t>JÄMTLANDS LÄN</t>
        </is>
      </c>
      <c r="E1471" t="inlineStr">
        <is>
          <t>HÄRJEDALEN</t>
        </is>
      </c>
      <c r="F1471" t="inlineStr">
        <is>
          <t>SCA</t>
        </is>
      </c>
      <c r="G1471" t="n">
        <v>23.1</v>
      </c>
      <c r="H1471" t="n">
        <v>0</v>
      </c>
      <c r="I1471" t="n">
        <v>0</v>
      </c>
      <c r="J1471" t="n">
        <v>0</v>
      </c>
      <c r="K1471" t="n">
        <v>0</v>
      </c>
      <c r="L1471" t="n">
        <v>0</v>
      </c>
      <c r="M1471" t="n">
        <v>0</v>
      </c>
      <c r="N1471" t="n">
        <v>0</v>
      </c>
      <c r="O1471" t="n">
        <v>0</v>
      </c>
      <c r="P1471" t="n">
        <v>0</v>
      </c>
      <c r="Q1471" t="n">
        <v>0</v>
      </c>
      <c r="R1471" s="2" t="inlineStr"/>
    </row>
    <row r="1472" ht="15" customHeight="1">
      <c r="A1472" t="inlineStr">
        <is>
          <t>A 30777-2024</t>
        </is>
      </c>
      <c r="B1472" s="1" t="n">
        <v>45497</v>
      </c>
      <c r="C1472" s="1" t="n">
        <v>45784</v>
      </c>
      <c r="D1472" t="inlineStr">
        <is>
          <t>JÄMTLANDS LÄN</t>
        </is>
      </c>
      <c r="E1472" t="inlineStr">
        <is>
          <t>HÄRJEDALEN</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30743-2024</t>
        </is>
      </c>
      <c r="B1473" s="1" t="n">
        <v>45496</v>
      </c>
      <c r="C1473" s="1" t="n">
        <v>45784</v>
      </c>
      <c r="D1473" t="inlineStr">
        <is>
          <t>JÄMTLANDS LÄN</t>
        </is>
      </c>
      <c r="E1473" t="inlineStr">
        <is>
          <t>HÄRJEDALEN</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30775-2024</t>
        </is>
      </c>
      <c r="B1474" s="1" t="n">
        <v>45497</v>
      </c>
      <c r="C1474" s="1" t="n">
        <v>45784</v>
      </c>
      <c r="D1474" t="inlineStr">
        <is>
          <t>JÄMTLANDS LÄN</t>
        </is>
      </c>
      <c r="E1474" t="inlineStr">
        <is>
          <t>HÄRJEDALEN</t>
        </is>
      </c>
      <c r="F1474" t="inlineStr">
        <is>
          <t>SCA</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30729-2024</t>
        </is>
      </c>
      <c r="B1475" s="1" t="n">
        <v>45496</v>
      </c>
      <c r="C1475" s="1" t="n">
        <v>45784</v>
      </c>
      <c r="D1475" t="inlineStr">
        <is>
          <t>JÄMTLANDS LÄN</t>
        </is>
      </c>
      <c r="E1475" t="inlineStr">
        <is>
          <t>HÄRJEDALEN</t>
        </is>
      </c>
      <c r="F1475" t="inlineStr">
        <is>
          <t>Bergvik skog väst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31116-2024</t>
        </is>
      </c>
      <c r="B1476" s="1" t="n">
        <v>45502</v>
      </c>
      <c r="C1476" s="1" t="n">
        <v>45784</v>
      </c>
      <c r="D1476" t="inlineStr">
        <is>
          <t>JÄMTLANDS LÄN</t>
        </is>
      </c>
      <c r="E1476" t="inlineStr">
        <is>
          <t>HÄRJEDALEN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31205-2024</t>
        </is>
      </c>
      <c r="B1477" s="1" t="n">
        <v>45503</v>
      </c>
      <c r="C1477" s="1" t="n">
        <v>45784</v>
      </c>
      <c r="D1477" t="inlineStr">
        <is>
          <t>JÄMTLANDS LÄN</t>
        </is>
      </c>
      <c r="E1477" t="inlineStr">
        <is>
          <t>HÄRJEDALEN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31301-2024</t>
        </is>
      </c>
      <c r="B1478" s="1" t="n">
        <v>45504</v>
      </c>
      <c r="C1478" s="1" t="n">
        <v>45784</v>
      </c>
      <c r="D1478" t="inlineStr">
        <is>
          <t>JÄMTLANDS LÄN</t>
        </is>
      </c>
      <c r="E1478" t="inlineStr">
        <is>
          <t>HÄRJEDALEN</t>
        </is>
      </c>
      <c r="G1478" t="n">
        <v>32.9</v>
      </c>
      <c r="H1478" t="n">
        <v>0</v>
      </c>
      <c r="I1478" t="n">
        <v>0</v>
      </c>
      <c r="J1478" t="n">
        <v>0</v>
      </c>
      <c r="K1478" t="n">
        <v>0</v>
      </c>
      <c r="L1478" t="n">
        <v>0</v>
      </c>
      <c r="M1478" t="n">
        <v>0</v>
      </c>
      <c r="N1478" t="n">
        <v>0</v>
      </c>
      <c r="O1478" t="n">
        <v>0</v>
      </c>
      <c r="P1478" t="n">
        <v>0</v>
      </c>
      <c r="Q1478" t="n">
        <v>0</v>
      </c>
      <c r="R1478" s="2" t="inlineStr"/>
    </row>
    <row r="1479" ht="15" customHeight="1">
      <c r="A1479" t="inlineStr">
        <is>
          <t>A 31460-2024</t>
        </is>
      </c>
      <c r="B1479" s="1" t="n">
        <v>45505</v>
      </c>
      <c r="C1479" s="1" t="n">
        <v>45784</v>
      </c>
      <c r="D1479" t="inlineStr">
        <is>
          <t>JÄMTLANDS LÄN</t>
        </is>
      </c>
      <c r="E1479" t="inlineStr">
        <is>
          <t>HÄRJEDALEN</t>
        </is>
      </c>
      <c r="F1479" t="inlineStr">
        <is>
          <t>SCA</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31527-2024</t>
        </is>
      </c>
      <c r="B1480" s="1" t="n">
        <v>45505</v>
      </c>
      <c r="C1480" s="1" t="n">
        <v>45784</v>
      </c>
      <c r="D1480" t="inlineStr">
        <is>
          <t>JÄMTLANDS LÄN</t>
        </is>
      </c>
      <c r="E1480" t="inlineStr">
        <is>
          <t>HÄRJEDALEN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31462-2024</t>
        </is>
      </c>
      <c r="B1481" s="1" t="n">
        <v>45505</v>
      </c>
      <c r="C1481" s="1" t="n">
        <v>45784</v>
      </c>
      <c r="D1481" t="inlineStr">
        <is>
          <t>JÄMTLANDS LÄN</t>
        </is>
      </c>
      <c r="E1481" t="inlineStr">
        <is>
          <t>HÄRJEDALEN</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31473-2024</t>
        </is>
      </c>
      <c r="B1482" s="1" t="n">
        <v>45505</v>
      </c>
      <c r="C1482" s="1" t="n">
        <v>45784</v>
      </c>
      <c r="D1482" t="inlineStr">
        <is>
          <t>JÄMTLANDS LÄN</t>
        </is>
      </c>
      <c r="E1482" t="inlineStr">
        <is>
          <t>HÄRJEDALEN</t>
        </is>
      </c>
      <c r="F1482" t="inlineStr">
        <is>
          <t>SCA</t>
        </is>
      </c>
      <c r="G1482" t="n">
        <v>30.4</v>
      </c>
      <c r="H1482" t="n">
        <v>0</v>
      </c>
      <c r="I1482" t="n">
        <v>0</v>
      </c>
      <c r="J1482" t="n">
        <v>0</v>
      </c>
      <c r="K1482" t="n">
        <v>0</v>
      </c>
      <c r="L1482" t="n">
        <v>0</v>
      </c>
      <c r="M1482" t="n">
        <v>0</v>
      </c>
      <c r="N1482" t="n">
        <v>0</v>
      </c>
      <c r="O1482" t="n">
        <v>0</v>
      </c>
      <c r="P1482" t="n">
        <v>0</v>
      </c>
      <c r="Q1482" t="n">
        <v>0</v>
      </c>
      <c r="R1482" s="2" t="inlineStr"/>
    </row>
    <row r="1483" ht="15" customHeight="1">
      <c r="A1483" t="inlineStr">
        <is>
          <t>A 31459-2024</t>
        </is>
      </c>
      <c r="B1483" s="1" t="n">
        <v>45505</v>
      </c>
      <c r="C1483" s="1" t="n">
        <v>45784</v>
      </c>
      <c r="D1483" t="inlineStr">
        <is>
          <t>JÄMTLANDS LÄN</t>
        </is>
      </c>
      <c r="E1483" t="inlineStr">
        <is>
          <t>HÄRJEDALEN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31672-2024</t>
        </is>
      </c>
      <c r="B1484" s="1" t="n">
        <v>45506</v>
      </c>
      <c r="C1484" s="1" t="n">
        <v>45784</v>
      </c>
      <c r="D1484" t="inlineStr">
        <is>
          <t>JÄMTLANDS LÄN</t>
        </is>
      </c>
      <c r="E1484" t="inlineStr">
        <is>
          <t>HÄRJEDALEN</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31581-2024</t>
        </is>
      </c>
      <c r="B1485" s="1" t="n">
        <v>45506</v>
      </c>
      <c r="C1485" s="1" t="n">
        <v>45784</v>
      </c>
      <c r="D1485" t="inlineStr">
        <is>
          <t>JÄMTLANDS LÄN</t>
        </is>
      </c>
      <c r="E1485" t="inlineStr">
        <is>
          <t>HÄRJEDALEN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31683-2024</t>
        </is>
      </c>
      <c r="B1486" s="1" t="n">
        <v>45506</v>
      </c>
      <c r="C1486" s="1" t="n">
        <v>45784</v>
      </c>
      <c r="D1486" t="inlineStr">
        <is>
          <t>JÄMTLANDS LÄN</t>
        </is>
      </c>
      <c r="E1486" t="inlineStr">
        <is>
          <t>HÄRJEDALEN</t>
        </is>
      </c>
      <c r="F1486" t="inlineStr">
        <is>
          <t>SCA</t>
        </is>
      </c>
      <c r="G1486" t="n">
        <v>37.4</v>
      </c>
      <c r="H1486" t="n">
        <v>0</v>
      </c>
      <c r="I1486" t="n">
        <v>0</v>
      </c>
      <c r="J1486" t="n">
        <v>0</v>
      </c>
      <c r="K1486" t="n">
        <v>0</v>
      </c>
      <c r="L1486" t="n">
        <v>0</v>
      </c>
      <c r="M1486" t="n">
        <v>0</v>
      </c>
      <c r="N1486" t="n">
        <v>0</v>
      </c>
      <c r="O1486" t="n">
        <v>0</v>
      </c>
      <c r="P1486" t="n">
        <v>0</v>
      </c>
      <c r="Q1486" t="n">
        <v>0</v>
      </c>
      <c r="R1486" s="2" t="inlineStr"/>
    </row>
    <row r="1487" ht="15" customHeight="1">
      <c r="A1487" t="inlineStr">
        <is>
          <t>A 31588-2024</t>
        </is>
      </c>
      <c r="B1487" s="1" t="n">
        <v>45506</v>
      </c>
      <c r="C1487" s="1" t="n">
        <v>45784</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31587-2024</t>
        </is>
      </c>
      <c r="B1488" s="1" t="n">
        <v>45506</v>
      </c>
      <c r="C1488" s="1" t="n">
        <v>45784</v>
      </c>
      <c r="D1488" t="inlineStr">
        <is>
          <t>JÄMTLANDS LÄN</t>
        </is>
      </c>
      <c r="E1488" t="inlineStr">
        <is>
          <t>HÄRJEDALEN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31586-2024</t>
        </is>
      </c>
      <c r="B1489" s="1" t="n">
        <v>45506</v>
      </c>
      <c r="C1489" s="1" t="n">
        <v>45784</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31682-2024</t>
        </is>
      </c>
      <c r="B1490" s="1" t="n">
        <v>45506</v>
      </c>
      <c r="C1490" s="1" t="n">
        <v>45784</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31777-2024</t>
        </is>
      </c>
      <c r="B1491" s="1" t="n">
        <v>45509</v>
      </c>
      <c r="C1491" s="1" t="n">
        <v>45784</v>
      </c>
      <c r="D1491" t="inlineStr">
        <is>
          <t>JÄMTLANDS LÄN</t>
        </is>
      </c>
      <c r="E1491" t="inlineStr">
        <is>
          <t>HÄRJEDALEN</t>
        </is>
      </c>
      <c r="F1491" t="inlineStr">
        <is>
          <t>Övriga statliga verk och myndigheter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31743-2024</t>
        </is>
      </c>
      <c r="B1492" s="1" t="n">
        <v>45509</v>
      </c>
      <c r="C1492" s="1" t="n">
        <v>45784</v>
      </c>
      <c r="D1492" t="inlineStr">
        <is>
          <t>JÄMTLANDS LÄN</t>
        </is>
      </c>
      <c r="E1492" t="inlineStr">
        <is>
          <t>HÄRJEDALEN</t>
        </is>
      </c>
      <c r="F1492" t="inlineStr">
        <is>
          <t>Bergvik skog väst AB</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31747-2024</t>
        </is>
      </c>
      <c r="B1493" s="1" t="n">
        <v>45509</v>
      </c>
      <c r="C1493" s="1" t="n">
        <v>45784</v>
      </c>
      <c r="D1493" t="inlineStr">
        <is>
          <t>JÄMTLANDS LÄN</t>
        </is>
      </c>
      <c r="E1493" t="inlineStr">
        <is>
          <t>HÄRJEDALEN</t>
        </is>
      </c>
      <c r="F1493" t="inlineStr">
        <is>
          <t>Övriga statliga verk och myndigheter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31759-2024</t>
        </is>
      </c>
      <c r="B1494" s="1" t="n">
        <v>45509</v>
      </c>
      <c r="C1494" s="1" t="n">
        <v>45784</v>
      </c>
      <c r="D1494" t="inlineStr">
        <is>
          <t>JÄMTLANDS LÄN</t>
        </is>
      </c>
      <c r="E1494" t="inlineStr">
        <is>
          <t>HÄRJEDALEN</t>
        </is>
      </c>
      <c r="F1494" t="inlineStr">
        <is>
          <t>Övriga statliga verk och myndigheter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31783-2024</t>
        </is>
      </c>
      <c r="B1495" s="1" t="n">
        <v>45509</v>
      </c>
      <c r="C1495" s="1" t="n">
        <v>45784</v>
      </c>
      <c r="D1495" t="inlineStr">
        <is>
          <t>JÄMTLANDS LÄN</t>
        </is>
      </c>
      <c r="E1495" t="inlineStr">
        <is>
          <t>HÄRJEDALEN</t>
        </is>
      </c>
      <c r="F1495" t="inlineStr">
        <is>
          <t>Övriga statliga verk och myndigheter</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31791-2024</t>
        </is>
      </c>
      <c r="B1496" s="1" t="n">
        <v>45509</v>
      </c>
      <c r="C1496" s="1" t="n">
        <v>45784</v>
      </c>
      <c r="D1496" t="inlineStr">
        <is>
          <t>JÄMTLANDS LÄN</t>
        </is>
      </c>
      <c r="E1496" t="inlineStr">
        <is>
          <t>HÄRJEDALEN</t>
        </is>
      </c>
      <c r="F1496" t="inlineStr">
        <is>
          <t>Övriga statliga verk och myndigheter</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31819-2024</t>
        </is>
      </c>
      <c r="B1497" s="1" t="n">
        <v>45509</v>
      </c>
      <c r="C1497" s="1" t="n">
        <v>45784</v>
      </c>
      <c r="D1497" t="inlineStr">
        <is>
          <t>JÄMTLANDS LÄN</t>
        </is>
      </c>
      <c r="E1497" t="inlineStr">
        <is>
          <t>HÄRJEDALEN</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31816-2024</t>
        </is>
      </c>
      <c r="B1498" s="1" t="n">
        <v>45509</v>
      </c>
      <c r="C1498" s="1" t="n">
        <v>45784</v>
      </c>
      <c r="D1498" t="inlineStr">
        <is>
          <t>JÄMTLANDS LÄN</t>
        </is>
      </c>
      <c r="E1498" t="inlineStr">
        <is>
          <t>HÄRJEDALEN</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31764-2024</t>
        </is>
      </c>
      <c r="B1499" s="1" t="n">
        <v>45509</v>
      </c>
      <c r="C1499" s="1" t="n">
        <v>45784</v>
      </c>
      <c r="D1499" t="inlineStr">
        <is>
          <t>JÄMTLANDS LÄN</t>
        </is>
      </c>
      <c r="E1499" t="inlineStr">
        <is>
          <t>HÄRJEDALEN</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31732-2024</t>
        </is>
      </c>
      <c r="B1500" s="1" t="n">
        <v>45509</v>
      </c>
      <c r="C1500" s="1" t="n">
        <v>45784</v>
      </c>
      <c r="D1500" t="inlineStr">
        <is>
          <t>JÄMTLANDS LÄN</t>
        </is>
      </c>
      <c r="E1500" t="inlineStr">
        <is>
          <t>HÄRJEDALEN</t>
        </is>
      </c>
      <c r="F1500" t="inlineStr">
        <is>
          <t>Bergvik skog väst AB</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31834-2024</t>
        </is>
      </c>
      <c r="B1501" s="1" t="n">
        <v>45509</v>
      </c>
      <c r="C1501" s="1" t="n">
        <v>45784</v>
      </c>
      <c r="D1501" t="inlineStr">
        <is>
          <t>JÄMTLANDS LÄN</t>
        </is>
      </c>
      <c r="E1501" t="inlineStr">
        <is>
          <t>HÄRJEDALEN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31806-2024</t>
        </is>
      </c>
      <c r="B1502" s="1" t="n">
        <v>45509</v>
      </c>
      <c r="C1502" s="1" t="n">
        <v>45784</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31891-2024</t>
        </is>
      </c>
      <c r="B1503" s="1" t="n">
        <v>45509</v>
      </c>
      <c r="C1503" s="1" t="n">
        <v>45784</v>
      </c>
      <c r="D1503" t="inlineStr">
        <is>
          <t>JÄMTLANDS LÄN</t>
        </is>
      </c>
      <c r="E1503" t="inlineStr">
        <is>
          <t>HÄRJEDALEN</t>
        </is>
      </c>
      <c r="F1503" t="inlineStr">
        <is>
          <t>SCA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32064-2024</t>
        </is>
      </c>
      <c r="B1504" s="1" t="n">
        <v>45510</v>
      </c>
      <c r="C1504" s="1" t="n">
        <v>45784</v>
      </c>
      <c r="D1504" t="inlineStr">
        <is>
          <t>JÄMTLANDS LÄN</t>
        </is>
      </c>
      <c r="E1504" t="inlineStr">
        <is>
          <t>HÄRJEDALEN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31920-2024</t>
        </is>
      </c>
      <c r="B1505" s="1" t="n">
        <v>45510</v>
      </c>
      <c r="C1505" s="1" t="n">
        <v>45784</v>
      </c>
      <c r="D1505" t="inlineStr">
        <is>
          <t>JÄMTLANDS LÄN</t>
        </is>
      </c>
      <c r="E1505" t="inlineStr">
        <is>
          <t>HÄRJEDALEN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32135-2024</t>
        </is>
      </c>
      <c r="B1506" s="1" t="n">
        <v>45511</v>
      </c>
      <c r="C1506" s="1" t="n">
        <v>45784</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32122-2024</t>
        </is>
      </c>
      <c r="B1507" s="1" t="n">
        <v>45511</v>
      </c>
      <c r="C1507" s="1" t="n">
        <v>45784</v>
      </c>
      <c r="D1507" t="inlineStr">
        <is>
          <t>JÄMTLANDS LÄN</t>
        </is>
      </c>
      <c r="E1507" t="inlineStr">
        <is>
          <t>HÄRJEDALEN</t>
        </is>
      </c>
      <c r="F1507" t="inlineStr">
        <is>
          <t>Bergvik skog väst AB</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32233-2024</t>
        </is>
      </c>
      <c r="B1508" s="1" t="n">
        <v>45512</v>
      </c>
      <c r="C1508" s="1" t="n">
        <v>45784</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32382-2024</t>
        </is>
      </c>
      <c r="B1509" s="1" t="n">
        <v>45512</v>
      </c>
      <c r="C1509" s="1" t="n">
        <v>45784</v>
      </c>
      <c r="D1509" t="inlineStr">
        <is>
          <t>JÄMTLANDS LÄN</t>
        </is>
      </c>
      <c r="E1509" t="inlineStr">
        <is>
          <t>HÄRJEDALEN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32403-2024</t>
        </is>
      </c>
      <c r="B1510" s="1" t="n">
        <v>45512</v>
      </c>
      <c r="C1510" s="1" t="n">
        <v>45784</v>
      </c>
      <c r="D1510" t="inlineStr">
        <is>
          <t>JÄMTLANDS LÄN</t>
        </is>
      </c>
      <c r="E1510" t="inlineStr">
        <is>
          <t>HÄRJEDALEN</t>
        </is>
      </c>
      <c r="F1510" t="inlineStr">
        <is>
          <t>Bergvik skog väst AB</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32765-2024</t>
        </is>
      </c>
      <c r="B1511" s="1" t="n">
        <v>45516</v>
      </c>
      <c r="C1511" s="1" t="n">
        <v>45784</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32735-2024</t>
        </is>
      </c>
      <c r="B1512" s="1" t="n">
        <v>45516</v>
      </c>
      <c r="C1512" s="1" t="n">
        <v>45784</v>
      </c>
      <c r="D1512" t="inlineStr">
        <is>
          <t>JÄMTLANDS LÄN</t>
        </is>
      </c>
      <c r="E1512" t="inlineStr">
        <is>
          <t>HÄRJEDALEN</t>
        </is>
      </c>
      <c r="F1512" t="inlineStr">
        <is>
          <t>Bergvik skog väst AB</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33096-2024</t>
        </is>
      </c>
      <c r="B1513" s="1" t="n">
        <v>45517</v>
      </c>
      <c r="C1513" s="1" t="n">
        <v>45784</v>
      </c>
      <c r="D1513" t="inlineStr">
        <is>
          <t>JÄMTLANDS LÄN</t>
        </is>
      </c>
      <c r="E1513" t="inlineStr">
        <is>
          <t>HÄRJEDALEN</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33123-2024</t>
        </is>
      </c>
      <c r="B1514" s="1" t="n">
        <v>45518</v>
      </c>
      <c r="C1514" s="1" t="n">
        <v>45784</v>
      </c>
      <c r="D1514" t="inlineStr">
        <is>
          <t>JÄMTLANDS LÄN</t>
        </is>
      </c>
      <c r="E1514" t="inlineStr">
        <is>
          <t>HÄRJEDALEN</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33125-2024</t>
        </is>
      </c>
      <c r="B1515" s="1" t="n">
        <v>45518</v>
      </c>
      <c r="C1515" s="1" t="n">
        <v>45784</v>
      </c>
      <c r="D1515" t="inlineStr">
        <is>
          <t>JÄMTLANDS LÄN</t>
        </is>
      </c>
      <c r="E1515" t="inlineStr">
        <is>
          <t>HÄRJEDALEN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32962-2024</t>
        </is>
      </c>
      <c r="B1516" s="1" t="n">
        <v>45517</v>
      </c>
      <c r="C1516" s="1" t="n">
        <v>45784</v>
      </c>
      <c r="D1516" t="inlineStr">
        <is>
          <t>JÄMTLANDS LÄN</t>
        </is>
      </c>
      <c r="E1516" t="inlineStr">
        <is>
          <t>HÄRJEDALEN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32964-2024</t>
        </is>
      </c>
      <c r="B1517" s="1" t="n">
        <v>45517</v>
      </c>
      <c r="C1517" s="1" t="n">
        <v>45784</v>
      </c>
      <c r="D1517" t="inlineStr">
        <is>
          <t>JÄMTLANDS LÄN</t>
        </is>
      </c>
      <c r="E1517" t="inlineStr">
        <is>
          <t>HÄRJEDALEN</t>
        </is>
      </c>
      <c r="F1517" t="inlineStr">
        <is>
          <t>Kommuner</t>
        </is>
      </c>
      <c r="G1517" t="n">
        <v>30.3</v>
      </c>
      <c r="H1517" t="n">
        <v>0</v>
      </c>
      <c r="I1517" t="n">
        <v>0</v>
      </c>
      <c r="J1517" t="n">
        <v>0</v>
      </c>
      <c r="K1517" t="n">
        <v>0</v>
      </c>
      <c r="L1517" t="n">
        <v>0</v>
      </c>
      <c r="M1517" t="n">
        <v>0</v>
      </c>
      <c r="N1517" t="n">
        <v>0</v>
      </c>
      <c r="O1517" t="n">
        <v>0</v>
      </c>
      <c r="P1517" t="n">
        <v>0</v>
      </c>
      <c r="Q1517" t="n">
        <v>0</v>
      </c>
      <c r="R1517" s="2" t="inlineStr"/>
    </row>
    <row r="1518" ht="15" customHeight="1">
      <c r="A1518" t="inlineStr">
        <is>
          <t>A 33124-2024</t>
        </is>
      </c>
      <c r="B1518" s="1" t="n">
        <v>45518</v>
      </c>
      <c r="C1518" s="1" t="n">
        <v>45784</v>
      </c>
      <c r="D1518" t="inlineStr">
        <is>
          <t>JÄMTLANDS LÄN</t>
        </is>
      </c>
      <c r="E1518" t="inlineStr">
        <is>
          <t>HÄRJEDALEN</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33307-2024</t>
        </is>
      </c>
      <c r="B1519" s="1" t="n">
        <v>45519</v>
      </c>
      <c r="C1519" s="1" t="n">
        <v>45784</v>
      </c>
      <c r="D1519" t="inlineStr">
        <is>
          <t>JÄMTLANDS LÄN</t>
        </is>
      </c>
      <c r="E1519" t="inlineStr">
        <is>
          <t>HÄRJEDALEN</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33308-2024</t>
        </is>
      </c>
      <c r="B1520" s="1" t="n">
        <v>45519</v>
      </c>
      <c r="C1520" s="1" t="n">
        <v>45784</v>
      </c>
      <c r="D1520" t="inlineStr">
        <is>
          <t>JÄMTLANDS LÄN</t>
        </is>
      </c>
      <c r="E1520" t="inlineStr">
        <is>
          <t>HÄRJEDALEN</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33502-2024</t>
        </is>
      </c>
      <c r="B1521" s="1" t="n">
        <v>45519</v>
      </c>
      <c r="C1521" s="1" t="n">
        <v>45784</v>
      </c>
      <c r="D1521" t="inlineStr">
        <is>
          <t>JÄMTLANDS LÄN</t>
        </is>
      </c>
      <c r="E1521" t="inlineStr">
        <is>
          <t>HÄRJEDALEN</t>
        </is>
      </c>
      <c r="F1521" t="inlineStr">
        <is>
          <t>SCA</t>
        </is>
      </c>
      <c r="G1521" t="n">
        <v>18.9</v>
      </c>
      <c r="H1521" t="n">
        <v>0</v>
      </c>
      <c r="I1521" t="n">
        <v>0</v>
      </c>
      <c r="J1521" t="n">
        <v>0</v>
      </c>
      <c r="K1521" t="n">
        <v>0</v>
      </c>
      <c r="L1521" t="n">
        <v>0</v>
      </c>
      <c r="M1521" t="n">
        <v>0</v>
      </c>
      <c r="N1521" t="n">
        <v>0</v>
      </c>
      <c r="O1521" t="n">
        <v>0</v>
      </c>
      <c r="P1521" t="n">
        <v>0</v>
      </c>
      <c r="Q1521" t="n">
        <v>0</v>
      </c>
      <c r="R1521" s="2" t="inlineStr"/>
    </row>
    <row r="1522" ht="15" customHeight="1">
      <c r="A1522" t="inlineStr">
        <is>
          <t>A 33523-2024</t>
        </is>
      </c>
      <c r="B1522" s="1" t="n">
        <v>45519</v>
      </c>
      <c r="C1522" s="1" t="n">
        <v>45784</v>
      </c>
      <c r="D1522" t="inlineStr">
        <is>
          <t>JÄMTLANDS LÄN</t>
        </is>
      </c>
      <c r="E1522" t="inlineStr">
        <is>
          <t>HÄRJEDALEN</t>
        </is>
      </c>
      <c r="F1522" t="inlineStr">
        <is>
          <t>SCA</t>
        </is>
      </c>
      <c r="G1522" t="n">
        <v>19.4</v>
      </c>
      <c r="H1522" t="n">
        <v>0</v>
      </c>
      <c r="I1522" t="n">
        <v>0</v>
      </c>
      <c r="J1522" t="n">
        <v>0</v>
      </c>
      <c r="K1522" t="n">
        <v>0</v>
      </c>
      <c r="L1522" t="n">
        <v>0</v>
      </c>
      <c r="M1522" t="n">
        <v>0</v>
      </c>
      <c r="N1522" t="n">
        <v>0</v>
      </c>
      <c r="O1522" t="n">
        <v>0</v>
      </c>
      <c r="P1522" t="n">
        <v>0</v>
      </c>
      <c r="Q1522" t="n">
        <v>0</v>
      </c>
      <c r="R1522" s="2" t="inlineStr"/>
    </row>
    <row r="1523" ht="15" customHeight="1">
      <c r="A1523" t="inlineStr">
        <is>
          <t>A 34291-2024</t>
        </is>
      </c>
      <c r="B1523" s="1" t="n">
        <v>45524</v>
      </c>
      <c r="C1523" s="1" t="n">
        <v>45784</v>
      </c>
      <c r="D1523" t="inlineStr">
        <is>
          <t>JÄMTLANDS LÄN</t>
        </is>
      </c>
      <c r="E1523" t="inlineStr">
        <is>
          <t>HÄRJEDALEN</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34523-2024</t>
        </is>
      </c>
      <c r="B1524" s="1" t="n">
        <v>45525</v>
      </c>
      <c r="C1524" s="1" t="n">
        <v>45784</v>
      </c>
      <c r="D1524" t="inlineStr">
        <is>
          <t>JÄMTLANDS LÄN</t>
        </is>
      </c>
      <c r="E1524" t="inlineStr">
        <is>
          <t>HÄRJEDALEN</t>
        </is>
      </c>
      <c r="G1524" t="n">
        <v>31.5</v>
      </c>
      <c r="H1524" t="n">
        <v>0</v>
      </c>
      <c r="I1524" t="n">
        <v>0</v>
      </c>
      <c r="J1524" t="n">
        <v>0</v>
      </c>
      <c r="K1524" t="n">
        <v>0</v>
      </c>
      <c r="L1524" t="n">
        <v>0</v>
      </c>
      <c r="M1524" t="n">
        <v>0</v>
      </c>
      <c r="N1524" t="n">
        <v>0</v>
      </c>
      <c r="O1524" t="n">
        <v>0</v>
      </c>
      <c r="P1524" t="n">
        <v>0</v>
      </c>
      <c r="Q1524" t="n">
        <v>0</v>
      </c>
      <c r="R1524" s="2" t="inlineStr"/>
    </row>
    <row r="1525" ht="15" customHeight="1">
      <c r="A1525" t="inlineStr">
        <is>
          <t>A 34660-2024</t>
        </is>
      </c>
      <c r="B1525" s="1" t="n">
        <v>45526</v>
      </c>
      <c r="C1525" s="1" t="n">
        <v>45784</v>
      </c>
      <c r="D1525" t="inlineStr">
        <is>
          <t>JÄMTLANDS LÄN</t>
        </is>
      </c>
      <c r="E1525" t="inlineStr">
        <is>
          <t>HÄRJEDALEN</t>
        </is>
      </c>
      <c r="F1525" t="inlineStr">
        <is>
          <t>Bergvik skog väst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34775-2024</t>
        </is>
      </c>
      <c r="B1526" s="1" t="n">
        <v>45526</v>
      </c>
      <c r="C1526" s="1" t="n">
        <v>45784</v>
      </c>
      <c r="D1526" t="inlineStr">
        <is>
          <t>JÄMTLANDS LÄN</t>
        </is>
      </c>
      <c r="E1526" t="inlineStr">
        <is>
          <t>HÄRJEDALEN</t>
        </is>
      </c>
      <c r="F1526" t="inlineStr">
        <is>
          <t>Bergvik skog väst AB</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35015-2024</t>
        </is>
      </c>
      <c r="B1527" s="1" t="n">
        <v>45527</v>
      </c>
      <c r="C1527" s="1" t="n">
        <v>45784</v>
      </c>
      <c r="D1527" t="inlineStr">
        <is>
          <t>JÄMTLANDS LÄN</t>
        </is>
      </c>
      <c r="E1527" t="inlineStr">
        <is>
          <t>HÄRJEDALEN</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35046-2024</t>
        </is>
      </c>
      <c r="B1528" s="1" t="n">
        <v>45527</v>
      </c>
      <c r="C1528" s="1" t="n">
        <v>45784</v>
      </c>
      <c r="D1528" t="inlineStr">
        <is>
          <t>JÄMTLANDS LÄN</t>
        </is>
      </c>
      <c r="E1528" t="inlineStr">
        <is>
          <t>HÄRJEDALEN</t>
        </is>
      </c>
      <c r="F1528" t="inlineStr">
        <is>
          <t>Bergvik skog väst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35454-2024</t>
        </is>
      </c>
      <c r="B1529" s="1" t="n">
        <v>45531</v>
      </c>
      <c r="C1529" s="1" t="n">
        <v>45784</v>
      </c>
      <c r="D1529" t="inlineStr">
        <is>
          <t>JÄMTLANDS LÄN</t>
        </is>
      </c>
      <c r="E1529" t="inlineStr">
        <is>
          <t>HÄRJEDALEN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35457-2024</t>
        </is>
      </c>
      <c r="B1530" s="1" t="n">
        <v>45531</v>
      </c>
      <c r="C1530" s="1" t="n">
        <v>45784</v>
      </c>
      <c r="D1530" t="inlineStr">
        <is>
          <t>JÄMTLANDS LÄN</t>
        </is>
      </c>
      <c r="E1530" t="inlineStr">
        <is>
          <t>HÄRJEDALEN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35599-2024</t>
        </is>
      </c>
      <c r="B1531" s="1" t="n">
        <v>45531</v>
      </c>
      <c r="C1531" s="1" t="n">
        <v>45784</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35635-2024</t>
        </is>
      </c>
      <c r="B1532" s="1" t="n">
        <v>45531</v>
      </c>
      <c r="C1532" s="1" t="n">
        <v>45784</v>
      </c>
      <c r="D1532" t="inlineStr">
        <is>
          <t>JÄMTLANDS LÄN</t>
        </is>
      </c>
      <c r="E1532" t="inlineStr">
        <is>
          <t>HÄRJEDALEN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35726-2024</t>
        </is>
      </c>
      <c r="B1533" s="1" t="n">
        <v>45532</v>
      </c>
      <c r="C1533" s="1" t="n">
        <v>45784</v>
      </c>
      <c r="D1533" t="inlineStr">
        <is>
          <t>JÄMTLANDS LÄN</t>
        </is>
      </c>
      <c r="E1533" t="inlineStr">
        <is>
          <t>HÄRJEDALEN</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35947-2024</t>
        </is>
      </c>
      <c r="B1534" s="1" t="n">
        <v>45533</v>
      </c>
      <c r="C1534" s="1" t="n">
        <v>45784</v>
      </c>
      <c r="D1534" t="inlineStr">
        <is>
          <t>JÄMTLANDS LÄN</t>
        </is>
      </c>
      <c r="E1534" t="inlineStr">
        <is>
          <t>HÄRJEDALEN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35971-2024</t>
        </is>
      </c>
      <c r="B1535" s="1" t="n">
        <v>45533</v>
      </c>
      <c r="C1535" s="1" t="n">
        <v>45784</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36083-2024</t>
        </is>
      </c>
      <c r="B1536" s="1" t="n">
        <v>45533</v>
      </c>
      <c r="C1536" s="1" t="n">
        <v>45784</v>
      </c>
      <c r="D1536" t="inlineStr">
        <is>
          <t>JÄMTLANDS LÄN</t>
        </is>
      </c>
      <c r="E1536" t="inlineStr">
        <is>
          <t>HÄRJEDALEN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36097-2024</t>
        </is>
      </c>
      <c r="B1537" s="1" t="n">
        <v>45533</v>
      </c>
      <c r="C1537" s="1" t="n">
        <v>45784</v>
      </c>
      <c r="D1537" t="inlineStr">
        <is>
          <t>JÄMTLANDS LÄN</t>
        </is>
      </c>
      <c r="E1537" t="inlineStr">
        <is>
          <t>HÄRJEDALEN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36123-2024</t>
        </is>
      </c>
      <c r="B1538" s="1" t="n">
        <v>45534</v>
      </c>
      <c r="C1538" s="1" t="n">
        <v>45784</v>
      </c>
      <c r="D1538" t="inlineStr">
        <is>
          <t>JÄMTLANDS LÄN</t>
        </is>
      </c>
      <c r="E1538" t="inlineStr">
        <is>
          <t>HÄRJEDALEN</t>
        </is>
      </c>
      <c r="F1538" t="inlineStr">
        <is>
          <t>Bergvik skog väst AB</t>
        </is>
      </c>
      <c r="G1538" t="n">
        <v>25.7</v>
      </c>
      <c r="H1538" t="n">
        <v>0</v>
      </c>
      <c r="I1538" t="n">
        <v>0</v>
      </c>
      <c r="J1538" t="n">
        <v>0</v>
      </c>
      <c r="K1538" t="n">
        <v>0</v>
      </c>
      <c r="L1538" t="n">
        <v>0</v>
      </c>
      <c r="M1538" t="n">
        <v>0</v>
      </c>
      <c r="N1538" t="n">
        <v>0</v>
      </c>
      <c r="O1538" t="n">
        <v>0</v>
      </c>
      <c r="P1538" t="n">
        <v>0</v>
      </c>
      <c r="Q1538" t="n">
        <v>0</v>
      </c>
      <c r="R1538" s="2" t="inlineStr"/>
    </row>
    <row r="1539" ht="15" customHeight="1">
      <c r="A1539" t="inlineStr">
        <is>
          <t>A 36239-2024</t>
        </is>
      </c>
      <c r="B1539" s="1" t="n">
        <v>45534</v>
      </c>
      <c r="C1539" s="1" t="n">
        <v>45784</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36645-2024</t>
        </is>
      </c>
      <c r="B1540" s="1" t="n">
        <v>45537</v>
      </c>
      <c r="C1540" s="1" t="n">
        <v>45784</v>
      </c>
      <c r="D1540" t="inlineStr">
        <is>
          <t>JÄMTLANDS LÄN</t>
        </is>
      </c>
      <c r="E1540" t="inlineStr">
        <is>
          <t>HÄRJEDALEN</t>
        </is>
      </c>
      <c r="F1540" t="inlineStr">
        <is>
          <t>Holmen skog AB</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36911-2024</t>
        </is>
      </c>
      <c r="B1541" s="1" t="n">
        <v>45538</v>
      </c>
      <c r="C1541" s="1" t="n">
        <v>45784</v>
      </c>
      <c r="D1541" t="inlineStr">
        <is>
          <t>JÄMTLANDS LÄN</t>
        </is>
      </c>
      <c r="E1541" t="inlineStr">
        <is>
          <t>HÄRJEDALEN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36941-2024</t>
        </is>
      </c>
      <c r="B1542" s="1" t="n">
        <v>45538</v>
      </c>
      <c r="C1542" s="1" t="n">
        <v>45784</v>
      </c>
      <c r="D1542" t="inlineStr">
        <is>
          <t>JÄMTLANDS LÄN</t>
        </is>
      </c>
      <c r="E1542" t="inlineStr">
        <is>
          <t>HÄRJEDALEN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37054-2024</t>
        </is>
      </c>
      <c r="B1543" s="1" t="n">
        <v>45539</v>
      </c>
      <c r="C1543" s="1" t="n">
        <v>45784</v>
      </c>
      <c r="D1543" t="inlineStr">
        <is>
          <t>JÄMTLANDS LÄN</t>
        </is>
      </c>
      <c r="E1543" t="inlineStr">
        <is>
          <t>HÄRJEDALEN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37281-2024</t>
        </is>
      </c>
      <c r="B1544" s="1" t="n">
        <v>45540</v>
      </c>
      <c r="C1544" s="1" t="n">
        <v>45784</v>
      </c>
      <c r="D1544" t="inlineStr">
        <is>
          <t>JÄMTLANDS LÄN</t>
        </is>
      </c>
      <c r="E1544" t="inlineStr">
        <is>
          <t>HÄRJEDALEN</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38507-2024</t>
        </is>
      </c>
      <c r="B1545" s="1" t="n">
        <v>45546</v>
      </c>
      <c r="C1545" s="1" t="n">
        <v>45784</v>
      </c>
      <c r="D1545" t="inlineStr">
        <is>
          <t>JÄMTLANDS LÄN</t>
        </is>
      </c>
      <c r="E1545" t="inlineStr">
        <is>
          <t>HÄRJEDALEN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38609-2024</t>
        </is>
      </c>
      <c r="B1546" s="1" t="n">
        <v>45546</v>
      </c>
      <c r="C1546" s="1" t="n">
        <v>45784</v>
      </c>
      <c r="D1546" t="inlineStr">
        <is>
          <t>JÄMTLANDS LÄN</t>
        </is>
      </c>
      <c r="E1546" t="inlineStr">
        <is>
          <t>HÄRJEDALEN</t>
        </is>
      </c>
      <c r="F1546" t="inlineStr">
        <is>
          <t>Bergvik skog väst AB</t>
        </is>
      </c>
      <c r="G1546" t="n">
        <v>32.4</v>
      </c>
      <c r="H1546" t="n">
        <v>0</v>
      </c>
      <c r="I1546" t="n">
        <v>0</v>
      </c>
      <c r="J1546" t="n">
        <v>0</v>
      </c>
      <c r="K1546" t="n">
        <v>0</v>
      </c>
      <c r="L1546" t="n">
        <v>0</v>
      </c>
      <c r="M1546" t="n">
        <v>0</v>
      </c>
      <c r="N1546" t="n">
        <v>0</v>
      </c>
      <c r="O1546" t="n">
        <v>0</v>
      </c>
      <c r="P1546" t="n">
        <v>0</v>
      </c>
      <c r="Q1546" t="n">
        <v>0</v>
      </c>
      <c r="R1546" s="2" t="inlineStr"/>
    </row>
    <row r="1547" ht="15" customHeight="1">
      <c r="A1547" t="inlineStr">
        <is>
          <t>A 38841-2024</t>
        </is>
      </c>
      <c r="B1547" s="1" t="n">
        <v>45547</v>
      </c>
      <c r="C1547" s="1" t="n">
        <v>45784</v>
      </c>
      <c r="D1547" t="inlineStr">
        <is>
          <t>JÄMTLANDS LÄN</t>
        </is>
      </c>
      <c r="E1547" t="inlineStr">
        <is>
          <t>HÄRJEDALEN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38827-2024</t>
        </is>
      </c>
      <c r="B1548" s="1" t="n">
        <v>45547</v>
      </c>
      <c r="C1548" s="1" t="n">
        <v>45784</v>
      </c>
      <c r="D1548" t="inlineStr">
        <is>
          <t>JÄMTLANDS LÄN</t>
        </is>
      </c>
      <c r="E1548" t="inlineStr">
        <is>
          <t>HÄRJEDALEN</t>
        </is>
      </c>
      <c r="F1548" t="inlineStr">
        <is>
          <t>Bergvik skog väst AB</t>
        </is>
      </c>
      <c r="G1548" t="n">
        <v>30</v>
      </c>
      <c r="H1548" t="n">
        <v>0</v>
      </c>
      <c r="I1548" t="n">
        <v>0</v>
      </c>
      <c r="J1548" t="n">
        <v>0</v>
      </c>
      <c r="K1548" t="n">
        <v>0</v>
      </c>
      <c r="L1548" t="n">
        <v>0</v>
      </c>
      <c r="M1548" t="n">
        <v>0</v>
      </c>
      <c r="N1548" t="n">
        <v>0</v>
      </c>
      <c r="O1548" t="n">
        <v>0</v>
      </c>
      <c r="P1548" t="n">
        <v>0</v>
      </c>
      <c r="Q1548" t="n">
        <v>0</v>
      </c>
      <c r="R1548" s="2" t="inlineStr"/>
    </row>
    <row r="1549" ht="15" customHeight="1">
      <c r="A1549" t="inlineStr">
        <is>
          <t>A 38851-2024</t>
        </is>
      </c>
      <c r="B1549" s="1" t="n">
        <v>45547</v>
      </c>
      <c r="C1549" s="1" t="n">
        <v>45784</v>
      </c>
      <c r="D1549" t="inlineStr">
        <is>
          <t>JÄMTLANDS LÄN</t>
        </is>
      </c>
      <c r="E1549" t="inlineStr">
        <is>
          <t>HÄRJEDALEN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38840-2024</t>
        </is>
      </c>
      <c r="B1550" s="1" t="n">
        <v>45547</v>
      </c>
      <c r="C1550" s="1" t="n">
        <v>45784</v>
      </c>
      <c r="D1550" t="inlineStr">
        <is>
          <t>JÄMTLANDS LÄN</t>
        </is>
      </c>
      <c r="E1550" t="inlineStr">
        <is>
          <t>HÄRJEDALEN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40037-2024</t>
        </is>
      </c>
      <c r="B1551" s="1" t="n">
        <v>45553</v>
      </c>
      <c r="C1551" s="1" t="n">
        <v>45784</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40114-2024</t>
        </is>
      </c>
      <c r="B1552" s="1" t="n">
        <v>45554</v>
      </c>
      <c r="C1552" s="1" t="n">
        <v>45784</v>
      </c>
      <c r="D1552" t="inlineStr">
        <is>
          <t>JÄMTLANDS LÄN</t>
        </is>
      </c>
      <c r="E1552" t="inlineStr">
        <is>
          <t>HÄRJEDALEN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41259-2024</t>
        </is>
      </c>
      <c r="B1553" s="1" t="n">
        <v>45559</v>
      </c>
      <c r="C1553" s="1" t="n">
        <v>45784</v>
      </c>
      <c r="D1553" t="inlineStr">
        <is>
          <t>JÄMTLANDS LÄN</t>
        </is>
      </c>
      <c r="E1553" t="inlineStr">
        <is>
          <t>HÄRJEDALEN</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41329-2024</t>
        </is>
      </c>
      <c r="B1554" s="1" t="n">
        <v>45559</v>
      </c>
      <c r="C1554" s="1" t="n">
        <v>45784</v>
      </c>
      <c r="D1554" t="inlineStr">
        <is>
          <t>JÄMTLANDS LÄN</t>
        </is>
      </c>
      <c r="E1554" t="inlineStr">
        <is>
          <t>HÄRJEDALEN</t>
        </is>
      </c>
      <c r="G1554" t="n">
        <v>47.1</v>
      </c>
      <c r="H1554" t="n">
        <v>0</v>
      </c>
      <c r="I1554" t="n">
        <v>0</v>
      </c>
      <c r="J1554" t="n">
        <v>0</v>
      </c>
      <c r="K1554" t="n">
        <v>0</v>
      </c>
      <c r="L1554" t="n">
        <v>0</v>
      </c>
      <c r="M1554" t="n">
        <v>0</v>
      </c>
      <c r="N1554" t="n">
        <v>0</v>
      </c>
      <c r="O1554" t="n">
        <v>0</v>
      </c>
      <c r="P1554" t="n">
        <v>0</v>
      </c>
      <c r="Q1554" t="n">
        <v>0</v>
      </c>
      <c r="R1554" s="2" t="inlineStr"/>
    </row>
    <row r="1555" ht="15" customHeight="1">
      <c r="A1555" t="inlineStr">
        <is>
          <t>A 41101-2024</t>
        </is>
      </c>
      <c r="B1555" s="1" t="n">
        <v>45559</v>
      </c>
      <c r="C1555" s="1" t="n">
        <v>45784</v>
      </c>
      <c r="D1555" t="inlineStr">
        <is>
          <t>JÄMTLANDS LÄN</t>
        </is>
      </c>
      <c r="E1555" t="inlineStr">
        <is>
          <t>HÄRJEDALEN</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41604-2024</t>
        </is>
      </c>
      <c r="B1556" s="1" t="n">
        <v>45560</v>
      </c>
      <c r="C1556" s="1" t="n">
        <v>45784</v>
      </c>
      <c r="D1556" t="inlineStr">
        <is>
          <t>JÄMTLANDS LÄN</t>
        </is>
      </c>
      <c r="E1556" t="inlineStr">
        <is>
          <t>HÄRJEDALEN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41401-2024</t>
        </is>
      </c>
      <c r="B1557" s="1" t="n">
        <v>45560</v>
      </c>
      <c r="C1557" s="1" t="n">
        <v>45784</v>
      </c>
      <c r="D1557" t="inlineStr">
        <is>
          <t>JÄMTLANDS LÄN</t>
        </is>
      </c>
      <c r="E1557" t="inlineStr">
        <is>
          <t>HÄRJEDALEN</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41615-2024</t>
        </is>
      </c>
      <c r="B1558" s="1" t="n">
        <v>45560</v>
      </c>
      <c r="C1558" s="1" t="n">
        <v>45784</v>
      </c>
      <c r="D1558" t="inlineStr">
        <is>
          <t>JÄMTLANDS LÄN</t>
        </is>
      </c>
      <c r="E1558" t="inlineStr">
        <is>
          <t>HÄRJEDALEN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41647-2024</t>
        </is>
      </c>
      <c r="B1559" s="1" t="n">
        <v>45560</v>
      </c>
      <c r="C1559" s="1" t="n">
        <v>45784</v>
      </c>
      <c r="D1559" t="inlineStr">
        <is>
          <t>JÄMTLANDS LÄN</t>
        </is>
      </c>
      <c r="E1559" t="inlineStr">
        <is>
          <t>HÄRJEDALEN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41761-2024</t>
        </is>
      </c>
      <c r="B1560" s="1" t="n">
        <v>45561</v>
      </c>
      <c r="C1560" s="1" t="n">
        <v>45784</v>
      </c>
      <c r="D1560" t="inlineStr">
        <is>
          <t>JÄMTLANDS LÄN</t>
        </is>
      </c>
      <c r="E1560" t="inlineStr">
        <is>
          <t>HÄRJEDALEN</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41887-2024</t>
        </is>
      </c>
      <c r="B1561" s="1" t="n">
        <v>45561</v>
      </c>
      <c r="C1561" s="1" t="n">
        <v>45784</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41895-2024</t>
        </is>
      </c>
      <c r="B1562" s="1" t="n">
        <v>45561</v>
      </c>
      <c r="C1562" s="1" t="n">
        <v>45784</v>
      </c>
      <c r="D1562" t="inlineStr">
        <is>
          <t>JÄMTLANDS LÄN</t>
        </is>
      </c>
      <c r="E1562" t="inlineStr">
        <is>
          <t>HÄRJEDALEN</t>
        </is>
      </c>
      <c r="G1562" t="n">
        <v>39.3</v>
      </c>
      <c r="H1562" t="n">
        <v>0</v>
      </c>
      <c r="I1562" t="n">
        <v>0</v>
      </c>
      <c r="J1562" t="n">
        <v>0</v>
      </c>
      <c r="K1562" t="n">
        <v>0</v>
      </c>
      <c r="L1562" t="n">
        <v>0</v>
      </c>
      <c r="M1562" t="n">
        <v>0</v>
      </c>
      <c r="N1562" t="n">
        <v>0</v>
      </c>
      <c r="O1562" t="n">
        <v>0</v>
      </c>
      <c r="P1562" t="n">
        <v>0</v>
      </c>
      <c r="Q1562" t="n">
        <v>0</v>
      </c>
      <c r="R1562" s="2" t="inlineStr"/>
    </row>
    <row r="1563" ht="15" customHeight="1">
      <c r="A1563" t="inlineStr">
        <is>
          <t>A 41885-2024</t>
        </is>
      </c>
      <c r="B1563" s="1" t="n">
        <v>45561</v>
      </c>
      <c r="C1563" s="1" t="n">
        <v>45784</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41785-2024</t>
        </is>
      </c>
      <c r="B1564" s="1" t="n">
        <v>45561</v>
      </c>
      <c r="C1564" s="1" t="n">
        <v>45784</v>
      </c>
      <c r="D1564" t="inlineStr">
        <is>
          <t>JÄMTLANDS LÄN</t>
        </is>
      </c>
      <c r="E1564" t="inlineStr">
        <is>
          <t>HÄRJEDALEN</t>
        </is>
      </c>
      <c r="F1564" t="inlineStr">
        <is>
          <t>SCA</t>
        </is>
      </c>
      <c r="G1564" t="n">
        <v>45.1</v>
      </c>
      <c r="H1564" t="n">
        <v>0</v>
      </c>
      <c r="I1564" t="n">
        <v>0</v>
      </c>
      <c r="J1564" t="n">
        <v>0</v>
      </c>
      <c r="K1564" t="n">
        <v>0</v>
      </c>
      <c r="L1564" t="n">
        <v>0</v>
      </c>
      <c r="M1564" t="n">
        <v>0</v>
      </c>
      <c r="N1564" t="n">
        <v>0</v>
      </c>
      <c r="O1564" t="n">
        <v>0</v>
      </c>
      <c r="P1564" t="n">
        <v>0</v>
      </c>
      <c r="Q1564" t="n">
        <v>0</v>
      </c>
      <c r="R1564" s="2" t="inlineStr"/>
    </row>
    <row r="1565" ht="15" customHeight="1">
      <c r="A1565" t="inlineStr">
        <is>
          <t>A 42332-2024</t>
        </is>
      </c>
      <c r="B1565" s="1" t="n">
        <v>45562</v>
      </c>
      <c r="C1565" s="1" t="n">
        <v>45784</v>
      </c>
      <c r="D1565" t="inlineStr">
        <is>
          <t>JÄMTLANDS LÄN</t>
        </is>
      </c>
      <c r="E1565" t="inlineStr">
        <is>
          <t>HÄRJEDALEN</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42333-2024</t>
        </is>
      </c>
      <c r="B1566" s="1" t="n">
        <v>45562</v>
      </c>
      <c r="C1566" s="1" t="n">
        <v>45784</v>
      </c>
      <c r="D1566" t="inlineStr">
        <is>
          <t>JÄMTLANDS LÄN</t>
        </is>
      </c>
      <c r="E1566" t="inlineStr">
        <is>
          <t>HÄRJEDALEN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42789-2024</t>
        </is>
      </c>
      <c r="B1567" s="1" t="n">
        <v>45566</v>
      </c>
      <c r="C1567" s="1" t="n">
        <v>45784</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42803-2024</t>
        </is>
      </c>
      <c r="B1568" s="1" t="n">
        <v>45566</v>
      </c>
      <c r="C1568" s="1" t="n">
        <v>45784</v>
      </c>
      <c r="D1568" t="inlineStr">
        <is>
          <t>JÄMTLANDS LÄN</t>
        </is>
      </c>
      <c r="E1568" t="inlineStr">
        <is>
          <t>HÄRJEDALEN</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43036-2024</t>
        </is>
      </c>
      <c r="B1569" s="1" t="n">
        <v>45567</v>
      </c>
      <c r="C1569" s="1" t="n">
        <v>45784</v>
      </c>
      <c r="D1569" t="inlineStr">
        <is>
          <t>JÄMTLANDS LÄN</t>
        </is>
      </c>
      <c r="E1569" t="inlineStr">
        <is>
          <t>HÄRJEDALEN</t>
        </is>
      </c>
      <c r="F1569" t="inlineStr">
        <is>
          <t>Bergvik skog väst AB</t>
        </is>
      </c>
      <c r="G1569" t="n">
        <v>28.4</v>
      </c>
      <c r="H1569" t="n">
        <v>0</v>
      </c>
      <c r="I1569" t="n">
        <v>0</v>
      </c>
      <c r="J1569" t="n">
        <v>0</v>
      </c>
      <c r="K1569" t="n">
        <v>0</v>
      </c>
      <c r="L1569" t="n">
        <v>0</v>
      </c>
      <c r="M1569" t="n">
        <v>0</v>
      </c>
      <c r="N1569" t="n">
        <v>0</v>
      </c>
      <c r="O1569" t="n">
        <v>0</v>
      </c>
      <c r="P1569" t="n">
        <v>0</v>
      </c>
      <c r="Q1569" t="n">
        <v>0</v>
      </c>
      <c r="R1569" s="2" t="inlineStr"/>
    </row>
    <row r="1570" ht="15" customHeight="1">
      <c r="A1570" t="inlineStr">
        <is>
          <t>A 43287-2024</t>
        </is>
      </c>
      <c r="B1570" s="1" t="n">
        <v>45568</v>
      </c>
      <c r="C1570" s="1" t="n">
        <v>45784</v>
      </c>
      <c r="D1570" t="inlineStr">
        <is>
          <t>JÄMTLANDS LÄN</t>
        </is>
      </c>
      <c r="E1570" t="inlineStr">
        <is>
          <t>HÄRJEDALEN</t>
        </is>
      </c>
      <c r="F1570" t="inlineStr">
        <is>
          <t>SCA</t>
        </is>
      </c>
      <c r="G1570" t="n">
        <v>19.7</v>
      </c>
      <c r="H1570" t="n">
        <v>0</v>
      </c>
      <c r="I1570" t="n">
        <v>0</v>
      </c>
      <c r="J1570" t="n">
        <v>0</v>
      </c>
      <c r="K1570" t="n">
        <v>0</v>
      </c>
      <c r="L1570" t="n">
        <v>0</v>
      </c>
      <c r="M1570" t="n">
        <v>0</v>
      </c>
      <c r="N1570" t="n">
        <v>0</v>
      </c>
      <c r="O1570" t="n">
        <v>0</v>
      </c>
      <c r="P1570" t="n">
        <v>0</v>
      </c>
      <c r="Q1570" t="n">
        <v>0</v>
      </c>
      <c r="R1570" s="2" t="inlineStr"/>
    </row>
    <row r="1571" ht="15" customHeight="1">
      <c r="A1571" t="inlineStr">
        <is>
          <t>A 43297-2024</t>
        </is>
      </c>
      <c r="B1571" s="1" t="n">
        <v>45568</v>
      </c>
      <c r="C1571" s="1" t="n">
        <v>45784</v>
      </c>
      <c r="D1571" t="inlineStr">
        <is>
          <t>JÄMTLANDS LÄN</t>
        </is>
      </c>
      <c r="E1571" t="inlineStr">
        <is>
          <t>HÄRJEDALEN</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43309-2024</t>
        </is>
      </c>
      <c r="B1572" s="1" t="n">
        <v>45568</v>
      </c>
      <c r="C1572" s="1" t="n">
        <v>45784</v>
      </c>
      <c r="D1572" t="inlineStr">
        <is>
          <t>JÄMTLANDS LÄN</t>
        </is>
      </c>
      <c r="E1572" t="inlineStr">
        <is>
          <t>HÄRJEDALEN</t>
        </is>
      </c>
      <c r="F1572" t="inlineStr">
        <is>
          <t>Bergvik skog väst AB</t>
        </is>
      </c>
      <c r="G1572" t="n">
        <v>79.8</v>
      </c>
      <c r="H1572" t="n">
        <v>0</v>
      </c>
      <c r="I1572" t="n">
        <v>0</v>
      </c>
      <c r="J1572" t="n">
        <v>0</v>
      </c>
      <c r="K1572" t="n">
        <v>0</v>
      </c>
      <c r="L1572" t="n">
        <v>0</v>
      </c>
      <c r="M1572" t="n">
        <v>0</v>
      </c>
      <c r="N1572" t="n">
        <v>0</v>
      </c>
      <c r="O1572" t="n">
        <v>0</v>
      </c>
      <c r="P1572" t="n">
        <v>0</v>
      </c>
      <c r="Q1572" t="n">
        <v>0</v>
      </c>
      <c r="R1572" s="2" t="inlineStr"/>
    </row>
    <row r="1573" ht="15" customHeight="1">
      <c r="A1573" t="inlineStr">
        <is>
          <t>A 43390-2024</t>
        </is>
      </c>
      <c r="B1573" s="1" t="n">
        <v>45568</v>
      </c>
      <c r="C1573" s="1" t="n">
        <v>45784</v>
      </c>
      <c r="D1573" t="inlineStr">
        <is>
          <t>JÄMTLANDS LÄN</t>
        </is>
      </c>
      <c r="E1573" t="inlineStr">
        <is>
          <t>HÄRJEDALEN</t>
        </is>
      </c>
      <c r="F1573" t="inlineStr">
        <is>
          <t>Bergvik skog väst AB</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43294-2024</t>
        </is>
      </c>
      <c r="B1574" s="1" t="n">
        <v>45568</v>
      </c>
      <c r="C1574" s="1" t="n">
        <v>45784</v>
      </c>
      <c r="D1574" t="inlineStr">
        <is>
          <t>JÄMTLANDS LÄN</t>
        </is>
      </c>
      <c r="E1574" t="inlineStr">
        <is>
          <t>HÄRJEDALEN</t>
        </is>
      </c>
      <c r="F1574" t="inlineStr">
        <is>
          <t>SCA</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43316-2024</t>
        </is>
      </c>
      <c r="B1575" s="1" t="n">
        <v>45568</v>
      </c>
      <c r="C1575" s="1" t="n">
        <v>45784</v>
      </c>
      <c r="D1575" t="inlineStr">
        <is>
          <t>JÄMTLANDS LÄN</t>
        </is>
      </c>
      <c r="E1575" t="inlineStr">
        <is>
          <t>HÄRJEDALEN</t>
        </is>
      </c>
      <c r="F1575" t="inlineStr">
        <is>
          <t>Bergvik skog väst AB</t>
        </is>
      </c>
      <c r="G1575" t="n">
        <v>79.90000000000001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43623-2024</t>
        </is>
      </c>
      <c r="B1576" s="1" t="n">
        <v>45569</v>
      </c>
      <c r="C1576" s="1" t="n">
        <v>45784</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43555-2024</t>
        </is>
      </c>
      <c r="B1577" s="1" t="n">
        <v>45569</v>
      </c>
      <c r="C1577" s="1" t="n">
        <v>45784</v>
      </c>
      <c r="D1577" t="inlineStr">
        <is>
          <t>JÄMTLANDS LÄN</t>
        </is>
      </c>
      <c r="E1577" t="inlineStr">
        <is>
          <t>HÄRJEDALEN</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43574-2024</t>
        </is>
      </c>
      <c r="B1578" s="1" t="n">
        <v>45569</v>
      </c>
      <c r="C1578" s="1" t="n">
        <v>45784</v>
      </c>
      <c r="D1578" t="inlineStr">
        <is>
          <t>JÄMTLANDS LÄN</t>
        </is>
      </c>
      <c r="E1578" t="inlineStr">
        <is>
          <t>HÄRJEDALEN</t>
        </is>
      </c>
      <c r="F1578" t="inlineStr">
        <is>
          <t>Bergvik skog väst AB</t>
        </is>
      </c>
      <c r="G1578" t="n">
        <v>258.3</v>
      </c>
      <c r="H1578" t="n">
        <v>0</v>
      </c>
      <c r="I1578" t="n">
        <v>0</v>
      </c>
      <c r="J1578" t="n">
        <v>0</v>
      </c>
      <c r="K1578" t="n">
        <v>0</v>
      </c>
      <c r="L1578" t="n">
        <v>0</v>
      </c>
      <c r="M1578" t="n">
        <v>0</v>
      </c>
      <c r="N1578" t="n">
        <v>0</v>
      </c>
      <c r="O1578" t="n">
        <v>0</v>
      </c>
      <c r="P1578" t="n">
        <v>0</v>
      </c>
      <c r="Q1578" t="n">
        <v>0</v>
      </c>
      <c r="R1578" s="2" t="inlineStr"/>
    </row>
    <row r="1579" ht="15" customHeight="1">
      <c r="A1579" t="inlineStr">
        <is>
          <t>A 43586-2024</t>
        </is>
      </c>
      <c r="B1579" s="1" t="n">
        <v>45569</v>
      </c>
      <c r="C1579" s="1" t="n">
        <v>45784</v>
      </c>
      <c r="D1579" t="inlineStr">
        <is>
          <t>JÄMTLANDS LÄN</t>
        </is>
      </c>
      <c r="E1579" t="inlineStr">
        <is>
          <t>HÄRJEDALEN</t>
        </is>
      </c>
      <c r="F1579" t="inlineStr">
        <is>
          <t>Bergvik skog väst AB</t>
        </is>
      </c>
      <c r="G1579" t="n">
        <v>96.2</v>
      </c>
      <c r="H1579" t="n">
        <v>0</v>
      </c>
      <c r="I1579" t="n">
        <v>0</v>
      </c>
      <c r="J1579" t="n">
        <v>0</v>
      </c>
      <c r="K1579" t="n">
        <v>0</v>
      </c>
      <c r="L1579" t="n">
        <v>0</v>
      </c>
      <c r="M1579" t="n">
        <v>0</v>
      </c>
      <c r="N1579" t="n">
        <v>0</v>
      </c>
      <c r="O1579" t="n">
        <v>0</v>
      </c>
      <c r="P1579" t="n">
        <v>0</v>
      </c>
      <c r="Q1579" t="n">
        <v>0</v>
      </c>
      <c r="R1579" s="2" t="inlineStr"/>
    </row>
    <row r="1580" ht="15" customHeight="1">
      <c r="A1580" t="inlineStr">
        <is>
          <t>A 43760-2024</t>
        </is>
      </c>
      <c r="B1580" s="1" t="n">
        <v>45569</v>
      </c>
      <c r="C1580" s="1" t="n">
        <v>45784</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43758-2024</t>
        </is>
      </c>
      <c r="B1581" s="1" t="n">
        <v>45569</v>
      </c>
      <c r="C1581" s="1" t="n">
        <v>45784</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43591-2024</t>
        </is>
      </c>
      <c r="B1582" s="1" t="n">
        <v>45569</v>
      </c>
      <c r="C1582" s="1" t="n">
        <v>45784</v>
      </c>
      <c r="D1582" t="inlineStr">
        <is>
          <t>JÄMTLANDS LÄN</t>
        </is>
      </c>
      <c r="E1582" t="inlineStr">
        <is>
          <t>HÄRJEDALEN</t>
        </is>
      </c>
      <c r="F1582" t="inlineStr">
        <is>
          <t>Bergvik skog väst AB</t>
        </is>
      </c>
      <c r="G1582" t="n">
        <v>50.5</v>
      </c>
      <c r="H1582" t="n">
        <v>0</v>
      </c>
      <c r="I1582" t="n">
        <v>0</v>
      </c>
      <c r="J1582" t="n">
        <v>0</v>
      </c>
      <c r="K1582" t="n">
        <v>0</v>
      </c>
      <c r="L1582" t="n">
        <v>0</v>
      </c>
      <c r="M1582" t="n">
        <v>0</v>
      </c>
      <c r="N1582" t="n">
        <v>0</v>
      </c>
      <c r="O1582" t="n">
        <v>0</v>
      </c>
      <c r="P1582" t="n">
        <v>0</v>
      </c>
      <c r="Q1582" t="n">
        <v>0</v>
      </c>
      <c r="R1582" s="2" t="inlineStr"/>
    </row>
    <row r="1583" ht="15" customHeight="1">
      <c r="A1583" t="inlineStr">
        <is>
          <t>A 43607-2024</t>
        </is>
      </c>
      <c r="B1583" s="1" t="n">
        <v>45569</v>
      </c>
      <c r="C1583" s="1" t="n">
        <v>45784</v>
      </c>
      <c r="D1583" t="inlineStr">
        <is>
          <t>JÄMTLANDS LÄN</t>
        </is>
      </c>
      <c r="E1583" t="inlineStr">
        <is>
          <t>HÄRJEDALEN</t>
        </is>
      </c>
      <c r="F1583" t="inlineStr">
        <is>
          <t>Bergvik skog väst AB</t>
        </is>
      </c>
      <c r="G1583" t="n">
        <v>189.8</v>
      </c>
      <c r="H1583" t="n">
        <v>0</v>
      </c>
      <c r="I1583" t="n">
        <v>0</v>
      </c>
      <c r="J1583" t="n">
        <v>0</v>
      </c>
      <c r="K1583" t="n">
        <v>0</v>
      </c>
      <c r="L1583" t="n">
        <v>0</v>
      </c>
      <c r="M1583" t="n">
        <v>0</v>
      </c>
      <c r="N1583" t="n">
        <v>0</v>
      </c>
      <c r="O1583" t="n">
        <v>0</v>
      </c>
      <c r="P1583" t="n">
        <v>0</v>
      </c>
      <c r="Q1583" t="n">
        <v>0</v>
      </c>
      <c r="R1583" s="2" t="inlineStr"/>
    </row>
    <row r="1584" ht="15" customHeight="1">
      <c r="A1584" t="inlineStr">
        <is>
          <t>A 44056-2024</t>
        </is>
      </c>
      <c r="B1584" s="1" t="n">
        <v>45572</v>
      </c>
      <c r="C1584" s="1" t="n">
        <v>45784</v>
      </c>
      <c r="D1584" t="inlineStr">
        <is>
          <t>JÄMTLANDS LÄN</t>
        </is>
      </c>
      <c r="E1584" t="inlineStr">
        <is>
          <t>HÄRJEDALEN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44060-2024</t>
        </is>
      </c>
      <c r="B1585" s="1" t="n">
        <v>45572</v>
      </c>
      <c r="C1585" s="1" t="n">
        <v>45784</v>
      </c>
      <c r="D1585" t="inlineStr">
        <is>
          <t>JÄMTLANDS LÄN</t>
        </is>
      </c>
      <c r="E1585" t="inlineStr">
        <is>
          <t>HÄRJEDALEN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44222-2024</t>
        </is>
      </c>
      <c r="B1586" s="1" t="n">
        <v>45573</v>
      </c>
      <c r="C1586" s="1" t="n">
        <v>45784</v>
      </c>
      <c r="D1586" t="inlineStr">
        <is>
          <t>JÄMTLANDS LÄN</t>
        </is>
      </c>
      <c r="E1586" t="inlineStr">
        <is>
          <t>HÄRJEDALEN</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44332-2024</t>
        </is>
      </c>
      <c r="B1587" s="1" t="n">
        <v>45573</v>
      </c>
      <c r="C1587" s="1" t="n">
        <v>45784</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44583-2024</t>
        </is>
      </c>
      <c r="B1588" s="1" t="n">
        <v>45574</v>
      </c>
      <c r="C1588" s="1" t="n">
        <v>45784</v>
      </c>
      <c r="D1588" t="inlineStr">
        <is>
          <t>JÄMTLANDS LÄN</t>
        </is>
      </c>
      <c r="E1588" t="inlineStr">
        <is>
          <t>HÄRJEDALEN</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44705-2024</t>
        </is>
      </c>
      <c r="B1589" s="1" t="n">
        <v>45574</v>
      </c>
      <c r="C1589" s="1" t="n">
        <v>45784</v>
      </c>
      <c r="D1589" t="inlineStr">
        <is>
          <t>JÄMTLANDS LÄN</t>
        </is>
      </c>
      <c r="E1589" t="inlineStr">
        <is>
          <t>HÄRJEDALEN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44819-2024</t>
        </is>
      </c>
      <c r="B1590" s="1" t="n">
        <v>45574</v>
      </c>
      <c r="C1590" s="1" t="n">
        <v>45784</v>
      </c>
      <c r="D1590" t="inlineStr">
        <is>
          <t>JÄMTLANDS LÄN</t>
        </is>
      </c>
      <c r="E1590" t="inlineStr">
        <is>
          <t>HÄRJEDALEN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44745-2024</t>
        </is>
      </c>
      <c r="B1591" s="1" t="n">
        <v>45574</v>
      </c>
      <c r="C1591" s="1" t="n">
        <v>45784</v>
      </c>
      <c r="D1591" t="inlineStr">
        <is>
          <t>JÄMTLANDS LÄN</t>
        </is>
      </c>
      <c r="E1591" t="inlineStr">
        <is>
          <t>HÄRJEDALEN</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44757-2024</t>
        </is>
      </c>
      <c r="B1592" s="1" t="n">
        <v>45574</v>
      </c>
      <c r="C1592" s="1" t="n">
        <v>45784</v>
      </c>
      <c r="D1592" t="inlineStr">
        <is>
          <t>JÄMTLANDS LÄN</t>
        </is>
      </c>
      <c r="E1592" t="inlineStr">
        <is>
          <t>HÄRJEDALEN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44641-2024</t>
        </is>
      </c>
      <c r="B1593" s="1" t="n">
        <v>45574</v>
      </c>
      <c r="C1593" s="1" t="n">
        <v>45784</v>
      </c>
      <c r="D1593" t="inlineStr">
        <is>
          <t>JÄMTLANDS LÄN</t>
        </is>
      </c>
      <c r="E1593" t="inlineStr">
        <is>
          <t>HÄRJEDALEN</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44967-2024</t>
        </is>
      </c>
      <c r="B1594" s="1" t="n">
        <v>45575</v>
      </c>
      <c r="C1594" s="1" t="n">
        <v>45784</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44955-2024</t>
        </is>
      </c>
      <c r="B1595" s="1" t="n">
        <v>45575</v>
      </c>
      <c r="C1595" s="1" t="n">
        <v>45784</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45120-2024</t>
        </is>
      </c>
      <c r="B1596" s="1" t="n">
        <v>45575</v>
      </c>
      <c r="C1596" s="1" t="n">
        <v>45784</v>
      </c>
      <c r="D1596" t="inlineStr">
        <is>
          <t>JÄMTLANDS LÄN</t>
        </is>
      </c>
      <c r="E1596" t="inlineStr">
        <is>
          <t>HÄRJEDALEN</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45119-2024</t>
        </is>
      </c>
      <c r="B1597" s="1" t="n">
        <v>45575</v>
      </c>
      <c r="C1597" s="1" t="n">
        <v>45784</v>
      </c>
      <c r="D1597" t="inlineStr">
        <is>
          <t>JÄMTLANDS LÄN</t>
        </is>
      </c>
      <c r="E1597" t="inlineStr">
        <is>
          <t>HÄRJEDALEN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45123-2024</t>
        </is>
      </c>
      <c r="B1598" s="1" t="n">
        <v>45575</v>
      </c>
      <c r="C1598" s="1" t="n">
        <v>45784</v>
      </c>
      <c r="D1598" t="inlineStr">
        <is>
          <t>JÄMTLANDS LÄN</t>
        </is>
      </c>
      <c r="E1598" t="inlineStr">
        <is>
          <t>HÄRJEDALEN</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44903-2024</t>
        </is>
      </c>
      <c r="B1599" s="1" t="n">
        <v>45575</v>
      </c>
      <c r="C1599" s="1" t="n">
        <v>45784</v>
      </c>
      <c r="D1599" t="inlineStr">
        <is>
          <t>JÄMTLANDS LÄN</t>
        </is>
      </c>
      <c r="E1599" t="inlineStr">
        <is>
          <t>HÄRJEDALEN</t>
        </is>
      </c>
      <c r="F1599" t="inlineStr">
        <is>
          <t>Sveaskog</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44964-2024</t>
        </is>
      </c>
      <c r="B1600" s="1" t="n">
        <v>45575</v>
      </c>
      <c r="C1600" s="1" t="n">
        <v>45784</v>
      </c>
      <c r="D1600" t="inlineStr">
        <is>
          <t>JÄMTLANDS LÄN</t>
        </is>
      </c>
      <c r="E1600" t="inlineStr">
        <is>
          <t>HÄRJEDALEN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45363-2024</t>
        </is>
      </c>
      <c r="B1601" s="1" t="n">
        <v>45576</v>
      </c>
      <c r="C1601" s="1" t="n">
        <v>45784</v>
      </c>
      <c r="D1601" t="inlineStr">
        <is>
          <t>JÄMTLANDS LÄN</t>
        </is>
      </c>
      <c r="E1601" t="inlineStr">
        <is>
          <t>HÄRJEDALEN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45731-2024</t>
        </is>
      </c>
      <c r="B1602" s="1" t="n">
        <v>45579</v>
      </c>
      <c r="C1602" s="1" t="n">
        <v>45784</v>
      </c>
      <c r="D1602" t="inlineStr">
        <is>
          <t>JÄMTLANDS LÄN</t>
        </is>
      </c>
      <c r="E1602" t="inlineStr">
        <is>
          <t>HÄRJEDALEN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45705-2024</t>
        </is>
      </c>
      <c r="B1603" s="1" t="n">
        <v>45579</v>
      </c>
      <c r="C1603" s="1" t="n">
        <v>45784</v>
      </c>
      <c r="D1603" t="inlineStr">
        <is>
          <t>JÄMTLANDS LÄN</t>
        </is>
      </c>
      <c r="E1603" t="inlineStr">
        <is>
          <t>HÄRJEDALEN</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45570-2024</t>
        </is>
      </c>
      <c r="B1604" s="1" t="n">
        <v>45579</v>
      </c>
      <c r="C1604" s="1" t="n">
        <v>45784</v>
      </c>
      <c r="D1604" t="inlineStr">
        <is>
          <t>JÄMTLANDS LÄN</t>
        </is>
      </c>
      <c r="E1604" t="inlineStr">
        <is>
          <t>HÄRJEDALEN</t>
        </is>
      </c>
      <c r="F1604" t="inlineStr">
        <is>
          <t>Kommuner</t>
        </is>
      </c>
      <c r="G1604" t="n">
        <v>39.3</v>
      </c>
      <c r="H1604" t="n">
        <v>0</v>
      </c>
      <c r="I1604" t="n">
        <v>0</v>
      </c>
      <c r="J1604" t="n">
        <v>0</v>
      </c>
      <c r="K1604" t="n">
        <v>0</v>
      </c>
      <c r="L1604" t="n">
        <v>0</v>
      </c>
      <c r="M1604" t="n">
        <v>0</v>
      </c>
      <c r="N1604" t="n">
        <v>0</v>
      </c>
      <c r="O1604" t="n">
        <v>0</v>
      </c>
      <c r="P1604" t="n">
        <v>0</v>
      </c>
      <c r="Q1604" t="n">
        <v>0</v>
      </c>
      <c r="R1604" s="2" t="inlineStr"/>
    </row>
    <row r="1605" ht="15" customHeight="1">
      <c r="A1605" t="inlineStr">
        <is>
          <t>A 46058-2024</t>
        </is>
      </c>
      <c r="B1605" s="1" t="n">
        <v>45581</v>
      </c>
      <c r="C1605" s="1" t="n">
        <v>45784</v>
      </c>
      <c r="D1605" t="inlineStr">
        <is>
          <t>JÄMTLANDS LÄN</t>
        </is>
      </c>
      <c r="E1605" t="inlineStr">
        <is>
          <t>HÄRJEDALEN</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46245-2024</t>
        </is>
      </c>
      <c r="B1606" s="1" t="n">
        <v>45581</v>
      </c>
      <c r="C1606" s="1" t="n">
        <v>45784</v>
      </c>
      <c r="D1606" t="inlineStr">
        <is>
          <t>JÄMTLANDS LÄN</t>
        </is>
      </c>
      <c r="E1606" t="inlineStr">
        <is>
          <t>HÄRJEDALEN</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46447-2024</t>
        </is>
      </c>
      <c r="B1607" s="1" t="n">
        <v>45582</v>
      </c>
      <c r="C1607" s="1" t="n">
        <v>45784</v>
      </c>
      <c r="D1607" t="inlineStr">
        <is>
          <t>JÄMTLANDS LÄN</t>
        </is>
      </c>
      <c r="E1607" t="inlineStr">
        <is>
          <t>HÄRJEDALEN</t>
        </is>
      </c>
      <c r="F1607" t="inlineStr">
        <is>
          <t>Bergvik skog väst AB</t>
        </is>
      </c>
      <c r="G1607" t="n">
        <v>19.2</v>
      </c>
      <c r="H1607" t="n">
        <v>0</v>
      </c>
      <c r="I1607" t="n">
        <v>0</v>
      </c>
      <c r="J1607" t="n">
        <v>0</v>
      </c>
      <c r="K1607" t="n">
        <v>0</v>
      </c>
      <c r="L1607" t="n">
        <v>0</v>
      </c>
      <c r="M1607" t="n">
        <v>0</v>
      </c>
      <c r="N1607" t="n">
        <v>0</v>
      </c>
      <c r="O1607" t="n">
        <v>0</v>
      </c>
      <c r="P1607" t="n">
        <v>0</v>
      </c>
      <c r="Q1607" t="n">
        <v>0</v>
      </c>
      <c r="R1607" s="2" t="inlineStr"/>
    </row>
    <row r="1608" ht="15" customHeight="1">
      <c r="A1608" t="inlineStr">
        <is>
          <t>A 46499-2024</t>
        </is>
      </c>
      <c r="B1608" s="1" t="n">
        <v>45582</v>
      </c>
      <c r="C1608" s="1" t="n">
        <v>45784</v>
      </c>
      <c r="D1608" t="inlineStr">
        <is>
          <t>JÄMTLANDS LÄN</t>
        </is>
      </c>
      <c r="E1608" t="inlineStr">
        <is>
          <t>HÄRJEDALEN</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47353-2024</t>
        </is>
      </c>
      <c r="B1609" s="1" t="n">
        <v>45587</v>
      </c>
      <c r="C1609" s="1" t="n">
        <v>45784</v>
      </c>
      <c r="D1609" t="inlineStr">
        <is>
          <t>JÄMTLANDS LÄN</t>
        </is>
      </c>
      <c r="E1609" t="inlineStr">
        <is>
          <t>HÄRJEDALEN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47368-2024</t>
        </is>
      </c>
      <c r="B1610" s="1" t="n">
        <v>45587</v>
      </c>
      <c r="C1610" s="1" t="n">
        <v>45784</v>
      </c>
      <c r="D1610" t="inlineStr">
        <is>
          <t>JÄMTLANDS LÄN</t>
        </is>
      </c>
      <c r="E1610" t="inlineStr">
        <is>
          <t>HÄRJEDALEN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47765-2024</t>
        </is>
      </c>
      <c r="B1611" s="1" t="n">
        <v>45588</v>
      </c>
      <c r="C1611" s="1" t="n">
        <v>45784</v>
      </c>
      <c r="D1611" t="inlineStr">
        <is>
          <t>JÄMTLANDS LÄN</t>
        </is>
      </c>
      <c r="E1611" t="inlineStr">
        <is>
          <t>HÄRJEDALEN</t>
        </is>
      </c>
      <c r="G1611" t="n">
        <v>57.2</v>
      </c>
      <c r="H1611" t="n">
        <v>0</v>
      </c>
      <c r="I1611" t="n">
        <v>0</v>
      </c>
      <c r="J1611" t="n">
        <v>0</v>
      </c>
      <c r="K1611" t="n">
        <v>0</v>
      </c>
      <c r="L1611" t="n">
        <v>0</v>
      </c>
      <c r="M1611" t="n">
        <v>0</v>
      </c>
      <c r="N1611" t="n">
        <v>0</v>
      </c>
      <c r="O1611" t="n">
        <v>0</v>
      </c>
      <c r="P1611" t="n">
        <v>0</v>
      </c>
      <c r="Q1611" t="n">
        <v>0</v>
      </c>
      <c r="R1611" s="2" t="inlineStr"/>
    </row>
    <row r="1612" ht="15" customHeight="1">
      <c r="A1612" t="inlineStr">
        <is>
          <t>A 48162-2024</t>
        </is>
      </c>
      <c r="B1612" s="1" t="n">
        <v>45589</v>
      </c>
      <c r="C1612" s="1" t="n">
        <v>45784</v>
      </c>
      <c r="D1612" t="inlineStr">
        <is>
          <t>JÄMTLANDS LÄN</t>
        </is>
      </c>
      <c r="E1612" t="inlineStr">
        <is>
          <t>HÄRJEDALEN</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48092-2024</t>
        </is>
      </c>
      <c r="B1613" s="1" t="n">
        <v>45589</v>
      </c>
      <c r="C1613" s="1" t="n">
        <v>45784</v>
      </c>
      <c r="D1613" t="inlineStr">
        <is>
          <t>JÄMTLANDS LÄN</t>
        </is>
      </c>
      <c r="E1613" t="inlineStr">
        <is>
          <t>HÄRJEDALEN</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48108-2024</t>
        </is>
      </c>
      <c r="B1614" s="1" t="n">
        <v>45589</v>
      </c>
      <c r="C1614" s="1" t="n">
        <v>45784</v>
      </c>
      <c r="D1614" t="inlineStr">
        <is>
          <t>JÄMTLANDS LÄN</t>
        </is>
      </c>
      <c r="E1614" t="inlineStr">
        <is>
          <t>HÄRJEDALEN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48102-2024</t>
        </is>
      </c>
      <c r="B1615" s="1" t="n">
        <v>45589</v>
      </c>
      <c r="C1615" s="1" t="n">
        <v>45784</v>
      </c>
      <c r="D1615" t="inlineStr">
        <is>
          <t>JÄMTLANDS LÄN</t>
        </is>
      </c>
      <c r="E1615" t="inlineStr">
        <is>
          <t>HÄRJEDALEN</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48284-2024</t>
        </is>
      </c>
      <c r="B1616" s="1" t="n">
        <v>45590</v>
      </c>
      <c r="C1616" s="1" t="n">
        <v>45784</v>
      </c>
      <c r="D1616" t="inlineStr">
        <is>
          <t>JÄMTLANDS LÄN</t>
        </is>
      </c>
      <c r="E1616" t="inlineStr">
        <is>
          <t>HÄRJEDALEN</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48285-2024</t>
        </is>
      </c>
      <c r="B1617" s="1" t="n">
        <v>45590</v>
      </c>
      <c r="C1617" s="1" t="n">
        <v>45784</v>
      </c>
      <c r="D1617" t="inlineStr">
        <is>
          <t>JÄMTLANDS LÄN</t>
        </is>
      </c>
      <c r="E1617" t="inlineStr">
        <is>
          <t>HÄRJEDALEN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48286-2024</t>
        </is>
      </c>
      <c r="B1618" s="1" t="n">
        <v>45590</v>
      </c>
      <c r="C1618" s="1" t="n">
        <v>45784</v>
      </c>
      <c r="D1618" t="inlineStr">
        <is>
          <t>JÄMTLANDS LÄN</t>
        </is>
      </c>
      <c r="E1618" t="inlineStr">
        <is>
          <t>HÄRJEDALEN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48287-2024</t>
        </is>
      </c>
      <c r="B1619" s="1" t="n">
        <v>45590</v>
      </c>
      <c r="C1619" s="1" t="n">
        <v>45784</v>
      </c>
      <c r="D1619" t="inlineStr">
        <is>
          <t>JÄMTLANDS LÄN</t>
        </is>
      </c>
      <c r="E1619" t="inlineStr">
        <is>
          <t>HÄRJEDALEN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48198-2024</t>
        </is>
      </c>
      <c r="B1620" s="1" t="n">
        <v>45590</v>
      </c>
      <c r="C1620" s="1" t="n">
        <v>45784</v>
      </c>
      <c r="D1620" t="inlineStr">
        <is>
          <t>JÄMTLANDS LÄN</t>
        </is>
      </c>
      <c r="E1620" t="inlineStr">
        <is>
          <t>HÄRJEDALEN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48822-2024</t>
        </is>
      </c>
      <c r="B1621" s="1" t="n">
        <v>45593</v>
      </c>
      <c r="C1621" s="1" t="n">
        <v>45784</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48818-2024</t>
        </is>
      </c>
      <c r="B1622" s="1" t="n">
        <v>45593</v>
      </c>
      <c r="C1622" s="1" t="n">
        <v>45784</v>
      </c>
      <c r="D1622" t="inlineStr">
        <is>
          <t>JÄMTLANDS LÄN</t>
        </is>
      </c>
      <c r="E1622" t="inlineStr">
        <is>
          <t>HÄRJEDALEN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48823-2024</t>
        </is>
      </c>
      <c r="B1623" s="1" t="n">
        <v>45593</v>
      </c>
      <c r="C1623" s="1" t="n">
        <v>45784</v>
      </c>
      <c r="D1623" t="inlineStr">
        <is>
          <t>JÄMTLANDS LÄN</t>
        </is>
      </c>
      <c r="E1623" t="inlineStr">
        <is>
          <t>HÄRJEDALEN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48935-2024</t>
        </is>
      </c>
      <c r="B1624" s="1" t="n">
        <v>45594</v>
      </c>
      <c r="C1624" s="1" t="n">
        <v>45784</v>
      </c>
      <c r="D1624" t="inlineStr">
        <is>
          <t>JÄMTLANDS LÄN</t>
        </is>
      </c>
      <c r="E1624" t="inlineStr">
        <is>
          <t>HÄRJEDALEN</t>
        </is>
      </c>
      <c r="G1624" t="n">
        <v>19.8</v>
      </c>
      <c r="H1624" t="n">
        <v>0</v>
      </c>
      <c r="I1624" t="n">
        <v>0</v>
      </c>
      <c r="J1624" t="n">
        <v>0</v>
      </c>
      <c r="K1624" t="n">
        <v>0</v>
      </c>
      <c r="L1624" t="n">
        <v>0</v>
      </c>
      <c r="M1624" t="n">
        <v>0</v>
      </c>
      <c r="N1624" t="n">
        <v>0</v>
      </c>
      <c r="O1624" t="n">
        <v>0</v>
      </c>
      <c r="P1624" t="n">
        <v>0</v>
      </c>
      <c r="Q1624" t="n">
        <v>0</v>
      </c>
      <c r="R1624" s="2" t="inlineStr"/>
    </row>
    <row r="1625" ht="15" customHeight="1">
      <c r="A1625" t="inlineStr">
        <is>
          <t>A 49119-2024</t>
        </is>
      </c>
      <c r="B1625" s="1" t="n">
        <v>45594</v>
      </c>
      <c r="C1625" s="1" t="n">
        <v>45784</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49260-2024</t>
        </is>
      </c>
      <c r="B1626" s="1" t="n">
        <v>45595</v>
      </c>
      <c r="C1626" s="1" t="n">
        <v>45784</v>
      </c>
      <c r="D1626" t="inlineStr">
        <is>
          <t>JÄMTLANDS LÄN</t>
        </is>
      </c>
      <c r="E1626" t="inlineStr">
        <is>
          <t>HÄRJEDALEN</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49263-2024</t>
        </is>
      </c>
      <c r="B1627" s="1" t="n">
        <v>45595</v>
      </c>
      <c r="C1627" s="1" t="n">
        <v>45784</v>
      </c>
      <c r="D1627" t="inlineStr">
        <is>
          <t>JÄMTLANDS LÄN</t>
        </is>
      </c>
      <c r="E1627" t="inlineStr">
        <is>
          <t>HÄRJEDALEN</t>
        </is>
      </c>
      <c r="F1627" t="inlineStr">
        <is>
          <t>Bergvik skog väst AB</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49319-2024</t>
        </is>
      </c>
      <c r="B1628" s="1" t="n">
        <v>45595</v>
      </c>
      <c r="C1628" s="1" t="n">
        <v>45784</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49490-2024</t>
        </is>
      </c>
      <c r="B1629" s="1" t="n">
        <v>45596</v>
      </c>
      <c r="C1629" s="1" t="n">
        <v>45784</v>
      </c>
      <c r="D1629" t="inlineStr">
        <is>
          <t>JÄMTLANDS LÄN</t>
        </is>
      </c>
      <c r="E1629" t="inlineStr">
        <is>
          <t>HÄRJEDALEN</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50544-2024</t>
        </is>
      </c>
      <c r="B1630" s="1" t="n">
        <v>45601</v>
      </c>
      <c r="C1630" s="1" t="n">
        <v>45784</v>
      </c>
      <c r="D1630" t="inlineStr">
        <is>
          <t>JÄMTLANDS LÄN</t>
        </is>
      </c>
      <c r="E1630" t="inlineStr">
        <is>
          <t>HÄRJEDALEN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50437-2024</t>
        </is>
      </c>
      <c r="B1631" s="1" t="n">
        <v>45601</v>
      </c>
      <c r="C1631" s="1" t="n">
        <v>45784</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50537-2024</t>
        </is>
      </c>
      <c r="B1632" s="1" t="n">
        <v>45601</v>
      </c>
      <c r="C1632" s="1" t="n">
        <v>45784</v>
      </c>
      <c r="D1632" t="inlineStr">
        <is>
          <t>JÄMTLANDS LÄN</t>
        </is>
      </c>
      <c r="E1632" t="inlineStr">
        <is>
          <t>HÄRJEDALEN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50835-2024</t>
        </is>
      </c>
      <c r="B1633" s="1" t="n">
        <v>45602</v>
      </c>
      <c r="C1633" s="1" t="n">
        <v>45784</v>
      </c>
      <c r="D1633" t="inlineStr">
        <is>
          <t>JÄMTLANDS LÄN</t>
        </is>
      </c>
      <c r="E1633" t="inlineStr">
        <is>
          <t>HÄRJEDALEN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51198-2024</t>
        </is>
      </c>
      <c r="B1634" s="1" t="n">
        <v>45603</v>
      </c>
      <c r="C1634" s="1" t="n">
        <v>45784</v>
      </c>
      <c r="D1634" t="inlineStr">
        <is>
          <t>JÄMTLANDS LÄN</t>
        </is>
      </c>
      <c r="E1634" t="inlineStr">
        <is>
          <t>HÄRJEDALEN</t>
        </is>
      </c>
      <c r="F1634" t="inlineStr">
        <is>
          <t>Holmen skog AB</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51191-2024</t>
        </is>
      </c>
      <c r="B1635" s="1" t="n">
        <v>45603</v>
      </c>
      <c r="C1635" s="1" t="n">
        <v>45784</v>
      </c>
      <c r="D1635" t="inlineStr">
        <is>
          <t>JÄMTLANDS LÄN</t>
        </is>
      </c>
      <c r="E1635" t="inlineStr">
        <is>
          <t>HÄRJEDALEN</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51211-2024</t>
        </is>
      </c>
      <c r="B1636" s="1" t="n">
        <v>45603</v>
      </c>
      <c r="C1636" s="1" t="n">
        <v>45784</v>
      </c>
      <c r="D1636" t="inlineStr">
        <is>
          <t>JÄMTLANDS LÄN</t>
        </is>
      </c>
      <c r="E1636" t="inlineStr">
        <is>
          <t>HÄRJEDALEN</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51188-2024</t>
        </is>
      </c>
      <c r="B1637" s="1" t="n">
        <v>45603</v>
      </c>
      <c r="C1637" s="1" t="n">
        <v>45784</v>
      </c>
      <c r="D1637" t="inlineStr">
        <is>
          <t>JÄMTLANDS LÄN</t>
        </is>
      </c>
      <c r="E1637" t="inlineStr">
        <is>
          <t>HÄRJEDALEN</t>
        </is>
      </c>
      <c r="F1637" t="inlineStr">
        <is>
          <t>Holmen skog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51204-2024</t>
        </is>
      </c>
      <c r="B1638" s="1" t="n">
        <v>45603</v>
      </c>
      <c r="C1638" s="1" t="n">
        <v>45784</v>
      </c>
      <c r="D1638" t="inlineStr">
        <is>
          <t>JÄMTLANDS LÄN</t>
        </is>
      </c>
      <c r="E1638" t="inlineStr">
        <is>
          <t>HÄRJEDALEN</t>
        </is>
      </c>
      <c r="F1638" t="inlineStr">
        <is>
          <t>Holmen skog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51221-2024</t>
        </is>
      </c>
      <c r="B1639" s="1" t="n">
        <v>45603</v>
      </c>
      <c r="C1639" s="1" t="n">
        <v>45784</v>
      </c>
      <c r="D1639" t="inlineStr">
        <is>
          <t>JÄMTLANDS LÄN</t>
        </is>
      </c>
      <c r="E1639" t="inlineStr">
        <is>
          <t>HÄRJEDALEN</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51223-2024</t>
        </is>
      </c>
      <c r="B1640" s="1" t="n">
        <v>45603</v>
      </c>
      <c r="C1640" s="1" t="n">
        <v>45784</v>
      </c>
      <c r="D1640" t="inlineStr">
        <is>
          <t>JÄMTLANDS LÄN</t>
        </is>
      </c>
      <c r="E1640" t="inlineStr">
        <is>
          <t>HÄRJEDALEN</t>
        </is>
      </c>
      <c r="F1640" t="inlineStr">
        <is>
          <t>Holmen skog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51133-2024</t>
        </is>
      </c>
      <c r="B1641" s="1" t="n">
        <v>45603</v>
      </c>
      <c r="C1641" s="1" t="n">
        <v>45784</v>
      </c>
      <c r="D1641" t="inlineStr">
        <is>
          <t>JÄMTLANDS LÄN</t>
        </is>
      </c>
      <c r="E1641" t="inlineStr">
        <is>
          <t>HÄRJEDALEN</t>
        </is>
      </c>
      <c r="F1641" t="inlineStr">
        <is>
          <t>SCA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51311-2024</t>
        </is>
      </c>
      <c r="B1642" s="1" t="n">
        <v>45604</v>
      </c>
      <c r="C1642" s="1" t="n">
        <v>45784</v>
      </c>
      <c r="D1642" t="inlineStr">
        <is>
          <t>JÄMTLANDS LÄN</t>
        </is>
      </c>
      <c r="E1642" t="inlineStr">
        <is>
          <t>HÄRJEDALEN</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51315-2024</t>
        </is>
      </c>
      <c r="B1643" s="1" t="n">
        <v>45604</v>
      </c>
      <c r="C1643" s="1" t="n">
        <v>45784</v>
      </c>
      <c r="D1643" t="inlineStr">
        <is>
          <t>JÄMTLANDS LÄN</t>
        </is>
      </c>
      <c r="E1643" t="inlineStr">
        <is>
          <t>HÄRJEDALEN</t>
        </is>
      </c>
      <c r="F1643" t="inlineStr">
        <is>
          <t>Holmen skog AB</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51322-2024</t>
        </is>
      </c>
      <c r="B1644" s="1" t="n">
        <v>45604</v>
      </c>
      <c r="C1644" s="1" t="n">
        <v>45784</v>
      </c>
      <c r="D1644" t="inlineStr">
        <is>
          <t>JÄMTLANDS LÄN</t>
        </is>
      </c>
      <c r="E1644" t="inlineStr">
        <is>
          <t>HÄRJEDALEN</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51601-2024</t>
        </is>
      </c>
      <c r="B1645" s="1" t="n">
        <v>45604</v>
      </c>
      <c r="C1645" s="1" t="n">
        <v>45784</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51645-2024</t>
        </is>
      </c>
      <c r="B1646" s="1" t="n">
        <v>45605</v>
      </c>
      <c r="C1646" s="1" t="n">
        <v>45784</v>
      </c>
      <c r="D1646" t="inlineStr">
        <is>
          <t>JÄMTLANDS LÄN</t>
        </is>
      </c>
      <c r="E1646" t="inlineStr">
        <is>
          <t>HÄRJEDALEN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51964-2024</t>
        </is>
      </c>
      <c r="B1647" s="1" t="n">
        <v>45607</v>
      </c>
      <c r="C1647" s="1" t="n">
        <v>45784</v>
      </c>
      <c r="D1647" t="inlineStr">
        <is>
          <t>JÄMTLANDS LÄN</t>
        </is>
      </c>
      <c r="E1647" t="inlineStr">
        <is>
          <t>HÄRJEDALEN</t>
        </is>
      </c>
      <c r="F1647" t="inlineStr">
        <is>
          <t>Holmen skog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51957-2024</t>
        </is>
      </c>
      <c r="B1648" s="1" t="n">
        <v>45607</v>
      </c>
      <c r="C1648" s="1" t="n">
        <v>45784</v>
      </c>
      <c r="D1648" t="inlineStr">
        <is>
          <t>JÄMTLANDS LÄN</t>
        </is>
      </c>
      <c r="E1648" t="inlineStr">
        <is>
          <t>HÄRJEDALEN</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51994-2024</t>
        </is>
      </c>
      <c r="B1649" s="1" t="n">
        <v>45607</v>
      </c>
      <c r="C1649" s="1" t="n">
        <v>45784</v>
      </c>
      <c r="D1649" t="inlineStr">
        <is>
          <t>JÄMTLANDS LÄN</t>
        </is>
      </c>
      <c r="E1649" t="inlineStr">
        <is>
          <t>HÄRJEDALEN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51769-2024</t>
        </is>
      </c>
      <c r="B1650" s="1" t="n">
        <v>45607</v>
      </c>
      <c r="C1650" s="1" t="n">
        <v>45784</v>
      </c>
      <c r="D1650" t="inlineStr">
        <is>
          <t>JÄMTLANDS LÄN</t>
        </is>
      </c>
      <c r="E1650" t="inlineStr">
        <is>
          <t>HÄRJEDALEN</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51770-2024</t>
        </is>
      </c>
      <c r="B1651" s="1" t="n">
        <v>45607</v>
      </c>
      <c r="C1651" s="1" t="n">
        <v>45784</v>
      </c>
      <c r="D1651" t="inlineStr">
        <is>
          <t>JÄMTLANDS LÄN</t>
        </is>
      </c>
      <c r="E1651" t="inlineStr">
        <is>
          <t>HÄRJEDALEN</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52075-2024</t>
        </is>
      </c>
      <c r="B1652" s="1" t="n">
        <v>45608</v>
      </c>
      <c r="C1652" s="1" t="n">
        <v>45784</v>
      </c>
      <c r="D1652" t="inlineStr">
        <is>
          <t>JÄMTLANDS LÄN</t>
        </is>
      </c>
      <c r="E1652" t="inlineStr">
        <is>
          <t>HÄRJEDALEN</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52343-2024</t>
        </is>
      </c>
      <c r="B1653" s="1" t="n">
        <v>45609</v>
      </c>
      <c r="C1653" s="1" t="n">
        <v>45784</v>
      </c>
      <c r="D1653" t="inlineStr">
        <is>
          <t>JÄMTLANDS LÄN</t>
        </is>
      </c>
      <c r="E1653" t="inlineStr">
        <is>
          <t>HÄRJEDALEN</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52565-2024</t>
        </is>
      </c>
      <c r="B1654" s="1" t="n">
        <v>45609</v>
      </c>
      <c r="C1654" s="1" t="n">
        <v>45784</v>
      </c>
      <c r="D1654" t="inlineStr">
        <is>
          <t>JÄMTLANDS LÄN</t>
        </is>
      </c>
      <c r="E1654" t="inlineStr">
        <is>
          <t>HÄRJEDALEN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52573-2024</t>
        </is>
      </c>
      <c r="B1655" s="1" t="n">
        <v>45609</v>
      </c>
      <c r="C1655" s="1" t="n">
        <v>45784</v>
      </c>
      <c r="D1655" t="inlineStr">
        <is>
          <t>JÄMTLANDS LÄN</t>
        </is>
      </c>
      <c r="E1655" t="inlineStr">
        <is>
          <t>HÄRJEDALEN</t>
        </is>
      </c>
      <c r="G1655" t="n">
        <v>13.4</v>
      </c>
      <c r="H1655" t="n">
        <v>0</v>
      </c>
      <c r="I1655" t="n">
        <v>0</v>
      </c>
      <c r="J1655" t="n">
        <v>0</v>
      </c>
      <c r="K1655" t="n">
        <v>0</v>
      </c>
      <c r="L1655" t="n">
        <v>0</v>
      </c>
      <c r="M1655" t="n">
        <v>0</v>
      </c>
      <c r="N1655" t="n">
        <v>0</v>
      </c>
      <c r="O1655" t="n">
        <v>0</v>
      </c>
      <c r="P1655" t="n">
        <v>0</v>
      </c>
      <c r="Q1655" t="n">
        <v>0</v>
      </c>
      <c r="R1655" s="2" t="inlineStr"/>
    </row>
    <row r="1656" ht="15" customHeight="1">
      <c r="A1656" t="inlineStr">
        <is>
          <t>A 52856-2024</t>
        </is>
      </c>
      <c r="B1656" s="1" t="n">
        <v>45610</v>
      </c>
      <c r="C1656" s="1" t="n">
        <v>45784</v>
      </c>
      <c r="D1656" t="inlineStr">
        <is>
          <t>JÄMTLANDS LÄN</t>
        </is>
      </c>
      <c r="E1656" t="inlineStr">
        <is>
          <t>HÄRJEDALEN</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52863-2024</t>
        </is>
      </c>
      <c r="B1657" s="1" t="n">
        <v>45610</v>
      </c>
      <c r="C1657" s="1" t="n">
        <v>45784</v>
      </c>
      <c r="D1657" t="inlineStr">
        <is>
          <t>JÄMTLANDS LÄN</t>
        </is>
      </c>
      <c r="E1657" t="inlineStr">
        <is>
          <t>HÄRJEDALEN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52875-2024</t>
        </is>
      </c>
      <c r="B1658" s="1" t="n">
        <v>45610</v>
      </c>
      <c r="C1658" s="1" t="n">
        <v>45784</v>
      </c>
      <c r="D1658" t="inlineStr">
        <is>
          <t>JÄMTLANDS LÄN</t>
        </is>
      </c>
      <c r="E1658" t="inlineStr">
        <is>
          <t>HÄRJEDALEN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52794-2024</t>
        </is>
      </c>
      <c r="B1659" s="1" t="n">
        <v>45610</v>
      </c>
      <c r="C1659" s="1" t="n">
        <v>45784</v>
      </c>
      <c r="D1659" t="inlineStr">
        <is>
          <t>JÄMTLANDS LÄN</t>
        </is>
      </c>
      <c r="E1659" t="inlineStr">
        <is>
          <t>HÄRJEDALEN</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52798-2024</t>
        </is>
      </c>
      <c r="B1660" s="1" t="n">
        <v>45610</v>
      </c>
      <c r="C1660" s="1" t="n">
        <v>45784</v>
      </c>
      <c r="D1660" t="inlineStr">
        <is>
          <t>JÄMTLANDS LÄN</t>
        </is>
      </c>
      <c r="E1660" t="inlineStr">
        <is>
          <t>HÄRJEDALEN</t>
        </is>
      </c>
      <c r="F1660" t="inlineStr">
        <is>
          <t>Holmen skog AB</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53010-2024</t>
        </is>
      </c>
      <c r="B1661" s="1" t="n">
        <v>45611</v>
      </c>
      <c r="C1661" s="1" t="n">
        <v>45784</v>
      </c>
      <c r="D1661" t="inlineStr">
        <is>
          <t>JÄMTLANDS LÄN</t>
        </is>
      </c>
      <c r="E1661" t="inlineStr">
        <is>
          <t>HÄRJEDALEN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53002-2024</t>
        </is>
      </c>
      <c r="B1662" s="1" t="n">
        <v>45611</v>
      </c>
      <c r="C1662" s="1" t="n">
        <v>45784</v>
      </c>
      <c r="D1662" t="inlineStr">
        <is>
          <t>JÄMTLANDS LÄN</t>
        </is>
      </c>
      <c r="E1662" t="inlineStr">
        <is>
          <t>HÄRJEDALEN</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53231-2024</t>
        </is>
      </c>
      <c r="B1663" s="1" t="n">
        <v>45613</v>
      </c>
      <c r="C1663" s="1" t="n">
        <v>45784</v>
      </c>
      <c r="D1663" t="inlineStr">
        <is>
          <t>JÄMTLANDS LÄN</t>
        </is>
      </c>
      <c r="E1663" t="inlineStr">
        <is>
          <t>HÄRJEDALEN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53623-2024</t>
        </is>
      </c>
      <c r="B1664" s="1" t="n">
        <v>45614</v>
      </c>
      <c r="C1664" s="1" t="n">
        <v>45784</v>
      </c>
      <c r="D1664" t="inlineStr">
        <is>
          <t>JÄMTLANDS LÄN</t>
        </is>
      </c>
      <c r="E1664" t="inlineStr">
        <is>
          <t>HÄRJEDALEN</t>
        </is>
      </c>
      <c r="F1664" t="inlineStr">
        <is>
          <t>Kyrkan</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53249-2024</t>
        </is>
      </c>
      <c r="B1665" s="1" t="n">
        <v>45614</v>
      </c>
      <c r="C1665" s="1" t="n">
        <v>45784</v>
      </c>
      <c r="D1665" t="inlineStr">
        <is>
          <t>JÄMTLANDS LÄN</t>
        </is>
      </c>
      <c r="E1665" t="inlineStr">
        <is>
          <t>HÄRJEDALEN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53451-2024</t>
        </is>
      </c>
      <c r="B1666" s="1" t="n">
        <v>45614</v>
      </c>
      <c r="C1666" s="1" t="n">
        <v>45784</v>
      </c>
      <c r="D1666" t="inlineStr">
        <is>
          <t>JÄMTLANDS LÄN</t>
        </is>
      </c>
      <c r="E1666" t="inlineStr">
        <is>
          <t>HÄRJEDALEN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53386-2024</t>
        </is>
      </c>
      <c r="B1667" s="1" t="n">
        <v>45614</v>
      </c>
      <c r="C1667" s="1" t="n">
        <v>45784</v>
      </c>
      <c r="D1667" t="inlineStr">
        <is>
          <t>JÄMTLANDS LÄN</t>
        </is>
      </c>
      <c r="E1667" t="inlineStr">
        <is>
          <t>HÄRJEDALEN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53537-2024</t>
        </is>
      </c>
      <c r="B1668" s="1" t="n">
        <v>45614</v>
      </c>
      <c r="C1668" s="1" t="n">
        <v>45784</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54079-2024</t>
        </is>
      </c>
      <c r="B1669" s="1" t="n">
        <v>45616</v>
      </c>
      <c r="C1669" s="1" t="n">
        <v>45784</v>
      </c>
      <c r="D1669" t="inlineStr">
        <is>
          <t>JÄMTLANDS LÄN</t>
        </is>
      </c>
      <c r="E1669" t="inlineStr">
        <is>
          <t>HÄRJEDALEN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54294-2024</t>
        </is>
      </c>
      <c r="B1670" s="1" t="n">
        <v>45617</v>
      </c>
      <c r="C1670" s="1" t="n">
        <v>45784</v>
      </c>
      <c r="D1670" t="inlineStr">
        <is>
          <t>JÄMTLANDS LÄN</t>
        </is>
      </c>
      <c r="E1670" t="inlineStr">
        <is>
          <t>HÄRJEDALEN</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54502-2024</t>
        </is>
      </c>
      <c r="B1671" s="1" t="n">
        <v>45617</v>
      </c>
      <c r="C1671" s="1" t="n">
        <v>45784</v>
      </c>
      <c r="D1671" t="inlineStr">
        <is>
          <t>JÄMTLANDS LÄN</t>
        </is>
      </c>
      <c r="E1671" t="inlineStr">
        <is>
          <t>HÄRJEDALEN</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54527-2024</t>
        </is>
      </c>
      <c r="B1672" s="1" t="n">
        <v>45617</v>
      </c>
      <c r="C1672" s="1" t="n">
        <v>45784</v>
      </c>
      <c r="D1672" t="inlineStr">
        <is>
          <t>JÄMTLANDS LÄN</t>
        </is>
      </c>
      <c r="E1672" t="inlineStr">
        <is>
          <t>HÄRJEDALEN</t>
        </is>
      </c>
      <c r="F1672" t="inlineStr">
        <is>
          <t>Holmen skog AB</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54364-2024</t>
        </is>
      </c>
      <c r="B1673" s="1" t="n">
        <v>45617</v>
      </c>
      <c r="C1673" s="1" t="n">
        <v>45784</v>
      </c>
      <c r="D1673" t="inlineStr">
        <is>
          <t>JÄMTLANDS LÄN</t>
        </is>
      </c>
      <c r="E1673" t="inlineStr">
        <is>
          <t>HÄRJEDALEN</t>
        </is>
      </c>
      <c r="F1673" t="inlineStr">
        <is>
          <t>Holmen skog AB</t>
        </is>
      </c>
      <c r="G1673" t="n">
        <v>41.1</v>
      </c>
      <c r="H1673" t="n">
        <v>0</v>
      </c>
      <c r="I1673" t="n">
        <v>0</v>
      </c>
      <c r="J1673" t="n">
        <v>0</v>
      </c>
      <c r="K1673" t="n">
        <v>0</v>
      </c>
      <c r="L1673" t="n">
        <v>0</v>
      </c>
      <c r="M1673" t="n">
        <v>0</v>
      </c>
      <c r="N1673" t="n">
        <v>0</v>
      </c>
      <c r="O1673" t="n">
        <v>0</v>
      </c>
      <c r="P1673" t="n">
        <v>0</v>
      </c>
      <c r="Q1673" t="n">
        <v>0</v>
      </c>
      <c r="R1673" s="2" t="inlineStr"/>
    </row>
    <row r="1674" ht="15" customHeight="1">
      <c r="A1674" t="inlineStr">
        <is>
          <t>A 54640-2024</t>
        </is>
      </c>
      <c r="B1674" s="1" t="n">
        <v>45617</v>
      </c>
      <c r="C1674" s="1" t="n">
        <v>45784</v>
      </c>
      <c r="D1674" t="inlineStr">
        <is>
          <t>JÄMTLANDS LÄN</t>
        </is>
      </c>
      <c r="E1674" t="inlineStr">
        <is>
          <t>HÄRJEDALEN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54682-2024</t>
        </is>
      </c>
      <c r="B1675" s="1" t="n">
        <v>45618</v>
      </c>
      <c r="C1675" s="1" t="n">
        <v>45784</v>
      </c>
      <c r="D1675" t="inlineStr">
        <is>
          <t>JÄMTLANDS LÄN</t>
        </is>
      </c>
      <c r="E1675" t="inlineStr">
        <is>
          <t>HÄRJEDALEN</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54678-2024</t>
        </is>
      </c>
      <c r="B1676" s="1" t="n">
        <v>45618</v>
      </c>
      <c r="C1676" s="1" t="n">
        <v>45784</v>
      </c>
      <c r="D1676" t="inlineStr">
        <is>
          <t>JÄMTLANDS LÄN</t>
        </is>
      </c>
      <c r="E1676" t="inlineStr">
        <is>
          <t>HÄRJEDALEN</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54684-2024</t>
        </is>
      </c>
      <c r="B1677" s="1" t="n">
        <v>45618</v>
      </c>
      <c r="C1677" s="1" t="n">
        <v>45784</v>
      </c>
      <c r="D1677" t="inlineStr">
        <is>
          <t>JÄMTLANDS LÄN</t>
        </is>
      </c>
      <c r="E1677" t="inlineStr">
        <is>
          <t>HÄRJEDALEN</t>
        </is>
      </c>
      <c r="G1677" t="n">
        <v>18.1</v>
      </c>
      <c r="H1677" t="n">
        <v>0</v>
      </c>
      <c r="I1677" t="n">
        <v>0</v>
      </c>
      <c r="J1677" t="n">
        <v>0</v>
      </c>
      <c r="K1677" t="n">
        <v>0</v>
      </c>
      <c r="L1677" t="n">
        <v>0</v>
      </c>
      <c r="M1677" t="n">
        <v>0</v>
      </c>
      <c r="N1677" t="n">
        <v>0</v>
      </c>
      <c r="O1677" t="n">
        <v>0</v>
      </c>
      <c r="P1677" t="n">
        <v>0</v>
      </c>
      <c r="Q1677" t="n">
        <v>0</v>
      </c>
      <c r="R1677" s="2" t="inlineStr"/>
    </row>
    <row r="1678" ht="15" customHeight="1">
      <c r="A1678" t="inlineStr">
        <is>
          <t>A 55246-2024</t>
        </is>
      </c>
      <c r="B1678" s="1" t="n">
        <v>45621</v>
      </c>
      <c r="C1678" s="1" t="n">
        <v>45784</v>
      </c>
      <c r="D1678" t="inlineStr">
        <is>
          <t>JÄMTLANDS LÄN</t>
        </is>
      </c>
      <c r="E1678" t="inlineStr">
        <is>
          <t>HÄRJEDALEN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55228-2024</t>
        </is>
      </c>
      <c r="B1679" s="1" t="n">
        <v>45621</v>
      </c>
      <c r="C1679" s="1" t="n">
        <v>45784</v>
      </c>
      <c r="D1679" t="inlineStr">
        <is>
          <t>JÄMTLANDS LÄN</t>
        </is>
      </c>
      <c r="E1679" t="inlineStr">
        <is>
          <t>HÄRJEDALEN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55115-2024</t>
        </is>
      </c>
      <c r="B1680" s="1" t="n">
        <v>45621</v>
      </c>
      <c r="C1680" s="1" t="n">
        <v>45784</v>
      </c>
      <c r="D1680" t="inlineStr">
        <is>
          <t>JÄMTLANDS LÄN</t>
        </is>
      </c>
      <c r="E1680" t="inlineStr">
        <is>
          <t>HÄRJEDALEN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55318-2024</t>
        </is>
      </c>
      <c r="B1681" s="1" t="n">
        <v>45621</v>
      </c>
      <c r="C1681" s="1" t="n">
        <v>45784</v>
      </c>
      <c r="D1681" t="inlineStr">
        <is>
          <t>JÄMTLANDS LÄN</t>
        </is>
      </c>
      <c r="E1681" t="inlineStr">
        <is>
          <t>HÄRJEDALEN</t>
        </is>
      </c>
      <c r="F1681" t="inlineStr">
        <is>
          <t>Bergvik skog väst AB</t>
        </is>
      </c>
      <c r="G1681" t="n">
        <v>136.1</v>
      </c>
      <c r="H1681" t="n">
        <v>0</v>
      </c>
      <c r="I1681" t="n">
        <v>0</v>
      </c>
      <c r="J1681" t="n">
        <v>0</v>
      </c>
      <c r="K1681" t="n">
        <v>0</v>
      </c>
      <c r="L1681" t="n">
        <v>0</v>
      </c>
      <c r="M1681" t="n">
        <v>0</v>
      </c>
      <c r="N1681" t="n">
        <v>0</v>
      </c>
      <c r="O1681" t="n">
        <v>0</v>
      </c>
      <c r="P1681" t="n">
        <v>0</v>
      </c>
      <c r="Q1681" t="n">
        <v>0</v>
      </c>
      <c r="R1681" s="2" t="inlineStr"/>
    </row>
    <row r="1682" ht="15" customHeight="1">
      <c r="A1682" t="inlineStr">
        <is>
          <t>A 55209-2024</t>
        </is>
      </c>
      <c r="B1682" s="1" t="n">
        <v>45621</v>
      </c>
      <c r="C1682" s="1" t="n">
        <v>45784</v>
      </c>
      <c r="D1682" t="inlineStr">
        <is>
          <t>JÄMTLANDS LÄN</t>
        </is>
      </c>
      <c r="E1682" t="inlineStr">
        <is>
          <t>HÄRJEDALEN</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55582-2024</t>
        </is>
      </c>
      <c r="B1683" s="1" t="n">
        <v>45622</v>
      </c>
      <c r="C1683" s="1" t="n">
        <v>45784</v>
      </c>
      <c r="D1683" t="inlineStr">
        <is>
          <t>JÄMTLANDS LÄN</t>
        </is>
      </c>
      <c r="E1683" t="inlineStr">
        <is>
          <t>HÄRJEDALEN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55397-2024</t>
        </is>
      </c>
      <c r="B1684" s="1" t="n">
        <v>45622</v>
      </c>
      <c r="C1684" s="1" t="n">
        <v>45784</v>
      </c>
      <c r="D1684" t="inlineStr">
        <is>
          <t>JÄMTLANDS LÄN</t>
        </is>
      </c>
      <c r="E1684" t="inlineStr">
        <is>
          <t>HÄRJEDALEN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55496-2024</t>
        </is>
      </c>
      <c r="B1685" s="1" t="n">
        <v>45622</v>
      </c>
      <c r="C1685" s="1" t="n">
        <v>45784</v>
      </c>
      <c r="D1685" t="inlineStr">
        <is>
          <t>JÄMTLANDS LÄN</t>
        </is>
      </c>
      <c r="E1685" t="inlineStr">
        <is>
          <t>HÄRJEDALEN</t>
        </is>
      </c>
      <c r="F1685" t="inlineStr">
        <is>
          <t>Bergvik skog väst AB</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55661-2024</t>
        </is>
      </c>
      <c r="B1686" s="1" t="n">
        <v>45622</v>
      </c>
      <c r="C1686" s="1" t="n">
        <v>45784</v>
      </c>
      <c r="D1686" t="inlineStr">
        <is>
          <t>JÄMTLANDS LÄN</t>
        </is>
      </c>
      <c r="E1686" t="inlineStr">
        <is>
          <t>HÄRJEDALEN</t>
        </is>
      </c>
      <c r="F1686" t="inlineStr">
        <is>
          <t>Bergvik skog väst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55669-2024</t>
        </is>
      </c>
      <c r="B1687" s="1" t="n">
        <v>45622</v>
      </c>
      <c r="C1687" s="1" t="n">
        <v>45784</v>
      </c>
      <c r="D1687" t="inlineStr">
        <is>
          <t>JÄMTLANDS LÄN</t>
        </is>
      </c>
      <c r="E1687" t="inlineStr">
        <is>
          <t>HÄRJEDALEN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55859-2024</t>
        </is>
      </c>
      <c r="B1688" s="1" t="n">
        <v>45622</v>
      </c>
      <c r="C1688" s="1" t="n">
        <v>45784</v>
      </c>
      <c r="D1688" t="inlineStr">
        <is>
          <t>JÄMTLANDS LÄN</t>
        </is>
      </c>
      <c r="E1688" t="inlineStr">
        <is>
          <t>HÄRJEDALEN</t>
        </is>
      </c>
      <c r="F1688" t="inlineStr">
        <is>
          <t>Bergvik skog väst AB</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55867-2024</t>
        </is>
      </c>
      <c r="B1689" s="1" t="n">
        <v>45622</v>
      </c>
      <c r="C1689" s="1" t="n">
        <v>45784</v>
      </c>
      <c r="D1689" t="inlineStr">
        <is>
          <t>JÄMTLANDS LÄN</t>
        </is>
      </c>
      <c r="E1689" t="inlineStr">
        <is>
          <t>HÄRJEDALEN</t>
        </is>
      </c>
      <c r="F1689" t="inlineStr">
        <is>
          <t>Bergvik skog väst AB</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55889-2024</t>
        </is>
      </c>
      <c r="B1690" s="1" t="n">
        <v>45623</v>
      </c>
      <c r="C1690" s="1" t="n">
        <v>45784</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55967-2024</t>
        </is>
      </c>
      <c r="B1691" s="1" t="n">
        <v>45623</v>
      </c>
      <c r="C1691" s="1" t="n">
        <v>45784</v>
      </c>
      <c r="D1691" t="inlineStr">
        <is>
          <t>JÄMTLANDS LÄN</t>
        </is>
      </c>
      <c r="E1691" t="inlineStr">
        <is>
          <t>HÄRJEDALEN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55979-2024</t>
        </is>
      </c>
      <c r="B1692" s="1" t="n">
        <v>45623</v>
      </c>
      <c r="C1692" s="1" t="n">
        <v>45784</v>
      </c>
      <c r="D1692" t="inlineStr">
        <is>
          <t>JÄMTLANDS LÄN</t>
        </is>
      </c>
      <c r="E1692" t="inlineStr">
        <is>
          <t>HÄRJEDALEN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56054-2024</t>
        </is>
      </c>
      <c r="B1693" s="1" t="n">
        <v>45624</v>
      </c>
      <c r="C1693" s="1" t="n">
        <v>45784</v>
      </c>
      <c r="D1693" t="inlineStr">
        <is>
          <t>JÄMTLANDS LÄN</t>
        </is>
      </c>
      <c r="E1693" t="inlineStr">
        <is>
          <t>HÄRJEDALEN</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56181-2024</t>
        </is>
      </c>
      <c r="B1694" s="1" t="n">
        <v>45624</v>
      </c>
      <c r="C1694" s="1" t="n">
        <v>45784</v>
      </c>
      <c r="D1694" t="inlineStr">
        <is>
          <t>JÄMTLANDS LÄN</t>
        </is>
      </c>
      <c r="E1694" t="inlineStr">
        <is>
          <t>HÄRJEDALEN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56182-2024</t>
        </is>
      </c>
      <c r="B1695" s="1" t="n">
        <v>45624</v>
      </c>
      <c r="C1695" s="1" t="n">
        <v>45784</v>
      </c>
      <c r="D1695" t="inlineStr">
        <is>
          <t>JÄMTLANDS LÄN</t>
        </is>
      </c>
      <c r="E1695" t="inlineStr">
        <is>
          <t>HÄRJEDALEN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56251-2024</t>
        </is>
      </c>
      <c r="B1696" s="1" t="n">
        <v>45624</v>
      </c>
      <c r="C1696" s="1" t="n">
        <v>45784</v>
      </c>
      <c r="D1696" t="inlineStr">
        <is>
          <t>JÄMTLANDS LÄN</t>
        </is>
      </c>
      <c r="E1696" t="inlineStr">
        <is>
          <t>HÄRJEDALEN</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56061-2024</t>
        </is>
      </c>
      <c r="B1697" s="1" t="n">
        <v>45624</v>
      </c>
      <c r="C1697" s="1" t="n">
        <v>45784</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56234-2024</t>
        </is>
      </c>
      <c r="B1698" s="1" t="n">
        <v>45624</v>
      </c>
      <c r="C1698" s="1" t="n">
        <v>45784</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56086-2024</t>
        </is>
      </c>
      <c r="B1699" s="1" t="n">
        <v>45624</v>
      </c>
      <c r="C1699" s="1" t="n">
        <v>45784</v>
      </c>
      <c r="D1699" t="inlineStr">
        <is>
          <t>JÄMTLANDS LÄN</t>
        </is>
      </c>
      <c r="E1699" t="inlineStr">
        <is>
          <t>HÄRJEDALEN</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56106-2024</t>
        </is>
      </c>
      <c r="B1700" s="1" t="n">
        <v>45624</v>
      </c>
      <c r="C1700" s="1" t="n">
        <v>45784</v>
      </c>
      <c r="D1700" t="inlineStr">
        <is>
          <t>JÄMTLANDS LÄN</t>
        </is>
      </c>
      <c r="E1700" t="inlineStr">
        <is>
          <t>HÄRJEDALEN</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56178-2024</t>
        </is>
      </c>
      <c r="B1701" s="1" t="n">
        <v>45624</v>
      </c>
      <c r="C1701" s="1" t="n">
        <v>45784</v>
      </c>
      <c r="D1701" t="inlineStr">
        <is>
          <t>JÄMTLANDS LÄN</t>
        </is>
      </c>
      <c r="E1701" t="inlineStr">
        <is>
          <t>HÄRJEDALEN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56499-2024</t>
        </is>
      </c>
      <c r="B1702" s="1" t="n">
        <v>45625</v>
      </c>
      <c r="C1702" s="1" t="n">
        <v>45784</v>
      </c>
      <c r="D1702" t="inlineStr">
        <is>
          <t>JÄMTLANDS LÄN</t>
        </is>
      </c>
      <c r="E1702" t="inlineStr">
        <is>
          <t>HÄRJEDALEN</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56547-2024</t>
        </is>
      </c>
      <c r="B1703" s="1" t="n">
        <v>45625</v>
      </c>
      <c r="C1703" s="1" t="n">
        <v>45784</v>
      </c>
      <c r="D1703" t="inlineStr">
        <is>
          <t>JÄMTLANDS LÄN</t>
        </is>
      </c>
      <c r="E1703" t="inlineStr">
        <is>
          <t>HÄRJEDALEN</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57452-2024</t>
        </is>
      </c>
      <c r="B1704" s="1" t="n">
        <v>45630</v>
      </c>
      <c r="C1704" s="1" t="n">
        <v>45784</v>
      </c>
      <c r="D1704" t="inlineStr">
        <is>
          <t>JÄMTLANDS LÄN</t>
        </is>
      </c>
      <c r="E1704" t="inlineStr">
        <is>
          <t>HÄRJEDALEN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57637-2024</t>
        </is>
      </c>
      <c r="B1705" s="1" t="n">
        <v>45630</v>
      </c>
      <c r="C1705" s="1" t="n">
        <v>45784</v>
      </c>
      <c r="D1705" t="inlineStr">
        <is>
          <t>JÄMTLANDS LÄN</t>
        </is>
      </c>
      <c r="E1705" t="inlineStr">
        <is>
          <t>HÄRJEDALEN</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57668-2024</t>
        </is>
      </c>
      <c r="B1706" s="1" t="n">
        <v>45630</v>
      </c>
      <c r="C1706" s="1" t="n">
        <v>45784</v>
      </c>
      <c r="D1706" t="inlineStr">
        <is>
          <t>JÄMTLANDS LÄN</t>
        </is>
      </c>
      <c r="E1706" t="inlineStr">
        <is>
          <t>HÄRJEDALEN</t>
        </is>
      </c>
      <c r="G1706" t="n">
        <v>15.7</v>
      </c>
      <c r="H1706" t="n">
        <v>0</v>
      </c>
      <c r="I1706" t="n">
        <v>0</v>
      </c>
      <c r="J1706" t="n">
        <v>0</v>
      </c>
      <c r="K1706" t="n">
        <v>0</v>
      </c>
      <c r="L1706" t="n">
        <v>0</v>
      </c>
      <c r="M1706" t="n">
        <v>0</v>
      </c>
      <c r="N1706" t="n">
        <v>0</v>
      </c>
      <c r="O1706" t="n">
        <v>0</v>
      </c>
      <c r="P1706" t="n">
        <v>0</v>
      </c>
      <c r="Q1706" t="n">
        <v>0</v>
      </c>
      <c r="R1706" s="2" t="inlineStr"/>
    </row>
    <row r="1707" ht="15" customHeight="1">
      <c r="A1707" t="inlineStr">
        <is>
          <t>A 57840-2024</t>
        </is>
      </c>
      <c r="B1707" s="1" t="n">
        <v>45631</v>
      </c>
      <c r="C1707" s="1" t="n">
        <v>45784</v>
      </c>
      <c r="D1707" t="inlineStr">
        <is>
          <t>JÄMTLANDS LÄN</t>
        </is>
      </c>
      <c r="E1707" t="inlineStr">
        <is>
          <t>HÄRJEDALEN</t>
        </is>
      </c>
      <c r="F1707" t="inlineStr">
        <is>
          <t>Bergvik skog väst AB</t>
        </is>
      </c>
      <c r="G1707" t="n">
        <v>98.8</v>
      </c>
      <c r="H1707" t="n">
        <v>0</v>
      </c>
      <c r="I1707" t="n">
        <v>0</v>
      </c>
      <c r="J1707" t="n">
        <v>0</v>
      </c>
      <c r="K1707" t="n">
        <v>0</v>
      </c>
      <c r="L1707" t="n">
        <v>0</v>
      </c>
      <c r="M1707" t="n">
        <v>0</v>
      </c>
      <c r="N1707" t="n">
        <v>0</v>
      </c>
      <c r="O1707" t="n">
        <v>0</v>
      </c>
      <c r="P1707" t="n">
        <v>0</v>
      </c>
      <c r="Q1707" t="n">
        <v>0</v>
      </c>
      <c r="R1707" s="2" t="inlineStr"/>
    </row>
    <row r="1708" ht="15" customHeight="1">
      <c r="A1708" t="inlineStr">
        <is>
          <t>A 57995-2024</t>
        </is>
      </c>
      <c r="B1708" s="1" t="n">
        <v>45631</v>
      </c>
      <c r="C1708" s="1" t="n">
        <v>45784</v>
      </c>
      <c r="D1708" t="inlineStr">
        <is>
          <t>JÄMTLANDS LÄN</t>
        </is>
      </c>
      <c r="E1708" t="inlineStr">
        <is>
          <t>HÄRJEDALEN</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57836-2024</t>
        </is>
      </c>
      <c r="B1709" s="1" t="n">
        <v>45631</v>
      </c>
      <c r="C1709" s="1" t="n">
        <v>45784</v>
      </c>
      <c r="D1709" t="inlineStr">
        <is>
          <t>JÄMTLANDS LÄN</t>
        </is>
      </c>
      <c r="E1709" t="inlineStr">
        <is>
          <t>HÄRJEDALEN</t>
        </is>
      </c>
      <c r="F1709" t="inlineStr">
        <is>
          <t>Bergvik skog väst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57849-2024</t>
        </is>
      </c>
      <c r="B1710" s="1" t="n">
        <v>45631</v>
      </c>
      <c r="C1710" s="1" t="n">
        <v>45784</v>
      </c>
      <c r="D1710" t="inlineStr">
        <is>
          <t>JÄMTLANDS LÄN</t>
        </is>
      </c>
      <c r="E1710" t="inlineStr">
        <is>
          <t>HÄRJEDALEN</t>
        </is>
      </c>
      <c r="F1710" t="inlineStr">
        <is>
          <t>Bergvik skog väst AB</t>
        </is>
      </c>
      <c r="G1710" t="n">
        <v>36.7</v>
      </c>
      <c r="H1710" t="n">
        <v>0</v>
      </c>
      <c r="I1710" t="n">
        <v>0</v>
      </c>
      <c r="J1710" t="n">
        <v>0</v>
      </c>
      <c r="K1710" t="n">
        <v>0</v>
      </c>
      <c r="L1710" t="n">
        <v>0</v>
      </c>
      <c r="M1710" t="n">
        <v>0</v>
      </c>
      <c r="N1710" t="n">
        <v>0</v>
      </c>
      <c r="O1710" t="n">
        <v>0</v>
      </c>
      <c r="P1710" t="n">
        <v>0</v>
      </c>
      <c r="Q1710" t="n">
        <v>0</v>
      </c>
      <c r="R1710" s="2" t="inlineStr"/>
    </row>
    <row r="1711" ht="15" customHeight="1">
      <c r="A1711" t="inlineStr">
        <is>
          <t>A 58105-2024</t>
        </is>
      </c>
      <c r="B1711" s="1" t="n">
        <v>45632</v>
      </c>
      <c r="C1711" s="1" t="n">
        <v>45784</v>
      </c>
      <c r="D1711" t="inlineStr">
        <is>
          <t>JÄMTLANDS LÄN</t>
        </is>
      </c>
      <c r="E1711" t="inlineStr">
        <is>
          <t>HÄRJEDALEN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58117-2024</t>
        </is>
      </c>
      <c r="B1712" s="1" t="n">
        <v>45632</v>
      </c>
      <c r="C1712" s="1" t="n">
        <v>45784</v>
      </c>
      <c r="D1712" t="inlineStr">
        <is>
          <t>JÄMTLANDS LÄN</t>
        </is>
      </c>
      <c r="E1712" t="inlineStr">
        <is>
          <t>HÄRJEDALEN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58106-2024</t>
        </is>
      </c>
      <c r="B1713" s="1" t="n">
        <v>45632</v>
      </c>
      <c r="C1713" s="1" t="n">
        <v>45784</v>
      </c>
      <c r="D1713" t="inlineStr">
        <is>
          <t>JÄMTLANDS LÄN</t>
        </is>
      </c>
      <c r="E1713" t="inlineStr">
        <is>
          <t>HÄRJEDALEN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58110-2024</t>
        </is>
      </c>
      <c r="B1714" s="1" t="n">
        <v>45632</v>
      </c>
      <c r="C1714" s="1" t="n">
        <v>45784</v>
      </c>
      <c r="D1714" t="inlineStr">
        <is>
          <t>JÄMTLANDS LÄN</t>
        </is>
      </c>
      <c r="E1714" t="inlineStr">
        <is>
          <t>HÄRJEDALEN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58118-2024</t>
        </is>
      </c>
      <c r="B1715" s="1" t="n">
        <v>45632</v>
      </c>
      <c r="C1715" s="1" t="n">
        <v>45784</v>
      </c>
      <c r="D1715" t="inlineStr">
        <is>
          <t>JÄMTLANDS LÄN</t>
        </is>
      </c>
      <c r="E1715" t="inlineStr">
        <is>
          <t>HÄRJEDALEN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58352-2024</t>
        </is>
      </c>
      <c r="B1716" s="1" t="n">
        <v>45632</v>
      </c>
      <c r="C1716" s="1" t="n">
        <v>45784</v>
      </c>
      <c r="D1716" t="inlineStr">
        <is>
          <t>JÄMTLANDS LÄN</t>
        </is>
      </c>
      <c r="E1716" t="inlineStr">
        <is>
          <t>HÄRJEDALEN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58347-2024</t>
        </is>
      </c>
      <c r="B1717" s="1" t="n">
        <v>45632</v>
      </c>
      <c r="C1717" s="1" t="n">
        <v>45784</v>
      </c>
      <c r="D1717" t="inlineStr">
        <is>
          <t>JÄMTLANDS LÄN</t>
        </is>
      </c>
      <c r="E1717" t="inlineStr">
        <is>
          <t>HÄRJEDALEN</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58111-2024</t>
        </is>
      </c>
      <c r="B1718" s="1" t="n">
        <v>45632</v>
      </c>
      <c r="C1718" s="1" t="n">
        <v>45784</v>
      </c>
      <c r="D1718" t="inlineStr">
        <is>
          <t>JÄMTLANDS LÄN</t>
        </is>
      </c>
      <c r="E1718" t="inlineStr">
        <is>
          <t>HÄRJEDALEN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58135-2024</t>
        </is>
      </c>
      <c r="B1719" s="1" t="n">
        <v>45632</v>
      </c>
      <c r="C1719" s="1" t="n">
        <v>45784</v>
      </c>
      <c r="D1719" t="inlineStr">
        <is>
          <t>JÄMTLANDS LÄN</t>
        </is>
      </c>
      <c r="E1719" t="inlineStr">
        <is>
          <t>HÄRJEDALEN</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58341-2024</t>
        </is>
      </c>
      <c r="B1720" s="1" t="n">
        <v>45632</v>
      </c>
      <c r="C1720" s="1" t="n">
        <v>45784</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58404-2024</t>
        </is>
      </c>
      <c r="B1721" s="1" t="n">
        <v>45634</v>
      </c>
      <c r="C1721" s="1" t="n">
        <v>45784</v>
      </c>
      <c r="D1721" t="inlineStr">
        <is>
          <t>JÄMTLANDS LÄN</t>
        </is>
      </c>
      <c r="E1721" t="inlineStr">
        <is>
          <t>HÄRJEDALEN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58452-2024</t>
        </is>
      </c>
      <c r="B1722" s="1" t="n">
        <v>45635</v>
      </c>
      <c r="C1722" s="1" t="n">
        <v>45784</v>
      </c>
      <c r="D1722" t="inlineStr">
        <is>
          <t>JÄMTLANDS LÄN</t>
        </is>
      </c>
      <c r="E1722" t="inlineStr">
        <is>
          <t>HÄRJEDALEN</t>
        </is>
      </c>
      <c r="F1722" t="inlineStr">
        <is>
          <t>Bergvik skog väst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58459-2024</t>
        </is>
      </c>
      <c r="B1723" s="1" t="n">
        <v>45635</v>
      </c>
      <c r="C1723" s="1" t="n">
        <v>45784</v>
      </c>
      <c r="D1723" t="inlineStr">
        <is>
          <t>JÄMTLANDS LÄN</t>
        </is>
      </c>
      <c r="E1723" t="inlineStr">
        <is>
          <t>HÄRJEDALEN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58642-2024</t>
        </is>
      </c>
      <c r="B1724" s="1" t="n">
        <v>45635</v>
      </c>
      <c r="C1724" s="1" t="n">
        <v>45784</v>
      </c>
      <c r="D1724" t="inlineStr">
        <is>
          <t>JÄMTLANDS LÄN</t>
        </is>
      </c>
      <c r="E1724" t="inlineStr">
        <is>
          <t>HÄRJEDALEN</t>
        </is>
      </c>
      <c r="F1724" t="inlineStr">
        <is>
          <t>Kyrkan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58507-2024</t>
        </is>
      </c>
      <c r="B1725" s="1" t="n">
        <v>45635</v>
      </c>
      <c r="C1725" s="1" t="n">
        <v>45784</v>
      </c>
      <c r="D1725" t="inlineStr">
        <is>
          <t>JÄMTLANDS LÄN</t>
        </is>
      </c>
      <c r="E1725" t="inlineStr">
        <is>
          <t>HÄRJEDALEN</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58446-2024</t>
        </is>
      </c>
      <c r="B1726" s="1" t="n">
        <v>45635</v>
      </c>
      <c r="C1726" s="1" t="n">
        <v>45784</v>
      </c>
      <c r="D1726" t="inlineStr">
        <is>
          <t>JÄMTLANDS LÄN</t>
        </is>
      </c>
      <c r="E1726" t="inlineStr">
        <is>
          <t>HÄRJEDALEN</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58581-2024</t>
        </is>
      </c>
      <c r="B1727" s="1" t="n">
        <v>45635</v>
      </c>
      <c r="C1727" s="1" t="n">
        <v>45784</v>
      </c>
      <c r="D1727" t="inlineStr">
        <is>
          <t>JÄMTLANDS LÄN</t>
        </is>
      </c>
      <c r="E1727" t="inlineStr">
        <is>
          <t>HÄRJEDALEN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58715-2024</t>
        </is>
      </c>
      <c r="B1728" s="1" t="n">
        <v>45635</v>
      </c>
      <c r="C1728" s="1" t="n">
        <v>45784</v>
      </c>
      <c r="D1728" t="inlineStr">
        <is>
          <t>JÄMTLANDS LÄN</t>
        </is>
      </c>
      <c r="E1728" t="inlineStr">
        <is>
          <t>HÄRJEDALEN</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59050-2024</t>
        </is>
      </c>
      <c r="B1729" s="1" t="n">
        <v>45636</v>
      </c>
      <c r="C1729" s="1" t="n">
        <v>45784</v>
      </c>
      <c r="D1729" t="inlineStr">
        <is>
          <t>JÄMTLANDS LÄN</t>
        </is>
      </c>
      <c r="E1729" t="inlineStr">
        <is>
          <t>HÄRJEDALEN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58832-2024</t>
        </is>
      </c>
      <c r="B1730" s="1" t="n">
        <v>45636</v>
      </c>
      <c r="C1730" s="1" t="n">
        <v>45784</v>
      </c>
      <c r="D1730" t="inlineStr">
        <is>
          <t>JÄMTLANDS LÄN</t>
        </is>
      </c>
      <c r="E1730" t="inlineStr">
        <is>
          <t>HÄRJEDALEN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58857-2024</t>
        </is>
      </c>
      <c r="B1731" s="1" t="n">
        <v>45636</v>
      </c>
      <c r="C1731" s="1" t="n">
        <v>45784</v>
      </c>
      <c r="D1731" t="inlineStr">
        <is>
          <t>JÄMTLANDS LÄN</t>
        </is>
      </c>
      <c r="E1731" t="inlineStr">
        <is>
          <t>HÄRJEDALEN</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59129-2024</t>
        </is>
      </c>
      <c r="B1732" s="1" t="n">
        <v>45637</v>
      </c>
      <c r="C1732" s="1" t="n">
        <v>45784</v>
      </c>
      <c r="D1732" t="inlineStr">
        <is>
          <t>JÄMTLANDS LÄN</t>
        </is>
      </c>
      <c r="E1732" t="inlineStr">
        <is>
          <t>HÄRJEDALEN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59286-2024</t>
        </is>
      </c>
      <c r="B1733" s="1" t="n">
        <v>45637</v>
      </c>
      <c r="C1733" s="1" t="n">
        <v>45784</v>
      </c>
      <c r="D1733" t="inlineStr">
        <is>
          <t>JÄMTLANDS LÄN</t>
        </is>
      </c>
      <c r="E1733" t="inlineStr">
        <is>
          <t>HÄRJEDALEN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59293-2024</t>
        </is>
      </c>
      <c r="B1734" s="1" t="n">
        <v>45637</v>
      </c>
      <c r="C1734" s="1" t="n">
        <v>45784</v>
      </c>
      <c r="D1734" t="inlineStr">
        <is>
          <t>JÄMTLANDS LÄN</t>
        </is>
      </c>
      <c r="E1734" t="inlineStr">
        <is>
          <t>HÄRJEDALEN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59294-2024</t>
        </is>
      </c>
      <c r="B1735" s="1" t="n">
        <v>45637</v>
      </c>
      <c r="C1735" s="1" t="n">
        <v>45784</v>
      </c>
      <c r="D1735" t="inlineStr">
        <is>
          <t>JÄMTLANDS LÄN</t>
        </is>
      </c>
      <c r="E1735" t="inlineStr">
        <is>
          <t>HÄRJEDALEN</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59125-2024</t>
        </is>
      </c>
      <c r="B1736" s="1" t="n">
        <v>45637</v>
      </c>
      <c r="C1736" s="1" t="n">
        <v>45784</v>
      </c>
      <c r="D1736" t="inlineStr">
        <is>
          <t>JÄMTLANDS LÄN</t>
        </is>
      </c>
      <c r="E1736" t="inlineStr">
        <is>
          <t>HÄRJEDALEN</t>
        </is>
      </c>
      <c r="F1736" t="inlineStr">
        <is>
          <t>Bergvik skog väst AB</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59555-2024</t>
        </is>
      </c>
      <c r="B1737" s="1" t="n">
        <v>45638</v>
      </c>
      <c r="C1737" s="1" t="n">
        <v>45784</v>
      </c>
      <c r="D1737" t="inlineStr">
        <is>
          <t>JÄMTLANDS LÄN</t>
        </is>
      </c>
      <c r="E1737" t="inlineStr">
        <is>
          <t>HÄRJEDALEN</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59427-2024</t>
        </is>
      </c>
      <c r="B1738" s="1" t="n">
        <v>45638</v>
      </c>
      <c r="C1738" s="1" t="n">
        <v>45784</v>
      </c>
      <c r="D1738" t="inlineStr">
        <is>
          <t>JÄMTLANDS LÄN</t>
        </is>
      </c>
      <c r="E1738" t="inlineStr">
        <is>
          <t>HÄRJEDALEN</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59403-2024</t>
        </is>
      </c>
      <c r="B1739" s="1" t="n">
        <v>45638</v>
      </c>
      <c r="C1739" s="1" t="n">
        <v>45784</v>
      </c>
      <c r="D1739" t="inlineStr">
        <is>
          <t>JÄMTLANDS LÄN</t>
        </is>
      </c>
      <c r="E1739" t="inlineStr">
        <is>
          <t>HÄRJEDALEN</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59571-2024</t>
        </is>
      </c>
      <c r="B1740" s="1" t="n">
        <v>45638</v>
      </c>
      <c r="C1740" s="1" t="n">
        <v>45784</v>
      </c>
      <c r="D1740" t="inlineStr">
        <is>
          <t>JÄMTLANDS LÄN</t>
        </is>
      </c>
      <c r="E1740" t="inlineStr">
        <is>
          <t>HÄRJEDALEN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59510-2024</t>
        </is>
      </c>
      <c r="B1741" s="1" t="n">
        <v>45638</v>
      </c>
      <c r="C1741" s="1" t="n">
        <v>45784</v>
      </c>
      <c r="D1741" t="inlineStr">
        <is>
          <t>JÄMTLANDS LÄN</t>
        </is>
      </c>
      <c r="E1741" t="inlineStr">
        <is>
          <t>HÄRJEDALEN</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59405-2024</t>
        </is>
      </c>
      <c r="B1742" s="1" t="n">
        <v>45638</v>
      </c>
      <c r="C1742" s="1" t="n">
        <v>45784</v>
      </c>
      <c r="D1742" t="inlineStr">
        <is>
          <t>JÄMTLANDS LÄN</t>
        </is>
      </c>
      <c r="E1742" t="inlineStr">
        <is>
          <t>HÄRJEDALEN</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59462-2024</t>
        </is>
      </c>
      <c r="B1743" s="1" t="n">
        <v>45638</v>
      </c>
      <c r="C1743" s="1" t="n">
        <v>45784</v>
      </c>
      <c r="D1743" t="inlineStr">
        <is>
          <t>JÄMTLANDS LÄN</t>
        </is>
      </c>
      <c r="E1743" t="inlineStr">
        <is>
          <t>HÄRJEDALEN</t>
        </is>
      </c>
      <c r="F1743" t="inlineStr">
        <is>
          <t>Holmen skog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59681-2024</t>
        </is>
      </c>
      <c r="B1744" s="1" t="n">
        <v>45639</v>
      </c>
      <c r="C1744" s="1" t="n">
        <v>45784</v>
      </c>
      <c r="D1744" t="inlineStr">
        <is>
          <t>JÄMTLANDS LÄN</t>
        </is>
      </c>
      <c r="E1744" t="inlineStr">
        <is>
          <t>HÄRJEDALEN</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60052-2024</t>
        </is>
      </c>
      <c r="B1745" s="1" t="n">
        <v>45642</v>
      </c>
      <c r="C1745" s="1" t="n">
        <v>45784</v>
      </c>
      <c r="D1745" t="inlineStr">
        <is>
          <t>JÄMTLANDS LÄN</t>
        </is>
      </c>
      <c r="E1745" t="inlineStr">
        <is>
          <t>HÄRJEDALEN</t>
        </is>
      </c>
      <c r="G1745" t="n">
        <v>27.4</v>
      </c>
      <c r="H1745" t="n">
        <v>0</v>
      </c>
      <c r="I1745" t="n">
        <v>0</v>
      </c>
      <c r="J1745" t="n">
        <v>0</v>
      </c>
      <c r="K1745" t="n">
        <v>0</v>
      </c>
      <c r="L1745" t="n">
        <v>0</v>
      </c>
      <c r="M1745" t="n">
        <v>0</v>
      </c>
      <c r="N1745" t="n">
        <v>0</v>
      </c>
      <c r="O1745" t="n">
        <v>0</v>
      </c>
      <c r="P1745" t="n">
        <v>0</v>
      </c>
      <c r="Q1745" t="n">
        <v>0</v>
      </c>
      <c r="R1745" s="2" t="inlineStr"/>
    </row>
    <row r="1746" ht="15" customHeight="1">
      <c r="A1746" t="inlineStr">
        <is>
          <t>A 60012-2024</t>
        </is>
      </c>
      <c r="B1746" s="1" t="n">
        <v>45642</v>
      </c>
      <c r="C1746" s="1" t="n">
        <v>45784</v>
      </c>
      <c r="D1746" t="inlineStr">
        <is>
          <t>JÄMTLANDS LÄN</t>
        </is>
      </c>
      <c r="E1746" t="inlineStr">
        <is>
          <t>HÄRJEDALEN</t>
        </is>
      </c>
      <c r="F1746" t="inlineStr">
        <is>
          <t>Bergvik skog väst AB</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60054-2024</t>
        </is>
      </c>
      <c r="B1747" s="1" t="n">
        <v>45642</v>
      </c>
      <c r="C1747" s="1" t="n">
        <v>45784</v>
      </c>
      <c r="D1747" t="inlineStr">
        <is>
          <t>JÄMTLANDS LÄN</t>
        </is>
      </c>
      <c r="E1747" t="inlineStr">
        <is>
          <t>HÄRJEDALEN</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60050-2024</t>
        </is>
      </c>
      <c r="B1748" s="1" t="n">
        <v>45642</v>
      </c>
      <c r="C1748" s="1" t="n">
        <v>45784</v>
      </c>
      <c r="D1748" t="inlineStr">
        <is>
          <t>JÄMTLANDS LÄN</t>
        </is>
      </c>
      <c r="E1748" t="inlineStr">
        <is>
          <t>HÄRJEDALEN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60006-2024</t>
        </is>
      </c>
      <c r="B1749" s="1" t="n">
        <v>45642</v>
      </c>
      <c r="C1749" s="1" t="n">
        <v>45784</v>
      </c>
      <c r="D1749" t="inlineStr">
        <is>
          <t>JÄMTLANDS LÄN</t>
        </is>
      </c>
      <c r="E1749" t="inlineStr">
        <is>
          <t>HÄRJEDALEN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59962-2024</t>
        </is>
      </c>
      <c r="B1750" s="1" t="n">
        <v>45642</v>
      </c>
      <c r="C1750" s="1" t="n">
        <v>45784</v>
      </c>
      <c r="D1750" t="inlineStr">
        <is>
          <t>JÄMTLANDS LÄN</t>
        </is>
      </c>
      <c r="E1750" t="inlineStr">
        <is>
          <t>HÄRJEDALEN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59946-2024</t>
        </is>
      </c>
      <c r="B1751" s="1" t="n">
        <v>45642</v>
      </c>
      <c r="C1751" s="1" t="n">
        <v>45784</v>
      </c>
      <c r="D1751" t="inlineStr">
        <is>
          <t>JÄMTLANDS LÄN</t>
        </is>
      </c>
      <c r="E1751" t="inlineStr">
        <is>
          <t>HÄRJEDALEN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60057-2024</t>
        </is>
      </c>
      <c r="B1752" s="1" t="n">
        <v>45642</v>
      </c>
      <c r="C1752" s="1" t="n">
        <v>45784</v>
      </c>
      <c r="D1752" t="inlineStr">
        <is>
          <t>JÄMTLANDS LÄN</t>
        </is>
      </c>
      <c r="E1752" t="inlineStr">
        <is>
          <t>HÄRJEDALEN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60013-2024</t>
        </is>
      </c>
      <c r="B1753" s="1" t="n">
        <v>45642</v>
      </c>
      <c r="C1753" s="1" t="n">
        <v>45784</v>
      </c>
      <c r="D1753" t="inlineStr">
        <is>
          <t>JÄMTLANDS LÄN</t>
        </is>
      </c>
      <c r="E1753" t="inlineStr">
        <is>
          <t>HÄRJEDALEN</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60497-2024</t>
        </is>
      </c>
      <c r="B1754" s="1" t="n">
        <v>45643</v>
      </c>
      <c r="C1754" s="1" t="n">
        <v>45784</v>
      </c>
      <c r="D1754" t="inlineStr">
        <is>
          <t>JÄMTLANDS LÄN</t>
        </is>
      </c>
      <c r="E1754" t="inlineStr">
        <is>
          <t>HÄRJEDALEN</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60432-2024</t>
        </is>
      </c>
      <c r="B1755" s="1" t="n">
        <v>45643</v>
      </c>
      <c r="C1755" s="1" t="n">
        <v>45784</v>
      </c>
      <c r="D1755" t="inlineStr">
        <is>
          <t>JÄMTLANDS LÄN</t>
        </is>
      </c>
      <c r="E1755" t="inlineStr">
        <is>
          <t>HÄRJEDALEN</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60752-2024</t>
        </is>
      </c>
      <c r="B1756" s="1" t="n">
        <v>45644</v>
      </c>
      <c r="C1756" s="1" t="n">
        <v>45784</v>
      </c>
      <c r="D1756" t="inlineStr">
        <is>
          <t>JÄMTLANDS LÄN</t>
        </is>
      </c>
      <c r="E1756" t="inlineStr">
        <is>
          <t>HÄRJEDALEN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60709-2024</t>
        </is>
      </c>
      <c r="B1757" s="1" t="n">
        <v>45644</v>
      </c>
      <c r="C1757" s="1" t="n">
        <v>45784</v>
      </c>
      <c r="D1757" t="inlineStr">
        <is>
          <t>JÄMTLANDS LÄN</t>
        </is>
      </c>
      <c r="E1757" t="inlineStr">
        <is>
          <t>HÄRJEDALEN</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61140-2024</t>
        </is>
      </c>
      <c r="B1758" s="1" t="n">
        <v>45644</v>
      </c>
      <c r="C1758" s="1" t="n">
        <v>45784</v>
      </c>
      <c r="D1758" t="inlineStr">
        <is>
          <t>JÄMTLANDS LÄN</t>
        </is>
      </c>
      <c r="E1758" t="inlineStr">
        <is>
          <t>HÄRJEDALEN</t>
        </is>
      </c>
      <c r="G1758" t="n">
        <v>29.7</v>
      </c>
      <c r="H1758" t="n">
        <v>0</v>
      </c>
      <c r="I1758" t="n">
        <v>0</v>
      </c>
      <c r="J1758" t="n">
        <v>0</v>
      </c>
      <c r="K1758" t="n">
        <v>0</v>
      </c>
      <c r="L1758" t="n">
        <v>0</v>
      </c>
      <c r="M1758" t="n">
        <v>0</v>
      </c>
      <c r="N1758" t="n">
        <v>0</v>
      </c>
      <c r="O1758" t="n">
        <v>0</v>
      </c>
      <c r="P1758" t="n">
        <v>0</v>
      </c>
      <c r="Q1758" t="n">
        <v>0</v>
      </c>
      <c r="R1758" s="2" t="inlineStr"/>
    </row>
    <row r="1759" ht="15" customHeight="1">
      <c r="A1759" t="inlineStr">
        <is>
          <t>A 60853-2024</t>
        </is>
      </c>
      <c r="B1759" s="1" t="n">
        <v>45644</v>
      </c>
      <c r="C1759" s="1" t="n">
        <v>45784</v>
      </c>
      <c r="D1759" t="inlineStr">
        <is>
          <t>JÄMTLANDS LÄN</t>
        </is>
      </c>
      <c r="E1759" t="inlineStr">
        <is>
          <t>HÄRJEDALEN</t>
        </is>
      </c>
      <c r="F1759" t="inlineStr">
        <is>
          <t>Kyrkan</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60704-2024</t>
        </is>
      </c>
      <c r="B1760" s="1" t="n">
        <v>45644</v>
      </c>
      <c r="C1760" s="1" t="n">
        <v>45784</v>
      </c>
      <c r="D1760" t="inlineStr">
        <is>
          <t>JÄMTLANDS LÄN</t>
        </is>
      </c>
      <c r="E1760" t="inlineStr">
        <is>
          <t>HÄRJEDALEN</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61042-2024</t>
        </is>
      </c>
      <c r="B1761" s="1" t="n">
        <v>45645</v>
      </c>
      <c r="C1761" s="1" t="n">
        <v>45784</v>
      </c>
      <c r="D1761" t="inlineStr">
        <is>
          <t>JÄMTLANDS LÄN</t>
        </is>
      </c>
      <c r="E1761" t="inlineStr">
        <is>
          <t>HÄRJEDALEN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61048-2024</t>
        </is>
      </c>
      <c r="B1762" s="1" t="n">
        <v>45645</v>
      </c>
      <c r="C1762" s="1" t="n">
        <v>45784</v>
      </c>
      <c r="D1762" t="inlineStr">
        <is>
          <t>JÄMTLANDS LÄN</t>
        </is>
      </c>
      <c r="E1762" t="inlineStr">
        <is>
          <t>HÄRJEDALEN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61185-2024</t>
        </is>
      </c>
      <c r="B1763" s="1" t="n">
        <v>45645</v>
      </c>
      <c r="C1763" s="1" t="n">
        <v>45784</v>
      </c>
      <c r="D1763" t="inlineStr">
        <is>
          <t>JÄMTLANDS LÄN</t>
        </is>
      </c>
      <c r="E1763" t="inlineStr">
        <is>
          <t>HÄRJEDALEN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61341-2024</t>
        </is>
      </c>
      <c r="B1764" s="1" t="n">
        <v>45646</v>
      </c>
      <c r="C1764" s="1" t="n">
        <v>45784</v>
      </c>
      <c r="D1764" t="inlineStr">
        <is>
          <t>JÄMTLANDS LÄN</t>
        </is>
      </c>
      <c r="E1764" t="inlineStr">
        <is>
          <t>HÄRJEDALEN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61560-2024</t>
        </is>
      </c>
      <c r="B1765" s="1" t="n">
        <v>45646</v>
      </c>
      <c r="C1765" s="1" t="n">
        <v>45784</v>
      </c>
      <c r="D1765" t="inlineStr">
        <is>
          <t>JÄMTLANDS LÄN</t>
        </is>
      </c>
      <c r="E1765" t="inlineStr">
        <is>
          <t>HÄRJEDALEN</t>
        </is>
      </c>
      <c r="G1765" t="n">
        <v>25.7</v>
      </c>
      <c r="H1765" t="n">
        <v>0</v>
      </c>
      <c r="I1765" t="n">
        <v>0</v>
      </c>
      <c r="J1765" t="n">
        <v>0</v>
      </c>
      <c r="K1765" t="n">
        <v>0</v>
      </c>
      <c r="L1765" t="n">
        <v>0</v>
      </c>
      <c r="M1765" t="n">
        <v>0</v>
      </c>
      <c r="N1765" t="n">
        <v>0</v>
      </c>
      <c r="O1765" t="n">
        <v>0</v>
      </c>
      <c r="P1765" t="n">
        <v>0</v>
      </c>
      <c r="Q1765" t="n">
        <v>0</v>
      </c>
      <c r="R1765" s="2" t="inlineStr"/>
    </row>
    <row r="1766" ht="15" customHeight="1">
      <c r="A1766" t="inlineStr">
        <is>
          <t>A 62134-2024</t>
        </is>
      </c>
      <c r="B1766" s="1" t="n">
        <v>45646</v>
      </c>
      <c r="C1766" s="1" t="n">
        <v>45784</v>
      </c>
      <c r="D1766" t="inlineStr">
        <is>
          <t>JÄMTLANDS LÄN</t>
        </is>
      </c>
      <c r="E1766" t="inlineStr">
        <is>
          <t>HÄRJEDALEN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62104-2024</t>
        </is>
      </c>
      <c r="B1767" s="1" t="n">
        <v>45656</v>
      </c>
      <c r="C1767" s="1" t="n">
        <v>45784</v>
      </c>
      <c r="D1767" t="inlineStr">
        <is>
          <t>JÄMTLANDS LÄN</t>
        </is>
      </c>
      <c r="E1767" t="inlineStr">
        <is>
          <t>HÄRJEDALEN</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136-2025</t>
        </is>
      </c>
      <c r="B1768" s="1" t="n">
        <v>45659</v>
      </c>
      <c r="C1768" s="1" t="n">
        <v>45784</v>
      </c>
      <c r="D1768" t="inlineStr">
        <is>
          <t>JÄMTLANDS LÄN</t>
        </is>
      </c>
      <c r="E1768" t="inlineStr">
        <is>
          <t>HÄRJEDALEN</t>
        </is>
      </c>
      <c r="F1768" t="inlineStr">
        <is>
          <t>Holmen skog AB</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515-2025</t>
        </is>
      </c>
      <c r="B1769" s="1" t="n">
        <v>45664</v>
      </c>
      <c r="C1769" s="1" t="n">
        <v>45784</v>
      </c>
      <c r="D1769" t="inlineStr">
        <is>
          <t>JÄMTLANDS LÄN</t>
        </is>
      </c>
      <c r="E1769" t="inlineStr">
        <is>
          <t>HÄRJEDALEN</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445-2025</t>
        </is>
      </c>
      <c r="B1770" s="1" t="n">
        <v>45664</v>
      </c>
      <c r="C1770" s="1" t="n">
        <v>45784</v>
      </c>
      <c r="D1770" t="inlineStr">
        <is>
          <t>JÄMTLANDS LÄN</t>
        </is>
      </c>
      <c r="E1770" t="inlineStr">
        <is>
          <t>HÄRJEDALEN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576-2025</t>
        </is>
      </c>
      <c r="B1771" s="1" t="n">
        <v>45664</v>
      </c>
      <c r="C1771" s="1" t="n">
        <v>45784</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523-2025</t>
        </is>
      </c>
      <c r="B1772" s="1" t="n">
        <v>45664</v>
      </c>
      <c r="C1772" s="1" t="n">
        <v>45784</v>
      </c>
      <c r="D1772" t="inlineStr">
        <is>
          <t>JÄMTLANDS LÄN</t>
        </is>
      </c>
      <c r="E1772" t="inlineStr">
        <is>
          <t>HÄRJEDALEN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837-2025</t>
        </is>
      </c>
      <c r="B1773" s="1" t="n">
        <v>45665</v>
      </c>
      <c r="C1773" s="1" t="n">
        <v>45784</v>
      </c>
      <c r="D1773" t="inlineStr">
        <is>
          <t>JÄMTLANDS LÄN</t>
        </is>
      </c>
      <c r="E1773" t="inlineStr">
        <is>
          <t>HÄRJEDALEN</t>
        </is>
      </c>
      <c r="F1773" t="inlineStr">
        <is>
          <t>Bergvik skog väst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846-2025</t>
        </is>
      </c>
      <c r="B1774" s="1" t="n">
        <v>45665</v>
      </c>
      <c r="C1774" s="1" t="n">
        <v>45784</v>
      </c>
      <c r="D1774" t="inlineStr">
        <is>
          <t>JÄMTLANDS LÄN</t>
        </is>
      </c>
      <c r="E1774" t="inlineStr">
        <is>
          <t>HÄRJEDALEN</t>
        </is>
      </c>
      <c r="F1774" t="inlineStr">
        <is>
          <t>Bergvik skog väst AB</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816-2025</t>
        </is>
      </c>
      <c r="B1775" s="1" t="n">
        <v>45665</v>
      </c>
      <c r="C1775" s="1" t="n">
        <v>45784</v>
      </c>
      <c r="D1775" t="inlineStr">
        <is>
          <t>JÄMTLANDS LÄN</t>
        </is>
      </c>
      <c r="E1775" t="inlineStr">
        <is>
          <t>HÄRJEDALEN</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848-2025</t>
        </is>
      </c>
      <c r="B1776" s="1" t="n">
        <v>45665</v>
      </c>
      <c r="C1776" s="1" t="n">
        <v>45784</v>
      </c>
      <c r="D1776" t="inlineStr">
        <is>
          <t>JÄMTLANDS LÄN</t>
        </is>
      </c>
      <c r="E1776" t="inlineStr">
        <is>
          <t>HÄRJEDALEN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999-2025</t>
        </is>
      </c>
      <c r="B1777" s="1" t="n">
        <v>45666</v>
      </c>
      <c r="C1777" s="1" t="n">
        <v>45784</v>
      </c>
      <c r="D1777" t="inlineStr">
        <is>
          <t>JÄMTLANDS LÄN</t>
        </is>
      </c>
      <c r="E1777" t="inlineStr">
        <is>
          <t>HÄRJEDALEN</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1172-2025</t>
        </is>
      </c>
      <c r="B1778" s="1" t="n">
        <v>45667</v>
      </c>
      <c r="C1778" s="1" t="n">
        <v>45784</v>
      </c>
      <c r="D1778" t="inlineStr">
        <is>
          <t>JÄMTLANDS LÄN</t>
        </is>
      </c>
      <c r="E1778" t="inlineStr">
        <is>
          <t>HÄRJEDALEN</t>
        </is>
      </c>
      <c r="F1778" t="inlineStr">
        <is>
          <t>Bergvik skog väst AB</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1394-2025</t>
        </is>
      </c>
      <c r="B1779" s="1" t="n">
        <v>45667</v>
      </c>
      <c r="C1779" s="1" t="n">
        <v>45784</v>
      </c>
      <c r="D1779" t="inlineStr">
        <is>
          <t>JÄMTLANDS LÄN</t>
        </is>
      </c>
      <c r="E1779" t="inlineStr">
        <is>
          <t>HÄRJEDALEN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1242-2025</t>
        </is>
      </c>
      <c r="B1780" s="1" t="n">
        <v>45667</v>
      </c>
      <c r="C1780" s="1" t="n">
        <v>45784</v>
      </c>
      <c r="D1780" t="inlineStr">
        <is>
          <t>JÄMTLANDS LÄN</t>
        </is>
      </c>
      <c r="E1780" t="inlineStr">
        <is>
          <t>HÄRJEDALEN</t>
        </is>
      </c>
      <c r="F1780" t="inlineStr">
        <is>
          <t>Bergvik skog väst AB</t>
        </is>
      </c>
      <c r="G1780" t="n">
        <v>80.5</v>
      </c>
      <c r="H1780" t="n">
        <v>0</v>
      </c>
      <c r="I1780" t="n">
        <v>0</v>
      </c>
      <c r="J1780" t="n">
        <v>0</v>
      </c>
      <c r="K1780" t="n">
        <v>0</v>
      </c>
      <c r="L1780" t="n">
        <v>0</v>
      </c>
      <c r="M1780" t="n">
        <v>0</v>
      </c>
      <c r="N1780" t="n">
        <v>0</v>
      </c>
      <c r="O1780" t="n">
        <v>0</v>
      </c>
      <c r="P1780" t="n">
        <v>0</v>
      </c>
      <c r="Q1780" t="n">
        <v>0</v>
      </c>
      <c r="R1780" s="2" t="inlineStr"/>
    </row>
    <row r="1781" ht="15" customHeight="1">
      <c r="A1781" t="inlineStr">
        <is>
          <t>A 1658-2025</t>
        </is>
      </c>
      <c r="B1781" s="1" t="n">
        <v>45670</v>
      </c>
      <c r="C1781" s="1" t="n">
        <v>45784</v>
      </c>
      <c r="D1781" t="inlineStr">
        <is>
          <t>JÄMTLANDS LÄN</t>
        </is>
      </c>
      <c r="E1781" t="inlineStr">
        <is>
          <t>HÄRJEDALEN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1665-2025</t>
        </is>
      </c>
      <c r="B1782" s="1" t="n">
        <v>45670</v>
      </c>
      <c r="C1782" s="1" t="n">
        <v>45784</v>
      </c>
      <c r="D1782" t="inlineStr">
        <is>
          <t>JÄMTLANDS LÄN</t>
        </is>
      </c>
      <c r="E1782" t="inlineStr">
        <is>
          <t>HÄRJEDALEN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1515-2025</t>
        </is>
      </c>
      <c r="B1783" s="1" t="n">
        <v>45670</v>
      </c>
      <c r="C1783" s="1" t="n">
        <v>45784</v>
      </c>
      <c r="D1783" t="inlineStr">
        <is>
          <t>JÄMTLANDS LÄN</t>
        </is>
      </c>
      <c r="E1783" t="inlineStr">
        <is>
          <t>HÄRJEDALEN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1459-2025</t>
        </is>
      </c>
      <c r="B1784" s="1" t="n">
        <v>45670</v>
      </c>
      <c r="C1784" s="1" t="n">
        <v>45784</v>
      </c>
      <c r="D1784" t="inlineStr">
        <is>
          <t>JÄMTLANDS LÄN</t>
        </is>
      </c>
      <c r="E1784" t="inlineStr">
        <is>
          <t>HÄRJEDALEN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1754-2025</t>
        </is>
      </c>
      <c r="B1785" s="1" t="n">
        <v>45671</v>
      </c>
      <c r="C1785" s="1" t="n">
        <v>45784</v>
      </c>
      <c r="D1785" t="inlineStr">
        <is>
          <t>JÄMTLANDS LÄN</t>
        </is>
      </c>
      <c r="E1785" t="inlineStr">
        <is>
          <t>HÄRJEDALEN</t>
        </is>
      </c>
      <c r="F1785" t="inlineStr">
        <is>
          <t>Bergvik skog väst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1906-2025</t>
        </is>
      </c>
      <c r="B1786" s="1" t="n">
        <v>45671</v>
      </c>
      <c r="C1786" s="1" t="n">
        <v>45784</v>
      </c>
      <c r="D1786" t="inlineStr">
        <is>
          <t>JÄMTLANDS LÄN</t>
        </is>
      </c>
      <c r="E1786" t="inlineStr">
        <is>
          <t>HÄRJEDALEN</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2106-2025</t>
        </is>
      </c>
      <c r="B1787" s="1" t="n">
        <v>45672</v>
      </c>
      <c r="C1787" s="1" t="n">
        <v>45784</v>
      </c>
      <c r="D1787" t="inlineStr">
        <is>
          <t>JÄMTLANDS LÄN</t>
        </is>
      </c>
      <c r="E1787" t="inlineStr">
        <is>
          <t>HÄRJEDALEN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2100-2025</t>
        </is>
      </c>
      <c r="B1788" s="1" t="n">
        <v>45672</v>
      </c>
      <c r="C1788" s="1" t="n">
        <v>45784</v>
      </c>
      <c r="D1788" t="inlineStr">
        <is>
          <t>JÄMTLANDS LÄN</t>
        </is>
      </c>
      <c r="E1788" t="inlineStr">
        <is>
          <t>HÄRJEDALEN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2105-2025</t>
        </is>
      </c>
      <c r="B1789" s="1" t="n">
        <v>45672</v>
      </c>
      <c r="C1789" s="1" t="n">
        <v>45784</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2003-2025</t>
        </is>
      </c>
      <c r="B1790" s="1" t="n">
        <v>45672</v>
      </c>
      <c r="C1790" s="1" t="n">
        <v>45784</v>
      </c>
      <c r="D1790" t="inlineStr">
        <is>
          <t>JÄMTLANDS LÄN</t>
        </is>
      </c>
      <c r="E1790" t="inlineStr">
        <is>
          <t>HÄRJEDALEN</t>
        </is>
      </c>
      <c r="F1790" t="inlineStr">
        <is>
          <t>SCA</t>
        </is>
      </c>
      <c r="G1790" t="n">
        <v>75.3</v>
      </c>
      <c r="H1790" t="n">
        <v>0</v>
      </c>
      <c r="I1790" t="n">
        <v>0</v>
      </c>
      <c r="J1790" t="n">
        <v>0</v>
      </c>
      <c r="K1790" t="n">
        <v>0</v>
      </c>
      <c r="L1790" t="n">
        <v>0</v>
      </c>
      <c r="M1790" t="n">
        <v>0</v>
      </c>
      <c r="N1790" t="n">
        <v>0</v>
      </c>
      <c r="O1790" t="n">
        <v>0</v>
      </c>
      <c r="P1790" t="n">
        <v>0</v>
      </c>
      <c r="Q1790" t="n">
        <v>0</v>
      </c>
      <c r="R1790" s="2" t="inlineStr"/>
    </row>
    <row r="1791" ht="15" customHeight="1">
      <c r="A1791" t="inlineStr">
        <is>
          <t>A 1999-2025</t>
        </is>
      </c>
      <c r="B1791" s="1" t="n">
        <v>45672</v>
      </c>
      <c r="C1791" s="1" t="n">
        <v>45784</v>
      </c>
      <c r="D1791" t="inlineStr">
        <is>
          <t>JÄMTLANDS LÄN</t>
        </is>
      </c>
      <c r="E1791" t="inlineStr">
        <is>
          <t>HÄRJEDALEN</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1998-2025</t>
        </is>
      </c>
      <c r="B1792" s="1" t="n">
        <v>45672</v>
      </c>
      <c r="C1792" s="1" t="n">
        <v>45784</v>
      </c>
      <c r="D1792" t="inlineStr">
        <is>
          <t>JÄMTLANDS LÄN</t>
        </is>
      </c>
      <c r="E1792" t="inlineStr">
        <is>
          <t>HÄRJEDALEN</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2207-2025</t>
        </is>
      </c>
      <c r="B1793" s="1" t="n">
        <v>45673</v>
      </c>
      <c r="C1793" s="1" t="n">
        <v>45784</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2281-2025</t>
        </is>
      </c>
      <c r="B1794" s="1" t="n">
        <v>45673</v>
      </c>
      <c r="C1794" s="1" t="n">
        <v>45784</v>
      </c>
      <c r="D1794" t="inlineStr">
        <is>
          <t>JÄMTLANDS LÄN</t>
        </is>
      </c>
      <c r="E1794" t="inlineStr">
        <is>
          <t>HÄRJEDALEN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2336-2025</t>
        </is>
      </c>
      <c r="B1795" s="1" t="n">
        <v>45673</v>
      </c>
      <c r="C1795" s="1" t="n">
        <v>45784</v>
      </c>
      <c r="D1795" t="inlineStr">
        <is>
          <t>JÄMTLANDS LÄN</t>
        </is>
      </c>
      <c r="E1795" t="inlineStr">
        <is>
          <t>HÄRJEDALEN</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2312-2025</t>
        </is>
      </c>
      <c r="B1796" s="1" t="n">
        <v>45673</v>
      </c>
      <c r="C1796" s="1" t="n">
        <v>45784</v>
      </c>
      <c r="D1796" t="inlineStr">
        <is>
          <t>JÄMTLANDS LÄN</t>
        </is>
      </c>
      <c r="E1796" t="inlineStr">
        <is>
          <t>HÄRJEDALEN</t>
        </is>
      </c>
      <c r="F1796" t="inlineStr">
        <is>
          <t>Bergvik skog väst AB</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2510-2025</t>
        </is>
      </c>
      <c r="B1797" s="1" t="n">
        <v>45674</v>
      </c>
      <c r="C1797" s="1" t="n">
        <v>45784</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2728-2025</t>
        </is>
      </c>
      <c r="B1798" s="1" t="n">
        <v>45677</v>
      </c>
      <c r="C1798" s="1" t="n">
        <v>45784</v>
      </c>
      <c r="D1798" t="inlineStr">
        <is>
          <t>JÄMTLANDS LÄN</t>
        </is>
      </c>
      <c r="E1798" t="inlineStr">
        <is>
          <t>HÄRJEDALEN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2718-2025</t>
        </is>
      </c>
      <c r="B1799" s="1" t="n">
        <v>45677</v>
      </c>
      <c r="C1799" s="1" t="n">
        <v>45784</v>
      </c>
      <c r="D1799" t="inlineStr">
        <is>
          <t>JÄMTLANDS LÄN</t>
        </is>
      </c>
      <c r="E1799" t="inlineStr">
        <is>
          <t>HÄRJEDALEN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2737-2025</t>
        </is>
      </c>
      <c r="B1800" s="1" t="n">
        <v>45677</v>
      </c>
      <c r="C1800" s="1" t="n">
        <v>45784</v>
      </c>
      <c r="D1800" t="inlineStr">
        <is>
          <t>JÄMTLANDS LÄN</t>
        </is>
      </c>
      <c r="E1800" t="inlineStr">
        <is>
          <t>HÄRJEDALEN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2875-2025</t>
        </is>
      </c>
      <c r="B1801" s="1" t="n">
        <v>45677</v>
      </c>
      <c r="C1801" s="1" t="n">
        <v>45784</v>
      </c>
      <c r="D1801" t="inlineStr">
        <is>
          <t>JÄMTLANDS LÄN</t>
        </is>
      </c>
      <c r="E1801" t="inlineStr">
        <is>
          <t>HÄRJEDALEN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2935-2025</t>
        </is>
      </c>
      <c r="B1802" s="1" t="n">
        <v>45678</v>
      </c>
      <c r="C1802" s="1" t="n">
        <v>45784</v>
      </c>
      <c r="D1802" t="inlineStr">
        <is>
          <t>JÄMTLANDS LÄN</t>
        </is>
      </c>
      <c r="E1802" t="inlineStr">
        <is>
          <t>HÄRJEDALEN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3425-2025</t>
        </is>
      </c>
      <c r="B1803" s="1" t="n">
        <v>45680</v>
      </c>
      <c r="C1803" s="1" t="n">
        <v>45784</v>
      </c>
      <c r="D1803" t="inlineStr">
        <is>
          <t>JÄMTLANDS LÄN</t>
        </is>
      </c>
      <c r="E1803" t="inlineStr">
        <is>
          <t>HÄRJEDALEN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3965-2025</t>
        </is>
      </c>
      <c r="B1804" s="1" t="n">
        <v>45684</v>
      </c>
      <c r="C1804" s="1" t="n">
        <v>45784</v>
      </c>
      <c r="D1804" t="inlineStr">
        <is>
          <t>JÄMTLANDS LÄN</t>
        </is>
      </c>
      <c r="E1804" t="inlineStr">
        <is>
          <t>HÄRJEDALEN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4220-2025</t>
        </is>
      </c>
      <c r="B1805" s="1" t="n">
        <v>45685</v>
      </c>
      <c r="C1805" s="1" t="n">
        <v>45784</v>
      </c>
      <c r="D1805" t="inlineStr">
        <is>
          <t>JÄMTLANDS LÄN</t>
        </is>
      </c>
      <c r="E1805" t="inlineStr">
        <is>
          <t>HÄRJEDALEN</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4155-2025</t>
        </is>
      </c>
      <c r="B1806" s="1" t="n">
        <v>45685</v>
      </c>
      <c r="C1806" s="1" t="n">
        <v>45784</v>
      </c>
      <c r="D1806" t="inlineStr">
        <is>
          <t>JÄMTLANDS LÄN</t>
        </is>
      </c>
      <c r="E1806" t="inlineStr">
        <is>
          <t>HÄRJEDALEN</t>
        </is>
      </c>
      <c r="F1806" t="inlineStr">
        <is>
          <t>Bergvik skog väst AB</t>
        </is>
      </c>
      <c r="G1806" t="n">
        <v>22.2</v>
      </c>
      <c r="H1806" t="n">
        <v>0</v>
      </c>
      <c r="I1806" t="n">
        <v>0</v>
      </c>
      <c r="J1806" t="n">
        <v>0</v>
      </c>
      <c r="K1806" t="n">
        <v>0</v>
      </c>
      <c r="L1806" t="n">
        <v>0</v>
      </c>
      <c r="M1806" t="n">
        <v>0</v>
      </c>
      <c r="N1806" t="n">
        <v>0</v>
      </c>
      <c r="O1806" t="n">
        <v>0</v>
      </c>
      <c r="P1806" t="n">
        <v>0</v>
      </c>
      <c r="Q1806" t="n">
        <v>0</v>
      </c>
      <c r="R1806" s="2" t="inlineStr"/>
    </row>
    <row r="1807" ht="15" customHeight="1">
      <c r="A1807" t="inlineStr">
        <is>
          <t>A 4217-2025</t>
        </is>
      </c>
      <c r="B1807" s="1" t="n">
        <v>45685</v>
      </c>
      <c r="C1807" s="1" t="n">
        <v>45784</v>
      </c>
      <c r="D1807" t="inlineStr">
        <is>
          <t>JÄMTLANDS LÄN</t>
        </is>
      </c>
      <c r="E1807" t="inlineStr">
        <is>
          <t>HÄRJEDALEN</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4221-2025</t>
        </is>
      </c>
      <c r="B1808" s="1" t="n">
        <v>45685</v>
      </c>
      <c r="C1808" s="1" t="n">
        <v>45784</v>
      </c>
      <c r="D1808" t="inlineStr">
        <is>
          <t>JÄMTLANDS LÄN</t>
        </is>
      </c>
      <c r="E1808" t="inlineStr">
        <is>
          <t>HÄRJEDALEN</t>
        </is>
      </c>
      <c r="F1808" t="inlineStr">
        <is>
          <t>Bergvik skog väst AB</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4225-2025</t>
        </is>
      </c>
      <c r="B1809" s="1" t="n">
        <v>45685</v>
      </c>
      <c r="C1809" s="1" t="n">
        <v>45784</v>
      </c>
      <c r="D1809" t="inlineStr">
        <is>
          <t>JÄMTLANDS LÄN</t>
        </is>
      </c>
      <c r="E1809" t="inlineStr">
        <is>
          <t>HÄRJEDALEN</t>
        </is>
      </c>
      <c r="F1809" t="inlineStr">
        <is>
          <t>Bergvik skog väst AB</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4642-2025</t>
        </is>
      </c>
      <c r="B1810" s="1" t="n">
        <v>45687</v>
      </c>
      <c r="C1810" s="1" t="n">
        <v>45784</v>
      </c>
      <c r="D1810" t="inlineStr">
        <is>
          <t>JÄMTLANDS LÄN</t>
        </is>
      </c>
      <c r="E1810" t="inlineStr">
        <is>
          <t>HÄRJEDALEN</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4593-2025</t>
        </is>
      </c>
      <c r="B1811" s="1" t="n">
        <v>45687</v>
      </c>
      <c r="C1811" s="1" t="n">
        <v>45784</v>
      </c>
      <c r="D1811" t="inlineStr">
        <is>
          <t>JÄMTLANDS LÄN</t>
        </is>
      </c>
      <c r="E1811" t="inlineStr">
        <is>
          <t>HÄRJEDALEN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4590-2025</t>
        </is>
      </c>
      <c r="B1812" s="1" t="n">
        <v>45687</v>
      </c>
      <c r="C1812" s="1" t="n">
        <v>45784</v>
      </c>
      <c r="D1812" t="inlineStr">
        <is>
          <t>JÄMTLANDS LÄN</t>
        </is>
      </c>
      <c r="E1812" t="inlineStr">
        <is>
          <t>HÄRJEDALEN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4862-2025</t>
        </is>
      </c>
      <c r="B1813" s="1" t="n">
        <v>45688</v>
      </c>
      <c r="C1813" s="1" t="n">
        <v>45784</v>
      </c>
      <c r="D1813" t="inlineStr">
        <is>
          <t>JÄMTLANDS LÄN</t>
        </is>
      </c>
      <c r="E1813" t="inlineStr">
        <is>
          <t>HÄRJEDALEN</t>
        </is>
      </c>
      <c r="F1813" t="inlineStr">
        <is>
          <t>SCA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4898-2025</t>
        </is>
      </c>
      <c r="B1814" s="1" t="n">
        <v>45688</v>
      </c>
      <c r="C1814" s="1" t="n">
        <v>45784</v>
      </c>
      <c r="D1814" t="inlineStr">
        <is>
          <t>JÄMTLANDS LÄN</t>
        </is>
      </c>
      <c r="E1814" t="inlineStr">
        <is>
          <t>HÄRJEDALEN</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4837-2025</t>
        </is>
      </c>
      <c r="B1815" s="1" t="n">
        <v>45688</v>
      </c>
      <c r="C1815" s="1" t="n">
        <v>45784</v>
      </c>
      <c r="D1815" t="inlineStr">
        <is>
          <t>JÄMTLANDS LÄN</t>
        </is>
      </c>
      <c r="E1815" t="inlineStr">
        <is>
          <t>HÄRJEDALEN</t>
        </is>
      </c>
      <c r="F1815" t="inlineStr">
        <is>
          <t>SCA</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4749-2025</t>
        </is>
      </c>
      <c r="B1816" s="1" t="n">
        <v>45688</v>
      </c>
      <c r="C1816" s="1" t="n">
        <v>45784</v>
      </c>
      <c r="D1816" t="inlineStr">
        <is>
          <t>JÄMTLANDS LÄN</t>
        </is>
      </c>
      <c r="E1816" t="inlineStr">
        <is>
          <t>HÄRJEDALEN</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4899-2025</t>
        </is>
      </c>
      <c r="B1817" s="1" t="n">
        <v>45688</v>
      </c>
      <c r="C1817" s="1" t="n">
        <v>45784</v>
      </c>
      <c r="D1817" t="inlineStr">
        <is>
          <t>JÄMTLANDS LÄN</t>
        </is>
      </c>
      <c r="E1817" t="inlineStr">
        <is>
          <t>HÄRJEDALEN</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4879-2025</t>
        </is>
      </c>
      <c r="B1818" s="1" t="n">
        <v>45688</v>
      </c>
      <c r="C1818" s="1" t="n">
        <v>45784</v>
      </c>
      <c r="D1818" t="inlineStr">
        <is>
          <t>JÄMTLANDS LÄN</t>
        </is>
      </c>
      <c r="E1818" t="inlineStr">
        <is>
          <t>HÄRJEDALEN</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4752-2025</t>
        </is>
      </c>
      <c r="B1819" s="1" t="n">
        <v>45688</v>
      </c>
      <c r="C1819" s="1" t="n">
        <v>45784</v>
      </c>
      <c r="D1819" t="inlineStr">
        <is>
          <t>JÄMTLANDS LÄN</t>
        </is>
      </c>
      <c r="E1819" t="inlineStr">
        <is>
          <t>HÄRJEDALEN</t>
        </is>
      </c>
      <c r="F1819" t="inlineStr">
        <is>
          <t>Bergvik skog väst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5101-2025</t>
        </is>
      </c>
      <c r="B1820" s="1" t="n">
        <v>45691</v>
      </c>
      <c r="C1820" s="1" t="n">
        <v>45784</v>
      </c>
      <c r="D1820" t="inlineStr">
        <is>
          <t>JÄMTLANDS LÄN</t>
        </is>
      </c>
      <c r="E1820" t="inlineStr">
        <is>
          <t>HÄRJEDALEN</t>
        </is>
      </c>
      <c r="F1820" t="inlineStr">
        <is>
          <t>Holmen skog AB</t>
        </is>
      </c>
      <c r="G1820" t="n">
        <v>33.5</v>
      </c>
      <c r="H1820" t="n">
        <v>0</v>
      </c>
      <c r="I1820" t="n">
        <v>0</v>
      </c>
      <c r="J1820" t="n">
        <v>0</v>
      </c>
      <c r="K1820" t="n">
        <v>0</v>
      </c>
      <c r="L1820" t="n">
        <v>0</v>
      </c>
      <c r="M1820" t="n">
        <v>0</v>
      </c>
      <c r="N1820" t="n">
        <v>0</v>
      </c>
      <c r="O1820" t="n">
        <v>0</v>
      </c>
      <c r="P1820" t="n">
        <v>0</v>
      </c>
      <c r="Q1820" t="n">
        <v>0</v>
      </c>
      <c r="R1820" s="2" t="inlineStr"/>
    </row>
    <row r="1821" ht="15" customHeight="1">
      <c r="A1821" t="inlineStr">
        <is>
          <t>A 5113-2025</t>
        </is>
      </c>
      <c r="B1821" s="1" t="n">
        <v>45691</v>
      </c>
      <c r="C1821" s="1" t="n">
        <v>45784</v>
      </c>
      <c r="D1821" t="inlineStr">
        <is>
          <t>JÄMTLANDS LÄN</t>
        </is>
      </c>
      <c r="E1821" t="inlineStr">
        <is>
          <t>HÄRJEDALEN</t>
        </is>
      </c>
      <c r="F1821" t="inlineStr">
        <is>
          <t>Holmen skog AB</t>
        </is>
      </c>
      <c r="G1821" t="n">
        <v>25.9</v>
      </c>
      <c r="H1821" t="n">
        <v>0</v>
      </c>
      <c r="I1821" t="n">
        <v>0</v>
      </c>
      <c r="J1821" t="n">
        <v>0</v>
      </c>
      <c r="K1821" t="n">
        <v>0</v>
      </c>
      <c r="L1821" t="n">
        <v>0</v>
      </c>
      <c r="M1821" t="n">
        <v>0</v>
      </c>
      <c r="N1821" t="n">
        <v>0</v>
      </c>
      <c r="O1821" t="n">
        <v>0</v>
      </c>
      <c r="P1821" t="n">
        <v>0</v>
      </c>
      <c r="Q1821" t="n">
        <v>0</v>
      </c>
      <c r="R1821" s="2" t="inlineStr"/>
    </row>
    <row r="1822" ht="15" customHeight="1">
      <c r="A1822" t="inlineStr">
        <is>
          <t>A 5098-2025</t>
        </is>
      </c>
      <c r="B1822" s="1" t="n">
        <v>45691</v>
      </c>
      <c r="C1822" s="1" t="n">
        <v>45784</v>
      </c>
      <c r="D1822" t="inlineStr">
        <is>
          <t>JÄMTLANDS LÄN</t>
        </is>
      </c>
      <c r="E1822" t="inlineStr">
        <is>
          <t>HÄRJEDALEN</t>
        </is>
      </c>
      <c r="F1822" t="inlineStr">
        <is>
          <t>Holmen skog AB</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5102-2025</t>
        </is>
      </c>
      <c r="B1823" s="1" t="n">
        <v>45691</v>
      </c>
      <c r="C1823" s="1" t="n">
        <v>45784</v>
      </c>
      <c r="D1823" t="inlineStr">
        <is>
          <t>JÄMTLANDS LÄN</t>
        </is>
      </c>
      <c r="E1823" t="inlineStr">
        <is>
          <t>HÄRJEDALEN</t>
        </is>
      </c>
      <c r="F1823" t="inlineStr">
        <is>
          <t>Holmen skog AB</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6142-2025</t>
        </is>
      </c>
      <c r="B1824" s="1" t="n">
        <v>45698</v>
      </c>
      <c r="C1824" s="1" t="n">
        <v>45784</v>
      </c>
      <c r="D1824" t="inlineStr">
        <is>
          <t>JÄMTLANDS LÄN</t>
        </is>
      </c>
      <c r="E1824" t="inlineStr">
        <is>
          <t>HÄRJEDALEN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6141-2025</t>
        </is>
      </c>
      <c r="B1825" s="1" t="n">
        <v>45698</v>
      </c>
      <c r="C1825" s="1" t="n">
        <v>45784</v>
      </c>
      <c r="D1825" t="inlineStr">
        <is>
          <t>JÄMTLANDS LÄN</t>
        </is>
      </c>
      <c r="E1825" t="inlineStr">
        <is>
          <t>HÄRJEDALEN</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6211-2025</t>
        </is>
      </c>
      <c r="B1826" s="1" t="n">
        <v>45698</v>
      </c>
      <c r="C1826" s="1" t="n">
        <v>45784</v>
      </c>
      <c r="D1826" t="inlineStr">
        <is>
          <t>JÄMTLANDS LÄN</t>
        </is>
      </c>
      <c r="E1826" t="inlineStr">
        <is>
          <t>HÄRJEDALEN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6422-2025</t>
        </is>
      </c>
      <c r="B1827" s="1" t="n">
        <v>45699</v>
      </c>
      <c r="C1827" s="1" t="n">
        <v>45784</v>
      </c>
      <c r="D1827" t="inlineStr">
        <is>
          <t>JÄMTLANDS LÄN</t>
        </is>
      </c>
      <c r="E1827" t="inlineStr">
        <is>
          <t>HÄRJEDALEN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6697-2025</t>
        </is>
      </c>
      <c r="B1828" s="1" t="n">
        <v>45700</v>
      </c>
      <c r="C1828" s="1" t="n">
        <v>45784</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7622-2025</t>
        </is>
      </c>
      <c r="B1829" s="1" t="n">
        <v>45705</v>
      </c>
      <c r="C1829" s="1" t="n">
        <v>45784</v>
      </c>
      <c r="D1829" t="inlineStr">
        <is>
          <t>JÄMTLANDS LÄN</t>
        </is>
      </c>
      <c r="E1829" t="inlineStr">
        <is>
          <t>HÄRJEDALEN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7379-2025</t>
        </is>
      </c>
      <c r="B1830" s="1" t="n">
        <v>45705</v>
      </c>
      <c r="C1830" s="1" t="n">
        <v>45784</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7384-2025</t>
        </is>
      </c>
      <c r="B1831" s="1" t="n">
        <v>45705</v>
      </c>
      <c r="C1831" s="1" t="n">
        <v>45784</v>
      </c>
      <c r="D1831" t="inlineStr">
        <is>
          <t>JÄMTLANDS LÄN</t>
        </is>
      </c>
      <c r="E1831" t="inlineStr">
        <is>
          <t>HÄRJEDALEN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7385-2025</t>
        </is>
      </c>
      <c r="B1832" s="1" t="n">
        <v>45705</v>
      </c>
      <c r="C1832" s="1" t="n">
        <v>45784</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7744-2025</t>
        </is>
      </c>
      <c r="B1833" s="1" t="n">
        <v>45706</v>
      </c>
      <c r="C1833" s="1" t="n">
        <v>45784</v>
      </c>
      <c r="D1833" t="inlineStr">
        <is>
          <t>JÄMTLANDS LÄN</t>
        </is>
      </c>
      <c r="E1833" t="inlineStr">
        <is>
          <t>HÄRJEDALEN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8091-2025</t>
        </is>
      </c>
      <c r="B1834" s="1" t="n">
        <v>45707</v>
      </c>
      <c r="C1834" s="1" t="n">
        <v>45784</v>
      </c>
      <c r="D1834" t="inlineStr">
        <is>
          <t>JÄMTLANDS LÄN</t>
        </is>
      </c>
      <c r="E1834" t="inlineStr">
        <is>
          <t>HÄRJEDALEN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8095-2025</t>
        </is>
      </c>
      <c r="B1835" s="1" t="n">
        <v>45707</v>
      </c>
      <c r="C1835" s="1" t="n">
        <v>45784</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8307-2025</t>
        </is>
      </c>
      <c r="B1836" s="1" t="n">
        <v>45708</v>
      </c>
      <c r="C1836" s="1" t="n">
        <v>45784</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8962-2025</t>
        </is>
      </c>
      <c r="B1837" s="1" t="n">
        <v>45713</v>
      </c>
      <c r="C1837" s="1" t="n">
        <v>45784</v>
      </c>
      <c r="D1837" t="inlineStr">
        <is>
          <t>JÄMTLANDS LÄN</t>
        </is>
      </c>
      <c r="E1837" t="inlineStr">
        <is>
          <t>HÄRJEDALEN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9785-2025</t>
        </is>
      </c>
      <c r="B1838" s="1" t="n">
        <v>45716</v>
      </c>
      <c r="C1838" s="1" t="n">
        <v>45784</v>
      </c>
      <c r="D1838" t="inlineStr">
        <is>
          <t>JÄMTLANDS LÄN</t>
        </is>
      </c>
      <c r="E1838" t="inlineStr">
        <is>
          <t>HÄRJEDALEN</t>
        </is>
      </c>
      <c r="G1838" t="n">
        <v>26.7</v>
      </c>
      <c r="H1838" t="n">
        <v>0</v>
      </c>
      <c r="I1838" t="n">
        <v>0</v>
      </c>
      <c r="J1838" t="n">
        <v>0</v>
      </c>
      <c r="K1838" t="n">
        <v>0</v>
      </c>
      <c r="L1838" t="n">
        <v>0</v>
      </c>
      <c r="M1838" t="n">
        <v>0</v>
      </c>
      <c r="N1838" t="n">
        <v>0</v>
      </c>
      <c r="O1838" t="n">
        <v>0</v>
      </c>
      <c r="P1838" t="n">
        <v>0</v>
      </c>
      <c r="Q1838" t="n">
        <v>0</v>
      </c>
      <c r="R1838" s="2" t="inlineStr"/>
    </row>
    <row r="1839" ht="15" customHeight="1">
      <c r="A1839" t="inlineStr">
        <is>
          <t>A 10024-2025</t>
        </is>
      </c>
      <c r="B1839" s="1" t="n">
        <v>45719</v>
      </c>
      <c r="C1839" s="1" t="n">
        <v>45784</v>
      </c>
      <c r="D1839" t="inlineStr">
        <is>
          <t>JÄMTLANDS LÄN</t>
        </is>
      </c>
      <c r="E1839" t="inlineStr">
        <is>
          <t>HÄRJEDALEN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9980-2025</t>
        </is>
      </c>
      <c r="B1840" s="1" t="n">
        <v>45719</v>
      </c>
      <c r="C1840" s="1" t="n">
        <v>45784</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10002-2025</t>
        </is>
      </c>
      <c r="B1841" s="1" t="n">
        <v>45719</v>
      </c>
      <c r="C1841" s="1" t="n">
        <v>45784</v>
      </c>
      <c r="D1841" t="inlineStr">
        <is>
          <t>JÄMTLANDS LÄN</t>
        </is>
      </c>
      <c r="E1841" t="inlineStr">
        <is>
          <t>HÄRJEDALEN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10004-2025</t>
        </is>
      </c>
      <c r="B1842" s="1" t="n">
        <v>45719</v>
      </c>
      <c r="C1842" s="1" t="n">
        <v>45784</v>
      </c>
      <c r="D1842" t="inlineStr">
        <is>
          <t>JÄMTLANDS LÄN</t>
        </is>
      </c>
      <c r="E1842" t="inlineStr">
        <is>
          <t>HÄRJEDALEN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10483-2025</t>
        </is>
      </c>
      <c r="B1843" s="1" t="n">
        <v>45721</v>
      </c>
      <c r="C1843" s="1" t="n">
        <v>45784</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10591-2025</t>
        </is>
      </c>
      <c r="B1844" s="1" t="n">
        <v>45721</v>
      </c>
      <c r="C1844" s="1" t="n">
        <v>45784</v>
      </c>
      <c r="D1844" t="inlineStr">
        <is>
          <t>JÄMTLANDS LÄN</t>
        </is>
      </c>
      <c r="E1844" t="inlineStr">
        <is>
          <t>HÄRJEDALEN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10850-2025</t>
        </is>
      </c>
      <c r="B1845" s="1" t="n">
        <v>45722</v>
      </c>
      <c r="C1845" s="1" t="n">
        <v>45784</v>
      </c>
      <c r="D1845" t="inlineStr">
        <is>
          <t>JÄMTLANDS LÄN</t>
        </is>
      </c>
      <c r="E1845" t="inlineStr">
        <is>
          <t>HÄRJEDALEN</t>
        </is>
      </c>
      <c r="G1845" t="n">
        <v>26.3</v>
      </c>
      <c r="H1845" t="n">
        <v>0</v>
      </c>
      <c r="I1845" t="n">
        <v>0</v>
      </c>
      <c r="J1845" t="n">
        <v>0</v>
      </c>
      <c r="K1845" t="n">
        <v>0</v>
      </c>
      <c r="L1845" t="n">
        <v>0</v>
      </c>
      <c r="M1845" t="n">
        <v>0</v>
      </c>
      <c r="N1845" t="n">
        <v>0</v>
      </c>
      <c r="O1845" t="n">
        <v>0</v>
      </c>
      <c r="P1845" t="n">
        <v>0</v>
      </c>
      <c r="Q1845" t="n">
        <v>0</v>
      </c>
      <c r="R1845" s="2" t="inlineStr"/>
    </row>
    <row r="1846" ht="15" customHeight="1">
      <c r="A1846" t="inlineStr">
        <is>
          <t>A 11096-2025</t>
        </is>
      </c>
      <c r="B1846" s="1" t="n">
        <v>45723</v>
      </c>
      <c r="C1846" s="1" t="n">
        <v>45784</v>
      </c>
      <c r="D1846" t="inlineStr">
        <is>
          <t>JÄMTLANDS LÄN</t>
        </is>
      </c>
      <c r="E1846" t="inlineStr">
        <is>
          <t>HÄRJEDALEN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11761-2025</t>
        </is>
      </c>
      <c r="B1847" s="1" t="n">
        <v>45727</v>
      </c>
      <c r="C1847" s="1" t="n">
        <v>45784</v>
      </c>
      <c r="D1847" t="inlineStr">
        <is>
          <t>JÄMTLANDS LÄN</t>
        </is>
      </c>
      <c r="E1847" t="inlineStr">
        <is>
          <t>HÄRJEDALEN</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11772-2025</t>
        </is>
      </c>
      <c r="B1848" s="1" t="n">
        <v>45727</v>
      </c>
      <c r="C1848" s="1" t="n">
        <v>45784</v>
      </c>
      <c r="D1848" t="inlineStr">
        <is>
          <t>JÄMTLANDS LÄN</t>
        </is>
      </c>
      <c r="E1848" t="inlineStr">
        <is>
          <t>HÄRJEDALEN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11555-2025</t>
        </is>
      </c>
      <c r="B1849" s="1" t="n">
        <v>45727</v>
      </c>
      <c r="C1849" s="1" t="n">
        <v>45784</v>
      </c>
      <c r="D1849" t="inlineStr">
        <is>
          <t>JÄMTLANDS LÄN</t>
        </is>
      </c>
      <c r="E1849" t="inlineStr">
        <is>
          <t>HÄRJEDALEN</t>
        </is>
      </c>
      <c r="F1849" t="inlineStr">
        <is>
          <t>Bergvik skog väst AB</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11917-2025</t>
        </is>
      </c>
      <c r="B1850" s="1" t="n">
        <v>45728</v>
      </c>
      <c r="C1850" s="1" t="n">
        <v>45784</v>
      </c>
      <c r="D1850" t="inlineStr">
        <is>
          <t>JÄMTLANDS LÄN</t>
        </is>
      </c>
      <c r="E1850" t="inlineStr">
        <is>
          <t>HÄRJEDALEN</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11973-2025</t>
        </is>
      </c>
      <c r="B1851" s="1" t="n">
        <v>45728</v>
      </c>
      <c r="C1851" s="1" t="n">
        <v>45784</v>
      </c>
      <c r="D1851" t="inlineStr">
        <is>
          <t>JÄMTLANDS LÄN</t>
        </is>
      </c>
      <c r="E1851" t="inlineStr">
        <is>
          <t>HÄRJEDALEN</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12017-2025</t>
        </is>
      </c>
      <c r="B1852" s="1" t="n">
        <v>45728</v>
      </c>
      <c r="C1852" s="1" t="n">
        <v>45784</v>
      </c>
      <c r="D1852" t="inlineStr">
        <is>
          <t>JÄMTLANDS LÄN</t>
        </is>
      </c>
      <c r="E1852" t="inlineStr">
        <is>
          <t>HÄRJEDALEN</t>
        </is>
      </c>
      <c r="G1852" t="n">
        <v>35.4</v>
      </c>
      <c r="H1852" t="n">
        <v>0</v>
      </c>
      <c r="I1852" t="n">
        <v>0</v>
      </c>
      <c r="J1852" t="n">
        <v>0</v>
      </c>
      <c r="K1852" t="n">
        <v>0</v>
      </c>
      <c r="L1852" t="n">
        <v>0</v>
      </c>
      <c r="M1852" t="n">
        <v>0</v>
      </c>
      <c r="N1852" t="n">
        <v>0</v>
      </c>
      <c r="O1852" t="n">
        <v>0</v>
      </c>
      <c r="P1852" t="n">
        <v>0</v>
      </c>
      <c r="Q1852" t="n">
        <v>0</v>
      </c>
      <c r="R1852" s="2" t="inlineStr"/>
    </row>
    <row r="1853" ht="15" customHeight="1">
      <c r="A1853" t="inlineStr">
        <is>
          <t>A 11877-2025</t>
        </is>
      </c>
      <c r="B1853" s="1" t="n">
        <v>45728</v>
      </c>
      <c r="C1853" s="1" t="n">
        <v>45784</v>
      </c>
      <c r="D1853" t="inlineStr">
        <is>
          <t>JÄMTLANDS LÄN</t>
        </is>
      </c>
      <c r="E1853" t="inlineStr">
        <is>
          <t>HÄRJEDALEN</t>
        </is>
      </c>
      <c r="F1853" t="inlineStr">
        <is>
          <t>Bergvik skog väst AB</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11997-2025</t>
        </is>
      </c>
      <c r="B1854" s="1" t="n">
        <v>45728</v>
      </c>
      <c r="C1854" s="1" t="n">
        <v>45784</v>
      </c>
      <c r="D1854" t="inlineStr">
        <is>
          <t>JÄMTLANDS LÄN</t>
        </is>
      </c>
      <c r="E1854" t="inlineStr">
        <is>
          <t>HÄRJEDALEN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12219-2025</t>
        </is>
      </c>
      <c r="B1855" s="1" t="n">
        <v>45729</v>
      </c>
      <c r="C1855" s="1" t="n">
        <v>45784</v>
      </c>
      <c r="D1855" t="inlineStr">
        <is>
          <t>JÄMTLANDS LÄN</t>
        </is>
      </c>
      <c r="E1855" t="inlineStr">
        <is>
          <t>HÄRJEDALEN</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12279-2025</t>
        </is>
      </c>
      <c r="B1856" s="1" t="n">
        <v>45729</v>
      </c>
      <c r="C1856" s="1" t="n">
        <v>45784</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12449-2025</t>
        </is>
      </c>
      <c r="B1857" s="1" t="n">
        <v>45730</v>
      </c>
      <c r="C1857" s="1" t="n">
        <v>45784</v>
      </c>
      <c r="D1857" t="inlineStr">
        <is>
          <t>JÄMTLANDS LÄN</t>
        </is>
      </c>
      <c r="E1857" t="inlineStr">
        <is>
          <t>HÄRJEDALEN</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12428-2025</t>
        </is>
      </c>
      <c r="B1858" s="1" t="n">
        <v>45730</v>
      </c>
      <c r="C1858" s="1" t="n">
        <v>45784</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12450-2025</t>
        </is>
      </c>
      <c r="B1859" s="1" t="n">
        <v>45730</v>
      </c>
      <c r="C1859" s="1" t="n">
        <v>45784</v>
      </c>
      <c r="D1859" t="inlineStr">
        <is>
          <t>JÄMTLANDS LÄN</t>
        </is>
      </c>
      <c r="E1859" t="inlineStr">
        <is>
          <t>HÄRJEDALEN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12569-2025</t>
        </is>
      </c>
      <c r="B1860" s="1" t="n">
        <v>45731</v>
      </c>
      <c r="C1860" s="1" t="n">
        <v>45784</v>
      </c>
      <c r="D1860" t="inlineStr">
        <is>
          <t>JÄMTLANDS LÄN</t>
        </is>
      </c>
      <c r="E1860" t="inlineStr">
        <is>
          <t>HÄRJEDALEN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12643-2025</t>
        </is>
      </c>
      <c r="B1861" s="1" t="n">
        <v>45733</v>
      </c>
      <c r="C1861" s="1" t="n">
        <v>45784</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12677-2025</t>
        </is>
      </c>
      <c r="B1862" s="1" t="n">
        <v>45733</v>
      </c>
      <c r="C1862" s="1" t="n">
        <v>45784</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12642-2025</t>
        </is>
      </c>
      <c r="B1863" s="1" t="n">
        <v>45733</v>
      </c>
      <c r="C1863" s="1" t="n">
        <v>45784</v>
      </c>
      <c r="D1863" t="inlineStr">
        <is>
          <t>JÄMTLANDS LÄN</t>
        </is>
      </c>
      <c r="E1863" t="inlineStr">
        <is>
          <t>HÄRJEDALEN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12781-2025</t>
        </is>
      </c>
      <c r="B1864" s="1" t="n">
        <v>45733</v>
      </c>
      <c r="C1864" s="1" t="n">
        <v>45784</v>
      </c>
      <c r="D1864" t="inlineStr">
        <is>
          <t>JÄMTLANDS LÄN</t>
        </is>
      </c>
      <c r="E1864" t="inlineStr">
        <is>
          <t>HÄRJEDALEN</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12864-2025</t>
        </is>
      </c>
      <c r="B1865" s="1" t="n">
        <v>45733</v>
      </c>
      <c r="C1865" s="1" t="n">
        <v>45784</v>
      </c>
      <c r="D1865" t="inlineStr">
        <is>
          <t>JÄMTLANDS LÄN</t>
        </is>
      </c>
      <c r="E1865" t="inlineStr">
        <is>
          <t>HÄRJEDALEN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12747-2025</t>
        </is>
      </c>
      <c r="B1866" s="1" t="n">
        <v>45733</v>
      </c>
      <c r="C1866" s="1" t="n">
        <v>45784</v>
      </c>
      <c r="D1866" t="inlineStr">
        <is>
          <t>JÄMTLANDS LÄN</t>
        </is>
      </c>
      <c r="E1866" t="inlineStr">
        <is>
          <t>HÄRJEDALEN</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13328-2025</t>
        </is>
      </c>
      <c r="B1867" s="1" t="n">
        <v>45735</v>
      </c>
      <c r="C1867" s="1" t="n">
        <v>45784</v>
      </c>
      <c r="D1867" t="inlineStr">
        <is>
          <t>JÄMTLANDS LÄN</t>
        </is>
      </c>
      <c r="E1867" t="inlineStr">
        <is>
          <t>HÄRJEDALEN</t>
        </is>
      </c>
      <c r="G1867" t="n">
        <v>30.8</v>
      </c>
      <c r="H1867" t="n">
        <v>0</v>
      </c>
      <c r="I1867" t="n">
        <v>0</v>
      </c>
      <c r="J1867" t="n">
        <v>0</v>
      </c>
      <c r="K1867" t="n">
        <v>0</v>
      </c>
      <c r="L1867" t="n">
        <v>0</v>
      </c>
      <c r="M1867" t="n">
        <v>0</v>
      </c>
      <c r="N1867" t="n">
        <v>0</v>
      </c>
      <c r="O1867" t="n">
        <v>0</v>
      </c>
      <c r="P1867" t="n">
        <v>0</v>
      </c>
      <c r="Q1867" t="n">
        <v>0</v>
      </c>
      <c r="R1867" s="2" t="inlineStr"/>
    </row>
    <row r="1868" ht="15" customHeight="1">
      <c r="A1868" t="inlineStr">
        <is>
          <t>A 13297-2025</t>
        </is>
      </c>
      <c r="B1868" s="1" t="n">
        <v>45735</v>
      </c>
      <c r="C1868" s="1" t="n">
        <v>45784</v>
      </c>
      <c r="D1868" t="inlineStr">
        <is>
          <t>JÄMTLANDS LÄN</t>
        </is>
      </c>
      <c r="E1868" t="inlineStr">
        <is>
          <t>HÄRJEDALEN</t>
        </is>
      </c>
      <c r="G1868" t="n">
        <v>24.7</v>
      </c>
      <c r="H1868" t="n">
        <v>0</v>
      </c>
      <c r="I1868" t="n">
        <v>0</v>
      </c>
      <c r="J1868" t="n">
        <v>0</v>
      </c>
      <c r="K1868" t="n">
        <v>0</v>
      </c>
      <c r="L1868" t="n">
        <v>0</v>
      </c>
      <c r="M1868" t="n">
        <v>0</v>
      </c>
      <c r="N1868" t="n">
        <v>0</v>
      </c>
      <c r="O1868" t="n">
        <v>0</v>
      </c>
      <c r="P1868" t="n">
        <v>0</v>
      </c>
      <c r="Q1868" t="n">
        <v>0</v>
      </c>
      <c r="R1868" s="2" t="inlineStr"/>
    </row>
    <row r="1869" ht="15" customHeight="1">
      <c r="A1869" t="inlineStr">
        <is>
          <t>A 13726-2025</t>
        </is>
      </c>
      <c r="B1869" s="1" t="n">
        <v>45737</v>
      </c>
      <c r="C1869" s="1" t="n">
        <v>45784</v>
      </c>
      <c r="D1869" t="inlineStr">
        <is>
          <t>JÄMTLANDS LÄN</t>
        </is>
      </c>
      <c r="E1869" t="inlineStr">
        <is>
          <t>HÄRJEDALEN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13787-2025</t>
        </is>
      </c>
      <c r="B1870" s="1" t="n">
        <v>45737</v>
      </c>
      <c r="C1870" s="1" t="n">
        <v>45784</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13790-2025</t>
        </is>
      </c>
      <c r="B1871" s="1" t="n">
        <v>45737</v>
      </c>
      <c r="C1871" s="1" t="n">
        <v>45784</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13723-2025</t>
        </is>
      </c>
      <c r="B1872" s="1" t="n">
        <v>45737</v>
      </c>
      <c r="C1872" s="1" t="n">
        <v>45784</v>
      </c>
      <c r="D1872" t="inlineStr">
        <is>
          <t>JÄMTLANDS LÄN</t>
        </is>
      </c>
      <c r="E1872" t="inlineStr">
        <is>
          <t>HÄRJEDALEN</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13784-2025</t>
        </is>
      </c>
      <c r="B1873" s="1" t="n">
        <v>45737</v>
      </c>
      <c r="C1873" s="1" t="n">
        <v>45784</v>
      </c>
      <c r="D1873" t="inlineStr">
        <is>
          <t>JÄMTLANDS LÄN</t>
        </is>
      </c>
      <c r="E1873" t="inlineStr">
        <is>
          <t>HÄRJEDALEN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13775-2025</t>
        </is>
      </c>
      <c r="B1874" s="1" t="n">
        <v>45737</v>
      </c>
      <c r="C1874" s="1" t="n">
        <v>45784</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13778-2025</t>
        </is>
      </c>
      <c r="B1875" s="1" t="n">
        <v>45737</v>
      </c>
      <c r="C1875" s="1" t="n">
        <v>45784</v>
      </c>
      <c r="D1875" t="inlineStr">
        <is>
          <t>JÄMTLANDS LÄN</t>
        </is>
      </c>
      <c r="E1875" t="inlineStr">
        <is>
          <t>HÄRJEDALEN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13781-2025</t>
        </is>
      </c>
      <c r="B1876" s="1" t="n">
        <v>45737</v>
      </c>
      <c r="C1876" s="1" t="n">
        <v>45784</v>
      </c>
      <c r="D1876" t="inlineStr">
        <is>
          <t>JÄMTLANDS LÄN</t>
        </is>
      </c>
      <c r="E1876" t="inlineStr">
        <is>
          <t>HÄRJEDALEN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13783-2025</t>
        </is>
      </c>
      <c r="B1877" s="1" t="n">
        <v>45737</v>
      </c>
      <c r="C1877" s="1" t="n">
        <v>45784</v>
      </c>
      <c r="D1877" t="inlineStr">
        <is>
          <t>JÄMTLANDS LÄN</t>
        </is>
      </c>
      <c r="E1877" t="inlineStr">
        <is>
          <t>HÄRJEDALEN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14039-2025</t>
        </is>
      </c>
      <c r="B1878" s="1" t="n">
        <v>45740</v>
      </c>
      <c r="C1878" s="1" t="n">
        <v>45784</v>
      </c>
      <c r="D1878" t="inlineStr">
        <is>
          <t>JÄMTLANDS LÄN</t>
        </is>
      </c>
      <c r="E1878" t="inlineStr">
        <is>
          <t>HÄRJEDALEN</t>
        </is>
      </c>
      <c r="F1878" t="inlineStr">
        <is>
          <t>Holmen skog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14204-2025</t>
        </is>
      </c>
      <c r="B1879" s="1" t="n">
        <v>45740</v>
      </c>
      <c r="C1879" s="1" t="n">
        <v>45784</v>
      </c>
      <c r="D1879" t="inlineStr">
        <is>
          <t>JÄMTLANDS LÄN</t>
        </is>
      </c>
      <c r="E1879" t="inlineStr">
        <is>
          <t>HÄRJEDALEN</t>
        </is>
      </c>
      <c r="F1879" t="inlineStr">
        <is>
          <t>Övriga Aktiebolag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14095-2025</t>
        </is>
      </c>
      <c r="B1880" s="1" t="n">
        <v>45740</v>
      </c>
      <c r="C1880" s="1" t="n">
        <v>45784</v>
      </c>
      <c r="D1880" t="inlineStr">
        <is>
          <t>JÄMTLANDS LÄN</t>
        </is>
      </c>
      <c r="E1880" t="inlineStr">
        <is>
          <t>HÄRJEDALEN</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14401-2025</t>
        </is>
      </c>
      <c r="B1881" s="1" t="n">
        <v>45741</v>
      </c>
      <c r="C1881" s="1" t="n">
        <v>45784</v>
      </c>
      <c r="D1881" t="inlineStr">
        <is>
          <t>JÄMTLANDS LÄN</t>
        </is>
      </c>
      <c r="E1881" t="inlineStr">
        <is>
          <t>HÄRJEDALEN</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14363-2025</t>
        </is>
      </c>
      <c r="B1882" s="1" t="n">
        <v>45741</v>
      </c>
      <c r="C1882" s="1" t="n">
        <v>45784</v>
      </c>
      <c r="D1882" t="inlineStr">
        <is>
          <t>JÄMTLANDS LÄN</t>
        </is>
      </c>
      <c r="E1882" t="inlineStr">
        <is>
          <t>HÄRJEDALEN</t>
        </is>
      </c>
      <c r="G1882" t="n">
        <v>32.8</v>
      </c>
      <c r="H1882" t="n">
        <v>0</v>
      </c>
      <c r="I1882" t="n">
        <v>0</v>
      </c>
      <c r="J1882" t="n">
        <v>0</v>
      </c>
      <c r="K1882" t="n">
        <v>0</v>
      </c>
      <c r="L1882" t="n">
        <v>0</v>
      </c>
      <c r="M1882" t="n">
        <v>0</v>
      </c>
      <c r="N1882" t="n">
        <v>0</v>
      </c>
      <c r="O1882" t="n">
        <v>0</v>
      </c>
      <c r="P1882" t="n">
        <v>0</v>
      </c>
      <c r="Q1882" t="n">
        <v>0</v>
      </c>
      <c r="R1882" s="2" t="inlineStr"/>
    </row>
    <row r="1883" ht="15" customHeight="1">
      <c r="A1883" t="inlineStr">
        <is>
          <t>A 14368-2025</t>
        </is>
      </c>
      <c r="B1883" s="1" t="n">
        <v>45741</v>
      </c>
      <c r="C1883" s="1" t="n">
        <v>45784</v>
      </c>
      <c r="D1883" t="inlineStr">
        <is>
          <t>JÄMTLANDS LÄN</t>
        </is>
      </c>
      <c r="E1883" t="inlineStr">
        <is>
          <t>HÄRJEDALEN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14566-2025</t>
        </is>
      </c>
      <c r="B1884" s="1" t="n">
        <v>45741</v>
      </c>
      <c r="C1884" s="1" t="n">
        <v>45784</v>
      </c>
      <c r="D1884" t="inlineStr">
        <is>
          <t>JÄMTLANDS LÄN</t>
        </is>
      </c>
      <c r="E1884" t="inlineStr">
        <is>
          <t>HÄRJEDALEN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14632-2025</t>
        </is>
      </c>
      <c r="B1885" s="1" t="n">
        <v>45742</v>
      </c>
      <c r="C1885" s="1" t="n">
        <v>45784</v>
      </c>
      <c r="D1885" t="inlineStr">
        <is>
          <t>JÄMTLANDS LÄN</t>
        </is>
      </c>
      <c r="E1885" t="inlineStr">
        <is>
          <t>HÄRJEDALEN</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15003-2025</t>
        </is>
      </c>
      <c r="B1886" s="1" t="n">
        <v>45743</v>
      </c>
      <c r="C1886" s="1" t="n">
        <v>45784</v>
      </c>
      <c r="D1886" t="inlineStr">
        <is>
          <t>JÄMTLANDS LÄN</t>
        </is>
      </c>
      <c r="E1886" t="inlineStr">
        <is>
          <t>HÄRJEDALEN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14837-2025</t>
        </is>
      </c>
      <c r="B1887" s="1" t="n">
        <v>45743</v>
      </c>
      <c r="C1887" s="1" t="n">
        <v>45784</v>
      </c>
      <c r="D1887" t="inlineStr">
        <is>
          <t>JÄMTLANDS LÄN</t>
        </is>
      </c>
      <c r="E1887" t="inlineStr">
        <is>
          <t>HÄRJEDALEN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15004-2025</t>
        </is>
      </c>
      <c r="B1888" s="1" t="n">
        <v>45743</v>
      </c>
      <c r="C1888" s="1" t="n">
        <v>45784</v>
      </c>
      <c r="D1888" t="inlineStr">
        <is>
          <t>JÄMTLANDS LÄN</t>
        </is>
      </c>
      <c r="E1888" t="inlineStr">
        <is>
          <t>HÄRJEDALEN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15513-2025</t>
        </is>
      </c>
      <c r="B1889" s="1" t="n">
        <v>45747</v>
      </c>
      <c r="C1889" s="1" t="n">
        <v>45784</v>
      </c>
      <c r="D1889" t="inlineStr">
        <is>
          <t>JÄMTLANDS LÄN</t>
        </is>
      </c>
      <c r="E1889" t="inlineStr">
        <is>
          <t>HÄRJEDALEN</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16517-2025</t>
        </is>
      </c>
      <c r="B1890" s="1" t="n">
        <v>45751</v>
      </c>
      <c r="C1890" s="1" t="n">
        <v>45784</v>
      </c>
      <c r="D1890" t="inlineStr">
        <is>
          <t>JÄMTLANDS LÄN</t>
        </is>
      </c>
      <c r="E1890" t="inlineStr">
        <is>
          <t>HÄRJEDALEN</t>
        </is>
      </c>
      <c r="F1890" t="inlineStr">
        <is>
          <t>Övriga Aktiebolag</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16536-2025</t>
        </is>
      </c>
      <c r="B1891" s="1" t="n">
        <v>45751</v>
      </c>
      <c r="C1891" s="1" t="n">
        <v>45784</v>
      </c>
      <c r="D1891" t="inlineStr">
        <is>
          <t>JÄMTLANDS LÄN</t>
        </is>
      </c>
      <c r="E1891" t="inlineStr">
        <is>
          <t>HÄRJEDALEN</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16304-2025</t>
        </is>
      </c>
      <c r="B1892" s="1" t="n">
        <v>45751</v>
      </c>
      <c r="C1892" s="1" t="n">
        <v>45784</v>
      </c>
      <c r="D1892" t="inlineStr">
        <is>
          <t>JÄMTLANDS LÄN</t>
        </is>
      </c>
      <c r="E1892" t="inlineStr">
        <is>
          <t>HÄRJEDALEN</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16552-2025</t>
        </is>
      </c>
      <c r="B1893" s="1" t="n">
        <v>45751</v>
      </c>
      <c r="C1893" s="1" t="n">
        <v>45784</v>
      </c>
      <c r="D1893" t="inlineStr">
        <is>
          <t>JÄMTLANDS LÄN</t>
        </is>
      </c>
      <c r="E1893" t="inlineStr">
        <is>
          <t>HÄRJEDALEN</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16842-2025</t>
        </is>
      </c>
      <c r="B1894" s="1" t="n">
        <v>45754</v>
      </c>
      <c r="C1894" s="1" t="n">
        <v>45784</v>
      </c>
      <c r="D1894" t="inlineStr">
        <is>
          <t>JÄMTLANDS LÄN</t>
        </is>
      </c>
      <c r="E1894" t="inlineStr">
        <is>
          <t>HÄRJEDALEN</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16843-2025</t>
        </is>
      </c>
      <c r="B1895" s="1" t="n">
        <v>45754</v>
      </c>
      <c r="C1895" s="1" t="n">
        <v>45784</v>
      </c>
      <c r="D1895" t="inlineStr">
        <is>
          <t>JÄMTLANDS LÄN</t>
        </is>
      </c>
      <c r="E1895" t="inlineStr">
        <is>
          <t>HÄRJEDALEN</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16626-2025</t>
        </is>
      </c>
      <c r="B1896" s="1" t="n">
        <v>45754</v>
      </c>
      <c r="C1896" s="1" t="n">
        <v>45784</v>
      </c>
      <c r="D1896" t="inlineStr">
        <is>
          <t>JÄMTLANDS LÄN</t>
        </is>
      </c>
      <c r="E1896" t="inlineStr">
        <is>
          <t>HÄRJEDALEN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17037-2025</t>
        </is>
      </c>
      <c r="B1897" s="1" t="n">
        <v>45755</v>
      </c>
      <c r="C1897" s="1" t="n">
        <v>45784</v>
      </c>
      <c r="D1897" t="inlineStr">
        <is>
          <t>JÄMTLANDS LÄN</t>
        </is>
      </c>
      <c r="E1897" t="inlineStr">
        <is>
          <t>HÄRJEDALEN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17291-2025</t>
        </is>
      </c>
      <c r="B1898" s="1" t="n">
        <v>45756</v>
      </c>
      <c r="C1898" s="1" t="n">
        <v>45784</v>
      </c>
      <c r="D1898" t="inlineStr">
        <is>
          <t>JÄMTLANDS LÄN</t>
        </is>
      </c>
      <c r="E1898" t="inlineStr">
        <is>
          <t>HÄRJEDALEN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17337-2025</t>
        </is>
      </c>
      <c r="B1899" s="1" t="n">
        <v>45756</v>
      </c>
      <c r="C1899" s="1" t="n">
        <v>45784</v>
      </c>
      <c r="D1899" t="inlineStr">
        <is>
          <t>JÄMTLANDS LÄN</t>
        </is>
      </c>
      <c r="E1899" t="inlineStr">
        <is>
          <t>HÄRJEDALEN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17332-2025</t>
        </is>
      </c>
      <c r="B1900" s="1" t="n">
        <v>45756</v>
      </c>
      <c r="C1900" s="1" t="n">
        <v>45784</v>
      </c>
      <c r="D1900" t="inlineStr">
        <is>
          <t>JÄMTLANDS LÄN</t>
        </is>
      </c>
      <c r="E1900" t="inlineStr">
        <is>
          <t>HÄRJEDALEN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17334-2025</t>
        </is>
      </c>
      <c r="B1901" s="1" t="n">
        <v>45756</v>
      </c>
      <c r="C1901" s="1" t="n">
        <v>45784</v>
      </c>
      <c r="D1901" t="inlineStr">
        <is>
          <t>JÄMTLANDS LÄN</t>
        </is>
      </c>
      <c r="E1901" t="inlineStr">
        <is>
          <t>HÄRJEDALEN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17757-2025</t>
        </is>
      </c>
      <c r="B1902" s="1" t="n">
        <v>45758</v>
      </c>
      <c r="C1902" s="1" t="n">
        <v>45784</v>
      </c>
      <c r="D1902" t="inlineStr">
        <is>
          <t>JÄMTLANDS LÄN</t>
        </is>
      </c>
      <c r="E1902" t="inlineStr">
        <is>
          <t>HÄRJEDALEN</t>
        </is>
      </c>
      <c r="F1902" t="inlineStr">
        <is>
          <t>Naturvårdsverket</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17896-2025</t>
        </is>
      </c>
      <c r="B1903" s="1" t="n">
        <v>45758</v>
      </c>
      <c r="C1903" s="1" t="n">
        <v>45784</v>
      </c>
      <c r="D1903" t="inlineStr">
        <is>
          <t>JÄMTLANDS LÄN</t>
        </is>
      </c>
      <c r="E1903" t="inlineStr">
        <is>
          <t>HÄRJEDALEN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17885-2025</t>
        </is>
      </c>
      <c r="B1904" s="1" t="n">
        <v>45758</v>
      </c>
      <c r="C1904" s="1" t="n">
        <v>45784</v>
      </c>
      <c r="D1904" t="inlineStr">
        <is>
          <t>JÄMTLANDS LÄN</t>
        </is>
      </c>
      <c r="E1904" t="inlineStr">
        <is>
          <t>HÄRJEDALEN</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17895-2025</t>
        </is>
      </c>
      <c r="B1905" s="1" t="n">
        <v>45758</v>
      </c>
      <c r="C1905" s="1" t="n">
        <v>45784</v>
      </c>
      <c r="D1905" t="inlineStr">
        <is>
          <t>JÄMTLANDS LÄN</t>
        </is>
      </c>
      <c r="E1905" t="inlineStr">
        <is>
          <t>HÄRJEDALEN</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18114-2025</t>
        </is>
      </c>
      <c r="B1906" s="1" t="n">
        <v>45761</v>
      </c>
      <c r="C1906" s="1" t="n">
        <v>45784</v>
      </c>
      <c r="D1906" t="inlineStr">
        <is>
          <t>JÄMTLANDS LÄN</t>
        </is>
      </c>
      <c r="E1906" t="inlineStr">
        <is>
          <t>HÄRJEDALEN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18144-2025</t>
        </is>
      </c>
      <c r="B1907" s="1" t="n">
        <v>45761</v>
      </c>
      <c r="C1907" s="1" t="n">
        <v>45784</v>
      </c>
      <c r="D1907" t="inlineStr">
        <is>
          <t>JÄMTLANDS LÄN</t>
        </is>
      </c>
      <c r="E1907" t="inlineStr">
        <is>
          <t>HÄRJEDALEN</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18362-2025</t>
        </is>
      </c>
      <c r="B1908" s="1" t="n">
        <v>45762</v>
      </c>
      <c r="C1908" s="1" t="n">
        <v>45784</v>
      </c>
      <c r="D1908" t="inlineStr">
        <is>
          <t>JÄMTLANDS LÄN</t>
        </is>
      </c>
      <c r="E1908" t="inlineStr">
        <is>
          <t>HÄRJEDALEN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18546-2025</t>
        </is>
      </c>
      <c r="B1909" s="1" t="n">
        <v>45763</v>
      </c>
      <c r="C1909" s="1" t="n">
        <v>45784</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18541-2025</t>
        </is>
      </c>
      <c r="B1910" s="1" t="n">
        <v>45763</v>
      </c>
      <c r="C1910" s="1" t="n">
        <v>45784</v>
      </c>
      <c r="D1910" t="inlineStr">
        <is>
          <t>JÄMTLANDS LÄN</t>
        </is>
      </c>
      <c r="E1910" t="inlineStr">
        <is>
          <t>HÄRJEDALEN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18542-2025</t>
        </is>
      </c>
      <c r="B1911" s="1" t="n">
        <v>45763</v>
      </c>
      <c r="C1911" s="1" t="n">
        <v>45784</v>
      </c>
      <c r="D1911" t="inlineStr">
        <is>
          <t>JÄMTLANDS LÄN</t>
        </is>
      </c>
      <c r="E1911" t="inlineStr">
        <is>
          <t>HÄRJEDALEN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18893-2025</t>
        </is>
      </c>
      <c r="B1912" s="1" t="n">
        <v>45764</v>
      </c>
      <c r="C1912" s="1" t="n">
        <v>45784</v>
      </c>
      <c r="D1912" t="inlineStr">
        <is>
          <t>JÄMTLANDS LÄN</t>
        </is>
      </c>
      <c r="E1912" t="inlineStr">
        <is>
          <t>HÄRJEDALEN</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18896-2025</t>
        </is>
      </c>
      <c r="B1913" s="1" t="n">
        <v>45764</v>
      </c>
      <c r="C1913" s="1" t="n">
        <v>45784</v>
      </c>
      <c r="D1913" t="inlineStr">
        <is>
          <t>JÄMTLANDS LÄN</t>
        </is>
      </c>
      <c r="E1913" t="inlineStr">
        <is>
          <t>HÄRJEDALEN</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18953-2025</t>
        </is>
      </c>
      <c r="B1914" s="1" t="n">
        <v>45764</v>
      </c>
      <c r="C1914" s="1" t="n">
        <v>45784</v>
      </c>
      <c r="D1914" t="inlineStr">
        <is>
          <t>JÄMTLANDS LÄN</t>
        </is>
      </c>
      <c r="E1914" t="inlineStr">
        <is>
          <t>HÄRJEDALEN</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19098-2025</t>
        </is>
      </c>
      <c r="B1915" s="1" t="n">
        <v>45768</v>
      </c>
      <c r="C1915" s="1" t="n">
        <v>45784</v>
      </c>
      <c r="D1915" t="inlineStr">
        <is>
          <t>JÄMTLANDS LÄN</t>
        </is>
      </c>
      <c r="E1915" t="inlineStr">
        <is>
          <t>HÄRJEDALEN</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19099-2025</t>
        </is>
      </c>
      <c r="B1916" s="1" t="n">
        <v>45768</v>
      </c>
      <c r="C1916" s="1" t="n">
        <v>45784</v>
      </c>
      <c r="D1916" t="inlineStr">
        <is>
          <t>JÄMTLANDS LÄN</t>
        </is>
      </c>
      <c r="E1916" t="inlineStr">
        <is>
          <t>HÄRJEDALEN</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19105-2025</t>
        </is>
      </c>
      <c r="B1917" s="1" t="n">
        <v>45768</v>
      </c>
      <c r="C1917" s="1" t="n">
        <v>45784</v>
      </c>
      <c r="D1917" t="inlineStr">
        <is>
          <t>JÄMTLANDS LÄN</t>
        </is>
      </c>
      <c r="E1917" t="inlineStr">
        <is>
          <t>HÄRJEDALEN</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19100-2025</t>
        </is>
      </c>
      <c r="B1918" s="1" t="n">
        <v>45768</v>
      </c>
      <c r="C1918" s="1" t="n">
        <v>45784</v>
      </c>
      <c r="D1918" t="inlineStr">
        <is>
          <t>JÄMTLANDS LÄN</t>
        </is>
      </c>
      <c r="E1918" t="inlineStr">
        <is>
          <t>HÄRJEDALEN</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19101-2025</t>
        </is>
      </c>
      <c r="B1919" s="1" t="n">
        <v>45768</v>
      </c>
      <c r="C1919" s="1" t="n">
        <v>45784</v>
      </c>
      <c r="D1919" t="inlineStr">
        <is>
          <t>JÄMTLANDS LÄN</t>
        </is>
      </c>
      <c r="E1919" t="inlineStr">
        <is>
          <t>HÄRJEDALEN</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19106-2025</t>
        </is>
      </c>
      <c r="B1920" s="1" t="n">
        <v>45768</v>
      </c>
      <c r="C1920" s="1" t="n">
        <v>45784</v>
      </c>
      <c r="D1920" t="inlineStr">
        <is>
          <t>JÄMTLANDS LÄN</t>
        </is>
      </c>
      <c r="E1920" t="inlineStr">
        <is>
          <t>HÄRJEDALEN</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19102-2025</t>
        </is>
      </c>
      <c r="B1921" s="1" t="n">
        <v>45768</v>
      </c>
      <c r="C1921" s="1" t="n">
        <v>45784</v>
      </c>
      <c r="D1921" t="inlineStr">
        <is>
          <t>JÄMTLANDS LÄN</t>
        </is>
      </c>
      <c r="E1921" t="inlineStr">
        <is>
          <t>HÄRJEDALEN</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19103-2025</t>
        </is>
      </c>
      <c r="B1922" s="1" t="n">
        <v>45768</v>
      </c>
      <c r="C1922" s="1" t="n">
        <v>45784</v>
      </c>
      <c r="D1922" t="inlineStr">
        <is>
          <t>JÄMTLANDS LÄN</t>
        </is>
      </c>
      <c r="E1922" t="inlineStr">
        <is>
          <t>HÄRJEDALEN</t>
        </is>
      </c>
      <c r="F1922" t="inlineStr">
        <is>
          <t>Sveaskog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19197-2025</t>
        </is>
      </c>
      <c r="B1923" s="1" t="n">
        <v>45769</v>
      </c>
      <c r="C1923" s="1" t="n">
        <v>45784</v>
      </c>
      <c r="D1923" t="inlineStr">
        <is>
          <t>JÄMTLANDS LÄN</t>
        </is>
      </c>
      <c r="E1923" t="inlineStr">
        <is>
          <t>HÄRJEDALEN</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20033-2025</t>
        </is>
      </c>
      <c r="B1924" s="1" t="n">
        <v>45772</v>
      </c>
      <c r="C1924" s="1" t="n">
        <v>45784</v>
      </c>
      <c r="D1924" t="inlineStr">
        <is>
          <t>JÄMTLANDS LÄN</t>
        </is>
      </c>
      <c r="E1924" t="inlineStr">
        <is>
          <t>HÄRJEDALEN</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20238-2025</t>
        </is>
      </c>
      <c r="B1925" s="1" t="n">
        <v>45772</v>
      </c>
      <c r="C1925" s="1" t="n">
        <v>45784</v>
      </c>
      <c r="D1925" t="inlineStr">
        <is>
          <t>JÄMTLANDS LÄN</t>
        </is>
      </c>
      <c r="E1925" t="inlineStr">
        <is>
          <t>HÄRJEDALEN</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20104-2025</t>
        </is>
      </c>
      <c r="B1926" s="1" t="n">
        <v>45772</v>
      </c>
      <c r="C1926" s="1" t="n">
        <v>45784</v>
      </c>
      <c r="D1926" t="inlineStr">
        <is>
          <t>JÄMTLANDS LÄN</t>
        </is>
      </c>
      <c r="E1926" t="inlineStr">
        <is>
          <t>HÄRJEDALEN</t>
        </is>
      </c>
      <c r="F1926" t="inlineStr">
        <is>
          <t>SCA</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20106-2025</t>
        </is>
      </c>
      <c r="B1927" s="1" t="n">
        <v>45772</v>
      </c>
      <c r="C1927" s="1" t="n">
        <v>45784</v>
      </c>
      <c r="D1927" t="inlineStr">
        <is>
          <t>JÄMTLANDS LÄN</t>
        </is>
      </c>
      <c r="E1927" t="inlineStr">
        <is>
          <t>HÄRJEDALEN</t>
        </is>
      </c>
      <c r="F1927" t="inlineStr">
        <is>
          <t>SCA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20103-2025</t>
        </is>
      </c>
      <c r="B1928" s="1" t="n">
        <v>45772</v>
      </c>
      <c r="C1928" s="1" t="n">
        <v>45784</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20341-2025</t>
        </is>
      </c>
      <c r="B1929" s="1" t="n">
        <v>45775</v>
      </c>
      <c r="C1929" s="1" t="n">
        <v>45784</v>
      </c>
      <c r="D1929" t="inlineStr">
        <is>
          <t>JÄMTLANDS LÄN</t>
        </is>
      </c>
      <c r="E1929" t="inlineStr">
        <is>
          <t>HÄRJEDALEN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20342-2025</t>
        </is>
      </c>
      <c r="B1930" s="1" t="n">
        <v>45775</v>
      </c>
      <c r="C1930" s="1" t="n">
        <v>45784</v>
      </c>
      <c r="D1930" t="inlineStr">
        <is>
          <t>JÄMTLANDS LÄN</t>
        </is>
      </c>
      <c r="E1930" t="inlineStr">
        <is>
          <t>HÄRJEDALEN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20817-2025</t>
        </is>
      </c>
      <c r="B1931" s="1" t="n">
        <v>45776</v>
      </c>
      <c r="C1931" s="1" t="n">
        <v>45784</v>
      </c>
      <c r="D1931" t="inlineStr">
        <is>
          <t>JÄMTLANDS LÄN</t>
        </is>
      </c>
      <c r="E1931" t="inlineStr">
        <is>
          <t>HÄRJEDALEN</t>
        </is>
      </c>
      <c r="G1931" t="n">
        <v>26.4</v>
      </c>
      <c r="H1931" t="n">
        <v>0</v>
      </c>
      <c r="I1931" t="n">
        <v>0</v>
      </c>
      <c r="J1931" t="n">
        <v>0</v>
      </c>
      <c r="K1931" t="n">
        <v>0</v>
      </c>
      <c r="L1931" t="n">
        <v>0</v>
      </c>
      <c r="M1931" t="n">
        <v>0</v>
      </c>
      <c r="N1931" t="n">
        <v>0</v>
      </c>
      <c r="O1931" t="n">
        <v>0</v>
      </c>
      <c r="P1931" t="n">
        <v>0</v>
      </c>
      <c r="Q1931" t="n">
        <v>0</v>
      </c>
      <c r="R1931" s="2" t="inlineStr"/>
    </row>
    <row r="1932" ht="15" customHeight="1">
      <c r="A1932" t="inlineStr">
        <is>
          <t>A 20672-2025</t>
        </is>
      </c>
      <c r="B1932" s="1" t="n">
        <v>45776</v>
      </c>
      <c r="C1932" s="1" t="n">
        <v>45784</v>
      </c>
      <c r="D1932" t="inlineStr">
        <is>
          <t>JÄMTLANDS LÄN</t>
        </is>
      </c>
      <c r="E1932" t="inlineStr">
        <is>
          <t>HÄRJEDALEN</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21161-2025</t>
        </is>
      </c>
      <c r="B1933" s="1" t="n">
        <v>45779</v>
      </c>
      <c r="C1933" s="1" t="n">
        <v>45784</v>
      </c>
      <c r="D1933" t="inlineStr">
        <is>
          <t>JÄMTLANDS LÄN</t>
        </is>
      </c>
      <c r="E1933" t="inlineStr">
        <is>
          <t>HÄRJEDALEN</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21169-2025</t>
        </is>
      </c>
      <c r="B1934" s="1" t="n">
        <v>45779</v>
      </c>
      <c r="C1934" s="1" t="n">
        <v>45784</v>
      </c>
      <c r="D1934" t="inlineStr">
        <is>
          <t>JÄMTLANDS LÄN</t>
        </is>
      </c>
      <c r="E1934" t="inlineStr">
        <is>
          <t>HÄRJEDALEN</t>
        </is>
      </c>
      <c r="F1934" t="inlineStr">
        <is>
          <t>Holmen skog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21201-2025</t>
        </is>
      </c>
      <c r="B1935" s="1" t="n">
        <v>45779</v>
      </c>
      <c r="C1935" s="1" t="n">
        <v>45784</v>
      </c>
      <c r="D1935" t="inlineStr">
        <is>
          <t>JÄMTLANDS LÄN</t>
        </is>
      </c>
      <c r="E1935" t="inlineStr">
        <is>
          <t>HÄRJEDALEN</t>
        </is>
      </c>
      <c r="F1935" t="inlineStr">
        <is>
          <t>Holmen skog AB</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21223-2025</t>
        </is>
      </c>
      <c r="B1936" s="1" t="n">
        <v>45779</v>
      </c>
      <c r="C1936" s="1" t="n">
        <v>45784</v>
      </c>
      <c r="D1936" t="inlineStr">
        <is>
          <t>JÄMTLANDS LÄN</t>
        </is>
      </c>
      <c r="E1936" t="inlineStr">
        <is>
          <t>HÄRJEDALEN</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21225-2025</t>
        </is>
      </c>
      <c r="B1937" s="1" t="n">
        <v>45779</v>
      </c>
      <c r="C1937" s="1" t="n">
        <v>45784</v>
      </c>
      <c r="D1937" t="inlineStr">
        <is>
          <t>JÄMTLANDS LÄN</t>
        </is>
      </c>
      <c r="E1937" t="inlineStr">
        <is>
          <t>HÄRJEDALEN</t>
        </is>
      </c>
      <c r="F1937" t="inlineStr">
        <is>
          <t>Holmen skog AB</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21208-2025</t>
        </is>
      </c>
      <c r="B1938" s="1" t="n">
        <v>45779</v>
      </c>
      <c r="C1938" s="1" t="n">
        <v>45784</v>
      </c>
      <c r="D1938" t="inlineStr">
        <is>
          <t>JÄMTLANDS LÄN</t>
        </is>
      </c>
      <c r="E1938" t="inlineStr">
        <is>
          <t>HÄRJEDALEN</t>
        </is>
      </c>
      <c r="F1938" t="inlineStr">
        <is>
          <t>Holmen skog AB</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21221-2025</t>
        </is>
      </c>
      <c r="B1939" s="1" t="n">
        <v>45779</v>
      </c>
      <c r="C1939" s="1" t="n">
        <v>45784</v>
      </c>
      <c r="D1939" t="inlineStr">
        <is>
          <t>JÄMTLANDS LÄN</t>
        </is>
      </c>
      <c r="E1939" t="inlineStr">
        <is>
          <t>HÄRJEDALEN</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21226-2025</t>
        </is>
      </c>
      <c r="B1940" s="1" t="n">
        <v>45779</v>
      </c>
      <c r="C1940" s="1" t="n">
        <v>45784</v>
      </c>
      <c r="D1940" t="inlineStr">
        <is>
          <t>JÄMTLANDS LÄN</t>
        </is>
      </c>
      <c r="E1940" t="inlineStr">
        <is>
          <t>HÄRJEDALEN</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21227-2025</t>
        </is>
      </c>
      <c r="B1941" s="1" t="n">
        <v>45779</v>
      </c>
      <c r="C1941" s="1" t="n">
        <v>45784</v>
      </c>
      <c r="D1941" t="inlineStr">
        <is>
          <t>JÄMTLANDS LÄN</t>
        </is>
      </c>
      <c r="E1941" t="inlineStr">
        <is>
          <t>HÄRJEDALEN</t>
        </is>
      </c>
      <c r="F1941" t="inlineStr">
        <is>
          <t>Holmen skog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21358-2025</t>
        </is>
      </c>
      <c r="B1942" s="1" t="n">
        <v>45782</v>
      </c>
      <c r="C1942" s="1" t="n">
        <v>45784</v>
      </c>
      <c r="D1942" t="inlineStr">
        <is>
          <t>JÄMTLANDS LÄN</t>
        </is>
      </c>
      <c r="E1942" t="inlineStr">
        <is>
          <t>HÄRJEDALEN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21355-2025</t>
        </is>
      </c>
      <c r="B1943" s="1" t="n">
        <v>45782</v>
      </c>
      <c r="C1943" s="1" t="n">
        <v>45784</v>
      </c>
      <c r="D1943" t="inlineStr">
        <is>
          <t>JÄMTLANDS LÄN</t>
        </is>
      </c>
      <c r="E1943" t="inlineStr">
        <is>
          <t>HÄRJEDALEN</t>
        </is>
      </c>
      <c r="G1943" t="n">
        <v>1.2</v>
      </c>
      <c r="H1943" t="n">
        <v>0</v>
      </c>
      <c r="I1943" t="n">
        <v>0</v>
      </c>
      <c r="J1943" t="n">
        <v>0</v>
      </c>
      <c r="K1943" t="n">
        <v>0</v>
      </c>
      <c r="L1943" t="n">
        <v>0</v>
      </c>
      <c r="M1943" t="n">
        <v>0</v>
      </c>
      <c r="N1943" t="n">
        <v>0</v>
      </c>
      <c r="O1943" t="n">
        <v>0</v>
      </c>
      <c r="P1943" t="n">
        <v>0</v>
      </c>
      <c r="Q1943" t="n">
        <v>0</v>
      </c>
      <c r="R1943" s="2" t="inlineStr"/>
    </row>
    <row r="1944">
      <c r="A1944" t="inlineStr">
        <is>
          <t>A 21797-2025</t>
        </is>
      </c>
      <c r="B1944" s="1" t="n">
        <v>45783</v>
      </c>
      <c r="C1944" s="1" t="n">
        <v>45784</v>
      </c>
      <c r="D1944" t="inlineStr">
        <is>
          <t>JÄMTLANDS LÄN</t>
        </is>
      </c>
      <c r="E1944" t="inlineStr">
        <is>
          <t>HÄRJEDALEN</t>
        </is>
      </c>
      <c r="F1944" t="inlineStr">
        <is>
          <t>Sveaskog</t>
        </is>
      </c>
      <c r="G1944" t="n">
        <v>15.1</v>
      </c>
      <c r="H1944" t="n">
        <v>0</v>
      </c>
      <c r="I1944" t="n">
        <v>0</v>
      </c>
      <c r="J1944" t="n">
        <v>0</v>
      </c>
      <c r="K1944" t="n">
        <v>0</v>
      </c>
      <c r="L1944" t="n">
        <v>0</v>
      </c>
      <c r="M1944" t="n">
        <v>0</v>
      </c>
      <c r="N1944" t="n">
        <v>0</v>
      </c>
      <c r="O1944" t="n">
        <v>0</v>
      </c>
      <c r="P1944" t="n">
        <v>0</v>
      </c>
      <c r="Q1944" t="n">
        <v>0</v>
      </c>
      <c r="R1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2025-05-07T17:24:56Z</dcterms:created>
  <dcterms:modified xmlns:dcterms="http://purl.org/dc/terms/" xmlns:xsi="http://www.w3.org/2001/XMLSchema-instance" xsi:type="dcterms:W3CDTF">2025-05-07T17:24:57Z</dcterms:modified>
</cp:coreProperties>
</file>