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45576</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45576</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45576</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45576</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45576</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45576</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45576</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45576</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45576</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45576</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45576</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45576</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45576</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45576</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45576</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45576</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45576</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45576</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45576</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45576</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45576</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45576</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45576</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45576</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45576</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45576</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45576</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45576</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45576</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45576</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45576</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45576</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37835-2024</t>
        </is>
      </c>
      <c r="B43" s="1" t="n">
        <v>45544</v>
      </c>
      <c r="C43" s="1" t="n">
        <v>45576</v>
      </c>
      <c r="D43" t="inlineStr">
        <is>
          <t>JÄMTLANDS LÄN</t>
        </is>
      </c>
      <c r="E43" t="inlineStr">
        <is>
          <t>HÄRJEDALEN</t>
        </is>
      </c>
      <c r="F43" t="inlineStr">
        <is>
          <t>Holmen skog AB</t>
        </is>
      </c>
      <c r="G43" t="n">
        <v>16.2</v>
      </c>
      <c r="H43" t="n">
        <v>2</v>
      </c>
      <c r="I43" t="n">
        <v>2</v>
      </c>
      <c r="J43" t="n">
        <v>8</v>
      </c>
      <c r="K43" t="n">
        <v>2</v>
      </c>
      <c r="L43" t="n">
        <v>0</v>
      </c>
      <c r="M43" t="n">
        <v>0</v>
      </c>
      <c r="N43" t="n">
        <v>0</v>
      </c>
      <c r="O43" t="n">
        <v>10</v>
      </c>
      <c r="P43" t="n">
        <v>2</v>
      </c>
      <c r="Q43" t="n">
        <v>12</v>
      </c>
      <c r="R43" s="2" t="inlineStr">
        <is>
          <t>Doftticka
Knärot
Dvärgbägarlav
Garnlav
Knottrig blåslav
Kolflarnlav
Lunglav
Mörk kolflarnlav
Skrovellav
Vedflamlav
Dropptaggsvamp
Skarp dropptaggsvamp</t>
        </is>
      </c>
      <c r="S43">
        <f>HYPERLINK("https://klasma.github.io/Logging_2361/artfynd/A 37835-2024 artfynd.xlsx", "A 37835-2024")</f>
        <v/>
      </c>
      <c r="T43">
        <f>HYPERLINK("https://klasma.github.io/Logging_2361/kartor/A 37835-2024 karta.png", "A 37835-2024")</f>
        <v/>
      </c>
      <c r="U43">
        <f>HYPERLINK("https://klasma.github.io/Logging_2361/knärot/A 37835-2024 karta knärot.png", "A 37835-2024")</f>
        <v/>
      </c>
      <c r="V43">
        <f>HYPERLINK("https://klasma.github.io/Logging_2361/klagomål/A 37835-2024 FSC-klagomål.docx", "A 37835-2024")</f>
        <v/>
      </c>
      <c r="W43">
        <f>HYPERLINK("https://klasma.github.io/Logging_2361/klagomålsmail/A 37835-2024 FSC-klagomål mail.docx", "A 37835-2024")</f>
        <v/>
      </c>
      <c r="X43">
        <f>HYPERLINK("https://klasma.github.io/Logging_2361/tillsyn/A 37835-2024 tillsynsbegäran.docx", "A 37835-2024")</f>
        <v/>
      </c>
      <c r="Y43">
        <f>HYPERLINK("https://klasma.github.io/Logging_2361/tillsynsmail/A 37835-2024 tillsynsbegäran mail.docx", "A 37835-2024")</f>
        <v/>
      </c>
    </row>
    <row r="44" ht="15" customHeight="1">
      <c r="A44" t="inlineStr">
        <is>
          <t>A 28713-2021</t>
        </is>
      </c>
      <c r="B44" s="1" t="n">
        <v>44357</v>
      </c>
      <c r="C44" s="1" t="n">
        <v>45576</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58278-2021</t>
        </is>
      </c>
      <c r="B45" s="1" t="n">
        <v>44487</v>
      </c>
      <c r="C45" s="1" t="n">
        <v>45576</v>
      </c>
      <c r="D45" t="inlineStr">
        <is>
          <t>JÄMTLANDS LÄN</t>
        </is>
      </c>
      <c r="E45" t="inlineStr">
        <is>
          <t>HÄRJEDALEN</t>
        </is>
      </c>
      <c r="F45" t="inlineStr">
        <is>
          <t>SCA</t>
        </is>
      </c>
      <c r="G45" t="n">
        <v>33.9</v>
      </c>
      <c r="H45" t="n">
        <v>1</v>
      </c>
      <c r="I45" t="n">
        <v>3</v>
      </c>
      <c r="J45" t="n">
        <v>4</v>
      </c>
      <c r="K45" t="n">
        <v>3</v>
      </c>
      <c r="L45" t="n">
        <v>1</v>
      </c>
      <c r="M45" t="n">
        <v>0</v>
      </c>
      <c r="N45" t="n">
        <v>0</v>
      </c>
      <c r="O45" t="n">
        <v>8</v>
      </c>
      <c r="P45" t="n">
        <v>4</v>
      </c>
      <c r="Q45" t="n">
        <v>11</v>
      </c>
      <c r="R45" s="2" t="inlineStr">
        <is>
          <t>Mosippa
Lammticka
Spadskinn
Tallgråticka
Blå taggsvamp
Motaggsvamp
Skrovlig taggsvamp
Talltaggsvamp
Dropptaggsvamp
Skarp dropptaggsvamp
Tallfingersvamp</t>
        </is>
      </c>
      <c r="S45">
        <f>HYPERLINK("https://klasma.github.io/Logging_2361/artfynd/A 58278-2021 artfynd.xlsx", "A 58278-2021")</f>
        <v/>
      </c>
      <c r="T45">
        <f>HYPERLINK("https://klasma.github.io/Logging_2361/kartor/A 58278-2021 karta.png", "A 58278-2021")</f>
        <v/>
      </c>
      <c r="V45">
        <f>HYPERLINK("https://klasma.github.io/Logging_2361/klagomål/A 58278-2021 FSC-klagomål.docx", "A 58278-2021")</f>
        <v/>
      </c>
      <c r="W45">
        <f>HYPERLINK("https://klasma.github.io/Logging_2361/klagomålsmail/A 58278-2021 FSC-klagomål mail.docx", "A 58278-2021")</f>
        <v/>
      </c>
      <c r="X45">
        <f>HYPERLINK("https://klasma.github.io/Logging_2361/tillsyn/A 58278-2021 tillsynsbegäran.docx", "A 58278-2021")</f>
        <v/>
      </c>
      <c r="Y45">
        <f>HYPERLINK("https://klasma.github.io/Logging_2361/tillsynsmail/A 58278-2021 tillsynsbegäran mail.docx", "A 58278-2021")</f>
        <v/>
      </c>
    </row>
    <row r="46" ht="15" customHeight="1">
      <c r="A46" t="inlineStr">
        <is>
          <t>A 17749-2022</t>
        </is>
      </c>
      <c r="B46" s="1" t="n">
        <v>44680</v>
      </c>
      <c r="C46" s="1" t="n">
        <v>45576</v>
      </c>
      <c r="D46" t="inlineStr">
        <is>
          <t>JÄMTLANDS LÄN</t>
        </is>
      </c>
      <c r="E46" t="inlineStr">
        <is>
          <t>HÄRJEDALEN</t>
        </is>
      </c>
      <c r="F46" t="inlineStr">
        <is>
          <t>SCA</t>
        </is>
      </c>
      <c r="G46" t="n">
        <v>17.6</v>
      </c>
      <c r="H46" t="n">
        <v>0</v>
      </c>
      <c r="I46" t="n">
        <v>2</v>
      </c>
      <c r="J46" t="n">
        <v>6</v>
      </c>
      <c r="K46" t="n">
        <v>3</v>
      </c>
      <c r="L46" t="n">
        <v>0</v>
      </c>
      <c r="M46" t="n">
        <v>0</v>
      </c>
      <c r="N46" t="n">
        <v>0</v>
      </c>
      <c r="O46" t="n">
        <v>9</v>
      </c>
      <c r="P46" t="n">
        <v>3</v>
      </c>
      <c r="Q46" t="n">
        <v>11</v>
      </c>
      <c r="R46" s="2" t="inlineStr">
        <is>
          <t>Goliatmusseron
Tajgataggsvamp
Tallgråticka
Blå taggsvamp
Orange taggsvamp
Skrovlig taggsvamp
Tallriska
Talltaggsvamp
Vaddporing
Dropptaggsvamp
Skarp dropptaggsvamp</t>
        </is>
      </c>
      <c r="S46">
        <f>HYPERLINK("https://klasma.github.io/Logging_2361/artfynd/A 17749-2022 artfynd.xlsx", "A 17749-2022")</f>
        <v/>
      </c>
      <c r="T46">
        <f>HYPERLINK("https://klasma.github.io/Logging_2361/kartor/A 17749-2022 karta.png", "A 17749-2022")</f>
        <v/>
      </c>
      <c r="V46">
        <f>HYPERLINK("https://klasma.github.io/Logging_2361/klagomål/A 17749-2022 FSC-klagomål.docx", "A 17749-2022")</f>
        <v/>
      </c>
      <c r="W46">
        <f>HYPERLINK("https://klasma.github.io/Logging_2361/klagomålsmail/A 17749-2022 FSC-klagomål mail.docx", "A 17749-2022")</f>
        <v/>
      </c>
      <c r="X46">
        <f>HYPERLINK("https://klasma.github.io/Logging_2361/tillsyn/A 17749-2022 tillsynsbegäran.docx", "A 17749-2022")</f>
        <v/>
      </c>
      <c r="Y46">
        <f>HYPERLINK("https://klasma.github.io/Logging_2361/tillsynsmail/A 17749-2022 tillsynsbegäran mail.docx", "A 17749-2022")</f>
        <v/>
      </c>
    </row>
    <row r="47" ht="15" customHeight="1">
      <c r="A47" t="inlineStr">
        <is>
          <t>A 31328-2022</t>
        </is>
      </c>
      <c r="B47" s="1" t="n">
        <v>44774</v>
      </c>
      <c r="C47" s="1" t="n">
        <v>45576</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46633-2023</t>
        </is>
      </c>
      <c r="B48" s="1" t="n">
        <v>45198</v>
      </c>
      <c r="C48" s="1" t="n">
        <v>45576</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38535-2019</t>
        </is>
      </c>
      <c r="B49" s="1" t="n">
        <v>43685</v>
      </c>
      <c r="C49" s="1" t="n">
        <v>45576</v>
      </c>
      <c r="D49" t="inlineStr">
        <is>
          <t>JÄMTLANDS LÄN</t>
        </is>
      </c>
      <c r="E49" t="inlineStr">
        <is>
          <t>HÄRJEDALEN</t>
        </is>
      </c>
      <c r="F49" t="inlineStr">
        <is>
          <t>Sveaskog</t>
        </is>
      </c>
      <c r="G49" t="n">
        <v>7.2</v>
      </c>
      <c r="H49" t="n">
        <v>3</v>
      </c>
      <c r="I49" t="n">
        <v>2</v>
      </c>
      <c r="J49" t="n">
        <v>5</v>
      </c>
      <c r="K49" t="n">
        <v>1</v>
      </c>
      <c r="L49" t="n">
        <v>0</v>
      </c>
      <c r="M49" t="n">
        <v>0</v>
      </c>
      <c r="N49" t="n">
        <v>0</v>
      </c>
      <c r="O49" t="n">
        <v>6</v>
      </c>
      <c r="P49" t="n">
        <v>1</v>
      </c>
      <c r="Q49" t="n">
        <v>10</v>
      </c>
      <c r="R49" s="2" t="inlineStr">
        <is>
          <t>Knärot
Blanksvart spiklav
Gammelgransskål
Garnlav
Lunglav
Skrovellav
Barkkornlav
Bronshjon
Fläcknycklar
Revlummer</t>
        </is>
      </c>
      <c r="S49">
        <f>HYPERLINK("https://klasma.github.io/Logging_2361/artfynd/A 38535-2019 artfynd.xlsx", "A 38535-2019")</f>
        <v/>
      </c>
      <c r="T49">
        <f>HYPERLINK("https://klasma.github.io/Logging_2361/kartor/A 38535-2019 karta.png", "A 38535-2019")</f>
        <v/>
      </c>
      <c r="U49">
        <f>HYPERLINK("https://klasma.github.io/Logging_2361/knärot/A 38535-2019 karta knärot.png", "A 38535-2019")</f>
        <v/>
      </c>
      <c r="V49">
        <f>HYPERLINK("https://klasma.github.io/Logging_2361/klagomål/A 38535-2019 FSC-klagomål.docx", "A 38535-2019")</f>
        <v/>
      </c>
      <c r="W49">
        <f>HYPERLINK("https://klasma.github.io/Logging_2361/klagomålsmail/A 38535-2019 FSC-klagomål mail.docx", "A 38535-2019")</f>
        <v/>
      </c>
      <c r="X49">
        <f>HYPERLINK("https://klasma.github.io/Logging_2361/tillsyn/A 38535-2019 tillsynsbegäran.docx", "A 38535-2019")</f>
        <v/>
      </c>
      <c r="Y49">
        <f>HYPERLINK("https://klasma.github.io/Logging_2361/tillsynsmail/A 38535-2019 tillsynsbegäran mail.docx", "A 38535-2019")</f>
        <v/>
      </c>
    </row>
    <row r="50" ht="15" customHeight="1">
      <c r="A50" t="inlineStr">
        <is>
          <t>A 51061-2019</t>
        </is>
      </c>
      <c r="B50" s="1" t="n">
        <v>43739</v>
      </c>
      <c r="C50" s="1" t="n">
        <v>45576</v>
      </c>
      <c r="D50" t="inlineStr">
        <is>
          <t>JÄMTLANDS LÄN</t>
        </is>
      </c>
      <c r="E50" t="inlineStr">
        <is>
          <t>HÄRJEDALEN</t>
        </is>
      </c>
      <c r="G50" t="n">
        <v>10.4</v>
      </c>
      <c r="H50" t="n">
        <v>0</v>
      </c>
      <c r="I50" t="n">
        <v>2</v>
      </c>
      <c r="J50" t="n">
        <v>8</v>
      </c>
      <c r="K50" t="n">
        <v>0</v>
      </c>
      <c r="L50" t="n">
        <v>0</v>
      </c>
      <c r="M50" t="n">
        <v>0</v>
      </c>
      <c r="N50" t="n">
        <v>0</v>
      </c>
      <c r="O50" t="n">
        <v>8</v>
      </c>
      <c r="P50" t="n">
        <v>0</v>
      </c>
      <c r="Q50" t="n">
        <v>10</v>
      </c>
      <c r="R50" s="2" t="inlineStr">
        <is>
          <t>Doftskinn
Garnlav
Granticka
Gränsticka
Harticka
Knottrig blåslav
Vedflamlav
Violettgrå tagellav
Stuplav
Vedticka</t>
        </is>
      </c>
      <c r="S50">
        <f>HYPERLINK("https://klasma.github.io/Logging_2361/artfynd/A 51061-2019 artfynd.xlsx", "A 51061-2019")</f>
        <v/>
      </c>
      <c r="T50">
        <f>HYPERLINK("https://klasma.github.io/Logging_2361/kartor/A 51061-2019 karta.png", "A 51061-2019")</f>
        <v/>
      </c>
      <c r="V50">
        <f>HYPERLINK("https://klasma.github.io/Logging_2361/klagomål/A 51061-2019 FSC-klagomål.docx", "A 51061-2019")</f>
        <v/>
      </c>
      <c r="W50">
        <f>HYPERLINK("https://klasma.github.io/Logging_2361/klagomålsmail/A 51061-2019 FSC-klagomål mail.docx", "A 51061-2019")</f>
        <v/>
      </c>
      <c r="X50">
        <f>HYPERLINK("https://klasma.github.io/Logging_2361/tillsyn/A 51061-2019 tillsynsbegäran.docx", "A 51061-2019")</f>
        <v/>
      </c>
      <c r="Y50">
        <f>HYPERLINK("https://klasma.github.io/Logging_2361/tillsynsmail/A 51061-2019 tillsynsbegäran mail.docx", "A 51061-2019")</f>
        <v/>
      </c>
    </row>
    <row r="51" ht="15" customHeight="1">
      <c r="A51" t="inlineStr">
        <is>
          <t>A 55158-2019</t>
        </is>
      </c>
      <c r="B51" s="1" t="n">
        <v>43756</v>
      </c>
      <c r="C51" s="1" t="n">
        <v>45576</v>
      </c>
      <c r="D51" t="inlineStr">
        <is>
          <t>JÄMTLANDS LÄN</t>
        </is>
      </c>
      <c r="E51" t="inlineStr">
        <is>
          <t>HÄRJEDALEN</t>
        </is>
      </c>
      <c r="G51" t="n">
        <v>11.5</v>
      </c>
      <c r="H51" t="n">
        <v>0</v>
      </c>
      <c r="I51" t="n">
        <v>2</v>
      </c>
      <c r="J51" t="n">
        <v>8</v>
      </c>
      <c r="K51" t="n">
        <v>0</v>
      </c>
      <c r="L51" t="n">
        <v>0</v>
      </c>
      <c r="M51" t="n">
        <v>0</v>
      </c>
      <c r="N51" t="n">
        <v>0</v>
      </c>
      <c r="O51" t="n">
        <v>8</v>
      </c>
      <c r="P51" t="n">
        <v>0</v>
      </c>
      <c r="Q51" t="n">
        <v>10</v>
      </c>
      <c r="R51" s="2" t="inlineStr">
        <is>
          <t>Garnlav
Kolflarnlav
Lunglav
Mörk kolflarnlav
Skrovellav
Vaddporing
Vedflamlav
Vedskivlav
Dropptaggsvamp
Luddlav</t>
        </is>
      </c>
      <c r="S51">
        <f>HYPERLINK("https://klasma.github.io/Logging_2361/artfynd/A 55158-2019 artfynd.xlsx", "A 55158-2019")</f>
        <v/>
      </c>
      <c r="T51">
        <f>HYPERLINK("https://klasma.github.io/Logging_2361/kartor/A 55158-2019 karta.png", "A 55158-2019")</f>
        <v/>
      </c>
      <c r="V51">
        <f>HYPERLINK("https://klasma.github.io/Logging_2361/klagomål/A 55158-2019 FSC-klagomål.docx", "A 55158-2019")</f>
        <v/>
      </c>
      <c r="W51">
        <f>HYPERLINK("https://klasma.github.io/Logging_2361/klagomålsmail/A 55158-2019 FSC-klagomål mail.docx", "A 55158-2019")</f>
        <v/>
      </c>
      <c r="X51">
        <f>HYPERLINK("https://klasma.github.io/Logging_2361/tillsyn/A 55158-2019 tillsynsbegäran.docx", "A 55158-2019")</f>
        <v/>
      </c>
      <c r="Y51">
        <f>HYPERLINK("https://klasma.github.io/Logging_2361/tillsynsmail/A 55158-2019 tillsynsbegäran mail.docx", "A 55158-2019")</f>
        <v/>
      </c>
    </row>
    <row r="52" ht="15" customHeight="1">
      <c r="A52" t="inlineStr">
        <is>
          <t>A 29799-2022</t>
        </is>
      </c>
      <c r="B52" s="1" t="n">
        <v>44755</v>
      </c>
      <c r="C52" s="1" t="n">
        <v>45576</v>
      </c>
      <c r="D52" t="inlineStr">
        <is>
          <t>JÄMTLANDS LÄN</t>
        </is>
      </c>
      <c r="E52" t="inlineStr">
        <is>
          <t>HÄRJEDALEN</t>
        </is>
      </c>
      <c r="F52" t="inlineStr">
        <is>
          <t>Kyrkan</t>
        </is>
      </c>
      <c r="G52" t="n">
        <v>21.4</v>
      </c>
      <c r="H52" t="n">
        <v>2</v>
      </c>
      <c r="I52" t="n">
        <v>0</v>
      </c>
      <c r="J52" t="n">
        <v>10</v>
      </c>
      <c r="K52" t="n">
        <v>0</v>
      </c>
      <c r="L52" t="n">
        <v>0</v>
      </c>
      <c r="M52" t="n">
        <v>0</v>
      </c>
      <c r="N52" t="n">
        <v>0</v>
      </c>
      <c r="O52" t="n">
        <v>10</v>
      </c>
      <c r="P52" t="n">
        <v>0</v>
      </c>
      <c r="Q52" t="n">
        <v>10</v>
      </c>
      <c r="R52" s="2" t="inlineStr">
        <is>
          <t>Blanksvart spiklav
Blågrå svartspik
Dvärgbägarlav
Knottrig blåslav
Ladlav
Mörk kolflarnlav
Talltita
Tretåig hackspett
Vedflamlav
Vedskivlav</t>
        </is>
      </c>
      <c r="S52">
        <f>HYPERLINK("https://klasma.github.io/Logging_2361/artfynd/A 29799-2022 artfynd.xlsx", "A 29799-2022")</f>
        <v/>
      </c>
      <c r="T52">
        <f>HYPERLINK("https://klasma.github.io/Logging_2361/kartor/A 29799-2022 karta.png", "A 29799-2022")</f>
        <v/>
      </c>
      <c r="V52">
        <f>HYPERLINK("https://klasma.github.io/Logging_2361/klagomål/A 29799-2022 FSC-klagomål.docx", "A 29799-2022")</f>
        <v/>
      </c>
      <c r="W52">
        <f>HYPERLINK("https://klasma.github.io/Logging_2361/klagomålsmail/A 29799-2022 FSC-klagomål mail.docx", "A 29799-2022")</f>
        <v/>
      </c>
      <c r="X52">
        <f>HYPERLINK("https://klasma.github.io/Logging_2361/tillsyn/A 29799-2022 tillsynsbegäran.docx", "A 29799-2022")</f>
        <v/>
      </c>
      <c r="Y52">
        <f>HYPERLINK("https://klasma.github.io/Logging_2361/tillsynsmail/A 29799-2022 tillsynsbegäran mail.docx", "A 29799-2022")</f>
        <v/>
      </c>
      <c r="Z52">
        <f>HYPERLINK("https://klasma.github.io/Logging_2361/fåglar/A 29799-2022 prioriterade fågelarter.docx", "A 29799-2022")</f>
        <v/>
      </c>
    </row>
    <row r="53" ht="15" customHeight="1">
      <c r="A53" t="inlineStr">
        <is>
          <t>A 16890-2024</t>
        </is>
      </c>
      <c r="B53" s="1" t="n">
        <v>45411</v>
      </c>
      <c r="C53" s="1" t="n">
        <v>45576</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28288-2024</t>
        </is>
      </c>
      <c r="B54" s="1" t="n">
        <v>45477</v>
      </c>
      <c r="C54" s="1" t="n">
        <v>45576</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43789-2024</t>
        </is>
      </c>
      <c r="B55" s="1" t="n">
        <v>45571</v>
      </c>
      <c r="C55" s="1" t="n">
        <v>45576</v>
      </c>
      <c r="D55" t="inlineStr">
        <is>
          <t>JÄMTLANDS LÄN</t>
        </is>
      </c>
      <c r="E55" t="inlineStr">
        <is>
          <t>HÄRJEDALEN</t>
        </is>
      </c>
      <c r="G55" t="n">
        <v>24.6</v>
      </c>
      <c r="H55" t="n">
        <v>2</v>
      </c>
      <c r="I55" t="n">
        <v>0</v>
      </c>
      <c r="J55" t="n">
        <v>9</v>
      </c>
      <c r="K55" t="n">
        <v>1</v>
      </c>
      <c r="L55" t="n">
        <v>0</v>
      </c>
      <c r="M55" t="n">
        <v>0</v>
      </c>
      <c r="N55" t="n">
        <v>0</v>
      </c>
      <c r="O55" t="n">
        <v>10</v>
      </c>
      <c r="P55" t="n">
        <v>1</v>
      </c>
      <c r="Q55" t="n">
        <v>10</v>
      </c>
      <c r="R55" s="2" t="inlineStr">
        <is>
          <t>Rynkskinn
Gammelgransskål
Granticka
Kolflarnlav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65905-2021</t>
        </is>
      </c>
      <c r="B56" s="1" t="n">
        <v>44517</v>
      </c>
      <c r="C56" s="1" t="n">
        <v>45576</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45576</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45576</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45576</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45576</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45576</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45576</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45576</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45576</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45576</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45576</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45576</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45576</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45576</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45576</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45576</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45576</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45576</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45576</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45576</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45576</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45576</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45576</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45576</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45576</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45576</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45576</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45576</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45576</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45576</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45576</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45576</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45576</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45576</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45576</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45576</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45576</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45576</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45576</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45576</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45576</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45576</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45576</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45576</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45576</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45576</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45576</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45576</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45576</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45576</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38070-2024</t>
        </is>
      </c>
      <c r="B106" s="1" t="n">
        <v>45544</v>
      </c>
      <c r="C106" s="1" t="n">
        <v>45576</v>
      </c>
      <c r="D106" t="inlineStr">
        <is>
          <t>JÄMTLANDS LÄN</t>
        </is>
      </c>
      <c r="E106" t="inlineStr">
        <is>
          <t>HÄRJEDALEN</t>
        </is>
      </c>
      <c r="G106" t="n">
        <v>5.1</v>
      </c>
      <c r="H106" t="n">
        <v>2</v>
      </c>
      <c r="I106" t="n">
        <v>0</v>
      </c>
      <c r="J106" t="n">
        <v>3</v>
      </c>
      <c r="K106" t="n">
        <v>0</v>
      </c>
      <c r="L106" t="n">
        <v>0</v>
      </c>
      <c r="M106" t="n">
        <v>0</v>
      </c>
      <c r="N106" t="n">
        <v>0</v>
      </c>
      <c r="O106" t="n">
        <v>3</v>
      </c>
      <c r="P106" t="n">
        <v>0</v>
      </c>
      <c r="Q106" t="n">
        <v>4</v>
      </c>
      <c r="R106" s="2" t="inlineStr">
        <is>
          <t>Skrovellav
Talltita
Vitgrynig nållav
Lavskrika</t>
        </is>
      </c>
      <c r="S106">
        <f>HYPERLINK("https://klasma.github.io/Logging_2361/artfynd/A 38070-2024 artfynd.xlsx", "A 38070-2024")</f>
        <v/>
      </c>
      <c r="T106">
        <f>HYPERLINK("https://klasma.github.io/Logging_2361/kartor/A 38070-2024 karta.png", "A 38070-2024")</f>
        <v/>
      </c>
      <c r="V106">
        <f>HYPERLINK("https://klasma.github.io/Logging_2361/klagomål/A 38070-2024 FSC-klagomål.docx", "A 38070-2024")</f>
        <v/>
      </c>
      <c r="W106">
        <f>HYPERLINK("https://klasma.github.io/Logging_2361/klagomålsmail/A 38070-2024 FSC-klagomål mail.docx", "A 38070-2024")</f>
        <v/>
      </c>
      <c r="X106">
        <f>HYPERLINK("https://klasma.github.io/Logging_2361/tillsyn/A 38070-2024 tillsynsbegäran.docx", "A 38070-2024")</f>
        <v/>
      </c>
      <c r="Y106">
        <f>HYPERLINK("https://klasma.github.io/Logging_2361/tillsynsmail/A 38070-2024 tillsynsbegäran mail.docx", "A 38070-2024")</f>
        <v/>
      </c>
      <c r="Z106">
        <f>HYPERLINK("https://klasma.github.io/Logging_2361/fåglar/A 38070-2024 prioriterade fågelarter.docx", "A 38070-2024")</f>
        <v/>
      </c>
    </row>
    <row r="107" ht="15" customHeight="1">
      <c r="A107" t="inlineStr">
        <is>
          <t>A 39687-2024</t>
        </is>
      </c>
      <c r="B107" s="1" t="n">
        <v>45552</v>
      </c>
      <c r="C107" s="1" t="n">
        <v>45576</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18156-2019</t>
        </is>
      </c>
      <c r="B108" s="1" t="n">
        <v>43558</v>
      </c>
      <c r="C108" s="1" t="n">
        <v>45576</v>
      </c>
      <c r="D108" t="inlineStr">
        <is>
          <t>JÄMTLANDS LÄN</t>
        </is>
      </c>
      <c r="E108" t="inlineStr">
        <is>
          <t>HÄRJEDALEN</t>
        </is>
      </c>
      <c r="F108" t="inlineStr">
        <is>
          <t>Bergvik skog väst AB</t>
        </is>
      </c>
      <c r="G108" t="n">
        <v>102.9</v>
      </c>
      <c r="H108" t="n">
        <v>0</v>
      </c>
      <c r="I108" t="n">
        <v>0</v>
      </c>
      <c r="J108" t="n">
        <v>1</v>
      </c>
      <c r="K108" t="n">
        <v>2</v>
      </c>
      <c r="L108" t="n">
        <v>0</v>
      </c>
      <c r="M108" t="n">
        <v>0</v>
      </c>
      <c r="N108" t="n">
        <v>0</v>
      </c>
      <c r="O108" t="n">
        <v>3</v>
      </c>
      <c r="P108" t="n">
        <v>2</v>
      </c>
      <c r="Q108" t="n">
        <v>3</v>
      </c>
      <c r="R108" s="2" t="inlineStr">
        <is>
          <t>Fläckporing
Laxporing
Stiftgelélav</t>
        </is>
      </c>
      <c r="S108">
        <f>HYPERLINK("https://klasma.github.io/Logging_2361/artfynd/A 18156-2019 artfynd.xlsx", "A 18156-2019")</f>
        <v/>
      </c>
      <c r="T108">
        <f>HYPERLINK("https://klasma.github.io/Logging_2361/kartor/A 18156-2019 karta.png", "A 18156-2019")</f>
        <v/>
      </c>
      <c r="V108">
        <f>HYPERLINK("https://klasma.github.io/Logging_2361/klagomål/A 18156-2019 FSC-klagomål.docx", "A 18156-2019")</f>
        <v/>
      </c>
      <c r="W108">
        <f>HYPERLINK("https://klasma.github.io/Logging_2361/klagomålsmail/A 18156-2019 FSC-klagomål mail.docx", "A 18156-2019")</f>
        <v/>
      </c>
      <c r="X108">
        <f>HYPERLINK("https://klasma.github.io/Logging_2361/tillsyn/A 18156-2019 tillsynsbegäran.docx", "A 18156-2019")</f>
        <v/>
      </c>
      <c r="Y108">
        <f>HYPERLINK("https://klasma.github.io/Logging_2361/tillsynsmail/A 18156-2019 tillsynsbegäran mail.docx", "A 18156-2019")</f>
        <v/>
      </c>
    </row>
    <row r="109" ht="15" customHeight="1">
      <c r="A109" t="inlineStr">
        <is>
          <t>A 35719-2019</t>
        </is>
      </c>
      <c r="B109" s="1" t="n">
        <v>43664</v>
      </c>
      <c r="C109" s="1" t="n">
        <v>45576</v>
      </c>
      <c r="D109" t="inlineStr">
        <is>
          <t>JÄMTLANDS LÄN</t>
        </is>
      </c>
      <c r="E109" t="inlineStr">
        <is>
          <t>HÄRJEDALEN</t>
        </is>
      </c>
      <c r="F109" t="inlineStr">
        <is>
          <t>SCA</t>
        </is>
      </c>
      <c r="G109" t="n">
        <v>17.7</v>
      </c>
      <c r="H109" t="n">
        <v>0</v>
      </c>
      <c r="I109" t="n">
        <v>1</v>
      </c>
      <c r="J109" t="n">
        <v>2</v>
      </c>
      <c r="K109" t="n">
        <v>0</v>
      </c>
      <c r="L109" t="n">
        <v>0</v>
      </c>
      <c r="M109" t="n">
        <v>0</v>
      </c>
      <c r="N109" t="n">
        <v>0</v>
      </c>
      <c r="O109" t="n">
        <v>2</v>
      </c>
      <c r="P109" t="n">
        <v>0</v>
      </c>
      <c r="Q109" t="n">
        <v>3</v>
      </c>
      <c r="R109" s="2" t="inlineStr">
        <is>
          <t>Kolflarnlav
Tallticka
Dropptaggsvamp</t>
        </is>
      </c>
      <c r="S109">
        <f>HYPERLINK("https://klasma.github.io/Logging_2361/artfynd/A 35719-2019 artfynd.xlsx", "A 35719-2019")</f>
        <v/>
      </c>
      <c r="T109">
        <f>HYPERLINK("https://klasma.github.io/Logging_2361/kartor/A 35719-2019 karta.png", "A 35719-2019")</f>
        <v/>
      </c>
      <c r="V109">
        <f>HYPERLINK("https://klasma.github.io/Logging_2361/klagomål/A 35719-2019 FSC-klagomål.docx", "A 35719-2019")</f>
        <v/>
      </c>
      <c r="W109">
        <f>HYPERLINK("https://klasma.github.io/Logging_2361/klagomålsmail/A 35719-2019 FSC-klagomål mail.docx", "A 35719-2019")</f>
        <v/>
      </c>
      <c r="X109">
        <f>HYPERLINK("https://klasma.github.io/Logging_2361/tillsyn/A 35719-2019 tillsynsbegäran.docx", "A 35719-2019")</f>
        <v/>
      </c>
      <c r="Y109">
        <f>HYPERLINK("https://klasma.github.io/Logging_2361/tillsynsmail/A 35719-2019 tillsynsbegäran mail.docx", "A 35719-2019")</f>
        <v/>
      </c>
    </row>
    <row r="110" ht="15" customHeight="1">
      <c r="A110" t="inlineStr">
        <is>
          <t>A 41873-2020</t>
        </is>
      </c>
      <c r="B110" s="1" t="n">
        <v>44074</v>
      </c>
      <c r="C110" s="1" t="n">
        <v>45576</v>
      </c>
      <c r="D110" t="inlineStr">
        <is>
          <t>JÄMTLANDS LÄN</t>
        </is>
      </c>
      <c r="E110" t="inlineStr">
        <is>
          <t>HÄRJEDALEN</t>
        </is>
      </c>
      <c r="F110" t="inlineStr">
        <is>
          <t>SCA</t>
        </is>
      </c>
      <c r="G110" t="n">
        <v>2.4</v>
      </c>
      <c r="H110" t="n">
        <v>2</v>
      </c>
      <c r="I110" t="n">
        <v>1</v>
      </c>
      <c r="J110" t="n">
        <v>1</v>
      </c>
      <c r="K110" t="n">
        <v>1</v>
      </c>
      <c r="L110" t="n">
        <v>0</v>
      </c>
      <c r="M110" t="n">
        <v>0</v>
      </c>
      <c r="N110" t="n">
        <v>0</v>
      </c>
      <c r="O110" t="n">
        <v>2</v>
      </c>
      <c r="P110" t="n">
        <v>1</v>
      </c>
      <c r="Q110" t="n">
        <v>3</v>
      </c>
      <c r="R110" s="2" t="inlineStr">
        <is>
          <t>Knärot
Garnlav
Korallrot</t>
        </is>
      </c>
      <c r="S110">
        <f>HYPERLINK("https://klasma.github.io/Logging_2361/artfynd/A 41873-2020 artfynd.xlsx", "A 41873-2020")</f>
        <v/>
      </c>
      <c r="T110">
        <f>HYPERLINK("https://klasma.github.io/Logging_2361/kartor/A 41873-2020 karta.png", "A 41873-2020")</f>
        <v/>
      </c>
      <c r="U110">
        <f>HYPERLINK("https://klasma.github.io/Logging_2361/knärot/A 41873-2020 karta knärot.png", "A 41873-2020")</f>
        <v/>
      </c>
      <c r="V110">
        <f>HYPERLINK("https://klasma.github.io/Logging_2361/klagomål/A 41873-2020 FSC-klagomål.docx", "A 41873-2020")</f>
        <v/>
      </c>
      <c r="W110">
        <f>HYPERLINK("https://klasma.github.io/Logging_2361/klagomålsmail/A 41873-2020 FSC-klagomål mail.docx", "A 41873-2020")</f>
        <v/>
      </c>
      <c r="X110">
        <f>HYPERLINK("https://klasma.github.io/Logging_2361/tillsyn/A 41873-2020 tillsynsbegäran.docx", "A 41873-2020")</f>
        <v/>
      </c>
      <c r="Y110">
        <f>HYPERLINK("https://klasma.github.io/Logging_2361/tillsynsmail/A 41873-2020 tillsynsbegäran mail.docx", "A 41873-2020")</f>
        <v/>
      </c>
    </row>
    <row r="111" ht="15" customHeight="1">
      <c r="A111" t="inlineStr">
        <is>
          <t>A 49864-2020</t>
        </is>
      </c>
      <c r="B111" s="1" t="n">
        <v>44107</v>
      </c>
      <c r="C111" s="1" t="n">
        <v>45576</v>
      </c>
      <c r="D111" t="inlineStr">
        <is>
          <t>JÄMTLANDS LÄN</t>
        </is>
      </c>
      <c r="E111" t="inlineStr">
        <is>
          <t>HÄRJEDALEN</t>
        </is>
      </c>
      <c r="F111" t="inlineStr">
        <is>
          <t>Bergvik skog väst AB</t>
        </is>
      </c>
      <c r="G111" t="n">
        <v>3.2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HYPERLINK("https://klasma.github.io/Logging_2361/artfynd/A 49864-2020 artfynd.xlsx", "A 49864-2020")</f>
        <v/>
      </c>
      <c r="T111">
        <f>HYPERLINK("https://klasma.github.io/Logging_2361/kartor/A 49864-2020 karta.png", "A 49864-2020")</f>
        <v/>
      </c>
      <c r="V111">
        <f>HYPERLINK("https://klasma.github.io/Logging_2361/klagomål/A 49864-2020 FSC-klagomål.docx", "A 49864-2020")</f>
        <v/>
      </c>
      <c r="W111">
        <f>HYPERLINK("https://klasma.github.io/Logging_2361/klagomålsmail/A 49864-2020 FSC-klagomål mail.docx", "A 49864-2020")</f>
        <v/>
      </c>
      <c r="X111">
        <f>HYPERLINK("https://klasma.github.io/Logging_2361/tillsyn/A 49864-2020 tillsynsbegäran.docx", "A 49864-2020")</f>
        <v/>
      </c>
      <c r="Y111">
        <f>HYPERLINK("https://klasma.github.io/Logging_2361/tillsynsmail/A 49864-2020 tillsynsbegäran mail.docx", "A 49864-2020")</f>
        <v/>
      </c>
      <c r="Z111">
        <f>HYPERLINK("https://klasma.github.io/Logging_2361/fåglar/A 49864-2020 prioriterade fågelarter.docx", "A 49864-2020")</f>
        <v/>
      </c>
    </row>
    <row r="112" ht="15" customHeight="1">
      <c r="A112" t="inlineStr">
        <is>
          <t>A 49863-2020</t>
        </is>
      </c>
      <c r="B112" s="1" t="n">
        <v>44107</v>
      </c>
      <c r="C112" s="1" t="n">
        <v>45576</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65147-2020</t>
        </is>
      </c>
      <c r="B113" s="1" t="n">
        <v>44172</v>
      </c>
      <c r="C113" s="1" t="n">
        <v>45576</v>
      </c>
      <c r="D113" t="inlineStr">
        <is>
          <t>JÄMTLANDS LÄN</t>
        </is>
      </c>
      <c r="E113" t="inlineStr">
        <is>
          <t>HÄRJEDALEN</t>
        </is>
      </c>
      <c r="G113" t="n">
        <v>5.9</v>
      </c>
      <c r="H113" t="n">
        <v>1</v>
      </c>
      <c r="I113" t="n">
        <v>0</v>
      </c>
      <c r="J113" t="n">
        <v>3</v>
      </c>
      <c r="K113" t="n">
        <v>0</v>
      </c>
      <c r="L113" t="n">
        <v>0</v>
      </c>
      <c r="M113" t="n">
        <v>0</v>
      </c>
      <c r="N113" t="n">
        <v>0</v>
      </c>
      <c r="O113" t="n">
        <v>3</v>
      </c>
      <c r="P113" t="n">
        <v>0</v>
      </c>
      <c r="Q113" t="n">
        <v>3</v>
      </c>
      <c r="R113" s="2" t="inlineStr">
        <is>
          <t>Blanksvart spiklav
Garnlav
Varglav</t>
        </is>
      </c>
      <c r="S113">
        <f>HYPERLINK("https://klasma.github.io/Logging_2361/artfynd/A 65147-2020 artfynd.xlsx", "A 65147-2020")</f>
        <v/>
      </c>
      <c r="T113">
        <f>HYPERLINK("https://klasma.github.io/Logging_2361/kartor/A 65147-2020 karta.png", "A 65147-2020")</f>
        <v/>
      </c>
      <c r="V113">
        <f>HYPERLINK("https://klasma.github.io/Logging_2361/klagomål/A 65147-2020 FSC-klagomål.docx", "A 65147-2020")</f>
        <v/>
      </c>
      <c r="W113">
        <f>HYPERLINK("https://klasma.github.io/Logging_2361/klagomålsmail/A 65147-2020 FSC-klagomål mail.docx", "A 65147-2020")</f>
        <v/>
      </c>
      <c r="X113">
        <f>HYPERLINK("https://klasma.github.io/Logging_2361/tillsyn/A 65147-2020 tillsynsbegäran.docx", "A 65147-2020")</f>
        <v/>
      </c>
      <c r="Y113">
        <f>HYPERLINK("https://klasma.github.io/Logging_2361/tillsynsmail/A 65147-2020 tillsynsbegäran mail.docx", "A 65147-2020")</f>
        <v/>
      </c>
    </row>
    <row r="114" ht="15" customHeight="1">
      <c r="A114" t="inlineStr">
        <is>
          <t>A 67126-2020</t>
        </is>
      </c>
      <c r="B114" s="1" t="n">
        <v>44180</v>
      </c>
      <c r="C114" s="1" t="n">
        <v>45576</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42826-2021</t>
        </is>
      </c>
      <c r="B115" s="1" t="n">
        <v>44430</v>
      </c>
      <c r="C115" s="1" t="n">
        <v>45576</v>
      </c>
      <c r="D115" t="inlineStr">
        <is>
          <t>JÄMTLANDS LÄN</t>
        </is>
      </c>
      <c r="E115" t="inlineStr">
        <is>
          <t>HÄRJEDALEN</t>
        </is>
      </c>
      <c r="F115" t="inlineStr">
        <is>
          <t>Sveaskog</t>
        </is>
      </c>
      <c r="G115" t="n">
        <v>8.1</v>
      </c>
      <c r="H115" t="n">
        <v>1</v>
      </c>
      <c r="I115" t="n">
        <v>0</v>
      </c>
      <c r="J115" t="n">
        <v>2</v>
      </c>
      <c r="K115" t="n">
        <v>1</v>
      </c>
      <c r="L115" t="n">
        <v>0</v>
      </c>
      <c r="M115" t="n">
        <v>0</v>
      </c>
      <c r="N115" t="n">
        <v>0</v>
      </c>
      <c r="O115" t="n">
        <v>3</v>
      </c>
      <c r="P115" t="n">
        <v>1</v>
      </c>
      <c r="Q115" t="n">
        <v>3</v>
      </c>
      <c r="R115" s="2" t="inlineStr">
        <is>
          <t>Knärot
Garnlav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row>
    <row r="116" ht="15" customHeight="1">
      <c r="A116" t="inlineStr">
        <is>
          <t>A 45717-2021</t>
        </is>
      </c>
      <c r="B116" s="1" t="n">
        <v>44441</v>
      </c>
      <c r="C116" s="1" t="n">
        <v>45576</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55244-2021</t>
        </is>
      </c>
      <c r="B117" s="1" t="n">
        <v>44475</v>
      </c>
      <c r="C117" s="1" t="n">
        <v>45576</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55233-2021</t>
        </is>
      </c>
      <c r="B118" s="1" t="n">
        <v>44475</v>
      </c>
      <c r="C118" s="1" t="n">
        <v>45576</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55394-2021</t>
        </is>
      </c>
      <c r="B119" s="1" t="n">
        <v>44475</v>
      </c>
      <c r="C119" s="1" t="n">
        <v>45576</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33914-2022</t>
        </is>
      </c>
      <c r="B120" s="1" t="n">
        <v>44790</v>
      </c>
      <c r="C120" s="1" t="n">
        <v>45576</v>
      </c>
      <c r="D120" t="inlineStr">
        <is>
          <t>JÄMTLANDS LÄN</t>
        </is>
      </c>
      <c r="E120" t="inlineStr">
        <is>
          <t>HÄRJEDALEN</t>
        </is>
      </c>
      <c r="F120" t="inlineStr">
        <is>
          <t>Bergvik skog väst AB</t>
        </is>
      </c>
      <c r="G120" t="n">
        <v>38.1</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HYPERLINK("https://klasma.github.io/Logging_2361/artfynd/A 33914-2022 artfynd.xlsx", "A 33914-2022")</f>
        <v/>
      </c>
      <c r="T120">
        <f>HYPERLINK("https://klasma.github.io/Logging_2361/kartor/A 33914-2022 karta.png", "A 33914-2022")</f>
        <v/>
      </c>
      <c r="V120">
        <f>HYPERLINK("https://klasma.github.io/Logging_2361/klagomål/A 33914-2022 FSC-klagomål.docx", "A 33914-2022")</f>
        <v/>
      </c>
      <c r="W120">
        <f>HYPERLINK("https://klasma.github.io/Logging_2361/klagomålsmail/A 33914-2022 FSC-klagomål mail.docx", "A 33914-2022")</f>
        <v/>
      </c>
      <c r="X120">
        <f>HYPERLINK("https://klasma.github.io/Logging_2361/tillsyn/A 33914-2022 tillsynsbegäran.docx", "A 33914-2022")</f>
        <v/>
      </c>
      <c r="Y120">
        <f>HYPERLINK("https://klasma.github.io/Logging_2361/tillsynsmail/A 33914-2022 tillsynsbegäran mail.docx", "A 33914-2022")</f>
        <v/>
      </c>
      <c r="Z120">
        <f>HYPERLINK("https://klasma.github.io/Logging_2361/fåglar/A 33914-2022 prioriterade fågelarter.docx", "A 33914-2022")</f>
        <v/>
      </c>
    </row>
    <row r="121" ht="15" customHeight="1">
      <c r="A121" t="inlineStr">
        <is>
          <t>A 34035-2022</t>
        </is>
      </c>
      <c r="B121" s="1" t="n">
        <v>44791</v>
      </c>
      <c r="C121" s="1" t="n">
        <v>45576</v>
      </c>
      <c r="D121" t="inlineStr">
        <is>
          <t>JÄMTLANDS LÄN</t>
        </is>
      </c>
      <c r="E121" t="inlineStr">
        <is>
          <t>HÄRJEDALEN</t>
        </is>
      </c>
      <c r="F121" t="inlineStr">
        <is>
          <t>Naturvårdsverket</t>
        </is>
      </c>
      <c r="G121" t="n">
        <v>27.4</v>
      </c>
      <c r="H121" t="n">
        <v>0</v>
      </c>
      <c r="I121" t="n">
        <v>0</v>
      </c>
      <c r="J121" t="n">
        <v>3</v>
      </c>
      <c r="K121" t="n">
        <v>0</v>
      </c>
      <c r="L121" t="n">
        <v>0</v>
      </c>
      <c r="M121" t="n">
        <v>0</v>
      </c>
      <c r="N121" t="n">
        <v>0</v>
      </c>
      <c r="O121" t="n">
        <v>3</v>
      </c>
      <c r="P121" t="n">
        <v>0</v>
      </c>
      <c r="Q121" t="n">
        <v>3</v>
      </c>
      <c r="R121" s="2" t="inlineStr">
        <is>
          <t>Gammelgransskål
Garnlav
Gränsticka</t>
        </is>
      </c>
      <c r="S121">
        <f>HYPERLINK("https://klasma.github.io/Logging_2361/artfynd/A 34035-2022 artfynd.xlsx", "A 34035-2022")</f>
        <v/>
      </c>
      <c r="T121">
        <f>HYPERLINK("https://klasma.github.io/Logging_2361/kartor/A 34035-2022 karta.png", "A 34035-2022")</f>
        <v/>
      </c>
      <c r="V121">
        <f>HYPERLINK("https://klasma.github.io/Logging_2361/klagomål/A 34035-2022 FSC-klagomål.docx", "A 34035-2022")</f>
        <v/>
      </c>
      <c r="W121">
        <f>HYPERLINK("https://klasma.github.io/Logging_2361/klagomålsmail/A 34035-2022 FSC-klagomål mail.docx", "A 34035-2022")</f>
        <v/>
      </c>
      <c r="X121">
        <f>HYPERLINK("https://klasma.github.io/Logging_2361/tillsyn/A 34035-2022 tillsynsbegäran.docx", "A 34035-2022")</f>
        <v/>
      </c>
      <c r="Y121">
        <f>HYPERLINK("https://klasma.github.io/Logging_2361/tillsynsmail/A 34035-2022 tillsynsbegäran mail.docx", "A 34035-2022")</f>
        <v/>
      </c>
    </row>
    <row r="122" ht="15" customHeight="1">
      <c r="A122" t="inlineStr">
        <is>
          <t>A 55383-2022</t>
        </is>
      </c>
      <c r="B122" s="1" t="n">
        <v>44882</v>
      </c>
      <c r="C122" s="1" t="n">
        <v>45576</v>
      </c>
      <c r="D122" t="inlineStr">
        <is>
          <t>JÄMTLANDS LÄN</t>
        </is>
      </c>
      <c r="E122" t="inlineStr">
        <is>
          <t>HÄRJEDALEN</t>
        </is>
      </c>
      <c r="G122" t="n">
        <v>11</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55383-2022 artfynd.xlsx", "A 55383-2022")</f>
        <v/>
      </c>
      <c r="T122">
        <f>HYPERLINK("https://klasma.github.io/Logging_2361/kartor/A 55383-2022 karta.png", "A 55383-2022")</f>
        <v/>
      </c>
      <c r="V122">
        <f>HYPERLINK("https://klasma.github.io/Logging_2361/klagomål/A 55383-2022 FSC-klagomål.docx", "A 55383-2022")</f>
        <v/>
      </c>
      <c r="W122">
        <f>HYPERLINK("https://klasma.github.io/Logging_2361/klagomålsmail/A 55383-2022 FSC-klagomål mail.docx", "A 55383-2022")</f>
        <v/>
      </c>
      <c r="X122">
        <f>HYPERLINK("https://klasma.github.io/Logging_2361/tillsyn/A 55383-2022 tillsynsbegäran.docx", "A 55383-2022")</f>
        <v/>
      </c>
      <c r="Y122">
        <f>HYPERLINK("https://klasma.github.io/Logging_2361/tillsynsmail/A 55383-2022 tillsynsbegäran mail.docx", "A 55383-2022")</f>
        <v/>
      </c>
      <c r="Z122">
        <f>HYPERLINK("https://klasma.github.io/Logging_2361/fåglar/A 55383-2022 prioriterade fågelarter.docx", "A 55383-2022")</f>
        <v/>
      </c>
    </row>
    <row r="123" ht="15" customHeight="1">
      <c r="A123" t="inlineStr">
        <is>
          <t>A 14060-2023</t>
        </is>
      </c>
      <c r="B123" s="1" t="n">
        <v>45007</v>
      </c>
      <c r="C123" s="1" t="n">
        <v>45576</v>
      </c>
      <c r="D123" t="inlineStr">
        <is>
          <t>JÄMTLANDS LÄN</t>
        </is>
      </c>
      <c r="E123" t="inlineStr">
        <is>
          <t>HÄRJEDALEN</t>
        </is>
      </c>
      <c r="F123" t="inlineStr">
        <is>
          <t>Bergvik skog väst AB</t>
        </is>
      </c>
      <c r="G123" t="n">
        <v>6.7</v>
      </c>
      <c r="H123" t="n">
        <v>0</v>
      </c>
      <c r="I123" t="n">
        <v>0</v>
      </c>
      <c r="J123" t="n">
        <v>0</v>
      </c>
      <c r="K123" t="n">
        <v>2</v>
      </c>
      <c r="L123" t="n">
        <v>1</v>
      </c>
      <c r="M123" t="n">
        <v>0</v>
      </c>
      <c r="N123" t="n">
        <v>0</v>
      </c>
      <c r="O123" t="n">
        <v>3</v>
      </c>
      <c r="P123" t="n">
        <v>3</v>
      </c>
      <c r="Q123" t="n">
        <v>3</v>
      </c>
      <c r="R123" s="2" t="inlineStr">
        <is>
          <t>Urskogsporing
Fläckporing
Gräddporing</t>
        </is>
      </c>
      <c r="S123">
        <f>HYPERLINK("https://klasma.github.io/Logging_2361/artfynd/A 14060-2023 artfynd.xlsx", "A 14060-2023")</f>
        <v/>
      </c>
      <c r="T123">
        <f>HYPERLINK("https://klasma.github.io/Logging_2361/kartor/A 14060-2023 karta.png", "A 14060-2023")</f>
        <v/>
      </c>
      <c r="V123">
        <f>HYPERLINK("https://klasma.github.io/Logging_2361/klagomål/A 14060-2023 FSC-klagomål.docx", "A 14060-2023")</f>
        <v/>
      </c>
      <c r="W123">
        <f>HYPERLINK("https://klasma.github.io/Logging_2361/klagomålsmail/A 14060-2023 FSC-klagomål mail.docx", "A 14060-2023")</f>
        <v/>
      </c>
      <c r="X123">
        <f>HYPERLINK("https://klasma.github.io/Logging_2361/tillsyn/A 14060-2023 tillsynsbegäran.docx", "A 14060-2023")</f>
        <v/>
      </c>
      <c r="Y123">
        <f>HYPERLINK("https://klasma.github.io/Logging_2361/tillsynsmail/A 14060-2023 tillsynsbegäran mail.docx", "A 14060-2023")</f>
        <v/>
      </c>
    </row>
    <row r="124" ht="15" customHeight="1">
      <c r="A124" t="inlineStr">
        <is>
          <t>A 19659-2023</t>
        </is>
      </c>
      <c r="B124" s="1" t="n">
        <v>45050</v>
      </c>
      <c r="C124" s="1" t="n">
        <v>45576</v>
      </c>
      <c r="D124" t="inlineStr">
        <is>
          <t>JÄMTLANDS LÄN</t>
        </is>
      </c>
      <c r="E124" t="inlineStr">
        <is>
          <t>HÄRJEDALEN</t>
        </is>
      </c>
      <c r="F124" t="inlineStr">
        <is>
          <t>Bergvik skog väst AB</t>
        </is>
      </c>
      <c r="G124" t="n">
        <v>2.8</v>
      </c>
      <c r="H124" t="n">
        <v>0</v>
      </c>
      <c r="I124" t="n">
        <v>0</v>
      </c>
      <c r="J124" t="n">
        <v>3</v>
      </c>
      <c r="K124" t="n">
        <v>0</v>
      </c>
      <c r="L124" t="n">
        <v>0</v>
      </c>
      <c r="M124" t="n">
        <v>0</v>
      </c>
      <c r="N124" t="n">
        <v>0</v>
      </c>
      <c r="O124" t="n">
        <v>3</v>
      </c>
      <c r="P124" t="n">
        <v>0</v>
      </c>
      <c r="Q124" t="n">
        <v>3</v>
      </c>
      <c r="R124" s="2" t="inlineStr">
        <is>
          <t>Gäckporing
Nordtagging
Vedskivlav</t>
        </is>
      </c>
      <c r="S124">
        <f>HYPERLINK("https://klasma.github.io/Logging_2361/artfynd/A 19659-2023 artfynd.xlsx", "A 19659-2023")</f>
        <v/>
      </c>
      <c r="T124">
        <f>HYPERLINK("https://klasma.github.io/Logging_2361/kartor/A 19659-2023 karta.png", "A 19659-2023")</f>
        <v/>
      </c>
      <c r="V124">
        <f>HYPERLINK("https://klasma.github.io/Logging_2361/klagomål/A 19659-2023 FSC-klagomål.docx", "A 19659-2023")</f>
        <v/>
      </c>
      <c r="W124">
        <f>HYPERLINK("https://klasma.github.io/Logging_2361/klagomålsmail/A 19659-2023 FSC-klagomål mail.docx", "A 19659-2023")</f>
        <v/>
      </c>
      <c r="X124">
        <f>HYPERLINK("https://klasma.github.io/Logging_2361/tillsyn/A 19659-2023 tillsynsbegäran.docx", "A 19659-2023")</f>
        <v/>
      </c>
      <c r="Y124">
        <f>HYPERLINK("https://klasma.github.io/Logging_2361/tillsynsmail/A 19659-2023 tillsynsbegäran mail.docx", "A 19659-2023")</f>
        <v/>
      </c>
    </row>
    <row r="125" ht="15" customHeight="1">
      <c r="A125" t="inlineStr">
        <is>
          <t>A 57572-2023</t>
        </is>
      </c>
      <c r="B125" s="1" t="n">
        <v>45246</v>
      </c>
      <c r="C125" s="1" t="n">
        <v>45576</v>
      </c>
      <c r="D125" t="inlineStr">
        <is>
          <t>JÄMTLANDS LÄN</t>
        </is>
      </c>
      <c r="E125" t="inlineStr">
        <is>
          <t>HÄRJEDALEN</t>
        </is>
      </c>
      <c r="G125" t="n">
        <v>40.5</v>
      </c>
      <c r="H125" t="n">
        <v>0</v>
      </c>
      <c r="I125" t="n">
        <v>0</v>
      </c>
      <c r="J125" t="n">
        <v>2</v>
      </c>
      <c r="K125" t="n">
        <v>1</v>
      </c>
      <c r="L125" t="n">
        <v>0</v>
      </c>
      <c r="M125" t="n">
        <v>0</v>
      </c>
      <c r="N125" t="n">
        <v>0</v>
      </c>
      <c r="O125" t="n">
        <v>3</v>
      </c>
      <c r="P125" t="n">
        <v>1</v>
      </c>
      <c r="Q125" t="n">
        <v>3</v>
      </c>
      <c r="R125" s="2" t="inlineStr">
        <is>
          <t>Gräddporing
Nordtagging
Skrovellav</t>
        </is>
      </c>
      <c r="S125">
        <f>HYPERLINK("https://klasma.github.io/Logging_2361/artfynd/A 57572-2023 artfynd.xlsx", "A 57572-2023")</f>
        <v/>
      </c>
      <c r="T125">
        <f>HYPERLINK("https://klasma.github.io/Logging_2361/kartor/A 57572-2023 karta.png", "A 57572-2023")</f>
        <v/>
      </c>
      <c r="V125">
        <f>HYPERLINK("https://klasma.github.io/Logging_2361/klagomål/A 57572-2023 FSC-klagomål.docx", "A 57572-2023")</f>
        <v/>
      </c>
      <c r="W125">
        <f>HYPERLINK("https://klasma.github.io/Logging_2361/klagomålsmail/A 57572-2023 FSC-klagomål mail.docx", "A 57572-2023")</f>
        <v/>
      </c>
      <c r="X125">
        <f>HYPERLINK("https://klasma.github.io/Logging_2361/tillsyn/A 57572-2023 tillsynsbegäran.docx", "A 57572-2023")</f>
        <v/>
      </c>
      <c r="Y125">
        <f>HYPERLINK("https://klasma.github.io/Logging_2361/tillsynsmail/A 57572-2023 tillsynsbegäran mail.docx", "A 57572-2023")</f>
        <v/>
      </c>
    </row>
    <row r="126" ht="15" customHeight="1">
      <c r="A126" t="inlineStr">
        <is>
          <t>A 22781-2024</t>
        </is>
      </c>
      <c r="B126" s="1" t="n">
        <v>45448</v>
      </c>
      <c r="C126" s="1" t="n">
        <v>45576</v>
      </c>
      <c r="D126" t="inlineStr">
        <is>
          <t>JÄMTLANDS LÄN</t>
        </is>
      </c>
      <c r="E126" t="inlineStr">
        <is>
          <t>HÄRJEDALEN</t>
        </is>
      </c>
      <c r="F126" t="inlineStr">
        <is>
          <t>Holmen skog AB</t>
        </is>
      </c>
      <c r="G126" t="n">
        <v>5.8</v>
      </c>
      <c r="H126" t="n">
        <v>2</v>
      </c>
      <c r="I126" t="n">
        <v>0</v>
      </c>
      <c r="J126" t="n">
        <v>1</v>
      </c>
      <c r="K126" t="n">
        <v>1</v>
      </c>
      <c r="L126" t="n">
        <v>0</v>
      </c>
      <c r="M126" t="n">
        <v>0</v>
      </c>
      <c r="N126" t="n">
        <v>0</v>
      </c>
      <c r="O126" t="n">
        <v>2</v>
      </c>
      <c r="P126" t="n">
        <v>1</v>
      </c>
      <c r="Q126" t="n">
        <v>3</v>
      </c>
      <c r="R126" s="2" t="inlineStr">
        <is>
          <t>Knärot
Knottrig blåslav
Huggorm</t>
        </is>
      </c>
      <c r="S126">
        <f>HYPERLINK("https://klasma.github.io/Logging_2361/artfynd/A 22781-2024 artfynd.xlsx", "A 22781-2024")</f>
        <v/>
      </c>
      <c r="T126">
        <f>HYPERLINK("https://klasma.github.io/Logging_2361/kartor/A 22781-2024 karta.png", "A 22781-2024")</f>
        <v/>
      </c>
      <c r="U126">
        <f>HYPERLINK("https://klasma.github.io/Logging_2361/knärot/A 22781-2024 karta knärot.png", "A 22781-2024")</f>
        <v/>
      </c>
      <c r="V126">
        <f>HYPERLINK("https://klasma.github.io/Logging_2361/klagomål/A 22781-2024 FSC-klagomål.docx", "A 22781-2024")</f>
        <v/>
      </c>
      <c r="W126">
        <f>HYPERLINK("https://klasma.github.io/Logging_2361/klagomålsmail/A 22781-2024 FSC-klagomål mail.docx", "A 22781-2024")</f>
        <v/>
      </c>
      <c r="X126">
        <f>HYPERLINK("https://klasma.github.io/Logging_2361/tillsyn/A 22781-2024 tillsynsbegäran.docx", "A 22781-2024")</f>
        <v/>
      </c>
      <c r="Y126">
        <f>HYPERLINK("https://klasma.github.io/Logging_2361/tillsynsmail/A 22781-2024 tillsynsbegäran mail.docx", "A 22781-2024")</f>
        <v/>
      </c>
    </row>
    <row r="127" ht="15" customHeight="1">
      <c r="A127" t="inlineStr">
        <is>
          <t>A 26225-2024</t>
        </is>
      </c>
      <c r="B127" s="1" t="n">
        <v>45468</v>
      </c>
      <c r="C127" s="1" t="n">
        <v>45576</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38064-2024</t>
        </is>
      </c>
      <c r="B128" s="1" t="n">
        <v>45544</v>
      </c>
      <c r="C128" s="1" t="n">
        <v>45576</v>
      </c>
      <c r="D128" t="inlineStr">
        <is>
          <t>JÄMTLANDS LÄN</t>
        </is>
      </c>
      <c r="E128" t="inlineStr">
        <is>
          <t>HÄRJEDALEN</t>
        </is>
      </c>
      <c r="G128" t="n">
        <v>13</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HYPERLINK("https://klasma.github.io/Logging_2361/artfynd/A 38064-2024 artfynd.xlsx", "A 38064-2024")</f>
        <v/>
      </c>
      <c r="T128">
        <f>HYPERLINK("https://klasma.github.io/Logging_2361/kartor/A 38064-2024 karta.png", "A 38064-2024")</f>
        <v/>
      </c>
      <c r="V128">
        <f>HYPERLINK("https://klasma.github.io/Logging_2361/klagomål/A 38064-2024 FSC-klagomål.docx", "A 38064-2024")</f>
        <v/>
      </c>
      <c r="W128">
        <f>HYPERLINK("https://klasma.github.io/Logging_2361/klagomålsmail/A 38064-2024 FSC-klagomål mail.docx", "A 38064-2024")</f>
        <v/>
      </c>
      <c r="X128">
        <f>HYPERLINK("https://klasma.github.io/Logging_2361/tillsyn/A 38064-2024 tillsynsbegäran.docx", "A 38064-2024")</f>
        <v/>
      </c>
      <c r="Y128">
        <f>HYPERLINK("https://klasma.github.io/Logging_2361/tillsynsmail/A 38064-2024 tillsynsbegäran mail.docx", "A 38064-2024")</f>
        <v/>
      </c>
      <c r="Z128">
        <f>HYPERLINK("https://klasma.github.io/Logging_2361/fåglar/A 38064-2024 prioriterade fågelarter.docx", "A 38064-2024")</f>
        <v/>
      </c>
    </row>
    <row r="129" ht="15" customHeight="1">
      <c r="A129" t="inlineStr">
        <is>
          <t>A 28321-2019</t>
        </is>
      </c>
      <c r="B129" s="1" t="n">
        <v>43623</v>
      </c>
      <c r="C129" s="1" t="n">
        <v>45576</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45576</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45576</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45576</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45576</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45576</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45576</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45576</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45576</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45576</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45576</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45576</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45576</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45576</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45576</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45576</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45576</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45576</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45576</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45576</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45576</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45576</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45576</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45576</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45576</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45576</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45576</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45576</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45576</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45576</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45576</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45576</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45576</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45576</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45576</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45576</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45576</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45576</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45576</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45576</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45576</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45576</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45576</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45576</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45576</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45576</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45576</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45576</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45576</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45576</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45576</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45576</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45576</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45576</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45576</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45576</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45576</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45576</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45576</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45576</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45576</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45576</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45576</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45576</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45576</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45576</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45576</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45576</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45576</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45576</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45576</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45576</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45576</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45576</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45576</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45576</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45576</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45576</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45576</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45576</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45576</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45576</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45576</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45576</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45576</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45576</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45576</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45576</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45576</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45576</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45576</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45576</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45576</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45576</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45576</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45576</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45576</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45576</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45576</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45576</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45576</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45576</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45576</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45576</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45576</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45576</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45576</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45576</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45576</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45576</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45576</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45576</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45576</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45576</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45576</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45576</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45576</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45576</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45576</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45576</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45576</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45576</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45576</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45576</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45576</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45576</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45576</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45576</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45576</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45576</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45576</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45576</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45576</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45576</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45576</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45576</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45576</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45576</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45576</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45576</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45576</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45576</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45576</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45576</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45576</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45576</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45576</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45576</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45576</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45576</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45576</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45576</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45576</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45576</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45576</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45576</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45576</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45576</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45576</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45576</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45576</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45576</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45576</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45576</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45576</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45576</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45576</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45576</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45576</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45576</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45576</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45576</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45576</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45576</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45576</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45576</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45576</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45576</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45576</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45576</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45576</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45576</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45576</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45576</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45576</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45576</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45576</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45576</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45576</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45576</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45576</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45576</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45576</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45576</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45576</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45576</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45576</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45576</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45576</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45576</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45576</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45576</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45576</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45576</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45576</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45576</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45576</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45576</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45576</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45576</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45576</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45576</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45576</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45576</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45576</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45576</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45576</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45576</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45576</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45576</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45576</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45576</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45576</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45576</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45576</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45576</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45576</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45576</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45576</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45576</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45576</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45576</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45576</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45576</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45576</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45576</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45576</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45576</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45576</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45576</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45576</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45576</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45576</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45576</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45576</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45576</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45576</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45576</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45576</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45576</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45576</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45576</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45576</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45576</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45576</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45576</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45576</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45576</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45576</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45576</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45576</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45576</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45576</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45576</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45576</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45576</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45576</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45576</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45576</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45576</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45576</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45576</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45576</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45576</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45576</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45576</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45576</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45576</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45576</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45576</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45576</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45576</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45576</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45576</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45576</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45576</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45576</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45576</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45576</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45576</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45576</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45576</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45576</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45576</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45576</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45576</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45576</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45576</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45576</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45576</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45576</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45576</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45576</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45576</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45576</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45576</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45576</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45576</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45576</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45576</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45576</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45576</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45576</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45576</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45576</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45576</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45576</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45576</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45576</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45576</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45576</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45576</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45576</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45576</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45576</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45576</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45576</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45576</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45576</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45576</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45576</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45576</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45576</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45576</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45576</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45576</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45576</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45576</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45576</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45576</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45576</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45576</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45576</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45576</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45576</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45576</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45576</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45576</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45576</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45576</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45576</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45576</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45576</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45576</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45576</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45576</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45576</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45576</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45576</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45576</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45576</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45576</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45576</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45576</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45576</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45576</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45576</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45576</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45576</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45576</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45576</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45576</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45576</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45576</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45576</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45576</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45576</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45576</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45576</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45576</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45576</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45576</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45576</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45576</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45576</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45576</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45576</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45576</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45576</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45576</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45576</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45576</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45576</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45576</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45576</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45576</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45576</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45576</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45576</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45576</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45576</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45576</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45576</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45576</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45576</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45576</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45576</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45576</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45576</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45576</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45576</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45576</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45576</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45576</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45576</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45576</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45576</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45576</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45576</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45576</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45576</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45576</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45576</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45576</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45576</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45576</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45576</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45576</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45576</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45576</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45576</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45576</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45576</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45576</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45576</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45576</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45576</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45576</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45576</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45576</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45576</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45576</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45576</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45576</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45576</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45576</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45576</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45576</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45576</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45576</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45576</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45576</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45576</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45576</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45576</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45576</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45576</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45576</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45576</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45576</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45576</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45576</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45576</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45576</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45576</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45576</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45576</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45576</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45576</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45576</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45576</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45576</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45576</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45576</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45576</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45576</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45576</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45576</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45576</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45576</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45576</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45576</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45576</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45576</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45576</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45576</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45576</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45576</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45576</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45576</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45576</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45576</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45576</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45576</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45576</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45576</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45576</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45576</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45576</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45576</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45576</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45576</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45576</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45576</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45576</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45576</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45576</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45576</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45576</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45576</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45576</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45576</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45576</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45576</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45576</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45576</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45576</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45576</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45576</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45576</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45576</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45576</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45576</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45576</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45576</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45576</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45576</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45576</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45576</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45576</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45576</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45576</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45576</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45576</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45576</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45576</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45576</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45576</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45576</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45576</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45576</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45576</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45576</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45576</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45576</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45576</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45576</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45576</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45576</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45576</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45576</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45576</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45576</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45576</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45576</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45576</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45576</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45576</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45576</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45576</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45576</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45576</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45576</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45576</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45576</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45576</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45576</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45576</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45576</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45576</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45576</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45576</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45576</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45576</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45576</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45576</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45576</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45576</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45576</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45576</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45576</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45576</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45576</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45576</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45576</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45576</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45576</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45576</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45576</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45576</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45576</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45576</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45576</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45576</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45576</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45576</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45576</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45576</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45576</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45576</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45576</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45576</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45576</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45576</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45576</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45576</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45576</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45576</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45576</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45576</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45576</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45576</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45576</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45576</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45576</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45576</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45576</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45576</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45576</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45576</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45576</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45576</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45576</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45576</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45576</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45576</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45576</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45576</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45576</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45576</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45576</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45576</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45576</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45576</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45576</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45576</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45576</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45576</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45576</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45576</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45576</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45576</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45576</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45576</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45576</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45576</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45576</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45576</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45576</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45576</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45576</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45576</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45576</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45576</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45576</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45576</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45576</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45576</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45576</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45576</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45576</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45576</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45576</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45576</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45576</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45576</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45576</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45576</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45576</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45576</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45576</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45576</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45576</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45576</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45576</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45576</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45576</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45576</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45576</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45576</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45576</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45576</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45576</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45576</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45576</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45576</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45576</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45576</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45576</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45576</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45576</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45576</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45576</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45576</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45576</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45576</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45576</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45576</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45576</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45576</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45576</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45576</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45576</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45576</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45576</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45576</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45576</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45576</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45576</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45576</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45576</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45576</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45576</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45576</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45576</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45576</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45576</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45576</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45576</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45576</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45576</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45576</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45576</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45576</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45576</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45576</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45576</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45576</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45576</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45576</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45576</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45576</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45576</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45576</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45576</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45576</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45576</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45576</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45576</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45576</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45576</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45576</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45576</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45576</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45576</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45576</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45576</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45576</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45576</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45576</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45576</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45576</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45576</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45576</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45576</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45576</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45576</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45576</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45576</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45576</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45576</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45576</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45576</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45576</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45576</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45576</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45576</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45576</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45576</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45576</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45576</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45576</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45576</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45576</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45576</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45576</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45576</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45576</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45576</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45576</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45576</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45576</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45576</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45576</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45576</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45576</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45576</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45576</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45576</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45576</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45576</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45576</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45576</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45576</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45576</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45576</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45576</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45576</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45576</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45576</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45576</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45576</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45576</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45576</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45576</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45576</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45576</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45576</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45576</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45576</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45576</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45576</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45576</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45576</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45576</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45576</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45576</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45576</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45576</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45576</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45576</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45576</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45576</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45576</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45576</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45576</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45576</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45576</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45576</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45576</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45576</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45576</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45576</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45576</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45576</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45576</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45576</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45576</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45576</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45576</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45576</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45576</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45576</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45576</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45576</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45576</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45576</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45576</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45576</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45576</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45576</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45576</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45576</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45576</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45576</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45576</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45576</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45576</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45576</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45576</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45576</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45576</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45576</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45576</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45576</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45576</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45576</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45576</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45576</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45576</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45576</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45576</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45576</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45576</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45576</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45576</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45576</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45576</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45576</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45576</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45576</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45576</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45576</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45576</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45576</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45576</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45576</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45576</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45576</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45576</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45576</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45576</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45576</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45576</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45576</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45576</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45576</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45576</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45576</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45576</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45576</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45576</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45576</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45576</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45576</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45576</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45576</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45576</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45576</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45576</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45576</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45576</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45576</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45576</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45576</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45576</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45576</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45576</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45576</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45576</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45576</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45576</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45576</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45576</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45576</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45576</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45576</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45576</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45576</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45576</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45576</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45576</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45576</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45576</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45576</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45576</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45576</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45576</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45576</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45576</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45576</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45576</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45576</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45576</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45576</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45576</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45576</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45576</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45576</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45576</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45576</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45576</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45576</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45576</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45576</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45576</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45576</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45576</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45576</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45576</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45576</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45576</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45576</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45576</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45576</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45576</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45576</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45576</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45576</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45576</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45576</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45576</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45576</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45576</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45576</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45576</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45576</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45576</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45576</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45576</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45576</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45576</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45576</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45576</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45576</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45576</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45576</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45576</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45576</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45576</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45576</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45576</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45576</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45576</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45576</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45576</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45576</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45576</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45576</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45576</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45576</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45576</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45576</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45576</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45576</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45576</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45576</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45576</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45576</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45576</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45576</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45576</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45576</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45576</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45576</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45576</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45576</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45576</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45576</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45576</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45576</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45576</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45576</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45576</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45576</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45576</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45576</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45576</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45576</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45576</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45576</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45576</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45576</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45576</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45576</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45576</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45576</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45576</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45576</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45576</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45576</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45576</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45576</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45576</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45576</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45576</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45576</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45576</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45576</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45576</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45576</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45576</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45576</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45576</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45576</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45576</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45576</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45576</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45576</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45576</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45576</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45576</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45576</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45576</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45576</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45576</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45576</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45576</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45576</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45576</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45576</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45576</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45576</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45576</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45576</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45576</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45576</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45576</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45576</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45576</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45576</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45576</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45576</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45576</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45576</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45576</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45576</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45576</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45576</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45576</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45576</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45576</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45576</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45576</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45576</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45576</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45576</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45576</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45576</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45576</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45576</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45576</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45576</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45576</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45576</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45576</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45576</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45576</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45576</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45576</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45576</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45576</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45576</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45576</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45576</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45576</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45576</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45576</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45576</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45576</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45576</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45576</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45576</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45576</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45576</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45576</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45576</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45576</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45576</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45576</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45576</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45576</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45576</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45576</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45576</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45576</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45576</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45576</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45576</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45576</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45576</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45576</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45576</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45576</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45576</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45576</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45576</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45576</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45576</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45576</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45576</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45576</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45576</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45576</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45576</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45576</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45576</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45576</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45576</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45576</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45576</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45576</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45576</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45576</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45576</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45576</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45576</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45576</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45576</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45576</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45576</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45576</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45576</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45576</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45576</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45576</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45576</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45576</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45576</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45576</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45576</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45576</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45576</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45576</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45576</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45576</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45576</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45576</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45576</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45576</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45576</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45576</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45576</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45576</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45576</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45576</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45576</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45576</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45576</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45576</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45576</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45576</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45576</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45576</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45576</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45576</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45576</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45576</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45576</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45576</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45576</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45576</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45576</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45576</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45576</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45576</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45576</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45576</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45576</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45576</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45576</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45576</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45576</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45576</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45576</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45576</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45576</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45576</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45576</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45576</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45576</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45576</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45576</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45576</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45576</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45576</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45576</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45576</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45576</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45576</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45576</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45576</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45576</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45576</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45576</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45576</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45576</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45576</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45576</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45576</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45576</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45576</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45576</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45576</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45576</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45576</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45576</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45576</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45576</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45576</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45576</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45576</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45576</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45576</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45576</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45576</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45576</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45576</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45576</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45576</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45576</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45576</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45576</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45576</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45576</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45576</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45576</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45576</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45576</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45576</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45576</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45576</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45576</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45576</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45576</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45576</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45576</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45576</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45576</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45576</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45576</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45576</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45576</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45576</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45576</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45576</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45576</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45576</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45576</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45576</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45576</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45576</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45576</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45576</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45576</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45576</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45576</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45576</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45576</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45576</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45576</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45576</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45576</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45576</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45576</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45576</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45576</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45576</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45576</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45576</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45576</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45576</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45576</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45576</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45576</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45576</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45576</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45576</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45576</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45576</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45576</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45576</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45576</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45576</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45576</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45576</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45576</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45576</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45576</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45576</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45576</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45576</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45576</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45576</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45576</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45576</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45576</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45576</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45576</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45576</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45576</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45576</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45576</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45576</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45576</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45576</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45576</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45576</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45576</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45576</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45576</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45576</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45576</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45576</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45576</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45576</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45576</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45576</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45576</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45576</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45576</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45576</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45576</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45576</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45576</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45576</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45576</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45576</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45576</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45576</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45576</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38827-2024</t>
        </is>
      </c>
      <c r="B1510" s="1" t="n">
        <v>45547</v>
      </c>
      <c r="C1510" s="1" t="n">
        <v>45576</v>
      </c>
      <c r="D1510" t="inlineStr">
        <is>
          <t>JÄMTLANDS LÄN</t>
        </is>
      </c>
      <c r="E1510" t="inlineStr">
        <is>
          <t>HÄRJEDALEN</t>
        </is>
      </c>
      <c r="F1510" t="inlineStr">
        <is>
          <t>Bergvik skog väst AB</t>
        </is>
      </c>
      <c r="G1510" t="n">
        <v>30</v>
      </c>
      <c r="H1510" t="n">
        <v>0</v>
      </c>
      <c r="I1510" t="n">
        <v>0</v>
      </c>
      <c r="J1510" t="n">
        <v>0</v>
      </c>
      <c r="K1510" t="n">
        <v>0</v>
      </c>
      <c r="L1510" t="n">
        <v>0</v>
      </c>
      <c r="M1510" t="n">
        <v>0</v>
      </c>
      <c r="N1510" t="n">
        <v>0</v>
      </c>
      <c r="O1510" t="n">
        <v>0</v>
      </c>
      <c r="P1510" t="n">
        <v>0</v>
      </c>
      <c r="Q1510" t="n">
        <v>0</v>
      </c>
      <c r="R1510" s="2" t="inlineStr"/>
    </row>
    <row r="1511" ht="15" customHeight="1">
      <c r="A1511" t="inlineStr">
        <is>
          <t>A 38840-2024</t>
        </is>
      </c>
      <c r="B1511" s="1" t="n">
        <v>45547</v>
      </c>
      <c r="C1511" s="1" t="n">
        <v>45576</v>
      </c>
      <c r="D1511" t="inlineStr">
        <is>
          <t>JÄMTLANDS LÄN</t>
        </is>
      </c>
      <c r="E1511" t="inlineStr">
        <is>
          <t>HÄRJEDALEN</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38841-2024</t>
        </is>
      </c>
      <c r="B1512" s="1" t="n">
        <v>45547</v>
      </c>
      <c r="C1512" s="1" t="n">
        <v>45576</v>
      </c>
      <c r="D1512" t="inlineStr">
        <is>
          <t>JÄMTLANDS LÄN</t>
        </is>
      </c>
      <c r="E1512" t="inlineStr">
        <is>
          <t>HÄRJEDALEN</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38851-2024</t>
        </is>
      </c>
      <c r="B1513" s="1" t="n">
        <v>45547</v>
      </c>
      <c r="C1513" s="1" t="n">
        <v>45576</v>
      </c>
      <c r="D1513" t="inlineStr">
        <is>
          <t>JÄMTLANDS LÄN</t>
        </is>
      </c>
      <c r="E1513" t="inlineStr">
        <is>
          <t>HÄRJEDALEN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45576</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45576</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41101-2024</t>
        </is>
      </c>
      <c r="B1516" s="1" t="n">
        <v>45559</v>
      </c>
      <c r="C1516" s="1" t="n">
        <v>45576</v>
      </c>
      <c r="D1516" t="inlineStr">
        <is>
          <t>JÄMTLANDS LÄN</t>
        </is>
      </c>
      <c r="E1516" t="inlineStr">
        <is>
          <t>HÄRJEDALEN</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41068-2024</t>
        </is>
      </c>
      <c r="B1517" s="1" t="n">
        <v>45559</v>
      </c>
      <c r="C1517" s="1" t="n">
        <v>45576</v>
      </c>
      <c r="D1517" t="inlineStr">
        <is>
          <t>JÄMTLANDS LÄN</t>
        </is>
      </c>
      <c r="E1517" t="inlineStr">
        <is>
          <t>HÄRJEDALEN</t>
        </is>
      </c>
      <c r="F1517" t="inlineStr">
        <is>
          <t>Bergvik skog väst AB</t>
        </is>
      </c>
      <c r="G1517" t="n">
        <v>51.1</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45576</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45576</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45576</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41615-2024</t>
        </is>
      </c>
      <c r="B1521" s="1" t="n">
        <v>45560</v>
      </c>
      <c r="C1521" s="1" t="n">
        <v>45576</v>
      </c>
      <c r="D1521" t="inlineStr">
        <is>
          <t>JÄMTLANDS LÄN</t>
        </is>
      </c>
      <c r="E1521" t="inlineStr">
        <is>
          <t>HÄRJEDALEN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41647-2024</t>
        </is>
      </c>
      <c r="B1522" s="1" t="n">
        <v>45560</v>
      </c>
      <c r="C1522" s="1" t="n">
        <v>45576</v>
      </c>
      <c r="D1522" t="inlineStr">
        <is>
          <t>JÄMTLANDS LÄN</t>
        </is>
      </c>
      <c r="E1522" t="inlineStr">
        <is>
          <t>HÄRJEDALEN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41604-2024</t>
        </is>
      </c>
      <c r="B1523" s="1" t="n">
        <v>45560</v>
      </c>
      <c r="C1523" s="1" t="n">
        <v>45576</v>
      </c>
      <c r="D1523" t="inlineStr">
        <is>
          <t>JÄMTLANDS LÄN</t>
        </is>
      </c>
      <c r="E1523" t="inlineStr">
        <is>
          <t>HÄRJEDALEN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41885-2024</t>
        </is>
      </c>
      <c r="B1524" s="1" t="n">
        <v>45561</v>
      </c>
      <c r="C1524" s="1" t="n">
        <v>45576</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45576</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45576</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45576</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41785-2024</t>
        </is>
      </c>
      <c r="B1528" s="1" t="n">
        <v>45561</v>
      </c>
      <c r="C1528" s="1" t="n">
        <v>45576</v>
      </c>
      <c r="D1528" t="inlineStr">
        <is>
          <t>JÄMTLANDS LÄN</t>
        </is>
      </c>
      <c r="E1528" t="inlineStr">
        <is>
          <t>HÄRJEDALEN</t>
        </is>
      </c>
      <c r="F1528" t="inlineStr">
        <is>
          <t>SCA</t>
        </is>
      </c>
      <c r="G1528" t="n">
        <v>45.1</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45576</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45576</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45576</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45576</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45576</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43297-2024</t>
        </is>
      </c>
      <c r="B1534" s="1" t="n">
        <v>45568</v>
      </c>
      <c r="C1534" s="1" t="n">
        <v>45576</v>
      </c>
      <c r="D1534" t="inlineStr">
        <is>
          <t>JÄMTLANDS LÄN</t>
        </is>
      </c>
      <c r="E1534" t="inlineStr">
        <is>
          <t>HÄRJEDALEN</t>
        </is>
      </c>
      <c r="F1534" t="inlineStr">
        <is>
          <t>SCA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43316-2024</t>
        </is>
      </c>
      <c r="B1535" s="1" t="n">
        <v>45568</v>
      </c>
      <c r="C1535" s="1" t="n">
        <v>45576</v>
      </c>
      <c r="D1535" t="inlineStr">
        <is>
          <t>JÄMTLANDS LÄN</t>
        </is>
      </c>
      <c r="E1535" t="inlineStr">
        <is>
          <t>HÄRJEDALEN</t>
        </is>
      </c>
      <c r="F1535" t="inlineStr">
        <is>
          <t>Bergvik skog väst AB</t>
        </is>
      </c>
      <c r="G1535" t="n">
        <v>79.90000000000001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43309-2024</t>
        </is>
      </c>
      <c r="B1536" s="1" t="n">
        <v>45568</v>
      </c>
      <c r="C1536" s="1" t="n">
        <v>45576</v>
      </c>
      <c r="D1536" t="inlineStr">
        <is>
          <t>JÄMTLANDS LÄN</t>
        </is>
      </c>
      <c r="E1536" t="inlineStr">
        <is>
          <t>HÄRJEDALEN</t>
        </is>
      </c>
      <c r="F1536" t="inlineStr">
        <is>
          <t>Bergvik skog väst AB</t>
        </is>
      </c>
      <c r="G1536" t="n">
        <v>79.8</v>
      </c>
      <c r="H1536" t="n">
        <v>0</v>
      </c>
      <c r="I1536" t="n">
        <v>0</v>
      </c>
      <c r="J1536" t="n">
        <v>0</v>
      </c>
      <c r="K1536" t="n">
        <v>0</v>
      </c>
      <c r="L1536" t="n">
        <v>0</v>
      </c>
      <c r="M1536" t="n">
        <v>0</v>
      </c>
      <c r="N1536" t="n">
        <v>0</v>
      </c>
      <c r="O1536" t="n">
        <v>0</v>
      </c>
      <c r="P1536" t="n">
        <v>0</v>
      </c>
      <c r="Q1536" t="n">
        <v>0</v>
      </c>
      <c r="R1536" s="2" t="inlineStr"/>
    </row>
    <row r="1537" ht="15" customHeight="1">
      <c r="A1537" t="inlineStr">
        <is>
          <t>A 43390-2024</t>
        </is>
      </c>
      <c r="B1537" s="1" t="n">
        <v>45568</v>
      </c>
      <c r="C1537" s="1" t="n">
        <v>45576</v>
      </c>
      <c r="D1537" t="inlineStr">
        <is>
          <t>JÄMTLANDS LÄN</t>
        </is>
      </c>
      <c r="E1537" t="inlineStr">
        <is>
          <t>HÄRJEDALEN</t>
        </is>
      </c>
      <c r="F1537" t="inlineStr">
        <is>
          <t>Bergvik skog väst AB</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43294-2024</t>
        </is>
      </c>
      <c r="B1538" s="1" t="n">
        <v>45568</v>
      </c>
      <c r="C1538" s="1" t="n">
        <v>45576</v>
      </c>
      <c r="D1538" t="inlineStr">
        <is>
          <t>JÄMTLANDS LÄN</t>
        </is>
      </c>
      <c r="E1538" t="inlineStr">
        <is>
          <t>HÄRJEDALEN</t>
        </is>
      </c>
      <c r="F1538" t="inlineStr">
        <is>
          <t>SCA</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43287-2024</t>
        </is>
      </c>
      <c r="B1539" s="1" t="n">
        <v>45568</v>
      </c>
      <c r="C1539" s="1" t="n">
        <v>45576</v>
      </c>
      <c r="D1539" t="inlineStr">
        <is>
          <t>JÄMTLANDS LÄN</t>
        </is>
      </c>
      <c r="E1539" t="inlineStr">
        <is>
          <t>HÄRJEDALEN</t>
        </is>
      </c>
      <c r="F1539" t="inlineStr">
        <is>
          <t>SCA</t>
        </is>
      </c>
      <c r="G1539" t="n">
        <v>19.7</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45576</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43607-2024</t>
        </is>
      </c>
      <c r="B1541" s="1" t="n">
        <v>45569</v>
      </c>
      <c r="C1541" s="1" t="n">
        <v>45576</v>
      </c>
      <c r="D1541" t="inlineStr">
        <is>
          <t>JÄMTLANDS LÄN</t>
        </is>
      </c>
      <c r="E1541" t="inlineStr">
        <is>
          <t>HÄRJEDALEN</t>
        </is>
      </c>
      <c r="F1541" t="inlineStr">
        <is>
          <t>Bergvik skog väst AB</t>
        </is>
      </c>
      <c r="G1541" t="n">
        <v>189.8</v>
      </c>
      <c r="H1541" t="n">
        <v>0</v>
      </c>
      <c r="I1541" t="n">
        <v>0</v>
      </c>
      <c r="J1541" t="n">
        <v>0</v>
      </c>
      <c r="K1541" t="n">
        <v>0</v>
      </c>
      <c r="L1541" t="n">
        <v>0</v>
      </c>
      <c r="M1541" t="n">
        <v>0</v>
      </c>
      <c r="N1541" t="n">
        <v>0</v>
      </c>
      <c r="O1541" t="n">
        <v>0</v>
      </c>
      <c r="P1541" t="n">
        <v>0</v>
      </c>
      <c r="Q1541" t="n">
        <v>0</v>
      </c>
      <c r="R1541" s="2" t="inlineStr"/>
    </row>
    <row r="1542" ht="15" customHeight="1">
      <c r="A1542" t="inlineStr">
        <is>
          <t>A 43623-2024</t>
        </is>
      </c>
      <c r="B1542" s="1" t="n">
        <v>45569</v>
      </c>
      <c r="C1542" s="1" t="n">
        <v>45576</v>
      </c>
      <c r="D1542" t="inlineStr">
        <is>
          <t>JÄMTLANDS LÄN</t>
        </is>
      </c>
      <c r="E1542" t="inlineStr">
        <is>
          <t>HÄRJEDALEN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43574-2024</t>
        </is>
      </c>
      <c r="B1543" s="1" t="n">
        <v>45569</v>
      </c>
      <c r="C1543" s="1" t="n">
        <v>45576</v>
      </c>
      <c r="D1543" t="inlineStr">
        <is>
          <t>JÄMTLANDS LÄN</t>
        </is>
      </c>
      <c r="E1543" t="inlineStr">
        <is>
          <t>HÄRJEDALEN</t>
        </is>
      </c>
      <c r="F1543" t="inlineStr">
        <is>
          <t>Bergvik skog väst AB</t>
        </is>
      </c>
      <c r="G1543" t="n">
        <v>258.3</v>
      </c>
      <c r="H1543" t="n">
        <v>0</v>
      </c>
      <c r="I1543" t="n">
        <v>0</v>
      </c>
      <c r="J1543" t="n">
        <v>0</v>
      </c>
      <c r="K1543" t="n">
        <v>0</v>
      </c>
      <c r="L1543" t="n">
        <v>0</v>
      </c>
      <c r="M1543" t="n">
        <v>0</v>
      </c>
      <c r="N1543" t="n">
        <v>0</v>
      </c>
      <c r="O1543" t="n">
        <v>0</v>
      </c>
      <c r="P1543" t="n">
        <v>0</v>
      </c>
      <c r="Q1543" t="n">
        <v>0</v>
      </c>
      <c r="R1543" s="2" t="inlineStr"/>
    </row>
    <row r="1544" ht="15" customHeight="1">
      <c r="A1544" t="inlineStr">
        <is>
          <t>A 43586-2024</t>
        </is>
      </c>
      <c r="B1544" s="1" t="n">
        <v>45569</v>
      </c>
      <c r="C1544" s="1" t="n">
        <v>45576</v>
      </c>
      <c r="D1544" t="inlineStr">
        <is>
          <t>JÄMTLANDS LÄN</t>
        </is>
      </c>
      <c r="E1544" t="inlineStr">
        <is>
          <t>HÄRJEDALEN</t>
        </is>
      </c>
      <c r="F1544" t="inlineStr">
        <is>
          <t>Bergvik skog väst AB</t>
        </is>
      </c>
      <c r="G1544" t="n">
        <v>96.2</v>
      </c>
      <c r="H1544" t="n">
        <v>0</v>
      </c>
      <c r="I1544" t="n">
        <v>0</v>
      </c>
      <c r="J1544" t="n">
        <v>0</v>
      </c>
      <c r="K1544" t="n">
        <v>0</v>
      </c>
      <c r="L1544" t="n">
        <v>0</v>
      </c>
      <c r="M1544" t="n">
        <v>0</v>
      </c>
      <c r="N1544" t="n">
        <v>0</v>
      </c>
      <c r="O1544" t="n">
        <v>0</v>
      </c>
      <c r="P1544" t="n">
        <v>0</v>
      </c>
      <c r="Q1544" t="n">
        <v>0</v>
      </c>
      <c r="R1544" s="2" t="inlineStr"/>
    </row>
    <row r="1545" ht="15" customHeight="1">
      <c r="A1545" t="inlineStr">
        <is>
          <t>A 43760-2024</t>
        </is>
      </c>
      <c r="B1545" s="1" t="n">
        <v>45569</v>
      </c>
      <c r="C1545" s="1" t="n">
        <v>45576</v>
      </c>
      <c r="D1545" t="inlineStr">
        <is>
          <t>JÄMTLANDS LÄN</t>
        </is>
      </c>
      <c r="E1545" t="inlineStr">
        <is>
          <t>HÄRJEDALEN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43591-2024</t>
        </is>
      </c>
      <c r="B1546" s="1" t="n">
        <v>45569</v>
      </c>
      <c r="C1546" s="1" t="n">
        <v>45576</v>
      </c>
      <c r="D1546" t="inlineStr">
        <is>
          <t>JÄMTLANDS LÄN</t>
        </is>
      </c>
      <c r="E1546" t="inlineStr">
        <is>
          <t>HÄRJEDALEN</t>
        </is>
      </c>
      <c r="F1546" t="inlineStr">
        <is>
          <t>Bergvik skog väst AB</t>
        </is>
      </c>
      <c r="G1546" t="n">
        <v>50.5</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45576</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45576</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45576</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44332-2024</t>
        </is>
      </c>
      <c r="B1550" s="1" t="n">
        <v>45573</v>
      </c>
      <c r="C1550" s="1" t="n">
        <v>45576</v>
      </c>
      <c r="D1550" t="inlineStr">
        <is>
          <t>JÄMTLANDS LÄN</t>
        </is>
      </c>
      <c r="E1550" t="inlineStr">
        <is>
          <t>HÄRJEDALEN</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44222-2024</t>
        </is>
      </c>
      <c r="B1551" s="1" t="n">
        <v>45573</v>
      </c>
      <c r="C1551" s="1" t="n">
        <v>45576</v>
      </c>
      <c r="D1551" t="inlineStr">
        <is>
          <t>JÄMTLANDS LÄN</t>
        </is>
      </c>
      <c r="E1551" t="inlineStr">
        <is>
          <t>HÄRJEDALEN</t>
        </is>
      </c>
      <c r="G1551" t="n">
        <v>15.3</v>
      </c>
      <c r="H1551" t="n">
        <v>0</v>
      </c>
      <c r="I1551" t="n">
        <v>0</v>
      </c>
      <c r="J1551" t="n">
        <v>0</v>
      </c>
      <c r="K1551" t="n">
        <v>0</v>
      </c>
      <c r="L1551" t="n">
        <v>0</v>
      </c>
      <c r="M1551" t="n">
        <v>0</v>
      </c>
      <c r="N1551" t="n">
        <v>0</v>
      </c>
      <c r="O1551" t="n">
        <v>0</v>
      </c>
      <c r="P1551" t="n">
        <v>0</v>
      </c>
      <c r="Q1551" t="n">
        <v>0</v>
      </c>
      <c r="R1551" s="2" t="inlineStr"/>
    </row>
    <row r="1552" ht="15" customHeight="1">
      <c r="A1552" t="inlineStr">
        <is>
          <t>A 44583-2024</t>
        </is>
      </c>
      <c r="B1552" s="1" t="n">
        <v>45574</v>
      </c>
      <c r="C1552" s="1" t="n">
        <v>45576</v>
      </c>
      <c r="D1552" t="inlineStr">
        <is>
          <t>JÄMTLANDS LÄN</t>
        </is>
      </c>
      <c r="E1552" t="inlineStr">
        <is>
          <t>HÄRJEDALEN</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44705-2024</t>
        </is>
      </c>
      <c r="B1553" s="1" t="n">
        <v>45574</v>
      </c>
      <c r="C1553" s="1" t="n">
        <v>45576</v>
      </c>
      <c r="D1553" t="inlineStr">
        <is>
          <t>JÄMTLANDS LÄN</t>
        </is>
      </c>
      <c r="E1553" t="inlineStr">
        <is>
          <t>HÄRJEDALEN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44824-2024</t>
        </is>
      </c>
      <c r="B1554" s="1" t="n">
        <v>45574</v>
      </c>
      <c r="C1554" s="1" t="n">
        <v>45576</v>
      </c>
      <c r="D1554" t="inlineStr">
        <is>
          <t>JÄMTLANDS LÄN</t>
        </is>
      </c>
      <c r="E1554" t="inlineStr">
        <is>
          <t>HÄRJEDALEN</t>
        </is>
      </c>
      <c r="F1554" t="inlineStr">
        <is>
          <t>Bergvik skog väst AB</t>
        </is>
      </c>
      <c r="G1554" t="n">
        <v>29.4</v>
      </c>
      <c r="H1554" t="n">
        <v>0</v>
      </c>
      <c r="I1554" t="n">
        <v>0</v>
      </c>
      <c r="J1554" t="n">
        <v>0</v>
      </c>
      <c r="K1554" t="n">
        <v>0</v>
      </c>
      <c r="L1554" t="n">
        <v>0</v>
      </c>
      <c r="M1554" t="n">
        <v>0</v>
      </c>
      <c r="N1554" t="n">
        <v>0</v>
      </c>
      <c r="O1554" t="n">
        <v>0</v>
      </c>
      <c r="P1554" t="n">
        <v>0</v>
      </c>
      <c r="Q1554" t="n">
        <v>0</v>
      </c>
      <c r="R1554" s="2" t="inlineStr"/>
    </row>
    <row r="1555" ht="15" customHeight="1">
      <c r="A1555" t="inlineStr">
        <is>
          <t>A 44641-2024</t>
        </is>
      </c>
      <c r="B1555" s="1" t="n">
        <v>45574</v>
      </c>
      <c r="C1555" s="1" t="n">
        <v>45576</v>
      </c>
      <c r="D1555" t="inlineStr">
        <is>
          <t>JÄMTLANDS LÄN</t>
        </is>
      </c>
      <c r="E1555" t="inlineStr">
        <is>
          <t>HÄRJEDALEN</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44450-2024</t>
        </is>
      </c>
      <c r="B1556" s="1" t="n">
        <v>45574</v>
      </c>
      <c r="C1556" s="1" t="n">
        <v>45576</v>
      </c>
      <c r="D1556" t="inlineStr">
        <is>
          <t>JÄMTLANDS LÄN</t>
        </is>
      </c>
      <c r="E1556" t="inlineStr">
        <is>
          <t>HÄRJEDALEN</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44745-2024</t>
        </is>
      </c>
      <c r="B1557" s="1" t="n">
        <v>45574</v>
      </c>
      <c r="C1557" s="1" t="n">
        <v>45576</v>
      </c>
      <c r="D1557" t="inlineStr">
        <is>
          <t>JÄMTLANDS LÄN</t>
        </is>
      </c>
      <c r="E1557" t="inlineStr">
        <is>
          <t>HÄRJEDALEN</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44757-2024</t>
        </is>
      </c>
      <c r="B1558" s="1" t="n">
        <v>45574</v>
      </c>
      <c r="C1558" s="1" t="n">
        <v>45576</v>
      </c>
      <c r="D1558" t="inlineStr">
        <is>
          <t>JÄMTLANDS LÄN</t>
        </is>
      </c>
      <c r="E1558" t="inlineStr">
        <is>
          <t>HÄRJEDALEN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44819-2024</t>
        </is>
      </c>
      <c r="B1559" s="1" t="n">
        <v>45574</v>
      </c>
      <c r="C1559" s="1" t="n">
        <v>45576</v>
      </c>
      <c r="D1559" t="inlineStr">
        <is>
          <t>JÄMTLANDS LÄN</t>
        </is>
      </c>
      <c r="E1559" t="inlineStr">
        <is>
          <t>HÄRJEDALEN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44903-2024</t>
        </is>
      </c>
      <c r="B1560" s="1" t="n">
        <v>45575</v>
      </c>
      <c r="C1560" s="1" t="n">
        <v>45576</v>
      </c>
      <c r="D1560" t="inlineStr">
        <is>
          <t>JÄMTLANDS LÄN</t>
        </is>
      </c>
      <c r="E1560" t="inlineStr">
        <is>
          <t>HÄRJEDALEN</t>
        </is>
      </c>
      <c r="F1560" t="inlineStr">
        <is>
          <t>Sveaskog</t>
        </is>
      </c>
      <c r="G1560" t="n">
        <v>13.2</v>
      </c>
      <c r="H1560" t="n">
        <v>0</v>
      </c>
      <c r="I1560" t="n">
        <v>0</v>
      </c>
      <c r="J1560" t="n">
        <v>0</v>
      </c>
      <c r="K1560" t="n">
        <v>0</v>
      </c>
      <c r="L1560" t="n">
        <v>0</v>
      </c>
      <c r="M1560" t="n">
        <v>0</v>
      </c>
      <c r="N1560" t="n">
        <v>0</v>
      </c>
      <c r="O1560" t="n">
        <v>0</v>
      </c>
      <c r="P1560" t="n">
        <v>0</v>
      </c>
      <c r="Q1560" t="n">
        <v>0</v>
      </c>
      <c r="R1560" s="2" t="inlineStr"/>
    </row>
    <row r="1561" ht="15" customHeight="1">
      <c r="A1561" t="inlineStr">
        <is>
          <t>A 44955-2024</t>
        </is>
      </c>
      <c r="B1561" s="1" t="n">
        <v>45575</v>
      </c>
      <c r="C1561" s="1" t="n">
        <v>45576</v>
      </c>
      <c r="D1561" t="inlineStr">
        <is>
          <t>JÄMTLANDS LÄN</t>
        </is>
      </c>
      <c r="E1561" t="inlineStr">
        <is>
          <t>HÄRJEDALEN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44967-2024</t>
        </is>
      </c>
      <c r="B1562" s="1" t="n">
        <v>45575</v>
      </c>
      <c r="C1562" s="1" t="n">
        <v>45576</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45120-2024</t>
        </is>
      </c>
      <c r="B1563" s="1" t="n">
        <v>45575</v>
      </c>
      <c r="C1563" s="1" t="n">
        <v>45576</v>
      </c>
      <c r="D1563" t="inlineStr">
        <is>
          <t>JÄMTLANDS LÄN</t>
        </is>
      </c>
      <c r="E1563" t="inlineStr">
        <is>
          <t>HÄRJEDALEN</t>
        </is>
      </c>
      <c r="F1563" t="inlineStr">
        <is>
          <t>Holmen skog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44964-2024</t>
        </is>
      </c>
      <c r="B1564" s="1" t="n">
        <v>45575</v>
      </c>
      <c r="C1564" s="1" t="n">
        <v>45576</v>
      </c>
      <c r="D1564" t="inlineStr">
        <is>
          <t>JÄMTLANDS LÄN</t>
        </is>
      </c>
      <c r="E1564" t="inlineStr">
        <is>
          <t>HÄRJEDALEN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45576</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c r="A1566" t="inlineStr">
        <is>
          <t>A 45123-2024</t>
        </is>
      </c>
      <c r="B1566" s="1" t="n">
        <v>45575</v>
      </c>
      <c r="C1566" s="1" t="n">
        <v>45576</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2024-10-11T12:57:44Z</dcterms:created>
  <dcterms:modified xmlns:dcterms="http://purl.org/dc/terms/" xmlns:xsi="http://www.w3.org/2001/XMLSchema-instance" xsi:type="dcterms:W3CDTF">2024-10-11T12:57:46Z</dcterms:modified>
</cp:coreProperties>
</file>