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45714</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45714</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45714</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45714</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45714</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45714</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45714</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45714</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45714</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45714</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45714</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45714</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45714</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45714</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45714</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45714</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45714</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45714</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45714</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45714</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45714</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45714</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45714</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45714</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45714</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45714</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45714</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45714</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45714</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45714</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45714</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45714</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45714</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45714</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45714</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45714</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45714</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45714</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45714</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45714</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45714</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45714</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45714</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45714</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45714</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45714</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45714</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45714</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45714</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45714</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45714</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45714</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45714</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45714</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45714</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45714</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45714</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45714</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45714</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45714</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45714</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45714</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45714</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45714</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45714</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45714</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45714</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45714</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45714</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45714</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45714</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45714</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45714</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45714</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45714</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45714</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45714</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45714</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45714</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45714</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45714</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45714</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45714</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45714</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45714</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45714</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45714</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45714</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45714</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45714</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45714</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45714</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45714</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45714</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45714</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45714</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45714</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45714</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45714</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45714</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45714</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45714</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45714</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45714</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45714</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45714</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45714</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45714</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45714</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45714</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45714</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45714</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45714</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45714</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45714</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45714</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45714</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45714</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45714</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45714</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28321-2019</t>
        </is>
      </c>
      <c r="B143" s="1" t="n">
        <v>43623</v>
      </c>
      <c r="C143" s="1" t="n">
        <v>45714</v>
      </c>
      <c r="D143" t="inlineStr">
        <is>
          <t>JÄMTLANDS LÄN</t>
        </is>
      </c>
      <c r="E143" t="inlineStr">
        <is>
          <t>HÄRJEDALEN</t>
        </is>
      </c>
      <c r="F143" t="inlineStr">
        <is>
          <t>Sveaskog</t>
        </is>
      </c>
      <c r="G143" t="n">
        <v>3.3</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28321-2019 artfynd.xlsx", "A 28321-2019")</f>
        <v/>
      </c>
      <c r="T143">
        <f>HYPERLINK("https://klasma.github.io/Logging_2361/kartor/A 28321-2019 karta.png", "A 28321-2019")</f>
        <v/>
      </c>
      <c r="V143">
        <f>HYPERLINK("https://klasma.github.io/Logging_2361/klagomål/A 28321-2019 FSC-klagomål.docx", "A 28321-2019")</f>
        <v/>
      </c>
      <c r="W143">
        <f>HYPERLINK("https://klasma.github.io/Logging_2361/klagomålsmail/A 28321-2019 FSC-klagomål mail.docx", "A 28321-2019")</f>
        <v/>
      </c>
      <c r="X143">
        <f>HYPERLINK("https://klasma.github.io/Logging_2361/tillsyn/A 28321-2019 tillsynsbegäran.docx", "A 28321-2019")</f>
        <v/>
      </c>
      <c r="Y143">
        <f>HYPERLINK("https://klasma.github.io/Logging_2361/tillsynsmail/A 28321-2019 tillsynsbegäran mail.docx", "A 28321-2019")</f>
        <v/>
      </c>
    </row>
    <row r="144" ht="15" customHeight="1">
      <c r="A144" t="inlineStr">
        <is>
          <t>A 29265-2019</t>
        </is>
      </c>
      <c r="B144" s="1" t="n">
        <v>43629</v>
      </c>
      <c r="C144" s="1" t="n">
        <v>45714</v>
      </c>
      <c r="D144" t="inlineStr">
        <is>
          <t>JÄMTLANDS LÄN</t>
        </is>
      </c>
      <c r="E144" t="inlineStr">
        <is>
          <t>HÄRJEDALEN</t>
        </is>
      </c>
      <c r="F144" t="inlineStr">
        <is>
          <t>Holmen skog AB</t>
        </is>
      </c>
      <c r="G144" t="n">
        <v>2.2</v>
      </c>
      <c r="H144" t="n">
        <v>0</v>
      </c>
      <c r="I144" t="n">
        <v>0</v>
      </c>
      <c r="J144" t="n">
        <v>1</v>
      </c>
      <c r="K144" t="n">
        <v>1</v>
      </c>
      <c r="L144" t="n">
        <v>0</v>
      </c>
      <c r="M144" t="n">
        <v>0</v>
      </c>
      <c r="N144" t="n">
        <v>0</v>
      </c>
      <c r="O144" t="n">
        <v>2</v>
      </c>
      <c r="P144" t="n">
        <v>1</v>
      </c>
      <c r="Q144" t="n">
        <v>2</v>
      </c>
      <c r="R144" s="2" t="inlineStr">
        <is>
          <t>Goliatmusseron
Blå taggsvamp</t>
        </is>
      </c>
      <c r="S144">
        <f>HYPERLINK("https://klasma.github.io/Logging_2361/artfynd/A 29265-2019 artfynd.xlsx", "A 29265-2019")</f>
        <v/>
      </c>
      <c r="T144">
        <f>HYPERLINK("https://klasma.github.io/Logging_2361/kartor/A 29265-2019 karta.png", "A 29265-2019")</f>
        <v/>
      </c>
      <c r="V144">
        <f>HYPERLINK("https://klasma.github.io/Logging_2361/klagomål/A 29265-2019 FSC-klagomål.docx", "A 29265-2019")</f>
        <v/>
      </c>
      <c r="W144">
        <f>HYPERLINK("https://klasma.github.io/Logging_2361/klagomålsmail/A 29265-2019 FSC-klagomål mail.docx", "A 29265-2019")</f>
        <v/>
      </c>
      <c r="X144">
        <f>HYPERLINK("https://klasma.github.io/Logging_2361/tillsyn/A 29265-2019 tillsynsbegäran.docx", "A 29265-2019")</f>
        <v/>
      </c>
      <c r="Y144">
        <f>HYPERLINK("https://klasma.github.io/Logging_2361/tillsynsmail/A 29265-2019 tillsynsbegäran mail.docx", "A 29265-2019")</f>
        <v/>
      </c>
    </row>
    <row r="145" ht="15" customHeight="1">
      <c r="A145" t="inlineStr">
        <is>
          <t>A 32481-2019</t>
        </is>
      </c>
      <c r="B145" s="1" t="n">
        <v>43644</v>
      </c>
      <c r="C145" s="1" t="n">
        <v>45714</v>
      </c>
      <c r="D145" t="inlineStr">
        <is>
          <t>JÄMTLANDS LÄN</t>
        </is>
      </c>
      <c r="E145" t="inlineStr">
        <is>
          <t>HÄRJEDALEN</t>
        </is>
      </c>
      <c r="F145" t="inlineStr">
        <is>
          <t>SCA</t>
        </is>
      </c>
      <c r="G145" t="n">
        <v>2.3</v>
      </c>
      <c r="H145" t="n">
        <v>0</v>
      </c>
      <c r="I145" t="n">
        <v>0</v>
      </c>
      <c r="J145" t="n">
        <v>2</v>
      </c>
      <c r="K145" t="n">
        <v>0</v>
      </c>
      <c r="L145" t="n">
        <v>0</v>
      </c>
      <c r="M145" t="n">
        <v>0</v>
      </c>
      <c r="N145" t="n">
        <v>0</v>
      </c>
      <c r="O145" t="n">
        <v>2</v>
      </c>
      <c r="P145" t="n">
        <v>0</v>
      </c>
      <c r="Q145" t="n">
        <v>2</v>
      </c>
      <c r="R145" s="2" t="inlineStr">
        <is>
          <t>Blågrå svartspik
Mörk kolflarnlav</t>
        </is>
      </c>
      <c r="S145">
        <f>HYPERLINK("https://klasma.github.io/Logging_2361/artfynd/A 32481-2019 artfynd.xlsx", "A 32481-2019")</f>
        <v/>
      </c>
      <c r="T145">
        <f>HYPERLINK("https://klasma.github.io/Logging_2361/kartor/A 32481-2019 karta.png", "A 32481-2019")</f>
        <v/>
      </c>
      <c r="V145">
        <f>HYPERLINK("https://klasma.github.io/Logging_2361/klagomål/A 32481-2019 FSC-klagomål.docx", "A 32481-2019")</f>
        <v/>
      </c>
      <c r="W145">
        <f>HYPERLINK("https://klasma.github.io/Logging_2361/klagomålsmail/A 32481-2019 FSC-klagomål mail.docx", "A 32481-2019")</f>
        <v/>
      </c>
      <c r="X145">
        <f>HYPERLINK("https://klasma.github.io/Logging_2361/tillsyn/A 32481-2019 tillsynsbegäran.docx", "A 32481-2019")</f>
        <v/>
      </c>
      <c r="Y145">
        <f>HYPERLINK("https://klasma.github.io/Logging_2361/tillsynsmail/A 32481-2019 tillsynsbegäran mail.docx", "A 32481-2019")</f>
        <v/>
      </c>
    </row>
    <row r="146" ht="15" customHeight="1">
      <c r="A146" t="inlineStr">
        <is>
          <t>A 34268-2019</t>
        </is>
      </c>
      <c r="B146" s="1" t="n">
        <v>43655</v>
      </c>
      <c r="C146" s="1" t="n">
        <v>45714</v>
      </c>
      <c r="D146" t="inlineStr">
        <is>
          <t>JÄMTLANDS LÄN</t>
        </is>
      </c>
      <c r="E146" t="inlineStr">
        <is>
          <t>HÄRJEDALEN</t>
        </is>
      </c>
      <c r="F146" t="inlineStr">
        <is>
          <t>Bergvik skog väst AB</t>
        </is>
      </c>
      <c r="G146" t="n">
        <v>43.7</v>
      </c>
      <c r="H146" t="n">
        <v>1</v>
      </c>
      <c r="I146" t="n">
        <v>0</v>
      </c>
      <c r="J146" t="n">
        <v>2</v>
      </c>
      <c r="K146" t="n">
        <v>0</v>
      </c>
      <c r="L146" t="n">
        <v>0</v>
      </c>
      <c r="M146" t="n">
        <v>0</v>
      </c>
      <c r="N146" t="n">
        <v>0</v>
      </c>
      <c r="O146" t="n">
        <v>2</v>
      </c>
      <c r="P146" t="n">
        <v>0</v>
      </c>
      <c r="Q146" t="n">
        <v>2</v>
      </c>
      <c r="R146" s="2" t="inlineStr">
        <is>
          <t>Lunglav
Varglav</t>
        </is>
      </c>
      <c r="S146">
        <f>HYPERLINK("https://klasma.github.io/Logging_2361/artfynd/A 34268-2019 artfynd.xlsx", "A 34268-2019")</f>
        <v/>
      </c>
      <c r="T146">
        <f>HYPERLINK("https://klasma.github.io/Logging_2361/kartor/A 34268-2019 karta.png", "A 34268-2019")</f>
        <v/>
      </c>
      <c r="V146">
        <f>HYPERLINK("https://klasma.github.io/Logging_2361/klagomål/A 34268-2019 FSC-klagomål.docx", "A 34268-2019")</f>
        <v/>
      </c>
      <c r="W146">
        <f>HYPERLINK("https://klasma.github.io/Logging_2361/klagomålsmail/A 34268-2019 FSC-klagomål mail.docx", "A 34268-2019")</f>
        <v/>
      </c>
      <c r="X146">
        <f>HYPERLINK("https://klasma.github.io/Logging_2361/tillsyn/A 34268-2019 tillsynsbegäran.docx", "A 34268-2019")</f>
        <v/>
      </c>
      <c r="Y146">
        <f>HYPERLINK("https://klasma.github.io/Logging_2361/tillsynsmail/A 34268-2019 tillsynsbegäran mail.docx", "A 34268-2019")</f>
        <v/>
      </c>
    </row>
    <row r="147" ht="15" customHeight="1">
      <c r="A147" t="inlineStr">
        <is>
          <t>A 4356-2020</t>
        </is>
      </c>
      <c r="B147" s="1" t="n">
        <v>43857</v>
      </c>
      <c r="C147" s="1" t="n">
        <v>45714</v>
      </c>
      <c r="D147" t="inlineStr">
        <is>
          <t>JÄMTLANDS LÄN</t>
        </is>
      </c>
      <c r="E147" t="inlineStr">
        <is>
          <t>HÄRJEDALEN</t>
        </is>
      </c>
      <c r="F147" t="inlineStr">
        <is>
          <t>Bergvik skog väst AB</t>
        </is>
      </c>
      <c r="G147" t="n">
        <v>51.2</v>
      </c>
      <c r="H147" t="n">
        <v>1</v>
      </c>
      <c r="I147" t="n">
        <v>0</v>
      </c>
      <c r="J147" t="n">
        <v>2</v>
      </c>
      <c r="K147" t="n">
        <v>0</v>
      </c>
      <c r="L147" t="n">
        <v>0</v>
      </c>
      <c r="M147" t="n">
        <v>0</v>
      </c>
      <c r="N147" t="n">
        <v>0</v>
      </c>
      <c r="O147" t="n">
        <v>2</v>
      </c>
      <c r="P147" t="n">
        <v>0</v>
      </c>
      <c r="Q147" t="n">
        <v>2</v>
      </c>
      <c r="R147" s="2" t="inlineStr">
        <is>
          <t>Harticka
Tretåig hackspett</t>
        </is>
      </c>
      <c r="S147">
        <f>HYPERLINK("https://klasma.github.io/Logging_2361/artfynd/A 4356-2020 artfynd.xlsx", "A 4356-2020")</f>
        <v/>
      </c>
      <c r="T147">
        <f>HYPERLINK("https://klasma.github.io/Logging_2361/kartor/A 4356-2020 karta.png", "A 4356-2020")</f>
        <v/>
      </c>
      <c r="V147">
        <f>HYPERLINK("https://klasma.github.io/Logging_2361/klagomål/A 4356-2020 FSC-klagomål.docx", "A 4356-2020")</f>
        <v/>
      </c>
      <c r="W147">
        <f>HYPERLINK("https://klasma.github.io/Logging_2361/klagomålsmail/A 4356-2020 FSC-klagomål mail.docx", "A 4356-2020")</f>
        <v/>
      </c>
      <c r="X147">
        <f>HYPERLINK("https://klasma.github.io/Logging_2361/tillsyn/A 4356-2020 tillsynsbegäran.docx", "A 4356-2020")</f>
        <v/>
      </c>
      <c r="Y147">
        <f>HYPERLINK("https://klasma.github.io/Logging_2361/tillsynsmail/A 4356-2020 tillsynsbegäran mail.docx", "A 4356-2020")</f>
        <v/>
      </c>
      <c r="Z147">
        <f>HYPERLINK("https://klasma.github.io/Logging_2361/fåglar/A 4356-2020 prioriterade fågelarter.docx", "A 4356-2020")</f>
        <v/>
      </c>
    </row>
    <row r="148" ht="15" customHeight="1">
      <c r="A148" t="inlineStr">
        <is>
          <t>A 9510-2020</t>
        </is>
      </c>
      <c r="B148" s="1" t="n">
        <v>43880</v>
      </c>
      <c r="C148" s="1" t="n">
        <v>45714</v>
      </c>
      <c r="D148" t="inlineStr">
        <is>
          <t>JÄMTLANDS LÄN</t>
        </is>
      </c>
      <c r="E148" t="inlineStr">
        <is>
          <t>HÄRJEDALEN</t>
        </is>
      </c>
      <c r="F148" t="inlineStr">
        <is>
          <t>Bergvik skog väst AB</t>
        </is>
      </c>
      <c r="G148" t="n">
        <v>18.7</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HYPERLINK("https://klasma.github.io/Logging_2361/artfynd/A 9510-2020 artfynd.xlsx", "A 9510-2020")</f>
        <v/>
      </c>
      <c r="T148">
        <f>HYPERLINK("https://klasma.github.io/Logging_2361/kartor/A 9510-2020 karta.png", "A 9510-2020")</f>
        <v/>
      </c>
      <c r="V148">
        <f>HYPERLINK("https://klasma.github.io/Logging_2361/klagomål/A 9510-2020 FSC-klagomål.docx", "A 9510-2020")</f>
        <v/>
      </c>
      <c r="W148">
        <f>HYPERLINK("https://klasma.github.io/Logging_2361/klagomålsmail/A 9510-2020 FSC-klagomål mail.docx", "A 9510-2020")</f>
        <v/>
      </c>
      <c r="X148">
        <f>HYPERLINK("https://klasma.github.io/Logging_2361/tillsyn/A 9510-2020 tillsynsbegäran.docx", "A 9510-2020")</f>
        <v/>
      </c>
      <c r="Y148">
        <f>HYPERLINK("https://klasma.github.io/Logging_2361/tillsynsmail/A 9510-2020 tillsynsbegäran mail.docx", "A 9510-2020")</f>
        <v/>
      </c>
      <c r="Z148">
        <f>HYPERLINK("https://klasma.github.io/Logging_2361/fåglar/A 9510-2020 prioriterade fågelarter.docx", "A 9510-2020")</f>
        <v/>
      </c>
    </row>
    <row r="149" ht="15" customHeight="1">
      <c r="A149" t="inlineStr">
        <is>
          <t>A 12954-2020</t>
        </is>
      </c>
      <c r="B149" s="1" t="n">
        <v>43900</v>
      </c>
      <c r="C149" s="1" t="n">
        <v>45714</v>
      </c>
      <c r="D149" t="inlineStr">
        <is>
          <t>JÄMTLANDS LÄN</t>
        </is>
      </c>
      <c r="E149" t="inlineStr">
        <is>
          <t>HÄRJEDALEN</t>
        </is>
      </c>
      <c r="F149" t="inlineStr">
        <is>
          <t>Bergvik skog väst AB</t>
        </is>
      </c>
      <c r="G149" t="n">
        <v>12.1</v>
      </c>
      <c r="H149" t="n">
        <v>0</v>
      </c>
      <c r="I149" t="n">
        <v>2</v>
      </c>
      <c r="J149" t="n">
        <v>0</v>
      </c>
      <c r="K149" t="n">
        <v>0</v>
      </c>
      <c r="L149" t="n">
        <v>0</v>
      </c>
      <c r="M149" t="n">
        <v>0</v>
      </c>
      <c r="N149" t="n">
        <v>0</v>
      </c>
      <c r="O149" t="n">
        <v>0</v>
      </c>
      <c r="P149" t="n">
        <v>0</v>
      </c>
      <c r="Q149" t="n">
        <v>2</v>
      </c>
      <c r="R149" s="2" t="inlineStr">
        <is>
          <t>Blodticka
Vedticka</t>
        </is>
      </c>
      <c r="S149">
        <f>HYPERLINK("https://klasma.github.io/Logging_2361/artfynd/A 12954-2020 artfynd.xlsx", "A 12954-2020")</f>
        <v/>
      </c>
      <c r="T149">
        <f>HYPERLINK("https://klasma.github.io/Logging_2361/kartor/A 12954-2020 karta.png", "A 12954-2020")</f>
        <v/>
      </c>
      <c r="V149">
        <f>HYPERLINK("https://klasma.github.io/Logging_2361/klagomål/A 12954-2020 FSC-klagomål.docx", "A 12954-2020")</f>
        <v/>
      </c>
      <c r="W149">
        <f>HYPERLINK("https://klasma.github.io/Logging_2361/klagomålsmail/A 12954-2020 FSC-klagomål mail.docx", "A 12954-2020")</f>
        <v/>
      </c>
      <c r="X149">
        <f>HYPERLINK("https://klasma.github.io/Logging_2361/tillsyn/A 12954-2020 tillsynsbegäran.docx", "A 12954-2020")</f>
        <v/>
      </c>
      <c r="Y149">
        <f>HYPERLINK("https://klasma.github.io/Logging_2361/tillsynsmail/A 12954-2020 tillsynsbegäran mail.docx", "A 12954-2020")</f>
        <v/>
      </c>
    </row>
    <row r="150" ht="15" customHeight="1">
      <c r="A150" t="inlineStr">
        <is>
          <t>A 34191-2020</t>
        </is>
      </c>
      <c r="B150" s="1" t="n">
        <v>44029</v>
      </c>
      <c r="C150" s="1" t="n">
        <v>45714</v>
      </c>
      <c r="D150" t="inlineStr">
        <is>
          <t>JÄMTLANDS LÄN</t>
        </is>
      </c>
      <c r="E150" t="inlineStr">
        <is>
          <t>HÄRJEDALEN</t>
        </is>
      </c>
      <c r="F150" t="inlineStr">
        <is>
          <t>Holmen skog AB</t>
        </is>
      </c>
      <c r="G150" t="n">
        <v>2.2</v>
      </c>
      <c r="H150" t="n">
        <v>0</v>
      </c>
      <c r="I150" t="n">
        <v>0</v>
      </c>
      <c r="J150" t="n">
        <v>2</v>
      </c>
      <c r="K150" t="n">
        <v>0</v>
      </c>
      <c r="L150" t="n">
        <v>0</v>
      </c>
      <c r="M150" t="n">
        <v>0</v>
      </c>
      <c r="N150" t="n">
        <v>0</v>
      </c>
      <c r="O150" t="n">
        <v>2</v>
      </c>
      <c r="P150" t="n">
        <v>0</v>
      </c>
      <c r="Q150" t="n">
        <v>2</v>
      </c>
      <c r="R150" s="2" t="inlineStr">
        <is>
          <t>Dvärgbägarlav
Lunglav</t>
        </is>
      </c>
      <c r="S150">
        <f>HYPERLINK("https://klasma.github.io/Logging_2361/artfynd/A 34191-2020 artfynd.xlsx", "A 34191-2020")</f>
        <v/>
      </c>
      <c r="T150">
        <f>HYPERLINK("https://klasma.github.io/Logging_2361/kartor/A 34191-2020 karta.png", "A 34191-2020")</f>
        <v/>
      </c>
      <c r="V150">
        <f>HYPERLINK("https://klasma.github.io/Logging_2361/klagomål/A 34191-2020 FSC-klagomål.docx", "A 34191-2020")</f>
        <v/>
      </c>
      <c r="W150">
        <f>HYPERLINK("https://klasma.github.io/Logging_2361/klagomålsmail/A 34191-2020 FSC-klagomål mail.docx", "A 34191-2020")</f>
        <v/>
      </c>
      <c r="X150">
        <f>HYPERLINK("https://klasma.github.io/Logging_2361/tillsyn/A 34191-2020 tillsynsbegäran.docx", "A 34191-2020")</f>
        <v/>
      </c>
      <c r="Y150">
        <f>HYPERLINK("https://klasma.github.io/Logging_2361/tillsynsmail/A 34191-2020 tillsynsbegäran mail.docx", "A 34191-2020")</f>
        <v/>
      </c>
    </row>
    <row r="151" ht="15" customHeight="1">
      <c r="A151" t="inlineStr">
        <is>
          <t>A 68856-2020</t>
        </is>
      </c>
      <c r="B151" s="1" t="n">
        <v>44186</v>
      </c>
      <c r="C151" s="1" t="n">
        <v>45714</v>
      </c>
      <c r="D151" t="inlineStr">
        <is>
          <t>JÄMTLANDS LÄN</t>
        </is>
      </c>
      <c r="E151" t="inlineStr">
        <is>
          <t>HÄRJEDALEN</t>
        </is>
      </c>
      <c r="F151" t="inlineStr">
        <is>
          <t>Holmen skog AB</t>
        </is>
      </c>
      <c r="G151" t="n">
        <v>4.3</v>
      </c>
      <c r="H151" t="n">
        <v>1</v>
      </c>
      <c r="I151" t="n">
        <v>1</v>
      </c>
      <c r="J151" t="n">
        <v>0</v>
      </c>
      <c r="K151" t="n">
        <v>0</v>
      </c>
      <c r="L151" t="n">
        <v>0</v>
      </c>
      <c r="M151" t="n">
        <v>0</v>
      </c>
      <c r="N151" t="n">
        <v>0</v>
      </c>
      <c r="O151" t="n">
        <v>0</v>
      </c>
      <c r="P151" t="n">
        <v>0</v>
      </c>
      <c r="Q151" t="n">
        <v>2</v>
      </c>
      <c r="R151" s="2" t="inlineStr">
        <is>
          <t>Dvärgtufs
Nattviol</t>
        </is>
      </c>
      <c r="S151">
        <f>HYPERLINK("https://klasma.github.io/Logging_2361/artfynd/A 68856-2020 artfynd.xlsx", "A 68856-2020")</f>
        <v/>
      </c>
      <c r="T151">
        <f>HYPERLINK("https://klasma.github.io/Logging_2361/kartor/A 68856-2020 karta.png", "A 68856-2020")</f>
        <v/>
      </c>
      <c r="V151">
        <f>HYPERLINK("https://klasma.github.io/Logging_2361/klagomål/A 68856-2020 FSC-klagomål.docx", "A 68856-2020")</f>
        <v/>
      </c>
      <c r="W151">
        <f>HYPERLINK("https://klasma.github.io/Logging_2361/klagomålsmail/A 68856-2020 FSC-klagomål mail.docx", "A 68856-2020")</f>
        <v/>
      </c>
      <c r="X151">
        <f>HYPERLINK("https://klasma.github.io/Logging_2361/tillsyn/A 68856-2020 tillsynsbegäran.docx", "A 68856-2020")</f>
        <v/>
      </c>
      <c r="Y151">
        <f>HYPERLINK("https://klasma.github.io/Logging_2361/tillsynsmail/A 68856-2020 tillsynsbegäran mail.docx", "A 68856-2020")</f>
        <v/>
      </c>
    </row>
    <row r="152" ht="15" customHeight="1">
      <c r="A152" t="inlineStr">
        <is>
          <t>A 3699-2021</t>
        </is>
      </c>
      <c r="B152" s="1" t="n">
        <v>44221</v>
      </c>
      <c r="C152" s="1" t="n">
        <v>45714</v>
      </c>
      <c r="D152" t="inlineStr">
        <is>
          <t>JÄMTLANDS LÄN</t>
        </is>
      </c>
      <c r="E152" t="inlineStr">
        <is>
          <t>HÄRJEDALEN</t>
        </is>
      </c>
      <c r="G152" t="n">
        <v>10.1</v>
      </c>
      <c r="H152" t="n">
        <v>0</v>
      </c>
      <c r="I152" t="n">
        <v>0</v>
      </c>
      <c r="J152" t="n">
        <v>0</v>
      </c>
      <c r="K152" t="n">
        <v>2</v>
      </c>
      <c r="L152" t="n">
        <v>0</v>
      </c>
      <c r="M152" t="n">
        <v>0</v>
      </c>
      <c r="N152" t="n">
        <v>0</v>
      </c>
      <c r="O152" t="n">
        <v>2</v>
      </c>
      <c r="P152" t="n">
        <v>2</v>
      </c>
      <c r="Q152" t="n">
        <v>2</v>
      </c>
      <c r="R152" s="2" t="inlineStr">
        <is>
          <t>Fläckporing
Gräddporing</t>
        </is>
      </c>
      <c r="S152">
        <f>HYPERLINK("https://klasma.github.io/Logging_2361/artfynd/A 3699-2021 artfynd.xlsx", "A 3699-2021")</f>
        <v/>
      </c>
      <c r="T152">
        <f>HYPERLINK("https://klasma.github.io/Logging_2361/kartor/A 3699-2021 karta.png", "A 3699-2021")</f>
        <v/>
      </c>
      <c r="V152">
        <f>HYPERLINK("https://klasma.github.io/Logging_2361/klagomål/A 3699-2021 FSC-klagomål.docx", "A 3699-2021")</f>
        <v/>
      </c>
      <c r="W152">
        <f>HYPERLINK("https://klasma.github.io/Logging_2361/klagomålsmail/A 3699-2021 FSC-klagomål mail.docx", "A 3699-2021")</f>
        <v/>
      </c>
      <c r="X152">
        <f>HYPERLINK("https://klasma.github.io/Logging_2361/tillsyn/A 3699-2021 tillsynsbegäran.docx", "A 3699-2021")</f>
        <v/>
      </c>
      <c r="Y152">
        <f>HYPERLINK("https://klasma.github.io/Logging_2361/tillsynsmail/A 3699-2021 tillsynsbegäran mail.docx", "A 3699-2021")</f>
        <v/>
      </c>
    </row>
    <row r="153" ht="15" customHeight="1">
      <c r="A153" t="inlineStr">
        <is>
          <t>A 15679-2021</t>
        </is>
      </c>
      <c r="B153" s="1" t="n">
        <v>44286</v>
      </c>
      <c r="C153" s="1" t="n">
        <v>45714</v>
      </c>
      <c r="D153" t="inlineStr">
        <is>
          <t>JÄMTLANDS LÄN</t>
        </is>
      </c>
      <c r="E153" t="inlineStr">
        <is>
          <t>HÄRJEDALEN</t>
        </is>
      </c>
      <c r="G153" t="n">
        <v>20.9</v>
      </c>
      <c r="H153" t="n">
        <v>0</v>
      </c>
      <c r="I153" t="n">
        <v>0</v>
      </c>
      <c r="J153" t="n">
        <v>2</v>
      </c>
      <c r="K153" t="n">
        <v>0</v>
      </c>
      <c r="L153" t="n">
        <v>0</v>
      </c>
      <c r="M153" t="n">
        <v>0</v>
      </c>
      <c r="N153" t="n">
        <v>0</v>
      </c>
      <c r="O153" t="n">
        <v>2</v>
      </c>
      <c r="P153" t="n">
        <v>0</v>
      </c>
      <c r="Q153" t="n">
        <v>2</v>
      </c>
      <c r="R153" s="2" t="inlineStr">
        <is>
          <t>Gränsticka
Hornvaxskinn</t>
        </is>
      </c>
      <c r="S153">
        <f>HYPERLINK("https://klasma.github.io/Logging_2361/artfynd/A 15679-2021 artfynd.xlsx", "A 15679-2021")</f>
        <v/>
      </c>
      <c r="T153">
        <f>HYPERLINK("https://klasma.github.io/Logging_2361/kartor/A 15679-2021 karta.png", "A 15679-2021")</f>
        <v/>
      </c>
      <c r="V153">
        <f>HYPERLINK("https://klasma.github.io/Logging_2361/klagomål/A 15679-2021 FSC-klagomål.docx", "A 15679-2021")</f>
        <v/>
      </c>
      <c r="W153">
        <f>HYPERLINK("https://klasma.github.io/Logging_2361/klagomålsmail/A 15679-2021 FSC-klagomål mail.docx", "A 15679-2021")</f>
        <v/>
      </c>
      <c r="X153">
        <f>HYPERLINK("https://klasma.github.io/Logging_2361/tillsyn/A 15679-2021 tillsynsbegäran.docx", "A 15679-2021")</f>
        <v/>
      </c>
      <c r="Y153">
        <f>HYPERLINK("https://klasma.github.io/Logging_2361/tillsynsmail/A 15679-2021 tillsynsbegäran mail.docx", "A 15679-2021")</f>
        <v/>
      </c>
    </row>
    <row r="154" ht="15" customHeight="1">
      <c r="A154" t="inlineStr">
        <is>
          <t>A 33421-2021</t>
        </is>
      </c>
      <c r="B154" s="1" t="n">
        <v>44377</v>
      </c>
      <c r="C154" s="1" t="n">
        <v>45714</v>
      </c>
      <c r="D154" t="inlineStr">
        <is>
          <t>JÄMTLANDS LÄN</t>
        </is>
      </c>
      <c r="E154" t="inlineStr">
        <is>
          <t>HÄRJEDALEN</t>
        </is>
      </c>
      <c r="G154" t="n">
        <v>47.1</v>
      </c>
      <c r="H154" t="n">
        <v>1</v>
      </c>
      <c r="I154" t="n">
        <v>0</v>
      </c>
      <c r="J154" t="n">
        <v>2</v>
      </c>
      <c r="K154" t="n">
        <v>0</v>
      </c>
      <c r="L154" t="n">
        <v>0</v>
      </c>
      <c r="M154" t="n">
        <v>0</v>
      </c>
      <c r="N154" t="n">
        <v>0</v>
      </c>
      <c r="O154" t="n">
        <v>2</v>
      </c>
      <c r="P154" t="n">
        <v>0</v>
      </c>
      <c r="Q154" t="n">
        <v>2</v>
      </c>
      <c r="R154" s="2" t="inlineStr">
        <is>
          <t>Gultoppig fingersvamp
Talltita</t>
        </is>
      </c>
      <c r="S154">
        <f>HYPERLINK("https://klasma.github.io/Logging_2361/artfynd/A 33421-2021 artfynd.xlsx", "A 33421-2021")</f>
        <v/>
      </c>
      <c r="T154">
        <f>HYPERLINK("https://klasma.github.io/Logging_2361/kartor/A 33421-2021 karta.png", "A 33421-2021")</f>
        <v/>
      </c>
      <c r="V154">
        <f>HYPERLINK("https://klasma.github.io/Logging_2361/klagomål/A 33421-2021 FSC-klagomål.docx", "A 33421-2021")</f>
        <v/>
      </c>
      <c r="W154">
        <f>HYPERLINK("https://klasma.github.io/Logging_2361/klagomålsmail/A 33421-2021 FSC-klagomål mail.docx", "A 33421-2021")</f>
        <v/>
      </c>
      <c r="X154">
        <f>HYPERLINK("https://klasma.github.io/Logging_2361/tillsyn/A 33421-2021 tillsynsbegäran.docx", "A 33421-2021")</f>
        <v/>
      </c>
      <c r="Y154">
        <f>HYPERLINK("https://klasma.github.io/Logging_2361/tillsynsmail/A 33421-2021 tillsynsbegäran mail.docx", "A 33421-2021")</f>
        <v/>
      </c>
      <c r="Z154">
        <f>HYPERLINK("https://klasma.github.io/Logging_2361/fåglar/A 33421-2021 prioriterade fågelarter.docx", "A 33421-2021")</f>
        <v/>
      </c>
    </row>
    <row r="155" ht="15" customHeight="1">
      <c r="A155" t="inlineStr">
        <is>
          <t>A 48065-2021</t>
        </is>
      </c>
      <c r="B155" s="1" t="n">
        <v>44449</v>
      </c>
      <c r="C155" s="1" t="n">
        <v>45714</v>
      </c>
      <c r="D155" t="inlineStr">
        <is>
          <t>JÄMTLANDS LÄN</t>
        </is>
      </c>
      <c r="E155" t="inlineStr">
        <is>
          <t>HÄRJEDALEN</t>
        </is>
      </c>
      <c r="G155" t="n">
        <v>24.8</v>
      </c>
      <c r="H155" t="n">
        <v>0</v>
      </c>
      <c r="I155" t="n">
        <v>0</v>
      </c>
      <c r="J155" t="n">
        <v>2</v>
      </c>
      <c r="K155" t="n">
        <v>0</v>
      </c>
      <c r="L155" t="n">
        <v>0</v>
      </c>
      <c r="M155" t="n">
        <v>0</v>
      </c>
      <c r="N155" t="n">
        <v>0</v>
      </c>
      <c r="O155" t="n">
        <v>2</v>
      </c>
      <c r="P155" t="n">
        <v>0</v>
      </c>
      <c r="Q155" t="n">
        <v>2</v>
      </c>
      <c r="R155" s="2" t="inlineStr">
        <is>
          <t>Garnlav
Vitplätt</t>
        </is>
      </c>
      <c r="S155">
        <f>HYPERLINK("https://klasma.github.io/Logging_2361/artfynd/A 48065-2021 artfynd.xlsx", "A 48065-2021")</f>
        <v/>
      </c>
      <c r="T155">
        <f>HYPERLINK("https://klasma.github.io/Logging_2361/kartor/A 48065-2021 karta.png", "A 48065-2021")</f>
        <v/>
      </c>
      <c r="V155">
        <f>HYPERLINK("https://klasma.github.io/Logging_2361/klagomål/A 48065-2021 FSC-klagomål.docx", "A 48065-2021")</f>
        <v/>
      </c>
      <c r="W155">
        <f>HYPERLINK("https://klasma.github.io/Logging_2361/klagomålsmail/A 48065-2021 FSC-klagomål mail.docx", "A 48065-2021")</f>
        <v/>
      </c>
      <c r="X155">
        <f>HYPERLINK("https://klasma.github.io/Logging_2361/tillsyn/A 48065-2021 tillsynsbegäran.docx", "A 48065-2021")</f>
        <v/>
      </c>
      <c r="Y155">
        <f>HYPERLINK("https://klasma.github.io/Logging_2361/tillsynsmail/A 48065-2021 tillsynsbegäran mail.docx", "A 48065-2021")</f>
        <v/>
      </c>
    </row>
    <row r="156" ht="15" customHeight="1">
      <c r="A156" t="inlineStr">
        <is>
          <t>A 55240-2021</t>
        </is>
      </c>
      <c r="B156" s="1" t="n">
        <v>44475</v>
      </c>
      <c r="C156" s="1" t="n">
        <v>45714</v>
      </c>
      <c r="D156" t="inlineStr">
        <is>
          <t>JÄMTLANDS LÄN</t>
        </is>
      </c>
      <c r="E156" t="inlineStr">
        <is>
          <t>HÄRJEDALEN</t>
        </is>
      </c>
      <c r="G156" t="n">
        <v>3.5</v>
      </c>
      <c r="H156" t="n">
        <v>1</v>
      </c>
      <c r="I156" t="n">
        <v>0</v>
      </c>
      <c r="J156" t="n">
        <v>1</v>
      </c>
      <c r="K156" t="n">
        <v>1</v>
      </c>
      <c r="L156" t="n">
        <v>0</v>
      </c>
      <c r="M156" t="n">
        <v>0</v>
      </c>
      <c r="N156" t="n">
        <v>0</v>
      </c>
      <c r="O156" t="n">
        <v>2</v>
      </c>
      <c r="P156" t="n">
        <v>1</v>
      </c>
      <c r="Q156" t="n">
        <v>2</v>
      </c>
      <c r="R156" s="2" t="inlineStr">
        <is>
          <t>Varglavsknöl
Varglav</t>
        </is>
      </c>
      <c r="S156">
        <f>HYPERLINK("https://klasma.github.io/Logging_2361/artfynd/A 55240-2021 artfynd.xlsx", "A 55240-2021")</f>
        <v/>
      </c>
      <c r="T156">
        <f>HYPERLINK("https://klasma.github.io/Logging_2361/kartor/A 55240-2021 karta.png", "A 55240-2021")</f>
        <v/>
      </c>
      <c r="V156">
        <f>HYPERLINK("https://klasma.github.io/Logging_2361/klagomål/A 55240-2021 FSC-klagomål.docx", "A 55240-2021")</f>
        <v/>
      </c>
      <c r="W156">
        <f>HYPERLINK("https://klasma.github.io/Logging_2361/klagomålsmail/A 55240-2021 FSC-klagomål mail.docx", "A 55240-2021")</f>
        <v/>
      </c>
      <c r="X156">
        <f>HYPERLINK("https://klasma.github.io/Logging_2361/tillsyn/A 55240-2021 tillsynsbegäran.docx", "A 55240-2021")</f>
        <v/>
      </c>
      <c r="Y156">
        <f>HYPERLINK("https://klasma.github.io/Logging_2361/tillsynsmail/A 55240-2021 tillsynsbegäran mail.docx", "A 55240-2021")</f>
        <v/>
      </c>
    </row>
    <row r="157" ht="15" customHeight="1">
      <c r="A157" t="inlineStr">
        <is>
          <t>A 55228-2021</t>
        </is>
      </c>
      <c r="B157" s="1" t="n">
        <v>44475</v>
      </c>
      <c r="C157" s="1" t="n">
        <v>45714</v>
      </c>
      <c r="D157" t="inlineStr">
        <is>
          <t>JÄMTLANDS LÄN</t>
        </is>
      </c>
      <c r="E157" t="inlineStr">
        <is>
          <t>HÄRJEDALEN</t>
        </is>
      </c>
      <c r="G157" t="n">
        <v>1.7</v>
      </c>
      <c r="H157" t="n">
        <v>1</v>
      </c>
      <c r="I157" t="n">
        <v>0</v>
      </c>
      <c r="J157" t="n">
        <v>2</v>
      </c>
      <c r="K157" t="n">
        <v>0</v>
      </c>
      <c r="L157" t="n">
        <v>0</v>
      </c>
      <c r="M157" t="n">
        <v>0</v>
      </c>
      <c r="N157" t="n">
        <v>0</v>
      </c>
      <c r="O157" t="n">
        <v>2</v>
      </c>
      <c r="P157" t="n">
        <v>0</v>
      </c>
      <c r="Q157" t="n">
        <v>2</v>
      </c>
      <c r="R157" s="2" t="inlineStr">
        <is>
          <t>Varglav
Vedflamlav</t>
        </is>
      </c>
      <c r="S157">
        <f>HYPERLINK("https://klasma.github.io/Logging_2361/artfynd/A 55228-2021 artfynd.xlsx", "A 55228-2021")</f>
        <v/>
      </c>
      <c r="T157">
        <f>HYPERLINK("https://klasma.github.io/Logging_2361/kartor/A 55228-2021 karta.png", "A 55228-2021")</f>
        <v/>
      </c>
      <c r="V157">
        <f>HYPERLINK("https://klasma.github.io/Logging_2361/klagomål/A 55228-2021 FSC-klagomål.docx", "A 55228-2021")</f>
        <v/>
      </c>
      <c r="W157">
        <f>HYPERLINK("https://klasma.github.io/Logging_2361/klagomålsmail/A 55228-2021 FSC-klagomål mail.docx", "A 55228-2021")</f>
        <v/>
      </c>
      <c r="X157">
        <f>HYPERLINK("https://klasma.github.io/Logging_2361/tillsyn/A 55228-2021 tillsynsbegäran.docx", "A 55228-2021")</f>
        <v/>
      </c>
      <c r="Y157">
        <f>HYPERLINK("https://klasma.github.io/Logging_2361/tillsynsmail/A 55228-2021 tillsynsbegäran mail.docx", "A 55228-2021")</f>
        <v/>
      </c>
    </row>
    <row r="158" ht="15" customHeight="1">
      <c r="A158" t="inlineStr">
        <is>
          <t>A 55392-2021</t>
        </is>
      </c>
      <c r="B158" s="1" t="n">
        <v>44475</v>
      </c>
      <c r="C158" s="1" t="n">
        <v>45714</v>
      </c>
      <c r="D158" t="inlineStr">
        <is>
          <t>JÄMTLANDS LÄN</t>
        </is>
      </c>
      <c r="E158" t="inlineStr">
        <is>
          <t>HÄRJEDALEN</t>
        </is>
      </c>
      <c r="G158" t="n">
        <v>0.8</v>
      </c>
      <c r="H158" t="n">
        <v>0</v>
      </c>
      <c r="I158" t="n">
        <v>0</v>
      </c>
      <c r="J158" t="n">
        <v>2</v>
      </c>
      <c r="K158" t="n">
        <v>0</v>
      </c>
      <c r="L158" t="n">
        <v>0</v>
      </c>
      <c r="M158" t="n">
        <v>0</v>
      </c>
      <c r="N158" t="n">
        <v>0</v>
      </c>
      <c r="O158" t="n">
        <v>2</v>
      </c>
      <c r="P158" t="n">
        <v>0</v>
      </c>
      <c r="Q158" t="n">
        <v>2</v>
      </c>
      <c r="R158" s="2" t="inlineStr">
        <is>
          <t>Ladlav
Vedflamlav</t>
        </is>
      </c>
      <c r="S158">
        <f>HYPERLINK("https://klasma.github.io/Logging_2361/artfynd/A 55392-2021 artfynd.xlsx", "A 55392-2021")</f>
        <v/>
      </c>
      <c r="T158">
        <f>HYPERLINK("https://klasma.github.io/Logging_2361/kartor/A 55392-2021 karta.png", "A 55392-2021")</f>
        <v/>
      </c>
      <c r="V158">
        <f>HYPERLINK("https://klasma.github.io/Logging_2361/klagomål/A 55392-2021 FSC-klagomål.docx", "A 55392-2021")</f>
        <v/>
      </c>
      <c r="W158">
        <f>HYPERLINK("https://klasma.github.io/Logging_2361/klagomålsmail/A 55392-2021 FSC-klagomål mail.docx", "A 55392-2021")</f>
        <v/>
      </c>
      <c r="X158">
        <f>HYPERLINK("https://klasma.github.io/Logging_2361/tillsyn/A 55392-2021 tillsynsbegäran.docx", "A 55392-2021")</f>
        <v/>
      </c>
      <c r="Y158">
        <f>HYPERLINK("https://klasma.github.io/Logging_2361/tillsynsmail/A 55392-2021 tillsynsbegäran mail.docx", "A 55392-2021")</f>
        <v/>
      </c>
    </row>
    <row r="159" ht="15" customHeight="1">
      <c r="A159" t="inlineStr">
        <is>
          <t>A 17082-2022</t>
        </is>
      </c>
      <c r="B159" s="1" t="n">
        <v>44677</v>
      </c>
      <c r="C159" s="1" t="n">
        <v>45714</v>
      </c>
      <c r="D159" t="inlineStr">
        <is>
          <t>JÄMTLANDS LÄN</t>
        </is>
      </c>
      <c r="E159" t="inlineStr">
        <is>
          <t>HÄRJEDALEN</t>
        </is>
      </c>
      <c r="F159" t="inlineStr">
        <is>
          <t>Holmen skog AB</t>
        </is>
      </c>
      <c r="G159" t="n">
        <v>18.1</v>
      </c>
      <c r="H159" t="n">
        <v>0</v>
      </c>
      <c r="I159" t="n">
        <v>0</v>
      </c>
      <c r="J159" t="n">
        <v>2</v>
      </c>
      <c r="K159" t="n">
        <v>0</v>
      </c>
      <c r="L159" t="n">
        <v>0</v>
      </c>
      <c r="M159" t="n">
        <v>0</v>
      </c>
      <c r="N159" t="n">
        <v>0</v>
      </c>
      <c r="O159" t="n">
        <v>2</v>
      </c>
      <c r="P159" t="n">
        <v>0</v>
      </c>
      <c r="Q159" t="n">
        <v>2</v>
      </c>
      <c r="R159" s="2" t="inlineStr">
        <is>
          <t>Motaggsvamp
Orange taggsvamp</t>
        </is>
      </c>
      <c r="S159">
        <f>HYPERLINK("https://klasma.github.io/Logging_2361/artfynd/A 17082-2022 artfynd.xlsx", "A 17082-2022")</f>
        <v/>
      </c>
      <c r="T159">
        <f>HYPERLINK("https://klasma.github.io/Logging_2361/kartor/A 17082-2022 karta.png", "A 17082-2022")</f>
        <v/>
      </c>
      <c r="V159">
        <f>HYPERLINK("https://klasma.github.io/Logging_2361/klagomål/A 17082-2022 FSC-klagomål.docx", "A 17082-2022")</f>
        <v/>
      </c>
      <c r="W159">
        <f>HYPERLINK("https://klasma.github.io/Logging_2361/klagomålsmail/A 17082-2022 FSC-klagomål mail.docx", "A 17082-2022")</f>
        <v/>
      </c>
      <c r="X159">
        <f>HYPERLINK("https://klasma.github.io/Logging_2361/tillsyn/A 17082-2022 tillsynsbegäran.docx", "A 17082-2022")</f>
        <v/>
      </c>
      <c r="Y159">
        <f>HYPERLINK("https://klasma.github.io/Logging_2361/tillsynsmail/A 17082-2022 tillsynsbegäran mail.docx", "A 17082-2022")</f>
        <v/>
      </c>
    </row>
    <row r="160" ht="15" customHeight="1">
      <c r="A160" t="inlineStr">
        <is>
          <t>A 22464-2022</t>
        </is>
      </c>
      <c r="B160" s="1" t="n">
        <v>44713</v>
      </c>
      <c r="C160" s="1" t="n">
        <v>45714</v>
      </c>
      <c r="D160" t="inlineStr">
        <is>
          <t>JÄMTLANDS LÄN</t>
        </is>
      </c>
      <c r="E160" t="inlineStr">
        <is>
          <t>HÄRJEDALEN</t>
        </is>
      </c>
      <c r="F160" t="inlineStr">
        <is>
          <t>Sveaskog</t>
        </is>
      </c>
      <c r="G160" t="n">
        <v>4.3</v>
      </c>
      <c r="H160" t="n">
        <v>0</v>
      </c>
      <c r="I160" t="n">
        <v>1</v>
      </c>
      <c r="J160" t="n">
        <v>1</v>
      </c>
      <c r="K160" t="n">
        <v>0</v>
      </c>
      <c r="L160" t="n">
        <v>0</v>
      </c>
      <c r="M160" t="n">
        <v>0</v>
      </c>
      <c r="N160" t="n">
        <v>0</v>
      </c>
      <c r="O160" t="n">
        <v>1</v>
      </c>
      <c r="P160" t="n">
        <v>0</v>
      </c>
      <c r="Q160" t="n">
        <v>2</v>
      </c>
      <c r="R160" s="2" t="inlineStr">
        <is>
          <t>Lunglav
Dropptaggsvamp</t>
        </is>
      </c>
      <c r="S160">
        <f>HYPERLINK("https://klasma.github.io/Logging_2361/artfynd/A 22464-2022 artfynd.xlsx", "A 22464-2022")</f>
        <v/>
      </c>
      <c r="T160">
        <f>HYPERLINK("https://klasma.github.io/Logging_2361/kartor/A 22464-2022 karta.png", "A 22464-2022")</f>
        <v/>
      </c>
      <c r="U160">
        <f>HYPERLINK("https://klasma.github.io/Logging_2361/knärot/A 22464-2022 karta knärot.png", "A 22464-2022")</f>
        <v/>
      </c>
      <c r="V160">
        <f>HYPERLINK("https://klasma.github.io/Logging_2361/klagomål/A 22464-2022 FSC-klagomål.docx", "A 22464-2022")</f>
        <v/>
      </c>
      <c r="W160">
        <f>HYPERLINK("https://klasma.github.io/Logging_2361/klagomålsmail/A 22464-2022 FSC-klagomål mail.docx", "A 22464-2022")</f>
        <v/>
      </c>
      <c r="X160">
        <f>HYPERLINK("https://klasma.github.io/Logging_2361/tillsyn/A 22464-2022 tillsynsbegäran.docx", "A 22464-2022")</f>
        <v/>
      </c>
      <c r="Y160">
        <f>HYPERLINK("https://klasma.github.io/Logging_2361/tillsynsmail/A 22464-2022 tillsynsbegäran mail.docx", "A 22464-2022")</f>
        <v/>
      </c>
    </row>
    <row r="161" ht="15" customHeight="1">
      <c r="A161" t="inlineStr">
        <is>
          <t>A 47348-2022</t>
        </is>
      </c>
      <c r="B161" s="1" t="n">
        <v>44853</v>
      </c>
      <c r="C161" s="1" t="n">
        <v>45714</v>
      </c>
      <c r="D161" t="inlineStr">
        <is>
          <t>JÄMTLANDS LÄN</t>
        </is>
      </c>
      <c r="E161" t="inlineStr">
        <is>
          <t>HÄRJEDALEN</t>
        </is>
      </c>
      <c r="G161" t="n">
        <v>2</v>
      </c>
      <c r="H161" t="n">
        <v>1</v>
      </c>
      <c r="I161" t="n">
        <v>0</v>
      </c>
      <c r="J161" t="n">
        <v>1</v>
      </c>
      <c r="K161" t="n">
        <v>1</v>
      </c>
      <c r="L161" t="n">
        <v>0</v>
      </c>
      <c r="M161" t="n">
        <v>0</v>
      </c>
      <c r="N161" t="n">
        <v>0</v>
      </c>
      <c r="O161" t="n">
        <v>2</v>
      </c>
      <c r="P161" t="n">
        <v>1</v>
      </c>
      <c r="Q161" t="n">
        <v>2</v>
      </c>
      <c r="R161" s="2" t="inlineStr">
        <is>
          <t>Knärot
Lunglav</t>
        </is>
      </c>
      <c r="S161">
        <f>HYPERLINK("https://klasma.github.io/Logging_2361/artfynd/A 47348-2022 artfynd.xlsx", "A 47348-2022")</f>
        <v/>
      </c>
      <c r="T161">
        <f>HYPERLINK("https://klasma.github.io/Logging_2361/kartor/A 47348-2022 karta.png", "A 47348-2022")</f>
        <v/>
      </c>
      <c r="U161">
        <f>HYPERLINK("https://klasma.github.io/Logging_2361/knärot/A 47348-2022 karta knärot.png", "A 47348-2022")</f>
        <v/>
      </c>
      <c r="V161">
        <f>HYPERLINK("https://klasma.github.io/Logging_2361/klagomål/A 47348-2022 FSC-klagomål.docx", "A 47348-2022")</f>
        <v/>
      </c>
      <c r="W161">
        <f>HYPERLINK("https://klasma.github.io/Logging_2361/klagomålsmail/A 47348-2022 FSC-klagomål mail.docx", "A 47348-2022")</f>
        <v/>
      </c>
      <c r="X161">
        <f>HYPERLINK("https://klasma.github.io/Logging_2361/tillsyn/A 47348-2022 tillsynsbegäran.docx", "A 47348-2022")</f>
        <v/>
      </c>
      <c r="Y161">
        <f>HYPERLINK("https://klasma.github.io/Logging_2361/tillsynsmail/A 47348-2022 tillsynsbegäran mail.docx", "A 47348-2022")</f>
        <v/>
      </c>
    </row>
    <row r="162" ht="15" customHeight="1">
      <c r="A162" t="inlineStr">
        <is>
          <t>A 50438-2022</t>
        </is>
      </c>
      <c r="B162" s="1" t="n">
        <v>44866</v>
      </c>
      <c r="C162" s="1" t="n">
        <v>45714</v>
      </c>
      <c r="D162" t="inlineStr">
        <is>
          <t>JÄMTLANDS LÄN</t>
        </is>
      </c>
      <c r="E162" t="inlineStr">
        <is>
          <t>HÄRJEDALEN</t>
        </is>
      </c>
      <c r="F162" t="inlineStr">
        <is>
          <t>Bergvik skog väst AB</t>
        </is>
      </c>
      <c r="G162" t="n">
        <v>4.6</v>
      </c>
      <c r="H162" t="n">
        <v>1</v>
      </c>
      <c r="I162" t="n">
        <v>0</v>
      </c>
      <c r="J162" t="n">
        <v>1</v>
      </c>
      <c r="K162" t="n">
        <v>1</v>
      </c>
      <c r="L162" t="n">
        <v>0</v>
      </c>
      <c r="M162" t="n">
        <v>0</v>
      </c>
      <c r="N162" t="n">
        <v>0</v>
      </c>
      <c r="O162" t="n">
        <v>2</v>
      </c>
      <c r="P162" t="n">
        <v>1</v>
      </c>
      <c r="Q162" t="n">
        <v>2</v>
      </c>
      <c r="R162" s="2" t="inlineStr">
        <is>
          <t>Knärot
Skrovellav</t>
        </is>
      </c>
      <c r="S162">
        <f>HYPERLINK("https://klasma.github.io/Logging_2361/artfynd/A 50438-2022 artfynd.xlsx", "A 50438-2022")</f>
        <v/>
      </c>
      <c r="T162">
        <f>HYPERLINK("https://klasma.github.io/Logging_2361/kartor/A 50438-2022 karta.png", "A 50438-2022")</f>
        <v/>
      </c>
      <c r="U162">
        <f>HYPERLINK("https://klasma.github.io/Logging_2361/knärot/A 50438-2022 karta knärot.png", "A 50438-2022")</f>
        <v/>
      </c>
      <c r="V162">
        <f>HYPERLINK("https://klasma.github.io/Logging_2361/klagomål/A 50438-2022 FSC-klagomål.docx", "A 50438-2022")</f>
        <v/>
      </c>
      <c r="W162">
        <f>HYPERLINK("https://klasma.github.io/Logging_2361/klagomålsmail/A 50438-2022 FSC-klagomål mail.docx", "A 50438-2022")</f>
        <v/>
      </c>
      <c r="X162">
        <f>HYPERLINK("https://klasma.github.io/Logging_2361/tillsyn/A 50438-2022 tillsynsbegäran.docx", "A 50438-2022")</f>
        <v/>
      </c>
      <c r="Y162">
        <f>HYPERLINK("https://klasma.github.io/Logging_2361/tillsynsmail/A 50438-2022 tillsynsbegäran mail.docx", "A 50438-2022")</f>
        <v/>
      </c>
    </row>
    <row r="163" ht="15" customHeight="1">
      <c r="A163" t="inlineStr">
        <is>
          <t>A 52453-2022</t>
        </is>
      </c>
      <c r="B163" s="1" t="n">
        <v>44874</v>
      </c>
      <c r="C163" s="1" t="n">
        <v>45714</v>
      </c>
      <c r="D163" t="inlineStr">
        <is>
          <t>JÄMTLANDS LÄN</t>
        </is>
      </c>
      <c r="E163" t="inlineStr">
        <is>
          <t>HÄRJEDALEN</t>
        </is>
      </c>
      <c r="F163" t="inlineStr">
        <is>
          <t>Bergvik skog väst AB</t>
        </is>
      </c>
      <c r="G163" t="n">
        <v>14.9</v>
      </c>
      <c r="H163" t="n">
        <v>0</v>
      </c>
      <c r="I163" t="n">
        <v>0</v>
      </c>
      <c r="J163" t="n">
        <v>2</v>
      </c>
      <c r="K163" t="n">
        <v>0</v>
      </c>
      <c r="L163" t="n">
        <v>0</v>
      </c>
      <c r="M163" t="n">
        <v>0</v>
      </c>
      <c r="N163" t="n">
        <v>0</v>
      </c>
      <c r="O163" t="n">
        <v>2</v>
      </c>
      <c r="P163" t="n">
        <v>0</v>
      </c>
      <c r="Q163" t="n">
        <v>2</v>
      </c>
      <c r="R163" s="2" t="inlineStr">
        <is>
          <t>Knottrig blåslav
Mörk kolflarnlav</t>
        </is>
      </c>
      <c r="S163">
        <f>HYPERLINK("https://klasma.github.io/Logging_2361/artfynd/A 52453-2022 artfynd.xlsx", "A 52453-2022")</f>
        <v/>
      </c>
      <c r="T163">
        <f>HYPERLINK("https://klasma.github.io/Logging_2361/kartor/A 52453-2022 karta.png", "A 52453-2022")</f>
        <v/>
      </c>
      <c r="V163">
        <f>HYPERLINK("https://klasma.github.io/Logging_2361/klagomål/A 52453-2022 FSC-klagomål.docx", "A 52453-2022")</f>
        <v/>
      </c>
      <c r="W163">
        <f>HYPERLINK("https://klasma.github.io/Logging_2361/klagomålsmail/A 52453-2022 FSC-klagomål mail.docx", "A 52453-2022")</f>
        <v/>
      </c>
      <c r="X163">
        <f>HYPERLINK("https://klasma.github.io/Logging_2361/tillsyn/A 52453-2022 tillsynsbegäran.docx", "A 52453-2022")</f>
        <v/>
      </c>
      <c r="Y163">
        <f>HYPERLINK("https://klasma.github.io/Logging_2361/tillsynsmail/A 52453-2022 tillsynsbegäran mail.docx", "A 52453-2022")</f>
        <v/>
      </c>
    </row>
    <row r="164" ht="15" customHeight="1">
      <c r="A164" t="inlineStr">
        <is>
          <t>A 4372-2023</t>
        </is>
      </c>
      <c r="B164" s="1" t="n">
        <v>44955</v>
      </c>
      <c r="C164" s="1" t="n">
        <v>45714</v>
      </c>
      <c r="D164" t="inlineStr">
        <is>
          <t>JÄMTLANDS LÄN</t>
        </is>
      </c>
      <c r="E164" t="inlineStr">
        <is>
          <t>HÄRJEDALEN</t>
        </is>
      </c>
      <c r="G164" t="n">
        <v>10.1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HYPERLINK("https://klasma.github.io/Logging_2361/artfynd/A 4372-2023 artfynd.xlsx", "A 4372-2023")</f>
        <v/>
      </c>
      <c r="T164">
        <f>HYPERLINK("https://klasma.github.io/Logging_2361/kartor/A 4372-2023 karta.png", "A 4372-2023")</f>
        <v/>
      </c>
      <c r="V164">
        <f>HYPERLINK("https://klasma.github.io/Logging_2361/klagomål/A 4372-2023 FSC-klagomål.docx", "A 4372-2023")</f>
        <v/>
      </c>
      <c r="W164">
        <f>HYPERLINK("https://klasma.github.io/Logging_2361/klagomålsmail/A 4372-2023 FSC-klagomål mail.docx", "A 4372-2023")</f>
        <v/>
      </c>
      <c r="X164">
        <f>HYPERLINK("https://klasma.github.io/Logging_2361/tillsyn/A 4372-2023 tillsynsbegäran.docx", "A 4372-2023")</f>
        <v/>
      </c>
      <c r="Y164">
        <f>HYPERLINK("https://klasma.github.io/Logging_2361/tillsynsmail/A 4372-2023 tillsynsbegäran mail.docx", "A 4372-2023")</f>
        <v/>
      </c>
      <c r="Z164">
        <f>HYPERLINK("https://klasma.github.io/Logging_2361/fåglar/A 4372-2023 prioriterade fågelarter.docx", "A 4372-2023")</f>
        <v/>
      </c>
    </row>
    <row r="165" ht="15" customHeight="1">
      <c r="A165" t="inlineStr">
        <is>
          <t>A 10344-2023</t>
        </is>
      </c>
      <c r="B165" s="1" t="n">
        <v>44987</v>
      </c>
      <c r="C165" s="1" t="n">
        <v>45714</v>
      </c>
      <c r="D165" t="inlineStr">
        <is>
          <t>JÄMTLANDS LÄN</t>
        </is>
      </c>
      <c r="E165" t="inlineStr">
        <is>
          <t>HÄRJEDALEN</t>
        </is>
      </c>
      <c r="F165" t="inlineStr">
        <is>
          <t>Holmen skog AB</t>
        </is>
      </c>
      <c r="G165" t="n">
        <v>7.2</v>
      </c>
      <c r="H165" t="n">
        <v>0</v>
      </c>
      <c r="I165" t="n">
        <v>0</v>
      </c>
      <c r="J165" t="n">
        <v>2</v>
      </c>
      <c r="K165" t="n">
        <v>0</v>
      </c>
      <c r="L165" t="n">
        <v>0</v>
      </c>
      <c r="M165" t="n">
        <v>0</v>
      </c>
      <c r="N165" t="n">
        <v>0</v>
      </c>
      <c r="O165" t="n">
        <v>2</v>
      </c>
      <c r="P165" t="n">
        <v>0</v>
      </c>
      <c r="Q165" t="n">
        <v>2</v>
      </c>
      <c r="R165" s="2" t="inlineStr">
        <is>
          <t>Lunglav
Skrovellav</t>
        </is>
      </c>
      <c r="S165">
        <f>HYPERLINK("https://klasma.github.io/Logging_2361/artfynd/A 10344-2023 artfynd.xlsx", "A 10344-2023")</f>
        <v/>
      </c>
      <c r="T165">
        <f>HYPERLINK("https://klasma.github.io/Logging_2361/kartor/A 10344-2023 karta.png", "A 10344-2023")</f>
        <v/>
      </c>
      <c r="U165">
        <f>HYPERLINK("https://klasma.github.io/Logging_2361/knärot/A 10344-2023 karta knärot.png", "A 10344-2023")</f>
        <v/>
      </c>
      <c r="V165">
        <f>HYPERLINK("https://klasma.github.io/Logging_2361/klagomål/A 10344-2023 FSC-klagomål.docx", "A 10344-2023")</f>
        <v/>
      </c>
      <c r="W165">
        <f>HYPERLINK("https://klasma.github.io/Logging_2361/klagomålsmail/A 10344-2023 FSC-klagomål mail.docx", "A 10344-2023")</f>
        <v/>
      </c>
      <c r="X165">
        <f>HYPERLINK("https://klasma.github.io/Logging_2361/tillsyn/A 10344-2023 tillsynsbegäran.docx", "A 10344-2023")</f>
        <v/>
      </c>
      <c r="Y165">
        <f>HYPERLINK("https://klasma.github.io/Logging_2361/tillsynsmail/A 10344-2023 tillsynsbegäran mail.docx", "A 10344-2023")</f>
        <v/>
      </c>
    </row>
    <row r="166" ht="15" customHeight="1">
      <c r="A166" t="inlineStr">
        <is>
          <t>A 25742-2023</t>
        </is>
      </c>
      <c r="B166" s="1" t="n">
        <v>45090</v>
      </c>
      <c r="C166" s="1" t="n">
        <v>45714</v>
      </c>
      <c r="D166" t="inlineStr">
        <is>
          <t>JÄMTLANDS LÄN</t>
        </is>
      </c>
      <c r="E166" t="inlineStr">
        <is>
          <t>HÄRJEDALEN</t>
        </is>
      </c>
      <c r="F166" t="inlineStr">
        <is>
          <t>Bergvik skog väst AB</t>
        </is>
      </c>
      <c r="G166" t="n">
        <v>55</v>
      </c>
      <c r="H166" t="n">
        <v>0</v>
      </c>
      <c r="I166" t="n">
        <v>0</v>
      </c>
      <c r="J166" t="n">
        <v>2</v>
      </c>
      <c r="K166" t="n">
        <v>0</v>
      </c>
      <c r="L166" t="n">
        <v>0</v>
      </c>
      <c r="M166" t="n">
        <v>0</v>
      </c>
      <c r="N166" t="n">
        <v>0</v>
      </c>
      <c r="O166" t="n">
        <v>2</v>
      </c>
      <c r="P166" t="n">
        <v>0</v>
      </c>
      <c r="Q166" t="n">
        <v>2</v>
      </c>
      <c r="R166" s="2" t="inlineStr">
        <is>
          <t>Dvärgbägarlav
Mörk kolflarnlav</t>
        </is>
      </c>
      <c r="S166">
        <f>HYPERLINK("https://klasma.github.io/Logging_2361/artfynd/A 25742-2023 artfynd.xlsx", "A 25742-2023")</f>
        <v/>
      </c>
      <c r="T166">
        <f>HYPERLINK("https://klasma.github.io/Logging_2361/kartor/A 25742-2023 karta.png", "A 25742-2023")</f>
        <v/>
      </c>
      <c r="V166">
        <f>HYPERLINK("https://klasma.github.io/Logging_2361/klagomål/A 25742-2023 FSC-klagomål.docx", "A 25742-2023")</f>
        <v/>
      </c>
      <c r="W166">
        <f>HYPERLINK("https://klasma.github.io/Logging_2361/klagomålsmail/A 25742-2023 FSC-klagomål mail.docx", "A 25742-2023")</f>
        <v/>
      </c>
      <c r="X166">
        <f>HYPERLINK("https://klasma.github.io/Logging_2361/tillsyn/A 25742-2023 tillsynsbegäran.docx", "A 25742-2023")</f>
        <v/>
      </c>
      <c r="Y166">
        <f>HYPERLINK("https://klasma.github.io/Logging_2361/tillsynsmail/A 25742-2023 tillsynsbegäran mail.docx", "A 25742-2023")</f>
        <v/>
      </c>
    </row>
    <row r="167" ht="15" customHeight="1">
      <c r="A167" t="inlineStr">
        <is>
          <t>A 36750-2023</t>
        </is>
      </c>
      <c r="B167" s="1" t="n">
        <v>45153</v>
      </c>
      <c r="C167" s="1" t="n">
        <v>45714</v>
      </c>
      <c r="D167" t="inlineStr">
        <is>
          <t>JÄMTLANDS LÄN</t>
        </is>
      </c>
      <c r="E167" t="inlineStr">
        <is>
          <t>HÄRJEDALEN</t>
        </is>
      </c>
      <c r="G167" t="n">
        <v>8.199999999999999</v>
      </c>
      <c r="H167" t="n">
        <v>1</v>
      </c>
      <c r="I167" t="n">
        <v>0</v>
      </c>
      <c r="J167" t="n">
        <v>2</v>
      </c>
      <c r="K167" t="n">
        <v>0</v>
      </c>
      <c r="L167" t="n">
        <v>0</v>
      </c>
      <c r="M167" t="n">
        <v>0</v>
      </c>
      <c r="N167" t="n">
        <v>0</v>
      </c>
      <c r="O167" t="n">
        <v>2</v>
      </c>
      <c r="P167" t="n">
        <v>0</v>
      </c>
      <c r="Q167" t="n">
        <v>2</v>
      </c>
      <c r="R167" s="2" t="inlineStr">
        <is>
          <t>Järpe
Lunglav</t>
        </is>
      </c>
      <c r="S167">
        <f>HYPERLINK("https://klasma.github.io/Logging_2361/artfynd/A 36750-2023 artfynd.xlsx", "A 36750-2023")</f>
        <v/>
      </c>
      <c r="T167">
        <f>HYPERLINK("https://klasma.github.io/Logging_2361/kartor/A 36750-2023 karta.png", "A 36750-2023")</f>
        <v/>
      </c>
      <c r="V167">
        <f>HYPERLINK("https://klasma.github.io/Logging_2361/klagomål/A 36750-2023 FSC-klagomål.docx", "A 36750-2023")</f>
        <v/>
      </c>
      <c r="W167">
        <f>HYPERLINK("https://klasma.github.io/Logging_2361/klagomålsmail/A 36750-2023 FSC-klagomål mail.docx", "A 36750-2023")</f>
        <v/>
      </c>
      <c r="X167">
        <f>HYPERLINK("https://klasma.github.io/Logging_2361/tillsyn/A 36750-2023 tillsynsbegäran.docx", "A 36750-2023")</f>
        <v/>
      </c>
      <c r="Y167">
        <f>HYPERLINK("https://klasma.github.io/Logging_2361/tillsynsmail/A 36750-2023 tillsynsbegäran mail.docx", "A 36750-2023")</f>
        <v/>
      </c>
      <c r="Z167">
        <f>HYPERLINK("https://klasma.github.io/Logging_2361/fåglar/A 36750-2023 prioriterade fågelarter.docx", "A 36750-2023")</f>
        <v/>
      </c>
    </row>
    <row r="168" ht="15" customHeight="1">
      <c r="A168" t="inlineStr">
        <is>
          <t>A 40015-2023</t>
        </is>
      </c>
      <c r="B168" s="1" t="n">
        <v>45168</v>
      </c>
      <c r="C168" s="1" t="n">
        <v>45714</v>
      </c>
      <c r="D168" t="inlineStr">
        <is>
          <t>JÄMTLANDS LÄN</t>
        </is>
      </c>
      <c r="E168" t="inlineStr">
        <is>
          <t>HÄRJEDALEN</t>
        </is>
      </c>
      <c r="G168" t="n">
        <v>21.9</v>
      </c>
      <c r="H168" t="n">
        <v>0</v>
      </c>
      <c r="I168" t="n">
        <v>1</v>
      </c>
      <c r="J168" t="n">
        <v>1</v>
      </c>
      <c r="K168" t="n">
        <v>0</v>
      </c>
      <c r="L168" t="n">
        <v>0</v>
      </c>
      <c r="M168" t="n">
        <v>0</v>
      </c>
      <c r="N168" t="n">
        <v>0</v>
      </c>
      <c r="O168" t="n">
        <v>1</v>
      </c>
      <c r="P168" t="n">
        <v>0</v>
      </c>
      <c r="Q168" t="n">
        <v>2</v>
      </c>
      <c r="R168" s="2" t="inlineStr">
        <is>
          <t>Blå taggsvamp
Dropptaggsvamp</t>
        </is>
      </c>
      <c r="S168">
        <f>HYPERLINK("https://klasma.github.io/Logging_2361/artfynd/A 40015-2023 artfynd.xlsx", "A 40015-2023")</f>
        <v/>
      </c>
      <c r="T168">
        <f>HYPERLINK("https://klasma.github.io/Logging_2361/kartor/A 40015-2023 karta.png", "A 40015-2023")</f>
        <v/>
      </c>
      <c r="V168">
        <f>HYPERLINK("https://klasma.github.io/Logging_2361/klagomål/A 40015-2023 FSC-klagomål.docx", "A 40015-2023")</f>
        <v/>
      </c>
      <c r="W168">
        <f>HYPERLINK("https://klasma.github.io/Logging_2361/klagomålsmail/A 40015-2023 FSC-klagomål mail.docx", "A 40015-2023")</f>
        <v/>
      </c>
      <c r="X168">
        <f>HYPERLINK("https://klasma.github.io/Logging_2361/tillsyn/A 40015-2023 tillsynsbegäran.docx", "A 40015-2023")</f>
        <v/>
      </c>
      <c r="Y168">
        <f>HYPERLINK("https://klasma.github.io/Logging_2361/tillsynsmail/A 40015-2023 tillsynsbegäran mail.docx", "A 40015-2023")</f>
        <v/>
      </c>
    </row>
    <row r="169" ht="15" customHeight="1">
      <c r="A169" t="inlineStr">
        <is>
          <t>A 45191-2023</t>
        </is>
      </c>
      <c r="B169" s="1" t="n">
        <v>45191</v>
      </c>
      <c r="C169" s="1" t="n">
        <v>45714</v>
      </c>
      <c r="D169" t="inlineStr">
        <is>
          <t>JÄMTLANDS LÄN</t>
        </is>
      </c>
      <c r="E169" t="inlineStr">
        <is>
          <t>HÄRJEDALEN</t>
        </is>
      </c>
      <c r="F169" t="inlineStr">
        <is>
          <t>Sveaskog</t>
        </is>
      </c>
      <c r="G169" t="n">
        <v>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45191-2023 artfynd.xlsx", "A 45191-2023")</f>
        <v/>
      </c>
      <c r="T169">
        <f>HYPERLINK("https://klasma.github.io/Logging_2361/kartor/A 45191-2023 karta.png", "A 45191-2023")</f>
        <v/>
      </c>
      <c r="V169">
        <f>HYPERLINK("https://klasma.github.io/Logging_2361/klagomål/A 45191-2023 FSC-klagomål.docx", "A 45191-2023")</f>
        <v/>
      </c>
      <c r="W169">
        <f>HYPERLINK("https://klasma.github.io/Logging_2361/klagomålsmail/A 45191-2023 FSC-klagomål mail.docx", "A 45191-2023")</f>
        <v/>
      </c>
      <c r="X169">
        <f>HYPERLINK("https://klasma.github.io/Logging_2361/tillsyn/A 45191-2023 tillsynsbegäran.docx", "A 45191-2023")</f>
        <v/>
      </c>
      <c r="Y169">
        <f>HYPERLINK("https://klasma.github.io/Logging_2361/tillsynsmail/A 45191-2023 tillsynsbegäran mail.docx", "A 45191-2023")</f>
        <v/>
      </c>
    </row>
    <row r="170" ht="15" customHeight="1">
      <c r="A170" t="inlineStr">
        <is>
          <t>A 22836-2024</t>
        </is>
      </c>
      <c r="B170" s="1" t="n">
        <v>45448</v>
      </c>
      <c r="C170" s="1" t="n">
        <v>45714</v>
      </c>
      <c r="D170" t="inlineStr">
        <is>
          <t>JÄMTLANDS LÄN</t>
        </is>
      </c>
      <c r="E170" t="inlineStr">
        <is>
          <t>HÄRJEDALEN</t>
        </is>
      </c>
      <c r="F170" t="inlineStr">
        <is>
          <t>Holmen skog AB</t>
        </is>
      </c>
      <c r="G170" t="n">
        <v>3.5</v>
      </c>
      <c r="H170" t="n">
        <v>0</v>
      </c>
      <c r="I170" t="n">
        <v>1</v>
      </c>
      <c r="J170" t="n">
        <v>1</v>
      </c>
      <c r="K170" t="n">
        <v>0</v>
      </c>
      <c r="L170" t="n">
        <v>0</v>
      </c>
      <c r="M170" t="n">
        <v>0</v>
      </c>
      <c r="N170" t="n">
        <v>0</v>
      </c>
      <c r="O170" t="n">
        <v>1</v>
      </c>
      <c r="P170" t="n">
        <v>0</v>
      </c>
      <c r="Q170" t="n">
        <v>2</v>
      </c>
      <c r="R170" s="2" t="inlineStr">
        <is>
          <t>Vedflamlav
Dropptaggsvamp</t>
        </is>
      </c>
      <c r="S170">
        <f>HYPERLINK("https://klasma.github.io/Logging_2361/artfynd/A 22836-2024 artfynd.xlsx", "A 22836-2024")</f>
        <v/>
      </c>
      <c r="T170">
        <f>HYPERLINK("https://klasma.github.io/Logging_2361/kartor/A 22836-2024 karta.png", "A 22836-2024")</f>
        <v/>
      </c>
      <c r="V170">
        <f>HYPERLINK("https://klasma.github.io/Logging_2361/klagomål/A 22836-2024 FSC-klagomål.docx", "A 22836-2024")</f>
        <v/>
      </c>
      <c r="W170">
        <f>HYPERLINK("https://klasma.github.io/Logging_2361/klagomålsmail/A 22836-2024 FSC-klagomål mail.docx", "A 22836-2024")</f>
        <v/>
      </c>
      <c r="X170">
        <f>HYPERLINK("https://klasma.github.io/Logging_2361/tillsyn/A 22836-2024 tillsynsbegäran.docx", "A 22836-2024")</f>
        <v/>
      </c>
      <c r="Y170">
        <f>HYPERLINK("https://klasma.github.io/Logging_2361/tillsynsmail/A 22836-2024 tillsynsbegäran mail.docx", "A 22836-2024")</f>
        <v/>
      </c>
    </row>
    <row r="171" ht="15" customHeight="1">
      <c r="A171" t="inlineStr">
        <is>
          <t>A 27179-2024</t>
        </is>
      </c>
      <c r="B171" s="1" t="n">
        <v>45471</v>
      </c>
      <c r="C171" s="1" t="n">
        <v>45714</v>
      </c>
      <c r="D171" t="inlineStr">
        <is>
          <t>JÄMTLANDS LÄN</t>
        </is>
      </c>
      <c r="E171" t="inlineStr">
        <is>
          <t>HÄRJEDALEN</t>
        </is>
      </c>
      <c r="G171" t="n">
        <v>3.1</v>
      </c>
      <c r="H171" t="n">
        <v>0</v>
      </c>
      <c r="I171" t="n">
        <v>1</v>
      </c>
      <c r="J171" t="n">
        <v>1</v>
      </c>
      <c r="K171" t="n">
        <v>0</v>
      </c>
      <c r="L171" t="n">
        <v>0</v>
      </c>
      <c r="M171" t="n">
        <v>0</v>
      </c>
      <c r="N171" t="n">
        <v>0</v>
      </c>
      <c r="O171" t="n">
        <v>1</v>
      </c>
      <c r="P171" t="n">
        <v>0</v>
      </c>
      <c r="Q171" t="n">
        <v>2</v>
      </c>
      <c r="R171" s="2" t="inlineStr">
        <is>
          <t>Garnlav
Korallblylav</t>
        </is>
      </c>
      <c r="S171">
        <f>HYPERLINK("https://klasma.github.io/Logging_2361/artfynd/A 27179-2024 artfynd.xlsx", "A 27179-2024")</f>
        <v/>
      </c>
      <c r="T171">
        <f>HYPERLINK("https://klasma.github.io/Logging_2361/kartor/A 27179-2024 karta.png", "A 27179-2024")</f>
        <v/>
      </c>
      <c r="V171">
        <f>HYPERLINK("https://klasma.github.io/Logging_2361/klagomål/A 27179-2024 FSC-klagomål.docx", "A 27179-2024")</f>
        <v/>
      </c>
      <c r="W171">
        <f>HYPERLINK("https://klasma.github.io/Logging_2361/klagomålsmail/A 27179-2024 FSC-klagomål mail.docx", "A 27179-2024")</f>
        <v/>
      </c>
      <c r="X171">
        <f>HYPERLINK("https://klasma.github.io/Logging_2361/tillsyn/A 27179-2024 tillsynsbegäran.docx", "A 27179-2024")</f>
        <v/>
      </c>
      <c r="Y171">
        <f>HYPERLINK("https://klasma.github.io/Logging_2361/tillsynsmail/A 27179-2024 tillsynsbegäran mail.docx", "A 27179-2024")</f>
        <v/>
      </c>
    </row>
    <row r="172" ht="15" customHeight="1">
      <c r="A172" t="inlineStr">
        <is>
          <t>A 31892-2024</t>
        </is>
      </c>
      <c r="B172" s="1" t="n">
        <v>45509</v>
      </c>
      <c r="C172" s="1" t="n">
        <v>45714</v>
      </c>
      <c r="D172" t="inlineStr">
        <is>
          <t>JÄMTLANDS LÄN</t>
        </is>
      </c>
      <c r="E172" t="inlineStr">
        <is>
          <t>HÄRJEDALEN</t>
        </is>
      </c>
      <c r="F172" t="inlineStr">
        <is>
          <t>SCA</t>
        </is>
      </c>
      <c r="G172" t="n">
        <v>5.2</v>
      </c>
      <c r="H172" t="n">
        <v>1</v>
      </c>
      <c r="I172" t="n">
        <v>1</v>
      </c>
      <c r="J172" t="n">
        <v>0</v>
      </c>
      <c r="K172" t="n">
        <v>0</v>
      </c>
      <c r="L172" t="n">
        <v>0</v>
      </c>
      <c r="M172" t="n">
        <v>0</v>
      </c>
      <c r="N172" t="n">
        <v>0</v>
      </c>
      <c r="O172" t="n">
        <v>0</v>
      </c>
      <c r="P172" t="n">
        <v>0</v>
      </c>
      <c r="Q172" t="n">
        <v>2</v>
      </c>
      <c r="R172" s="2" t="inlineStr">
        <is>
          <t>Bollvitmossa
Fläcknycklar</t>
        </is>
      </c>
      <c r="S172">
        <f>HYPERLINK("https://klasma.github.io/Logging_2361/artfynd/A 31892-2024 artfynd.xlsx", "A 31892-2024")</f>
        <v/>
      </c>
      <c r="T172">
        <f>HYPERLINK("https://klasma.github.io/Logging_2361/kartor/A 31892-2024 karta.png", "A 31892-2024")</f>
        <v/>
      </c>
      <c r="V172">
        <f>HYPERLINK("https://klasma.github.io/Logging_2361/klagomål/A 31892-2024 FSC-klagomål.docx", "A 31892-2024")</f>
        <v/>
      </c>
      <c r="W172">
        <f>HYPERLINK("https://klasma.github.io/Logging_2361/klagomålsmail/A 31892-2024 FSC-klagomål mail.docx", "A 31892-2024")</f>
        <v/>
      </c>
      <c r="X172">
        <f>HYPERLINK("https://klasma.github.io/Logging_2361/tillsyn/A 31892-2024 tillsynsbegäran.docx", "A 31892-2024")</f>
        <v/>
      </c>
      <c r="Y172">
        <f>HYPERLINK("https://klasma.github.io/Logging_2361/tillsynsmail/A 31892-2024 tillsynsbegäran mail.docx", "A 31892-2024")</f>
        <v/>
      </c>
    </row>
    <row r="173" ht="15" customHeight="1">
      <c r="A173" t="inlineStr">
        <is>
          <t>A 36051-2024</t>
        </is>
      </c>
      <c r="B173" s="1" t="n">
        <v>45533</v>
      </c>
      <c r="C173" s="1" t="n">
        <v>45714</v>
      </c>
      <c r="D173" t="inlineStr">
        <is>
          <t>JÄMTLANDS LÄN</t>
        </is>
      </c>
      <c r="E173" t="inlineStr">
        <is>
          <t>HÄRJEDALEN</t>
        </is>
      </c>
      <c r="F173" t="inlineStr">
        <is>
          <t>Sveaskog</t>
        </is>
      </c>
      <c r="G173" t="n">
        <v>2.3</v>
      </c>
      <c r="H173" t="n">
        <v>0</v>
      </c>
      <c r="I173" t="n">
        <v>1</v>
      </c>
      <c r="J173" t="n">
        <v>1</v>
      </c>
      <c r="K173" t="n">
        <v>0</v>
      </c>
      <c r="L173" t="n">
        <v>0</v>
      </c>
      <c r="M173" t="n">
        <v>0</v>
      </c>
      <c r="N173" t="n">
        <v>0</v>
      </c>
      <c r="O173" t="n">
        <v>1</v>
      </c>
      <c r="P173" t="n">
        <v>0</v>
      </c>
      <c r="Q173" t="n">
        <v>2</v>
      </c>
      <c r="R173" s="2" t="inlineStr">
        <is>
          <t>Blå taggsvamp
Dropptaggsvamp</t>
        </is>
      </c>
      <c r="S173">
        <f>HYPERLINK("https://klasma.github.io/Logging_2361/artfynd/A 36051-2024 artfynd.xlsx", "A 36051-2024")</f>
        <v/>
      </c>
      <c r="T173">
        <f>HYPERLINK("https://klasma.github.io/Logging_2361/kartor/A 36051-2024 karta.png", "A 36051-2024")</f>
        <v/>
      </c>
      <c r="V173">
        <f>HYPERLINK("https://klasma.github.io/Logging_2361/klagomål/A 36051-2024 FSC-klagomål.docx", "A 36051-2024")</f>
        <v/>
      </c>
      <c r="W173">
        <f>HYPERLINK("https://klasma.github.io/Logging_2361/klagomålsmail/A 36051-2024 FSC-klagomål mail.docx", "A 36051-2024")</f>
        <v/>
      </c>
      <c r="X173">
        <f>HYPERLINK("https://klasma.github.io/Logging_2361/tillsyn/A 36051-2024 tillsynsbegäran.docx", "A 36051-2024")</f>
        <v/>
      </c>
      <c r="Y173">
        <f>HYPERLINK("https://klasma.github.io/Logging_2361/tillsynsmail/A 36051-2024 tillsynsbegäran mail.docx", "A 36051-2024")</f>
        <v/>
      </c>
    </row>
    <row r="174" ht="15" customHeight="1">
      <c r="A174" t="inlineStr">
        <is>
          <t>A 36924-2024</t>
        </is>
      </c>
      <c r="B174" s="1" t="n">
        <v>45538</v>
      </c>
      <c r="C174" s="1" t="n">
        <v>45714</v>
      </c>
      <c r="D174" t="inlineStr">
        <is>
          <t>JÄMTLANDS LÄN</t>
        </is>
      </c>
      <c r="E174" t="inlineStr">
        <is>
          <t>HÄRJEDALEN</t>
        </is>
      </c>
      <c r="F174" t="inlineStr">
        <is>
          <t>Holmen skog AB</t>
        </is>
      </c>
      <c r="G174" t="n">
        <v>4.3</v>
      </c>
      <c r="H174" t="n">
        <v>1</v>
      </c>
      <c r="I174" t="n">
        <v>1</v>
      </c>
      <c r="J174" t="n">
        <v>0</v>
      </c>
      <c r="K174" t="n">
        <v>0</v>
      </c>
      <c r="L174" t="n">
        <v>0</v>
      </c>
      <c r="M174" t="n">
        <v>0</v>
      </c>
      <c r="N174" t="n">
        <v>0</v>
      </c>
      <c r="O174" t="n">
        <v>0</v>
      </c>
      <c r="P174" t="n">
        <v>0</v>
      </c>
      <c r="Q174" t="n">
        <v>2</v>
      </c>
      <c r="R174" s="2" t="inlineStr">
        <is>
          <t>Dvärgtufs
Nattviol</t>
        </is>
      </c>
      <c r="S174">
        <f>HYPERLINK("https://klasma.github.io/Logging_2361/artfynd/A 36924-2024 artfynd.xlsx", "A 36924-2024")</f>
        <v/>
      </c>
      <c r="T174">
        <f>HYPERLINK("https://klasma.github.io/Logging_2361/kartor/A 36924-2024 karta.png", "A 36924-2024")</f>
        <v/>
      </c>
      <c r="V174">
        <f>HYPERLINK("https://klasma.github.io/Logging_2361/klagomål/A 36924-2024 FSC-klagomål.docx", "A 36924-2024")</f>
        <v/>
      </c>
      <c r="W174">
        <f>HYPERLINK("https://klasma.github.io/Logging_2361/klagomålsmail/A 36924-2024 FSC-klagomål mail.docx", "A 36924-2024")</f>
        <v/>
      </c>
      <c r="X174">
        <f>HYPERLINK("https://klasma.github.io/Logging_2361/tillsyn/A 36924-2024 tillsynsbegäran.docx", "A 36924-2024")</f>
        <v/>
      </c>
      <c r="Y174">
        <f>HYPERLINK("https://klasma.github.io/Logging_2361/tillsynsmail/A 36924-2024 tillsynsbegäran mail.docx", "A 36924-2024")</f>
        <v/>
      </c>
    </row>
    <row r="175" ht="15" customHeight="1">
      <c r="A175" t="inlineStr">
        <is>
          <t>A 39718-2024</t>
        </is>
      </c>
      <c r="B175" s="1" t="n">
        <v>45552</v>
      </c>
      <c r="C175" s="1" t="n">
        <v>45714</v>
      </c>
      <c r="D175" t="inlineStr">
        <is>
          <t>JÄMTLANDS LÄN</t>
        </is>
      </c>
      <c r="E175" t="inlineStr">
        <is>
          <t>HÄRJEDALEN</t>
        </is>
      </c>
      <c r="G175" t="n">
        <v>9.4</v>
      </c>
      <c r="H175" t="n">
        <v>0</v>
      </c>
      <c r="I175" t="n">
        <v>0</v>
      </c>
      <c r="J175" t="n">
        <v>1</v>
      </c>
      <c r="K175" t="n">
        <v>1</v>
      </c>
      <c r="L175" t="n">
        <v>0</v>
      </c>
      <c r="M175" t="n">
        <v>0</v>
      </c>
      <c r="N175" t="n">
        <v>0</v>
      </c>
      <c r="O175" t="n">
        <v>2</v>
      </c>
      <c r="P175" t="n">
        <v>1</v>
      </c>
      <c r="Q175" t="n">
        <v>2</v>
      </c>
      <c r="R175" s="2" t="inlineStr">
        <is>
          <t>Gräddporing
Slåtterfibbla</t>
        </is>
      </c>
      <c r="S175">
        <f>HYPERLINK("https://klasma.github.io/Logging_2361/artfynd/A 39718-2024 artfynd.xlsx", "A 39718-2024")</f>
        <v/>
      </c>
      <c r="T175">
        <f>HYPERLINK("https://klasma.github.io/Logging_2361/kartor/A 39718-2024 karta.png", "A 39718-2024")</f>
        <v/>
      </c>
      <c r="U175">
        <f>HYPERLINK("https://klasma.github.io/Logging_2361/knärot/A 39718-2024 karta knärot.png", "A 39718-2024")</f>
        <v/>
      </c>
      <c r="V175">
        <f>HYPERLINK("https://klasma.github.io/Logging_2361/klagomål/A 39718-2024 FSC-klagomål.docx", "A 39718-2024")</f>
        <v/>
      </c>
      <c r="W175">
        <f>HYPERLINK("https://klasma.github.io/Logging_2361/klagomålsmail/A 39718-2024 FSC-klagomål mail.docx", "A 39718-2024")</f>
        <v/>
      </c>
      <c r="X175">
        <f>HYPERLINK("https://klasma.github.io/Logging_2361/tillsyn/A 39718-2024 tillsynsbegäran.docx", "A 39718-2024")</f>
        <v/>
      </c>
      <c r="Y175">
        <f>HYPERLINK("https://klasma.github.io/Logging_2361/tillsynsmail/A 39718-2024 tillsynsbegäran mail.docx", "A 39718-2024")</f>
        <v/>
      </c>
    </row>
    <row r="176" ht="15" customHeight="1">
      <c r="A176" t="inlineStr">
        <is>
          <t>A 44824-2024</t>
        </is>
      </c>
      <c r="B176" s="1" t="n">
        <v>45574</v>
      </c>
      <c r="C176" s="1" t="n">
        <v>45714</v>
      </c>
      <c r="D176" t="inlineStr">
        <is>
          <t>JÄMTLANDS LÄN</t>
        </is>
      </c>
      <c r="E176" t="inlineStr">
        <is>
          <t>HÄRJEDALEN</t>
        </is>
      </c>
      <c r="F176" t="inlineStr">
        <is>
          <t>Bergvik skog väst AB</t>
        </is>
      </c>
      <c r="G176" t="n">
        <v>29.4</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HYPERLINK("https://klasma.github.io/Logging_2361/artfynd/A 44824-2024 artfynd.xlsx", "A 44824-2024")</f>
        <v/>
      </c>
      <c r="T176">
        <f>HYPERLINK("https://klasma.github.io/Logging_2361/kartor/A 44824-2024 karta.png", "A 44824-2024")</f>
        <v/>
      </c>
      <c r="V176">
        <f>HYPERLINK("https://klasma.github.io/Logging_2361/klagomål/A 44824-2024 FSC-klagomål.docx", "A 44824-2024")</f>
        <v/>
      </c>
      <c r="W176">
        <f>HYPERLINK("https://klasma.github.io/Logging_2361/klagomålsmail/A 44824-2024 FSC-klagomål mail.docx", "A 44824-2024")</f>
        <v/>
      </c>
      <c r="X176">
        <f>HYPERLINK("https://klasma.github.io/Logging_2361/tillsyn/A 44824-2024 tillsynsbegäran.docx", "A 44824-2024")</f>
        <v/>
      </c>
      <c r="Y176">
        <f>HYPERLINK("https://klasma.github.io/Logging_2361/tillsynsmail/A 44824-2024 tillsynsbegäran mail.docx", "A 44824-2024")</f>
        <v/>
      </c>
      <c r="Z176">
        <f>HYPERLINK("https://klasma.github.io/Logging_2361/fåglar/A 44824-2024 prioriterade fågelarter.docx", "A 44824-2024")</f>
        <v/>
      </c>
    </row>
    <row r="177" ht="15" customHeight="1">
      <c r="A177" t="inlineStr">
        <is>
          <t>A 49329-2024</t>
        </is>
      </c>
      <c r="B177" s="1" t="n">
        <v>45595</v>
      </c>
      <c r="C177" s="1" t="n">
        <v>45714</v>
      </c>
      <c r="D177" t="inlineStr">
        <is>
          <t>JÄMTLANDS LÄN</t>
        </is>
      </c>
      <c r="E177" t="inlineStr">
        <is>
          <t>HÄRJEDALEN</t>
        </is>
      </c>
      <c r="F177" t="inlineStr">
        <is>
          <t>Bergvik skog väst AB</t>
        </is>
      </c>
      <c r="G177" t="n">
        <v>6.1</v>
      </c>
      <c r="H177" t="n">
        <v>0</v>
      </c>
      <c r="I177" t="n">
        <v>0</v>
      </c>
      <c r="J177" t="n">
        <v>2</v>
      </c>
      <c r="K177" t="n">
        <v>0</v>
      </c>
      <c r="L177" t="n">
        <v>0</v>
      </c>
      <c r="M177" t="n">
        <v>0</v>
      </c>
      <c r="N177" t="n">
        <v>0</v>
      </c>
      <c r="O177" t="n">
        <v>2</v>
      </c>
      <c r="P177" t="n">
        <v>0</v>
      </c>
      <c r="Q177" t="n">
        <v>2</v>
      </c>
      <c r="R177" s="2" t="inlineStr">
        <is>
          <t>Dvärgbägarlav
Vedflamlav</t>
        </is>
      </c>
      <c r="S177">
        <f>HYPERLINK("https://klasma.github.io/Logging_2361/artfynd/A 49329-2024 artfynd.xlsx", "A 49329-2024")</f>
        <v/>
      </c>
      <c r="T177">
        <f>HYPERLINK("https://klasma.github.io/Logging_2361/kartor/A 49329-2024 karta.png", "A 49329-2024")</f>
        <v/>
      </c>
      <c r="V177">
        <f>HYPERLINK("https://klasma.github.io/Logging_2361/klagomål/A 49329-2024 FSC-klagomål.docx", "A 49329-2024")</f>
        <v/>
      </c>
      <c r="W177">
        <f>HYPERLINK("https://klasma.github.io/Logging_2361/klagomålsmail/A 49329-2024 FSC-klagomål mail.docx", "A 49329-2024")</f>
        <v/>
      </c>
      <c r="X177">
        <f>HYPERLINK("https://klasma.github.io/Logging_2361/tillsyn/A 49329-2024 tillsynsbegäran.docx", "A 49329-2024")</f>
        <v/>
      </c>
      <c r="Y177">
        <f>HYPERLINK("https://klasma.github.io/Logging_2361/tillsynsmail/A 49329-2024 tillsynsbegäran mail.docx", "A 49329-2024")</f>
        <v/>
      </c>
    </row>
    <row r="178" ht="15" customHeight="1">
      <c r="A178" t="inlineStr">
        <is>
          <t>A 49482-2024</t>
        </is>
      </c>
      <c r="B178" s="1" t="n">
        <v>45596</v>
      </c>
      <c r="C178" s="1" t="n">
        <v>45714</v>
      </c>
      <c r="D178" t="inlineStr">
        <is>
          <t>JÄMTLANDS LÄN</t>
        </is>
      </c>
      <c r="E178" t="inlineStr">
        <is>
          <t>HÄRJEDALEN</t>
        </is>
      </c>
      <c r="F178" t="inlineStr">
        <is>
          <t>Kommuner</t>
        </is>
      </c>
      <c r="G178" t="n">
        <v>12.8</v>
      </c>
      <c r="H178" t="n">
        <v>0</v>
      </c>
      <c r="I178" t="n">
        <v>1</v>
      </c>
      <c r="J178" t="n">
        <v>1</v>
      </c>
      <c r="K178" t="n">
        <v>0</v>
      </c>
      <c r="L178" t="n">
        <v>0</v>
      </c>
      <c r="M178" t="n">
        <v>0</v>
      </c>
      <c r="N178" t="n">
        <v>0</v>
      </c>
      <c r="O178" t="n">
        <v>1</v>
      </c>
      <c r="P178" t="n">
        <v>0</v>
      </c>
      <c r="Q178" t="n">
        <v>2</v>
      </c>
      <c r="R178" s="2" t="inlineStr">
        <is>
          <t>Motaggsvamp
Skarp dropptaggsvamp</t>
        </is>
      </c>
      <c r="S178">
        <f>HYPERLINK("https://klasma.github.io/Logging_2361/artfynd/A 49482-2024 artfynd.xlsx", "A 49482-2024")</f>
        <v/>
      </c>
      <c r="T178">
        <f>HYPERLINK("https://klasma.github.io/Logging_2361/kartor/A 49482-2024 karta.png", "A 49482-2024")</f>
        <v/>
      </c>
      <c r="V178">
        <f>HYPERLINK("https://klasma.github.io/Logging_2361/klagomål/A 49482-2024 FSC-klagomål.docx", "A 49482-2024")</f>
        <v/>
      </c>
      <c r="W178">
        <f>HYPERLINK("https://klasma.github.io/Logging_2361/klagomålsmail/A 49482-2024 FSC-klagomål mail.docx", "A 49482-2024")</f>
        <v/>
      </c>
      <c r="X178">
        <f>HYPERLINK("https://klasma.github.io/Logging_2361/tillsyn/A 49482-2024 tillsynsbegäran.docx", "A 49482-2024")</f>
        <v/>
      </c>
      <c r="Y178">
        <f>HYPERLINK("https://klasma.github.io/Logging_2361/tillsynsmail/A 49482-2024 tillsynsbegäran mail.docx", "A 49482-2024")</f>
        <v/>
      </c>
    </row>
    <row r="179" ht="15" customHeight="1">
      <c r="A179" t="inlineStr">
        <is>
          <t>A 55298-2024</t>
        </is>
      </c>
      <c r="B179" s="1" t="n">
        <v>45621</v>
      </c>
      <c r="C179" s="1" t="n">
        <v>45714</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55298-2024 artfynd.xlsx", "A 55298-2024")</f>
        <v/>
      </c>
      <c r="T179">
        <f>HYPERLINK("https://klasma.github.io/Logging_2361/kartor/A 55298-2024 karta.png", "A 55298-2024")</f>
        <v/>
      </c>
      <c r="U179">
        <f>HYPERLINK("https://klasma.github.io/Logging_2361/knärot/A 55298-2024 karta knärot.png", "A 55298-2024")</f>
        <v/>
      </c>
      <c r="V179">
        <f>HYPERLINK("https://klasma.github.io/Logging_2361/klagomål/A 55298-2024 FSC-klagomål.docx", "A 55298-2024")</f>
        <v/>
      </c>
      <c r="W179">
        <f>HYPERLINK("https://klasma.github.io/Logging_2361/klagomålsmail/A 55298-2024 FSC-klagomål mail.docx", "A 55298-2024")</f>
        <v/>
      </c>
      <c r="X179">
        <f>HYPERLINK("https://klasma.github.io/Logging_2361/tillsyn/A 55298-2024 tillsynsbegäran.docx", "A 55298-2024")</f>
        <v/>
      </c>
      <c r="Y179">
        <f>HYPERLINK("https://klasma.github.io/Logging_2361/tillsynsmail/A 55298-2024 tillsynsbegäran mail.docx", "A 55298-2024")</f>
        <v/>
      </c>
    </row>
    <row r="180" ht="15" customHeight="1">
      <c r="A180" t="inlineStr">
        <is>
          <t>A 60750-2024</t>
        </is>
      </c>
      <c r="B180" s="1" t="n">
        <v>45644</v>
      </c>
      <c r="C180" s="1" t="n">
        <v>45714</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60750-2024 artfynd.xlsx", "A 60750-2024")</f>
        <v/>
      </c>
      <c r="T180">
        <f>HYPERLINK("https://klasma.github.io/Logging_2361/kartor/A 60750-2024 karta.png", "A 60750-2024")</f>
        <v/>
      </c>
      <c r="U180">
        <f>HYPERLINK("https://klasma.github.io/Logging_2361/knärot/A 60750-2024 karta knärot.png", "A 60750-2024")</f>
        <v/>
      </c>
      <c r="V180">
        <f>HYPERLINK("https://klasma.github.io/Logging_2361/klagomål/A 60750-2024 FSC-klagomål.docx", "A 60750-2024")</f>
        <v/>
      </c>
      <c r="W180">
        <f>HYPERLINK("https://klasma.github.io/Logging_2361/klagomålsmail/A 60750-2024 FSC-klagomål mail.docx", "A 60750-2024")</f>
        <v/>
      </c>
      <c r="X180">
        <f>HYPERLINK("https://klasma.github.io/Logging_2361/tillsyn/A 60750-2024 tillsynsbegäran.docx", "A 60750-2024")</f>
        <v/>
      </c>
      <c r="Y180">
        <f>HYPERLINK("https://klasma.github.io/Logging_2361/tillsynsmail/A 60750-2024 tillsynsbegäran mail.docx", "A 60750-2024")</f>
        <v/>
      </c>
    </row>
    <row r="181" ht="15" customHeight="1">
      <c r="A181" t="inlineStr">
        <is>
          <t>A 45781-2019</t>
        </is>
      </c>
      <c r="B181" s="1" t="n">
        <v>43717</v>
      </c>
      <c r="C181" s="1" t="n">
        <v>45714</v>
      </c>
      <c r="D181" t="inlineStr">
        <is>
          <t>JÄMTLANDS LÄN</t>
        </is>
      </c>
      <c r="E181" t="inlineStr">
        <is>
          <t>HÄRJEDALEN</t>
        </is>
      </c>
      <c r="F181" t="inlineStr">
        <is>
          <t>Holmen skog AB</t>
        </is>
      </c>
      <c r="G181" t="n">
        <v>13.8</v>
      </c>
      <c r="H181" t="n">
        <v>0</v>
      </c>
      <c r="I181" t="n">
        <v>0</v>
      </c>
      <c r="J181" t="n">
        <v>1</v>
      </c>
      <c r="K181" t="n">
        <v>0</v>
      </c>
      <c r="L181" t="n">
        <v>0</v>
      </c>
      <c r="M181" t="n">
        <v>0</v>
      </c>
      <c r="N181" t="n">
        <v>0</v>
      </c>
      <c r="O181" t="n">
        <v>1</v>
      </c>
      <c r="P181" t="n">
        <v>0</v>
      </c>
      <c r="Q181" t="n">
        <v>1</v>
      </c>
      <c r="R181" s="2" t="inlineStr">
        <is>
          <t>Kolflarnlav</t>
        </is>
      </c>
      <c r="S181">
        <f>HYPERLINK("https://klasma.github.io/Logging_2361/artfynd/A 45781-2019 artfynd.xlsx", "A 45781-2019")</f>
        <v/>
      </c>
      <c r="T181">
        <f>HYPERLINK("https://klasma.github.io/Logging_2361/kartor/A 45781-2019 karta.png", "A 45781-2019")</f>
        <v/>
      </c>
      <c r="V181">
        <f>HYPERLINK("https://klasma.github.io/Logging_2361/klagomål/A 45781-2019 FSC-klagomål.docx", "A 45781-2019")</f>
        <v/>
      </c>
      <c r="W181">
        <f>HYPERLINK("https://klasma.github.io/Logging_2361/klagomålsmail/A 45781-2019 FSC-klagomål mail.docx", "A 45781-2019")</f>
        <v/>
      </c>
      <c r="X181">
        <f>HYPERLINK("https://klasma.github.io/Logging_2361/tillsyn/A 45781-2019 tillsynsbegäran.docx", "A 45781-2019")</f>
        <v/>
      </c>
      <c r="Y181">
        <f>HYPERLINK("https://klasma.github.io/Logging_2361/tillsynsmail/A 45781-2019 tillsynsbegäran mail.docx", "A 45781-2019")</f>
        <v/>
      </c>
    </row>
    <row r="182" ht="15" customHeight="1">
      <c r="A182" t="inlineStr">
        <is>
          <t>A 24898-2020</t>
        </is>
      </c>
      <c r="B182" s="1" t="n">
        <v>43979</v>
      </c>
      <c r="C182" s="1" t="n">
        <v>45714</v>
      </c>
      <c r="D182" t="inlineStr">
        <is>
          <t>JÄMTLANDS LÄN</t>
        </is>
      </c>
      <c r="E182" t="inlineStr">
        <is>
          <t>HÄRJEDALEN</t>
        </is>
      </c>
      <c r="F182" t="inlineStr">
        <is>
          <t>Sveaskog</t>
        </is>
      </c>
      <c r="G182" t="n">
        <v>2.9</v>
      </c>
      <c r="H182" t="n">
        <v>0</v>
      </c>
      <c r="I182" t="n">
        <v>0</v>
      </c>
      <c r="J182" t="n">
        <v>1</v>
      </c>
      <c r="K182" t="n">
        <v>0</v>
      </c>
      <c r="L182" t="n">
        <v>0</v>
      </c>
      <c r="M182" t="n">
        <v>0</v>
      </c>
      <c r="N182" t="n">
        <v>0</v>
      </c>
      <c r="O182" t="n">
        <v>1</v>
      </c>
      <c r="P182" t="n">
        <v>0</v>
      </c>
      <c r="Q182" t="n">
        <v>1</v>
      </c>
      <c r="R182" s="2" t="inlineStr">
        <is>
          <t>Brunklöver</t>
        </is>
      </c>
      <c r="S182">
        <f>HYPERLINK("https://klasma.github.io/Logging_2361/artfynd/A 24898-2020 artfynd.xlsx", "A 24898-2020")</f>
        <v/>
      </c>
      <c r="T182">
        <f>HYPERLINK("https://klasma.github.io/Logging_2361/kartor/A 24898-2020 karta.png", "A 24898-2020")</f>
        <v/>
      </c>
      <c r="V182">
        <f>HYPERLINK("https://klasma.github.io/Logging_2361/klagomål/A 24898-2020 FSC-klagomål.docx", "A 24898-2020")</f>
        <v/>
      </c>
      <c r="W182">
        <f>HYPERLINK("https://klasma.github.io/Logging_2361/klagomålsmail/A 24898-2020 FSC-klagomål mail.docx", "A 24898-2020")</f>
        <v/>
      </c>
      <c r="X182">
        <f>HYPERLINK("https://klasma.github.io/Logging_2361/tillsyn/A 24898-2020 tillsynsbegäran.docx", "A 24898-2020")</f>
        <v/>
      </c>
      <c r="Y182">
        <f>HYPERLINK("https://klasma.github.io/Logging_2361/tillsynsmail/A 24898-2020 tillsynsbegäran mail.docx", "A 24898-2020")</f>
        <v/>
      </c>
    </row>
    <row r="183" ht="15" customHeight="1">
      <c r="A183" t="inlineStr">
        <is>
          <t>A 36954-2020</t>
        </is>
      </c>
      <c r="B183" s="1" t="n">
        <v>44053</v>
      </c>
      <c r="C183" s="1" t="n">
        <v>45714</v>
      </c>
      <c r="D183" t="inlineStr">
        <is>
          <t>JÄMTLANDS LÄN</t>
        </is>
      </c>
      <c r="E183" t="inlineStr">
        <is>
          <t>HÄRJEDALEN</t>
        </is>
      </c>
      <c r="F183" t="inlineStr">
        <is>
          <t>SCA</t>
        </is>
      </c>
      <c r="G183" t="n">
        <v>38.7</v>
      </c>
      <c r="H183" t="n">
        <v>0</v>
      </c>
      <c r="I183" t="n">
        <v>0</v>
      </c>
      <c r="J183" t="n">
        <v>1</v>
      </c>
      <c r="K183" t="n">
        <v>0</v>
      </c>
      <c r="L183" t="n">
        <v>0</v>
      </c>
      <c r="M183" t="n">
        <v>0</v>
      </c>
      <c r="N183" t="n">
        <v>0</v>
      </c>
      <c r="O183" t="n">
        <v>1</v>
      </c>
      <c r="P183" t="n">
        <v>0</v>
      </c>
      <c r="Q183" t="n">
        <v>1</v>
      </c>
      <c r="R183" s="2" t="inlineStr">
        <is>
          <t>Reliktbock</t>
        </is>
      </c>
      <c r="S183">
        <f>HYPERLINK("https://klasma.github.io/Logging_2361/artfynd/A 36954-2020 artfynd.xlsx", "A 36954-2020")</f>
        <v/>
      </c>
      <c r="T183">
        <f>HYPERLINK("https://klasma.github.io/Logging_2361/kartor/A 36954-2020 karta.png", "A 36954-2020")</f>
        <v/>
      </c>
      <c r="V183">
        <f>HYPERLINK("https://klasma.github.io/Logging_2361/klagomål/A 36954-2020 FSC-klagomål.docx", "A 36954-2020")</f>
        <v/>
      </c>
      <c r="W183">
        <f>HYPERLINK("https://klasma.github.io/Logging_2361/klagomålsmail/A 36954-2020 FSC-klagomål mail.docx", "A 36954-2020")</f>
        <v/>
      </c>
      <c r="X183">
        <f>HYPERLINK("https://klasma.github.io/Logging_2361/tillsyn/A 36954-2020 tillsynsbegäran.docx", "A 36954-2020")</f>
        <v/>
      </c>
      <c r="Y183">
        <f>HYPERLINK("https://klasma.github.io/Logging_2361/tillsynsmail/A 36954-2020 tillsynsbegäran mail.docx", "A 36954-2020")</f>
        <v/>
      </c>
    </row>
    <row r="184" ht="15" customHeight="1">
      <c r="A184" t="inlineStr">
        <is>
          <t>A 47685-2020</t>
        </is>
      </c>
      <c r="B184" s="1" t="n">
        <v>44096</v>
      </c>
      <c r="C184" s="1" t="n">
        <v>45714</v>
      </c>
      <c r="D184" t="inlineStr">
        <is>
          <t>JÄMTLANDS LÄN</t>
        </is>
      </c>
      <c r="E184" t="inlineStr">
        <is>
          <t>HÄRJEDALEN</t>
        </is>
      </c>
      <c r="F184" t="inlineStr">
        <is>
          <t>Sveaskog</t>
        </is>
      </c>
      <c r="G184" t="n">
        <v>2.3</v>
      </c>
      <c r="H184" t="n">
        <v>0</v>
      </c>
      <c r="I184" t="n">
        <v>0</v>
      </c>
      <c r="J184" t="n">
        <v>1</v>
      </c>
      <c r="K184" t="n">
        <v>0</v>
      </c>
      <c r="L184" t="n">
        <v>0</v>
      </c>
      <c r="M184" t="n">
        <v>0</v>
      </c>
      <c r="N184" t="n">
        <v>0</v>
      </c>
      <c r="O184" t="n">
        <v>1</v>
      </c>
      <c r="P184" t="n">
        <v>0</v>
      </c>
      <c r="Q184" t="n">
        <v>1</v>
      </c>
      <c r="R184" s="2" t="inlineStr">
        <is>
          <t>Lunglav</t>
        </is>
      </c>
      <c r="S184">
        <f>HYPERLINK("https://klasma.github.io/Logging_2361/artfynd/A 47685-2020 artfynd.xlsx", "A 47685-2020")</f>
        <v/>
      </c>
      <c r="T184">
        <f>HYPERLINK("https://klasma.github.io/Logging_2361/kartor/A 47685-2020 karta.png", "A 47685-2020")</f>
        <v/>
      </c>
      <c r="V184">
        <f>HYPERLINK("https://klasma.github.io/Logging_2361/klagomål/A 47685-2020 FSC-klagomål.docx", "A 47685-2020")</f>
        <v/>
      </c>
      <c r="W184">
        <f>HYPERLINK("https://klasma.github.io/Logging_2361/klagomålsmail/A 47685-2020 FSC-klagomål mail.docx", "A 47685-2020")</f>
        <v/>
      </c>
      <c r="X184">
        <f>HYPERLINK("https://klasma.github.io/Logging_2361/tillsyn/A 47685-2020 tillsynsbegäran.docx", "A 47685-2020")</f>
        <v/>
      </c>
      <c r="Y184">
        <f>HYPERLINK("https://klasma.github.io/Logging_2361/tillsynsmail/A 47685-2020 tillsynsbegäran mail.docx", "A 47685-2020")</f>
        <v/>
      </c>
    </row>
    <row r="185" ht="15" customHeight="1">
      <c r="A185" t="inlineStr">
        <is>
          <t>A 49246-2020</t>
        </is>
      </c>
      <c r="B185" s="1" t="n">
        <v>44105</v>
      </c>
      <c r="C185" s="1" t="n">
        <v>45714</v>
      </c>
      <c r="D185" t="inlineStr">
        <is>
          <t>JÄMTLANDS LÄN</t>
        </is>
      </c>
      <c r="E185" t="inlineStr">
        <is>
          <t>HÄRJEDALEN</t>
        </is>
      </c>
      <c r="G185" t="n">
        <v>3.7</v>
      </c>
      <c r="H185" t="n">
        <v>0</v>
      </c>
      <c r="I185" t="n">
        <v>0</v>
      </c>
      <c r="J185" t="n">
        <v>1</v>
      </c>
      <c r="K185" t="n">
        <v>0</v>
      </c>
      <c r="L185" t="n">
        <v>0</v>
      </c>
      <c r="M185" t="n">
        <v>0</v>
      </c>
      <c r="N185" t="n">
        <v>0</v>
      </c>
      <c r="O185" t="n">
        <v>1</v>
      </c>
      <c r="P185" t="n">
        <v>0</v>
      </c>
      <c r="Q185" t="n">
        <v>1</v>
      </c>
      <c r="R185" s="2" t="inlineStr">
        <is>
          <t>Granticka</t>
        </is>
      </c>
      <c r="S185">
        <f>HYPERLINK("https://klasma.github.io/Logging_2361/artfynd/A 49246-2020 artfynd.xlsx", "A 49246-2020")</f>
        <v/>
      </c>
      <c r="T185">
        <f>HYPERLINK("https://klasma.github.io/Logging_2361/kartor/A 49246-2020 karta.png", "A 49246-2020")</f>
        <v/>
      </c>
      <c r="V185">
        <f>HYPERLINK("https://klasma.github.io/Logging_2361/klagomål/A 49246-2020 FSC-klagomål.docx", "A 49246-2020")</f>
        <v/>
      </c>
      <c r="W185">
        <f>HYPERLINK("https://klasma.github.io/Logging_2361/klagomålsmail/A 49246-2020 FSC-klagomål mail.docx", "A 49246-2020")</f>
        <v/>
      </c>
      <c r="X185">
        <f>HYPERLINK("https://klasma.github.io/Logging_2361/tillsyn/A 49246-2020 tillsynsbegäran.docx", "A 49246-2020")</f>
        <v/>
      </c>
      <c r="Y185">
        <f>HYPERLINK("https://klasma.github.io/Logging_2361/tillsynsmail/A 49246-2020 tillsynsbegäran mail.docx", "A 49246-2020")</f>
        <v/>
      </c>
    </row>
    <row r="186" ht="15" customHeight="1">
      <c r="A186" t="inlineStr">
        <is>
          <t>A 51387-2020</t>
        </is>
      </c>
      <c r="B186" s="1" t="n">
        <v>44113</v>
      </c>
      <c r="C186" s="1" t="n">
        <v>45714</v>
      </c>
      <c r="D186" t="inlineStr">
        <is>
          <t>JÄMTLANDS LÄN</t>
        </is>
      </c>
      <c r="E186" t="inlineStr">
        <is>
          <t>HÄRJEDALEN</t>
        </is>
      </c>
      <c r="G186" t="n">
        <v>1</v>
      </c>
      <c r="H186" t="n">
        <v>0</v>
      </c>
      <c r="I186" t="n">
        <v>0</v>
      </c>
      <c r="J186" t="n">
        <v>0</v>
      </c>
      <c r="K186" t="n">
        <v>1</v>
      </c>
      <c r="L186" t="n">
        <v>0</v>
      </c>
      <c r="M186" t="n">
        <v>0</v>
      </c>
      <c r="N186" t="n">
        <v>0</v>
      </c>
      <c r="O186" t="n">
        <v>1</v>
      </c>
      <c r="P186" t="n">
        <v>1</v>
      </c>
      <c r="Q186" t="n">
        <v>1</v>
      </c>
      <c r="R186" s="2" t="inlineStr">
        <is>
          <t>Goliatmusseron</t>
        </is>
      </c>
      <c r="S186">
        <f>HYPERLINK("https://klasma.github.io/Logging_2361/artfynd/A 51387-2020 artfynd.xlsx", "A 51387-2020")</f>
        <v/>
      </c>
      <c r="T186">
        <f>HYPERLINK("https://klasma.github.io/Logging_2361/kartor/A 51387-2020 karta.png", "A 51387-2020")</f>
        <v/>
      </c>
      <c r="V186">
        <f>HYPERLINK("https://klasma.github.io/Logging_2361/klagomål/A 51387-2020 FSC-klagomål.docx", "A 51387-2020")</f>
        <v/>
      </c>
      <c r="W186">
        <f>HYPERLINK("https://klasma.github.io/Logging_2361/klagomålsmail/A 51387-2020 FSC-klagomål mail.docx", "A 51387-2020")</f>
        <v/>
      </c>
      <c r="X186">
        <f>HYPERLINK("https://klasma.github.io/Logging_2361/tillsyn/A 51387-2020 tillsynsbegäran.docx", "A 51387-2020")</f>
        <v/>
      </c>
      <c r="Y186">
        <f>HYPERLINK("https://klasma.github.io/Logging_2361/tillsynsmail/A 51387-2020 tillsynsbegäran mail.docx", "A 51387-2020")</f>
        <v/>
      </c>
    </row>
    <row r="187" ht="15" customHeight="1">
      <c r="A187" t="inlineStr">
        <is>
          <t>A 21572-2021</t>
        </is>
      </c>
      <c r="B187" s="1" t="n">
        <v>44321</v>
      </c>
      <c r="C187" s="1" t="n">
        <v>45714</v>
      </c>
      <c r="D187" t="inlineStr">
        <is>
          <t>JÄMTLANDS LÄN</t>
        </is>
      </c>
      <c r="E187" t="inlineStr">
        <is>
          <t>HÄRJEDALEN</t>
        </is>
      </c>
      <c r="F187" t="inlineStr">
        <is>
          <t>Holmen skog AB</t>
        </is>
      </c>
      <c r="G187" t="n">
        <v>29</v>
      </c>
      <c r="H187" t="n">
        <v>0</v>
      </c>
      <c r="I187" t="n">
        <v>0</v>
      </c>
      <c r="J187" t="n">
        <v>1</v>
      </c>
      <c r="K187" t="n">
        <v>0</v>
      </c>
      <c r="L187" t="n">
        <v>0</v>
      </c>
      <c r="M187" t="n">
        <v>0</v>
      </c>
      <c r="N187" t="n">
        <v>0</v>
      </c>
      <c r="O187" t="n">
        <v>1</v>
      </c>
      <c r="P187" t="n">
        <v>0</v>
      </c>
      <c r="Q187" t="n">
        <v>1</v>
      </c>
      <c r="R187" s="2" t="inlineStr">
        <is>
          <t>Skrovlig taggsvamp</t>
        </is>
      </c>
      <c r="S187">
        <f>HYPERLINK("https://klasma.github.io/Logging_2361/artfynd/A 21572-2021 artfynd.xlsx", "A 21572-2021")</f>
        <v/>
      </c>
      <c r="T187">
        <f>HYPERLINK("https://klasma.github.io/Logging_2361/kartor/A 21572-2021 karta.png", "A 21572-2021")</f>
        <v/>
      </c>
      <c r="V187">
        <f>HYPERLINK("https://klasma.github.io/Logging_2361/klagomål/A 21572-2021 FSC-klagomål.docx", "A 21572-2021")</f>
        <v/>
      </c>
      <c r="W187">
        <f>HYPERLINK("https://klasma.github.io/Logging_2361/klagomålsmail/A 21572-2021 FSC-klagomål mail.docx", "A 21572-2021")</f>
        <v/>
      </c>
      <c r="X187">
        <f>HYPERLINK("https://klasma.github.io/Logging_2361/tillsyn/A 21572-2021 tillsynsbegäran.docx", "A 21572-2021")</f>
        <v/>
      </c>
      <c r="Y187">
        <f>HYPERLINK("https://klasma.github.io/Logging_2361/tillsynsmail/A 21572-2021 tillsynsbegäran mail.docx", "A 21572-2021")</f>
        <v/>
      </c>
    </row>
    <row r="188" ht="15" customHeight="1">
      <c r="A188" t="inlineStr">
        <is>
          <t>A 55223-2021</t>
        </is>
      </c>
      <c r="B188" s="1" t="n">
        <v>44475</v>
      </c>
      <c r="C188" s="1" t="n">
        <v>45714</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55222-2021</t>
        </is>
      </c>
      <c r="B189" s="1" t="n">
        <v>44475</v>
      </c>
      <c r="C189" s="1" t="n">
        <v>45714</v>
      </c>
      <c r="D189" t="inlineStr">
        <is>
          <t>JÄMTLANDS LÄN</t>
        </is>
      </c>
      <c r="E189" t="inlineStr">
        <is>
          <t>HÄRJEDALEN</t>
        </is>
      </c>
      <c r="G189" t="n">
        <v>1.1</v>
      </c>
      <c r="H189" t="n">
        <v>1</v>
      </c>
      <c r="I189" t="n">
        <v>0</v>
      </c>
      <c r="J189" t="n">
        <v>1</v>
      </c>
      <c r="K189" t="n">
        <v>0</v>
      </c>
      <c r="L189" t="n">
        <v>0</v>
      </c>
      <c r="M189" t="n">
        <v>0</v>
      </c>
      <c r="N189" t="n">
        <v>0</v>
      </c>
      <c r="O189" t="n">
        <v>1</v>
      </c>
      <c r="P189" t="n">
        <v>0</v>
      </c>
      <c r="Q189" t="n">
        <v>1</v>
      </c>
      <c r="R189" s="2" t="inlineStr">
        <is>
          <t>Varglav</t>
        </is>
      </c>
      <c r="S189">
        <f>HYPERLINK("https://klasma.github.io/Logging_2361/artfynd/A 55222-2021 artfynd.xlsx", "A 55222-2021")</f>
        <v/>
      </c>
      <c r="T189">
        <f>HYPERLINK("https://klasma.github.io/Logging_2361/kartor/A 55222-2021 karta.png", "A 55222-2021")</f>
        <v/>
      </c>
      <c r="V189">
        <f>HYPERLINK("https://klasma.github.io/Logging_2361/klagomål/A 55222-2021 FSC-klagomål.docx", "A 55222-2021")</f>
        <v/>
      </c>
      <c r="W189">
        <f>HYPERLINK("https://klasma.github.io/Logging_2361/klagomålsmail/A 55222-2021 FSC-klagomål mail.docx", "A 55222-2021")</f>
        <v/>
      </c>
      <c r="X189">
        <f>HYPERLINK("https://klasma.github.io/Logging_2361/tillsyn/A 55222-2021 tillsynsbegäran.docx", "A 55222-2021")</f>
        <v/>
      </c>
      <c r="Y189">
        <f>HYPERLINK("https://klasma.github.io/Logging_2361/tillsynsmail/A 55222-2021 tillsynsbegäran mail.docx", "A 55222-2021")</f>
        <v/>
      </c>
    </row>
    <row r="190" ht="15" customHeight="1">
      <c r="A190" t="inlineStr">
        <is>
          <t>A 55221-2021</t>
        </is>
      </c>
      <c r="B190" s="1" t="n">
        <v>44475</v>
      </c>
      <c r="C190" s="1" t="n">
        <v>45714</v>
      </c>
      <c r="D190" t="inlineStr">
        <is>
          <t>JÄMTLANDS LÄN</t>
        </is>
      </c>
      <c r="E190" t="inlineStr">
        <is>
          <t>HÄRJEDALEN</t>
        </is>
      </c>
      <c r="G190" t="n">
        <v>0.2</v>
      </c>
      <c r="H190" t="n">
        <v>1</v>
      </c>
      <c r="I190" t="n">
        <v>0</v>
      </c>
      <c r="J190" t="n">
        <v>1</v>
      </c>
      <c r="K190" t="n">
        <v>0</v>
      </c>
      <c r="L190" t="n">
        <v>0</v>
      </c>
      <c r="M190" t="n">
        <v>0</v>
      </c>
      <c r="N190" t="n">
        <v>0</v>
      </c>
      <c r="O190" t="n">
        <v>1</v>
      </c>
      <c r="P190" t="n">
        <v>0</v>
      </c>
      <c r="Q190" t="n">
        <v>1</v>
      </c>
      <c r="R190" s="2" t="inlineStr">
        <is>
          <t>Varglav</t>
        </is>
      </c>
      <c r="S190">
        <f>HYPERLINK("https://klasma.github.io/Logging_2361/artfynd/A 55221-2021 artfynd.xlsx", "A 55221-2021")</f>
        <v/>
      </c>
      <c r="T190">
        <f>HYPERLINK("https://klasma.github.io/Logging_2361/kartor/A 55221-2021 karta.png", "A 55221-2021")</f>
        <v/>
      </c>
      <c r="V190">
        <f>HYPERLINK("https://klasma.github.io/Logging_2361/klagomål/A 55221-2021 FSC-klagomål.docx", "A 55221-2021")</f>
        <v/>
      </c>
      <c r="W190">
        <f>HYPERLINK("https://klasma.github.io/Logging_2361/klagomålsmail/A 55221-2021 FSC-klagomål mail.docx", "A 55221-2021")</f>
        <v/>
      </c>
      <c r="X190">
        <f>HYPERLINK("https://klasma.github.io/Logging_2361/tillsyn/A 55221-2021 tillsynsbegäran.docx", "A 55221-2021")</f>
        <v/>
      </c>
      <c r="Y190">
        <f>HYPERLINK("https://klasma.github.io/Logging_2361/tillsynsmail/A 55221-2021 tillsynsbegäran mail.docx", "A 55221-2021")</f>
        <v/>
      </c>
    </row>
    <row r="191" ht="15" customHeight="1">
      <c r="A191" t="inlineStr">
        <is>
          <t>A 55245-2021</t>
        </is>
      </c>
      <c r="B191" s="1" t="n">
        <v>44475</v>
      </c>
      <c r="C191" s="1" t="n">
        <v>45714</v>
      </c>
      <c r="D191" t="inlineStr">
        <is>
          <t>JÄMTLANDS LÄN</t>
        </is>
      </c>
      <c r="E191" t="inlineStr">
        <is>
          <t>HÄRJEDALEN</t>
        </is>
      </c>
      <c r="G191" t="n">
        <v>5.1</v>
      </c>
      <c r="H191" t="n">
        <v>0</v>
      </c>
      <c r="I191" t="n">
        <v>0</v>
      </c>
      <c r="J191" t="n">
        <v>1</v>
      </c>
      <c r="K191" t="n">
        <v>0</v>
      </c>
      <c r="L191" t="n">
        <v>0</v>
      </c>
      <c r="M191" t="n">
        <v>0</v>
      </c>
      <c r="N191" t="n">
        <v>0</v>
      </c>
      <c r="O191" t="n">
        <v>1</v>
      </c>
      <c r="P191" t="n">
        <v>0</v>
      </c>
      <c r="Q191" t="n">
        <v>1</v>
      </c>
      <c r="R191" s="2" t="inlineStr">
        <is>
          <t>Blanksvart spiklav</t>
        </is>
      </c>
      <c r="S191">
        <f>HYPERLINK("https://klasma.github.io/Logging_2361/artfynd/A 55245-2021 artfynd.xlsx", "A 55245-2021")</f>
        <v/>
      </c>
      <c r="T191">
        <f>HYPERLINK("https://klasma.github.io/Logging_2361/kartor/A 55245-2021 karta.png", "A 55245-2021")</f>
        <v/>
      </c>
      <c r="V191">
        <f>HYPERLINK("https://klasma.github.io/Logging_2361/klagomål/A 55245-2021 FSC-klagomål.docx", "A 55245-2021")</f>
        <v/>
      </c>
      <c r="W191">
        <f>HYPERLINK("https://klasma.github.io/Logging_2361/klagomålsmail/A 55245-2021 FSC-klagomål mail.docx", "A 55245-2021")</f>
        <v/>
      </c>
      <c r="X191">
        <f>HYPERLINK("https://klasma.github.io/Logging_2361/tillsyn/A 55245-2021 tillsynsbegäran.docx", "A 55245-2021")</f>
        <v/>
      </c>
      <c r="Y191">
        <f>HYPERLINK("https://klasma.github.io/Logging_2361/tillsynsmail/A 55245-2021 tillsynsbegäran mail.docx", "A 55245-2021")</f>
        <v/>
      </c>
    </row>
    <row r="192" ht="15" customHeight="1">
      <c r="A192" t="inlineStr">
        <is>
          <t>A 13982-2022</t>
        </is>
      </c>
      <c r="B192" s="1" t="n">
        <v>44650</v>
      </c>
      <c r="C192" s="1" t="n">
        <v>45714</v>
      </c>
      <c r="D192" t="inlineStr">
        <is>
          <t>JÄMTLANDS LÄN</t>
        </is>
      </c>
      <c r="E192" t="inlineStr">
        <is>
          <t>HÄRJEDALEN</t>
        </is>
      </c>
      <c r="F192" t="inlineStr">
        <is>
          <t>Holmen skog AB</t>
        </is>
      </c>
      <c r="G192" t="n">
        <v>4.4</v>
      </c>
      <c r="H192" t="n">
        <v>0</v>
      </c>
      <c r="I192" t="n">
        <v>0</v>
      </c>
      <c r="J192" t="n">
        <v>1</v>
      </c>
      <c r="K192" t="n">
        <v>0</v>
      </c>
      <c r="L192" t="n">
        <v>0</v>
      </c>
      <c r="M192" t="n">
        <v>0</v>
      </c>
      <c r="N192" t="n">
        <v>0</v>
      </c>
      <c r="O192" t="n">
        <v>1</v>
      </c>
      <c r="P192" t="n">
        <v>0</v>
      </c>
      <c r="Q192" t="n">
        <v>1</v>
      </c>
      <c r="R192" s="2" t="inlineStr">
        <is>
          <t>Garnlav</t>
        </is>
      </c>
      <c r="S192">
        <f>HYPERLINK("https://klasma.github.io/Logging_2361/artfynd/A 13982-2022 artfynd.xlsx", "A 13982-2022")</f>
        <v/>
      </c>
      <c r="T192">
        <f>HYPERLINK("https://klasma.github.io/Logging_2361/kartor/A 13982-2022 karta.png", "A 13982-2022")</f>
        <v/>
      </c>
      <c r="V192">
        <f>HYPERLINK("https://klasma.github.io/Logging_2361/klagomål/A 13982-2022 FSC-klagomål.docx", "A 13982-2022")</f>
        <v/>
      </c>
      <c r="W192">
        <f>HYPERLINK("https://klasma.github.io/Logging_2361/klagomålsmail/A 13982-2022 FSC-klagomål mail.docx", "A 13982-2022")</f>
        <v/>
      </c>
      <c r="X192">
        <f>HYPERLINK("https://klasma.github.io/Logging_2361/tillsyn/A 13982-2022 tillsynsbegäran.docx", "A 13982-2022")</f>
        <v/>
      </c>
      <c r="Y192">
        <f>HYPERLINK("https://klasma.github.io/Logging_2361/tillsynsmail/A 13982-2022 tillsynsbegäran mail.docx", "A 13982-2022")</f>
        <v/>
      </c>
    </row>
    <row r="193" ht="15" customHeight="1">
      <c r="A193" t="inlineStr">
        <is>
          <t>A 15360-2022</t>
        </is>
      </c>
      <c r="B193" s="1" t="n">
        <v>44659</v>
      </c>
      <c r="C193" s="1" t="n">
        <v>45714</v>
      </c>
      <c r="D193" t="inlineStr">
        <is>
          <t>JÄMTLANDS LÄN</t>
        </is>
      </c>
      <c r="E193" t="inlineStr">
        <is>
          <t>HÄRJEDALEN</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15360-2022 artfynd.xlsx", "A 15360-2022")</f>
        <v/>
      </c>
      <c r="T193">
        <f>HYPERLINK("https://klasma.github.io/Logging_2361/kartor/A 15360-2022 karta.png", "A 15360-2022")</f>
        <v/>
      </c>
      <c r="V193">
        <f>HYPERLINK("https://klasma.github.io/Logging_2361/klagomål/A 15360-2022 FSC-klagomål.docx", "A 15360-2022")</f>
        <v/>
      </c>
      <c r="W193">
        <f>HYPERLINK("https://klasma.github.io/Logging_2361/klagomålsmail/A 15360-2022 FSC-klagomål mail.docx", "A 15360-2022")</f>
        <v/>
      </c>
      <c r="X193">
        <f>HYPERLINK("https://klasma.github.io/Logging_2361/tillsyn/A 15360-2022 tillsynsbegäran.docx", "A 15360-2022")</f>
        <v/>
      </c>
      <c r="Y193">
        <f>HYPERLINK("https://klasma.github.io/Logging_2361/tillsynsmail/A 15360-2022 tillsynsbegäran mail.docx", "A 15360-2022")</f>
        <v/>
      </c>
    </row>
    <row r="194" ht="15" customHeight="1">
      <c r="A194" t="inlineStr">
        <is>
          <t>A 31061-2022</t>
        </is>
      </c>
      <c r="B194" s="1" t="n">
        <v>44769</v>
      </c>
      <c r="C194" s="1" t="n">
        <v>45714</v>
      </c>
      <c r="D194" t="inlineStr">
        <is>
          <t>JÄMTLANDS LÄN</t>
        </is>
      </c>
      <c r="E194" t="inlineStr">
        <is>
          <t>HÄRJEDALEN</t>
        </is>
      </c>
      <c r="F194" t="inlineStr">
        <is>
          <t>Bergvik skog väst AB</t>
        </is>
      </c>
      <c r="G194" t="n">
        <v>15.8</v>
      </c>
      <c r="H194" t="n">
        <v>0</v>
      </c>
      <c r="I194" t="n">
        <v>0</v>
      </c>
      <c r="J194" t="n">
        <v>1</v>
      </c>
      <c r="K194" t="n">
        <v>0</v>
      </c>
      <c r="L194" t="n">
        <v>0</v>
      </c>
      <c r="M194" t="n">
        <v>0</v>
      </c>
      <c r="N194" t="n">
        <v>0</v>
      </c>
      <c r="O194" t="n">
        <v>1</v>
      </c>
      <c r="P194" t="n">
        <v>0</v>
      </c>
      <c r="Q194" t="n">
        <v>1</v>
      </c>
      <c r="R194" s="2" t="inlineStr">
        <is>
          <t>Lunglav</t>
        </is>
      </c>
      <c r="S194">
        <f>HYPERLINK("https://klasma.github.io/Logging_2361/artfynd/A 31061-2022 artfynd.xlsx", "A 31061-2022")</f>
        <v/>
      </c>
      <c r="T194">
        <f>HYPERLINK("https://klasma.github.io/Logging_2361/kartor/A 31061-2022 karta.png", "A 31061-2022")</f>
        <v/>
      </c>
      <c r="V194">
        <f>HYPERLINK("https://klasma.github.io/Logging_2361/klagomål/A 31061-2022 FSC-klagomål.docx", "A 31061-2022")</f>
        <v/>
      </c>
      <c r="W194">
        <f>HYPERLINK("https://klasma.github.io/Logging_2361/klagomålsmail/A 31061-2022 FSC-klagomål mail.docx", "A 31061-2022")</f>
        <v/>
      </c>
      <c r="X194">
        <f>HYPERLINK("https://klasma.github.io/Logging_2361/tillsyn/A 31061-2022 tillsynsbegäran.docx", "A 31061-2022")</f>
        <v/>
      </c>
      <c r="Y194">
        <f>HYPERLINK("https://klasma.github.io/Logging_2361/tillsynsmail/A 31061-2022 tillsynsbegäran mail.docx", "A 31061-2022")</f>
        <v/>
      </c>
    </row>
    <row r="195" ht="15" customHeight="1">
      <c r="A195" t="inlineStr">
        <is>
          <t>A 42214-2022</t>
        </is>
      </c>
      <c r="B195" s="1" t="n">
        <v>44830</v>
      </c>
      <c r="C195" s="1" t="n">
        <v>45714</v>
      </c>
      <c r="D195" t="inlineStr">
        <is>
          <t>JÄMTLANDS LÄN</t>
        </is>
      </c>
      <c r="E195" t="inlineStr">
        <is>
          <t>HÄRJEDALEN</t>
        </is>
      </c>
      <c r="F195" t="inlineStr">
        <is>
          <t>Sveaskog</t>
        </is>
      </c>
      <c r="G195" t="n">
        <v>8.800000000000001</v>
      </c>
      <c r="H195" t="n">
        <v>0</v>
      </c>
      <c r="I195" t="n">
        <v>0</v>
      </c>
      <c r="J195" t="n">
        <v>0</v>
      </c>
      <c r="K195" t="n">
        <v>1</v>
      </c>
      <c r="L195" t="n">
        <v>0</v>
      </c>
      <c r="M195" t="n">
        <v>0</v>
      </c>
      <c r="N195" t="n">
        <v>0</v>
      </c>
      <c r="O195" t="n">
        <v>1</v>
      </c>
      <c r="P195" t="n">
        <v>1</v>
      </c>
      <c r="Q195" t="n">
        <v>1</v>
      </c>
      <c r="R195" s="2" t="inlineStr">
        <is>
          <t>Rynkskinn</t>
        </is>
      </c>
      <c r="S195">
        <f>HYPERLINK("https://klasma.github.io/Logging_2361/artfynd/A 42214-2022 artfynd.xlsx", "A 42214-2022")</f>
        <v/>
      </c>
      <c r="T195">
        <f>HYPERLINK("https://klasma.github.io/Logging_2361/kartor/A 42214-2022 karta.png", "A 42214-2022")</f>
        <v/>
      </c>
      <c r="V195">
        <f>HYPERLINK("https://klasma.github.io/Logging_2361/klagomål/A 42214-2022 FSC-klagomål.docx", "A 42214-2022")</f>
        <v/>
      </c>
      <c r="W195">
        <f>HYPERLINK("https://klasma.github.io/Logging_2361/klagomålsmail/A 42214-2022 FSC-klagomål mail.docx", "A 42214-2022")</f>
        <v/>
      </c>
      <c r="X195">
        <f>HYPERLINK("https://klasma.github.io/Logging_2361/tillsyn/A 42214-2022 tillsynsbegäran.docx", "A 42214-2022")</f>
        <v/>
      </c>
      <c r="Y195">
        <f>HYPERLINK("https://klasma.github.io/Logging_2361/tillsynsmail/A 42214-2022 tillsynsbegäran mail.docx", "A 42214-2022")</f>
        <v/>
      </c>
    </row>
    <row r="196" ht="15" customHeight="1">
      <c r="A196" t="inlineStr">
        <is>
          <t>A 52328-2022</t>
        </is>
      </c>
      <c r="B196" s="1" t="n">
        <v>44873</v>
      </c>
      <c r="C196" s="1" t="n">
        <v>45714</v>
      </c>
      <c r="D196" t="inlineStr">
        <is>
          <t>JÄMTLANDS LÄN</t>
        </is>
      </c>
      <c r="E196" t="inlineStr">
        <is>
          <t>HÄRJEDALEN</t>
        </is>
      </c>
      <c r="G196" t="n">
        <v>30.5</v>
      </c>
      <c r="H196" t="n">
        <v>0</v>
      </c>
      <c r="I196" t="n">
        <v>0</v>
      </c>
      <c r="J196" t="n">
        <v>1</v>
      </c>
      <c r="K196" t="n">
        <v>0</v>
      </c>
      <c r="L196" t="n">
        <v>0</v>
      </c>
      <c r="M196" t="n">
        <v>0</v>
      </c>
      <c r="N196" t="n">
        <v>0</v>
      </c>
      <c r="O196" t="n">
        <v>1</v>
      </c>
      <c r="P196" t="n">
        <v>0</v>
      </c>
      <c r="Q196" t="n">
        <v>1</v>
      </c>
      <c r="R196" s="2" t="inlineStr">
        <is>
          <t>Stjärntagging</t>
        </is>
      </c>
      <c r="S196">
        <f>HYPERLINK("https://klasma.github.io/Logging_2361/artfynd/A 52328-2022 artfynd.xlsx", "A 52328-2022")</f>
        <v/>
      </c>
      <c r="T196">
        <f>HYPERLINK("https://klasma.github.io/Logging_2361/kartor/A 52328-2022 karta.png", "A 52328-2022")</f>
        <v/>
      </c>
      <c r="V196">
        <f>HYPERLINK("https://klasma.github.io/Logging_2361/klagomål/A 52328-2022 FSC-klagomål.docx", "A 52328-2022")</f>
        <v/>
      </c>
      <c r="W196">
        <f>HYPERLINK("https://klasma.github.io/Logging_2361/klagomålsmail/A 52328-2022 FSC-klagomål mail.docx", "A 52328-2022")</f>
        <v/>
      </c>
      <c r="X196">
        <f>HYPERLINK("https://klasma.github.io/Logging_2361/tillsyn/A 52328-2022 tillsynsbegäran.docx", "A 52328-2022")</f>
        <v/>
      </c>
      <c r="Y196">
        <f>HYPERLINK("https://klasma.github.io/Logging_2361/tillsynsmail/A 52328-2022 tillsynsbegäran mail.docx", "A 52328-2022")</f>
        <v/>
      </c>
    </row>
    <row r="197" ht="15" customHeight="1">
      <c r="A197" t="inlineStr">
        <is>
          <t>A 56084-2022</t>
        </is>
      </c>
      <c r="B197" s="1" t="n">
        <v>44886</v>
      </c>
      <c r="C197" s="1" t="n">
        <v>45714</v>
      </c>
      <c r="D197" t="inlineStr">
        <is>
          <t>JÄMTLANDS LÄN</t>
        </is>
      </c>
      <c r="E197" t="inlineStr">
        <is>
          <t>HÄRJEDALEN</t>
        </is>
      </c>
      <c r="F197" t="inlineStr">
        <is>
          <t>Övriga statliga verk och myndigheter</t>
        </is>
      </c>
      <c r="G197" t="n">
        <v>18.6</v>
      </c>
      <c r="H197" t="n">
        <v>0</v>
      </c>
      <c r="I197" t="n">
        <v>0</v>
      </c>
      <c r="J197" t="n">
        <v>1</v>
      </c>
      <c r="K197" t="n">
        <v>0</v>
      </c>
      <c r="L197" t="n">
        <v>0</v>
      </c>
      <c r="M197" t="n">
        <v>0</v>
      </c>
      <c r="N197" t="n">
        <v>0</v>
      </c>
      <c r="O197" t="n">
        <v>1</v>
      </c>
      <c r="P197" t="n">
        <v>0</v>
      </c>
      <c r="Q197" t="n">
        <v>1</v>
      </c>
      <c r="R197" s="2" t="inlineStr">
        <is>
          <t>Dvärgbägarlav</t>
        </is>
      </c>
      <c r="S197">
        <f>HYPERLINK("https://klasma.github.io/Logging_2361/artfynd/A 56084-2022 artfynd.xlsx", "A 56084-2022")</f>
        <v/>
      </c>
      <c r="T197">
        <f>HYPERLINK("https://klasma.github.io/Logging_2361/kartor/A 56084-2022 karta.png", "A 56084-2022")</f>
        <v/>
      </c>
      <c r="V197">
        <f>HYPERLINK("https://klasma.github.io/Logging_2361/klagomål/A 56084-2022 FSC-klagomål.docx", "A 56084-2022")</f>
        <v/>
      </c>
      <c r="W197">
        <f>HYPERLINK("https://klasma.github.io/Logging_2361/klagomålsmail/A 56084-2022 FSC-klagomål mail.docx", "A 56084-2022")</f>
        <v/>
      </c>
      <c r="X197">
        <f>HYPERLINK("https://klasma.github.io/Logging_2361/tillsyn/A 56084-2022 tillsynsbegäran.docx", "A 56084-2022")</f>
        <v/>
      </c>
      <c r="Y197">
        <f>HYPERLINK("https://klasma.github.io/Logging_2361/tillsynsmail/A 56084-2022 tillsynsbegäran mail.docx", "A 56084-2022")</f>
        <v/>
      </c>
    </row>
    <row r="198" ht="15" customHeight="1">
      <c r="A198" t="inlineStr">
        <is>
          <t>A 184-2023</t>
        </is>
      </c>
      <c r="B198" s="1" t="n">
        <v>44928</v>
      </c>
      <c r="C198" s="1" t="n">
        <v>45714</v>
      </c>
      <c r="D198" t="inlineStr">
        <is>
          <t>JÄMTLANDS LÄN</t>
        </is>
      </c>
      <c r="E198" t="inlineStr">
        <is>
          <t>HÄRJEDALEN</t>
        </is>
      </c>
      <c r="F198" t="inlineStr">
        <is>
          <t>Holmen skog AB</t>
        </is>
      </c>
      <c r="G198" t="n">
        <v>7.8</v>
      </c>
      <c r="H198" t="n">
        <v>1</v>
      </c>
      <c r="I198" t="n">
        <v>1</v>
      </c>
      <c r="J198" t="n">
        <v>0</v>
      </c>
      <c r="K198" t="n">
        <v>0</v>
      </c>
      <c r="L198" t="n">
        <v>0</v>
      </c>
      <c r="M198" t="n">
        <v>0</v>
      </c>
      <c r="N198" t="n">
        <v>0</v>
      </c>
      <c r="O198" t="n">
        <v>0</v>
      </c>
      <c r="P198" t="n">
        <v>0</v>
      </c>
      <c r="Q198" t="n">
        <v>1</v>
      </c>
      <c r="R198" s="2" t="inlineStr">
        <is>
          <t>Spindelblomster</t>
        </is>
      </c>
      <c r="S198">
        <f>HYPERLINK("https://klasma.github.io/Logging_2361/artfynd/A 184-2023 artfynd.xlsx", "A 184-2023")</f>
        <v/>
      </c>
      <c r="T198">
        <f>HYPERLINK("https://klasma.github.io/Logging_2361/kartor/A 184-2023 karta.png", "A 184-2023")</f>
        <v/>
      </c>
      <c r="U198">
        <f>HYPERLINK("https://klasma.github.io/Logging_2361/knärot/A 184-2023 karta knärot.png", "A 184-2023")</f>
        <v/>
      </c>
      <c r="V198">
        <f>HYPERLINK("https://klasma.github.io/Logging_2361/klagomål/A 184-2023 FSC-klagomål.docx", "A 184-2023")</f>
        <v/>
      </c>
      <c r="W198">
        <f>HYPERLINK("https://klasma.github.io/Logging_2361/klagomålsmail/A 184-2023 FSC-klagomål mail.docx", "A 184-2023")</f>
        <v/>
      </c>
      <c r="X198">
        <f>HYPERLINK("https://klasma.github.io/Logging_2361/tillsyn/A 184-2023 tillsynsbegäran.docx", "A 184-2023")</f>
        <v/>
      </c>
      <c r="Y198">
        <f>HYPERLINK("https://klasma.github.io/Logging_2361/tillsynsmail/A 184-2023 tillsynsbegäran mail.docx", "A 184-2023")</f>
        <v/>
      </c>
    </row>
    <row r="199" ht="15" customHeight="1">
      <c r="A199" t="inlineStr">
        <is>
          <t>A 30330-2023</t>
        </is>
      </c>
      <c r="B199" s="1" t="n">
        <v>45111</v>
      </c>
      <c r="C199" s="1" t="n">
        <v>45714</v>
      </c>
      <c r="D199" t="inlineStr">
        <is>
          <t>JÄMTLANDS LÄN</t>
        </is>
      </c>
      <c r="E199" t="inlineStr">
        <is>
          <t>HÄRJEDALEN</t>
        </is>
      </c>
      <c r="F199" t="inlineStr">
        <is>
          <t>Bergvik skog väst AB</t>
        </is>
      </c>
      <c r="G199" t="n">
        <v>7.7</v>
      </c>
      <c r="H199" t="n">
        <v>1</v>
      </c>
      <c r="I199" t="n">
        <v>0</v>
      </c>
      <c r="J199" t="n">
        <v>0</v>
      </c>
      <c r="K199" t="n">
        <v>0</v>
      </c>
      <c r="L199" t="n">
        <v>1</v>
      </c>
      <c r="M199" t="n">
        <v>0</v>
      </c>
      <c r="N199" t="n">
        <v>0</v>
      </c>
      <c r="O199" t="n">
        <v>1</v>
      </c>
      <c r="P199" t="n">
        <v>1</v>
      </c>
      <c r="Q199" t="n">
        <v>1</v>
      </c>
      <c r="R199" s="2" t="inlineStr">
        <is>
          <t>Mosippa</t>
        </is>
      </c>
      <c r="S199">
        <f>HYPERLINK("https://klasma.github.io/Logging_2361/artfynd/A 30330-2023 artfynd.xlsx", "A 30330-2023")</f>
        <v/>
      </c>
      <c r="T199">
        <f>HYPERLINK("https://klasma.github.io/Logging_2361/kartor/A 30330-2023 karta.png", "A 30330-2023")</f>
        <v/>
      </c>
      <c r="V199">
        <f>HYPERLINK("https://klasma.github.io/Logging_2361/klagomål/A 30330-2023 FSC-klagomål.docx", "A 30330-2023")</f>
        <v/>
      </c>
      <c r="W199">
        <f>HYPERLINK("https://klasma.github.io/Logging_2361/klagomålsmail/A 30330-2023 FSC-klagomål mail.docx", "A 30330-2023")</f>
        <v/>
      </c>
      <c r="X199">
        <f>HYPERLINK("https://klasma.github.io/Logging_2361/tillsyn/A 30330-2023 tillsynsbegäran.docx", "A 30330-2023")</f>
        <v/>
      </c>
      <c r="Y199">
        <f>HYPERLINK("https://klasma.github.io/Logging_2361/tillsynsmail/A 30330-2023 tillsynsbegäran mail.docx", "A 30330-2023")</f>
        <v/>
      </c>
    </row>
    <row r="200" ht="15" customHeight="1">
      <c r="A200" t="inlineStr">
        <is>
          <t>A 39524-2023</t>
        </is>
      </c>
      <c r="B200" s="1" t="n">
        <v>45167</v>
      </c>
      <c r="C200" s="1" t="n">
        <v>45714</v>
      </c>
      <c r="D200" t="inlineStr">
        <is>
          <t>JÄMTLANDS LÄN</t>
        </is>
      </c>
      <c r="E200" t="inlineStr">
        <is>
          <t>HÄRJEDALEN</t>
        </is>
      </c>
      <c r="F200" t="inlineStr">
        <is>
          <t>Bergvik skog väst AB</t>
        </is>
      </c>
      <c r="G200" t="n">
        <v>4.1</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39524-2023 artfynd.xlsx", "A 39524-2023")</f>
        <v/>
      </c>
      <c r="T200">
        <f>HYPERLINK("https://klasma.github.io/Logging_2361/kartor/A 39524-2023 karta.png", "A 39524-2023")</f>
        <v/>
      </c>
      <c r="V200">
        <f>HYPERLINK("https://klasma.github.io/Logging_2361/klagomål/A 39524-2023 FSC-klagomål.docx", "A 39524-2023")</f>
        <v/>
      </c>
      <c r="W200">
        <f>HYPERLINK("https://klasma.github.io/Logging_2361/klagomålsmail/A 39524-2023 FSC-klagomål mail.docx", "A 39524-2023")</f>
        <v/>
      </c>
      <c r="X200">
        <f>HYPERLINK("https://klasma.github.io/Logging_2361/tillsyn/A 39524-2023 tillsynsbegäran.docx", "A 39524-2023")</f>
        <v/>
      </c>
      <c r="Y200">
        <f>HYPERLINK("https://klasma.github.io/Logging_2361/tillsynsmail/A 39524-2023 tillsynsbegäran mail.docx", "A 39524-2023")</f>
        <v/>
      </c>
      <c r="Z200">
        <f>HYPERLINK("https://klasma.github.io/Logging_2361/fåglar/A 39524-2023 prioriterade fågelarter.docx", "A 39524-2023")</f>
        <v/>
      </c>
    </row>
    <row r="201" ht="15" customHeight="1">
      <c r="A201" t="inlineStr">
        <is>
          <t>A 50470-2023</t>
        </is>
      </c>
      <c r="B201" s="1" t="n">
        <v>45216</v>
      </c>
      <c r="C201" s="1" t="n">
        <v>45714</v>
      </c>
      <c r="D201" t="inlineStr">
        <is>
          <t>JÄMTLANDS LÄN</t>
        </is>
      </c>
      <c r="E201" t="inlineStr">
        <is>
          <t>HÄRJEDALEN</t>
        </is>
      </c>
      <c r="F201" t="inlineStr">
        <is>
          <t>Sveaskog</t>
        </is>
      </c>
      <c r="G201" t="n">
        <v>3.5</v>
      </c>
      <c r="H201" t="n">
        <v>0</v>
      </c>
      <c r="I201" t="n">
        <v>0</v>
      </c>
      <c r="J201" t="n">
        <v>0</v>
      </c>
      <c r="K201" t="n">
        <v>1</v>
      </c>
      <c r="L201" t="n">
        <v>0</v>
      </c>
      <c r="M201" t="n">
        <v>0</v>
      </c>
      <c r="N201" t="n">
        <v>0</v>
      </c>
      <c r="O201" t="n">
        <v>1</v>
      </c>
      <c r="P201" t="n">
        <v>1</v>
      </c>
      <c r="Q201" t="n">
        <v>1</v>
      </c>
      <c r="R201" s="2" t="inlineStr">
        <is>
          <t>Gräddporing</t>
        </is>
      </c>
      <c r="S201">
        <f>HYPERLINK("https://klasma.github.io/Logging_2361/artfynd/A 50470-2023 artfynd.xlsx", "A 50470-2023")</f>
        <v/>
      </c>
      <c r="T201">
        <f>HYPERLINK("https://klasma.github.io/Logging_2361/kartor/A 50470-2023 karta.png", "A 50470-2023")</f>
        <v/>
      </c>
      <c r="V201">
        <f>HYPERLINK("https://klasma.github.io/Logging_2361/klagomål/A 50470-2023 FSC-klagomål.docx", "A 50470-2023")</f>
        <v/>
      </c>
      <c r="W201">
        <f>HYPERLINK("https://klasma.github.io/Logging_2361/klagomålsmail/A 50470-2023 FSC-klagomål mail.docx", "A 50470-2023")</f>
        <v/>
      </c>
      <c r="X201">
        <f>HYPERLINK("https://klasma.github.io/Logging_2361/tillsyn/A 50470-2023 tillsynsbegäran.docx", "A 50470-2023")</f>
        <v/>
      </c>
      <c r="Y201">
        <f>HYPERLINK("https://klasma.github.io/Logging_2361/tillsynsmail/A 50470-2023 tillsynsbegäran mail.docx", "A 50470-2023")</f>
        <v/>
      </c>
    </row>
    <row r="202" ht="15" customHeight="1">
      <c r="A202" t="inlineStr">
        <is>
          <t>A 51414-2023</t>
        </is>
      </c>
      <c r="B202" s="1" t="n">
        <v>45219</v>
      </c>
      <c r="C202" s="1" t="n">
        <v>45714</v>
      </c>
      <c r="D202" t="inlineStr">
        <is>
          <t>JÄMTLANDS LÄN</t>
        </is>
      </c>
      <c r="E202" t="inlineStr">
        <is>
          <t>HÄRJEDALEN</t>
        </is>
      </c>
      <c r="F202" t="inlineStr">
        <is>
          <t>Sveaskog</t>
        </is>
      </c>
      <c r="G202" t="n">
        <v>3.9</v>
      </c>
      <c r="H202" t="n">
        <v>0</v>
      </c>
      <c r="I202" t="n">
        <v>0</v>
      </c>
      <c r="J202" t="n">
        <v>1</v>
      </c>
      <c r="K202" t="n">
        <v>0</v>
      </c>
      <c r="L202" t="n">
        <v>0</v>
      </c>
      <c r="M202" t="n">
        <v>0</v>
      </c>
      <c r="N202" t="n">
        <v>0</v>
      </c>
      <c r="O202" t="n">
        <v>1</v>
      </c>
      <c r="P202" t="n">
        <v>0</v>
      </c>
      <c r="Q202" t="n">
        <v>1</v>
      </c>
      <c r="R202" s="2" t="inlineStr">
        <is>
          <t>Lunglav</t>
        </is>
      </c>
      <c r="S202">
        <f>HYPERLINK("https://klasma.github.io/Logging_2361/artfynd/A 51414-2023 artfynd.xlsx", "A 51414-2023")</f>
        <v/>
      </c>
      <c r="T202">
        <f>HYPERLINK("https://klasma.github.io/Logging_2361/kartor/A 51414-2023 karta.png", "A 51414-2023")</f>
        <v/>
      </c>
      <c r="V202">
        <f>HYPERLINK("https://klasma.github.io/Logging_2361/klagomål/A 51414-2023 FSC-klagomål.docx", "A 51414-2023")</f>
        <v/>
      </c>
      <c r="W202">
        <f>HYPERLINK("https://klasma.github.io/Logging_2361/klagomålsmail/A 51414-2023 FSC-klagomål mail.docx", "A 51414-2023")</f>
        <v/>
      </c>
      <c r="X202">
        <f>HYPERLINK("https://klasma.github.io/Logging_2361/tillsyn/A 51414-2023 tillsynsbegäran.docx", "A 51414-2023")</f>
        <v/>
      </c>
      <c r="Y202">
        <f>HYPERLINK("https://klasma.github.io/Logging_2361/tillsynsmail/A 51414-2023 tillsynsbegäran mail.docx", "A 51414-2023")</f>
        <v/>
      </c>
    </row>
    <row r="203" ht="15" customHeight="1">
      <c r="A203" t="inlineStr">
        <is>
          <t>A 62539-2023</t>
        </is>
      </c>
      <c r="B203" s="1" t="n">
        <v>45268</v>
      </c>
      <c r="C203" s="1" t="n">
        <v>45714</v>
      </c>
      <c r="D203" t="inlineStr">
        <is>
          <t>JÄMTLANDS LÄN</t>
        </is>
      </c>
      <c r="E203" t="inlineStr">
        <is>
          <t>HÄRJEDALEN</t>
        </is>
      </c>
      <c r="G203" t="n">
        <v>7.6</v>
      </c>
      <c r="H203" t="n">
        <v>1</v>
      </c>
      <c r="I203" t="n">
        <v>0</v>
      </c>
      <c r="J203" t="n">
        <v>1</v>
      </c>
      <c r="K203" t="n">
        <v>0</v>
      </c>
      <c r="L203" t="n">
        <v>0</v>
      </c>
      <c r="M203" t="n">
        <v>0</v>
      </c>
      <c r="N203" t="n">
        <v>0</v>
      </c>
      <c r="O203" t="n">
        <v>1</v>
      </c>
      <c r="P203" t="n">
        <v>0</v>
      </c>
      <c r="Q203" t="n">
        <v>1</v>
      </c>
      <c r="R203" s="2" t="inlineStr">
        <is>
          <t>Talltita</t>
        </is>
      </c>
      <c r="S203">
        <f>HYPERLINK("https://klasma.github.io/Logging_2361/artfynd/A 62539-2023 artfynd.xlsx", "A 62539-2023")</f>
        <v/>
      </c>
      <c r="T203">
        <f>HYPERLINK("https://klasma.github.io/Logging_2361/kartor/A 62539-2023 karta.png", "A 62539-2023")</f>
        <v/>
      </c>
      <c r="V203">
        <f>HYPERLINK("https://klasma.github.io/Logging_2361/klagomål/A 62539-2023 FSC-klagomål.docx", "A 62539-2023")</f>
        <v/>
      </c>
      <c r="W203">
        <f>HYPERLINK("https://klasma.github.io/Logging_2361/klagomålsmail/A 62539-2023 FSC-klagomål mail.docx", "A 62539-2023")</f>
        <v/>
      </c>
      <c r="X203">
        <f>HYPERLINK("https://klasma.github.io/Logging_2361/tillsyn/A 62539-2023 tillsynsbegäran.docx", "A 62539-2023")</f>
        <v/>
      </c>
      <c r="Y203">
        <f>HYPERLINK("https://klasma.github.io/Logging_2361/tillsynsmail/A 62539-2023 tillsynsbegäran mail.docx", "A 62539-2023")</f>
        <v/>
      </c>
      <c r="Z203">
        <f>HYPERLINK("https://klasma.github.io/Logging_2361/fåglar/A 62539-2023 prioriterade fågelarter.docx", "A 62539-2023")</f>
        <v/>
      </c>
    </row>
    <row r="204" ht="15" customHeight="1">
      <c r="A204" t="inlineStr">
        <is>
          <t>A 63659-2023</t>
        </is>
      </c>
      <c r="B204" s="1" t="n">
        <v>45275</v>
      </c>
      <c r="C204" s="1" t="n">
        <v>45714</v>
      </c>
      <c r="D204" t="inlineStr">
        <is>
          <t>JÄMTLANDS LÄN</t>
        </is>
      </c>
      <c r="E204" t="inlineStr">
        <is>
          <t>HÄRJEDALEN</t>
        </is>
      </c>
      <c r="G204" t="n">
        <v>11.7</v>
      </c>
      <c r="H204" t="n">
        <v>0</v>
      </c>
      <c r="I204" t="n">
        <v>0</v>
      </c>
      <c r="J204" t="n">
        <v>1</v>
      </c>
      <c r="K204" t="n">
        <v>0</v>
      </c>
      <c r="L204" t="n">
        <v>0</v>
      </c>
      <c r="M204" t="n">
        <v>0</v>
      </c>
      <c r="N204" t="n">
        <v>0</v>
      </c>
      <c r="O204" t="n">
        <v>1</v>
      </c>
      <c r="P204" t="n">
        <v>0</v>
      </c>
      <c r="Q204" t="n">
        <v>1</v>
      </c>
      <c r="R204" s="2" t="inlineStr">
        <is>
          <t>Lunglav</t>
        </is>
      </c>
      <c r="S204">
        <f>HYPERLINK("https://klasma.github.io/Logging_2361/artfynd/A 63659-2023 artfynd.xlsx", "A 63659-2023")</f>
        <v/>
      </c>
      <c r="T204">
        <f>HYPERLINK("https://klasma.github.io/Logging_2361/kartor/A 63659-2023 karta.png", "A 63659-2023")</f>
        <v/>
      </c>
      <c r="V204">
        <f>HYPERLINK("https://klasma.github.io/Logging_2361/klagomål/A 63659-2023 FSC-klagomål.docx", "A 63659-2023")</f>
        <v/>
      </c>
      <c r="W204">
        <f>HYPERLINK("https://klasma.github.io/Logging_2361/klagomålsmail/A 63659-2023 FSC-klagomål mail.docx", "A 63659-2023")</f>
        <v/>
      </c>
      <c r="X204">
        <f>HYPERLINK("https://klasma.github.io/Logging_2361/tillsyn/A 63659-2023 tillsynsbegäran.docx", "A 63659-2023")</f>
        <v/>
      </c>
      <c r="Y204">
        <f>HYPERLINK("https://klasma.github.io/Logging_2361/tillsynsmail/A 63659-2023 tillsynsbegäran mail.docx", "A 63659-2023")</f>
        <v/>
      </c>
    </row>
    <row r="205" ht="15" customHeight="1">
      <c r="A205" t="inlineStr">
        <is>
          <t>A 3593-2024</t>
        </is>
      </c>
      <c r="B205" s="1" t="n">
        <v>45320</v>
      </c>
      <c r="C205" s="1" t="n">
        <v>45714</v>
      </c>
      <c r="D205" t="inlineStr">
        <is>
          <t>JÄMTLANDS LÄN</t>
        </is>
      </c>
      <c r="E205" t="inlineStr">
        <is>
          <t>HÄRJEDALEN</t>
        </is>
      </c>
      <c r="G205" t="n">
        <v>15.1</v>
      </c>
      <c r="H205" t="n">
        <v>0</v>
      </c>
      <c r="I205" t="n">
        <v>0</v>
      </c>
      <c r="J205" t="n">
        <v>1</v>
      </c>
      <c r="K205" t="n">
        <v>0</v>
      </c>
      <c r="L205" t="n">
        <v>0</v>
      </c>
      <c r="M205" t="n">
        <v>0</v>
      </c>
      <c r="N205" t="n">
        <v>0</v>
      </c>
      <c r="O205" t="n">
        <v>1</v>
      </c>
      <c r="P205" t="n">
        <v>0</v>
      </c>
      <c r="Q205" t="n">
        <v>1</v>
      </c>
      <c r="R205" s="2" t="inlineStr">
        <is>
          <t>Nordtagging</t>
        </is>
      </c>
      <c r="S205">
        <f>HYPERLINK("https://klasma.github.io/Logging_2361/artfynd/A 3593-2024 artfynd.xlsx", "A 3593-2024")</f>
        <v/>
      </c>
      <c r="T205">
        <f>HYPERLINK("https://klasma.github.io/Logging_2361/kartor/A 3593-2024 karta.png", "A 3593-2024")</f>
        <v/>
      </c>
      <c r="V205">
        <f>HYPERLINK("https://klasma.github.io/Logging_2361/klagomål/A 3593-2024 FSC-klagomål.docx", "A 3593-2024")</f>
        <v/>
      </c>
      <c r="W205">
        <f>HYPERLINK("https://klasma.github.io/Logging_2361/klagomålsmail/A 3593-2024 FSC-klagomål mail.docx", "A 3593-2024")</f>
        <v/>
      </c>
      <c r="X205">
        <f>HYPERLINK("https://klasma.github.io/Logging_2361/tillsyn/A 3593-2024 tillsynsbegäran.docx", "A 3593-2024")</f>
        <v/>
      </c>
      <c r="Y205">
        <f>HYPERLINK("https://klasma.github.io/Logging_2361/tillsynsmail/A 3593-2024 tillsynsbegäran mail.docx", "A 3593-2024")</f>
        <v/>
      </c>
    </row>
    <row r="206" ht="15" customHeight="1">
      <c r="A206" t="inlineStr">
        <is>
          <t>A 7327-2024</t>
        </is>
      </c>
      <c r="B206" s="1" t="n">
        <v>45345</v>
      </c>
      <c r="C206" s="1" t="n">
        <v>45714</v>
      </c>
      <c r="D206" t="inlineStr">
        <is>
          <t>JÄMTLANDS LÄN</t>
        </is>
      </c>
      <c r="E206" t="inlineStr">
        <is>
          <t>HÄRJEDALEN</t>
        </is>
      </c>
      <c r="F206" t="inlineStr">
        <is>
          <t>Sveaskog</t>
        </is>
      </c>
      <c r="G206" t="n">
        <v>0.3</v>
      </c>
      <c r="H206" t="n">
        <v>0</v>
      </c>
      <c r="I206" t="n">
        <v>0</v>
      </c>
      <c r="J206" t="n">
        <v>1</v>
      </c>
      <c r="K206" t="n">
        <v>0</v>
      </c>
      <c r="L206" t="n">
        <v>0</v>
      </c>
      <c r="M206" t="n">
        <v>0</v>
      </c>
      <c r="N206" t="n">
        <v>0</v>
      </c>
      <c r="O206" t="n">
        <v>1</v>
      </c>
      <c r="P206" t="n">
        <v>0</v>
      </c>
      <c r="Q206" t="n">
        <v>1</v>
      </c>
      <c r="R206" s="2" t="inlineStr">
        <is>
          <t>Kolflarnlav</t>
        </is>
      </c>
      <c r="S206">
        <f>HYPERLINK("https://klasma.github.io/Logging_2361/artfynd/A 7327-2024 artfynd.xlsx", "A 7327-2024")</f>
        <v/>
      </c>
      <c r="T206">
        <f>HYPERLINK("https://klasma.github.io/Logging_2361/kartor/A 7327-2024 karta.png", "A 7327-2024")</f>
        <v/>
      </c>
      <c r="V206">
        <f>HYPERLINK("https://klasma.github.io/Logging_2361/klagomål/A 7327-2024 FSC-klagomål.docx", "A 7327-2024")</f>
        <v/>
      </c>
      <c r="W206">
        <f>HYPERLINK("https://klasma.github.io/Logging_2361/klagomålsmail/A 7327-2024 FSC-klagomål mail.docx", "A 7327-2024")</f>
        <v/>
      </c>
      <c r="X206">
        <f>HYPERLINK("https://klasma.github.io/Logging_2361/tillsyn/A 7327-2024 tillsynsbegäran.docx", "A 7327-2024")</f>
        <v/>
      </c>
      <c r="Y206">
        <f>HYPERLINK("https://klasma.github.io/Logging_2361/tillsynsmail/A 7327-2024 tillsynsbegäran mail.docx", "A 7327-2024")</f>
        <v/>
      </c>
    </row>
    <row r="207" ht="15" customHeight="1">
      <c r="A207" t="inlineStr">
        <is>
          <t>A 16471-2024</t>
        </is>
      </c>
      <c r="B207" s="1" t="n">
        <v>45408</v>
      </c>
      <c r="C207" s="1" t="n">
        <v>45714</v>
      </c>
      <c r="D207" t="inlineStr">
        <is>
          <t>JÄMTLANDS LÄN</t>
        </is>
      </c>
      <c r="E207" t="inlineStr">
        <is>
          <t>HÄRJEDALEN</t>
        </is>
      </c>
      <c r="G207" t="n">
        <v>31.7</v>
      </c>
      <c r="H207" t="n">
        <v>0</v>
      </c>
      <c r="I207" t="n">
        <v>0</v>
      </c>
      <c r="J207" t="n">
        <v>0</v>
      </c>
      <c r="K207" t="n">
        <v>0</v>
      </c>
      <c r="L207" t="n">
        <v>0</v>
      </c>
      <c r="M207" t="n">
        <v>1</v>
      </c>
      <c r="N207" t="n">
        <v>0</v>
      </c>
      <c r="O207" t="n">
        <v>1</v>
      </c>
      <c r="P207" t="n">
        <v>1</v>
      </c>
      <c r="Q207" t="n">
        <v>1</v>
      </c>
      <c r="R207" s="2" t="inlineStr">
        <is>
          <t>Limbergsfibbla</t>
        </is>
      </c>
      <c r="S207">
        <f>HYPERLINK("https://klasma.github.io/Logging_2361/artfynd/A 16471-2024 artfynd.xlsx", "A 16471-2024")</f>
        <v/>
      </c>
      <c r="T207">
        <f>HYPERLINK("https://klasma.github.io/Logging_2361/kartor/A 16471-2024 karta.png", "A 16471-2024")</f>
        <v/>
      </c>
      <c r="V207">
        <f>HYPERLINK("https://klasma.github.io/Logging_2361/klagomål/A 16471-2024 FSC-klagomål.docx", "A 16471-2024")</f>
        <v/>
      </c>
      <c r="W207">
        <f>HYPERLINK("https://klasma.github.io/Logging_2361/klagomålsmail/A 16471-2024 FSC-klagomål mail.docx", "A 16471-2024")</f>
        <v/>
      </c>
      <c r="X207">
        <f>HYPERLINK("https://klasma.github.io/Logging_2361/tillsyn/A 16471-2024 tillsynsbegäran.docx", "A 16471-2024")</f>
        <v/>
      </c>
      <c r="Y207">
        <f>HYPERLINK("https://klasma.github.io/Logging_2361/tillsynsmail/A 16471-2024 tillsynsbegäran mail.docx", "A 16471-2024")</f>
        <v/>
      </c>
    </row>
    <row r="208" ht="15" customHeight="1">
      <c r="A208" t="inlineStr">
        <is>
          <t>A 23680-2024</t>
        </is>
      </c>
      <c r="B208" s="1" t="n">
        <v>45454</v>
      </c>
      <c r="C208" s="1" t="n">
        <v>45714</v>
      </c>
      <c r="D208" t="inlineStr">
        <is>
          <t>JÄMTLANDS LÄN</t>
        </is>
      </c>
      <c r="E208" t="inlineStr">
        <is>
          <t>HÄRJEDALEN</t>
        </is>
      </c>
      <c r="G208" t="n">
        <v>3.9</v>
      </c>
      <c r="H208" t="n">
        <v>0</v>
      </c>
      <c r="I208" t="n">
        <v>1</v>
      </c>
      <c r="J208" t="n">
        <v>0</v>
      </c>
      <c r="K208" t="n">
        <v>0</v>
      </c>
      <c r="L208" t="n">
        <v>0</v>
      </c>
      <c r="M208" t="n">
        <v>0</v>
      </c>
      <c r="N208" t="n">
        <v>0</v>
      </c>
      <c r="O208" t="n">
        <v>0</v>
      </c>
      <c r="P208" t="n">
        <v>0</v>
      </c>
      <c r="Q208" t="n">
        <v>1</v>
      </c>
      <c r="R208" s="2" t="inlineStr">
        <is>
          <t>Ögonpyrola</t>
        </is>
      </c>
      <c r="S208">
        <f>HYPERLINK("https://klasma.github.io/Logging_2361/artfynd/A 23680-2024 artfynd.xlsx", "A 23680-2024")</f>
        <v/>
      </c>
      <c r="T208">
        <f>HYPERLINK("https://klasma.github.io/Logging_2361/kartor/A 23680-2024 karta.png", "A 23680-2024")</f>
        <v/>
      </c>
      <c r="V208">
        <f>HYPERLINK("https://klasma.github.io/Logging_2361/klagomål/A 23680-2024 FSC-klagomål.docx", "A 23680-2024")</f>
        <v/>
      </c>
      <c r="W208">
        <f>HYPERLINK("https://klasma.github.io/Logging_2361/klagomålsmail/A 23680-2024 FSC-klagomål mail.docx", "A 23680-2024")</f>
        <v/>
      </c>
      <c r="X208">
        <f>HYPERLINK("https://klasma.github.io/Logging_2361/tillsyn/A 23680-2024 tillsynsbegäran.docx", "A 23680-2024")</f>
        <v/>
      </c>
      <c r="Y208">
        <f>HYPERLINK("https://klasma.github.io/Logging_2361/tillsynsmail/A 23680-2024 tillsynsbegäran mail.docx", "A 23680-2024")</f>
        <v/>
      </c>
    </row>
    <row r="209" ht="15" customHeight="1">
      <c r="A209" t="inlineStr">
        <is>
          <t>A 24254-2024</t>
        </is>
      </c>
      <c r="B209" s="1" t="n">
        <v>45457</v>
      </c>
      <c r="C209" s="1" t="n">
        <v>45714</v>
      </c>
      <c r="D209" t="inlineStr">
        <is>
          <t>JÄMTLANDS LÄN</t>
        </is>
      </c>
      <c r="E209" t="inlineStr">
        <is>
          <t>HÄRJEDALEN</t>
        </is>
      </c>
      <c r="F209" t="inlineStr">
        <is>
          <t>Sveaskog</t>
        </is>
      </c>
      <c r="G209" t="n">
        <v>6</v>
      </c>
      <c r="H209" t="n">
        <v>0</v>
      </c>
      <c r="I209" t="n">
        <v>0</v>
      </c>
      <c r="J209" t="n">
        <v>1</v>
      </c>
      <c r="K209" t="n">
        <v>0</v>
      </c>
      <c r="L209" t="n">
        <v>0</v>
      </c>
      <c r="M209" t="n">
        <v>0</v>
      </c>
      <c r="N209" t="n">
        <v>0</v>
      </c>
      <c r="O209" t="n">
        <v>1</v>
      </c>
      <c r="P209" t="n">
        <v>0</v>
      </c>
      <c r="Q209" t="n">
        <v>1</v>
      </c>
      <c r="R209" s="2" t="inlineStr">
        <is>
          <t>Kolflarnlav</t>
        </is>
      </c>
      <c r="S209">
        <f>HYPERLINK("https://klasma.github.io/Logging_2361/artfynd/A 24254-2024 artfynd.xlsx", "A 24254-2024")</f>
        <v/>
      </c>
      <c r="T209">
        <f>HYPERLINK("https://klasma.github.io/Logging_2361/kartor/A 24254-2024 karta.png", "A 24254-2024")</f>
        <v/>
      </c>
      <c r="V209">
        <f>HYPERLINK("https://klasma.github.io/Logging_2361/klagomål/A 24254-2024 FSC-klagomål.docx", "A 24254-2024")</f>
        <v/>
      </c>
      <c r="W209">
        <f>HYPERLINK("https://klasma.github.io/Logging_2361/klagomålsmail/A 24254-2024 FSC-klagomål mail.docx", "A 24254-2024")</f>
        <v/>
      </c>
      <c r="X209">
        <f>HYPERLINK("https://klasma.github.io/Logging_2361/tillsyn/A 24254-2024 tillsynsbegäran.docx", "A 24254-2024")</f>
        <v/>
      </c>
      <c r="Y209">
        <f>HYPERLINK("https://klasma.github.io/Logging_2361/tillsynsmail/A 24254-2024 tillsynsbegäran mail.docx", "A 24254-2024")</f>
        <v/>
      </c>
    </row>
    <row r="210" ht="15" customHeight="1">
      <c r="A210" t="inlineStr">
        <is>
          <t>A 24249-2024</t>
        </is>
      </c>
      <c r="B210" s="1" t="n">
        <v>45457</v>
      </c>
      <c r="C210" s="1" t="n">
        <v>45714</v>
      </c>
      <c r="D210" t="inlineStr">
        <is>
          <t>JÄMTLANDS LÄN</t>
        </is>
      </c>
      <c r="E210" t="inlineStr">
        <is>
          <t>HÄRJEDALEN</t>
        </is>
      </c>
      <c r="F210" t="inlineStr">
        <is>
          <t>Sveaskog</t>
        </is>
      </c>
      <c r="G210" t="n">
        <v>15.1</v>
      </c>
      <c r="H210" t="n">
        <v>0</v>
      </c>
      <c r="I210" t="n">
        <v>0</v>
      </c>
      <c r="J210" t="n">
        <v>1</v>
      </c>
      <c r="K210" t="n">
        <v>0</v>
      </c>
      <c r="L210" t="n">
        <v>0</v>
      </c>
      <c r="M210" t="n">
        <v>0</v>
      </c>
      <c r="N210" t="n">
        <v>0</v>
      </c>
      <c r="O210" t="n">
        <v>1</v>
      </c>
      <c r="P210" t="n">
        <v>0</v>
      </c>
      <c r="Q210" t="n">
        <v>1</v>
      </c>
      <c r="R210" s="2" t="inlineStr">
        <is>
          <t>Garnlav</t>
        </is>
      </c>
      <c r="S210">
        <f>HYPERLINK("https://klasma.github.io/Logging_2361/artfynd/A 24249-2024 artfynd.xlsx", "A 24249-2024")</f>
        <v/>
      </c>
      <c r="T210">
        <f>HYPERLINK("https://klasma.github.io/Logging_2361/kartor/A 24249-2024 karta.png", "A 24249-2024")</f>
        <v/>
      </c>
      <c r="V210">
        <f>HYPERLINK("https://klasma.github.io/Logging_2361/klagomål/A 24249-2024 FSC-klagomål.docx", "A 24249-2024")</f>
        <v/>
      </c>
      <c r="W210">
        <f>HYPERLINK("https://klasma.github.io/Logging_2361/klagomålsmail/A 24249-2024 FSC-klagomål mail.docx", "A 24249-2024")</f>
        <v/>
      </c>
      <c r="X210">
        <f>HYPERLINK("https://klasma.github.io/Logging_2361/tillsyn/A 24249-2024 tillsynsbegäran.docx", "A 24249-2024")</f>
        <v/>
      </c>
      <c r="Y210">
        <f>HYPERLINK("https://klasma.github.io/Logging_2361/tillsynsmail/A 24249-2024 tillsynsbegäran mail.docx", "A 24249-2024")</f>
        <v/>
      </c>
    </row>
    <row r="211" ht="15" customHeight="1">
      <c r="A211" t="inlineStr">
        <is>
          <t>A 24251-2024</t>
        </is>
      </c>
      <c r="B211" s="1" t="n">
        <v>45457</v>
      </c>
      <c r="C211" s="1" t="n">
        <v>45714</v>
      </c>
      <c r="D211" t="inlineStr">
        <is>
          <t>JÄMTLANDS LÄN</t>
        </is>
      </c>
      <c r="E211" t="inlineStr">
        <is>
          <t>HÄRJEDALEN</t>
        </is>
      </c>
      <c r="F211" t="inlineStr">
        <is>
          <t>Sveaskog</t>
        </is>
      </c>
      <c r="G211" t="n">
        <v>4.7</v>
      </c>
      <c r="H211" t="n">
        <v>0</v>
      </c>
      <c r="I211" t="n">
        <v>0</v>
      </c>
      <c r="J211" t="n">
        <v>1</v>
      </c>
      <c r="K211" t="n">
        <v>0</v>
      </c>
      <c r="L211" t="n">
        <v>0</v>
      </c>
      <c r="M211" t="n">
        <v>0</v>
      </c>
      <c r="N211" t="n">
        <v>0</v>
      </c>
      <c r="O211" t="n">
        <v>1</v>
      </c>
      <c r="P211" t="n">
        <v>0</v>
      </c>
      <c r="Q211" t="n">
        <v>1</v>
      </c>
      <c r="R211" s="2" t="inlineStr">
        <is>
          <t>Garnlav</t>
        </is>
      </c>
      <c r="S211">
        <f>HYPERLINK("https://klasma.github.io/Logging_2361/artfynd/A 24251-2024 artfynd.xlsx", "A 24251-2024")</f>
        <v/>
      </c>
      <c r="T211">
        <f>HYPERLINK("https://klasma.github.io/Logging_2361/kartor/A 24251-2024 karta.png", "A 24251-2024")</f>
        <v/>
      </c>
      <c r="V211">
        <f>HYPERLINK("https://klasma.github.io/Logging_2361/klagomål/A 24251-2024 FSC-klagomål.docx", "A 24251-2024")</f>
        <v/>
      </c>
      <c r="W211">
        <f>HYPERLINK("https://klasma.github.io/Logging_2361/klagomålsmail/A 24251-2024 FSC-klagomål mail.docx", "A 24251-2024")</f>
        <v/>
      </c>
      <c r="X211">
        <f>HYPERLINK("https://klasma.github.io/Logging_2361/tillsyn/A 24251-2024 tillsynsbegäran.docx", "A 24251-2024")</f>
        <v/>
      </c>
      <c r="Y211">
        <f>HYPERLINK("https://klasma.github.io/Logging_2361/tillsynsmail/A 24251-2024 tillsynsbegäran mail.docx", "A 24251-2024")</f>
        <v/>
      </c>
    </row>
    <row r="212" ht="15" customHeight="1">
      <c r="A212" t="inlineStr">
        <is>
          <t>A 25942-2024</t>
        </is>
      </c>
      <c r="B212" s="1" t="n">
        <v>45467</v>
      </c>
      <c r="C212" s="1" t="n">
        <v>45714</v>
      </c>
      <c r="D212" t="inlineStr">
        <is>
          <t>JÄMTLANDS LÄN</t>
        </is>
      </c>
      <c r="E212" t="inlineStr">
        <is>
          <t>HÄRJEDALEN</t>
        </is>
      </c>
      <c r="F212" t="inlineStr">
        <is>
          <t>Sveaskog</t>
        </is>
      </c>
      <c r="G212" t="n">
        <v>6.4</v>
      </c>
      <c r="H212" t="n">
        <v>0</v>
      </c>
      <c r="I212" t="n">
        <v>0</v>
      </c>
      <c r="J212" t="n">
        <v>1</v>
      </c>
      <c r="K212" t="n">
        <v>0</v>
      </c>
      <c r="L212" t="n">
        <v>0</v>
      </c>
      <c r="M212" t="n">
        <v>0</v>
      </c>
      <c r="N212" t="n">
        <v>0</v>
      </c>
      <c r="O212" t="n">
        <v>1</v>
      </c>
      <c r="P212" t="n">
        <v>0</v>
      </c>
      <c r="Q212" t="n">
        <v>1</v>
      </c>
      <c r="R212" s="2" t="inlineStr">
        <is>
          <t>Lunglav</t>
        </is>
      </c>
      <c r="S212">
        <f>HYPERLINK("https://klasma.github.io/Logging_2361/artfynd/A 25942-2024 artfynd.xlsx", "A 25942-2024")</f>
        <v/>
      </c>
      <c r="T212">
        <f>HYPERLINK("https://klasma.github.io/Logging_2361/kartor/A 25942-2024 karta.png", "A 25942-2024")</f>
        <v/>
      </c>
      <c r="V212">
        <f>HYPERLINK("https://klasma.github.io/Logging_2361/klagomål/A 25942-2024 FSC-klagomål.docx", "A 25942-2024")</f>
        <v/>
      </c>
      <c r="W212">
        <f>HYPERLINK("https://klasma.github.io/Logging_2361/klagomålsmail/A 25942-2024 FSC-klagomål mail.docx", "A 25942-2024")</f>
        <v/>
      </c>
      <c r="X212">
        <f>HYPERLINK("https://klasma.github.io/Logging_2361/tillsyn/A 25942-2024 tillsynsbegäran.docx", "A 25942-2024")</f>
        <v/>
      </c>
      <c r="Y212">
        <f>HYPERLINK("https://klasma.github.io/Logging_2361/tillsynsmail/A 25942-2024 tillsynsbegäran mail.docx", "A 25942-2024")</f>
        <v/>
      </c>
    </row>
    <row r="213" ht="15" customHeight="1">
      <c r="A213" t="inlineStr">
        <is>
          <t>A 28629-2024</t>
        </is>
      </c>
      <c r="B213" s="1" t="n">
        <v>45478</v>
      </c>
      <c r="C213" s="1" t="n">
        <v>45714</v>
      </c>
      <c r="D213" t="inlineStr">
        <is>
          <t>JÄMTLANDS LÄN</t>
        </is>
      </c>
      <c r="E213" t="inlineStr">
        <is>
          <t>HÄRJEDALEN</t>
        </is>
      </c>
      <c r="G213" t="n">
        <v>8.699999999999999</v>
      </c>
      <c r="H213" t="n">
        <v>1</v>
      </c>
      <c r="I213" t="n">
        <v>0</v>
      </c>
      <c r="J213" t="n">
        <v>0</v>
      </c>
      <c r="K213" t="n">
        <v>0</v>
      </c>
      <c r="L213" t="n">
        <v>1</v>
      </c>
      <c r="M213" t="n">
        <v>0</v>
      </c>
      <c r="N213" t="n">
        <v>0</v>
      </c>
      <c r="O213" t="n">
        <v>1</v>
      </c>
      <c r="P213" t="n">
        <v>1</v>
      </c>
      <c r="Q213" t="n">
        <v>1</v>
      </c>
      <c r="R213" s="2" t="inlineStr">
        <is>
          <t>Mosippa</t>
        </is>
      </c>
      <c r="S213">
        <f>HYPERLINK("https://klasma.github.io/Logging_2361/artfynd/A 28629-2024 artfynd.xlsx", "A 28629-2024")</f>
        <v/>
      </c>
      <c r="T213">
        <f>HYPERLINK("https://klasma.github.io/Logging_2361/kartor/A 28629-2024 karta.png", "A 28629-2024")</f>
        <v/>
      </c>
      <c r="V213">
        <f>HYPERLINK("https://klasma.github.io/Logging_2361/klagomål/A 28629-2024 FSC-klagomål.docx", "A 28629-2024")</f>
        <v/>
      </c>
      <c r="W213">
        <f>HYPERLINK("https://klasma.github.io/Logging_2361/klagomålsmail/A 28629-2024 FSC-klagomål mail.docx", "A 28629-2024")</f>
        <v/>
      </c>
      <c r="X213">
        <f>HYPERLINK("https://klasma.github.io/Logging_2361/tillsyn/A 28629-2024 tillsynsbegäran.docx", "A 28629-2024")</f>
        <v/>
      </c>
      <c r="Y213">
        <f>HYPERLINK("https://klasma.github.io/Logging_2361/tillsynsmail/A 28629-2024 tillsynsbegäran mail.docx", "A 28629-2024")</f>
        <v/>
      </c>
    </row>
    <row r="214" ht="15" customHeight="1">
      <c r="A214" t="inlineStr">
        <is>
          <t>A 31607-2024</t>
        </is>
      </c>
      <c r="B214" s="1" t="n">
        <v>45506</v>
      </c>
      <c r="C214" s="1" t="n">
        <v>45714</v>
      </c>
      <c r="D214" t="inlineStr">
        <is>
          <t>JÄMTLANDS LÄN</t>
        </is>
      </c>
      <c r="E214" t="inlineStr">
        <is>
          <t>HÄRJEDALEN</t>
        </is>
      </c>
      <c r="F214" t="inlineStr">
        <is>
          <t>Sveaskog</t>
        </is>
      </c>
      <c r="G214" t="n">
        <v>9.1</v>
      </c>
      <c r="H214" t="n">
        <v>0</v>
      </c>
      <c r="I214" t="n">
        <v>1</v>
      </c>
      <c r="J214" t="n">
        <v>0</v>
      </c>
      <c r="K214" t="n">
        <v>0</v>
      </c>
      <c r="L214" t="n">
        <v>0</v>
      </c>
      <c r="M214" t="n">
        <v>0</v>
      </c>
      <c r="N214" t="n">
        <v>0</v>
      </c>
      <c r="O214" t="n">
        <v>0</v>
      </c>
      <c r="P214" t="n">
        <v>0</v>
      </c>
      <c r="Q214" t="n">
        <v>1</v>
      </c>
      <c r="R214" s="2" t="inlineStr">
        <is>
          <t>Dropptaggsvamp</t>
        </is>
      </c>
      <c r="S214">
        <f>HYPERLINK("https://klasma.github.io/Logging_2361/artfynd/A 31607-2024 artfynd.xlsx", "A 31607-2024")</f>
        <v/>
      </c>
      <c r="T214">
        <f>HYPERLINK("https://klasma.github.io/Logging_2361/kartor/A 31607-2024 karta.png", "A 31607-2024")</f>
        <v/>
      </c>
      <c r="V214">
        <f>HYPERLINK("https://klasma.github.io/Logging_2361/klagomål/A 31607-2024 FSC-klagomål.docx", "A 31607-2024")</f>
        <v/>
      </c>
      <c r="W214">
        <f>HYPERLINK("https://klasma.github.io/Logging_2361/klagomålsmail/A 31607-2024 FSC-klagomål mail.docx", "A 31607-2024")</f>
        <v/>
      </c>
      <c r="X214">
        <f>HYPERLINK("https://klasma.github.io/Logging_2361/tillsyn/A 31607-2024 tillsynsbegäran.docx", "A 31607-2024")</f>
        <v/>
      </c>
      <c r="Y214">
        <f>HYPERLINK("https://klasma.github.io/Logging_2361/tillsynsmail/A 31607-2024 tillsynsbegäran mail.docx", "A 31607-2024")</f>
        <v/>
      </c>
    </row>
    <row r="215" ht="15" customHeight="1">
      <c r="A215" t="inlineStr">
        <is>
          <t>A 31583-2024</t>
        </is>
      </c>
      <c r="B215" s="1" t="n">
        <v>45506</v>
      </c>
      <c r="C215" s="1" t="n">
        <v>45714</v>
      </c>
      <c r="D215" t="inlineStr">
        <is>
          <t>JÄMTLANDS LÄN</t>
        </is>
      </c>
      <c r="E215" t="inlineStr">
        <is>
          <t>HÄRJEDALEN</t>
        </is>
      </c>
      <c r="G215" t="n">
        <v>9.199999999999999</v>
      </c>
      <c r="H215" t="n">
        <v>0</v>
      </c>
      <c r="I215" t="n">
        <v>0</v>
      </c>
      <c r="J215" t="n">
        <v>1</v>
      </c>
      <c r="K215" t="n">
        <v>0</v>
      </c>
      <c r="L215" t="n">
        <v>0</v>
      </c>
      <c r="M215" t="n">
        <v>0</v>
      </c>
      <c r="N215" t="n">
        <v>0</v>
      </c>
      <c r="O215" t="n">
        <v>1</v>
      </c>
      <c r="P215" t="n">
        <v>0</v>
      </c>
      <c r="Q215" t="n">
        <v>1</v>
      </c>
      <c r="R215" s="2" t="inlineStr">
        <is>
          <t>Igelkott</t>
        </is>
      </c>
      <c r="S215">
        <f>HYPERLINK("https://klasma.github.io/Logging_2361/artfynd/A 31583-2024 artfynd.xlsx", "A 31583-2024")</f>
        <v/>
      </c>
      <c r="T215">
        <f>HYPERLINK("https://klasma.github.io/Logging_2361/kartor/A 31583-2024 karta.png", "A 31583-2024")</f>
        <v/>
      </c>
      <c r="V215">
        <f>HYPERLINK("https://klasma.github.io/Logging_2361/klagomål/A 31583-2024 FSC-klagomål.docx", "A 31583-2024")</f>
        <v/>
      </c>
      <c r="W215">
        <f>HYPERLINK("https://klasma.github.io/Logging_2361/klagomålsmail/A 31583-2024 FSC-klagomål mail.docx", "A 31583-2024")</f>
        <v/>
      </c>
      <c r="X215">
        <f>HYPERLINK("https://klasma.github.io/Logging_2361/tillsyn/A 31583-2024 tillsynsbegäran.docx", "A 31583-2024")</f>
        <v/>
      </c>
      <c r="Y215">
        <f>HYPERLINK("https://klasma.github.io/Logging_2361/tillsynsmail/A 31583-2024 tillsynsbegäran mail.docx", "A 31583-2024")</f>
        <v/>
      </c>
    </row>
    <row r="216" ht="15" customHeight="1">
      <c r="A216" t="inlineStr">
        <is>
          <t>A 37451-2024</t>
        </is>
      </c>
      <c r="B216" s="1" t="n">
        <v>45540</v>
      </c>
      <c r="C216" s="1" t="n">
        <v>45714</v>
      </c>
      <c r="D216" t="inlineStr">
        <is>
          <t>JÄMTLANDS LÄN</t>
        </is>
      </c>
      <c r="E216" t="inlineStr">
        <is>
          <t>HÄRJEDALEN</t>
        </is>
      </c>
      <c r="F216" t="inlineStr">
        <is>
          <t>Sveaskog</t>
        </is>
      </c>
      <c r="G216" t="n">
        <v>4.3</v>
      </c>
      <c r="H216" t="n">
        <v>0</v>
      </c>
      <c r="I216" t="n">
        <v>0</v>
      </c>
      <c r="J216" t="n">
        <v>1</v>
      </c>
      <c r="K216" t="n">
        <v>0</v>
      </c>
      <c r="L216" t="n">
        <v>0</v>
      </c>
      <c r="M216" t="n">
        <v>0</v>
      </c>
      <c r="N216" t="n">
        <v>0</v>
      </c>
      <c r="O216" t="n">
        <v>1</v>
      </c>
      <c r="P216" t="n">
        <v>0</v>
      </c>
      <c r="Q216" t="n">
        <v>1</v>
      </c>
      <c r="R216" s="2" t="inlineStr">
        <is>
          <t>Lunglav</t>
        </is>
      </c>
      <c r="S216">
        <f>HYPERLINK("https://klasma.github.io/Logging_2361/artfynd/A 37451-2024 artfynd.xlsx", "A 37451-2024")</f>
        <v/>
      </c>
      <c r="T216">
        <f>HYPERLINK("https://klasma.github.io/Logging_2361/kartor/A 37451-2024 karta.png", "A 37451-2024")</f>
        <v/>
      </c>
      <c r="V216">
        <f>HYPERLINK("https://klasma.github.io/Logging_2361/klagomål/A 37451-2024 FSC-klagomål.docx", "A 37451-2024")</f>
        <v/>
      </c>
      <c r="W216">
        <f>HYPERLINK("https://klasma.github.io/Logging_2361/klagomålsmail/A 37451-2024 FSC-klagomål mail.docx", "A 37451-2024")</f>
        <v/>
      </c>
      <c r="X216">
        <f>HYPERLINK("https://klasma.github.io/Logging_2361/tillsyn/A 37451-2024 tillsynsbegäran.docx", "A 37451-2024")</f>
        <v/>
      </c>
      <c r="Y216">
        <f>HYPERLINK("https://klasma.github.io/Logging_2361/tillsynsmail/A 37451-2024 tillsynsbegäran mail.docx", "A 37451-2024")</f>
        <v/>
      </c>
    </row>
    <row r="217" ht="15" customHeight="1">
      <c r="A217" t="inlineStr">
        <is>
          <t>A 38285-2024</t>
        </is>
      </c>
      <c r="B217" s="1" t="n">
        <v>45545</v>
      </c>
      <c r="C217" s="1" t="n">
        <v>45714</v>
      </c>
      <c r="D217" t="inlineStr">
        <is>
          <t>JÄMTLANDS LÄN</t>
        </is>
      </c>
      <c r="E217" t="inlineStr">
        <is>
          <t>HÄRJEDALEN</t>
        </is>
      </c>
      <c r="F217" t="inlineStr">
        <is>
          <t>Sveaskog</t>
        </is>
      </c>
      <c r="G217" t="n">
        <v>4.9</v>
      </c>
      <c r="H217" t="n">
        <v>0</v>
      </c>
      <c r="I217" t="n">
        <v>0</v>
      </c>
      <c r="J217" t="n">
        <v>1</v>
      </c>
      <c r="K217" t="n">
        <v>0</v>
      </c>
      <c r="L217" t="n">
        <v>0</v>
      </c>
      <c r="M217" t="n">
        <v>0</v>
      </c>
      <c r="N217" t="n">
        <v>0</v>
      </c>
      <c r="O217" t="n">
        <v>1</v>
      </c>
      <c r="P217" t="n">
        <v>0</v>
      </c>
      <c r="Q217" t="n">
        <v>1</v>
      </c>
      <c r="R217" s="2" t="inlineStr">
        <is>
          <t>Lunglav</t>
        </is>
      </c>
      <c r="S217">
        <f>HYPERLINK("https://klasma.github.io/Logging_2361/artfynd/A 38285-2024 artfynd.xlsx", "A 38285-2024")</f>
        <v/>
      </c>
      <c r="T217">
        <f>HYPERLINK("https://klasma.github.io/Logging_2361/kartor/A 38285-2024 karta.png", "A 38285-2024")</f>
        <v/>
      </c>
      <c r="V217">
        <f>HYPERLINK("https://klasma.github.io/Logging_2361/klagomål/A 38285-2024 FSC-klagomål.docx", "A 38285-2024")</f>
        <v/>
      </c>
      <c r="W217">
        <f>HYPERLINK("https://klasma.github.io/Logging_2361/klagomålsmail/A 38285-2024 FSC-klagomål mail.docx", "A 38285-2024")</f>
        <v/>
      </c>
      <c r="X217">
        <f>HYPERLINK("https://klasma.github.io/Logging_2361/tillsyn/A 38285-2024 tillsynsbegäran.docx", "A 38285-2024")</f>
        <v/>
      </c>
      <c r="Y217">
        <f>HYPERLINK("https://klasma.github.io/Logging_2361/tillsynsmail/A 38285-2024 tillsynsbegäran mail.docx", "A 38285-2024")</f>
        <v/>
      </c>
    </row>
    <row r="218" ht="15" customHeight="1">
      <c r="A218" t="inlineStr">
        <is>
          <t>A 43744-2024</t>
        </is>
      </c>
      <c r="B218" s="1" t="n">
        <v>45569</v>
      </c>
      <c r="C218" s="1" t="n">
        <v>45714</v>
      </c>
      <c r="D218" t="inlineStr">
        <is>
          <t>JÄMTLANDS LÄN</t>
        </is>
      </c>
      <c r="E218" t="inlineStr">
        <is>
          <t>HÄRJEDALEN</t>
        </is>
      </c>
      <c r="G218" t="n">
        <v>15.8</v>
      </c>
      <c r="H218" t="n">
        <v>1</v>
      </c>
      <c r="I218" t="n">
        <v>0</v>
      </c>
      <c r="J218" t="n">
        <v>1</v>
      </c>
      <c r="K218" t="n">
        <v>0</v>
      </c>
      <c r="L218" t="n">
        <v>0</v>
      </c>
      <c r="M218" t="n">
        <v>0</v>
      </c>
      <c r="N218" t="n">
        <v>0</v>
      </c>
      <c r="O218" t="n">
        <v>1</v>
      </c>
      <c r="P218" t="n">
        <v>0</v>
      </c>
      <c r="Q218" t="n">
        <v>1</v>
      </c>
      <c r="R218" s="2" t="inlineStr">
        <is>
          <t>Skogsfru</t>
        </is>
      </c>
      <c r="S218">
        <f>HYPERLINK("https://klasma.github.io/Logging_2361/artfynd/A 43744-2024 artfynd.xlsx", "A 43744-2024")</f>
        <v/>
      </c>
      <c r="T218">
        <f>HYPERLINK("https://klasma.github.io/Logging_2361/kartor/A 43744-2024 karta.png", "A 43744-2024")</f>
        <v/>
      </c>
      <c r="V218">
        <f>HYPERLINK("https://klasma.github.io/Logging_2361/klagomål/A 43744-2024 FSC-klagomål.docx", "A 43744-2024")</f>
        <v/>
      </c>
      <c r="W218">
        <f>HYPERLINK("https://klasma.github.io/Logging_2361/klagomålsmail/A 43744-2024 FSC-klagomål mail.docx", "A 43744-2024")</f>
        <v/>
      </c>
      <c r="X218">
        <f>HYPERLINK("https://klasma.github.io/Logging_2361/tillsyn/A 43744-2024 tillsynsbegäran.docx", "A 43744-2024")</f>
        <v/>
      </c>
      <c r="Y218">
        <f>HYPERLINK("https://klasma.github.io/Logging_2361/tillsynsmail/A 43744-2024 tillsynsbegäran mail.docx", "A 43744-2024")</f>
        <v/>
      </c>
    </row>
    <row r="219" ht="15" customHeight="1">
      <c r="A219" t="inlineStr">
        <is>
          <t>A 51234-2024</t>
        </is>
      </c>
      <c r="B219" s="1" t="n">
        <v>45603</v>
      </c>
      <c r="C219" s="1" t="n">
        <v>45714</v>
      </c>
      <c r="D219" t="inlineStr">
        <is>
          <t>JÄMTLANDS LÄN</t>
        </is>
      </c>
      <c r="E219" t="inlineStr">
        <is>
          <t>HÄRJEDALEN</t>
        </is>
      </c>
      <c r="F219" t="inlineStr">
        <is>
          <t>Holmen skog AB</t>
        </is>
      </c>
      <c r="G219" t="n">
        <v>2.6</v>
      </c>
      <c r="H219" t="n">
        <v>0</v>
      </c>
      <c r="I219" t="n">
        <v>0</v>
      </c>
      <c r="J219" t="n">
        <v>1</v>
      </c>
      <c r="K219" t="n">
        <v>0</v>
      </c>
      <c r="L219" t="n">
        <v>0</v>
      </c>
      <c r="M219" t="n">
        <v>0</v>
      </c>
      <c r="N219" t="n">
        <v>0</v>
      </c>
      <c r="O219" t="n">
        <v>1</v>
      </c>
      <c r="P219" t="n">
        <v>0</v>
      </c>
      <c r="Q219" t="n">
        <v>1</v>
      </c>
      <c r="R219" s="2" t="inlineStr">
        <is>
          <t>Blågrå svartspik</t>
        </is>
      </c>
      <c r="S219">
        <f>HYPERLINK("https://klasma.github.io/Logging_2361/artfynd/A 51234-2024 artfynd.xlsx", "A 51234-2024")</f>
        <v/>
      </c>
      <c r="T219">
        <f>HYPERLINK("https://klasma.github.io/Logging_2361/kartor/A 51234-2024 karta.png", "A 51234-2024")</f>
        <v/>
      </c>
      <c r="V219">
        <f>HYPERLINK("https://klasma.github.io/Logging_2361/klagomål/A 51234-2024 FSC-klagomål.docx", "A 51234-2024")</f>
        <v/>
      </c>
      <c r="W219">
        <f>HYPERLINK("https://klasma.github.io/Logging_2361/klagomålsmail/A 51234-2024 FSC-klagomål mail.docx", "A 51234-2024")</f>
        <v/>
      </c>
      <c r="X219">
        <f>HYPERLINK("https://klasma.github.io/Logging_2361/tillsyn/A 51234-2024 tillsynsbegäran.docx", "A 51234-2024")</f>
        <v/>
      </c>
      <c r="Y219">
        <f>HYPERLINK("https://klasma.github.io/Logging_2361/tillsynsmail/A 51234-2024 tillsynsbegäran mail.docx", "A 51234-2024")</f>
        <v/>
      </c>
    </row>
    <row r="220" ht="15" customHeight="1">
      <c r="A220" t="inlineStr">
        <is>
          <t>A 54520-2024</t>
        </is>
      </c>
      <c r="B220" s="1" t="n">
        <v>45617</v>
      </c>
      <c r="C220" s="1" t="n">
        <v>45714</v>
      </c>
      <c r="D220" t="inlineStr">
        <is>
          <t>JÄMTLANDS LÄN</t>
        </is>
      </c>
      <c r="E220" t="inlineStr">
        <is>
          <t>HÄRJEDALEN</t>
        </is>
      </c>
      <c r="F220" t="inlineStr">
        <is>
          <t>Holmen skog AB</t>
        </is>
      </c>
      <c r="G220" t="n">
        <v>4.6</v>
      </c>
      <c r="H220" t="n">
        <v>1</v>
      </c>
      <c r="I220" t="n">
        <v>0</v>
      </c>
      <c r="J220" t="n">
        <v>1</v>
      </c>
      <c r="K220" t="n">
        <v>0</v>
      </c>
      <c r="L220" t="n">
        <v>0</v>
      </c>
      <c r="M220" t="n">
        <v>0</v>
      </c>
      <c r="N220" t="n">
        <v>0</v>
      </c>
      <c r="O220" t="n">
        <v>1</v>
      </c>
      <c r="P220" t="n">
        <v>0</v>
      </c>
      <c r="Q220" t="n">
        <v>1</v>
      </c>
      <c r="R220" s="2" t="inlineStr">
        <is>
          <t>Talltita</t>
        </is>
      </c>
      <c r="S220">
        <f>HYPERLINK("https://klasma.github.io/Logging_2361/artfynd/A 54520-2024 artfynd.xlsx", "A 54520-2024")</f>
        <v/>
      </c>
      <c r="T220">
        <f>HYPERLINK("https://klasma.github.io/Logging_2361/kartor/A 54520-2024 karta.png", "A 54520-2024")</f>
        <v/>
      </c>
      <c r="V220">
        <f>HYPERLINK("https://klasma.github.io/Logging_2361/klagomål/A 54520-2024 FSC-klagomål.docx", "A 54520-2024")</f>
        <v/>
      </c>
      <c r="W220">
        <f>HYPERLINK("https://klasma.github.io/Logging_2361/klagomålsmail/A 54520-2024 FSC-klagomål mail.docx", "A 54520-2024")</f>
        <v/>
      </c>
      <c r="X220">
        <f>HYPERLINK("https://klasma.github.io/Logging_2361/tillsyn/A 54520-2024 tillsynsbegäran.docx", "A 54520-2024")</f>
        <v/>
      </c>
      <c r="Y220">
        <f>HYPERLINK("https://klasma.github.io/Logging_2361/tillsynsmail/A 54520-2024 tillsynsbegäran mail.docx", "A 54520-2024")</f>
        <v/>
      </c>
      <c r="Z220">
        <f>HYPERLINK("https://klasma.github.io/Logging_2361/fåglar/A 54520-2024 prioriterade fågelarter.docx", "A 54520-2024")</f>
        <v/>
      </c>
    </row>
    <row r="221" ht="15" customHeight="1">
      <c r="A221" t="inlineStr">
        <is>
          <t>A 55135-2024</t>
        </is>
      </c>
      <c r="B221" s="1" t="n">
        <v>45621</v>
      </c>
      <c r="C221" s="1" t="n">
        <v>45714</v>
      </c>
      <c r="D221" t="inlineStr">
        <is>
          <t>JÄMTLANDS LÄN</t>
        </is>
      </c>
      <c r="E221" t="inlineStr">
        <is>
          <t>HÄRJEDALEN</t>
        </is>
      </c>
      <c r="F221" t="inlineStr">
        <is>
          <t>Sveaskog</t>
        </is>
      </c>
      <c r="G221" t="n">
        <v>12.6</v>
      </c>
      <c r="H221" t="n">
        <v>0</v>
      </c>
      <c r="I221" t="n">
        <v>1</v>
      </c>
      <c r="J221" t="n">
        <v>0</v>
      </c>
      <c r="K221" t="n">
        <v>0</v>
      </c>
      <c r="L221" t="n">
        <v>0</v>
      </c>
      <c r="M221" t="n">
        <v>0</v>
      </c>
      <c r="N221" t="n">
        <v>0</v>
      </c>
      <c r="O221" t="n">
        <v>0</v>
      </c>
      <c r="P221" t="n">
        <v>0</v>
      </c>
      <c r="Q221" t="n">
        <v>1</v>
      </c>
      <c r="R221" s="2" t="inlineStr">
        <is>
          <t>Skarp dropptaggsvamp</t>
        </is>
      </c>
      <c r="S221">
        <f>HYPERLINK("https://klasma.github.io/Logging_2361/artfynd/A 55135-2024 artfynd.xlsx", "A 55135-2024")</f>
        <v/>
      </c>
      <c r="T221">
        <f>HYPERLINK("https://klasma.github.io/Logging_2361/kartor/A 55135-2024 karta.png", "A 55135-2024")</f>
        <v/>
      </c>
      <c r="V221">
        <f>HYPERLINK("https://klasma.github.io/Logging_2361/klagomål/A 55135-2024 FSC-klagomål.docx", "A 55135-2024")</f>
        <v/>
      </c>
      <c r="W221">
        <f>HYPERLINK("https://klasma.github.io/Logging_2361/klagomålsmail/A 55135-2024 FSC-klagomål mail.docx", "A 55135-2024")</f>
        <v/>
      </c>
      <c r="X221">
        <f>HYPERLINK("https://klasma.github.io/Logging_2361/tillsyn/A 55135-2024 tillsynsbegäran.docx", "A 55135-2024")</f>
        <v/>
      </c>
      <c r="Y221">
        <f>HYPERLINK("https://klasma.github.io/Logging_2361/tillsynsmail/A 55135-2024 tillsynsbegäran mail.docx", "A 55135-2024")</f>
        <v/>
      </c>
    </row>
    <row r="222" ht="15" customHeight="1">
      <c r="A222" t="inlineStr">
        <is>
          <t>A 55214-2024</t>
        </is>
      </c>
      <c r="B222" s="1" t="n">
        <v>45621</v>
      </c>
      <c r="C222" s="1" t="n">
        <v>45714</v>
      </c>
      <c r="D222" t="inlineStr">
        <is>
          <t>JÄMTLANDS LÄN</t>
        </is>
      </c>
      <c r="E222" t="inlineStr">
        <is>
          <t>HÄRJEDALEN</t>
        </is>
      </c>
      <c r="F222" t="inlineStr">
        <is>
          <t>Sveaskog</t>
        </is>
      </c>
      <c r="G222" t="n">
        <v>1.1</v>
      </c>
      <c r="H222" t="n">
        <v>0</v>
      </c>
      <c r="I222" t="n">
        <v>0</v>
      </c>
      <c r="J222" t="n">
        <v>1</v>
      </c>
      <c r="K222" t="n">
        <v>0</v>
      </c>
      <c r="L222" t="n">
        <v>0</v>
      </c>
      <c r="M222" t="n">
        <v>0</v>
      </c>
      <c r="N222" t="n">
        <v>0</v>
      </c>
      <c r="O222" t="n">
        <v>1</v>
      </c>
      <c r="P222" t="n">
        <v>0</v>
      </c>
      <c r="Q222" t="n">
        <v>1</v>
      </c>
      <c r="R222" s="2" t="inlineStr">
        <is>
          <t>Kolflarnlav</t>
        </is>
      </c>
      <c r="S222">
        <f>HYPERLINK("https://klasma.github.io/Logging_2361/artfynd/A 55214-2024 artfynd.xlsx", "A 55214-2024")</f>
        <v/>
      </c>
      <c r="T222">
        <f>HYPERLINK("https://klasma.github.io/Logging_2361/kartor/A 55214-2024 karta.png", "A 55214-2024")</f>
        <v/>
      </c>
      <c r="V222">
        <f>HYPERLINK("https://klasma.github.io/Logging_2361/klagomål/A 55214-2024 FSC-klagomål.docx", "A 55214-2024")</f>
        <v/>
      </c>
      <c r="W222">
        <f>HYPERLINK("https://klasma.github.io/Logging_2361/klagomålsmail/A 55214-2024 FSC-klagomål mail.docx", "A 55214-2024")</f>
        <v/>
      </c>
      <c r="X222">
        <f>HYPERLINK("https://klasma.github.io/Logging_2361/tillsyn/A 55214-2024 tillsynsbegäran.docx", "A 55214-2024")</f>
        <v/>
      </c>
      <c r="Y222">
        <f>HYPERLINK("https://klasma.github.io/Logging_2361/tillsynsmail/A 55214-2024 tillsynsbegäran mail.docx", "A 55214-2024")</f>
        <v/>
      </c>
    </row>
    <row r="223" ht="15" customHeight="1">
      <c r="A223" t="inlineStr">
        <is>
          <t>A 59367-2024</t>
        </is>
      </c>
      <c r="B223" s="1" t="n">
        <v>45638</v>
      </c>
      <c r="C223" s="1" t="n">
        <v>45714</v>
      </c>
      <c r="D223" t="inlineStr">
        <is>
          <t>JÄMTLANDS LÄN</t>
        </is>
      </c>
      <c r="E223" t="inlineStr">
        <is>
          <t>HÄRJEDALEN</t>
        </is>
      </c>
      <c r="F223" t="inlineStr">
        <is>
          <t>Holmen skog AB</t>
        </is>
      </c>
      <c r="G223" t="n">
        <v>5.9</v>
      </c>
      <c r="H223" t="n">
        <v>0</v>
      </c>
      <c r="I223" t="n">
        <v>0</v>
      </c>
      <c r="J223" t="n">
        <v>1</v>
      </c>
      <c r="K223" t="n">
        <v>0</v>
      </c>
      <c r="L223" t="n">
        <v>0</v>
      </c>
      <c r="M223" t="n">
        <v>0</v>
      </c>
      <c r="N223" t="n">
        <v>0</v>
      </c>
      <c r="O223" t="n">
        <v>1</v>
      </c>
      <c r="P223" t="n">
        <v>0</v>
      </c>
      <c r="Q223" t="n">
        <v>1</v>
      </c>
      <c r="R223" s="2" t="inlineStr">
        <is>
          <t>Vedflamlav</t>
        </is>
      </c>
      <c r="S223">
        <f>HYPERLINK("https://klasma.github.io/Logging_2361/artfynd/A 59367-2024 artfynd.xlsx", "A 59367-2024")</f>
        <v/>
      </c>
      <c r="T223">
        <f>HYPERLINK("https://klasma.github.io/Logging_2361/kartor/A 59367-2024 karta.png", "A 59367-2024")</f>
        <v/>
      </c>
      <c r="V223">
        <f>HYPERLINK("https://klasma.github.io/Logging_2361/klagomål/A 59367-2024 FSC-klagomål.docx", "A 59367-2024")</f>
        <v/>
      </c>
      <c r="W223">
        <f>HYPERLINK("https://klasma.github.io/Logging_2361/klagomålsmail/A 59367-2024 FSC-klagomål mail.docx", "A 59367-2024")</f>
        <v/>
      </c>
      <c r="X223">
        <f>HYPERLINK("https://klasma.github.io/Logging_2361/tillsyn/A 59367-2024 tillsynsbegäran.docx", "A 59367-2024")</f>
        <v/>
      </c>
      <c r="Y223">
        <f>HYPERLINK("https://klasma.github.io/Logging_2361/tillsynsmail/A 59367-2024 tillsynsbegäran mail.docx", "A 59367-2024")</f>
        <v/>
      </c>
    </row>
    <row r="224" ht="15" customHeight="1">
      <c r="A224" t="inlineStr">
        <is>
          <t>A 2041-2025</t>
        </is>
      </c>
      <c r="B224" s="1" t="n">
        <v>45672</v>
      </c>
      <c r="C224" s="1" t="n">
        <v>45714</v>
      </c>
      <c r="D224" t="inlineStr">
        <is>
          <t>JÄMTLANDS LÄN</t>
        </is>
      </c>
      <c r="E224" t="inlineStr">
        <is>
          <t>HÄRJEDALEN</t>
        </is>
      </c>
      <c r="G224" t="n">
        <v>10</v>
      </c>
      <c r="H224" t="n">
        <v>0</v>
      </c>
      <c r="I224" t="n">
        <v>0</v>
      </c>
      <c r="J224" t="n">
        <v>1</v>
      </c>
      <c r="K224" t="n">
        <v>0</v>
      </c>
      <c r="L224" t="n">
        <v>0</v>
      </c>
      <c r="M224" t="n">
        <v>0</v>
      </c>
      <c r="N224" t="n">
        <v>0</v>
      </c>
      <c r="O224" t="n">
        <v>1</v>
      </c>
      <c r="P224" t="n">
        <v>0</v>
      </c>
      <c r="Q224" t="n">
        <v>1</v>
      </c>
      <c r="R224" s="2" t="inlineStr">
        <is>
          <t>Gränsticka</t>
        </is>
      </c>
      <c r="S224">
        <f>HYPERLINK("https://klasma.github.io/Logging_2361/artfynd/A 2041-2025 artfynd.xlsx", "A 2041-2025")</f>
        <v/>
      </c>
      <c r="T224">
        <f>HYPERLINK("https://klasma.github.io/Logging_2361/kartor/A 2041-2025 karta.png", "A 2041-2025")</f>
        <v/>
      </c>
      <c r="V224">
        <f>HYPERLINK("https://klasma.github.io/Logging_2361/klagomål/A 2041-2025 FSC-klagomål.docx", "A 2041-2025")</f>
        <v/>
      </c>
      <c r="W224">
        <f>HYPERLINK("https://klasma.github.io/Logging_2361/klagomålsmail/A 2041-2025 FSC-klagomål mail.docx", "A 2041-2025")</f>
        <v/>
      </c>
      <c r="X224">
        <f>HYPERLINK("https://klasma.github.io/Logging_2361/tillsyn/A 2041-2025 tillsynsbegäran.docx", "A 2041-2025")</f>
        <v/>
      </c>
      <c r="Y224">
        <f>HYPERLINK("https://klasma.github.io/Logging_2361/tillsynsmail/A 2041-2025 tillsynsbegäran mail.docx", "A 2041-2025")</f>
        <v/>
      </c>
    </row>
    <row r="225" ht="15" customHeight="1">
      <c r="A225" t="inlineStr">
        <is>
          <t>A 17811-2019</t>
        </is>
      </c>
      <c r="B225" s="1" t="n">
        <v>43556</v>
      </c>
      <c r="C225" s="1" t="n">
        <v>45714</v>
      </c>
      <c r="D225" t="inlineStr">
        <is>
          <t>JÄMTLANDS LÄN</t>
        </is>
      </c>
      <c r="E225" t="inlineStr">
        <is>
          <t>HÄRJEDALEN</t>
        </is>
      </c>
      <c r="G225" t="n">
        <v>10.3</v>
      </c>
      <c r="H225" t="n">
        <v>0</v>
      </c>
      <c r="I225" t="n">
        <v>0</v>
      </c>
      <c r="J225" t="n">
        <v>0</v>
      </c>
      <c r="K225" t="n">
        <v>0</v>
      </c>
      <c r="L225" t="n">
        <v>0</v>
      </c>
      <c r="M225" t="n">
        <v>0</v>
      </c>
      <c r="N225" t="n">
        <v>0</v>
      </c>
      <c r="O225" t="n">
        <v>0</v>
      </c>
      <c r="P225" t="n">
        <v>0</v>
      </c>
      <c r="Q225" t="n">
        <v>0</v>
      </c>
      <c r="R225" s="2" t="inlineStr"/>
    </row>
    <row r="226" ht="15" customHeight="1">
      <c r="A226" t="inlineStr">
        <is>
          <t>A 17986-2019</t>
        </is>
      </c>
      <c r="B226" s="1" t="n">
        <v>43557</v>
      </c>
      <c r="C226" s="1" t="n">
        <v>45714</v>
      </c>
      <c r="D226" t="inlineStr">
        <is>
          <t>JÄMTLANDS LÄN</t>
        </is>
      </c>
      <c r="E226" t="inlineStr">
        <is>
          <t>HÄRJEDALEN</t>
        </is>
      </c>
      <c r="F226" t="inlineStr">
        <is>
          <t>Kyrkan</t>
        </is>
      </c>
      <c r="G226" t="n">
        <v>17.5</v>
      </c>
      <c r="H226" t="n">
        <v>0</v>
      </c>
      <c r="I226" t="n">
        <v>0</v>
      </c>
      <c r="J226" t="n">
        <v>0</v>
      </c>
      <c r="K226" t="n">
        <v>0</v>
      </c>
      <c r="L226" t="n">
        <v>0</v>
      </c>
      <c r="M226" t="n">
        <v>0</v>
      </c>
      <c r="N226" t="n">
        <v>0</v>
      </c>
      <c r="O226" t="n">
        <v>0</v>
      </c>
      <c r="P226" t="n">
        <v>0</v>
      </c>
      <c r="Q226" t="n">
        <v>0</v>
      </c>
      <c r="R226" s="2" t="inlineStr"/>
    </row>
    <row r="227" ht="15" customHeight="1">
      <c r="A227" t="inlineStr">
        <is>
          <t>A 17917-2019</t>
        </is>
      </c>
      <c r="B227" s="1" t="n">
        <v>43557</v>
      </c>
      <c r="C227" s="1" t="n">
        <v>45714</v>
      </c>
      <c r="D227" t="inlineStr">
        <is>
          <t>JÄMTLANDS LÄN</t>
        </is>
      </c>
      <c r="E227" t="inlineStr">
        <is>
          <t>HÄRJEDALEN</t>
        </is>
      </c>
      <c r="F227" t="inlineStr">
        <is>
          <t>Bergvik skog väst AB</t>
        </is>
      </c>
      <c r="G227" t="n">
        <v>166.3</v>
      </c>
      <c r="H227" t="n">
        <v>0</v>
      </c>
      <c r="I227" t="n">
        <v>0</v>
      </c>
      <c r="J227" t="n">
        <v>0</v>
      </c>
      <c r="K227" t="n">
        <v>0</v>
      </c>
      <c r="L227" t="n">
        <v>0</v>
      </c>
      <c r="M227" t="n">
        <v>0</v>
      </c>
      <c r="N227" t="n">
        <v>0</v>
      </c>
      <c r="O227" t="n">
        <v>0</v>
      </c>
      <c r="P227" t="n">
        <v>0</v>
      </c>
      <c r="Q227" t="n">
        <v>0</v>
      </c>
      <c r="R227" s="2" t="inlineStr"/>
    </row>
    <row r="228" ht="15" customHeight="1">
      <c r="A228" t="inlineStr">
        <is>
          <t>A 18539-2019</t>
        </is>
      </c>
      <c r="B228" s="1" t="n">
        <v>43559</v>
      </c>
      <c r="C228" s="1" t="n">
        <v>45714</v>
      </c>
      <c r="D228" t="inlineStr">
        <is>
          <t>JÄMTLANDS LÄN</t>
        </is>
      </c>
      <c r="E228" t="inlineStr">
        <is>
          <t>HÄRJEDALEN</t>
        </is>
      </c>
      <c r="G228" t="n">
        <v>1.7</v>
      </c>
      <c r="H228" t="n">
        <v>0</v>
      </c>
      <c r="I228" t="n">
        <v>0</v>
      </c>
      <c r="J228" t="n">
        <v>0</v>
      </c>
      <c r="K228" t="n">
        <v>0</v>
      </c>
      <c r="L228" t="n">
        <v>0</v>
      </c>
      <c r="M228" t="n">
        <v>0</v>
      </c>
      <c r="N228" t="n">
        <v>0</v>
      </c>
      <c r="O228" t="n">
        <v>0</v>
      </c>
      <c r="P228" t="n">
        <v>0</v>
      </c>
      <c r="Q228" t="n">
        <v>0</v>
      </c>
      <c r="R228" s="2" t="inlineStr"/>
    </row>
    <row r="229" ht="15" customHeight="1">
      <c r="A229" t="inlineStr">
        <is>
          <t>A 18648-2019</t>
        </is>
      </c>
      <c r="B229" s="1" t="n">
        <v>43560</v>
      </c>
      <c r="C229" s="1" t="n">
        <v>45714</v>
      </c>
      <c r="D229" t="inlineStr">
        <is>
          <t>JÄMTLANDS LÄN</t>
        </is>
      </c>
      <c r="E229" t="inlineStr">
        <is>
          <t>HÄRJEDALEN</t>
        </is>
      </c>
      <c r="G229" t="n">
        <v>5.5</v>
      </c>
      <c r="H229" t="n">
        <v>0</v>
      </c>
      <c r="I229" t="n">
        <v>0</v>
      </c>
      <c r="J229" t="n">
        <v>0</v>
      </c>
      <c r="K229" t="n">
        <v>0</v>
      </c>
      <c r="L229" t="n">
        <v>0</v>
      </c>
      <c r="M229" t="n">
        <v>0</v>
      </c>
      <c r="N229" t="n">
        <v>0</v>
      </c>
      <c r="O229" t="n">
        <v>0</v>
      </c>
      <c r="P229" t="n">
        <v>0</v>
      </c>
      <c r="Q229" t="n">
        <v>0</v>
      </c>
      <c r="R229" s="2" t="inlineStr"/>
    </row>
    <row r="230" ht="15" customHeight="1">
      <c r="A230" t="inlineStr">
        <is>
          <t>A 19114-2019</t>
        </is>
      </c>
      <c r="B230" s="1" t="n">
        <v>43563</v>
      </c>
      <c r="C230" s="1" t="n">
        <v>45714</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20063-2019</t>
        </is>
      </c>
      <c r="B231" s="1" t="n">
        <v>43567</v>
      </c>
      <c r="C231" s="1" t="n">
        <v>45714</v>
      </c>
      <c r="D231" t="inlineStr">
        <is>
          <t>JÄMTLANDS LÄN</t>
        </is>
      </c>
      <c r="E231" t="inlineStr">
        <is>
          <t>HÄRJEDALEN</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19864-2019</t>
        </is>
      </c>
      <c r="B232" s="1" t="n">
        <v>43567</v>
      </c>
      <c r="C232" s="1" t="n">
        <v>45714</v>
      </c>
      <c r="D232" t="inlineStr">
        <is>
          <t>JÄMTLANDS LÄN</t>
        </is>
      </c>
      <c r="E232" t="inlineStr">
        <is>
          <t>HÄRJEDALEN</t>
        </is>
      </c>
      <c r="G232" t="n">
        <v>2.6</v>
      </c>
      <c r="H232" t="n">
        <v>0</v>
      </c>
      <c r="I232" t="n">
        <v>0</v>
      </c>
      <c r="J232" t="n">
        <v>0</v>
      </c>
      <c r="K232" t="n">
        <v>0</v>
      </c>
      <c r="L232" t="n">
        <v>0</v>
      </c>
      <c r="M232" t="n">
        <v>0</v>
      </c>
      <c r="N232" t="n">
        <v>0</v>
      </c>
      <c r="O232" t="n">
        <v>0</v>
      </c>
      <c r="P232" t="n">
        <v>0</v>
      </c>
      <c r="Q232" t="n">
        <v>0</v>
      </c>
      <c r="R232" s="2" t="inlineStr"/>
    </row>
    <row r="233" ht="15" customHeight="1">
      <c r="A233" t="inlineStr">
        <is>
          <t>A 20403-2019</t>
        </is>
      </c>
      <c r="B233" s="1" t="n">
        <v>43571</v>
      </c>
      <c r="C233" s="1" t="n">
        <v>45714</v>
      </c>
      <c r="D233" t="inlineStr">
        <is>
          <t>JÄMTLANDS LÄN</t>
        </is>
      </c>
      <c r="E233" t="inlineStr">
        <is>
          <t>HÄRJEDALEN</t>
        </is>
      </c>
      <c r="F233" t="inlineStr">
        <is>
          <t>Bergvik skog väst AB</t>
        </is>
      </c>
      <c r="G233" t="n">
        <v>7.8</v>
      </c>
      <c r="H233" t="n">
        <v>0</v>
      </c>
      <c r="I233" t="n">
        <v>0</v>
      </c>
      <c r="J233" t="n">
        <v>0</v>
      </c>
      <c r="K233" t="n">
        <v>0</v>
      </c>
      <c r="L233" t="n">
        <v>0</v>
      </c>
      <c r="M233" t="n">
        <v>0</v>
      </c>
      <c r="N233" t="n">
        <v>0</v>
      </c>
      <c r="O233" t="n">
        <v>0</v>
      </c>
      <c r="P233" t="n">
        <v>0</v>
      </c>
      <c r="Q233" t="n">
        <v>0</v>
      </c>
      <c r="R233" s="2" t="inlineStr"/>
    </row>
    <row r="234" ht="15" customHeight="1">
      <c r="A234" t="inlineStr">
        <is>
          <t>A 20373-2019</t>
        </is>
      </c>
      <c r="B234" s="1" t="n">
        <v>43571</v>
      </c>
      <c r="C234" s="1" t="n">
        <v>45714</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20851-2019</t>
        </is>
      </c>
      <c r="B235" s="1" t="n">
        <v>43577</v>
      </c>
      <c r="C235" s="1" t="n">
        <v>45714</v>
      </c>
      <c r="D235" t="inlineStr">
        <is>
          <t>JÄMTLANDS LÄN</t>
        </is>
      </c>
      <c r="E235" t="inlineStr">
        <is>
          <t>HÄRJEDALEN</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21040-2019</t>
        </is>
      </c>
      <c r="B236" s="1" t="n">
        <v>43578</v>
      </c>
      <c r="C236" s="1" t="n">
        <v>45714</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21189-2019</t>
        </is>
      </c>
      <c r="B237" s="1" t="n">
        <v>43579</v>
      </c>
      <c r="C237" s="1" t="n">
        <v>45714</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22622-2019</t>
        </is>
      </c>
      <c r="B238" s="1" t="n">
        <v>43588</v>
      </c>
      <c r="C238" s="1" t="n">
        <v>45714</v>
      </c>
      <c r="D238" t="inlineStr">
        <is>
          <t>JÄMTLANDS LÄN</t>
        </is>
      </c>
      <c r="E238" t="inlineStr">
        <is>
          <t>HÄRJEDALEN</t>
        </is>
      </c>
      <c r="G238" t="n">
        <v>1.5</v>
      </c>
      <c r="H238" t="n">
        <v>0</v>
      </c>
      <c r="I238" t="n">
        <v>0</v>
      </c>
      <c r="J238" t="n">
        <v>0</v>
      </c>
      <c r="K238" t="n">
        <v>0</v>
      </c>
      <c r="L238" t="n">
        <v>0</v>
      </c>
      <c r="M238" t="n">
        <v>0</v>
      </c>
      <c r="N238" t="n">
        <v>0</v>
      </c>
      <c r="O238" t="n">
        <v>0</v>
      </c>
      <c r="P238" t="n">
        <v>0</v>
      </c>
      <c r="Q238" t="n">
        <v>0</v>
      </c>
      <c r="R238" s="2" t="inlineStr"/>
    </row>
    <row r="239" ht="15" customHeight="1">
      <c r="A239" t="inlineStr">
        <is>
          <t>A 24030-2019</t>
        </is>
      </c>
      <c r="B239" s="1" t="n">
        <v>43598</v>
      </c>
      <c r="C239" s="1" t="n">
        <v>45714</v>
      </c>
      <c r="D239" t="inlineStr">
        <is>
          <t>JÄMTLANDS LÄN</t>
        </is>
      </c>
      <c r="E239" t="inlineStr">
        <is>
          <t>HÄRJEDALEN</t>
        </is>
      </c>
      <c r="F239" t="inlineStr">
        <is>
          <t>Sveaskog</t>
        </is>
      </c>
      <c r="G239" t="n">
        <v>39.9</v>
      </c>
      <c r="H239" t="n">
        <v>0</v>
      </c>
      <c r="I239" t="n">
        <v>0</v>
      </c>
      <c r="J239" t="n">
        <v>0</v>
      </c>
      <c r="K239" t="n">
        <v>0</v>
      </c>
      <c r="L239" t="n">
        <v>0</v>
      </c>
      <c r="M239" t="n">
        <v>0</v>
      </c>
      <c r="N239" t="n">
        <v>0</v>
      </c>
      <c r="O239" t="n">
        <v>0</v>
      </c>
      <c r="P239" t="n">
        <v>0</v>
      </c>
      <c r="Q239" t="n">
        <v>0</v>
      </c>
      <c r="R239" s="2" t="inlineStr"/>
    </row>
    <row r="240" ht="15" customHeight="1">
      <c r="A240" t="inlineStr">
        <is>
          <t>A 24760-2019</t>
        </is>
      </c>
      <c r="B240" s="1" t="n">
        <v>43601</v>
      </c>
      <c r="C240" s="1" t="n">
        <v>45714</v>
      </c>
      <c r="D240" t="inlineStr">
        <is>
          <t>JÄMTLANDS LÄN</t>
        </is>
      </c>
      <c r="E240" t="inlineStr">
        <is>
          <t>HÄRJEDALEN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25309-2019</t>
        </is>
      </c>
      <c r="B241" s="1" t="n">
        <v>43605</v>
      </c>
      <c r="C241" s="1" t="n">
        <v>45714</v>
      </c>
      <c r="D241" t="inlineStr">
        <is>
          <t>JÄMTLANDS LÄN</t>
        </is>
      </c>
      <c r="E241" t="inlineStr">
        <is>
          <t>HÄRJEDALEN</t>
        </is>
      </c>
      <c r="G241" t="n">
        <v>0.1</v>
      </c>
      <c r="H241" t="n">
        <v>0</v>
      </c>
      <c r="I241" t="n">
        <v>0</v>
      </c>
      <c r="J241" t="n">
        <v>0</v>
      </c>
      <c r="K241" t="n">
        <v>0</v>
      </c>
      <c r="L241" t="n">
        <v>0</v>
      </c>
      <c r="M241" t="n">
        <v>0</v>
      </c>
      <c r="N241" t="n">
        <v>0</v>
      </c>
      <c r="O241" t="n">
        <v>0</v>
      </c>
      <c r="P241" t="n">
        <v>0</v>
      </c>
      <c r="Q241" t="n">
        <v>0</v>
      </c>
      <c r="R241" s="2" t="inlineStr"/>
    </row>
    <row r="242" ht="15" customHeight="1">
      <c r="A242" t="inlineStr">
        <is>
          <t>A 25470-2019</t>
        </is>
      </c>
      <c r="B242" s="1" t="n">
        <v>43606</v>
      </c>
      <c r="C242" s="1" t="n">
        <v>45714</v>
      </c>
      <c r="D242" t="inlineStr">
        <is>
          <t>JÄMTLANDS LÄN</t>
        </is>
      </c>
      <c r="E242" t="inlineStr">
        <is>
          <t>HÄRJEDALEN</t>
        </is>
      </c>
      <c r="G242" t="n">
        <v>36.8</v>
      </c>
      <c r="H242" t="n">
        <v>0</v>
      </c>
      <c r="I242" t="n">
        <v>0</v>
      </c>
      <c r="J242" t="n">
        <v>0</v>
      </c>
      <c r="K242" t="n">
        <v>0</v>
      </c>
      <c r="L242" t="n">
        <v>0</v>
      </c>
      <c r="M242" t="n">
        <v>0</v>
      </c>
      <c r="N242" t="n">
        <v>0</v>
      </c>
      <c r="O242" t="n">
        <v>0</v>
      </c>
      <c r="P242" t="n">
        <v>0</v>
      </c>
      <c r="Q242" t="n">
        <v>0</v>
      </c>
      <c r="R242" s="2" t="inlineStr"/>
    </row>
    <row r="243" ht="15" customHeight="1">
      <c r="A243" t="inlineStr">
        <is>
          <t>A 26166-2019</t>
        </is>
      </c>
      <c r="B243" s="1" t="n">
        <v>43609</v>
      </c>
      <c r="C243" s="1" t="n">
        <v>45714</v>
      </c>
      <c r="D243" t="inlineStr">
        <is>
          <t>JÄMTLANDS LÄN</t>
        </is>
      </c>
      <c r="E243" t="inlineStr">
        <is>
          <t>HÄRJEDALEN</t>
        </is>
      </c>
      <c r="G243" t="n">
        <v>85.2</v>
      </c>
      <c r="H243" t="n">
        <v>0</v>
      </c>
      <c r="I243" t="n">
        <v>0</v>
      </c>
      <c r="J243" t="n">
        <v>0</v>
      </c>
      <c r="K243" t="n">
        <v>0</v>
      </c>
      <c r="L243" t="n">
        <v>0</v>
      </c>
      <c r="M243" t="n">
        <v>0</v>
      </c>
      <c r="N243" t="n">
        <v>0</v>
      </c>
      <c r="O243" t="n">
        <v>0</v>
      </c>
      <c r="P243" t="n">
        <v>0</v>
      </c>
      <c r="Q243" t="n">
        <v>0</v>
      </c>
      <c r="R243" s="2" t="inlineStr"/>
    </row>
    <row r="244" ht="15" customHeight="1">
      <c r="A244" t="inlineStr">
        <is>
          <t>A 26310-2019</t>
        </is>
      </c>
      <c r="B244" s="1" t="n">
        <v>43612</v>
      </c>
      <c r="C244" s="1" t="n">
        <v>45714</v>
      </c>
      <c r="D244" t="inlineStr">
        <is>
          <t>JÄMTLANDS LÄN</t>
        </is>
      </c>
      <c r="E244" t="inlineStr">
        <is>
          <t>HÄRJEDALEN</t>
        </is>
      </c>
      <c r="F244" t="inlineStr">
        <is>
          <t>Holmen skog AB</t>
        </is>
      </c>
      <c r="G244" t="n">
        <v>15</v>
      </c>
      <c r="H244" t="n">
        <v>0</v>
      </c>
      <c r="I244" t="n">
        <v>0</v>
      </c>
      <c r="J244" t="n">
        <v>0</v>
      </c>
      <c r="K244" t="n">
        <v>0</v>
      </c>
      <c r="L244" t="n">
        <v>0</v>
      </c>
      <c r="M244" t="n">
        <v>0</v>
      </c>
      <c r="N244" t="n">
        <v>0</v>
      </c>
      <c r="O244" t="n">
        <v>0</v>
      </c>
      <c r="P244" t="n">
        <v>0</v>
      </c>
      <c r="Q244" t="n">
        <v>0</v>
      </c>
      <c r="R244" s="2" t="inlineStr"/>
    </row>
    <row r="245" ht="15" customHeight="1">
      <c r="A245" t="inlineStr">
        <is>
          <t>A 26423-2019</t>
        </is>
      </c>
      <c r="B245" s="1" t="n">
        <v>43612</v>
      </c>
      <c r="C245" s="1" t="n">
        <v>45714</v>
      </c>
      <c r="D245" t="inlineStr">
        <is>
          <t>JÄMTLANDS LÄN</t>
        </is>
      </c>
      <c r="E245" t="inlineStr">
        <is>
          <t>HÄRJEDALEN</t>
        </is>
      </c>
      <c r="G245" t="n">
        <v>2.3</v>
      </c>
      <c r="H245" t="n">
        <v>0</v>
      </c>
      <c r="I245" t="n">
        <v>0</v>
      </c>
      <c r="J245" t="n">
        <v>0</v>
      </c>
      <c r="K245" t="n">
        <v>0</v>
      </c>
      <c r="L245" t="n">
        <v>0</v>
      </c>
      <c r="M245" t="n">
        <v>0</v>
      </c>
      <c r="N245" t="n">
        <v>0</v>
      </c>
      <c r="O245" t="n">
        <v>0</v>
      </c>
      <c r="P245" t="n">
        <v>0</v>
      </c>
      <c r="Q245" t="n">
        <v>0</v>
      </c>
      <c r="R245" s="2" t="inlineStr"/>
    </row>
    <row r="246" ht="15" customHeight="1">
      <c r="A246" t="inlineStr">
        <is>
          <t>A 27683-2019</t>
        </is>
      </c>
      <c r="B246" s="1" t="n">
        <v>43619</v>
      </c>
      <c r="C246" s="1" t="n">
        <v>45714</v>
      </c>
      <c r="D246" t="inlineStr">
        <is>
          <t>JÄMTLANDS LÄN</t>
        </is>
      </c>
      <c r="E246" t="inlineStr">
        <is>
          <t>HÄRJEDALEN</t>
        </is>
      </c>
      <c r="G246" t="n">
        <v>5.4</v>
      </c>
      <c r="H246" t="n">
        <v>0</v>
      </c>
      <c r="I246" t="n">
        <v>0</v>
      </c>
      <c r="J246" t="n">
        <v>0</v>
      </c>
      <c r="K246" t="n">
        <v>0</v>
      </c>
      <c r="L246" t="n">
        <v>0</v>
      </c>
      <c r="M246" t="n">
        <v>0</v>
      </c>
      <c r="N246" t="n">
        <v>0</v>
      </c>
      <c r="O246" t="n">
        <v>0</v>
      </c>
      <c r="P246" t="n">
        <v>0</v>
      </c>
      <c r="Q246" t="n">
        <v>0</v>
      </c>
      <c r="R246" s="2" t="inlineStr"/>
    </row>
    <row r="247" ht="15" customHeight="1">
      <c r="A247" t="inlineStr">
        <is>
          <t>A 27903-2019</t>
        </is>
      </c>
      <c r="B247" s="1" t="n">
        <v>43620</v>
      </c>
      <c r="C247" s="1" t="n">
        <v>45714</v>
      </c>
      <c r="D247" t="inlineStr">
        <is>
          <t>JÄMTLANDS LÄN</t>
        </is>
      </c>
      <c r="E247" t="inlineStr">
        <is>
          <t>HÄRJEDALEN</t>
        </is>
      </c>
      <c r="G247" t="n">
        <v>22</v>
      </c>
      <c r="H247" t="n">
        <v>0</v>
      </c>
      <c r="I247" t="n">
        <v>0</v>
      </c>
      <c r="J247" t="n">
        <v>0</v>
      </c>
      <c r="K247" t="n">
        <v>0</v>
      </c>
      <c r="L247" t="n">
        <v>0</v>
      </c>
      <c r="M247" t="n">
        <v>0</v>
      </c>
      <c r="N247" t="n">
        <v>0</v>
      </c>
      <c r="O247" t="n">
        <v>0</v>
      </c>
      <c r="P247" t="n">
        <v>0</v>
      </c>
      <c r="Q247" t="n">
        <v>0</v>
      </c>
      <c r="R247" s="2" t="inlineStr"/>
    </row>
    <row r="248" ht="15" customHeight="1">
      <c r="A248" t="inlineStr">
        <is>
          <t>A 28312-2019</t>
        </is>
      </c>
      <c r="B248" s="1" t="n">
        <v>43623</v>
      </c>
      <c r="C248" s="1" t="n">
        <v>45714</v>
      </c>
      <c r="D248" t="inlineStr">
        <is>
          <t>JÄMTLANDS LÄN</t>
        </is>
      </c>
      <c r="E248" t="inlineStr">
        <is>
          <t>HÄRJEDALEN</t>
        </is>
      </c>
      <c r="G248" t="n">
        <v>6.5</v>
      </c>
      <c r="H248" t="n">
        <v>0</v>
      </c>
      <c r="I248" t="n">
        <v>0</v>
      </c>
      <c r="J248" t="n">
        <v>0</v>
      </c>
      <c r="K248" t="n">
        <v>0</v>
      </c>
      <c r="L248" t="n">
        <v>0</v>
      </c>
      <c r="M248" t="n">
        <v>0</v>
      </c>
      <c r="N248" t="n">
        <v>0</v>
      </c>
      <c r="O248" t="n">
        <v>0</v>
      </c>
      <c r="P248" t="n">
        <v>0</v>
      </c>
      <c r="Q248" t="n">
        <v>0</v>
      </c>
      <c r="R248" s="2" t="inlineStr"/>
    </row>
    <row r="249" ht="15" customHeight="1">
      <c r="A249" t="inlineStr">
        <is>
          <t>A 28326-2019</t>
        </is>
      </c>
      <c r="B249" s="1" t="n">
        <v>43623</v>
      </c>
      <c r="C249" s="1" t="n">
        <v>45714</v>
      </c>
      <c r="D249" t="inlineStr">
        <is>
          <t>JÄMTLANDS LÄN</t>
        </is>
      </c>
      <c r="E249" t="inlineStr">
        <is>
          <t>HÄRJEDALEN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28513-2019</t>
        </is>
      </c>
      <c r="B250" s="1" t="n">
        <v>43626</v>
      </c>
      <c r="C250" s="1" t="n">
        <v>45714</v>
      </c>
      <c r="D250" t="inlineStr">
        <is>
          <t>JÄMTLANDS LÄN</t>
        </is>
      </c>
      <c r="E250" t="inlineStr">
        <is>
          <t>HÄRJEDALEN</t>
        </is>
      </c>
      <c r="G250" t="n">
        <v>0.9</v>
      </c>
      <c r="H250" t="n">
        <v>0</v>
      </c>
      <c r="I250" t="n">
        <v>0</v>
      </c>
      <c r="J250" t="n">
        <v>0</v>
      </c>
      <c r="K250" t="n">
        <v>0</v>
      </c>
      <c r="L250" t="n">
        <v>0</v>
      </c>
      <c r="M250" t="n">
        <v>0</v>
      </c>
      <c r="N250" t="n">
        <v>0</v>
      </c>
      <c r="O250" t="n">
        <v>0</v>
      </c>
      <c r="P250" t="n">
        <v>0</v>
      </c>
      <c r="Q250" t="n">
        <v>0</v>
      </c>
      <c r="R250" s="2" t="inlineStr"/>
    </row>
    <row r="251" ht="15" customHeight="1">
      <c r="A251" t="inlineStr">
        <is>
          <t>A 29263-2019</t>
        </is>
      </c>
      <c r="B251" s="1" t="n">
        <v>43629</v>
      </c>
      <c r="C251" s="1" t="n">
        <v>45714</v>
      </c>
      <c r="D251" t="inlineStr">
        <is>
          <t>JÄMTLANDS LÄN</t>
        </is>
      </c>
      <c r="E251" t="inlineStr">
        <is>
          <t>HÄRJEDALEN</t>
        </is>
      </c>
      <c r="F251" t="inlineStr">
        <is>
          <t>Holmen skog AB</t>
        </is>
      </c>
      <c r="G251" t="n">
        <v>0.7</v>
      </c>
      <c r="H251" t="n">
        <v>0</v>
      </c>
      <c r="I251" t="n">
        <v>0</v>
      </c>
      <c r="J251" t="n">
        <v>0</v>
      </c>
      <c r="K251" t="n">
        <v>0</v>
      </c>
      <c r="L251" t="n">
        <v>0</v>
      </c>
      <c r="M251" t="n">
        <v>0</v>
      </c>
      <c r="N251" t="n">
        <v>0</v>
      </c>
      <c r="O251" t="n">
        <v>0</v>
      </c>
      <c r="P251" t="n">
        <v>0</v>
      </c>
      <c r="Q251" t="n">
        <v>0</v>
      </c>
      <c r="R251" s="2" t="inlineStr"/>
    </row>
    <row r="252" ht="15" customHeight="1">
      <c r="A252" t="inlineStr">
        <is>
          <t>A 29822-2019</t>
        </is>
      </c>
      <c r="B252" s="1" t="n">
        <v>43633</v>
      </c>
      <c r="C252" s="1" t="n">
        <v>45714</v>
      </c>
      <c r="D252" t="inlineStr">
        <is>
          <t>JÄMTLANDS LÄN</t>
        </is>
      </c>
      <c r="E252" t="inlineStr">
        <is>
          <t>HÄRJEDALEN</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34618-2019</t>
        </is>
      </c>
      <c r="B253" s="1" t="n">
        <v>43647</v>
      </c>
      <c r="C253" s="1" t="n">
        <v>45714</v>
      </c>
      <c r="D253" t="inlineStr">
        <is>
          <t>JÄMTLANDS LÄN</t>
        </is>
      </c>
      <c r="E253" t="inlineStr">
        <is>
          <t>HÄRJEDALEN</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32878-2019</t>
        </is>
      </c>
      <c r="B254" s="1" t="n">
        <v>43648</v>
      </c>
      <c r="C254" s="1" t="n">
        <v>45714</v>
      </c>
      <c r="D254" t="inlineStr">
        <is>
          <t>JÄMTLANDS LÄN</t>
        </is>
      </c>
      <c r="E254" t="inlineStr">
        <is>
          <t>HÄRJEDALEN</t>
        </is>
      </c>
      <c r="F254" t="inlineStr">
        <is>
          <t>Övriga Aktiebolag</t>
        </is>
      </c>
      <c r="G254" t="n">
        <v>91.8</v>
      </c>
      <c r="H254" t="n">
        <v>0</v>
      </c>
      <c r="I254" t="n">
        <v>0</v>
      </c>
      <c r="J254" t="n">
        <v>0</v>
      </c>
      <c r="K254" t="n">
        <v>0</v>
      </c>
      <c r="L254" t="n">
        <v>0</v>
      </c>
      <c r="M254" t="n">
        <v>0</v>
      </c>
      <c r="N254" t="n">
        <v>0</v>
      </c>
      <c r="O254" t="n">
        <v>0</v>
      </c>
      <c r="P254" t="n">
        <v>0</v>
      </c>
      <c r="Q254" t="n">
        <v>0</v>
      </c>
      <c r="R254" s="2" t="inlineStr"/>
    </row>
    <row r="255" ht="15" customHeight="1">
      <c r="A255" t="inlineStr">
        <is>
          <t>A 33496-2019</t>
        </is>
      </c>
      <c r="B255" s="1" t="n">
        <v>43651</v>
      </c>
      <c r="C255" s="1" t="n">
        <v>45714</v>
      </c>
      <c r="D255" t="inlineStr">
        <is>
          <t>JÄMTLANDS LÄN</t>
        </is>
      </c>
      <c r="E255" t="inlineStr">
        <is>
          <t>HÄRJEDALEN</t>
        </is>
      </c>
      <c r="G255" t="n">
        <v>3.6</v>
      </c>
      <c r="H255" t="n">
        <v>0</v>
      </c>
      <c r="I255" t="n">
        <v>0</v>
      </c>
      <c r="J255" t="n">
        <v>0</v>
      </c>
      <c r="K255" t="n">
        <v>0</v>
      </c>
      <c r="L255" t="n">
        <v>0</v>
      </c>
      <c r="M255" t="n">
        <v>0</v>
      </c>
      <c r="N255" t="n">
        <v>0</v>
      </c>
      <c r="O255" t="n">
        <v>0</v>
      </c>
      <c r="P255" t="n">
        <v>0</v>
      </c>
      <c r="Q255" t="n">
        <v>0</v>
      </c>
      <c r="R255" s="2" t="inlineStr"/>
    </row>
    <row r="256" ht="15" customHeight="1">
      <c r="A256" t="inlineStr">
        <is>
          <t>A 33497-2019</t>
        </is>
      </c>
      <c r="B256" s="1" t="n">
        <v>43651</v>
      </c>
      <c r="C256" s="1" t="n">
        <v>45714</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34688-2019</t>
        </is>
      </c>
      <c r="B257" s="1" t="n">
        <v>43657</v>
      </c>
      <c r="C257" s="1" t="n">
        <v>45714</v>
      </c>
      <c r="D257" t="inlineStr">
        <is>
          <t>JÄMTLANDS LÄN</t>
        </is>
      </c>
      <c r="E257" t="inlineStr">
        <is>
          <t>HÄRJEDALEN</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34805-2019</t>
        </is>
      </c>
      <c r="B258" s="1" t="n">
        <v>43658</v>
      </c>
      <c r="C258" s="1" t="n">
        <v>45714</v>
      </c>
      <c r="D258" t="inlineStr">
        <is>
          <t>JÄMTLANDS LÄN</t>
        </is>
      </c>
      <c r="E258" t="inlineStr">
        <is>
          <t>HÄRJEDALEN</t>
        </is>
      </c>
      <c r="F258" t="inlineStr">
        <is>
          <t>Sveaskog</t>
        </is>
      </c>
      <c r="G258" t="n">
        <v>0.2</v>
      </c>
      <c r="H258" t="n">
        <v>0</v>
      </c>
      <c r="I258" t="n">
        <v>0</v>
      </c>
      <c r="J258" t="n">
        <v>0</v>
      </c>
      <c r="K258" t="n">
        <v>0</v>
      </c>
      <c r="L258" t="n">
        <v>0</v>
      </c>
      <c r="M258" t="n">
        <v>0</v>
      </c>
      <c r="N258" t="n">
        <v>0</v>
      </c>
      <c r="O258" t="n">
        <v>0</v>
      </c>
      <c r="P258" t="n">
        <v>0</v>
      </c>
      <c r="Q258" t="n">
        <v>0</v>
      </c>
      <c r="R258" s="2" t="inlineStr"/>
    </row>
    <row r="259" ht="15" customHeight="1">
      <c r="A259" t="inlineStr">
        <is>
          <t>A 35160-2019</t>
        </is>
      </c>
      <c r="B259" s="1" t="n">
        <v>43661</v>
      </c>
      <c r="C259" s="1" t="n">
        <v>45714</v>
      </c>
      <c r="D259" t="inlineStr">
        <is>
          <t>JÄMTLANDS LÄN</t>
        </is>
      </c>
      <c r="E259" t="inlineStr">
        <is>
          <t>HÄRJEDALEN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36343-2019</t>
        </is>
      </c>
      <c r="B260" s="1" t="n">
        <v>43662</v>
      </c>
      <c r="C260" s="1" t="n">
        <v>45714</v>
      </c>
      <c r="D260" t="inlineStr">
        <is>
          <t>JÄMTLANDS LÄN</t>
        </is>
      </c>
      <c r="E260" t="inlineStr">
        <is>
          <t>HÄRJEDALEN</t>
        </is>
      </c>
      <c r="G260" t="n">
        <v>8</v>
      </c>
      <c r="H260" t="n">
        <v>0</v>
      </c>
      <c r="I260" t="n">
        <v>0</v>
      </c>
      <c r="J260" t="n">
        <v>0</v>
      </c>
      <c r="K260" t="n">
        <v>0</v>
      </c>
      <c r="L260" t="n">
        <v>0</v>
      </c>
      <c r="M260" t="n">
        <v>0</v>
      </c>
      <c r="N260" t="n">
        <v>0</v>
      </c>
      <c r="O260" t="n">
        <v>0</v>
      </c>
      <c r="P260" t="n">
        <v>0</v>
      </c>
      <c r="Q260" t="n">
        <v>0</v>
      </c>
      <c r="R260" s="2" t="inlineStr"/>
    </row>
    <row r="261" ht="15" customHeight="1">
      <c r="A261" t="inlineStr">
        <is>
          <t>A 38283-2019</t>
        </is>
      </c>
      <c r="B261" s="1" t="n">
        <v>43684</v>
      </c>
      <c r="C261" s="1" t="n">
        <v>45714</v>
      </c>
      <c r="D261" t="inlineStr">
        <is>
          <t>JÄMTLANDS LÄN</t>
        </is>
      </c>
      <c r="E261" t="inlineStr">
        <is>
          <t>HÄRJEDALEN</t>
        </is>
      </c>
      <c r="F261" t="inlineStr">
        <is>
          <t>Bergvik skog väst AB</t>
        </is>
      </c>
      <c r="G261" t="n">
        <v>29.5</v>
      </c>
      <c r="H261" t="n">
        <v>0</v>
      </c>
      <c r="I261" t="n">
        <v>0</v>
      </c>
      <c r="J261" t="n">
        <v>0</v>
      </c>
      <c r="K261" t="n">
        <v>0</v>
      </c>
      <c r="L261" t="n">
        <v>0</v>
      </c>
      <c r="M261" t="n">
        <v>0</v>
      </c>
      <c r="N261" t="n">
        <v>0</v>
      </c>
      <c r="O261" t="n">
        <v>0</v>
      </c>
      <c r="P261" t="n">
        <v>0</v>
      </c>
      <c r="Q261" t="n">
        <v>0</v>
      </c>
      <c r="R261" s="2" t="inlineStr"/>
    </row>
    <row r="262" ht="15" customHeight="1">
      <c r="A262" t="inlineStr">
        <is>
          <t>A 38859-2019</t>
        </is>
      </c>
      <c r="B262" s="1" t="n">
        <v>43689</v>
      </c>
      <c r="C262" s="1" t="n">
        <v>45714</v>
      </c>
      <c r="D262" t="inlineStr">
        <is>
          <t>JÄMTLANDS LÄN</t>
        </is>
      </c>
      <c r="E262" t="inlineStr">
        <is>
          <t>HÄRJEDALEN</t>
        </is>
      </c>
      <c r="G262" t="n">
        <v>0.9</v>
      </c>
      <c r="H262" t="n">
        <v>0</v>
      </c>
      <c r="I262" t="n">
        <v>0</v>
      </c>
      <c r="J262" t="n">
        <v>0</v>
      </c>
      <c r="K262" t="n">
        <v>0</v>
      </c>
      <c r="L262" t="n">
        <v>0</v>
      </c>
      <c r="M262" t="n">
        <v>0</v>
      </c>
      <c r="N262" t="n">
        <v>0</v>
      </c>
      <c r="O262" t="n">
        <v>0</v>
      </c>
      <c r="P262" t="n">
        <v>0</v>
      </c>
      <c r="Q262" t="n">
        <v>0</v>
      </c>
      <c r="R262" s="2" t="inlineStr"/>
    </row>
    <row r="263" ht="15" customHeight="1">
      <c r="A263" t="inlineStr">
        <is>
          <t>A 38884-2019</t>
        </is>
      </c>
      <c r="B263" s="1" t="n">
        <v>43689</v>
      </c>
      <c r="C263" s="1" t="n">
        <v>45714</v>
      </c>
      <c r="D263" t="inlineStr">
        <is>
          <t>JÄMTLANDS LÄN</t>
        </is>
      </c>
      <c r="E263" t="inlineStr">
        <is>
          <t>HÄRJEDALEN</t>
        </is>
      </c>
      <c r="G263" t="n">
        <v>2.5</v>
      </c>
      <c r="H263" t="n">
        <v>0</v>
      </c>
      <c r="I263" t="n">
        <v>0</v>
      </c>
      <c r="J263" t="n">
        <v>0</v>
      </c>
      <c r="K263" t="n">
        <v>0</v>
      </c>
      <c r="L263" t="n">
        <v>0</v>
      </c>
      <c r="M263" t="n">
        <v>0</v>
      </c>
      <c r="N263" t="n">
        <v>0</v>
      </c>
      <c r="O263" t="n">
        <v>0</v>
      </c>
      <c r="P263" t="n">
        <v>0</v>
      </c>
      <c r="Q263" t="n">
        <v>0</v>
      </c>
      <c r="R263" s="2" t="inlineStr"/>
    </row>
    <row r="264" ht="15" customHeight="1">
      <c r="A264" t="inlineStr">
        <is>
          <t>A 40244-2019</t>
        </is>
      </c>
      <c r="B264" s="1" t="n">
        <v>43694</v>
      </c>
      <c r="C264" s="1" t="n">
        <v>45714</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42123-2019</t>
        </is>
      </c>
      <c r="B265" s="1" t="n">
        <v>43703</v>
      </c>
      <c r="C265" s="1" t="n">
        <v>45714</v>
      </c>
      <c r="D265" t="inlineStr">
        <is>
          <t>JÄMTLANDS LÄN</t>
        </is>
      </c>
      <c r="E265" t="inlineStr">
        <is>
          <t>HÄRJEDALEN</t>
        </is>
      </c>
      <c r="G265" t="n">
        <v>1.8</v>
      </c>
      <c r="H265" t="n">
        <v>0</v>
      </c>
      <c r="I265" t="n">
        <v>0</v>
      </c>
      <c r="J265" t="n">
        <v>0</v>
      </c>
      <c r="K265" t="n">
        <v>0</v>
      </c>
      <c r="L265" t="n">
        <v>0</v>
      </c>
      <c r="M265" t="n">
        <v>0</v>
      </c>
      <c r="N265" t="n">
        <v>0</v>
      </c>
      <c r="O265" t="n">
        <v>0</v>
      </c>
      <c r="P265" t="n">
        <v>0</v>
      </c>
      <c r="Q265" t="n">
        <v>0</v>
      </c>
      <c r="R265" s="2" t="inlineStr"/>
    </row>
    <row r="266" ht="15" customHeight="1">
      <c r="A266" t="inlineStr">
        <is>
          <t>A 43103-2019</t>
        </is>
      </c>
      <c r="B266" s="1" t="n">
        <v>43705</v>
      </c>
      <c r="C266" s="1" t="n">
        <v>45714</v>
      </c>
      <c r="D266" t="inlineStr">
        <is>
          <t>JÄMTLANDS LÄN</t>
        </is>
      </c>
      <c r="E266" t="inlineStr">
        <is>
          <t>HÄRJEDALEN</t>
        </is>
      </c>
      <c r="G266" t="n">
        <v>38.6</v>
      </c>
      <c r="H266" t="n">
        <v>0</v>
      </c>
      <c r="I266" t="n">
        <v>0</v>
      </c>
      <c r="J266" t="n">
        <v>0</v>
      </c>
      <c r="K266" t="n">
        <v>0</v>
      </c>
      <c r="L266" t="n">
        <v>0</v>
      </c>
      <c r="M266" t="n">
        <v>0</v>
      </c>
      <c r="N266" t="n">
        <v>0</v>
      </c>
      <c r="O266" t="n">
        <v>0</v>
      </c>
      <c r="P266" t="n">
        <v>0</v>
      </c>
      <c r="Q266" t="n">
        <v>0</v>
      </c>
      <c r="R266" s="2" t="inlineStr"/>
    </row>
    <row r="267" ht="15" customHeight="1">
      <c r="A267" t="inlineStr">
        <is>
          <t>A 43142-2019</t>
        </is>
      </c>
      <c r="B267" s="1" t="n">
        <v>43705</v>
      </c>
      <c r="C267" s="1" t="n">
        <v>45714</v>
      </c>
      <c r="D267" t="inlineStr">
        <is>
          <t>JÄMTLANDS LÄN</t>
        </is>
      </c>
      <c r="E267" t="inlineStr">
        <is>
          <t>HÄRJEDALEN</t>
        </is>
      </c>
      <c r="G267" t="n">
        <v>3.2</v>
      </c>
      <c r="H267" t="n">
        <v>0</v>
      </c>
      <c r="I267" t="n">
        <v>0</v>
      </c>
      <c r="J267" t="n">
        <v>0</v>
      </c>
      <c r="K267" t="n">
        <v>0</v>
      </c>
      <c r="L267" t="n">
        <v>0</v>
      </c>
      <c r="M267" t="n">
        <v>0</v>
      </c>
      <c r="N267" t="n">
        <v>0</v>
      </c>
      <c r="O267" t="n">
        <v>0</v>
      </c>
      <c r="P267" t="n">
        <v>0</v>
      </c>
      <c r="Q267" t="n">
        <v>0</v>
      </c>
      <c r="R267" s="2" t="inlineStr"/>
    </row>
    <row r="268" ht="15" customHeight="1">
      <c r="A268" t="inlineStr">
        <is>
          <t>A 43649-2019</t>
        </is>
      </c>
      <c r="B268" s="1" t="n">
        <v>43707</v>
      </c>
      <c r="C268" s="1" t="n">
        <v>45714</v>
      </c>
      <c r="D268" t="inlineStr">
        <is>
          <t>JÄMTLANDS LÄN</t>
        </is>
      </c>
      <c r="E268" t="inlineStr">
        <is>
          <t>HÄRJEDALEN</t>
        </is>
      </c>
      <c r="F268" t="inlineStr">
        <is>
          <t>Sveaskog</t>
        </is>
      </c>
      <c r="G268" t="n">
        <v>6.7</v>
      </c>
      <c r="H268" t="n">
        <v>0</v>
      </c>
      <c r="I268" t="n">
        <v>0</v>
      </c>
      <c r="J268" t="n">
        <v>0</v>
      </c>
      <c r="K268" t="n">
        <v>0</v>
      </c>
      <c r="L268" t="n">
        <v>0</v>
      </c>
      <c r="M268" t="n">
        <v>0</v>
      </c>
      <c r="N268" t="n">
        <v>0</v>
      </c>
      <c r="O268" t="n">
        <v>0</v>
      </c>
      <c r="P268" t="n">
        <v>0</v>
      </c>
      <c r="Q268" t="n">
        <v>0</v>
      </c>
      <c r="R268" s="2" t="inlineStr"/>
    </row>
    <row r="269" ht="15" customHeight="1">
      <c r="A269" t="inlineStr">
        <is>
          <t>A 43896-2019</t>
        </is>
      </c>
      <c r="B269" s="1" t="n">
        <v>43707</v>
      </c>
      <c r="C269" s="1" t="n">
        <v>45714</v>
      </c>
      <c r="D269" t="inlineStr">
        <is>
          <t>JÄMTLANDS LÄN</t>
        </is>
      </c>
      <c r="E269" t="inlineStr">
        <is>
          <t>HÄRJEDALEN</t>
        </is>
      </c>
      <c r="F269" t="inlineStr">
        <is>
          <t>Sveaskog</t>
        </is>
      </c>
      <c r="G269" t="n">
        <v>4.2</v>
      </c>
      <c r="H269" t="n">
        <v>0</v>
      </c>
      <c r="I269" t="n">
        <v>0</v>
      </c>
      <c r="J269" t="n">
        <v>0</v>
      </c>
      <c r="K269" t="n">
        <v>0</v>
      </c>
      <c r="L269" t="n">
        <v>0</v>
      </c>
      <c r="M269" t="n">
        <v>0</v>
      </c>
      <c r="N269" t="n">
        <v>0</v>
      </c>
      <c r="O269" t="n">
        <v>0</v>
      </c>
      <c r="P269" t="n">
        <v>0</v>
      </c>
      <c r="Q269" t="n">
        <v>0</v>
      </c>
      <c r="R269" s="2" t="inlineStr"/>
    </row>
    <row r="270" ht="15" customHeight="1">
      <c r="A270" t="inlineStr">
        <is>
          <t>A 45167-2019</t>
        </is>
      </c>
      <c r="B270" s="1" t="n">
        <v>43713</v>
      </c>
      <c r="C270" s="1" t="n">
        <v>45714</v>
      </c>
      <c r="D270" t="inlineStr">
        <is>
          <t>JÄMTLANDS LÄN</t>
        </is>
      </c>
      <c r="E270" t="inlineStr">
        <is>
          <t>HÄRJEDALEN</t>
        </is>
      </c>
      <c r="F270" t="inlineStr">
        <is>
          <t>Holmen skog AB</t>
        </is>
      </c>
      <c r="G270" t="n">
        <v>15.9</v>
      </c>
      <c r="H270" t="n">
        <v>0</v>
      </c>
      <c r="I270" t="n">
        <v>0</v>
      </c>
      <c r="J270" t="n">
        <v>0</v>
      </c>
      <c r="K270" t="n">
        <v>0</v>
      </c>
      <c r="L270" t="n">
        <v>0</v>
      </c>
      <c r="M270" t="n">
        <v>0</v>
      </c>
      <c r="N270" t="n">
        <v>0</v>
      </c>
      <c r="O270" t="n">
        <v>0</v>
      </c>
      <c r="P270" t="n">
        <v>0</v>
      </c>
      <c r="Q270" t="n">
        <v>0</v>
      </c>
      <c r="R270" s="2" t="inlineStr"/>
    </row>
    <row r="271" ht="15" customHeight="1">
      <c r="A271" t="inlineStr">
        <is>
          <t>A 44939-2019</t>
        </is>
      </c>
      <c r="B271" s="1" t="n">
        <v>43713</v>
      </c>
      <c r="C271" s="1" t="n">
        <v>45714</v>
      </c>
      <c r="D271" t="inlineStr">
        <is>
          <t>JÄMTLANDS LÄN</t>
        </is>
      </c>
      <c r="E271" t="inlineStr">
        <is>
          <t>HÄRJEDALEN</t>
        </is>
      </c>
      <c r="G271" t="n">
        <v>1.2</v>
      </c>
      <c r="H271" t="n">
        <v>0</v>
      </c>
      <c r="I271" t="n">
        <v>0</v>
      </c>
      <c r="J271" t="n">
        <v>0</v>
      </c>
      <c r="K271" t="n">
        <v>0</v>
      </c>
      <c r="L271" t="n">
        <v>0</v>
      </c>
      <c r="M271" t="n">
        <v>0</v>
      </c>
      <c r="N271" t="n">
        <v>0</v>
      </c>
      <c r="O271" t="n">
        <v>0</v>
      </c>
      <c r="P271" t="n">
        <v>0</v>
      </c>
      <c r="Q271" t="n">
        <v>0</v>
      </c>
      <c r="R271" s="2" t="inlineStr"/>
    </row>
    <row r="272" ht="15" customHeight="1">
      <c r="A272" t="inlineStr">
        <is>
          <t>A 45858-2019</t>
        </is>
      </c>
      <c r="B272" s="1" t="n">
        <v>43717</v>
      </c>
      <c r="C272" s="1" t="n">
        <v>45714</v>
      </c>
      <c r="D272" t="inlineStr">
        <is>
          <t>JÄMTLANDS LÄN</t>
        </is>
      </c>
      <c r="E272" t="inlineStr">
        <is>
          <t>HÄRJEDALEN</t>
        </is>
      </c>
      <c r="F272" t="inlineStr">
        <is>
          <t>Holmen skog AB</t>
        </is>
      </c>
      <c r="G272" t="n">
        <v>3.9</v>
      </c>
      <c r="H272" t="n">
        <v>0</v>
      </c>
      <c r="I272" t="n">
        <v>0</v>
      </c>
      <c r="J272" t="n">
        <v>0</v>
      </c>
      <c r="K272" t="n">
        <v>0</v>
      </c>
      <c r="L272" t="n">
        <v>0</v>
      </c>
      <c r="M272" t="n">
        <v>0</v>
      </c>
      <c r="N272" t="n">
        <v>0</v>
      </c>
      <c r="O272" t="n">
        <v>0</v>
      </c>
      <c r="P272" t="n">
        <v>0</v>
      </c>
      <c r="Q272" t="n">
        <v>0</v>
      </c>
      <c r="R272" s="2" t="inlineStr"/>
    </row>
    <row r="273" ht="15" customHeight="1">
      <c r="A273" t="inlineStr">
        <is>
          <t>A 46156-2019</t>
        </is>
      </c>
      <c r="B273" s="1" t="n">
        <v>43718</v>
      </c>
      <c r="C273" s="1" t="n">
        <v>45714</v>
      </c>
      <c r="D273" t="inlineStr">
        <is>
          <t>JÄMTLANDS LÄN</t>
        </is>
      </c>
      <c r="E273" t="inlineStr">
        <is>
          <t>HÄRJEDALEN</t>
        </is>
      </c>
      <c r="G273" t="n">
        <v>3.9</v>
      </c>
      <c r="H273" t="n">
        <v>0</v>
      </c>
      <c r="I273" t="n">
        <v>0</v>
      </c>
      <c r="J273" t="n">
        <v>0</v>
      </c>
      <c r="K273" t="n">
        <v>0</v>
      </c>
      <c r="L273" t="n">
        <v>0</v>
      </c>
      <c r="M273" t="n">
        <v>0</v>
      </c>
      <c r="N273" t="n">
        <v>0</v>
      </c>
      <c r="O273" t="n">
        <v>0</v>
      </c>
      <c r="P273" t="n">
        <v>0</v>
      </c>
      <c r="Q273" t="n">
        <v>0</v>
      </c>
      <c r="R273" s="2" t="inlineStr"/>
    </row>
    <row r="274" ht="15" customHeight="1">
      <c r="A274" t="inlineStr">
        <is>
          <t>A 46133-2019</t>
        </is>
      </c>
      <c r="B274" s="1" t="n">
        <v>43718</v>
      </c>
      <c r="C274" s="1" t="n">
        <v>45714</v>
      </c>
      <c r="D274" t="inlineStr">
        <is>
          <t>JÄMTLANDS LÄN</t>
        </is>
      </c>
      <c r="E274" t="inlineStr">
        <is>
          <t>HÄRJEDALEN</t>
        </is>
      </c>
      <c r="G274" t="n">
        <v>17.6</v>
      </c>
      <c r="H274" t="n">
        <v>0</v>
      </c>
      <c r="I274" t="n">
        <v>0</v>
      </c>
      <c r="J274" t="n">
        <v>0</v>
      </c>
      <c r="K274" t="n">
        <v>0</v>
      </c>
      <c r="L274" t="n">
        <v>0</v>
      </c>
      <c r="M274" t="n">
        <v>0</v>
      </c>
      <c r="N274" t="n">
        <v>0</v>
      </c>
      <c r="O274" t="n">
        <v>0</v>
      </c>
      <c r="P274" t="n">
        <v>0</v>
      </c>
      <c r="Q274" t="n">
        <v>0</v>
      </c>
      <c r="R274" s="2" t="inlineStr"/>
    </row>
    <row r="275" ht="15" customHeight="1">
      <c r="A275" t="inlineStr">
        <is>
          <t>A 46163-2019</t>
        </is>
      </c>
      <c r="B275" s="1" t="n">
        <v>43718</v>
      </c>
      <c r="C275" s="1" t="n">
        <v>45714</v>
      </c>
      <c r="D275" t="inlineStr">
        <is>
          <t>JÄMTLANDS LÄN</t>
        </is>
      </c>
      <c r="E275" t="inlineStr">
        <is>
          <t>HÄRJEDALEN</t>
        </is>
      </c>
      <c r="G275" t="n">
        <v>28.9</v>
      </c>
      <c r="H275" t="n">
        <v>0</v>
      </c>
      <c r="I275" t="n">
        <v>0</v>
      </c>
      <c r="J275" t="n">
        <v>0</v>
      </c>
      <c r="K275" t="n">
        <v>0</v>
      </c>
      <c r="L275" t="n">
        <v>0</v>
      </c>
      <c r="M275" t="n">
        <v>0</v>
      </c>
      <c r="N275" t="n">
        <v>0</v>
      </c>
      <c r="O275" t="n">
        <v>0</v>
      </c>
      <c r="P275" t="n">
        <v>0</v>
      </c>
      <c r="Q275" t="n">
        <v>0</v>
      </c>
      <c r="R275" s="2" t="inlineStr"/>
    </row>
    <row r="276" ht="15" customHeight="1">
      <c r="A276" t="inlineStr">
        <is>
          <t>A 47004-2019</t>
        </is>
      </c>
      <c r="B276" s="1" t="n">
        <v>43720</v>
      </c>
      <c r="C276" s="1" t="n">
        <v>45714</v>
      </c>
      <c r="D276" t="inlineStr">
        <is>
          <t>JÄMTLANDS LÄN</t>
        </is>
      </c>
      <c r="E276" t="inlineStr">
        <is>
          <t>HÄRJEDALEN</t>
        </is>
      </c>
      <c r="F276" t="inlineStr">
        <is>
          <t>Bergvik skog väst AB</t>
        </is>
      </c>
      <c r="G276" t="n">
        <v>13.7</v>
      </c>
      <c r="H276" t="n">
        <v>0</v>
      </c>
      <c r="I276" t="n">
        <v>0</v>
      </c>
      <c r="J276" t="n">
        <v>0</v>
      </c>
      <c r="K276" t="n">
        <v>0</v>
      </c>
      <c r="L276" t="n">
        <v>0</v>
      </c>
      <c r="M276" t="n">
        <v>0</v>
      </c>
      <c r="N276" t="n">
        <v>0</v>
      </c>
      <c r="O276" t="n">
        <v>0</v>
      </c>
      <c r="P276" t="n">
        <v>0</v>
      </c>
      <c r="Q276" t="n">
        <v>0</v>
      </c>
      <c r="R276" s="2" t="inlineStr"/>
    </row>
    <row r="277" ht="15" customHeight="1">
      <c r="A277" t="inlineStr">
        <is>
          <t>A 49328-2019</t>
        </is>
      </c>
      <c r="B277" s="1" t="n">
        <v>43731</v>
      </c>
      <c r="C277" s="1" t="n">
        <v>45714</v>
      </c>
      <c r="D277" t="inlineStr">
        <is>
          <t>JÄMTLANDS LÄN</t>
        </is>
      </c>
      <c r="E277" t="inlineStr">
        <is>
          <t>HÄRJEDALEN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49336-2019</t>
        </is>
      </c>
      <c r="B278" s="1" t="n">
        <v>43731</v>
      </c>
      <c r="C278" s="1" t="n">
        <v>45714</v>
      </c>
      <c r="D278" t="inlineStr">
        <is>
          <t>JÄMTLANDS LÄN</t>
        </is>
      </c>
      <c r="E278" t="inlineStr">
        <is>
          <t>HÄRJEDALEN</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50310-2019</t>
        </is>
      </c>
      <c r="B279" s="1" t="n">
        <v>43735</v>
      </c>
      <c r="C279" s="1" t="n">
        <v>45714</v>
      </c>
      <c r="D279" t="inlineStr">
        <is>
          <t>JÄMTLANDS LÄN</t>
        </is>
      </c>
      <c r="E279" t="inlineStr">
        <is>
          <t>HÄRJEDALEN</t>
        </is>
      </c>
      <c r="G279" t="n">
        <v>9.1</v>
      </c>
      <c r="H279" t="n">
        <v>0</v>
      </c>
      <c r="I279" t="n">
        <v>0</v>
      </c>
      <c r="J279" t="n">
        <v>0</v>
      </c>
      <c r="K279" t="n">
        <v>0</v>
      </c>
      <c r="L279" t="n">
        <v>0</v>
      </c>
      <c r="M279" t="n">
        <v>0</v>
      </c>
      <c r="N279" t="n">
        <v>0</v>
      </c>
      <c r="O279" t="n">
        <v>0</v>
      </c>
      <c r="P279" t="n">
        <v>0</v>
      </c>
      <c r="Q279" t="n">
        <v>0</v>
      </c>
      <c r="R279" s="2" t="inlineStr"/>
    </row>
    <row r="280" ht="15" customHeight="1">
      <c r="A280" t="inlineStr">
        <is>
          <t>A 50411-2019</t>
        </is>
      </c>
      <c r="B280" s="1" t="n">
        <v>43735</v>
      </c>
      <c r="C280" s="1" t="n">
        <v>45714</v>
      </c>
      <c r="D280" t="inlineStr">
        <is>
          <t>JÄMTLANDS LÄN</t>
        </is>
      </c>
      <c r="E280" t="inlineStr">
        <is>
          <t>HÄRJEDALEN</t>
        </is>
      </c>
      <c r="F280" t="inlineStr">
        <is>
          <t>Sveaskog</t>
        </is>
      </c>
      <c r="G280" t="n">
        <v>7</v>
      </c>
      <c r="H280" t="n">
        <v>0</v>
      </c>
      <c r="I280" t="n">
        <v>0</v>
      </c>
      <c r="J280" t="n">
        <v>0</v>
      </c>
      <c r="K280" t="n">
        <v>0</v>
      </c>
      <c r="L280" t="n">
        <v>0</v>
      </c>
      <c r="M280" t="n">
        <v>0</v>
      </c>
      <c r="N280" t="n">
        <v>0</v>
      </c>
      <c r="O280" t="n">
        <v>0</v>
      </c>
      <c r="P280" t="n">
        <v>0</v>
      </c>
      <c r="Q280" t="n">
        <v>0</v>
      </c>
      <c r="R280" s="2" t="inlineStr"/>
    </row>
    <row r="281" ht="15" customHeight="1">
      <c r="A281" t="inlineStr">
        <is>
          <t>A 50519-2019</t>
        </is>
      </c>
      <c r="B281" s="1" t="n">
        <v>43735</v>
      </c>
      <c r="C281" s="1" t="n">
        <v>45714</v>
      </c>
      <c r="D281" t="inlineStr">
        <is>
          <t>JÄMTLANDS LÄN</t>
        </is>
      </c>
      <c r="E281" t="inlineStr">
        <is>
          <t>HÄRJEDALEN</t>
        </is>
      </c>
      <c r="G281" t="n">
        <v>4.2</v>
      </c>
      <c r="H281" t="n">
        <v>0</v>
      </c>
      <c r="I281" t="n">
        <v>0</v>
      </c>
      <c r="J281" t="n">
        <v>0</v>
      </c>
      <c r="K281" t="n">
        <v>0</v>
      </c>
      <c r="L281" t="n">
        <v>0</v>
      </c>
      <c r="M281" t="n">
        <v>0</v>
      </c>
      <c r="N281" t="n">
        <v>0</v>
      </c>
      <c r="O281" t="n">
        <v>0</v>
      </c>
      <c r="P281" t="n">
        <v>0</v>
      </c>
      <c r="Q281" t="n">
        <v>0</v>
      </c>
      <c r="R281" s="2" t="inlineStr"/>
    </row>
    <row r="282" ht="15" customHeight="1">
      <c r="A282" t="inlineStr">
        <is>
          <t>A 50624-2019</t>
        </is>
      </c>
      <c r="B282" s="1" t="n">
        <v>43736</v>
      </c>
      <c r="C282" s="1" t="n">
        <v>45714</v>
      </c>
      <c r="D282" t="inlineStr">
        <is>
          <t>JÄMTLANDS LÄN</t>
        </is>
      </c>
      <c r="E282" t="inlineStr">
        <is>
          <t>HÄRJEDALEN</t>
        </is>
      </c>
      <c r="G282" t="n">
        <v>2.4</v>
      </c>
      <c r="H282" t="n">
        <v>0</v>
      </c>
      <c r="I282" t="n">
        <v>0</v>
      </c>
      <c r="J282" t="n">
        <v>0</v>
      </c>
      <c r="K282" t="n">
        <v>0</v>
      </c>
      <c r="L282" t="n">
        <v>0</v>
      </c>
      <c r="M282" t="n">
        <v>0</v>
      </c>
      <c r="N282" t="n">
        <v>0</v>
      </c>
      <c r="O282" t="n">
        <v>0</v>
      </c>
      <c r="P282" t="n">
        <v>0</v>
      </c>
      <c r="Q282" t="n">
        <v>0</v>
      </c>
      <c r="R282" s="2" t="inlineStr"/>
    </row>
    <row r="283" ht="15" customHeight="1">
      <c r="A283" t="inlineStr">
        <is>
          <t>A 51108-2019</t>
        </is>
      </c>
      <c r="B283" s="1" t="n">
        <v>43739</v>
      </c>
      <c r="C283" s="1" t="n">
        <v>45714</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51118-2019</t>
        </is>
      </c>
      <c r="B284" s="1" t="n">
        <v>43739</v>
      </c>
      <c r="C284" s="1" t="n">
        <v>45714</v>
      </c>
      <c r="D284" t="inlineStr">
        <is>
          <t>JÄMTLANDS LÄN</t>
        </is>
      </c>
      <c r="E284" t="inlineStr">
        <is>
          <t>HÄRJEDALEN</t>
        </is>
      </c>
      <c r="G284" t="n">
        <v>12.5</v>
      </c>
      <c r="H284" t="n">
        <v>0</v>
      </c>
      <c r="I284" t="n">
        <v>0</v>
      </c>
      <c r="J284" t="n">
        <v>0</v>
      </c>
      <c r="K284" t="n">
        <v>0</v>
      </c>
      <c r="L284" t="n">
        <v>0</v>
      </c>
      <c r="M284" t="n">
        <v>0</v>
      </c>
      <c r="N284" t="n">
        <v>0</v>
      </c>
      <c r="O284" t="n">
        <v>0</v>
      </c>
      <c r="P284" t="n">
        <v>0</v>
      </c>
      <c r="Q284" t="n">
        <v>0</v>
      </c>
      <c r="R284" s="2" t="inlineStr"/>
    </row>
    <row r="285" ht="15" customHeight="1">
      <c r="A285" t="inlineStr">
        <is>
          <t>A 51123-2019</t>
        </is>
      </c>
      <c r="B285" s="1" t="n">
        <v>43739</v>
      </c>
      <c r="C285" s="1" t="n">
        <v>45714</v>
      </c>
      <c r="D285" t="inlineStr">
        <is>
          <t>JÄMTLANDS LÄN</t>
        </is>
      </c>
      <c r="E285" t="inlineStr">
        <is>
          <t>HÄRJEDALEN</t>
        </is>
      </c>
      <c r="G285" t="n">
        <v>1.6</v>
      </c>
      <c r="H285" t="n">
        <v>0</v>
      </c>
      <c r="I285" t="n">
        <v>0</v>
      </c>
      <c r="J285" t="n">
        <v>0</v>
      </c>
      <c r="K285" t="n">
        <v>0</v>
      </c>
      <c r="L285" t="n">
        <v>0</v>
      </c>
      <c r="M285" t="n">
        <v>0</v>
      </c>
      <c r="N285" t="n">
        <v>0</v>
      </c>
      <c r="O285" t="n">
        <v>0</v>
      </c>
      <c r="P285" t="n">
        <v>0</v>
      </c>
      <c r="Q285" t="n">
        <v>0</v>
      </c>
      <c r="R285" s="2" t="inlineStr"/>
    </row>
    <row r="286" ht="15" customHeight="1">
      <c r="A286" t="inlineStr">
        <is>
          <t>A 51105-2019</t>
        </is>
      </c>
      <c r="B286" s="1" t="n">
        <v>43739</v>
      </c>
      <c r="C286" s="1" t="n">
        <v>45714</v>
      </c>
      <c r="D286" t="inlineStr">
        <is>
          <t>JÄMTLANDS LÄN</t>
        </is>
      </c>
      <c r="E286" t="inlineStr">
        <is>
          <t>HÄRJEDALEN</t>
        </is>
      </c>
      <c r="G286" t="n">
        <v>2</v>
      </c>
      <c r="H286" t="n">
        <v>0</v>
      </c>
      <c r="I286" t="n">
        <v>0</v>
      </c>
      <c r="J286" t="n">
        <v>0</v>
      </c>
      <c r="K286" t="n">
        <v>0</v>
      </c>
      <c r="L286" t="n">
        <v>0</v>
      </c>
      <c r="M286" t="n">
        <v>0</v>
      </c>
      <c r="N286" t="n">
        <v>0</v>
      </c>
      <c r="O286" t="n">
        <v>0</v>
      </c>
      <c r="P286" t="n">
        <v>0</v>
      </c>
      <c r="Q286" t="n">
        <v>0</v>
      </c>
      <c r="R286" s="2" t="inlineStr"/>
    </row>
    <row r="287" ht="15" customHeight="1">
      <c r="A287" t="inlineStr">
        <is>
          <t>A 51111-2019</t>
        </is>
      </c>
      <c r="B287" s="1" t="n">
        <v>43739</v>
      </c>
      <c r="C287" s="1" t="n">
        <v>45714</v>
      </c>
      <c r="D287" t="inlineStr">
        <is>
          <t>JÄMTLANDS LÄN</t>
        </is>
      </c>
      <c r="E287" t="inlineStr">
        <is>
          <t>HÄRJEDALEN</t>
        </is>
      </c>
      <c r="G287" t="n">
        <v>3.7</v>
      </c>
      <c r="H287" t="n">
        <v>0</v>
      </c>
      <c r="I287" t="n">
        <v>0</v>
      </c>
      <c r="J287" t="n">
        <v>0</v>
      </c>
      <c r="K287" t="n">
        <v>0</v>
      </c>
      <c r="L287" t="n">
        <v>0</v>
      </c>
      <c r="M287" t="n">
        <v>0</v>
      </c>
      <c r="N287" t="n">
        <v>0</v>
      </c>
      <c r="O287" t="n">
        <v>0</v>
      </c>
      <c r="P287" t="n">
        <v>0</v>
      </c>
      <c r="Q287" t="n">
        <v>0</v>
      </c>
      <c r="R287" s="2" t="inlineStr"/>
    </row>
    <row r="288" ht="15" customHeight="1">
      <c r="A288" t="inlineStr">
        <is>
          <t>A 52304-2019</t>
        </is>
      </c>
      <c r="B288" s="1" t="n">
        <v>43745</v>
      </c>
      <c r="C288" s="1" t="n">
        <v>45714</v>
      </c>
      <c r="D288" t="inlineStr">
        <is>
          <t>JÄMTLANDS LÄN</t>
        </is>
      </c>
      <c r="E288" t="inlineStr">
        <is>
          <t>HÄRJEDALEN</t>
        </is>
      </c>
      <c r="G288" t="n">
        <v>4.8</v>
      </c>
      <c r="H288" t="n">
        <v>0</v>
      </c>
      <c r="I288" t="n">
        <v>0</v>
      </c>
      <c r="J288" t="n">
        <v>0</v>
      </c>
      <c r="K288" t="n">
        <v>0</v>
      </c>
      <c r="L288" t="n">
        <v>0</v>
      </c>
      <c r="M288" t="n">
        <v>0</v>
      </c>
      <c r="N288" t="n">
        <v>0</v>
      </c>
      <c r="O288" t="n">
        <v>0</v>
      </c>
      <c r="P288" t="n">
        <v>0</v>
      </c>
      <c r="Q288" t="n">
        <v>0</v>
      </c>
      <c r="R288" s="2" t="inlineStr"/>
    </row>
    <row r="289" ht="15" customHeight="1">
      <c r="A289" t="inlineStr">
        <is>
          <t>A 52709-2019</t>
        </is>
      </c>
      <c r="B289" s="1" t="n">
        <v>43746</v>
      </c>
      <c r="C289" s="1" t="n">
        <v>45714</v>
      </c>
      <c r="D289" t="inlineStr">
        <is>
          <t>JÄMTLANDS LÄN</t>
        </is>
      </c>
      <c r="E289" t="inlineStr">
        <is>
          <t>HÄRJEDALEN</t>
        </is>
      </c>
      <c r="G289" t="n">
        <v>10.6</v>
      </c>
      <c r="H289" t="n">
        <v>0</v>
      </c>
      <c r="I289" t="n">
        <v>0</v>
      </c>
      <c r="J289" t="n">
        <v>0</v>
      </c>
      <c r="K289" t="n">
        <v>0</v>
      </c>
      <c r="L289" t="n">
        <v>0</v>
      </c>
      <c r="M289" t="n">
        <v>0</v>
      </c>
      <c r="N289" t="n">
        <v>0</v>
      </c>
      <c r="O289" t="n">
        <v>0</v>
      </c>
      <c r="P289" t="n">
        <v>0</v>
      </c>
      <c r="Q289" t="n">
        <v>0</v>
      </c>
      <c r="R289" s="2" t="inlineStr"/>
    </row>
    <row r="290" ht="15" customHeight="1">
      <c r="A290" t="inlineStr">
        <is>
          <t>A 52992-2019</t>
        </is>
      </c>
      <c r="B290" s="1" t="n">
        <v>43747</v>
      </c>
      <c r="C290" s="1" t="n">
        <v>45714</v>
      </c>
      <c r="D290" t="inlineStr">
        <is>
          <t>JÄMTLANDS LÄN</t>
        </is>
      </c>
      <c r="E290" t="inlineStr">
        <is>
          <t>HÄRJEDALEN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52991-2019</t>
        </is>
      </c>
      <c r="B291" s="1" t="n">
        <v>43747</v>
      </c>
      <c r="C291" s="1" t="n">
        <v>45714</v>
      </c>
      <c r="D291" t="inlineStr">
        <is>
          <t>JÄMTLANDS LÄN</t>
        </is>
      </c>
      <c r="E291" t="inlineStr">
        <is>
          <t>HÄRJEDALEN</t>
        </is>
      </c>
      <c r="F291" t="inlineStr">
        <is>
          <t>Sveaskog</t>
        </is>
      </c>
      <c r="G291" t="n">
        <v>13.6</v>
      </c>
      <c r="H291" t="n">
        <v>0</v>
      </c>
      <c r="I291" t="n">
        <v>0</v>
      </c>
      <c r="J291" t="n">
        <v>0</v>
      </c>
      <c r="K291" t="n">
        <v>0</v>
      </c>
      <c r="L291" t="n">
        <v>0</v>
      </c>
      <c r="M291" t="n">
        <v>0</v>
      </c>
      <c r="N291" t="n">
        <v>0</v>
      </c>
      <c r="O291" t="n">
        <v>0</v>
      </c>
      <c r="P291" t="n">
        <v>0</v>
      </c>
      <c r="Q291" t="n">
        <v>0</v>
      </c>
      <c r="R291" s="2" t="inlineStr"/>
    </row>
    <row r="292" ht="15" customHeight="1">
      <c r="A292" t="inlineStr">
        <is>
          <t>A 53418-2019</t>
        </is>
      </c>
      <c r="B292" s="1" t="n">
        <v>43748</v>
      </c>
      <c r="C292" s="1" t="n">
        <v>45714</v>
      </c>
      <c r="D292" t="inlineStr">
        <is>
          <t>JÄMTLANDS LÄN</t>
        </is>
      </c>
      <c r="E292" t="inlineStr">
        <is>
          <t>HÄRJEDALEN</t>
        </is>
      </c>
      <c r="G292" t="n">
        <v>0.4</v>
      </c>
      <c r="H292" t="n">
        <v>0</v>
      </c>
      <c r="I292" t="n">
        <v>0</v>
      </c>
      <c r="J292" t="n">
        <v>0</v>
      </c>
      <c r="K292" t="n">
        <v>0</v>
      </c>
      <c r="L292" t="n">
        <v>0</v>
      </c>
      <c r="M292" t="n">
        <v>0</v>
      </c>
      <c r="N292" t="n">
        <v>0</v>
      </c>
      <c r="O292" t="n">
        <v>0</v>
      </c>
      <c r="P292" t="n">
        <v>0</v>
      </c>
      <c r="Q292" t="n">
        <v>0</v>
      </c>
      <c r="R292" s="2" t="inlineStr"/>
    </row>
    <row r="293" ht="15" customHeight="1">
      <c r="A293" t="inlineStr">
        <is>
          <t>A 53952-2019</t>
        </is>
      </c>
      <c r="B293" s="1" t="n">
        <v>43752</v>
      </c>
      <c r="C293" s="1" t="n">
        <v>45714</v>
      </c>
      <c r="D293" t="inlineStr">
        <is>
          <t>JÄMTLANDS LÄN</t>
        </is>
      </c>
      <c r="E293" t="inlineStr">
        <is>
          <t>HÄRJEDALEN</t>
        </is>
      </c>
      <c r="G293" t="n">
        <v>8.6</v>
      </c>
      <c r="H293" t="n">
        <v>0</v>
      </c>
      <c r="I293" t="n">
        <v>0</v>
      </c>
      <c r="J293" t="n">
        <v>0</v>
      </c>
      <c r="K293" t="n">
        <v>0</v>
      </c>
      <c r="L293" t="n">
        <v>0</v>
      </c>
      <c r="M293" t="n">
        <v>0</v>
      </c>
      <c r="N293" t="n">
        <v>0</v>
      </c>
      <c r="O293" t="n">
        <v>0</v>
      </c>
      <c r="P293" t="n">
        <v>0</v>
      </c>
      <c r="Q293" t="n">
        <v>0</v>
      </c>
      <c r="R293" s="2" t="inlineStr"/>
    </row>
    <row r="294" ht="15" customHeight="1">
      <c r="A294" t="inlineStr">
        <is>
          <t>A 53962-2019</t>
        </is>
      </c>
      <c r="B294" s="1" t="n">
        <v>43752</v>
      </c>
      <c r="C294" s="1" t="n">
        <v>45714</v>
      </c>
      <c r="D294" t="inlineStr">
        <is>
          <t>JÄMTLANDS LÄN</t>
        </is>
      </c>
      <c r="E294" t="inlineStr">
        <is>
          <t>HÄRJEDALEN</t>
        </is>
      </c>
      <c r="G294" t="n">
        <v>19.4</v>
      </c>
      <c r="H294" t="n">
        <v>0</v>
      </c>
      <c r="I294" t="n">
        <v>0</v>
      </c>
      <c r="J294" t="n">
        <v>0</v>
      </c>
      <c r="K294" t="n">
        <v>0</v>
      </c>
      <c r="L294" t="n">
        <v>0</v>
      </c>
      <c r="M294" t="n">
        <v>0</v>
      </c>
      <c r="N294" t="n">
        <v>0</v>
      </c>
      <c r="O294" t="n">
        <v>0</v>
      </c>
      <c r="P294" t="n">
        <v>0</v>
      </c>
      <c r="Q294" t="n">
        <v>0</v>
      </c>
      <c r="R294" s="2" t="inlineStr"/>
    </row>
    <row r="295" ht="15" customHeight="1">
      <c r="A295" t="inlineStr">
        <is>
          <t>A 54905-2019</t>
        </is>
      </c>
      <c r="B295" s="1" t="n">
        <v>43755</v>
      </c>
      <c r="C295" s="1" t="n">
        <v>45714</v>
      </c>
      <c r="D295" t="inlineStr">
        <is>
          <t>JÄMTLANDS LÄN</t>
        </is>
      </c>
      <c r="E295" t="inlineStr">
        <is>
          <t>HÄRJEDALEN</t>
        </is>
      </c>
      <c r="G295" t="n">
        <v>2</v>
      </c>
      <c r="H295" t="n">
        <v>0</v>
      </c>
      <c r="I295" t="n">
        <v>0</v>
      </c>
      <c r="J295" t="n">
        <v>0</v>
      </c>
      <c r="K295" t="n">
        <v>0</v>
      </c>
      <c r="L295" t="n">
        <v>0</v>
      </c>
      <c r="M295" t="n">
        <v>0</v>
      </c>
      <c r="N295" t="n">
        <v>0</v>
      </c>
      <c r="O295" t="n">
        <v>0</v>
      </c>
      <c r="P295" t="n">
        <v>0</v>
      </c>
      <c r="Q295" t="n">
        <v>0</v>
      </c>
      <c r="R295" s="2" t="inlineStr"/>
    </row>
    <row r="296" ht="15" customHeight="1">
      <c r="A296" t="inlineStr">
        <is>
          <t>A 55197-2019</t>
        </is>
      </c>
      <c r="B296" s="1" t="n">
        <v>43756</v>
      </c>
      <c r="C296" s="1" t="n">
        <v>45714</v>
      </c>
      <c r="D296" t="inlineStr">
        <is>
          <t>JÄMTLANDS LÄN</t>
        </is>
      </c>
      <c r="E296" t="inlineStr">
        <is>
          <t>HÄRJEDALEN</t>
        </is>
      </c>
      <c r="F296" t="inlineStr">
        <is>
          <t>Sveaskog</t>
        </is>
      </c>
      <c r="G296" t="n">
        <v>9</v>
      </c>
      <c r="H296" t="n">
        <v>0</v>
      </c>
      <c r="I296" t="n">
        <v>0</v>
      </c>
      <c r="J296" t="n">
        <v>0</v>
      </c>
      <c r="K296" t="n">
        <v>0</v>
      </c>
      <c r="L296" t="n">
        <v>0</v>
      </c>
      <c r="M296" t="n">
        <v>0</v>
      </c>
      <c r="N296" t="n">
        <v>0</v>
      </c>
      <c r="O296" t="n">
        <v>0</v>
      </c>
      <c r="P296" t="n">
        <v>0</v>
      </c>
      <c r="Q296" t="n">
        <v>0</v>
      </c>
      <c r="R296" s="2" t="inlineStr"/>
    </row>
    <row r="297" ht="15" customHeight="1">
      <c r="A297" t="inlineStr">
        <is>
          <t>A 55241-2019</t>
        </is>
      </c>
      <c r="B297" s="1" t="n">
        <v>43756</v>
      </c>
      <c r="C297" s="1" t="n">
        <v>45714</v>
      </c>
      <c r="D297" t="inlineStr">
        <is>
          <t>JÄMTLANDS LÄN</t>
        </is>
      </c>
      <c r="E297" t="inlineStr">
        <is>
          <t>HÄRJEDALEN</t>
        </is>
      </c>
      <c r="G297" t="n">
        <v>0.9</v>
      </c>
      <c r="H297" t="n">
        <v>0</v>
      </c>
      <c r="I297" t="n">
        <v>0</v>
      </c>
      <c r="J297" t="n">
        <v>0</v>
      </c>
      <c r="K297" t="n">
        <v>0</v>
      </c>
      <c r="L297" t="n">
        <v>0</v>
      </c>
      <c r="M297" t="n">
        <v>0</v>
      </c>
      <c r="N297" t="n">
        <v>0</v>
      </c>
      <c r="O297" t="n">
        <v>0</v>
      </c>
      <c r="P297" t="n">
        <v>0</v>
      </c>
      <c r="Q297" t="n">
        <v>0</v>
      </c>
      <c r="R297" s="2" t="inlineStr"/>
    </row>
    <row r="298" ht="15" customHeight="1">
      <c r="A298" t="inlineStr">
        <is>
          <t>A 55193-2019</t>
        </is>
      </c>
      <c r="B298" s="1" t="n">
        <v>43756</v>
      </c>
      <c r="C298" s="1" t="n">
        <v>45714</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55238-2019</t>
        </is>
      </c>
      <c r="B299" s="1" t="n">
        <v>43756</v>
      </c>
      <c r="C299" s="1" t="n">
        <v>45714</v>
      </c>
      <c r="D299" t="inlineStr">
        <is>
          <t>JÄMTLANDS LÄN</t>
        </is>
      </c>
      <c r="E299" t="inlineStr">
        <is>
          <t>HÄRJEDALEN</t>
        </is>
      </c>
      <c r="F299" t="inlineStr">
        <is>
          <t>Sveaskog</t>
        </is>
      </c>
      <c r="G299" t="n">
        <v>5.8</v>
      </c>
      <c r="H299" t="n">
        <v>0</v>
      </c>
      <c r="I299" t="n">
        <v>0</v>
      </c>
      <c r="J299" t="n">
        <v>0</v>
      </c>
      <c r="K299" t="n">
        <v>0</v>
      </c>
      <c r="L299" t="n">
        <v>0</v>
      </c>
      <c r="M299" t="n">
        <v>0</v>
      </c>
      <c r="N299" t="n">
        <v>0</v>
      </c>
      <c r="O299" t="n">
        <v>0</v>
      </c>
      <c r="P299" t="n">
        <v>0</v>
      </c>
      <c r="Q299" t="n">
        <v>0</v>
      </c>
      <c r="R299" s="2" t="inlineStr"/>
    </row>
    <row r="300" ht="15" customHeight="1">
      <c r="A300" t="inlineStr">
        <is>
          <t>A 55801-2019</t>
        </is>
      </c>
      <c r="B300" s="1" t="n">
        <v>43759</v>
      </c>
      <c r="C300" s="1" t="n">
        <v>45714</v>
      </c>
      <c r="D300" t="inlineStr">
        <is>
          <t>JÄMTLANDS LÄN</t>
        </is>
      </c>
      <c r="E300" t="inlineStr">
        <is>
          <t>HÄRJEDALEN</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55554-2019</t>
        </is>
      </c>
      <c r="B301" s="1" t="n">
        <v>43759</v>
      </c>
      <c r="C301" s="1" t="n">
        <v>45714</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57281-2019</t>
        </is>
      </c>
      <c r="B302" s="1" t="n">
        <v>43759</v>
      </c>
      <c r="C302" s="1" t="n">
        <v>45714</v>
      </c>
      <c r="D302" t="inlineStr">
        <is>
          <t>JÄMTLANDS LÄN</t>
        </is>
      </c>
      <c r="E302" t="inlineStr">
        <is>
          <t>HÄRJEDALEN</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55578-2019</t>
        </is>
      </c>
      <c r="B303" s="1" t="n">
        <v>43760</v>
      </c>
      <c r="C303" s="1" t="n">
        <v>45714</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55607-2019</t>
        </is>
      </c>
      <c r="B304" s="1" t="n">
        <v>43760</v>
      </c>
      <c r="C304" s="1" t="n">
        <v>45714</v>
      </c>
      <c r="D304" t="inlineStr">
        <is>
          <t>JÄMTLANDS LÄN</t>
        </is>
      </c>
      <c r="E304" t="inlineStr">
        <is>
          <t>HÄRJEDALEN</t>
        </is>
      </c>
      <c r="G304" t="n">
        <v>3.7</v>
      </c>
      <c r="H304" t="n">
        <v>0</v>
      </c>
      <c r="I304" t="n">
        <v>0</v>
      </c>
      <c r="J304" t="n">
        <v>0</v>
      </c>
      <c r="K304" t="n">
        <v>0</v>
      </c>
      <c r="L304" t="n">
        <v>0</v>
      </c>
      <c r="M304" t="n">
        <v>0</v>
      </c>
      <c r="N304" t="n">
        <v>0</v>
      </c>
      <c r="O304" t="n">
        <v>0</v>
      </c>
      <c r="P304" t="n">
        <v>0</v>
      </c>
      <c r="Q304" t="n">
        <v>0</v>
      </c>
      <c r="R304" s="2" t="inlineStr"/>
    </row>
    <row r="305" ht="15" customHeight="1">
      <c r="A305" t="inlineStr">
        <is>
          <t>A 56217-2019</t>
        </is>
      </c>
      <c r="B305" s="1" t="n">
        <v>43762</v>
      </c>
      <c r="C305" s="1" t="n">
        <v>45714</v>
      </c>
      <c r="D305" t="inlineStr">
        <is>
          <t>JÄMTLANDS LÄN</t>
        </is>
      </c>
      <c r="E305" t="inlineStr">
        <is>
          <t>HÄRJEDALEN</t>
        </is>
      </c>
      <c r="G305" t="n">
        <v>43.2</v>
      </c>
      <c r="H305" t="n">
        <v>0</v>
      </c>
      <c r="I305" t="n">
        <v>0</v>
      </c>
      <c r="J305" t="n">
        <v>0</v>
      </c>
      <c r="K305" t="n">
        <v>0</v>
      </c>
      <c r="L305" t="n">
        <v>0</v>
      </c>
      <c r="M305" t="n">
        <v>0</v>
      </c>
      <c r="N305" t="n">
        <v>0</v>
      </c>
      <c r="O305" t="n">
        <v>0</v>
      </c>
      <c r="P305" t="n">
        <v>0</v>
      </c>
      <c r="Q305" t="n">
        <v>0</v>
      </c>
      <c r="R305" s="2" t="inlineStr"/>
    </row>
    <row r="306" ht="15" customHeight="1">
      <c r="A306" t="inlineStr">
        <is>
          <t>A 58175-2019</t>
        </is>
      </c>
      <c r="B306" s="1" t="n">
        <v>43769</v>
      </c>
      <c r="C306" s="1" t="n">
        <v>45714</v>
      </c>
      <c r="D306" t="inlineStr">
        <is>
          <t>JÄMTLANDS LÄN</t>
        </is>
      </c>
      <c r="E306" t="inlineStr">
        <is>
          <t>HÄRJEDALEN</t>
        </is>
      </c>
      <c r="F306" t="inlineStr">
        <is>
          <t>SCA</t>
        </is>
      </c>
      <c r="G306" t="n">
        <v>0.6</v>
      </c>
      <c r="H306" t="n">
        <v>0</v>
      </c>
      <c r="I306" t="n">
        <v>0</v>
      </c>
      <c r="J306" t="n">
        <v>0</v>
      </c>
      <c r="K306" t="n">
        <v>0</v>
      </c>
      <c r="L306" t="n">
        <v>0</v>
      </c>
      <c r="M306" t="n">
        <v>0</v>
      </c>
      <c r="N306" t="n">
        <v>0</v>
      </c>
      <c r="O306" t="n">
        <v>0</v>
      </c>
      <c r="P306" t="n">
        <v>0</v>
      </c>
      <c r="Q306" t="n">
        <v>0</v>
      </c>
      <c r="R306" s="2" t="inlineStr"/>
    </row>
    <row r="307" ht="15" customHeight="1">
      <c r="A307" t="inlineStr">
        <is>
          <t>A 59347-2019</t>
        </is>
      </c>
      <c r="B307" s="1" t="n">
        <v>43770</v>
      </c>
      <c r="C307" s="1" t="n">
        <v>45714</v>
      </c>
      <c r="D307" t="inlineStr">
        <is>
          <t>JÄMTLANDS LÄN</t>
        </is>
      </c>
      <c r="E307" t="inlineStr">
        <is>
          <t>HÄRJEDALEN</t>
        </is>
      </c>
      <c r="G307" t="n">
        <v>2.3</v>
      </c>
      <c r="H307" t="n">
        <v>0</v>
      </c>
      <c r="I307" t="n">
        <v>0</v>
      </c>
      <c r="J307" t="n">
        <v>0</v>
      </c>
      <c r="K307" t="n">
        <v>0</v>
      </c>
      <c r="L307" t="n">
        <v>0</v>
      </c>
      <c r="M307" t="n">
        <v>0</v>
      </c>
      <c r="N307" t="n">
        <v>0</v>
      </c>
      <c r="O307" t="n">
        <v>0</v>
      </c>
      <c r="P307" t="n">
        <v>0</v>
      </c>
      <c r="Q307" t="n">
        <v>0</v>
      </c>
      <c r="R307" s="2" t="inlineStr"/>
    </row>
    <row r="308" ht="15" customHeight="1">
      <c r="A308" t="inlineStr">
        <is>
          <t>A 58742-2019</t>
        </is>
      </c>
      <c r="B308" s="1" t="n">
        <v>43773</v>
      </c>
      <c r="C308" s="1" t="n">
        <v>45714</v>
      </c>
      <c r="D308" t="inlineStr">
        <is>
          <t>JÄMTLANDS LÄN</t>
        </is>
      </c>
      <c r="E308" t="inlineStr">
        <is>
          <t>HÄRJEDALEN</t>
        </is>
      </c>
      <c r="G308" t="n">
        <v>4</v>
      </c>
      <c r="H308" t="n">
        <v>0</v>
      </c>
      <c r="I308" t="n">
        <v>0</v>
      </c>
      <c r="J308" t="n">
        <v>0</v>
      </c>
      <c r="K308" t="n">
        <v>0</v>
      </c>
      <c r="L308" t="n">
        <v>0</v>
      </c>
      <c r="M308" t="n">
        <v>0</v>
      </c>
      <c r="N308" t="n">
        <v>0</v>
      </c>
      <c r="O308" t="n">
        <v>0</v>
      </c>
      <c r="P308" t="n">
        <v>0</v>
      </c>
      <c r="Q308" t="n">
        <v>0</v>
      </c>
      <c r="R308" s="2" t="inlineStr"/>
    </row>
    <row r="309" ht="15" customHeight="1">
      <c r="A309" t="inlineStr">
        <is>
          <t>A 59984-2019</t>
        </is>
      </c>
      <c r="B309" s="1" t="n">
        <v>43775</v>
      </c>
      <c r="C309" s="1" t="n">
        <v>45714</v>
      </c>
      <c r="D309" t="inlineStr">
        <is>
          <t>JÄMTLANDS LÄN</t>
        </is>
      </c>
      <c r="E309" t="inlineStr">
        <is>
          <t>HÄRJEDALEN</t>
        </is>
      </c>
      <c r="G309" t="n">
        <v>20.4</v>
      </c>
      <c r="H309" t="n">
        <v>0</v>
      </c>
      <c r="I309" t="n">
        <v>0</v>
      </c>
      <c r="J309" t="n">
        <v>0</v>
      </c>
      <c r="K309" t="n">
        <v>0</v>
      </c>
      <c r="L309" t="n">
        <v>0</v>
      </c>
      <c r="M309" t="n">
        <v>0</v>
      </c>
      <c r="N309" t="n">
        <v>0</v>
      </c>
      <c r="O309" t="n">
        <v>0</v>
      </c>
      <c r="P309" t="n">
        <v>0</v>
      </c>
      <c r="Q309" t="n">
        <v>0</v>
      </c>
      <c r="R309" s="2" t="inlineStr"/>
    </row>
    <row r="310" ht="15" customHeight="1">
      <c r="A310" t="inlineStr">
        <is>
          <t>A 59733-2019</t>
        </is>
      </c>
      <c r="B310" s="1" t="n">
        <v>43776</v>
      </c>
      <c r="C310" s="1" t="n">
        <v>45714</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45714</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45714</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45714</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45714</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45714</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45714</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45714</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45714</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45714</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45714</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45714</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45714</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45714</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45714</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45714</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45714</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45714</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45714</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45714</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45714</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45714</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45714</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45714</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45714</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45714</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45714</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45714</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45714</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45714</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45714</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45714</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45714</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45714</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45714</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45714</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45714</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45714</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45714</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45714</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45714</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45714</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45714</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45714</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45714</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45714</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45714</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45714</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45714</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45714</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45714</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45714</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45714</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45714</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45714</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45714</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45714</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45714</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45714</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45714</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45714</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45714</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45714</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45714</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45714</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45714</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45714</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45714</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45714</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45714</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45714</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45714</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45714</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45714</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45714</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45714</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45714</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45714</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45714</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45714</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45714</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45714</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45714</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45714</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45714</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45714</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45714</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45714</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45714</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45714</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45714</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45714</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45714</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45714</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45714</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45714</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45714</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45714</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45714</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45714</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45714</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45714</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45714</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45714</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45714</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45714</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45714</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45714</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45714</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45714</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45714</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45714</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45714</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45714</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45714</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45714</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45714</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45714</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45714</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45714</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45714</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45714</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45714</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45714</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45714</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45714</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45714</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45714</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45714</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45714</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45714</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45714</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45714</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45714</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45714</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45714</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45714</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45714</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45714</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45714</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45714</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45714</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45714</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45714</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45714</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45714</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45714</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45714</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45714</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45714</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45714</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45714</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45714</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45714</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45714</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45714</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45714</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45714</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45714</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45714</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45714</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45714</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45714</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45714</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45714</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45714</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45714</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45714</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45714</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45714</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45714</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45714</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45714</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45714</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45714</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45714</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45714</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45714</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45714</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45714</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45714</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45714</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45714</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45714</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45714</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45714</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45714</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45714</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45714</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45714</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45714</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45714</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45714</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45714</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45714</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45714</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45714</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45714</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45714</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45714</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45714</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45714</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45714</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45714</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45714</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45714</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45714</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45714</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45714</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45714</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45714</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45714</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45714</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45714</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45714</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45714</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45714</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45714</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45714</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45714</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45714</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45714</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45714</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45714</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45714</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45714</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45714</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45714</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45714</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45714</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45714</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45714</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45714</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45714</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45714</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45714</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45714</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45714</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45714</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45714</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45714</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45714</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45714</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45714</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45714</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45714</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45714</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45714</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45714</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45714</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45714</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45714</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45714</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45714</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45714</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45714</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45714</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45714</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45714</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45714</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45714</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45714</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45714</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45714</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45714</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45714</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45714</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45714</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45714</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45714</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45714</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45714</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45714</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45714</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45714</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45714</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45714</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45714</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45714</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45714</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45714</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45714</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45714</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45714</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45714</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45714</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45714</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45714</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45714</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45714</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45714</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45714</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45714</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45714</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45714</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45714</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45714</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45714</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45714</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45714</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45714</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45714</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45714</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45714</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45714</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45714</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45714</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45714</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45714</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45714</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45714</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45714</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45714</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45714</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45714</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45714</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45714</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45714</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45714</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45714</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45714</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45714</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45714</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45714</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45714</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45714</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45714</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45714</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45714</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45714</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45714</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45714</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45714</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45714</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45714</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45714</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45714</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45714</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45714</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45714</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45714</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45714</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45714</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45714</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45714</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45714</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45714</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45714</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45714</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45714</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45714</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45714</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45714</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45714</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45714</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45714</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45714</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45714</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45714</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45714</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45714</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45714</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45714</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45714</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45714</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45714</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45714</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45714</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45714</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45714</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45714</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45714</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45714</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45714</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45714</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45714</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45714</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45714</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45714</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45714</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45714</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45714</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45714</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45714</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45714</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45714</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45714</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45714</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45714</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45714</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45714</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45714</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45714</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45714</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45714</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45714</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45714</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45714</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45714</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45714</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45714</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45714</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45714</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45714</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45714</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45714</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45714</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45714</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45714</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45714</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45714</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45714</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45714</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45714</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45714</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45714</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45714</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45714</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45714</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45714</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45714</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45714</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45714</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45714</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45714</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45714</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45714</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45714</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45714</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45714</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45714</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45714</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45714</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45714</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45714</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45714</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45714</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45714</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45714</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45714</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45714</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45714</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45714</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45714</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45714</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45714</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45714</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45714</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45714</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45714</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45714</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45714</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45714</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45714</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45714</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45714</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45714</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45714</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45714</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45714</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45714</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45714</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45714</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45714</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45714</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45714</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45714</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45714</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45714</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45714</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45714</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45714</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45714</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45714</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45714</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45714</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45714</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45714</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45714</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45714</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45714</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45714</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45714</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45714</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45714</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45714</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45714</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45714</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45714</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45714</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45714</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45714</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45714</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45714</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45714</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45714</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45714</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45714</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45714</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45714</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45714</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45714</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45714</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45714</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45714</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45714</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45714</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45714</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45714</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45714</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45714</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45714</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45714</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45714</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45714</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45714</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45714</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45714</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45714</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45714</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45714</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45714</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45714</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45714</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45714</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45714</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45714</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45714</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45714</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45714</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45714</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45714</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45714</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45714</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45714</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45714</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45714</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45714</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45714</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45714</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45714</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45714</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45714</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45714</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45714</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45714</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45714</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45714</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45714</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45714</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45714</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45714</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45714</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45714</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45714</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45714</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45714</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45714</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45714</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45714</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45714</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45714</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45714</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45714</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45714</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45714</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45714</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45714</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45714</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45714</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45714</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45714</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45714</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45714</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45714</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45714</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45714</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45714</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45714</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45714</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45714</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45714</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45714</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45714</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45714</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45714</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45714</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45714</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45714</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45714</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45714</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45714</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45714</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45714</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45714</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45714</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45714</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45714</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45714</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45714</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45714</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45714</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45714</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45714</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45714</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45714</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45714</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45714</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45714</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45714</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45714</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45714</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45714</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45714</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45714</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45714</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45714</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45714</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45714</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45714</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45714</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45714</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45714</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45714</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45714</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45714</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45714</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45714</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45714</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45714</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45714</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45714</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45714</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45714</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45714</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45714</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45714</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45714</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45714</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45714</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45714</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45714</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45714</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45714</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45714</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45714</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45714</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45714</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45714</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45714</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45714</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45714</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45714</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45714</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45714</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45714</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45714</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45714</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45714</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45714</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45714</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45714</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45714</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45714</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45714</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45714</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45714</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45714</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45714</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45714</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45714</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45714</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45714</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45714</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45714</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45714</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45714</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45714</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45714</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45714</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45714</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45714</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45714</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45714</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45714</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45714</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45714</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45714</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45714</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45714</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45714</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45714</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45714</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45714</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45714</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45714</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45714</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45714</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45714</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45714</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45714</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45714</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45714</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45714</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45714</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45714</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45714</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45714</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45714</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45714</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45714</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45714</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45714</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45714</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45714</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45714</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45714</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45714</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45714</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45714</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45714</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45714</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45714</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45714</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45714</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45714</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45714</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45714</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45714</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45714</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45714</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45714</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45714</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45714</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45714</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45714</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45714</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45714</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45714</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45714</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45714</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45714</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45714</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45714</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45714</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45714</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45714</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45714</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45714</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45714</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45714</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45714</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45714</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45714</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45714</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45714</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45714</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45714</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45714</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45714</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45714</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45714</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45714</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45714</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45714</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45714</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45714</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45714</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45714</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45714</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45714</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45714</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45714</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45714</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45714</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45714</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45714</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45714</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45714</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45714</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45714</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45714</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45714</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45714</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45714</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45714</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45714</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45714</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45714</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45714</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45714</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45714</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45714</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45714</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45714</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45714</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45714</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45714</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45714</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45714</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45714</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45714</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45714</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45714</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45714</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45714</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45714</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45714</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45714</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45714</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45714</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45714</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45714</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45714</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45714</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45714</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45714</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45714</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45714</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45714</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45714</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45714</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45714</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45714</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45714</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45714</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45714</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45714</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45714</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45714</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45714</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45714</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45714</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45714</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45714</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45714</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45714</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45714</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45714</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45714</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45714</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45714</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45714</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45714</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45714</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45714</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45714</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45714</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45714</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45714</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45714</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45714</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45714</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45714</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45714</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45714</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45714</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45714</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45714</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45714</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45714</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45714</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45714</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45714</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45714</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45714</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45714</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45714</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45714</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45714</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45714</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45714</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45714</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45714</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45714</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45714</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45714</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45714</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45714</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45714</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45714</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45714</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45714</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45714</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45714</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45714</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45714</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45714</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45714</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45714</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45714</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45714</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45714</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45714</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45714</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45714</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45714</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45714</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45714</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45714</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45714</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45714</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45714</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45714</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45714</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45714</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45714</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45714</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45714</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45714</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45714</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45714</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45714</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45714</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45714</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45714</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45714</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45714</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45714</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45714</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45714</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45714</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45714</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45714</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45714</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45714</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45714</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45714</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45714</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45714</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45714</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45714</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45714</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45714</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45714</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45714</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45714</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45714</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45714</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45714</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45714</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45714</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45714</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45714</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45714</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45714</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45714</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45714</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45714</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45714</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45714</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45714</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45714</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45714</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45714</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45714</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45714</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45714</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45714</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45714</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45714</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45714</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45714</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45714</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45714</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45714</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45714</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45714</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45714</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45714</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45714</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45714</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45714</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45714</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45714</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45714</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45714</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45714</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45714</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45714</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45714</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45714</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45714</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45714</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45714</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45714</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45714</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45714</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45714</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45714</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45714</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45714</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45714</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45714</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45714</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45714</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45714</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45714</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45714</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45714</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45714</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45714</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45714</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45714</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45714</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45714</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45714</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45714</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45714</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45714</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45714</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45714</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45714</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45714</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45714</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45714</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45714</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45714</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45714</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45714</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45714</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45714</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45714</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45714</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45714</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45714</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45714</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45714</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45714</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45714</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45714</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45714</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45714</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45714</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45714</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45714</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45714</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45714</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45714</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45714</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45714</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45714</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45714</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45714</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45714</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45714</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45714</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45714</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45714</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45714</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45714</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45714</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45714</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45714</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45714</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45714</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45714</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45714</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45714</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45714</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45714</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45714</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45714</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45714</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45714</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45714</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45714</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45714</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45714</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45714</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45714</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45714</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45714</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45714</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45714</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45714</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45714</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45714</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45714</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45714</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45714</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45714</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45714</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45714</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45714</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45714</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45714</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45714</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45714</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45714</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45714</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45714</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45714</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45714</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45714</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45714</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45714</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45714</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45714</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45714</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45714</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45714</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45714</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45714</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45714</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45714</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45714</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45714</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45714</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45714</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45714</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45714</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45714</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45714</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45714</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45714</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45714</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45714</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45714</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45714</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45714</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45714</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45714</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45714</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45714</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45714</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45714</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45714</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45714</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45714</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45714</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45714</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45714</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45714</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45714</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45714</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45714</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45714</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45714</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45714</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45714</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45714</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45714</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45714</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45714</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45714</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45714</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45714</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45714</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45714</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45714</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45714</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45714</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45714</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45714</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45714</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45714</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45714</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45714</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45714</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45714</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45714</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45714</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45714</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45714</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45714</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45714</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45714</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45714</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45714</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45714</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45714</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45714</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45714</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45714</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45714</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45714</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45714</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45714</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45714</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45714</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45714</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45714</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45714</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45714</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45714</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45714</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45714</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45714</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45714</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45714</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45714</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45714</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45714</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45714</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45714</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45714</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45714</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45714</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45714</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45714</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45714</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45714</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45714</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45714</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45714</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45714</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45714</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45714</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45714</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45714</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45714</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45714</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45714</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45714</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45714</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45714</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45714</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45714</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45714</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45714</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45714</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45714</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45714</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45714</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45714</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45714</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45714</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45714</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45714</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45714</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45714</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45714</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45714</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45714</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45714</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45714</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45714</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45714</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45714</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45714</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45714</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45714</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45714</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45714</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45714</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45714</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45714</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45714</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45714</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45714</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45714</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45714</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45714</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45714</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45714</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45714</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45714</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45714</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45714</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45714</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45714</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45714</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45714</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45714</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45714</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45714</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45714</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45714</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45714</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45714</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45714</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45714</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45714</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45714</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45714</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45714</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45714</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45714</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45714</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45714</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45714</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45714</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45714</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45714</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45714</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45714</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45714</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45714</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45714</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45714</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45714</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45714</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45714</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45714</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45714</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45714</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45714</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45714</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45714</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45714</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45714</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45714</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45714</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45714</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45714</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45714</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45714</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45714</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45714</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45714</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45714</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45714</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45714</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45714</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45714</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45714</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45714</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45714</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45714</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45714</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45714</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45714</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45714</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45714</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45714</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45714</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45714</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45714</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45714</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45714</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45714</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45714</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45714</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45714</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45714</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45714</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45714</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45714</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45714</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45714</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45714</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45714</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45714</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45714</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45714</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45714</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45714</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45714</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45714</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45714</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45714</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45714</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45714</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45714</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45714</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45714</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45714</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45714</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45714</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45714</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45714</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45714</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45714</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45714</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45714</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45714</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45714</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45714</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45714</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45714</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45714</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45714</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45714</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45714</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45714</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45714</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45714</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45714</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45714</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45714</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45714</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45714</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45714</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45714</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45714</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45714</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45714</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45714</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45714</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45714</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45714</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45714</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45714</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45714</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45714</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45714</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45714</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45714</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45714</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45714</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45714</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45714</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45714</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45714</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45714</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45714</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45714</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45714</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45714</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45714</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45714</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45714</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45714</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45714</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45714</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45714</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45714</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45714</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45714</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45714</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45714</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45714</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45714</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45714</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45714</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45714</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45714</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45714</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45714</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45714</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45714</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45714</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45714</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45714</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45714</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45714</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45714</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45714</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45714</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45714</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45714</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45714</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45714</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45714</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45714</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45714</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45714</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45714</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45714</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45714</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45714</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45714</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45714</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45714</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45714</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45714</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45714</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45714</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45714</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45714</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45714</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45714</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45714</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45714</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45714</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45714</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45714</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45714</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45714</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45714</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45714</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45714</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45714</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45714</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45714</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45714</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45714</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45714</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45714</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45714</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45714</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4217-2025</t>
        </is>
      </c>
      <c r="B1792" s="1" t="n">
        <v>45685</v>
      </c>
      <c r="C1792" s="1" t="n">
        <v>45714</v>
      </c>
      <c r="D1792" t="inlineStr">
        <is>
          <t>JÄMTLANDS LÄN</t>
        </is>
      </c>
      <c r="E1792" t="inlineStr">
        <is>
          <t>HÄRJEDALEN</t>
        </is>
      </c>
      <c r="F1792" t="inlineStr">
        <is>
          <t>Bergvik skog väst AB</t>
        </is>
      </c>
      <c r="G1792" t="n">
        <v>24.6</v>
      </c>
      <c r="H1792" t="n">
        <v>0</v>
      </c>
      <c r="I1792" t="n">
        <v>0</v>
      </c>
      <c r="J1792" t="n">
        <v>0</v>
      </c>
      <c r="K1792" t="n">
        <v>0</v>
      </c>
      <c r="L1792" t="n">
        <v>0</v>
      </c>
      <c r="M1792" t="n">
        <v>0</v>
      </c>
      <c r="N1792" t="n">
        <v>0</v>
      </c>
      <c r="O1792" t="n">
        <v>0</v>
      </c>
      <c r="P1792" t="n">
        <v>0</v>
      </c>
      <c r="Q1792" t="n">
        <v>0</v>
      </c>
      <c r="R1792" s="2" t="inlineStr"/>
    </row>
    <row r="1793" ht="15" customHeight="1">
      <c r="A1793" t="inlineStr">
        <is>
          <t>A 4221-2025</t>
        </is>
      </c>
      <c r="B1793" s="1" t="n">
        <v>45685</v>
      </c>
      <c r="C1793" s="1" t="n">
        <v>45714</v>
      </c>
      <c r="D1793" t="inlineStr">
        <is>
          <t>JÄMTLANDS LÄN</t>
        </is>
      </c>
      <c r="E1793" t="inlineStr">
        <is>
          <t>HÄRJEDALEN</t>
        </is>
      </c>
      <c r="F1793" t="inlineStr">
        <is>
          <t>Bergvik skog väst AB</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4225-2025</t>
        </is>
      </c>
      <c r="B1794" s="1" t="n">
        <v>45685</v>
      </c>
      <c r="C1794" s="1" t="n">
        <v>45714</v>
      </c>
      <c r="D1794" t="inlineStr">
        <is>
          <t>JÄMTLANDS LÄN</t>
        </is>
      </c>
      <c r="E1794" t="inlineStr">
        <is>
          <t>HÄRJEDALEN</t>
        </is>
      </c>
      <c r="F1794" t="inlineStr">
        <is>
          <t>Bergvik skog väst AB</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45714</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45714</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45714</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45714</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4879-2025</t>
        </is>
      </c>
      <c r="B1799" s="1" t="n">
        <v>45688</v>
      </c>
      <c r="C1799" s="1" t="n">
        <v>45714</v>
      </c>
      <c r="D1799" t="inlineStr">
        <is>
          <t>JÄMTLANDS LÄN</t>
        </is>
      </c>
      <c r="E1799" t="inlineStr">
        <is>
          <t>HÄRJEDALEN</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4899-2025</t>
        </is>
      </c>
      <c r="B1800" s="1" t="n">
        <v>45688</v>
      </c>
      <c r="C1800" s="1" t="n">
        <v>45714</v>
      </c>
      <c r="D1800" t="inlineStr">
        <is>
          <t>JÄMTLANDS LÄN</t>
        </is>
      </c>
      <c r="E1800" t="inlineStr">
        <is>
          <t>HÄRJEDALEN</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4749-2025</t>
        </is>
      </c>
      <c r="B1801" s="1" t="n">
        <v>45688</v>
      </c>
      <c r="C1801" s="1" t="n">
        <v>45714</v>
      </c>
      <c r="D1801" t="inlineStr">
        <is>
          <t>JÄMTLANDS LÄN</t>
        </is>
      </c>
      <c r="E1801" t="inlineStr">
        <is>
          <t>HÄRJEDALEN</t>
        </is>
      </c>
      <c r="F1801" t="inlineStr">
        <is>
          <t>Bergvik skog väst AB</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4837-2025</t>
        </is>
      </c>
      <c r="B1802" s="1" t="n">
        <v>45688</v>
      </c>
      <c r="C1802" s="1" t="n">
        <v>45714</v>
      </c>
      <c r="D1802" t="inlineStr">
        <is>
          <t>JÄMTLANDS LÄN</t>
        </is>
      </c>
      <c r="E1802" t="inlineStr">
        <is>
          <t>HÄRJEDALEN</t>
        </is>
      </c>
      <c r="F1802" t="inlineStr">
        <is>
          <t>SCA</t>
        </is>
      </c>
      <c r="G1802" t="n">
        <v>21.9</v>
      </c>
      <c r="H1802" t="n">
        <v>0</v>
      </c>
      <c r="I1802" t="n">
        <v>0</v>
      </c>
      <c r="J1802" t="n">
        <v>0</v>
      </c>
      <c r="K1802" t="n">
        <v>0</v>
      </c>
      <c r="L1802" t="n">
        <v>0</v>
      </c>
      <c r="M1802" t="n">
        <v>0</v>
      </c>
      <c r="N1802" t="n">
        <v>0</v>
      </c>
      <c r="O1802" t="n">
        <v>0</v>
      </c>
      <c r="P1802" t="n">
        <v>0</v>
      </c>
      <c r="Q1802" t="n">
        <v>0</v>
      </c>
      <c r="R1802" s="2" t="inlineStr"/>
    </row>
    <row r="1803" ht="15" customHeight="1">
      <c r="A1803" t="inlineStr">
        <is>
          <t>A 4752-2025</t>
        </is>
      </c>
      <c r="B1803" s="1" t="n">
        <v>45688</v>
      </c>
      <c r="C1803" s="1" t="n">
        <v>45714</v>
      </c>
      <c r="D1803" t="inlineStr">
        <is>
          <t>JÄMTLANDS LÄN</t>
        </is>
      </c>
      <c r="E1803" t="inlineStr">
        <is>
          <t>HÄRJEDALEN</t>
        </is>
      </c>
      <c r="F1803" t="inlineStr">
        <is>
          <t>Bergvik skog väst AB</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45714</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45714</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45714</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5102-2025</t>
        </is>
      </c>
      <c r="B1807" s="1" t="n">
        <v>45691</v>
      </c>
      <c r="C1807" s="1" t="n">
        <v>45714</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45714</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45714</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45714</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45714</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6141-2025</t>
        </is>
      </c>
      <c r="B1812" s="1" t="n">
        <v>45698</v>
      </c>
      <c r="C1812" s="1" t="n">
        <v>45714</v>
      </c>
      <c r="D1812" t="inlineStr">
        <is>
          <t>JÄMTLANDS LÄN</t>
        </is>
      </c>
      <c r="E1812" t="inlineStr">
        <is>
          <t>HÄRJEDALEN</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6211-2025</t>
        </is>
      </c>
      <c r="B1813" s="1" t="n">
        <v>45698</v>
      </c>
      <c r="C1813" s="1" t="n">
        <v>45714</v>
      </c>
      <c r="D1813" t="inlineStr">
        <is>
          <t>JÄMTLANDS LÄN</t>
        </is>
      </c>
      <c r="E1813" t="inlineStr">
        <is>
          <t>HÄRJEDALEN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45714</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45714</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6697-2025</t>
        </is>
      </c>
      <c r="B1816" s="1" t="n">
        <v>45700</v>
      </c>
      <c r="C1816" s="1" t="n">
        <v>45714</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7384-2025</t>
        </is>
      </c>
      <c r="B1817" s="1" t="n">
        <v>45705</v>
      </c>
      <c r="C1817" s="1" t="n">
        <v>45714</v>
      </c>
      <c r="D1817" t="inlineStr">
        <is>
          <t>JÄMTLANDS LÄN</t>
        </is>
      </c>
      <c r="E1817" t="inlineStr">
        <is>
          <t>HÄRJEDALEN</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7385-2025</t>
        </is>
      </c>
      <c r="B1818" s="1" t="n">
        <v>45705</v>
      </c>
      <c r="C1818" s="1" t="n">
        <v>45714</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7379-2025</t>
        </is>
      </c>
      <c r="B1819" s="1" t="n">
        <v>45705</v>
      </c>
      <c r="C1819" s="1" t="n">
        <v>45714</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45714</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7744-2025</t>
        </is>
      </c>
      <c r="B1821" s="1" t="n">
        <v>45706</v>
      </c>
      <c r="C1821" s="1" t="n">
        <v>45714</v>
      </c>
      <c r="D1821" t="inlineStr">
        <is>
          <t>JÄMTLANDS LÄN</t>
        </is>
      </c>
      <c r="E1821" t="inlineStr">
        <is>
          <t>HÄRJEDALEN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8091-2025</t>
        </is>
      </c>
      <c r="B1822" s="1" t="n">
        <v>45707</v>
      </c>
      <c r="C1822" s="1" t="n">
        <v>45714</v>
      </c>
      <c r="D1822" t="inlineStr">
        <is>
          <t>JÄMTLANDS LÄN</t>
        </is>
      </c>
      <c r="E1822" t="inlineStr">
        <is>
          <t>HÄRJEDALEN</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8095-2025</t>
        </is>
      </c>
      <c r="B1823" s="1" t="n">
        <v>45707</v>
      </c>
      <c r="C1823" s="1" t="n">
        <v>45714</v>
      </c>
      <c r="D1823" t="inlineStr">
        <is>
          <t>JÄMTLANDS LÄN</t>
        </is>
      </c>
      <c r="E1823" t="inlineStr">
        <is>
          <t>HÄRJEDALEN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8307-2025</t>
        </is>
      </c>
      <c r="B1824" s="1" t="n">
        <v>45708</v>
      </c>
      <c r="C1824" s="1" t="n">
        <v>45714</v>
      </c>
      <c r="D1824" t="inlineStr">
        <is>
          <t>JÄMTLANDS LÄN</t>
        </is>
      </c>
      <c r="E1824" t="inlineStr">
        <is>
          <t>HÄRJEDALEN</t>
        </is>
      </c>
      <c r="G1824" t="n">
        <v>5.2</v>
      </c>
      <c r="H1824" t="n">
        <v>0</v>
      </c>
      <c r="I1824" t="n">
        <v>0</v>
      </c>
      <c r="J1824" t="n">
        <v>0</v>
      </c>
      <c r="K1824" t="n">
        <v>0</v>
      </c>
      <c r="L1824" t="n">
        <v>0</v>
      </c>
      <c r="M1824" t="n">
        <v>0</v>
      </c>
      <c r="N1824" t="n">
        <v>0</v>
      </c>
      <c r="O1824" t="n">
        <v>0</v>
      </c>
      <c r="P1824" t="n">
        <v>0</v>
      </c>
      <c r="Q1824" t="n">
        <v>0</v>
      </c>
      <c r="R1824" s="2" t="inlineStr"/>
    </row>
    <row r="1825">
      <c r="A1825" t="inlineStr">
        <is>
          <t>A 8962-2025</t>
        </is>
      </c>
      <c r="B1825" s="1" t="n">
        <v>45713</v>
      </c>
      <c r="C1825" s="1" t="n">
        <v>45714</v>
      </c>
      <c r="D1825" t="inlineStr">
        <is>
          <t>JÄMTLANDS LÄN</t>
        </is>
      </c>
      <c r="E1825" t="inlineStr">
        <is>
          <t>HÄRJEDALEN</t>
        </is>
      </c>
      <c r="G1825" t="n">
        <v>1</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2025-02-26T16:17:26Z</dcterms:created>
  <dcterms:modified xmlns:dcterms="http://purl.org/dc/terms/" xmlns:xsi="http://www.w3.org/2001/XMLSchema-instance" xsi:type="dcterms:W3CDTF">2025-02-26T16:17:27Z</dcterms:modified>
</cp:coreProperties>
</file>